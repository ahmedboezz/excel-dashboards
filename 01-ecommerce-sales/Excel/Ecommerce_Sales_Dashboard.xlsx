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V\DataAnalyst\Freelance_Portfolio\01_Ecommerce_Sales\Excel\"/>
    </mc:Choice>
  </mc:AlternateContent>
  <xr:revisionPtr revIDLastSave="0" documentId="13_ncr:1_{4BAF07F7-C332-4C2D-B7CE-B872428AD2E9}"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s" sheetId="2" r:id="rId2"/>
    <sheet name="Data" sheetId="3" r:id="rId3"/>
    <sheet name="About" sheetId="4" r:id="rId4"/>
  </sheets>
  <definedNames>
    <definedName name="_xlnm.Print_Area" localSheetId="0">Dashboard!$A$1:$BP$49</definedName>
    <definedName name="Slicer_Category">#N/A</definedName>
    <definedName name="Slicer_Channel">#N/A</definedName>
    <definedName name="Slicer_CustomerType">#N/A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0" i="1" l="1"/>
  <c r="BE8" i="1"/>
  <c r="AT10" i="1"/>
  <c r="AT8" i="1"/>
  <c r="AI10" i="1"/>
  <c r="AI8" i="1"/>
  <c r="X10" i="1"/>
  <c r="X8" i="1"/>
  <c r="M10" i="1"/>
  <c r="M8" i="1"/>
</calcChain>
</file>

<file path=xl/sharedStrings.xml><?xml version="1.0" encoding="utf-8"?>
<sst xmlns="http://schemas.openxmlformats.org/spreadsheetml/2006/main" count="48773" uniqueCount="5580">
  <si>
    <t>OrderID</t>
  </si>
  <si>
    <t>OrderDate</t>
  </si>
  <si>
    <t>Year</t>
  </si>
  <si>
    <t>Quarter</t>
  </si>
  <si>
    <t>Month</t>
  </si>
  <si>
    <t>Channel</t>
  </si>
  <si>
    <t>Region</t>
  </si>
  <si>
    <t>CustomerType</t>
  </si>
  <si>
    <t>Category</t>
  </si>
  <si>
    <t>Product</t>
  </si>
  <si>
    <t>Quantity</t>
  </si>
  <si>
    <t>UnitPrice</t>
  </si>
  <si>
    <t>DiscountPct</t>
  </si>
  <si>
    <t>DiscountBand</t>
  </si>
  <si>
    <t>Revenue</t>
  </si>
  <si>
    <t>Cost</t>
  </si>
  <si>
    <t>Profit</t>
  </si>
  <si>
    <t>Orders</t>
  </si>
  <si>
    <t>Returned</t>
  </si>
  <si>
    <t>DeliveryDays</t>
  </si>
  <si>
    <t>Rating</t>
  </si>
  <si>
    <t>SW-100001</t>
  </si>
  <si>
    <t>Q1</t>
  </si>
  <si>
    <t>Jan</t>
  </si>
  <si>
    <t>Website</t>
  </si>
  <si>
    <t>Western</t>
  </si>
  <si>
    <t>New</t>
  </si>
  <si>
    <t>Fashion</t>
  </si>
  <si>
    <t>Leather Handbag</t>
  </si>
  <si>
    <t>1-10%</t>
  </si>
  <si>
    <t>SW-100002</t>
  </si>
  <si>
    <t>Mobile App</t>
  </si>
  <si>
    <t>Returning</t>
  </si>
  <si>
    <t>Denim Jacket</t>
  </si>
  <si>
    <t>11-20%</t>
  </si>
  <si>
    <t>SW-100003</t>
  </si>
  <si>
    <t>Beauty</t>
  </si>
  <si>
    <t>Hair Dryer</t>
  </si>
  <si>
    <t>0% (none)</t>
  </si>
  <si>
    <t>SW-100004</t>
  </si>
  <si>
    <t>Sunglasses</t>
  </si>
  <si>
    <t>SW-100005</t>
  </si>
  <si>
    <t>Home &amp; Kitchen</t>
  </si>
  <si>
    <t>Storage Boxes</t>
  </si>
  <si>
    <t>SW-100006</t>
  </si>
  <si>
    <t>Marketplace</t>
  </si>
  <si>
    <t>Southern</t>
  </si>
  <si>
    <t>Summer Dress</t>
  </si>
  <si>
    <t>SW-100007</t>
  </si>
  <si>
    <t>Eastern</t>
  </si>
  <si>
    <t>SW-100008</t>
  </si>
  <si>
    <t>Central</t>
  </si>
  <si>
    <t>Skin Care Bundle</t>
  </si>
  <si>
    <t>SW-100009</t>
  </si>
  <si>
    <t>Coffee Maker</t>
  </si>
  <si>
    <t>SW-100010</t>
  </si>
  <si>
    <t>Makeup Kit</t>
  </si>
  <si>
    <t>SW-100011</t>
  </si>
  <si>
    <t>Cookware Set</t>
  </si>
  <si>
    <t>SW-100012</t>
  </si>
  <si>
    <t>Running Sneakers</t>
  </si>
  <si>
    <t>SW-100013</t>
  </si>
  <si>
    <t>21-30%</t>
  </si>
  <si>
    <t>SW-100014</t>
  </si>
  <si>
    <t>SW-100015</t>
  </si>
  <si>
    <t>Northern</t>
  </si>
  <si>
    <t>SW-100016</t>
  </si>
  <si>
    <t>Sports</t>
  </si>
  <si>
    <t>Fitness Tracker</t>
  </si>
  <si>
    <t>SW-100017</t>
  </si>
  <si>
    <t>Electronics</t>
  </si>
  <si>
    <t>Wireless Earbuds</t>
  </si>
  <si>
    <t>SW-100018</t>
  </si>
  <si>
    <t>SW-100019</t>
  </si>
  <si>
    <t>SW-100020</t>
  </si>
  <si>
    <t>SW-100021</t>
  </si>
  <si>
    <t>Bed Sheet Set</t>
  </si>
  <si>
    <t>SW-100022</t>
  </si>
  <si>
    <t>Cycling Helmet</t>
  </si>
  <si>
    <t>SW-100023</t>
  </si>
  <si>
    <t>SW-100024</t>
  </si>
  <si>
    <t>SW-100025</t>
  </si>
  <si>
    <t>Power Bank</t>
  </si>
  <si>
    <t>SW-100026</t>
  </si>
  <si>
    <t>Books &amp; Toys</t>
  </si>
  <si>
    <t>Board Game</t>
  </si>
  <si>
    <t>SW-100027</t>
  </si>
  <si>
    <t>Tablet 10in</t>
  </si>
  <si>
    <t>SW-100028</t>
  </si>
  <si>
    <t>Air Fryer</t>
  </si>
  <si>
    <t>SW-100029</t>
  </si>
  <si>
    <t>SW-100030</t>
  </si>
  <si>
    <t>SW-100031</t>
  </si>
  <si>
    <t>Dumbbell Set</t>
  </si>
  <si>
    <t>SW-100032</t>
  </si>
  <si>
    <t>SW-100033</t>
  </si>
  <si>
    <t>Story Book Set</t>
  </si>
  <si>
    <t>SW-100034</t>
  </si>
  <si>
    <t>Desk Lamp</t>
  </si>
  <si>
    <t>SW-100035</t>
  </si>
  <si>
    <t>SW-100036</t>
  </si>
  <si>
    <t>SW-100037</t>
  </si>
  <si>
    <t>SW-100038</t>
  </si>
  <si>
    <t>Camping Tent</t>
  </si>
  <si>
    <t>SW-100039</t>
  </si>
  <si>
    <t>SW-100040</t>
  </si>
  <si>
    <t>Bestseller Novel</t>
  </si>
  <si>
    <t>SW-100041</t>
  </si>
  <si>
    <t>SW-100042</t>
  </si>
  <si>
    <t>SW-100043</t>
  </si>
  <si>
    <t>Cotton T-Shirt</t>
  </si>
  <si>
    <t>SW-100044</t>
  </si>
  <si>
    <t>SW-100045</t>
  </si>
  <si>
    <t>SW-100046</t>
  </si>
  <si>
    <t>SW-100047</t>
  </si>
  <si>
    <t>Face Serum</t>
  </si>
  <si>
    <t>SW-100048</t>
  </si>
  <si>
    <t>SW-100049</t>
  </si>
  <si>
    <t>SW-100050</t>
  </si>
  <si>
    <t>SW-100051</t>
  </si>
  <si>
    <t>SW-100052</t>
  </si>
  <si>
    <t>SW-100053</t>
  </si>
  <si>
    <t>SW-100054</t>
  </si>
  <si>
    <t>SW-100055</t>
  </si>
  <si>
    <t>SW-100056</t>
  </si>
  <si>
    <t>SW-100057</t>
  </si>
  <si>
    <t>Perfume 100ml</t>
  </si>
  <si>
    <t>SW-100058</t>
  </si>
  <si>
    <t>SW-100059</t>
  </si>
  <si>
    <t>Bluetooth Speaker</t>
  </si>
  <si>
    <t>SW-100060</t>
  </si>
  <si>
    <t>SW-100061</t>
  </si>
  <si>
    <t>Building Blocks</t>
  </si>
  <si>
    <t>SW-100062</t>
  </si>
  <si>
    <t>SW-100063</t>
  </si>
  <si>
    <t>SW-100064</t>
  </si>
  <si>
    <t>SW-100065</t>
  </si>
  <si>
    <t>SW-100066</t>
  </si>
  <si>
    <t>SW-100067</t>
  </si>
  <si>
    <t>SW-100068</t>
  </si>
  <si>
    <t>SW-100069</t>
  </si>
  <si>
    <t>SW-100070</t>
  </si>
  <si>
    <t>SW-100071</t>
  </si>
  <si>
    <t>SW-100072</t>
  </si>
  <si>
    <t>SW-100073</t>
  </si>
  <si>
    <t>SW-100074</t>
  </si>
  <si>
    <t>SW-100075</t>
  </si>
  <si>
    <t>SW-100076</t>
  </si>
  <si>
    <t>SW-100077</t>
  </si>
  <si>
    <t>SW-100078</t>
  </si>
  <si>
    <t>SW-100079</t>
  </si>
  <si>
    <t>SW-100080</t>
  </si>
  <si>
    <t>SW-100081</t>
  </si>
  <si>
    <t>SW-100082</t>
  </si>
  <si>
    <t>SW-100083</t>
  </si>
  <si>
    <t>SW-100084</t>
  </si>
  <si>
    <t>SW-100085</t>
  </si>
  <si>
    <t>SW-100086</t>
  </si>
  <si>
    <t>SW-100087</t>
  </si>
  <si>
    <t>SW-100088</t>
  </si>
  <si>
    <t>SW-100089</t>
  </si>
  <si>
    <t>SW-100090</t>
  </si>
  <si>
    <t>4K Action Camera</t>
  </si>
  <si>
    <t>SW-100091</t>
  </si>
  <si>
    <t>SW-100092</t>
  </si>
  <si>
    <t>SW-100093</t>
  </si>
  <si>
    <t>SW-100094</t>
  </si>
  <si>
    <t>SW-100095</t>
  </si>
  <si>
    <t>SW-100096</t>
  </si>
  <si>
    <t>SW-100097</t>
  </si>
  <si>
    <t>SW-100098</t>
  </si>
  <si>
    <t>SW-100099</t>
  </si>
  <si>
    <t>SW-100100</t>
  </si>
  <si>
    <t>SW-100101</t>
  </si>
  <si>
    <t>Yoga Mat</t>
  </si>
  <si>
    <t>SW-100102</t>
  </si>
  <si>
    <t>SW-100103</t>
  </si>
  <si>
    <t>SW-100104</t>
  </si>
  <si>
    <t>SW-100105</t>
  </si>
  <si>
    <t>SW-100106</t>
  </si>
  <si>
    <t>SW-100107</t>
  </si>
  <si>
    <t>SW-100108</t>
  </si>
  <si>
    <t>SW-100109</t>
  </si>
  <si>
    <t>SW-100110</t>
  </si>
  <si>
    <t>SW-100111</t>
  </si>
  <si>
    <t>SW-100112</t>
  </si>
  <si>
    <t>SW-100113</t>
  </si>
  <si>
    <t>SW-100114</t>
  </si>
  <si>
    <t>SW-100115</t>
  </si>
  <si>
    <t>SW-100116</t>
  </si>
  <si>
    <t>SW-100117</t>
  </si>
  <si>
    <t>SW-100118</t>
  </si>
  <si>
    <t>SW-100119</t>
  </si>
  <si>
    <t>SW-100120</t>
  </si>
  <si>
    <t>SW-100121</t>
  </si>
  <si>
    <t>SW-100122</t>
  </si>
  <si>
    <t>SW-100123</t>
  </si>
  <si>
    <t>SW-100124</t>
  </si>
  <si>
    <t>SW-100125</t>
  </si>
  <si>
    <t>SW-100126</t>
  </si>
  <si>
    <t>SW-100127</t>
  </si>
  <si>
    <t>SW-100128</t>
  </si>
  <si>
    <t>SW-100129</t>
  </si>
  <si>
    <t>SW-100130</t>
  </si>
  <si>
    <t>SW-100131</t>
  </si>
  <si>
    <t>SW-100132</t>
  </si>
  <si>
    <t>SW-100133</t>
  </si>
  <si>
    <t>SW-100134</t>
  </si>
  <si>
    <t>SW-100135</t>
  </si>
  <si>
    <t>SW-100136</t>
  </si>
  <si>
    <t>SW-100137</t>
  </si>
  <si>
    <t>SW-100138</t>
  </si>
  <si>
    <t>SW-100139</t>
  </si>
  <si>
    <t>SW-100140</t>
  </si>
  <si>
    <t>SW-100141</t>
  </si>
  <si>
    <t>SW-100142</t>
  </si>
  <si>
    <t>SW-100143</t>
  </si>
  <si>
    <t>SW-100144</t>
  </si>
  <si>
    <t>SW-100145</t>
  </si>
  <si>
    <t>SW-100146</t>
  </si>
  <si>
    <t>SW-100147</t>
  </si>
  <si>
    <t>SW-100148</t>
  </si>
  <si>
    <t>SW-100149</t>
  </si>
  <si>
    <t>Kids Puzzle</t>
  </si>
  <si>
    <t>SW-100150</t>
  </si>
  <si>
    <t>SW-100151</t>
  </si>
  <si>
    <t>SW-100152</t>
  </si>
  <si>
    <t>SW-100153</t>
  </si>
  <si>
    <t>SW-100154</t>
  </si>
  <si>
    <t>SW-100155</t>
  </si>
  <si>
    <t>SW-100156</t>
  </si>
  <si>
    <t>SW-100157</t>
  </si>
  <si>
    <t>SW-100158</t>
  </si>
  <si>
    <t>SW-100159</t>
  </si>
  <si>
    <t>SW-100160</t>
  </si>
  <si>
    <t>SW-100161</t>
  </si>
  <si>
    <t>SW-100162</t>
  </si>
  <si>
    <t>SW-100163</t>
  </si>
  <si>
    <t>SW-100164</t>
  </si>
  <si>
    <t>SW-100165</t>
  </si>
  <si>
    <t>SW-100166</t>
  </si>
  <si>
    <t>SW-100167</t>
  </si>
  <si>
    <t>Feb</t>
  </si>
  <si>
    <t>SW-100168</t>
  </si>
  <si>
    <t>SW-100169</t>
  </si>
  <si>
    <t>SW-100170</t>
  </si>
  <si>
    <t>SW-100171</t>
  </si>
  <si>
    <t>SW-100172</t>
  </si>
  <si>
    <t>SW-100173</t>
  </si>
  <si>
    <t>SW-100174</t>
  </si>
  <si>
    <t>SW-100175</t>
  </si>
  <si>
    <t>SW-100176</t>
  </si>
  <si>
    <t>Smart Watch</t>
  </si>
  <si>
    <t>SW-100177</t>
  </si>
  <si>
    <t>SW-100178</t>
  </si>
  <si>
    <t>SW-100179</t>
  </si>
  <si>
    <t>SW-100180</t>
  </si>
  <si>
    <t>SW-100181</t>
  </si>
  <si>
    <t>SW-100182</t>
  </si>
  <si>
    <t>SW-100183</t>
  </si>
  <si>
    <t>SW-100184</t>
  </si>
  <si>
    <t>SW-100185</t>
  </si>
  <si>
    <t>SW-100186</t>
  </si>
  <si>
    <t>SW-100187</t>
  </si>
  <si>
    <t>SW-100188</t>
  </si>
  <si>
    <t>SW-100189</t>
  </si>
  <si>
    <t>SW-100190</t>
  </si>
  <si>
    <t>SW-100191</t>
  </si>
  <si>
    <t>SW-100192</t>
  </si>
  <si>
    <t>SW-100193</t>
  </si>
  <si>
    <t>SW-100194</t>
  </si>
  <si>
    <t>SW-100195</t>
  </si>
  <si>
    <t>SW-100196</t>
  </si>
  <si>
    <t>SW-100197</t>
  </si>
  <si>
    <t>SW-100198</t>
  </si>
  <si>
    <t>SW-100199</t>
  </si>
  <si>
    <t>SW-100200</t>
  </si>
  <si>
    <t>SW-100201</t>
  </si>
  <si>
    <t>SW-100202</t>
  </si>
  <si>
    <t>SW-100203</t>
  </si>
  <si>
    <t>SW-100204</t>
  </si>
  <si>
    <t>SW-100205</t>
  </si>
  <si>
    <t>SW-100206</t>
  </si>
  <si>
    <t>SW-100207</t>
  </si>
  <si>
    <t>SW-100208</t>
  </si>
  <si>
    <t>SW-100209</t>
  </si>
  <si>
    <t>SW-100210</t>
  </si>
  <si>
    <t>SW-100211</t>
  </si>
  <si>
    <t>SW-100212</t>
  </si>
  <si>
    <t>SW-100213</t>
  </si>
  <si>
    <t>SW-100214</t>
  </si>
  <si>
    <t>SW-100215</t>
  </si>
  <si>
    <t>SW-100216</t>
  </si>
  <si>
    <t>SW-100217</t>
  </si>
  <si>
    <t>SW-100218</t>
  </si>
  <si>
    <t>SW-100219</t>
  </si>
  <si>
    <t>SW-100220</t>
  </si>
  <si>
    <t>SW-100221</t>
  </si>
  <si>
    <t>SW-100222</t>
  </si>
  <si>
    <t>SW-100223</t>
  </si>
  <si>
    <t>SW-100224</t>
  </si>
  <si>
    <t>SW-100225</t>
  </si>
  <si>
    <t>SW-100226</t>
  </si>
  <si>
    <t>SW-100227</t>
  </si>
  <si>
    <t>SW-100228</t>
  </si>
  <si>
    <t>SW-100229</t>
  </si>
  <si>
    <t>SW-100230</t>
  </si>
  <si>
    <t>SW-100231</t>
  </si>
  <si>
    <t>SW-100232</t>
  </si>
  <si>
    <t>SW-100233</t>
  </si>
  <si>
    <t>SW-100234</t>
  </si>
  <si>
    <t>SW-100235</t>
  </si>
  <si>
    <t>SW-100236</t>
  </si>
  <si>
    <t>SW-100237</t>
  </si>
  <si>
    <t>SW-100238</t>
  </si>
  <si>
    <t>SW-100239</t>
  </si>
  <si>
    <t>SW-100240</t>
  </si>
  <si>
    <t>SW-100241</t>
  </si>
  <si>
    <t>SW-100242</t>
  </si>
  <si>
    <t>SW-100243</t>
  </si>
  <si>
    <t>SW-100244</t>
  </si>
  <si>
    <t>SW-100245</t>
  </si>
  <si>
    <t>SW-100246</t>
  </si>
  <si>
    <t>SW-100247</t>
  </si>
  <si>
    <t>SW-100248</t>
  </si>
  <si>
    <t>SW-100249</t>
  </si>
  <si>
    <t>SW-100250</t>
  </si>
  <si>
    <t>SW-100251</t>
  </si>
  <si>
    <t>SW-100252</t>
  </si>
  <si>
    <t>SW-100253</t>
  </si>
  <si>
    <t>SW-100254</t>
  </si>
  <si>
    <t>SW-100255</t>
  </si>
  <si>
    <t>SW-100256</t>
  </si>
  <si>
    <t>SW-100257</t>
  </si>
  <si>
    <t>SW-100258</t>
  </si>
  <si>
    <t>SW-100259</t>
  </si>
  <si>
    <t>SW-100260</t>
  </si>
  <si>
    <t>SW-100261</t>
  </si>
  <si>
    <t>SW-100262</t>
  </si>
  <si>
    <t>SW-100263</t>
  </si>
  <si>
    <t>SW-100264</t>
  </si>
  <si>
    <t>SW-100265</t>
  </si>
  <si>
    <t>SW-100266</t>
  </si>
  <si>
    <t>SW-100267</t>
  </si>
  <si>
    <t>SW-100268</t>
  </si>
  <si>
    <t>SW-100269</t>
  </si>
  <si>
    <t>SW-100270</t>
  </si>
  <si>
    <t>SW-100271</t>
  </si>
  <si>
    <t>SW-100272</t>
  </si>
  <si>
    <t>SW-100273</t>
  </si>
  <si>
    <t>SW-100274</t>
  </si>
  <si>
    <t>SW-100275</t>
  </si>
  <si>
    <t>SW-100276</t>
  </si>
  <si>
    <t>SW-100277</t>
  </si>
  <si>
    <t>SW-100278</t>
  </si>
  <si>
    <t>SW-100279</t>
  </si>
  <si>
    <t>SW-100280</t>
  </si>
  <si>
    <t>SW-100281</t>
  </si>
  <si>
    <t>SW-100282</t>
  </si>
  <si>
    <t>SW-100283</t>
  </si>
  <si>
    <t>SW-100284</t>
  </si>
  <si>
    <t>SW-100285</t>
  </si>
  <si>
    <t>SW-100286</t>
  </si>
  <si>
    <t>SW-100287</t>
  </si>
  <si>
    <t>SW-100288</t>
  </si>
  <si>
    <t>SW-100289</t>
  </si>
  <si>
    <t>SW-100290</t>
  </si>
  <si>
    <t>SW-100291</t>
  </si>
  <si>
    <t>SW-100292</t>
  </si>
  <si>
    <t>SW-100293</t>
  </si>
  <si>
    <t>SW-100294</t>
  </si>
  <si>
    <t>SW-100295</t>
  </si>
  <si>
    <t>SW-100296</t>
  </si>
  <si>
    <t>SW-100297</t>
  </si>
  <si>
    <t>SW-100298</t>
  </si>
  <si>
    <t>SW-100299</t>
  </si>
  <si>
    <t>SW-100300</t>
  </si>
  <si>
    <t>SW-100301</t>
  </si>
  <si>
    <t>SW-100302</t>
  </si>
  <si>
    <t>SW-100303</t>
  </si>
  <si>
    <t>SW-100304</t>
  </si>
  <si>
    <t>SW-100305</t>
  </si>
  <si>
    <t>SW-100306</t>
  </si>
  <si>
    <t>SW-100307</t>
  </si>
  <si>
    <t>SW-100308</t>
  </si>
  <si>
    <t>SW-100309</t>
  </si>
  <si>
    <t>SW-100310</t>
  </si>
  <si>
    <t>SW-100311</t>
  </si>
  <si>
    <t>SW-100312</t>
  </si>
  <si>
    <t>SW-100313</t>
  </si>
  <si>
    <t>SW-100314</t>
  </si>
  <si>
    <t>SW-100315</t>
  </si>
  <si>
    <t>SW-100316</t>
  </si>
  <si>
    <t>SW-100317</t>
  </si>
  <si>
    <t>SW-100318</t>
  </si>
  <si>
    <t>SW-100319</t>
  </si>
  <si>
    <t>SW-100320</t>
  </si>
  <si>
    <t>SW-100321</t>
  </si>
  <si>
    <t>SW-100322</t>
  </si>
  <si>
    <t>SW-100323</t>
  </si>
  <si>
    <t>SW-100324</t>
  </si>
  <si>
    <t>SW-100325</t>
  </si>
  <si>
    <t>Mar</t>
  </si>
  <si>
    <t>SW-100326</t>
  </si>
  <si>
    <t>SW-100327</t>
  </si>
  <si>
    <t>SW-100328</t>
  </si>
  <si>
    <t>SW-100329</t>
  </si>
  <si>
    <t>SW-100330</t>
  </si>
  <si>
    <t>SW-100331</t>
  </si>
  <si>
    <t>SW-100332</t>
  </si>
  <si>
    <t>SW-100333</t>
  </si>
  <si>
    <t>SW-100334</t>
  </si>
  <si>
    <t>SW-100335</t>
  </si>
  <si>
    <t>SW-100336</t>
  </si>
  <si>
    <t>SW-100337</t>
  </si>
  <si>
    <t>SW-100338</t>
  </si>
  <si>
    <t>SW-100339</t>
  </si>
  <si>
    <t>SW-100340</t>
  </si>
  <si>
    <t>SW-100341</t>
  </si>
  <si>
    <t>SW-100342</t>
  </si>
  <si>
    <t>SW-100343</t>
  </si>
  <si>
    <t>SW-100344</t>
  </si>
  <si>
    <t>SW-100345</t>
  </si>
  <si>
    <t>SW-100346</t>
  </si>
  <si>
    <t>SW-100347</t>
  </si>
  <si>
    <t>SW-100348</t>
  </si>
  <si>
    <t>SW-100349</t>
  </si>
  <si>
    <t>SW-100350</t>
  </si>
  <si>
    <t>SW-100351</t>
  </si>
  <si>
    <t>SW-100352</t>
  </si>
  <si>
    <t>SW-100353</t>
  </si>
  <si>
    <t>SW-100354</t>
  </si>
  <si>
    <t>SW-100355</t>
  </si>
  <si>
    <t>SW-100356</t>
  </si>
  <si>
    <t>SW-100357</t>
  </si>
  <si>
    <t>SW-100358</t>
  </si>
  <si>
    <t>SW-100359</t>
  </si>
  <si>
    <t>SW-100360</t>
  </si>
  <si>
    <t>SW-100361</t>
  </si>
  <si>
    <t>SW-100362</t>
  </si>
  <si>
    <t>SW-100363</t>
  </si>
  <si>
    <t>SW-100364</t>
  </si>
  <si>
    <t>SW-100365</t>
  </si>
  <si>
    <t>SW-100366</t>
  </si>
  <si>
    <t>SW-100367</t>
  </si>
  <si>
    <t>SW-100368</t>
  </si>
  <si>
    <t>SW-100369</t>
  </si>
  <si>
    <t>SW-100370</t>
  </si>
  <si>
    <t>SW-100371</t>
  </si>
  <si>
    <t>SW-100372</t>
  </si>
  <si>
    <t>SW-100373</t>
  </si>
  <si>
    <t>SW-100374</t>
  </si>
  <si>
    <t>SW-100375</t>
  </si>
  <si>
    <t>SW-100376</t>
  </si>
  <si>
    <t>SW-100377</t>
  </si>
  <si>
    <t>SW-100378</t>
  </si>
  <si>
    <t>SW-100379</t>
  </si>
  <si>
    <t>SW-100380</t>
  </si>
  <si>
    <t>SW-100381</t>
  </si>
  <si>
    <t>SW-100382</t>
  </si>
  <si>
    <t>SW-100383</t>
  </si>
  <si>
    <t>SW-100384</t>
  </si>
  <si>
    <t>SW-100385</t>
  </si>
  <si>
    <t>SW-100386</t>
  </si>
  <si>
    <t>SW-100387</t>
  </si>
  <si>
    <t>SW-100388</t>
  </si>
  <si>
    <t>SW-100389</t>
  </si>
  <si>
    <t>SW-100390</t>
  </si>
  <si>
    <t>SW-100391</t>
  </si>
  <si>
    <t>SW-100392</t>
  </si>
  <si>
    <t>SW-100393</t>
  </si>
  <si>
    <t>SW-100394</t>
  </si>
  <si>
    <t>SW-100395</t>
  </si>
  <si>
    <t>SW-100396</t>
  </si>
  <si>
    <t>SW-100397</t>
  </si>
  <si>
    <t>SW-100398</t>
  </si>
  <si>
    <t>SW-100399</t>
  </si>
  <si>
    <t>SW-100400</t>
  </si>
  <si>
    <t>SW-100401</t>
  </si>
  <si>
    <t>SW-100402</t>
  </si>
  <si>
    <t>SW-100403</t>
  </si>
  <si>
    <t>SW-100404</t>
  </si>
  <si>
    <t>SW-100405</t>
  </si>
  <si>
    <t>SW-100406</t>
  </si>
  <si>
    <t>SW-100407</t>
  </si>
  <si>
    <t>SW-100408</t>
  </si>
  <si>
    <t>SW-100409</t>
  </si>
  <si>
    <t>SW-100410</t>
  </si>
  <si>
    <t>SW-100411</t>
  </si>
  <si>
    <t>SW-100412</t>
  </si>
  <si>
    <t>SW-100413</t>
  </si>
  <si>
    <t>SW-100414</t>
  </si>
  <si>
    <t>SW-100415</t>
  </si>
  <si>
    <t>SW-100416</t>
  </si>
  <si>
    <t>SW-100417</t>
  </si>
  <si>
    <t>SW-100418</t>
  </si>
  <si>
    <t>SW-100419</t>
  </si>
  <si>
    <t>SW-100420</t>
  </si>
  <si>
    <t>SW-100421</t>
  </si>
  <si>
    <t>SW-100422</t>
  </si>
  <si>
    <t>SW-100423</t>
  </si>
  <si>
    <t>SW-100424</t>
  </si>
  <si>
    <t>SW-100425</t>
  </si>
  <si>
    <t>SW-100426</t>
  </si>
  <si>
    <t>SW-100427</t>
  </si>
  <si>
    <t>SW-100428</t>
  </si>
  <si>
    <t>SW-100429</t>
  </si>
  <si>
    <t>SW-100430</t>
  </si>
  <si>
    <t>SW-100431</t>
  </si>
  <si>
    <t>SW-100432</t>
  </si>
  <si>
    <t>SW-100433</t>
  </si>
  <si>
    <t>SW-100434</t>
  </si>
  <si>
    <t>SW-100435</t>
  </si>
  <si>
    <t>SW-100436</t>
  </si>
  <si>
    <t>SW-100437</t>
  </si>
  <si>
    <t>SW-100438</t>
  </si>
  <si>
    <t>SW-100439</t>
  </si>
  <si>
    <t>SW-100440</t>
  </si>
  <si>
    <t>SW-100441</t>
  </si>
  <si>
    <t>SW-100442</t>
  </si>
  <si>
    <t>SW-100443</t>
  </si>
  <si>
    <t>SW-100444</t>
  </si>
  <si>
    <t>SW-100445</t>
  </si>
  <si>
    <t>SW-100446</t>
  </si>
  <si>
    <t>SW-100447</t>
  </si>
  <si>
    <t>SW-100448</t>
  </si>
  <si>
    <t>SW-100449</t>
  </si>
  <si>
    <t>SW-100450</t>
  </si>
  <si>
    <t>SW-100451</t>
  </si>
  <si>
    <t>SW-100452</t>
  </si>
  <si>
    <t>SW-100453</t>
  </si>
  <si>
    <t>SW-100454</t>
  </si>
  <si>
    <t>SW-100455</t>
  </si>
  <si>
    <t>SW-100456</t>
  </si>
  <si>
    <t>SW-100457</t>
  </si>
  <si>
    <t>SW-100458</t>
  </si>
  <si>
    <t>SW-100459</t>
  </si>
  <si>
    <t>SW-100460</t>
  </si>
  <si>
    <t>SW-100461</t>
  </si>
  <si>
    <t>SW-100462</t>
  </si>
  <si>
    <t>SW-100463</t>
  </si>
  <si>
    <t>SW-100464</t>
  </si>
  <si>
    <t>SW-100465</t>
  </si>
  <si>
    <t>SW-100466</t>
  </si>
  <si>
    <t>SW-100467</t>
  </si>
  <si>
    <t>SW-100468</t>
  </si>
  <si>
    <t>SW-100469</t>
  </si>
  <si>
    <t>SW-100470</t>
  </si>
  <si>
    <t>SW-100471</t>
  </si>
  <si>
    <t>SW-100472</t>
  </si>
  <si>
    <t>SW-100473</t>
  </si>
  <si>
    <t>SW-100474</t>
  </si>
  <si>
    <t>SW-100475</t>
  </si>
  <si>
    <t>SW-100476</t>
  </si>
  <si>
    <t>SW-100477</t>
  </si>
  <si>
    <t>SW-100478</t>
  </si>
  <si>
    <t>SW-100479</t>
  </si>
  <si>
    <t>SW-100480</t>
  </si>
  <si>
    <t>SW-100481</t>
  </si>
  <si>
    <t>SW-100482</t>
  </si>
  <si>
    <t>SW-100483</t>
  </si>
  <si>
    <t>SW-100484</t>
  </si>
  <si>
    <t>SW-100485</t>
  </si>
  <si>
    <t>SW-100486</t>
  </si>
  <si>
    <t>SW-100487</t>
  </si>
  <si>
    <t>SW-100488</t>
  </si>
  <si>
    <t>SW-100489</t>
  </si>
  <si>
    <t>SW-100490</t>
  </si>
  <si>
    <t>SW-100491</t>
  </si>
  <si>
    <t>SW-100492</t>
  </si>
  <si>
    <t>SW-100493</t>
  </si>
  <si>
    <t>SW-100494</t>
  </si>
  <si>
    <t>SW-100495</t>
  </si>
  <si>
    <t>SW-100496</t>
  </si>
  <si>
    <t>SW-100497</t>
  </si>
  <si>
    <t>SW-100498</t>
  </si>
  <si>
    <t>SW-100499</t>
  </si>
  <si>
    <t>SW-100500</t>
  </si>
  <si>
    <t>SW-100501</t>
  </si>
  <si>
    <t>SW-100502</t>
  </si>
  <si>
    <t>SW-100503</t>
  </si>
  <si>
    <t>SW-100504</t>
  </si>
  <si>
    <t>SW-100505</t>
  </si>
  <si>
    <t>SW-100506</t>
  </si>
  <si>
    <t>SW-100507</t>
  </si>
  <si>
    <t>SW-100508</t>
  </si>
  <si>
    <t>SW-100509</t>
  </si>
  <si>
    <t>SW-100510</t>
  </si>
  <si>
    <t>SW-100511</t>
  </si>
  <si>
    <t>SW-100512</t>
  </si>
  <si>
    <t>SW-100513</t>
  </si>
  <si>
    <t>SW-100514</t>
  </si>
  <si>
    <t>SW-100515</t>
  </si>
  <si>
    <t>SW-100516</t>
  </si>
  <si>
    <t>SW-100517</t>
  </si>
  <si>
    <t>SW-100518</t>
  </si>
  <si>
    <t>SW-100519</t>
  </si>
  <si>
    <t>SW-100520</t>
  </si>
  <si>
    <t>SW-100521</t>
  </si>
  <si>
    <t>Q2</t>
  </si>
  <si>
    <t>Apr</t>
  </si>
  <si>
    <t>SW-100522</t>
  </si>
  <si>
    <t>SW-100523</t>
  </si>
  <si>
    <t>SW-100524</t>
  </si>
  <si>
    <t>SW-100525</t>
  </si>
  <si>
    <t>SW-100526</t>
  </si>
  <si>
    <t>SW-100527</t>
  </si>
  <si>
    <t>SW-100528</t>
  </si>
  <si>
    <t>SW-100529</t>
  </si>
  <si>
    <t>SW-100530</t>
  </si>
  <si>
    <t>SW-100531</t>
  </si>
  <si>
    <t>SW-100532</t>
  </si>
  <si>
    <t>SW-100533</t>
  </si>
  <si>
    <t>SW-100534</t>
  </si>
  <si>
    <t>SW-100535</t>
  </si>
  <si>
    <t>SW-100536</t>
  </si>
  <si>
    <t>SW-100537</t>
  </si>
  <si>
    <t>SW-100538</t>
  </si>
  <si>
    <t>SW-100539</t>
  </si>
  <si>
    <t>SW-100540</t>
  </si>
  <si>
    <t>SW-100541</t>
  </si>
  <si>
    <t>SW-100542</t>
  </si>
  <si>
    <t>SW-100543</t>
  </si>
  <si>
    <t>SW-100544</t>
  </si>
  <si>
    <t>SW-100545</t>
  </si>
  <si>
    <t>SW-100546</t>
  </si>
  <si>
    <t>SW-100547</t>
  </si>
  <si>
    <t>SW-100548</t>
  </si>
  <si>
    <t>SW-100549</t>
  </si>
  <si>
    <t>SW-100550</t>
  </si>
  <si>
    <t>SW-100551</t>
  </si>
  <si>
    <t>SW-100552</t>
  </si>
  <si>
    <t>SW-100553</t>
  </si>
  <si>
    <t>SW-100554</t>
  </si>
  <si>
    <t>SW-100555</t>
  </si>
  <si>
    <t>SW-100556</t>
  </si>
  <si>
    <t>SW-100557</t>
  </si>
  <si>
    <t>SW-100558</t>
  </si>
  <si>
    <t>SW-100559</t>
  </si>
  <si>
    <t>SW-100560</t>
  </si>
  <si>
    <t>SW-100561</t>
  </si>
  <si>
    <t>SW-100562</t>
  </si>
  <si>
    <t>SW-100563</t>
  </si>
  <si>
    <t>SW-100564</t>
  </si>
  <si>
    <t>SW-100565</t>
  </si>
  <si>
    <t>SW-100566</t>
  </si>
  <si>
    <t>SW-100567</t>
  </si>
  <si>
    <t>SW-100568</t>
  </si>
  <si>
    <t>SW-100569</t>
  </si>
  <si>
    <t>SW-100570</t>
  </si>
  <si>
    <t>SW-100571</t>
  </si>
  <si>
    <t>SW-100572</t>
  </si>
  <si>
    <t>SW-100573</t>
  </si>
  <si>
    <t>SW-100574</t>
  </si>
  <si>
    <t>SW-100575</t>
  </si>
  <si>
    <t>SW-100576</t>
  </si>
  <si>
    <t>SW-100577</t>
  </si>
  <si>
    <t>SW-100578</t>
  </si>
  <si>
    <t>SW-100579</t>
  </si>
  <si>
    <t>SW-100580</t>
  </si>
  <si>
    <t>SW-100581</t>
  </si>
  <si>
    <t>SW-100582</t>
  </si>
  <si>
    <t>SW-100583</t>
  </si>
  <si>
    <t>SW-100584</t>
  </si>
  <si>
    <t>SW-100585</t>
  </si>
  <si>
    <t>SW-100586</t>
  </si>
  <si>
    <t>SW-100587</t>
  </si>
  <si>
    <t>SW-100588</t>
  </si>
  <si>
    <t>SW-100589</t>
  </si>
  <si>
    <t>SW-100590</t>
  </si>
  <si>
    <t>SW-100591</t>
  </si>
  <si>
    <t>SW-100592</t>
  </si>
  <si>
    <t>SW-100593</t>
  </si>
  <si>
    <t>SW-100594</t>
  </si>
  <si>
    <t>SW-100595</t>
  </si>
  <si>
    <t>SW-100596</t>
  </si>
  <si>
    <t>SW-100597</t>
  </si>
  <si>
    <t>SW-100598</t>
  </si>
  <si>
    <t>SW-100599</t>
  </si>
  <si>
    <t>SW-100600</t>
  </si>
  <si>
    <t>SW-100601</t>
  </si>
  <si>
    <t>SW-100602</t>
  </si>
  <si>
    <t>SW-100603</t>
  </si>
  <si>
    <t>SW-100604</t>
  </si>
  <si>
    <t>SW-100605</t>
  </si>
  <si>
    <t>SW-100606</t>
  </si>
  <si>
    <t>SW-100607</t>
  </si>
  <si>
    <t>SW-100608</t>
  </si>
  <si>
    <t>SW-100609</t>
  </si>
  <si>
    <t>SW-100610</t>
  </si>
  <si>
    <t>SW-100611</t>
  </si>
  <si>
    <t>SW-100612</t>
  </si>
  <si>
    <t>SW-100613</t>
  </si>
  <si>
    <t>SW-100614</t>
  </si>
  <si>
    <t>SW-100615</t>
  </si>
  <si>
    <t>SW-100616</t>
  </si>
  <si>
    <t>SW-100617</t>
  </si>
  <si>
    <t>SW-100618</t>
  </si>
  <si>
    <t>SW-100619</t>
  </si>
  <si>
    <t>SW-100620</t>
  </si>
  <si>
    <t>SW-100621</t>
  </si>
  <si>
    <t>SW-100622</t>
  </si>
  <si>
    <t>SW-100623</t>
  </si>
  <si>
    <t>SW-100624</t>
  </si>
  <si>
    <t>SW-100625</t>
  </si>
  <si>
    <t>SW-100626</t>
  </si>
  <si>
    <t>SW-100627</t>
  </si>
  <si>
    <t>SW-100628</t>
  </si>
  <si>
    <t>SW-100629</t>
  </si>
  <si>
    <t>SW-100630</t>
  </si>
  <si>
    <t>SW-100631</t>
  </si>
  <si>
    <t>SW-100632</t>
  </si>
  <si>
    <t>SW-100633</t>
  </si>
  <si>
    <t>SW-100634</t>
  </si>
  <si>
    <t>SW-100635</t>
  </si>
  <si>
    <t>SW-100636</t>
  </si>
  <si>
    <t>SW-100637</t>
  </si>
  <si>
    <t>SW-100638</t>
  </si>
  <si>
    <t>SW-100639</t>
  </si>
  <si>
    <t>SW-100640</t>
  </si>
  <si>
    <t>SW-100641</t>
  </si>
  <si>
    <t>SW-100642</t>
  </si>
  <si>
    <t>SW-100643</t>
  </si>
  <si>
    <t>SW-100644</t>
  </si>
  <si>
    <t>SW-100645</t>
  </si>
  <si>
    <t>SW-100646</t>
  </si>
  <si>
    <t>SW-100647</t>
  </si>
  <si>
    <t>SW-100648</t>
  </si>
  <si>
    <t>SW-100649</t>
  </si>
  <si>
    <t>SW-100650</t>
  </si>
  <si>
    <t>SW-100651</t>
  </si>
  <si>
    <t>SW-100652</t>
  </si>
  <si>
    <t>SW-100653</t>
  </si>
  <si>
    <t>SW-100654</t>
  </si>
  <si>
    <t>SW-100655</t>
  </si>
  <si>
    <t>SW-100656</t>
  </si>
  <si>
    <t>SW-100657</t>
  </si>
  <si>
    <t>SW-100658</t>
  </si>
  <si>
    <t>SW-100659</t>
  </si>
  <si>
    <t>SW-100660</t>
  </si>
  <si>
    <t>SW-100661</t>
  </si>
  <si>
    <t>SW-100662</t>
  </si>
  <si>
    <t>SW-100663</t>
  </si>
  <si>
    <t>SW-100664</t>
  </si>
  <si>
    <t>SW-100665</t>
  </si>
  <si>
    <t>SW-100666</t>
  </si>
  <si>
    <t>SW-100667</t>
  </si>
  <si>
    <t>SW-100668</t>
  </si>
  <si>
    <t>SW-100669</t>
  </si>
  <si>
    <t>SW-100670</t>
  </si>
  <si>
    <t>SW-100671</t>
  </si>
  <si>
    <t>SW-100672</t>
  </si>
  <si>
    <t>SW-100673</t>
  </si>
  <si>
    <t>SW-100674</t>
  </si>
  <si>
    <t>SW-100675</t>
  </si>
  <si>
    <t>SW-100676</t>
  </si>
  <si>
    <t>SW-100677</t>
  </si>
  <si>
    <t>SW-100678</t>
  </si>
  <si>
    <t>SW-100679</t>
  </si>
  <si>
    <t>SW-100680</t>
  </si>
  <si>
    <t>SW-100681</t>
  </si>
  <si>
    <t>SW-100682</t>
  </si>
  <si>
    <t>SW-100683</t>
  </si>
  <si>
    <t>SW-100684</t>
  </si>
  <si>
    <t>SW-100685</t>
  </si>
  <si>
    <t>SW-100686</t>
  </si>
  <si>
    <t>SW-100687</t>
  </si>
  <si>
    <t>SW-100688</t>
  </si>
  <si>
    <t>SW-100689</t>
  </si>
  <si>
    <t>SW-100690</t>
  </si>
  <si>
    <t>SW-100691</t>
  </si>
  <si>
    <t>SW-100692</t>
  </si>
  <si>
    <t>SW-100693</t>
  </si>
  <si>
    <t>SW-100694</t>
  </si>
  <si>
    <t>SW-100695</t>
  </si>
  <si>
    <t>SW-100696</t>
  </si>
  <si>
    <t>SW-100697</t>
  </si>
  <si>
    <t>SW-100698</t>
  </si>
  <si>
    <t>SW-100699</t>
  </si>
  <si>
    <t>SW-100700</t>
  </si>
  <si>
    <t>SW-100701</t>
  </si>
  <si>
    <t>SW-100702</t>
  </si>
  <si>
    <t>SW-100703</t>
  </si>
  <si>
    <t>SW-100704</t>
  </si>
  <si>
    <t>SW-100705</t>
  </si>
  <si>
    <t>SW-100706</t>
  </si>
  <si>
    <t>SW-100707</t>
  </si>
  <si>
    <t>SW-100708</t>
  </si>
  <si>
    <t>SW-100709</t>
  </si>
  <si>
    <t>SW-100710</t>
  </si>
  <si>
    <t>SW-100711</t>
  </si>
  <si>
    <t>SW-100712</t>
  </si>
  <si>
    <t>SW-100713</t>
  </si>
  <si>
    <t>SW-100714</t>
  </si>
  <si>
    <t>SW-100715</t>
  </si>
  <si>
    <t>SW-100716</t>
  </si>
  <si>
    <t>SW-100717</t>
  </si>
  <si>
    <t>SW-100718</t>
  </si>
  <si>
    <t>SW-100719</t>
  </si>
  <si>
    <t>SW-100720</t>
  </si>
  <si>
    <t>SW-100721</t>
  </si>
  <si>
    <t>SW-100722</t>
  </si>
  <si>
    <t>May</t>
  </si>
  <si>
    <t>SW-100723</t>
  </si>
  <si>
    <t>SW-100724</t>
  </si>
  <si>
    <t>SW-100725</t>
  </si>
  <si>
    <t>SW-100726</t>
  </si>
  <si>
    <t>SW-100727</t>
  </si>
  <si>
    <t>SW-100728</t>
  </si>
  <si>
    <t>SW-100729</t>
  </si>
  <si>
    <t>SW-100730</t>
  </si>
  <si>
    <t>SW-100731</t>
  </si>
  <si>
    <t>SW-100732</t>
  </si>
  <si>
    <t>SW-100733</t>
  </si>
  <si>
    <t>SW-100734</t>
  </si>
  <si>
    <t>SW-100735</t>
  </si>
  <si>
    <t>SW-100736</t>
  </si>
  <si>
    <t>SW-100737</t>
  </si>
  <si>
    <t>SW-100738</t>
  </si>
  <si>
    <t>SW-100739</t>
  </si>
  <si>
    <t>SW-100740</t>
  </si>
  <si>
    <t>SW-100741</t>
  </si>
  <si>
    <t>SW-100742</t>
  </si>
  <si>
    <t>SW-100743</t>
  </si>
  <si>
    <t>SW-100744</t>
  </si>
  <si>
    <t>SW-100745</t>
  </si>
  <si>
    <t>SW-100746</t>
  </si>
  <si>
    <t>SW-100747</t>
  </si>
  <si>
    <t>SW-100748</t>
  </si>
  <si>
    <t>SW-100749</t>
  </si>
  <si>
    <t>SW-100750</t>
  </si>
  <si>
    <t>SW-100751</t>
  </si>
  <si>
    <t>SW-100752</t>
  </si>
  <si>
    <t>SW-100753</t>
  </si>
  <si>
    <t>SW-100754</t>
  </si>
  <si>
    <t>SW-100755</t>
  </si>
  <si>
    <t>SW-100756</t>
  </si>
  <si>
    <t>SW-100757</t>
  </si>
  <si>
    <t>SW-100758</t>
  </si>
  <si>
    <t>SW-100759</t>
  </si>
  <si>
    <t>SW-100760</t>
  </si>
  <si>
    <t>SW-100761</t>
  </si>
  <si>
    <t>SW-100762</t>
  </si>
  <si>
    <t>SW-100763</t>
  </si>
  <si>
    <t>SW-100764</t>
  </si>
  <si>
    <t>SW-100765</t>
  </si>
  <si>
    <t>SW-100766</t>
  </si>
  <si>
    <t>SW-100767</t>
  </si>
  <si>
    <t>SW-100768</t>
  </si>
  <si>
    <t>SW-100769</t>
  </si>
  <si>
    <t>SW-100770</t>
  </si>
  <si>
    <t>SW-100771</t>
  </si>
  <si>
    <t>SW-100772</t>
  </si>
  <si>
    <t>SW-100773</t>
  </si>
  <si>
    <t>SW-100774</t>
  </si>
  <si>
    <t>SW-100775</t>
  </si>
  <si>
    <t>SW-100776</t>
  </si>
  <si>
    <t>SW-100777</t>
  </si>
  <si>
    <t>SW-100778</t>
  </si>
  <si>
    <t>SW-100779</t>
  </si>
  <si>
    <t>SW-100780</t>
  </si>
  <si>
    <t>SW-100781</t>
  </si>
  <si>
    <t>SW-100782</t>
  </si>
  <si>
    <t>SW-100783</t>
  </si>
  <si>
    <t>SW-100784</t>
  </si>
  <si>
    <t>SW-100785</t>
  </si>
  <si>
    <t>SW-100786</t>
  </si>
  <si>
    <t>SW-100787</t>
  </si>
  <si>
    <t>SW-100788</t>
  </si>
  <si>
    <t>SW-100789</t>
  </si>
  <si>
    <t>SW-100790</t>
  </si>
  <si>
    <t>SW-100791</t>
  </si>
  <si>
    <t>SW-100792</t>
  </si>
  <si>
    <t>SW-100793</t>
  </si>
  <si>
    <t>SW-100794</t>
  </si>
  <si>
    <t>SW-100795</t>
  </si>
  <si>
    <t>SW-100796</t>
  </si>
  <si>
    <t>SW-100797</t>
  </si>
  <si>
    <t>SW-100798</t>
  </si>
  <si>
    <t>SW-100799</t>
  </si>
  <si>
    <t>SW-100800</t>
  </si>
  <si>
    <t>SW-100801</t>
  </si>
  <si>
    <t>SW-100802</t>
  </si>
  <si>
    <t>SW-100803</t>
  </si>
  <si>
    <t>SW-100804</t>
  </si>
  <si>
    <t>SW-100805</t>
  </si>
  <si>
    <t>SW-100806</t>
  </si>
  <si>
    <t>SW-100807</t>
  </si>
  <si>
    <t>SW-100808</t>
  </si>
  <si>
    <t>SW-100809</t>
  </si>
  <si>
    <t>SW-100810</t>
  </si>
  <si>
    <t>SW-100811</t>
  </si>
  <si>
    <t>SW-100812</t>
  </si>
  <si>
    <t>SW-100813</t>
  </si>
  <si>
    <t>SW-100814</t>
  </si>
  <si>
    <t>SW-100815</t>
  </si>
  <si>
    <t>SW-100816</t>
  </si>
  <si>
    <t>SW-100817</t>
  </si>
  <si>
    <t>SW-100818</t>
  </si>
  <si>
    <t>SW-100819</t>
  </si>
  <si>
    <t>SW-100820</t>
  </si>
  <si>
    <t>SW-100821</t>
  </si>
  <si>
    <t>SW-100822</t>
  </si>
  <si>
    <t>SW-100823</t>
  </si>
  <si>
    <t>SW-100824</t>
  </si>
  <si>
    <t>SW-100825</t>
  </si>
  <si>
    <t>SW-100826</t>
  </si>
  <si>
    <t>SW-100827</t>
  </si>
  <si>
    <t>SW-100828</t>
  </si>
  <si>
    <t>SW-100829</t>
  </si>
  <si>
    <t>SW-100830</t>
  </si>
  <si>
    <t>SW-100831</t>
  </si>
  <si>
    <t>SW-100832</t>
  </si>
  <si>
    <t>SW-100833</t>
  </si>
  <si>
    <t>SW-100834</t>
  </si>
  <si>
    <t>SW-100835</t>
  </si>
  <si>
    <t>SW-100836</t>
  </si>
  <si>
    <t>SW-100837</t>
  </si>
  <si>
    <t>SW-100838</t>
  </si>
  <si>
    <t>SW-100839</t>
  </si>
  <si>
    <t>SW-100840</t>
  </si>
  <si>
    <t>SW-100841</t>
  </si>
  <si>
    <t>SW-100842</t>
  </si>
  <si>
    <t>SW-100843</t>
  </si>
  <si>
    <t>SW-100844</t>
  </si>
  <si>
    <t>SW-100845</t>
  </si>
  <si>
    <t>SW-100846</t>
  </si>
  <si>
    <t>SW-100847</t>
  </si>
  <si>
    <t>SW-100848</t>
  </si>
  <si>
    <t>SW-100849</t>
  </si>
  <si>
    <t>SW-100850</t>
  </si>
  <si>
    <t>SW-100851</t>
  </si>
  <si>
    <t>SW-100852</t>
  </si>
  <si>
    <t>SW-100853</t>
  </si>
  <si>
    <t>SW-100854</t>
  </si>
  <si>
    <t>SW-100855</t>
  </si>
  <si>
    <t>SW-100856</t>
  </si>
  <si>
    <t>SW-100857</t>
  </si>
  <si>
    <t>SW-100858</t>
  </si>
  <si>
    <t>SW-100859</t>
  </si>
  <si>
    <t>SW-100860</t>
  </si>
  <si>
    <t>SW-100861</t>
  </si>
  <si>
    <t>SW-100862</t>
  </si>
  <si>
    <t>SW-100863</t>
  </si>
  <si>
    <t>SW-100864</t>
  </si>
  <si>
    <t>SW-100865</t>
  </si>
  <si>
    <t>SW-100866</t>
  </si>
  <si>
    <t>SW-100867</t>
  </si>
  <si>
    <t>SW-100868</t>
  </si>
  <si>
    <t>SW-100869</t>
  </si>
  <si>
    <t>SW-100870</t>
  </si>
  <si>
    <t>SW-100871</t>
  </si>
  <si>
    <t>SW-100872</t>
  </si>
  <si>
    <t>SW-100873</t>
  </si>
  <si>
    <t>SW-100874</t>
  </si>
  <si>
    <t>SW-100875</t>
  </si>
  <si>
    <t>SW-100876</t>
  </si>
  <si>
    <t>SW-100877</t>
  </si>
  <si>
    <t>SW-100878</t>
  </si>
  <si>
    <t>SW-100879</t>
  </si>
  <si>
    <t>SW-100880</t>
  </si>
  <si>
    <t>SW-100881</t>
  </si>
  <si>
    <t>SW-100882</t>
  </si>
  <si>
    <t>SW-100883</t>
  </si>
  <si>
    <t>SW-100884</t>
  </si>
  <si>
    <t>SW-100885</t>
  </si>
  <si>
    <t>SW-100886</t>
  </si>
  <si>
    <t>SW-100887</t>
  </si>
  <si>
    <t>SW-100888</t>
  </si>
  <si>
    <t>SW-100889</t>
  </si>
  <si>
    <t>SW-100890</t>
  </si>
  <si>
    <t>SW-100891</t>
  </si>
  <si>
    <t>SW-100892</t>
  </si>
  <si>
    <t>SW-100893</t>
  </si>
  <si>
    <t>SW-100894</t>
  </si>
  <si>
    <t>SW-100895</t>
  </si>
  <si>
    <t>SW-100896</t>
  </si>
  <si>
    <t>SW-100897</t>
  </si>
  <si>
    <t>SW-100898</t>
  </si>
  <si>
    <t>SW-100899</t>
  </si>
  <si>
    <t>SW-100900</t>
  </si>
  <si>
    <t>SW-100901</t>
  </si>
  <si>
    <t>SW-100902</t>
  </si>
  <si>
    <t>SW-100903</t>
  </si>
  <si>
    <t>SW-100904</t>
  </si>
  <si>
    <t>SW-100905</t>
  </si>
  <si>
    <t>SW-100906</t>
  </si>
  <si>
    <t>SW-100907</t>
  </si>
  <si>
    <t>SW-100908</t>
  </si>
  <si>
    <t>SW-100909</t>
  </si>
  <si>
    <t>SW-100910</t>
  </si>
  <si>
    <t>SW-100911</t>
  </si>
  <si>
    <t>SW-100912</t>
  </si>
  <si>
    <t>SW-100913</t>
  </si>
  <si>
    <t>SW-100914</t>
  </si>
  <si>
    <t>SW-100915</t>
  </si>
  <si>
    <t>SW-100916</t>
  </si>
  <si>
    <t>SW-100917</t>
  </si>
  <si>
    <t>SW-100918</t>
  </si>
  <si>
    <t>SW-100919</t>
  </si>
  <si>
    <t>Jun</t>
  </si>
  <si>
    <t>SW-100920</t>
  </si>
  <si>
    <t>SW-100921</t>
  </si>
  <si>
    <t>SW-100922</t>
  </si>
  <si>
    <t>SW-100923</t>
  </si>
  <si>
    <t>SW-100924</t>
  </si>
  <si>
    <t>SW-100925</t>
  </si>
  <si>
    <t>SW-100926</t>
  </si>
  <si>
    <t>SW-100927</t>
  </si>
  <si>
    <t>SW-100928</t>
  </si>
  <si>
    <t>SW-100929</t>
  </si>
  <si>
    <t>SW-100930</t>
  </si>
  <si>
    <t>SW-100931</t>
  </si>
  <si>
    <t>SW-100932</t>
  </si>
  <si>
    <t>SW-100933</t>
  </si>
  <si>
    <t>SW-100934</t>
  </si>
  <si>
    <t>SW-100935</t>
  </si>
  <si>
    <t>SW-100936</t>
  </si>
  <si>
    <t>SW-100937</t>
  </si>
  <si>
    <t>SW-100938</t>
  </si>
  <si>
    <t>SW-100939</t>
  </si>
  <si>
    <t>SW-100940</t>
  </si>
  <si>
    <t>SW-100941</t>
  </si>
  <si>
    <t>SW-100942</t>
  </si>
  <si>
    <t>SW-100943</t>
  </si>
  <si>
    <t>SW-100944</t>
  </si>
  <si>
    <t>SW-100945</t>
  </si>
  <si>
    <t>SW-100946</t>
  </si>
  <si>
    <t>SW-100947</t>
  </si>
  <si>
    <t>SW-100948</t>
  </si>
  <si>
    <t>SW-100949</t>
  </si>
  <si>
    <t>SW-100950</t>
  </si>
  <si>
    <t>SW-100951</t>
  </si>
  <si>
    <t>SW-100952</t>
  </si>
  <si>
    <t>SW-100953</t>
  </si>
  <si>
    <t>SW-100954</t>
  </si>
  <si>
    <t>SW-100955</t>
  </si>
  <si>
    <t>SW-100956</t>
  </si>
  <si>
    <t>SW-100957</t>
  </si>
  <si>
    <t>SW-100958</t>
  </si>
  <si>
    <t>SW-100959</t>
  </si>
  <si>
    <t>SW-100960</t>
  </si>
  <si>
    <t>SW-100961</t>
  </si>
  <si>
    <t>SW-100962</t>
  </si>
  <si>
    <t>SW-100963</t>
  </si>
  <si>
    <t>SW-100964</t>
  </si>
  <si>
    <t>SW-100965</t>
  </si>
  <si>
    <t>SW-100966</t>
  </si>
  <si>
    <t>SW-100967</t>
  </si>
  <si>
    <t>SW-100968</t>
  </si>
  <si>
    <t>SW-100969</t>
  </si>
  <si>
    <t>SW-100970</t>
  </si>
  <si>
    <t>SW-100971</t>
  </si>
  <si>
    <t>SW-100972</t>
  </si>
  <si>
    <t>SW-100973</t>
  </si>
  <si>
    <t>SW-100974</t>
  </si>
  <si>
    <t>SW-100975</t>
  </si>
  <si>
    <t>SW-100976</t>
  </si>
  <si>
    <t>SW-100977</t>
  </si>
  <si>
    <t>SW-100978</t>
  </si>
  <si>
    <t>SW-100979</t>
  </si>
  <si>
    <t>SW-100980</t>
  </si>
  <si>
    <t>SW-100981</t>
  </si>
  <si>
    <t>SW-100982</t>
  </si>
  <si>
    <t>SW-100983</t>
  </si>
  <si>
    <t>SW-100984</t>
  </si>
  <si>
    <t>SW-100985</t>
  </si>
  <si>
    <t>SW-100986</t>
  </si>
  <si>
    <t>SW-100987</t>
  </si>
  <si>
    <t>SW-100988</t>
  </si>
  <si>
    <t>SW-100989</t>
  </si>
  <si>
    <t>SW-100990</t>
  </si>
  <si>
    <t>SW-100991</t>
  </si>
  <si>
    <t>SW-100992</t>
  </si>
  <si>
    <t>SW-100993</t>
  </si>
  <si>
    <t>SW-100994</t>
  </si>
  <si>
    <t>SW-100995</t>
  </si>
  <si>
    <t>SW-100996</t>
  </si>
  <si>
    <t>SW-100997</t>
  </si>
  <si>
    <t>SW-100998</t>
  </si>
  <si>
    <t>SW-100999</t>
  </si>
  <si>
    <t>SW-101000</t>
  </si>
  <si>
    <t>SW-101001</t>
  </si>
  <si>
    <t>SW-101002</t>
  </si>
  <si>
    <t>SW-101003</t>
  </si>
  <si>
    <t>SW-101004</t>
  </si>
  <si>
    <t>SW-101005</t>
  </si>
  <si>
    <t>SW-101006</t>
  </si>
  <si>
    <t>SW-101007</t>
  </si>
  <si>
    <t>SW-101008</t>
  </si>
  <si>
    <t>SW-101009</t>
  </si>
  <si>
    <t>SW-101010</t>
  </si>
  <si>
    <t>SW-101011</t>
  </si>
  <si>
    <t>SW-101012</t>
  </si>
  <si>
    <t>SW-101013</t>
  </si>
  <si>
    <t>SW-101014</t>
  </si>
  <si>
    <t>SW-101015</t>
  </si>
  <si>
    <t>SW-101016</t>
  </si>
  <si>
    <t>SW-101017</t>
  </si>
  <si>
    <t>SW-101018</t>
  </si>
  <si>
    <t>SW-101019</t>
  </si>
  <si>
    <t>SW-101020</t>
  </si>
  <si>
    <t>SW-101021</t>
  </si>
  <si>
    <t>SW-101022</t>
  </si>
  <si>
    <t>SW-101023</t>
  </si>
  <si>
    <t>SW-101024</t>
  </si>
  <si>
    <t>SW-101025</t>
  </si>
  <si>
    <t>SW-101026</t>
  </si>
  <si>
    <t>SW-101027</t>
  </si>
  <si>
    <t>SW-101028</t>
  </si>
  <si>
    <t>SW-101029</t>
  </si>
  <si>
    <t>SW-101030</t>
  </si>
  <si>
    <t>SW-101031</t>
  </si>
  <si>
    <t>SW-101032</t>
  </si>
  <si>
    <t>SW-101033</t>
  </si>
  <si>
    <t>SW-101034</t>
  </si>
  <si>
    <t>SW-101035</t>
  </si>
  <si>
    <t>SW-101036</t>
  </si>
  <si>
    <t>SW-101037</t>
  </si>
  <si>
    <t>SW-101038</t>
  </si>
  <si>
    <t>SW-101039</t>
  </si>
  <si>
    <t>SW-101040</t>
  </si>
  <si>
    <t>SW-101041</t>
  </si>
  <si>
    <t>SW-101042</t>
  </si>
  <si>
    <t>SW-101043</t>
  </si>
  <si>
    <t>SW-101044</t>
  </si>
  <si>
    <t>SW-101045</t>
  </si>
  <si>
    <t>SW-101046</t>
  </si>
  <si>
    <t>SW-101047</t>
  </si>
  <si>
    <t>SW-101048</t>
  </si>
  <si>
    <t>SW-101049</t>
  </si>
  <si>
    <t>SW-101050</t>
  </si>
  <si>
    <t>SW-101051</t>
  </si>
  <si>
    <t>SW-101052</t>
  </si>
  <si>
    <t>SW-101053</t>
  </si>
  <si>
    <t>SW-101054</t>
  </si>
  <si>
    <t>SW-101055</t>
  </si>
  <si>
    <t>SW-101056</t>
  </si>
  <si>
    <t>SW-101057</t>
  </si>
  <si>
    <t>SW-101058</t>
  </si>
  <si>
    <t>SW-101059</t>
  </si>
  <si>
    <t>SW-101060</t>
  </si>
  <si>
    <t>SW-101061</t>
  </si>
  <si>
    <t>SW-101062</t>
  </si>
  <si>
    <t>SW-101063</t>
  </si>
  <si>
    <t>SW-101064</t>
  </si>
  <si>
    <t>SW-101065</t>
  </si>
  <si>
    <t>SW-101066</t>
  </si>
  <si>
    <t>SW-101067</t>
  </si>
  <si>
    <t>SW-101068</t>
  </si>
  <si>
    <t>SW-101069</t>
  </si>
  <si>
    <t>SW-101070</t>
  </si>
  <si>
    <t>SW-101071</t>
  </si>
  <si>
    <t>SW-101072</t>
  </si>
  <si>
    <t>SW-101073</t>
  </si>
  <si>
    <t>SW-101074</t>
  </si>
  <si>
    <t>SW-101075</t>
  </si>
  <si>
    <t>SW-101076</t>
  </si>
  <si>
    <t>SW-101077</t>
  </si>
  <si>
    <t>SW-101078</t>
  </si>
  <si>
    <t>SW-101079</t>
  </si>
  <si>
    <t>SW-101080</t>
  </si>
  <si>
    <t>SW-101081</t>
  </si>
  <si>
    <t>SW-101082</t>
  </si>
  <si>
    <t>SW-101083</t>
  </si>
  <si>
    <t>SW-101084</t>
  </si>
  <si>
    <t>SW-101085</t>
  </si>
  <si>
    <t>SW-101086</t>
  </si>
  <si>
    <t>SW-101087</t>
  </si>
  <si>
    <t>SW-101088</t>
  </si>
  <si>
    <t>SW-101089</t>
  </si>
  <si>
    <t>SW-101090</t>
  </si>
  <si>
    <t>SW-101091</t>
  </si>
  <si>
    <t>SW-101092</t>
  </si>
  <si>
    <t>SW-101093</t>
  </si>
  <si>
    <t>SW-101094</t>
  </si>
  <si>
    <t>SW-101095</t>
  </si>
  <si>
    <t>SW-101096</t>
  </si>
  <si>
    <t>SW-101097</t>
  </si>
  <si>
    <t>SW-101098</t>
  </si>
  <si>
    <t>SW-101099</t>
  </si>
  <si>
    <t>SW-101100</t>
  </si>
  <si>
    <t>SW-101101</t>
  </si>
  <si>
    <t>SW-101102</t>
  </si>
  <si>
    <t>SW-101103</t>
  </si>
  <si>
    <t>SW-101104</t>
  </si>
  <si>
    <t>SW-101105</t>
  </si>
  <si>
    <t>Q3</t>
  </si>
  <si>
    <t>Jul</t>
  </si>
  <si>
    <t>SW-101106</t>
  </si>
  <si>
    <t>SW-101107</t>
  </si>
  <si>
    <t>SW-101108</t>
  </si>
  <si>
    <t>SW-101109</t>
  </si>
  <si>
    <t>SW-101110</t>
  </si>
  <si>
    <t>SW-101111</t>
  </si>
  <si>
    <t>SW-101112</t>
  </si>
  <si>
    <t>SW-101113</t>
  </si>
  <si>
    <t>SW-101114</t>
  </si>
  <si>
    <t>SW-101115</t>
  </si>
  <si>
    <t>SW-101116</t>
  </si>
  <si>
    <t>SW-101117</t>
  </si>
  <si>
    <t>SW-101118</t>
  </si>
  <si>
    <t>SW-101119</t>
  </si>
  <si>
    <t>SW-101120</t>
  </si>
  <si>
    <t>SW-101121</t>
  </si>
  <si>
    <t>SW-101122</t>
  </si>
  <si>
    <t>SW-101123</t>
  </si>
  <si>
    <t>SW-101124</t>
  </si>
  <si>
    <t>SW-101125</t>
  </si>
  <si>
    <t>SW-101126</t>
  </si>
  <si>
    <t>SW-101127</t>
  </si>
  <si>
    <t>SW-101128</t>
  </si>
  <si>
    <t>SW-101129</t>
  </si>
  <si>
    <t>SW-101130</t>
  </si>
  <si>
    <t>SW-101131</t>
  </si>
  <si>
    <t>SW-101132</t>
  </si>
  <si>
    <t>SW-101133</t>
  </si>
  <si>
    <t>SW-101134</t>
  </si>
  <si>
    <t>SW-101135</t>
  </si>
  <si>
    <t>SW-101136</t>
  </si>
  <si>
    <t>SW-101137</t>
  </si>
  <si>
    <t>SW-101138</t>
  </si>
  <si>
    <t>SW-101139</t>
  </si>
  <si>
    <t>SW-101140</t>
  </si>
  <si>
    <t>SW-101141</t>
  </si>
  <si>
    <t>SW-101142</t>
  </si>
  <si>
    <t>SW-101143</t>
  </si>
  <si>
    <t>SW-101144</t>
  </si>
  <si>
    <t>SW-101145</t>
  </si>
  <si>
    <t>SW-101146</t>
  </si>
  <si>
    <t>SW-101147</t>
  </si>
  <si>
    <t>SW-101148</t>
  </si>
  <si>
    <t>SW-101149</t>
  </si>
  <si>
    <t>SW-101150</t>
  </si>
  <si>
    <t>SW-101151</t>
  </si>
  <si>
    <t>SW-101152</t>
  </si>
  <si>
    <t>SW-101153</t>
  </si>
  <si>
    <t>SW-101154</t>
  </si>
  <si>
    <t>SW-101155</t>
  </si>
  <si>
    <t>SW-101156</t>
  </si>
  <si>
    <t>SW-101157</t>
  </si>
  <si>
    <t>SW-101158</t>
  </si>
  <si>
    <t>SW-101159</t>
  </si>
  <si>
    <t>SW-101160</t>
  </si>
  <si>
    <t>SW-101161</t>
  </si>
  <si>
    <t>SW-101162</t>
  </si>
  <si>
    <t>SW-101163</t>
  </si>
  <si>
    <t>SW-101164</t>
  </si>
  <si>
    <t>SW-101165</t>
  </si>
  <si>
    <t>SW-101166</t>
  </si>
  <si>
    <t>SW-101167</t>
  </si>
  <si>
    <t>SW-101168</t>
  </si>
  <si>
    <t>SW-101169</t>
  </si>
  <si>
    <t>SW-101170</t>
  </si>
  <si>
    <t>SW-101171</t>
  </si>
  <si>
    <t>SW-101172</t>
  </si>
  <si>
    <t>SW-101173</t>
  </si>
  <si>
    <t>SW-101174</t>
  </si>
  <si>
    <t>SW-101175</t>
  </si>
  <si>
    <t>SW-101176</t>
  </si>
  <si>
    <t>SW-101177</t>
  </si>
  <si>
    <t>SW-101178</t>
  </si>
  <si>
    <t>SW-101179</t>
  </si>
  <si>
    <t>SW-101180</t>
  </si>
  <si>
    <t>SW-101181</t>
  </si>
  <si>
    <t>SW-101182</t>
  </si>
  <si>
    <t>SW-101183</t>
  </si>
  <si>
    <t>SW-101184</t>
  </si>
  <si>
    <t>SW-101185</t>
  </si>
  <si>
    <t>SW-101186</t>
  </si>
  <si>
    <t>SW-101187</t>
  </si>
  <si>
    <t>SW-101188</t>
  </si>
  <si>
    <t>SW-101189</t>
  </si>
  <si>
    <t>SW-101190</t>
  </si>
  <si>
    <t>SW-101191</t>
  </si>
  <si>
    <t>SW-101192</t>
  </si>
  <si>
    <t>SW-101193</t>
  </si>
  <si>
    <t>SW-101194</t>
  </si>
  <si>
    <t>SW-101195</t>
  </si>
  <si>
    <t>SW-101196</t>
  </si>
  <si>
    <t>SW-101197</t>
  </si>
  <si>
    <t>SW-101198</t>
  </si>
  <si>
    <t>SW-101199</t>
  </si>
  <si>
    <t>SW-101200</t>
  </si>
  <si>
    <t>SW-101201</t>
  </si>
  <si>
    <t>SW-101202</t>
  </si>
  <si>
    <t>SW-101203</t>
  </si>
  <si>
    <t>SW-101204</t>
  </si>
  <si>
    <t>SW-101205</t>
  </si>
  <si>
    <t>SW-101206</t>
  </si>
  <si>
    <t>SW-101207</t>
  </si>
  <si>
    <t>SW-101208</t>
  </si>
  <si>
    <t>SW-101209</t>
  </si>
  <si>
    <t>SW-101210</t>
  </si>
  <si>
    <t>SW-101211</t>
  </si>
  <si>
    <t>SW-101212</t>
  </si>
  <si>
    <t>SW-101213</t>
  </si>
  <si>
    <t>SW-101214</t>
  </si>
  <si>
    <t>SW-101215</t>
  </si>
  <si>
    <t>SW-101216</t>
  </si>
  <si>
    <t>SW-101217</t>
  </si>
  <si>
    <t>SW-101218</t>
  </si>
  <si>
    <t>SW-101219</t>
  </si>
  <si>
    <t>SW-101220</t>
  </si>
  <si>
    <t>SW-101221</t>
  </si>
  <si>
    <t>SW-101222</t>
  </si>
  <si>
    <t>SW-101223</t>
  </si>
  <si>
    <t>SW-101224</t>
  </si>
  <si>
    <t>SW-101225</t>
  </si>
  <si>
    <t>SW-101226</t>
  </si>
  <si>
    <t>SW-101227</t>
  </si>
  <si>
    <t>SW-101228</t>
  </si>
  <si>
    <t>SW-101229</t>
  </si>
  <si>
    <t>SW-101230</t>
  </si>
  <si>
    <t>SW-101231</t>
  </si>
  <si>
    <t>SW-101232</t>
  </si>
  <si>
    <t>SW-101233</t>
  </si>
  <si>
    <t>SW-101234</t>
  </si>
  <si>
    <t>SW-101235</t>
  </si>
  <si>
    <t>SW-101236</t>
  </si>
  <si>
    <t>SW-101237</t>
  </si>
  <si>
    <t>SW-101238</t>
  </si>
  <si>
    <t>SW-101239</t>
  </si>
  <si>
    <t>SW-101240</t>
  </si>
  <si>
    <t>SW-101241</t>
  </si>
  <si>
    <t>SW-101242</t>
  </si>
  <si>
    <t>SW-101243</t>
  </si>
  <si>
    <t>SW-101244</t>
  </si>
  <si>
    <t>SW-101245</t>
  </si>
  <si>
    <t>SW-101246</t>
  </si>
  <si>
    <t>SW-101247</t>
  </si>
  <si>
    <t>SW-101248</t>
  </si>
  <si>
    <t>SW-101249</t>
  </si>
  <si>
    <t>SW-101250</t>
  </si>
  <si>
    <t>SW-101251</t>
  </si>
  <si>
    <t>SW-101252</t>
  </si>
  <si>
    <t>SW-101253</t>
  </si>
  <si>
    <t>SW-101254</t>
  </si>
  <si>
    <t>SW-101255</t>
  </si>
  <si>
    <t>SW-101256</t>
  </si>
  <si>
    <t>SW-101257</t>
  </si>
  <si>
    <t>SW-101258</t>
  </si>
  <si>
    <t>SW-101259</t>
  </si>
  <si>
    <t>SW-101260</t>
  </si>
  <si>
    <t>SW-101261</t>
  </si>
  <si>
    <t>SW-101262</t>
  </si>
  <si>
    <t>SW-101263</t>
  </si>
  <si>
    <t>SW-101264</t>
  </si>
  <si>
    <t>SW-101265</t>
  </si>
  <si>
    <t>SW-101266</t>
  </si>
  <si>
    <t>SW-101267</t>
  </si>
  <si>
    <t>SW-101268</t>
  </si>
  <si>
    <t>SW-101269</t>
  </si>
  <si>
    <t>SW-101270</t>
  </si>
  <si>
    <t>SW-101271</t>
  </si>
  <si>
    <t>SW-101272</t>
  </si>
  <si>
    <t>Aug</t>
  </si>
  <si>
    <t>SW-101273</t>
  </si>
  <si>
    <t>SW-101274</t>
  </si>
  <si>
    <t>SW-101275</t>
  </si>
  <si>
    <t>SW-101276</t>
  </si>
  <si>
    <t>SW-101277</t>
  </si>
  <si>
    <t>SW-101278</t>
  </si>
  <si>
    <t>SW-101279</t>
  </si>
  <si>
    <t>SW-101280</t>
  </si>
  <si>
    <t>SW-101281</t>
  </si>
  <si>
    <t>SW-101282</t>
  </si>
  <si>
    <t>SW-101283</t>
  </si>
  <si>
    <t>SW-101284</t>
  </si>
  <si>
    <t>SW-101285</t>
  </si>
  <si>
    <t>SW-101286</t>
  </si>
  <si>
    <t>SW-101287</t>
  </si>
  <si>
    <t>SW-101288</t>
  </si>
  <si>
    <t>SW-101289</t>
  </si>
  <si>
    <t>SW-101290</t>
  </si>
  <si>
    <t>SW-101291</t>
  </si>
  <si>
    <t>SW-101292</t>
  </si>
  <si>
    <t>SW-101293</t>
  </si>
  <si>
    <t>SW-101294</t>
  </si>
  <si>
    <t>SW-101295</t>
  </si>
  <si>
    <t>SW-101296</t>
  </si>
  <si>
    <t>SW-101297</t>
  </si>
  <si>
    <t>SW-101298</t>
  </si>
  <si>
    <t>SW-101299</t>
  </si>
  <si>
    <t>SW-101300</t>
  </si>
  <si>
    <t>SW-101301</t>
  </si>
  <si>
    <t>SW-101302</t>
  </si>
  <si>
    <t>SW-101303</t>
  </si>
  <si>
    <t>SW-101304</t>
  </si>
  <si>
    <t>SW-101305</t>
  </si>
  <si>
    <t>SW-101306</t>
  </si>
  <si>
    <t>SW-101307</t>
  </si>
  <si>
    <t>SW-101308</t>
  </si>
  <si>
    <t>SW-101309</t>
  </si>
  <si>
    <t>SW-101310</t>
  </si>
  <si>
    <t>SW-101311</t>
  </si>
  <si>
    <t>SW-101312</t>
  </si>
  <si>
    <t>SW-101313</t>
  </si>
  <si>
    <t>SW-101314</t>
  </si>
  <si>
    <t>SW-101315</t>
  </si>
  <si>
    <t>SW-101316</t>
  </si>
  <si>
    <t>SW-101317</t>
  </si>
  <si>
    <t>SW-101318</t>
  </si>
  <si>
    <t>SW-101319</t>
  </si>
  <si>
    <t>SW-101320</t>
  </si>
  <si>
    <t>SW-101321</t>
  </si>
  <si>
    <t>SW-101322</t>
  </si>
  <si>
    <t>SW-101323</t>
  </si>
  <si>
    <t>SW-101324</t>
  </si>
  <si>
    <t>SW-101325</t>
  </si>
  <si>
    <t>SW-101326</t>
  </si>
  <si>
    <t>SW-101327</t>
  </si>
  <si>
    <t>SW-101328</t>
  </si>
  <si>
    <t>SW-101329</t>
  </si>
  <si>
    <t>SW-101330</t>
  </si>
  <si>
    <t>SW-101331</t>
  </si>
  <si>
    <t>SW-101332</t>
  </si>
  <si>
    <t>SW-101333</t>
  </si>
  <si>
    <t>SW-101334</t>
  </si>
  <si>
    <t>SW-101335</t>
  </si>
  <si>
    <t>SW-101336</t>
  </si>
  <si>
    <t>SW-101337</t>
  </si>
  <si>
    <t>SW-101338</t>
  </si>
  <si>
    <t>SW-101339</t>
  </si>
  <si>
    <t>SW-101340</t>
  </si>
  <si>
    <t>SW-101341</t>
  </si>
  <si>
    <t>SW-101342</t>
  </si>
  <si>
    <t>SW-101343</t>
  </si>
  <si>
    <t>SW-101344</t>
  </si>
  <si>
    <t>SW-101345</t>
  </si>
  <si>
    <t>SW-101346</t>
  </si>
  <si>
    <t>SW-101347</t>
  </si>
  <si>
    <t>SW-101348</t>
  </si>
  <si>
    <t>SW-101349</t>
  </si>
  <si>
    <t>SW-101350</t>
  </si>
  <si>
    <t>SW-101351</t>
  </si>
  <si>
    <t>SW-101352</t>
  </si>
  <si>
    <t>SW-101353</t>
  </si>
  <si>
    <t>SW-101354</t>
  </si>
  <si>
    <t>SW-101355</t>
  </si>
  <si>
    <t>SW-101356</t>
  </si>
  <si>
    <t>SW-101357</t>
  </si>
  <si>
    <t>SW-101358</t>
  </si>
  <si>
    <t>SW-101359</t>
  </si>
  <si>
    <t>SW-101360</t>
  </si>
  <si>
    <t>SW-101361</t>
  </si>
  <si>
    <t>SW-101362</t>
  </si>
  <si>
    <t>SW-101363</t>
  </si>
  <si>
    <t>SW-101364</t>
  </si>
  <si>
    <t>SW-101365</t>
  </si>
  <si>
    <t>SW-101366</t>
  </si>
  <si>
    <t>SW-101367</t>
  </si>
  <si>
    <t>SW-101368</t>
  </si>
  <si>
    <t>SW-101369</t>
  </si>
  <si>
    <t>SW-101370</t>
  </si>
  <si>
    <t>SW-101371</t>
  </si>
  <si>
    <t>SW-101372</t>
  </si>
  <si>
    <t>SW-101373</t>
  </si>
  <si>
    <t>SW-101374</t>
  </si>
  <si>
    <t>SW-101375</t>
  </si>
  <si>
    <t>SW-101376</t>
  </si>
  <si>
    <t>SW-101377</t>
  </si>
  <si>
    <t>SW-101378</t>
  </si>
  <si>
    <t>SW-101379</t>
  </si>
  <si>
    <t>SW-101380</t>
  </si>
  <si>
    <t>SW-101381</t>
  </si>
  <si>
    <t>SW-101382</t>
  </si>
  <si>
    <t>SW-101383</t>
  </si>
  <si>
    <t>SW-101384</t>
  </si>
  <si>
    <t>SW-101385</t>
  </si>
  <si>
    <t>SW-101386</t>
  </si>
  <si>
    <t>SW-101387</t>
  </si>
  <si>
    <t>SW-101388</t>
  </si>
  <si>
    <t>SW-101389</t>
  </si>
  <si>
    <t>SW-101390</t>
  </si>
  <si>
    <t>SW-101391</t>
  </si>
  <si>
    <t>SW-101392</t>
  </si>
  <si>
    <t>SW-101393</t>
  </si>
  <si>
    <t>SW-101394</t>
  </si>
  <si>
    <t>SW-101395</t>
  </si>
  <si>
    <t>SW-101396</t>
  </si>
  <si>
    <t>SW-101397</t>
  </si>
  <si>
    <t>SW-101398</t>
  </si>
  <si>
    <t>SW-101399</t>
  </si>
  <si>
    <t>SW-101400</t>
  </si>
  <si>
    <t>SW-101401</t>
  </si>
  <si>
    <t>SW-101402</t>
  </si>
  <si>
    <t>SW-101403</t>
  </si>
  <si>
    <t>SW-101404</t>
  </si>
  <si>
    <t>SW-101405</t>
  </si>
  <si>
    <t>SW-101406</t>
  </si>
  <si>
    <t>SW-101407</t>
  </si>
  <si>
    <t>SW-101408</t>
  </si>
  <si>
    <t>SW-101409</t>
  </si>
  <si>
    <t>SW-101410</t>
  </si>
  <si>
    <t>SW-101411</t>
  </si>
  <si>
    <t>SW-101412</t>
  </si>
  <si>
    <t>SW-101413</t>
  </si>
  <si>
    <t>SW-101414</t>
  </si>
  <si>
    <t>SW-101415</t>
  </si>
  <si>
    <t>SW-101416</t>
  </si>
  <si>
    <t>SW-101417</t>
  </si>
  <si>
    <t>SW-101418</t>
  </si>
  <si>
    <t>SW-101419</t>
  </si>
  <si>
    <t>SW-101420</t>
  </si>
  <si>
    <t>SW-101421</t>
  </si>
  <si>
    <t>SW-101422</t>
  </si>
  <si>
    <t>SW-101423</t>
  </si>
  <si>
    <t>SW-101424</t>
  </si>
  <si>
    <t>SW-101425</t>
  </si>
  <si>
    <t>SW-101426</t>
  </si>
  <si>
    <t>SW-101427</t>
  </si>
  <si>
    <t>SW-101428</t>
  </si>
  <si>
    <t>SW-101429</t>
  </si>
  <si>
    <t>SW-101430</t>
  </si>
  <si>
    <t>SW-101431</t>
  </si>
  <si>
    <t>SW-101432</t>
  </si>
  <si>
    <t>SW-101433</t>
  </si>
  <si>
    <t>SW-101434</t>
  </si>
  <si>
    <t>SW-101435</t>
  </si>
  <si>
    <t>SW-101436</t>
  </si>
  <si>
    <t>SW-101437</t>
  </si>
  <si>
    <t>SW-101438</t>
  </si>
  <si>
    <t>SW-101439</t>
  </si>
  <si>
    <t>SW-101440</t>
  </si>
  <si>
    <t>SW-101441</t>
  </si>
  <si>
    <t>SW-101442</t>
  </si>
  <si>
    <t>SW-101443</t>
  </si>
  <si>
    <t>SW-101444</t>
  </si>
  <si>
    <t>SW-101445</t>
  </si>
  <si>
    <t>SW-101446</t>
  </si>
  <si>
    <t>SW-101447</t>
  </si>
  <si>
    <t>SW-101448</t>
  </si>
  <si>
    <t>SW-101449</t>
  </si>
  <si>
    <t>SW-101450</t>
  </si>
  <si>
    <t>SW-101451</t>
  </si>
  <si>
    <t>SW-101452</t>
  </si>
  <si>
    <t>SW-101453</t>
  </si>
  <si>
    <t>SW-101454</t>
  </si>
  <si>
    <t>SW-101455</t>
  </si>
  <si>
    <t>SW-101456</t>
  </si>
  <si>
    <t>SW-101457</t>
  </si>
  <si>
    <t>SW-101458</t>
  </si>
  <si>
    <t>Sep</t>
  </si>
  <si>
    <t>SW-101459</t>
  </si>
  <si>
    <t>SW-101460</t>
  </si>
  <si>
    <t>SW-101461</t>
  </si>
  <si>
    <t>SW-101462</t>
  </si>
  <si>
    <t>SW-101463</t>
  </si>
  <si>
    <t>SW-101464</t>
  </si>
  <si>
    <t>SW-101465</t>
  </si>
  <si>
    <t>SW-101466</t>
  </si>
  <si>
    <t>SW-101467</t>
  </si>
  <si>
    <t>SW-101468</t>
  </si>
  <si>
    <t>SW-101469</t>
  </si>
  <si>
    <t>SW-101470</t>
  </si>
  <si>
    <t>SW-101471</t>
  </si>
  <si>
    <t>SW-101472</t>
  </si>
  <si>
    <t>SW-101473</t>
  </si>
  <si>
    <t>SW-101474</t>
  </si>
  <si>
    <t>SW-101475</t>
  </si>
  <si>
    <t>SW-101476</t>
  </si>
  <si>
    <t>SW-101477</t>
  </si>
  <si>
    <t>SW-101478</t>
  </si>
  <si>
    <t>SW-101479</t>
  </si>
  <si>
    <t>SW-101480</t>
  </si>
  <si>
    <t>SW-101481</t>
  </si>
  <si>
    <t>SW-101482</t>
  </si>
  <si>
    <t>SW-101483</t>
  </si>
  <si>
    <t>SW-101484</t>
  </si>
  <si>
    <t>SW-101485</t>
  </si>
  <si>
    <t>SW-101486</t>
  </si>
  <si>
    <t>SW-101487</t>
  </si>
  <si>
    <t>SW-101488</t>
  </si>
  <si>
    <t>SW-101489</t>
  </si>
  <si>
    <t>SW-101490</t>
  </si>
  <si>
    <t>SW-101491</t>
  </si>
  <si>
    <t>SW-101492</t>
  </si>
  <si>
    <t>SW-101493</t>
  </si>
  <si>
    <t>SW-101494</t>
  </si>
  <si>
    <t>SW-101495</t>
  </si>
  <si>
    <t>SW-101496</t>
  </si>
  <si>
    <t>SW-101497</t>
  </si>
  <si>
    <t>SW-101498</t>
  </si>
  <si>
    <t>SW-101499</t>
  </si>
  <si>
    <t>SW-101500</t>
  </si>
  <si>
    <t>SW-101501</t>
  </si>
  <si>
    <t>SW-101502</t>
  </si>
  <si>
    <t>SW-101503</t>
  </si>
  <si>
    <t>SW-101504</t>
  </si>
  <si>
    <t>SW-101505</t>
  </si>
  <si>
    <t>SW-101506</t>
  </si>
  <si>
    <t>SW-101507</t>
  </si>
  <si>
    <t>SW-101508</t>
  </si>
  <si>
    <t>SW-101509</t>
  </si>
  <si>
    <t>SW-101510</t>
  </si>
  <si>
    <t>SW-101511</t>
  </si>
  <si>
    <t>SW-101512</t>
  </si>
  <si>
    <t>SW-101513</t>
  </si>
  <si>
    <t>SW-101514</t>
  </si>
  <si>
    <t>SW-101515</t>
  </si>
  <si>
    <t>SW-101516</t>
  </si>
  <si>
    <t>SW-101517</t>
  </si>
  <si>
    <t>SW-101518</t>
  </si>
  <si>
    <t>SW-101519</t>
  </si>
  <si>
    <t>SW-101520</t>
  </si>
  <si>
    <t>SW-101521</t>
  </si>
  <si>
    <t>SW-101522</t>
  </si>
  <si>
    <t>SW-101523</t>
  </si>
  <si>
    <t>SW-101524</t>
  </si>
  <si>
    <t>SW-101525</t>
  </si>
  <si>
    <t>SW-101526</t>
  </si>
  <si>
    <t>SW-101527</t>
  </si>
  <si>
    <t>SW-101528</t>
  </si>
  <si>
    <t>SW-101529</t>
  </si>
  <si>
    <t>SW-101530</t>
  </si>
  <si>
    <t>SW-101531</t>
  </si>
  <si>
    <t>SW-101532</t>
  </si>
  <si>
    <t>SW-101533</t>
  </si>
  <si>
    <t>SW-101534</t>
  </si>
  <si>
    <t>SW-101535</t>
  </si>
  <si>
    <t>SW-101536</t>
  </si>
  <si>
    <t>SW-101537</t>
  </si>
  <si>
    <t>SW-101538</t>
  </si>
  <si>
    <t>SW-101539</t>
  </si>
  <si>
    <t>SW-101540</t>
  </si>
  <si>
    <t>SW-101541</t>
  </si>
  <si>
    <t>SW-101542</t>
  </si>
  <si>
    <t>SW-101543</t>
  </si>
  <si>
    <t>SW-101544</t>
  </si>
  <si>
    <t>SW-101545</t>
  </si>
  <si>
    <t>SW-101546</t>
  </si>
  <si>
    <t>SW-101547</t>
  </si>
  <si>
    <t>SW-101548</t>
  </si>
  <si>
    <t>SW-101549</t>
  </si>
  <si>
    <t>SW-101550</t>
  </si>
  <si>
    <t>SW-101551</t>
  </si>
  <si>
    <t>SW-101552</t>
  </si>
  <si>
    <t>SW-101553</t>
  </si>
  <si>
    <t>SW-101554</t>
  </si>
  <si>
    <t>SW-101555</t>
  </si>
  <si>
    <t>SW-101556</t>
  </si>
  <si>
    <t>SW-101557</t>
  </si>
  <si>
    <t>SW-101558</t>
  </si>
  <si>
    <t>SW-101559</t>
  </si>
  <si>
    <t>SW-101560</t>
  </si>
  <si>
    <t>SW-101561</t>
  </si>
  <si>
    <t>SW-101562</t>
  </si>
  <si>
    <t>SW-101563</t>
  </si>
  <si>
    <t>SW-101564</t>
  </si>
  <si>
    <t>SW-101565</t>
  </si>
  <si>
    <t>SW-101566</t>
  </si>
  <si>
    <t>SW-101567</t>
  </si>
  <si>
    <t>SW-101568</t>
  </si>
  <si>
    <t>SW-101569</t>
  </si>
  <si>
    <t>SW-101570</t>
  </si>
  <si>
    <t>SW-101571</t>
  </si>
  <si>
    <t>SW-101572</t>
  </si>
  <si>
    <t>SW-101573</t>
  </si>
  <si>
    <t>SW-101574</t>
  </si>
  <si>
    <t>SW-101575</t>
  </si>
  <si>
    <t>SW-101576</t>
  </si>
  <si>
    <t>SW-101577</t>
  </si>
  <si>
    <t>SW-101578</t>
  </si>
  <si>
    <t>SW-101579</t>
  </si>
  <si>
    <t>SW-101580</t>
  </si>
  <si>
    <t>SW-101581</t>
  </si>
  <si>
    <t>SW-101582</t>
  </si>
  <si>
    <t>SW-101583</t>
  </si>
  <si>
    <t>SW-101584</t>
  </si>
  <si>
    <t>SW-101585</t>
  </si>
  <si>
    <t>SW-101586</t>
  </si>
  <si>
    <t>SW-101587</t>
  </si>
  <si>
    <t>SW-101588</t>
  </si>
  <si>
    <t>SW-101589</t>
  </si>
  <si>
    <t>SW-101590</t>
  </si>
  <si>
    <t>SW-101591</t>
  </si>
  <si>
    <t>SW-101592</t>
  </si>
  <si>
    <t>SW-101593</t>
  </si>
  <si>
    <t>SW-101594</t>
  </si>
  <si>
    <t>SW-101595</t>
  </si>
  <si>
    <t>SW-101596</t>
  </si>
  <si>
    <t>SW-101597</t>
  </si>
  <si>
    <t>SW-101598</t>
  </si>
  <si>
    <t>SW-101599</t>
  </si>
  <si>
    <t>SW-101600</t>
  </si>
  <si>
    <t>SW-101601</t>
  </si>
  <si>
    <t>SW-101602</t>
  </si>
  <si>
    <t>SW-101603</t>
  </si>
  <si>
    <t>SW-101604</t>
  </si>
  <si>
    <t>SW-101605</t>
  </si>
  <si>
    <t>SW-101606</t>
  </si>
  <si>
    <t>SW-101607</t>
  </si>
  <si>
    <t>SW-101608</t>
  </si>
  <si>
    <t>SW-101609</t>
  </si>
  <si>
    <t>SW-101610</t>
  </si>
  <si>
    <t>SW-101611</t>
  </si>
  <si>
    <t>SW-101612</t>
  </si>
  <si>
    <t>SW-101613</t>
  </si>
  <si>
    <t>SW-101614</t>
  </si>
  <si>
    <t>SW-101615</t>
  </si>
  <si>
    <t>SW-101616</t>
  </si>
  <si>
    <t>SW-101617</t>
  </si>
  <si>
    <t>SW-101618</t>
  </si>
  <si>
    <t>SW-101619</t>
  </si>
  <si>
    <t>SW-101620</t>
  </si>
  <si>
    <t>SW-101621</t>
  </si>
  <si>
    <t>SW-101622</t>
  </si>
  <si>
    <t>SW-101623</t>
  </si>
  <si>
    <t>SW-101624</t>
  </si>
  <si>
    <t>SW-101625</t>
  </si>
  <si>
    <t>SW-101626</t>
  </si>
  <si>
    <t>SW-101627</t>
  </si>
  <si>
    <t>SW-101628</t>
  </si>
  <si>
    <t>SW-101629</t>
  </si>
  <si>
    <t>SW-101630</t>
  </si>
  <si>
    <t>SW-101631</t>
  </si>
  <si>
    <t>SW-101632</t>
  </si>
  <si>
    <t>SW-101633</t>
  </si>
  <si>
    <t>SW-101634</t>
  </si>
  <si>
    <t>SW-101635</t>
  </si>
  <si>
    <t>SW-101636</t>
  </si>
  <si>
    <t>SW-101637</t>
  </si>
  <si>
    <t>SW-101638</t>
  </si>
  <si>
    <t>SW-101639</t>
  </si>
  <si>
    <t>SW-101640</t>
  </si>
  <si>
    <t>SW-101641</t>
  </si>
  <si>
    <t>SW-101642</t>
  </si>
  <si>
    <t>SW-101643</t>
  </si>
  <si>
    <t>SW-101644</t>
  </si>
  <si>
    <t>SW-101645</t>
  </si>
  <si>
    <t>SW-101646</t>
  </si>
  <si>
    <t>SW-101647</t>
  </si>
  <si>
    <t>SW-101648</t>
  </si>
  <si>
    <t>SW-101649</t>
  </si>
  <si>
    <t>SW-101650</t>
  </si>
  <si>
    <t>SW-101651</t>
  </si>
  <si>
    <t>SW-101652</t>
  </si>
  <si>
    <t>Q4</t>
  </si>
  <si>
    <t>Oct</t>
  </si>
  <si>
    <t>SW-101653</t>
  </si>
  <si>
    <t>SW-101654</t>
  </si>
  <si>
    <t>SW-101655</t>
  </si>
  <si>
    <t>SW-101656</t>
  </si>
  <si>
    <t>SW-101657</t>
  </si>
  <si>
    <t>SW-101658</t>
  </si>
  <si>
    <t>SW-101659</t>
  </si>
  <si>
    <t>SW-101660</t>
  </si>
  <si>
    <t>SW-101661</t>
  </si>
  <si>
    <t>SW-101662</t>
  </si>
  <si>
    <t>SW-101663</t>
  </si>
  <si>
    <t>SW-101664</t>
  </si>
  <si>
    <t>SW-101665</t>
  </si>
  <si>
    <t>SW-101666</t>
  </si>
  <si>
    <t>SW-101667</t>
  </si>
  <si>
    <t>SW-101668</t>
  </si>
  <si>
    <t>SW-101669</t>
  </si>
  <si>
    <t>SW-101670</t>
  </si>
  <si>
    <t>SW-101671</t>
  </si>
  <si>
    <t>SW-101672</t>
  </si>
  <si>
    <t>SW-101673</t>
  </si>
  <si>
    <t>SW-101674</t>
  </si>
  <si>
    <t>SW-101675</t>
  </si>
  <si>
    <t>SW-101676</t>
  </si>
  <si>
    <t>SW-101677</t>
  </si>
  <si>
    <t>SW-101678</t>
  </si>
  <si>
    <t>SW-101679</t>
  </si>
  <si>
    <t>SW-101680</t>
  </si>
  <si>
    <t>SW-101681</t>
  </si>
  <si>
    <t>SW-101682</t>
  </si>
  <si>
    <t>SW-101683</t>
  </si>
  <si>
    <t>SW-101684</t>
  </si>
  <si>
    <t>SW-101685</t>
  </si>
  <si>
    <t>SW-101686</t>
  </si>
  <si>
    <t>SW-101687</t>
  </si>
  <si>
    <t>SW-101688</t>
  </si>
  <si>
    <t>SW-101689</t>
  </si>
  <si>
    <t>SW-101690</t>
  </si>
  <si>
    <t>SW-101691</t>
  </si>
  <si>
    <t>SW-101692</t>
  </si>
  <si>
    <t>SW-101693</t>
  </si>
  <si>
    <t>SW-101694</t>
  </si>
  <si>
    <t>SW-101695</t>
  </si>
  <si>
    <t>SW-101696</t>
  </si>
  <si>
    <t>SW-101697</t>
  </si>
  <si>
    <t>SW-101698</t>
  </si>
  <si>
    <t>SW-101699</t>
  </si>
  <si>
    <t>SW-101700</t>
  </si>
  <si>
    <t>SW-101701</t>
  </si>
  <si>
    <t>SW-101702</t>
  </si>
  <si>
    <t>SW-101703</t>
  </si>
  <si>
    <t>SW-101704</t>
  </si>
  <si>
    <t>SW-101705</t>
  </si>
  <si>
    <t>SW-101706</t>
  </si>
  <si>
    <t>SW-101707</t>
  </si>
  <si>
    <t>SW-101708</t>
  </si>
  <si>
    <t>SW-101709</t>
  </si>
  <si>
    <t>SW-101710</t>
  </si>
  <si>
    <t>SW-101711</t>
  </si>
  <si>
    <t>SW-101712</t>
  </si>
  <si>
    <t>SW-101713</t>
  </si>
  <si>
    <t>SW-101714</t>
  </si>
  <si>
    <t>SW-101715</t>
  </si>
  <si>
    <t>SW-101716</t>
  </si>
  <si>
    <t>SW-101717</t>
  </si>
  <si>
    <t>SW-101718</t>
  </si>
  <si>
    <t>SW-101719</t>
  </si>
  <si>
    <t>SW-101720</t>
  </si>
  <si>
    <t>SW-101721</t>
  </si>
  <si>
    <t>SW-101722</t>
  </si>
  <si>
    <t>SW-101723</t>
  </si>
  <si>
    <t>SW-101724</t>
  </si>
  <si>
    <t>SW-101725</t>
  </si>
  <si>
    <t>SW-101726</t>
  </si>
  <si>
    <t>SW-101727</t>
  </si>
  <si>
    <t>SW-101728</t>
  </si>
  <si>
    <t>SW-101729</t>
  </si>
  <si>
    <t>SW-101730</t>
  </si>
  <si>
    <t>SW-101731</t>
  </si>
  <si>
    <t>SW-101732</t>
  </si>
  <si>
    <t>SW-101733</t>
  </si>
  <si>
    <t>SW-101734</t>
  </si>
  <si>
    <t>SW-101735</t>
  </si>
  <si>
    <t>SW-101736</t>
  </si>
  <si>
    <t>SW-101737</t>
  </si>
  <si>
    <t>SW-101738</t>
  </si>
  <si>
    <t>SW-101739</t>
  </si>
  <si>
    <t>SW-101740</t>
  </si>
  <si>
    <t>SW-101741</t>
  </si>
  <si>
    <t>SW-101742</t>
  </si>
  <si>
    <t>SW-101743</t>
  </si>
  <si>
    <t>SW-101744</t>
  </si>
  <si>
    <t>SW-101745</t>
  </si>
  <si>
    <t>SW-101746</t>
  </si>
  <si>
    <t>SW-101747</t>
  </si>
  <si>
    <t>SW-101748</t>
  </si>
  <si>
    <t>SW-101749</t>
  </si>
  <si>
    <t>SW-101750</t>
  </si>
  <si>
    <t>SW-101751</t>
  </si>
  <si>
    <t>SW-101752</t>
  </si>
  <si>
    <t>SW-101753</t>
  </si>
  <si>
    <t>SW-101754</t>
  </si>
  <si>
    <t>SW-101755</t>
  </si>
  <si>
    <t>SW-101756</t>
  </si>
  <si>
    <t>SW-101757</t>
  </si>
  <si>
    <t>SW-101758</t>
  </si>
  <si>
    <t>SW-101759</t>
  </si>
  <si>
    <t>SW-101760</t>
  </si>
  <si>
    <t>SW-101761</t>
  </si>
  <si>
    <t>SW-101762</t>
  </si>
  <si>
    <t>SW-101763</t>
  </si>
  <si>
    <t>SW-101764</t>
  </si>
  <si>
    <t>SW-101765</t>
  </si>
  <si>
    <t>SW-101766</t>
  </si>
  <si>
    <t>SW-101767</t>
  </si>
  <si>
    <t>SW-101768</t>
  </si>
  <si>
    <t>SW-101769</t>
  </si>
  <si>
    <t>SW-101770</t>
  </si>
  <si>
    <t>SW-101771</t>
  </si>
  <si>
    <t>SW-101772</t>
  </si>
  <si>
    <t>SW-101773</t>
  </si>
  <si>
    <t>SW-101774</t>
  </si>
  <si>
    <t>SW-101775</t>
  </si>
  <si>
    <t>SW-101776</t>
  </si>
  <si>
    <t>SW-101777</t>
  </si>
  <si>
    <t>SW-101778</t>
  </si>
  <si>
    <t>SW-101779</t>
  </si>
  <si>
    <t>SW-101780</t>
  </si>
  <si>
    <t>SW-101781</t>
  </si>
  <si>
    <t>SW-101782</t>
  </si>
  <si>
    <t>SW-101783</t>
  </si>
  <si>
    <t>SW-101784</t>
  </si>
  <si>
    <t>SW-101785</t>
  </si>
  <si>
    <t>SW-101786</t>
  </si>
  <si>
    <t>SW-101787</t>
  </si>
  <si>
    <t>SW-101788</t>
  </si>
  <si>
    <t>SW-101789</t>
  </si>
  <si>
    <t>SW-101790</t>
  </si>
  <si>
    <t>SW-101791</t>
  </si>
  <si>
    <t>SW-101792</t>
  </si>
  <si>
    <t>SW-101793</t>
  </si>
  <si>
    <t>SW-101794</t>
  </si>
  <si>
    <t>SW-101795</t>
  </si>
  <si>
    <t>SW-101796</t>
  </si>
  <si>
    <t>SW-101797</t>
  </si>
  <si>
    <t>SW-101798</t>
  </si>
  <si>
    <t>SW-101799</t>
  </si>
  <si>
    <t>SW-101800</t>
  </si>
  <si>
    <t>SW-101801</t>
  </si>
  <si>
    <t>SW-101802</t>
  </si>
  <si>
    <t>SW-101803</t>
  </si>
  <si>
    <t>SW-101804</t>
  </si>
  <si>
    <t>SW-101805</t>
  </si>
  <si>
    <t>SW-101806</t>
  </si>
  <si>
    <t>SW-101807</t>
  </si>
  <si>
    <t>SW-101808</t>
  </si>
  <si>
    <t>SW-101809</t>
  </si>
  <si>
    <t>SW-101810</t>
  </si>
  <si>
    <t>SW-101811</t>
  </si>
  <si>
    <t>SW-101812</t>
  </si>
  <si>
    <t>SW-101813</t>
  </si>
  <si>
    <t>SW-101814</t>
  </si>
  <si>
    <t>SW-101815</t>
  </si>
  <si>
    <t>SW-101816</t>
  </si>
  <si>
    <t>SW-101817</t>
  </si>
  <si>
    <t>SW-101818</t>
  </si>
  <si>
    <t>SW-101819</t>
  </si>
  <si>
    <t>SW-101820</t>
  </si>
  <si>
    <t>SW-101821</t>
  </si>
  <si>
    <t>SW-101822</t>
  </si>
  <si>
    <t>SW-101823</t>
  </si>
  <si>
    <t>SW-101824</t>
  </si>
  <si>
    <t>SW-101825</t>
  </si>
  <si>
    <t>SW-101826</t>
  </si>
  <si>
    <t>SW-101827</t>
  </si>
  <si>
    <t>SW-101828</t>
  </si>
  <si>
    <t>SW-101829</t>
  </si>
  <si>
    <t>SW-101830</t>
  </si>
  <si>
    <t>SW-101831</t>
  </si>
  <si>
    <t>SW-101832</t>
  </si>
  <si>
    <t>SW-101833</t>
  </si>
  <si>
    <t>SW-101834</t>
  </si>
  <si>
    <t>SW-101835</t>
  </si>
  <si>
    <t>SW-101836</t>
  </si>
  <si>
    <t>SW-101837</t>
  </si>
  <si>
    <t>SW-101838</t>
  </si>
  <si>
    <t>SW-101839</t>
  </si>
  <si>
    <t>SW-101840</t>
  </si>
  <si>
    <t>SW-101841</t>
  </si>
  <si>
    <t>SW-101842</t>
  </si>
  <si>
    <t>SW-101843</t>
  </si>
  <si>
    <t>SW-101844</t>
  </si>
  <si>
    <t>SW-101845</t>
  </si>
  <si>
    <t>SW-101846</t>
  </si>
  <si>
    <t>SW-101847</t>
  </si>
  <si>
    <t>SW-101848</t>
  </si>
  <si>
    <t>SW-101849</t>
  </si>
  <si>
    <t>SW-101850</t>
  </si>
  <si>
    <t>SW-101851</t>
  </si>
  <si>
    <t>SW-101852</t>
  </si>
  <si>
    <t>SW-101853</t>
  </si>
  <si>
    <t>SW-101854</t>
  </si>
  <si>
    <t>SW-101855</t>
  </si>
  <si>
    <t>SW-101856</t>
  </si>
  <si>
    <t>SW-101857</t>
  </si>
  <si>
    <t>SW-101858</t>
  </si>
  <si>
    <t>SW-101859</t>
  </si>
  <si>
    <t>SW-101860</t>
  </si>
  <si>
    <t>SW-101861</t>
  </si>
  <si>
    <t>SW-101862</t>
  </si>
  <si>
    <t>SW-101863</t>
  </si>
  <si>
    <t>SW-101864</t>
  </si>
  <si>
    <t>SW-101865</t>
  </si>
  <si>
    <t>SW-101866</t>
  </si>
  <si>
    <t>SW-101867</t>
  </si>
  <si>
    <t>SW-101868</t>
  </si>
  <si>
    <t>SW-101869</t>
  </si>
  <si>
    <t>SW-101870</t>
  </si>
  <si>
    <t>SW-101871</t>
  </si>
  <si>
    <t>Nov</t>
  </si>
  <si>
    <t>SW-101872</t>
  </si>
  <si>
    <t>SW-101873</t>
  </si>
  <si>
    <t>SW-101874</t>
  </si>
  <si>
    <t>SW-101875</t>
  </si>
  <si>
    <t>SW-101876</t>
  </si>
  <si>
    <t>SW-101877</t>
  </si>
  <si>
    <t>SW-101878</t>
  </si>
  <si>
    <t>SW-101879</t>
  </si>
  <si>
    <t>SW-101880</t>
  </si>
  <si>
    <t>SW-101881</t>
  </si>
  <si>
    <t>SW-101882</t>
  </si>
  <si>
    <t>SW-101883</t>
  </si>
  <si>
    <t>SW-101884</t>
  </si>
  <si>
    <t>SW-101885</t>
  </si>
  <si>
    <t>SW-101886</t>
  </si>
  <si>
    <t>SW-101887</t>
  </si>
  <si>
    <t>SW-101888</t>
  </si>
  <si>
    <t>SW-101889</t>
  </si>
  <si>
    <t>SW-101890</t>
  </si>
  <si>
    <t>SW-101891</t>
  </si>
  <si>
    <t>SW-101892</t>
  </si>
  <si>
    <t>SW-101893</t>
  </si>
  <si>
    <t>SW-101894</t>
  </si>
  <si>
    <t>SW-101895</t>
  </si>
  <si>
    <t>SW-101896</t>
  </si>
  <si>
    <t>SW-101897</t>
  </si>
  <si>
    <t>SW-101898</t>
  </si>
  <si>
    <t>SW-101899</t>
  </si>
  <si>
    <t>SW-101900</t>
  </si>
  <si>
    <t>SW-101901</t>
  </si>
  <si>
    <t>SW-101902</t>
  </si>
  <si>
    <t>SW-101903</t>
  </si>
  <si>
    <t>SW-101904</t>
  </si>
  <si>
    <t>SW-101905</t>
  </si>
  <si>
    <t>SW-101906</t>
  </si>
  <si>
    <t>SW-101907</t>
  </si>
  <si>
    <t>SW-101908</t>
  </si>
  <si>
    <t>SW-101909</t>
  </si>
  <si>
    <t>SW-101910</t>
  </si>
  <si>
    <t>SW-101911</t>
  </si>
  <si>
    <t>SW-101912</t>
  </si>
  <si>
    <t>SW-101913</t>
  </si>
  <si>
    <t>SW-101914</t>
  </si>
  <si>
    <t>SW-101915</t>
  </si>
  <si>
    <t>SW-101916</t>
  </si>
  <si>
    <t>SW-101917</t>
  </si>
  <si>
    <t>SW-101918</t>
  </si>
  <si>
    <t>SW-101919</t>
  </si>
  <si>
    <t>SW-101920</t>
  </si>
  <si>
    <t>SW-101921</t>
  </si>
  <si>
    <t>SW-101922</t>
  </si>
  <si>
    <t>SW-101923</t>
  </si>
  <si>
    <t>SW-101924</t>
  </si>
  <si>
    <t>SW-101925</t>
  </si>
  <si>
    <t>SW-101926</t>
  </si>
  <si>
    <t>SW-101927</t>
  </si>
  <si>
    <t>SW-101928</t>
  </si>
  <si>
    <t>SW-101929</t>
  </si>
  <si>
    <t>SW-101930</t>
  </si>
  <si>
    <t>SW-101931</t>
  </si>
  <si>
    <t>SW-101932</t>
  </si>
  <si>
    <t>SW-101933</t>
  </si>
  <si>
    <t>SW-101934</t>
  </si>
  <si>
    <t>SW-101935</t>
  </si>
  <si>
    <t>SW-101936</t>
  </si>
  <si>
    <t>SW-101937</t>
  </si>
  <si>
    <t>SW-101938</t>
  </si>
  <si>
    <t>SW-101939</t>
  </si>
  <si>
    <t>SW-101940</t>
  </si>
  <si>
    <t>SW-101941</t>
  </si>
  <si>
    <t>SW-101942</t>
  </si>
  <si>
    <t>SW-101943</t>
  </si>
  <si>
    <t>SW-101944</t>
  </si>
  <si>
    <t>SW-101945</t>
  </si>
  <si>
    <t>SW-101946</t>
  </si>
  <si>
    <t>SW-101947</t>
  </si>
  <si>
    <t>SW-101948</t>
  </si>
  <si>
    <t>SW-101949</t>
  </si>
  <si>
    <t>SW-101950</t>
  </si>
  <si>
    <t>SW-101951</t>
  </si>
  <si>
    <t>SW-101952</t>
  </si>
  <si>
    <t>SW-101953</t>
  </si>
  <si>
    <t>SW-101954</t>
  </si>
  <si>
    <t>SW-101955</t>
  </si>
  <si>
    <t>SW-101956</t>
  </si>
  <si>
    <t>SW-101957</t>
  </si>
  <si>
    <t>SW-101958</t>
  </si>
  <si>
    <t>SW-101959</t>
  </si>
  <si>
    <t>SW-101960</t>
  </si>
  <si>
    <t>SW-101961</t>
  </si>
  <si>
    <t>SW-101962</t>
  </si>
  <si>
    <t>SW-101963</t>
  </si>
  <si>
    <t>SW-101964</t>
  </si>
  <si>
    <t>SW-101965</t>
  </si>
  <si>
    <t>SW-101966</t>
  </si>
  <si>
    <t>SW-101967</t>
  </si>
  <si>
    <t>SW-101968</t>
  </si>
  <si>
    <t>SW-101969</t>
  </si>
  <si>
    <t>SW-101970</t>
  </si>
  <si>
    <t>SW-101971</t>
  </si>
  <si>
    <t>SW-101972</t>
  </si>
  <si>
    <t>SW-101973</t>
  </si>
  <si>
    <t>SW-101974</t>
  </si>
  <si>
    <t>SW-101975</t>
  </si>
  <si>
    <t>SW-101976</t>
  </si>
  <si>
    <t>SW-101977</t>
  </si>
  <si>
    <t>SW-101978</t>
  </si>
  <si>
    <t>SW-101979</t>
  </si>
  <si>
    <t>SW-101980</t>
  </si>
  <si>
    <t>SW-101981</t>
  </si>
  <si>
    <t>SW-101982</t>
  </si>
  <si>
    <t>SW-101983</t>
  </si>
  <si>
    <t>SW-101984</t>
  </si>
  <si>
    <t>SW-101985</t>
  </si>
  <si>
    <t>SW-101986</t>
  </si>
  <si>
    <t>SW-101987</t>
  </si>
  <si>
    <t>SW-101988</t>
  </si>
  <si>
    <t>SW-101989</t>
  </si>
  <si>
    <t>SW-101990</t>
  </si>
  <si>
    <t>SW-101991</t>
  </si>
  <si>
    <t>SW-101992</t>
  </si>
  <si>
    <t>SW-101993</t>
  </si>
  <si>
    <t>SW-101994</t>
  </si>
  <si>
    <t>SW-101995</t>
  </si>
  <si>
    <t>SW-101996</t>
  </si>
  <si>
    <t>SW-101997</t>
  </si>
  <si>
    <t>SW-101998</t>
  </si>
  <si>
    <t>SW-101999</t>
  </si>
  <si>
    <t>SW-102000</t>
  </si>
  <si>
    <t>SW-102001</t>
  </si>
  <si>
    <t>SW-102002</t>
  </si>
  <si>
    <t>SW-102003</t>
  </si>
  <si>
    <t>SW-102004</t>
  </si>
  <si>
    <t>SW-102005</t>
  </si>
  <si>
    <t>SW-102006</t>
  </si>
  <si>
    <t>SW-102007</t>
  </si>
  <si>
    <t>SW-102008</t>
  </si>
  <si>
    <t>SW-102009</t>
  </si>
  <si>
    <t>SW-102010</t>
  </si>
  <si>
    <t>SW-102011</t>
  </si>
  <si>
    <t>SW-102012</t>
  </si>
  <si>
    <t>SW-102013</t>
  </si>
  <si>
    <t>SW-102014</t>
  </si>
  <si>
    <t>SW-102015</t>
  </si>
  <si>
    <t>SW-102016</t>
  </si>
  <si>
    <t>SW-102017</t>
  </si>
  <si>
    <t>SW-102018</t>
  </si>
  <si>
    <t>SW-102019</t>
  </si>
  <si>
    <t>SW-102020</t>
  </si>
  <si>
    <t>SW-102021</t>
  </si>
  <si>
    <t>SW-102022</t>
  </si>
  <si>
    <t>SW-102023</t>
  </si>
  <si>
    <t>SW-102024</t>
  </si>
  <si>
    <t>SW-102025</t>
  </si>
  <si>
    <t>SW-102026</t>
  </si>
  <si>
    <t>SW-102027</t>
  </si>
  <si>
    <t>SW-102028</t>
  </si>
  <si>
    <t>SW-102029</t>
  </si>
  <si>
    <t>SW-102030</t>
  </si>
  <si>
    <t>SW-102031</t>
  </si>
  <si>
    <t>SW-102032</t>
  </si>
  <si>
    <t>SW-102033</t>
  </si>
  <si>
    <t>SW-102034</t>
  </si>
  <si>
    <t>SW-102035</t>
  </si>
  <si>
    <t>SW-102036</t>
  </si>
  <si>
    <t>SW-102037</t>
  </si>
  <si>
    <t>SW-102038</t>
  </si>
  <si>
    <t>SW-102039</t>
  </si>
  <si>
    <t>SW-102040</t>
  </si>
  <si>
    <t>SW-102041</t>
  </si>
  <si>
    <t>SW-102042</t>
  </si>
  <si>
    <t>SW-102043</t>
  </si>
  <si>
    <t>SW-102044</t>
  </si>
  <si>
    <t>SW-102045</t>
  </si>
  <si>
    <t>SW-102046</t>
  </si>
  <si>
    <t>SW-102047</t>
  </si>
  <si>
    <t>SW-102048</t>
  </si>
  <si>
    <t>SW-102049</t>
  </si>
  <si>
    <t>SW-102050</t>
  </si>
  <si>
    <t>SW-102051</t>
  </si>
  <si>
    <t>SW-102052</t>
  </si>
  <si>
    <t>SW-102053</t>
  </si>
  <si>
    <t>SW-102054</t>
  </si>
  <si>
    <t>SW-102055</t>
  </si>
  <si>
    <t>SW-102056</t>
  </si>
  <si>
    <t>SW-102057</t>
  </si>
  <si>
    <t>SW-102058</t>
  </si>
  <si>
    <t>SW-102059</t>
  </si>
  <si>
    <t>SW-102060</t>
  </si>
  <si>
    <t>SW-102061</t>
  </si>
  <si>
    <t>SW-102062</t>
  </si>
  <si>
    <t>SW-102063</t>
  </si>
  <si>
    <t>SW-102064</t>
  </si>
  <si>
    <t>SW-102065</t>
  </si>
  <si>
    <t>SW-102066</t>
  </si>
  <si>
    <t>SW-102067</t>
  </si>
  <si>
    <t>SW-102068</t>
  </si>
  <si>
    <t>SW-102069</t>
  </si>
  <si>
    <t>SW-102070</t>
  </si>
  <si>
    <t>SW-102071</t>
  </si>
  <si>
    <t>SW-102072</t>
  </si>
  <si>
    <t>SW-102073</t>
  </si>
  <si>
    <t>SW-102074</t>
  </si>
  <si>
    <t>SW-102075</t>
  </si>
  <si>
    <t>SW-102076</t>
  </si>
  <si>
    <t>SW-102077</t>
  </si>
  <si>
    <t>SW-102078</t>
  </si>
  <si>
    <t>SW-102079</t>
  </si>
  <si>
    <t>SW-102080</t>
  </si>
  <si>
    <t>SW-102081</t>
  </si>
  <si>
    <t>SW-102082</t>
  </si>
  <si>
    <t>SW-102083</t>
  </si>
  <si>
    <t>SW-102084</t>
  </si>
  <si>
    <t>SW-102085</t>
  </si>
  <si>
    <t>SW-102086</t>
  </si>
  <si>
    <t>SW-102087</t>
  </si>
  <si>
    <t>SW-102088</t>
  </si>
  <si>
    <t>SW-102089</t>
  </si>
  <si>
    <t>SW-102090</t>
  </si>
  <si>
    <t>SW-102091</t>
  </si>
  <si>
    <t>SW-102092</t>
  </si>
  <si>
    <t>SW-102093</t>
  </si>
  <si>
    <t>SW-102094</t>
  </si>
  <si>
    <t>SW-102095</t>
  </si>
  <si>
    <t>SW-102096</t>
  </si>
  <si>
    <t>SW-102097</t>
  </si>
  <si>
    <t>SW-102098</t>
  </si>
  <si>
    <t>SW-102099</t>
  </si>
  <si>
    <t>SW-102100</t>
  </si>
  <si>
    <t>SW-102101</t>
  </si>
  <si>
    <t>SW-102102</t>
  </si>
  <si>
    <t>SW-102103</t>
  </si>
  <si>
    <t>SW-102104</t>
  </si>
  <si>
    <t>SW-102105</t>
  </si>
  <si>
    <t>SW-102106</t>
  </si>
  <si>
    <t>SW-102107</t>
  </si>
  <si>
    <t>SW-102108</t>
  </si>
  <si>
    <t>SW-102109</t>
  </si>
  <si>
    <t>SW-102110</t>
  </si>
  <si>
    <t>SW-102111</t>
  </si>
  <si>
    <t>SW-102112</t>
  </si>
  <si>
    <t>SW-102113</t>
  </si>
  <si>
    <t>SW-102114</t>
  </si>
  <si>
    <t>SW-102115</t>
  </si>
  <si>
    <t>SW-102116</t>
  </si>
  <si>
    <t>SW-102117</t>
  </si>
  <si>
    <t>SW-102118</t>
  </si>
  <si>
    <t>SW-102119</t>
  </si>
  <si>
    <t>SW-102120</t>
  </si>
  <si>
    <t>SW-102121</t>
  </si>
  <si>
    <t>SW-102122</t>
  </si>
  <si>
    <t>SW-102123</t>
  </si>
  <si>
    <t>SW-102124</t>
  </si>
  <si>
    <t>SW-102125</t>
  </si>
  <si>
    <t>SW-102126</t>
  </si>
  <si>
    <t>SW-102127</t>
  </si>
  <si>
    <t>SW-102128</t>
  </si>
  <si>
    <t>SW-102129</t>
  </si>
  <si>
    <t>SW-102130</t>
  </si>
  <si>
    <t>SW-102131</t>
  </si>
  <si>
    <t>SW-102132</t>
  </si>
  <si>
    <t>SW-102133</t>
  </si>
  <si>
    <t>SW-102134</t>
  </si>
  <si>
    <t>SW-102135</t>
  </si>
  <si>
    <t>SW-102136</t>
  </si>
  <si>
    <t>SW-102137</t>
  </si>
  <si>
    <t>SW-102138</t>
  </si>
  <si>
    <t>SW-102139</t>
  </si>
  <si>
    <t>SW-102140</t>
  </si>
  <si>
    <t>SW-102141</t>
  </si>
  <si>
    <t>SW-102142</t>
  </si>
  <si>
    <t>SW-102143</t>
  </si>
  <si>
    <t>SW-102144</t>
  </si>
  <si>
    <t>SW-102145</t>
  </si>
  <si>
    <t>SW-102146</t>
  </si>
  <si>
    <t>SW-102147</t>
  </si>
  <si>
    <t>SW-102148</t>
  </si>
  <si>
    <t>SW-102149</t>
  </si>
  <si>
    <t>SW-102150</t>
  </si>
  <si>
    <t>SW-102151</t>
  </si>
  <si>
    <t>SW-102152</t>
  </si>
  <si>
    <t>SW-102153</t>
  </si>
  <si>
    <t>SW-102154</t>
  </si>
  <si>
    <t>SW-102155</t>
  </si>
  <si>
    <t>SW-102156</t>
  </si>
  <si>
    <t>SW-102157</t>
  </si>
  <si>
    <t>SW-102158</t>
  </si>
  <si>
    <t>SW-102159</t>
  </si>
  <si>
    <t>SW-102160</t>
  </si>
  <si>
    <t>SW-102161</t>
  </si>
  <si>
    <t>SW-102162</t>
  </si>
  <si>
    <t>SW-102163</t>
  </si>
  <si>
    <t>SW-102164</t>
  </si>
  <si>
    <t>SW-102165</t>
  </si>
  <si>
    <t>SW-102166</t>
  </si>
  <si>
    <t>SW-102167</t>
  </si>
  <si>
    <t>SW-102168</t>
  </si>
  <si>
    <t>SW-102169</t>
  </si>
  <si>
    <t>SW-102170</t>
  </si>
  <si>
    <t>SW-102171</t>
  </si>
  <si>
    <t>SW-102172</t>
  </si>
  <si>
    <t>SW-102173</t>
  </si>
  <si>
    <t>SW-102174</t>
  </si>
  <si>
    <t>SW-102175</t>
  </si>
  <si>
    <t>SW-102176</t>
  </si>
  <si>
    <t>SW-102177</t>
  </si>
  <si>
    <t>SW-102178</t>
  </si>
  <si>
    <t>SW-102179</t>
  </si>
  <si>
    <t>SW-102180</t>
  </si>
  <si>
    <t>SW-102181</t>
  </si>
  <si>
    <t>SW-102182</t>
  </si>
  <si>
    <t>SW-102183</t>
  </si>
  <si>
    <t>SW-102184</t>
  </si>
  <si>
    <t>SW-102185</t>
  </si>
  <si>
    <t>SW-102186</t>
  </si>
  <si>
    <t>SW-102187</t>
  </si>
  <si>
    <t>SW-102188</t>
  </si>
  <si>
    <t>SW-102189</t>
  </si>
  <si>
    <t>SW-102190</t>
  </si>
  <si>
    <t>SW-102191</t>
  </si>
  <si>
    <t>SW-102192</t>
  </si>
  <si>
    <t>SW-102193</t>
  </si>
  <si>
    <t>SW-102194</t>
  </si>
  <si>
    <t>SW-102195</t>
  </si>
  <si>
    <t>SW-102196</t>
  </si>
  <si>
    <t>SW-102197</t>
  </si>
  <si>
    <t>SW-102198</t>
  </si>
  <si>
    <t>SW-102199</t>
  </si>
  <si>
    <t>SW-102200</t>
  </si>
  <si>
    <t>SW-102201</t>
  </si>
  <si>
    <t>SW-102202</t>
  </si>
  <si>
    <t>SW-102203</t>
  </si>
  <si>
    <t>SW-102204</t>
  </si>
  <si>
    <t>SW-102205</t>
  </si>
  <si>
    <t>SW-102206</t>
  </si>
  <si>
    <t>SW-102207</t>
  </si>
  <si>
    <t>SW-102208</t>
  </si>
  <si>
    <t>SW-102209</t>
  </si>
  <si>
    <t>SW-102210</t>
  </si>
  <si>
    <t>SW-102211</t>
  </si>
  <si>
    <t>SW-102212</t>
  </si>
  <si>
    <t>SW-102213</t>
  </si>
  <si>
    <t>SW-102214</t>
  </si>
  <si>
    <t>SW-102215</t>
  </si>
  <si>
    <t>SW-102216</t>
  </si>
  <si>
    <t>SW-102217</t>
  </si>
  <si>
    <t>SW-102218</t>
  </si>
  <si>
    <t>SW-102219</t>
  </si>
  <si>
    <t>SW-102220</t>
  </si>
  <si>
    <t>SW-102221</t>
  </si>
  <si>
    <t>Dec</t>
  </si>
  <si>
    <t>SW-102222</t>
  </si>
  <si>
    <t>SW-102223</t>
  </si>
  <si>
    <t>SW-102224</t>
  </si>
  <si>
    <t>SW-102225</t>
  </si>
  <si>
    <t>SW-102226</t>
  </si>
  <si>
    <t>SW-102227</t>
  </si>
  <si>
    <t>SW-102228</t>
  </si>
  <si>
    <t>SW-102229</t>
  </si>
  <si>
    <t>SW-102230</t>
  </si>
  <si>
    <t>SW-102231</t>
  </si>
  <si>
    <t>SW-102232</t>
  </si>
  <si>
    <t>SW-102233</t>
  </si>
  <si>
    <t>SW-102234</t>
  </si>
  <si>
    <t>SW-102235</t>
  </si>
  <si>
    <t>SW-102236</t>
  </si>
  <si>
    <t>SW-102237</t>
  </si>
  <si>
    <t>SW-102238</t>
  </si>
  <si>
    <t>SW-102239</t>
  </si>
  <si>
    <t>SW-102240</t>
  </si>
  <si>
    <t>SW-102241</t>
  </si>
  <si>
    <t>SW-102242</t>
  </si>
  <si>
    <t>SW-102243</t>
  </si>
  <si>
    <t>SW-102244</t>
  </si>
  <si>
    <t>SW-102245</t>
  </si>
  <si>
    <t>SW-102246</t>
  </si>
  <si>
    <t>SW-102247</t>
  </si>
  <si>
    <t>SW-102248</t>
  </si>
  <si>
    <t>SW-102249</t>
  </si>
  <si>
    <t>SW-102250</t>
  </si>
  <si>
    <t>SW-102251</t>
  </si>
  <si>
    <t>SW-102252</t>
  </si>
  <si>
    <t>SW-102253</t>
  </si>
  <si>
    <t>SW-102254</t>
  </si>
  <si>
    <t>SW-102255</t>
  </si>
  <si>
    <t>SW-102256</t>
  </si>
  <si>
    <t>SW-102257</t>
  </si>
  <si>
    <t>SW-102258</t>
  </si>
  <si>
    <t>SW-102259</t>
  </si>
  <si>
    <t>SW-102260</t>
  </si>
  <si>
    <t>SW-102261</t>
  </si>
  <si>
    <t>SW-102262</t>
  </si>
  <si>
    <t>SW-102263</t>
  </si>
  <si>
    <t>SW-102264</t>
  </si>
  <si>
    <t>SW-102265</t>
  </si>
  <si>
    <t>SW-102266</t>
  </si>
  <si>
    <t>SW-102267</t>
  </si>
  <si>
    <t>SW-102268</t>
  </si>
  <si>
    <t>SW-102269</t>
  </si>
  <si>
    <t>SW-102270</t>
  </si>
  <si>
    <t>SW-102271</t>
  </si>
  <si>
    <t>SW-102272</t>
  </si>
  <si>
    <t>SW-102273</t>
  </si>
  <si>
    <t>SW-102274</t>
  </si>
  <si>
    <t>SW-102275</t>
  </si>
  <si>
    <t>SW-102276</t>
  </si>
  <si>
    <t>SW-102277</t>
  </si>
  <si>
    <t>SW-102278</t>
  </si>
  <si>
    <t>SW-102279</t>
  </si>
  <si>
    <t>SW-102280</t>
  </si>
  <si>
    <t>SW-102281</t>
  </si>
  <si>
    <t>SW-102282</t>
  </si>
  <si>
    <t>SW-102283</t>
  </si>
  <si>
    <t>SW-102284</t>
  </si>
  <si>
    <t>SW-102285</t>
  </si>
  <si>
    <t>SW-102286</t>
  </si>
  <si>
    <t>SW-102287</t>
  </si>
  <si>
    <t>SW-102288</t>
  </si>
  <si>
    <t>SW-102289</t>
  </si>
  <si>
    <t>SW-102290</t>
  </si>
  <si>
    <t>SW-102291</t>
  </si>
  <si>
    <t>SW-102292</t>
  </si>
  <si>
    <t>SW-102293</t>
  </si>
  <si>
    <t>SW-102294</t>
  </si>
  <si>
    <t>SW-102295</t>
  </si>
  <si>
    <t>SW-102296</t>
  </si>
  <si>
    <t>SW-102297</t>
  </si>
  <si>
    <t>SW-102298</t>
  </si>
  <si>
    <t>SW-102299</t>
  </si>
  <si>
    <t>SW-102300</t>
  </si>
  <si>
    <t>SW-102301</t>
  </si>
  <si>
    <t>SW-102302</t>
  </si>
  <si>
    <t>SW-102303</t>
  </si>
  <si>
    <t>SW-102304</t>
  </si>
  <si>
    <t>SW-102305</t>
  </si>
  <si>
    <t>SW-102306</t>
  </si>
  <si>
    <t>SW-102307</t>
  </si>
  <si>
    <t>SW-102308</t>
  </si>
  <si>
    <t>SW-102309</t>
  </si>
  <si>
    <t>SW-102310</t>
  </si>
  <si>
    <t>SW-102311</t>
  </si>
  <si>
    <t>SW-102312</t>
  </si>
  <si>
    <t>SW-102313</t>
  </si>
  <si>
    <t>SW-102314</t>
  </si>
  <si>
    <t>SW-102315</t>
  </si>
  <si>
    <t>SW-102316</t>
  </si>
  <si>
    <t>SW-102317</t>
  </si>
  <si>
    <t>SW-102318</t>
  </si>
  <si>
    <t>SW-102319</t>
  </si>
  <si>
    <t>SW-102320</t>
  </si>
  <si>
    <t>SW-102321</t>
  </si>
  <si>
    <t>SW-102322</t>
  </si>
  <si>
    <t>SW-102323</t>
  </si>
  <si>
    <t>SW-102324</t>
  </si>
  <si>
    <t>SW-102325</t>
  </si>
  <si>
    <t>SW-102326</t>
  </si>
  <si>
    <t>SW-102327</t>
  </si>
  <si>
    <t>SW-102328</t>
  </si>
  <si>
    <t>SW-102329</t>
  </si>
  <si>
    <t>SW-102330</t>
  </si>
  <si>
    <t>SW-102331</t>
  </si>
  <si>
    <t>SW-102332</t>
  </si>
  <si>
    <t>SW-102333</t>
  </si>
  <si>
    <t>SW-102334</t>
  </si>
  <si>
    <t>SW-102335</t>
  </si>
  <si>
    <t>SW-102336</t>
  </si>
  <si>
    <t>SW-102337</t>
  </si>
  <si>
    <t>SW-102338</t>
  </si>
  <si>
    <t>SW-102339</t>
  </si>
  <si>
    <t>SW-102340</t>
  </si>
  <si>
    <t>SW-102341</t>
  </si>
  <si>
    <t>SW-102342</t>
  </si>
  <si>
    <t>SW-102343</t>
  </si>
  <si>
    <t>SW-102344</t>
  </si>
  <si>
    <t>SW-102345</t>
  </si>
  <si>
    <t>SW-102346</t>
  </si>
  <si>
    <t>SW-102347</t>
  </si>
  <si>
    <t>SW-102348</t>
  </si>
  <si>
    <t>SW-102349</t>
  </si>
  <si>
    <t>SW-102350</t>
  </si>
  <si>
    <t>SW-102351</t>
  </si>
  <si>
    <t>SW-102352</t>
  </si>
  <si>
    <t>SW-102353</t>
  </si>
  <si>
    <t>SW-102354</t>
  </si>
  <si>
    <t>SW-102355</t>
  </si>
  <si>
    <t>SW-102356</t>
  </si>
  <si>
    <t>SW-102357</t>
  </si>
  <si>
    <t>SW-102358</t>
  </si>
  <si>
    <t>SW-102359</t>
  </si>
  <si>
    <t>SW-102360</t>
  </si>
  <si>
    <t>SW-102361</t>
  </si>
  <si>
    <t>SW-102362</t>
  </si>
  <si>
    <t>SW-102363</t>
  </si>
  <si>
    <t>SW-102364</t>
  </si>
  <si>
    <t>SW-102365</t>
  </si>
  <si>
    <t>SW-102366</t>
  </si>
  <si>
    <t>SW-102367</t>
  </si>
  <si>
    <t>SW-102368</t>
  </si>
  <si>
    <t>SW-102369</t>
  </si>
  <si>
    <t>SW-102370</t>
  </si>
  <si>
    <t>SW-102371</t>
  </si>
  <si>
    <t>SW-102372</t>
  </si>
  <si>
    <t>SW-102373</t>
  </si>
  <si>
    <t>SW-102374</t>
  </si>
  <si>
    <t>SW-102375</t>
  </si>
  <si>
    <t>SW-102376</t>
  </si>
  <si>
    <t>SW-102377</t>
  </si>
  <si>
    <t>SW-102378</t>
  </si>
  <si>
    <t>SW-102379</t>
  </si>
  <si>
    <t>SW-102380</t>
  </si>
  <si>
    <t>SW-102381</t>
  </si>
  <si>
    <t>SW-102382</t>
  </si>
  <si>
    <t>SW-102383</t>
  </si>
  <si>
    <t>SW-102384</t>
  </si>
  <si>
    <t>SW-102385</t>
  </si>
  <si>
    <t>SW-102386</t>
  </si>
  <si>
    <t>SW-102387</t>
  </si>
  <si>
    <t>SW-102388</t>
  </si>
  <si>
    <t>SW-102389</t>
  </si>
  <si>
    <t>SW-102390</t>
  </si>
  <si>
    <t>SW-102391</t>
  </si>
  <si>
    <t>SW-102392</t>
  </si>
  <si>
    <t>SW-102393</t>
  </si>
  <si>
    <t>SW-102394</t>
  </si>
  <si>
    <t>SW-102395</t>
  </si>
  <si>
    <t>SW-102396</t>
  </si>
  <si>
    <t>SW-102397</t>
  </si>
  <si>
    <t>SW-102398</t>
  </si>
  <si>
    <t>SW-102399</t>
  </si>
  <si>
    <t>SW-102400</t>
  </si>
  <si>
    <t>SW-102401</t>
  </si>
  <si>
    <t>SW-102402</t>
  </si>
  <si>
    <t>SW-102403</t>
  </si>
  <si>
    <t>SW-102404</t>
  </si>
  <si>
    <t>SW-102405</t>
  </si>
  <si>
    <t>SW-102406</t>
  </si>
  <si>
    <t>SW-102407</t>
  </si>
  <si>
    <t>SW-102408</t>
  </si>
  <si>
    <t>SW-102409</t>
  </si>
  <si>
    <t>SW-102410</t>
  </si>
  <si>
    <t>SW-102411</t>
  </si>
  <si>
    <t>SW-102412</t>
  </si>
  <si>
    <t>SW-102413</t>
  </si>
  <si>
    <t>SW-102414</t>
  </si>
  <si>
    <t>SW-102415</t>
  </si>
  <si>
    <t>SW-102416</t>
  </si>
  <si>
    <t>SW-102417</t>
  </si>
  <si>
    <t>SW-102418</t>
  </si>
  <si>
    <t>SW-102419</t>
  </si>
  <si>
    <t>SW-102420</t>
  </si>
  <si>
    <t>SW-102421</t>
  </si>
  <si>
    <t>SW-102422</t>
  </si>
  <si>
    <t>SW-102423</t>
  </si>
  <si>
    <t>SW-102424</t>
  </si>
  <si>
    <t>SW-102425</t>
  </si>
  <si>
    <t>SW-102426</t>
  </si>
  <si>
    <t>SW-102427</t>
  </si>
  <si>
    <t>SW-102428</t>
  </si>
  <si>
    <t>SW-102429</t>
  </si>
  <si>
    <t>SW-102430</t>
  </si>
  <si>
    <t>SW-102431</t>
  </si>
  <si>
    <t>SW-102432</t>
  </si>
  <si>
    <t>SW-102433</t>
  </si>
  <si>
    <t>SW-102434</t>
  </si>
  <si>
    <t>SW-102435</t>
  </si>
  <si>
    <t>SW-102436</t>
  </si>
  <si>
    <t>SW-102437</t>
  </si>
  <si>
    <t>SW-102438</t>
  </si>
  <si>
    <t>SW-102439</t>
  </si>
  <si>
    <t>SW-102440</t>
  </si>
  <si>
    <t>SW-102441</t>
  </si>
  <si>
    <t>SW-102442</t>
  </si>
  <si>
    <t>SW-102443</t>
  </si>
  <si>
    <t>SW-102444</t>
  </si>
  <si>
    <t>SW-102445</t>
  </si>
  <si>
    <t>SW-102446</t>
  </si>
  <si>
    <t>SW-102447</t>
  </si>
  <si>
    <t>SW-102448</t>
  </si>
  <si>
    <t>SW-102449</t>
  </si>
  <si>
    <t>SW-102450</t>
  </si>
  <si>
    <t>SW-102451</t>
  </si>
  <si>
    <t>SW-102452</t>
  </si>
  <si>
    <t>SW-102453</t>
  </si>
  <si>
    <t>SW-102454</t>
  </si>
  <si>
    <t>SW-102455</t>
  </si>
  <si>
    <t>SW-102456</t>
  </si>
  <si>
    <t>SW-102457</t>
  </si>
  <si>
    <t>SW-102458</t>
  </si>
  <si>
    <t>SW-102459</t>
  </si>
  <si>
    <t>SW-102460</t>
  </si>
  <si>
    <t>SW-102461</t>
  </si>
  <si>
    <t>SW-102462</t>
  </si>
  <si>
    <t>SW-102463</t>
  </si>
  <si>
    <t>SW-102464</t>
  </si>
  <si>
    <t>SW-102465</t>
  </si>
  <si>
    <t>SW-102466</t>
  </si>
  <si>
    <t>SW-102467</t>
  </si>
  <si>
    <t>SW-102468</t>
  </si>
  <si>
    <t>SW-102469</t>
  </si>
  <si>
    <t>SW-102470</t>
  </si>
  <si>
    <t>SW-102471</t>
  </si>
  <si>
    <t>SW-102472</t>
  </si>
  <si>
    <t>SW-102473</t>
  </si>
  <si>
    <t>SW-102474</t>
  </si>
  <si>
    <t>SW-102475</t>
  </si>
  <si>
    <t>SW-102476</t>
  </si>
  <si>
    <t>SW-102477</t>
  </si>
  <si>
    <t>SW-102478</t>
  </si>
  <si>
    <t>SW-102479</t>
  </si>
  <si>
    <t>SW-102480</t>
  </si>
  <si>
    <t>SW-102481</t>
  </si>
  <si>
    <t>SW-102482</t>
  </si>
  <si>
    <t>SW-102483</t>
  </si>
  <si>
    <t>SW-102484</t>
  </si>
  <si>
    <t>SW-102485</t>
  </si>
  <si>
    <t>SW-102486</t>
  </si>
  <si>
    <t>SW-102487</t>
  </si>
  <si>
    <t>SW-102488</t>
  </si>
  <si>
    <t>SW-102489</t>
  </si>
  <si>
    <t>SW-102490</t>
  </si>
  <si>
    <t>SW-102491</t>
  </si>
  <si>
    <t>SW-102492</t>
  </si>
  <si>
    <t>SW-102493</t>
  </si>
  <si>
    <t>SW-102494</t>
  </si>
  <si>
    <t>SW-102495</t>
  </si>
  <si>
    <t>SW-102496</t>
  </si>
  <si>
    <t>SW-102497</t>
  </si>
  <si>
    <t>SW-102498</t>
  </si>
  <si>
    <t>SW-102499</t>
  </si>
  <si>
    <t>SW-102500</t>
  </si>
  <si>
    <t>SW-102501</t>
  </si>
  <si>
    <t>SW-102502</t>
  </si>
  <si>
    <t>SW-102503</t>
  </si>
  <si>
    <t>SW-102504</t>
  </si>
  <si>
    <t>SW-102505</t>
  </si>
  <si>
    <t>SW-102506</t>
  </si>
  <si>
    <t>SW-102507</t>
  </si>
  <si>
    <t>SW-102508</t>
  </si>
  <si>
    <t>SW-102509</t>
  </si>
  <si>
    <t>SW-102510</t>
  </si>
  <si>
    <t>SW-102511</t>
  </si>
  <si>
    <t>SW-102512</t>
  </si>
  <si>
    <t>SW-102513</t>
  </si>
  <si>
    <t>SW-102514</t>
  </si>
  <si>
    <t>SW-102515</t>
  </si>
  <si>
    <t>SW-102516</t>
  </si>
  <si>
    <t>SW-102517</t>
  </si>
  <si>
    <t>SW-102518</t>
  </si>
  <si>
    <t>SW-102519</t>
  </si>
  <si>
    <t>SW-102520</t>
  </si>
  <si>
    <t>SW-102521</t>
  </si>
  <si>
    <t>SW-102522</t>
  </si>
  <si>
    <t>SW-102523</t>
  </si>
  <si>
    <t>SW-102524</t>
  </si>
  <si>
    <t>SW-102525</t>
  </si>
  <si>
    <t>SW-102526</t>
  </si>
  <si>
    <t>SW-102527</t>
  </si>
  <si>
    <t>SW-102528</t>
  </si>
  <si>
    <t>SW-102529</t>
  </si>
  <si>
    <t>SW-102530</t>
  </si>
  <si>
    <t>SW-102531</t>
  </si>
  <si>
    <t>SW-102532</t>
  </si>
  <si>
    <t>SW-102533</t>
  </si>
  <si>
    <t>SW-102534</t>
  </si>
  <si>
    <t>SW-102535</t>
  </si>
  <si>
    <t>SW-102536</t>
  </si>
  <si>
    <t>SW-102537</t>
  </si>
  <si>
    <t>SW-102538</t>
  </si>
  <si>
    <t>SW-102539</t>
  </si>
  <si>
    <t>SW-102540</t>
  </si>
  <si>
    <t>SW-102541</t>
  </si>
  <si>
    <t>SW-102542</t>
  </si>
  <si>
    <t>SW-102543</t>
  </si>
  <si>
    <t>SW-102544</t>
  </si>
  <si>
    <t>SW-102545</t>
  </si>
  <si>
    <t>SW-102546</t>
  </si>
  <si>
    <t>SW-102547</t>
  </si>
  <si>
    <t>SW-102548</t>
  </si>
  <si>
    <t>SW-102549</t>
  </si>
  <si>
    <t>SW-102550</t>
  </si>
  <si>
    <t>SW-102551</t>
  </si>
  <si>
    <t>SW-102552</t>
  </si>
  <si>
    <t>SW-102553</t>
  </si>
  <si>
    <t>SW-102554</t>
  </si>
  <si>
    <t>SW-102555</t>
  </si>
  <si>
    <t>SW-102556</t>
  </si>
  <si>
    <t>SW-102557</t>
  </si>
  <si>
    <t>SW-102558</t>
  </si>
  <si>
    <t>SW-102559</t>
  </si>
  <si>
    <t>SW-102560</t>
  </si>
  <si>
    <t>SW-102561</t>
  </si>
  <si>
    <t>SW-102562</t>
  </si>
  <si>
    <t>SW-102563</t>
  </si>
  <si>
    <t>SW-102564</t>
  </si>
  <si>
    <t>SW-102565</t>
  </si>
  <si>
    <t>SW-102566</t>
  </si>
  <si>
    <t>SW-102567</t>
  </si>
  <si>
    <t>SW-102568</t>
  </si>
  <si>
    <t>SW-102569</t>
  </si>
  <si>
    <t>SW-102570</t>
  </si>
  <si>
    <t>SW-102571</t>
  </si>
  <si>
    <t>SW-102572</t>
  </si>
  <si>
    <t>SW-102573</t>
  </si>
  <si>
    <t>SW-102574</t>
  </si>
  <si>
    <t>SW-102575</t>
  </si>
  <si>
    <t>SW-102576</t>
  </si>
  <si>
    <t>SW-102577</t>
  </si>
  <si>
    <t>SW-102578</t>
  </si>
  <si>
    <t>SW-102579</t>
  </si>
  <si>
    <t>SW-102580</t>
  </si>
  <si>
    <t>SW-102581</t>
  </si>
  <si>
    <t>SW-102582</t>
  </si>
  <si>
    <t>SW-102583</t>
  </si>
  <si>
    <t>SW-102584</t>
  </si>
  <si>
    <t>SW-102585</t>
  </si>
  <si>
    <t>SW-102586</t>
  </si>
  <si>
    <t>SW-102587</t>
  </si>
  <si>
    <t>SW-102588</t>
  </si>
  <si>
    <t>SW-102589</t>
  </si>
  <si>
    <t>SW-102590</t>
  </si>
  <si>
    <t>SW-102591</t>
  </si>
  <si>
    <t>SW-102592</t>
  </si>
  <si>
    <t>SW-102593</t>
  </si>
  <si>
    <t>SW-102594</t>
  </si>
  <si>
    <t>SW-102595</t>
  </si>
  <si>
    <t>SW-102596</t>
  </si>
  <si>
    <t>SW-102597</t>
  </si>
  <si>
    <t>SW-102598</t>
  </si>
  <si>
    <t>SW-102599</t>
  </si>
  <si>
    <t>SW-102600</t>
  </si>
  <si>
    <t>SW-102601</t>
  </si>
  <si>
    <t>SW-102602</t>
  </si>
  <si>
    <t>SW-102603</t>
  </si>
  <si>
    <t>SW-102604</t>
  </si>
  <si>
    <t>SW-102605</t>
  </si>
  <si>
    <t>SW-102606</t>
  </si>
  <si>
    <t>SW-102607</t>
  </si>
  <si>
    <t>SW-102608</t>
  </si>
  <si>
    <t>SW-102609</t>
  </si>
  <si>
    <t>SW-102610</t>
  </si>
  <si>
    <t>SW-102611</t>
  </si>
  <si>
    <t>SW-102612</t>
  </si>
  <si>
    <t>SW-102613</t>
  </si>
  <si>
    <t>SW-102614</t>
  </si>
  <si>
    <t>SW-102615</t>
  </si>
  <si>
    <t>SW-102616</t>
  </si>
  <si>
    <t>SW-102617</t>
  </si>
  <si>
    <t>SW-102618</t>
  </si>
  <si>
    <t>SW-102619</t>
  </si>
  <si>
    <t>SW-102620</t>
  </si>
  <si>
    <t>SW-102621</t>
  </si>
  <si>
    <t>SW-102622</t>
  </si>
  <si>
    <t>SW-102623</t>
  </si>
  <si>
    <t>SW-102624</t>
  </si>
  <si>
    <t>SW-102625</t>
  </si>
  <si>
    <t>SW-102626</t>
  </si>
  <si>
    <t>SW-102627</t>
  </si>
  <si>
    <t>SW-102628</t>
  </si>
  <si>
    <t>SW-102629</t>
  </si>
  <si>
    <t>SW-102630</t>
  </si>
  <si>
    <t>SW-102631</t>
  </si>
  <si>
    <t>SW-102632</t>
  </si>
  <si>
    <t>SW-102633</t>
  </si>
  <si>
    <t>SW-102634</t>
  </si>
  <si>
    <t>SW-102635</t>
  </si>
  <si>
    <t>SW-102636</t>
  </si>
  <si>
    <t>SW-102637</t>
  </si>
  <si>
    <t>SW-102638</t>
  </si>
  <si>
    <t>SW-102639</t>
  </si>
  <si>
    <t>SW-102640</t>
  </si>
  <si>
    <t>SW-102641</t>
  </si>
  <si>
    <t>SW-102642</t>
  </si>
  <si>
    <t>SW-102643</t>
  </si>
  <si>
    <t>SW-102644</t>
  </si>
  <si>
    <t>SW-102645</t>
  </si>
  <si>
    <t>SW-102646</t>
  </si>
  <si>
    <t>SW-102647</t>
  </si>
  <si>
    <t>SW-102648</t>
  </si>
  <si>
    <t>SW-102649</t>
  </si>
  <si>
    <t>SW-102650</t>
  </si>
  <si>
    <t>SW-102651</t>
  </si>
  <si>
    <t>SW-102652</t>
  </si>
  <si>
    <t>SW-102653</t>
  </si>
  <si>
    <t>SW-102654</t>
  </si>
  <si>
    <t>SW-102655</t>
  </si>
  <si>
    <t>SW-102656</t>
  </si>
  <si>
    <t>SW-102657</t>
  </si>
  <si>
    <t>SW-102658</t>
  </si>
  <si>
    <t>SW-102659</t>
  </si>
  <si>
    <t>SW-102660</t>
  </si>
  <si>
    <t>SW-102661</t>
  </si>
  <si>
    <t>SW-102662</t>
  </si>
  <si>
    <t>SW-102663</t>
  </si>
  <si>
    <t>SW-102664</t>
  </si>
  <si>
    <t>SW-102665</t>
  </si>
  <si>
    <t>SW-102666</t>
  </si>
  <si>
    <t>SW-102667</t>
  </si>
  <si>
    <t>SW-102668</t>
  </si>
  <si>
    <t>SW-102669</t>
  </si>
  <si>
    <t>SW-102670</t>
  </si>
  <si>
    <t>SW-102671</t>
  </si>
  <si>
    <t>SW-102672</t>
  </si>
  <si>
    <t>SW-102673</t>
  </si>
  <si>
    <t>SW-102674</t>
  </si>
  <si>
    <t>SW-102675</t>
  </si>
  <si>
    <t>SW-102676</t>
  </si>
  <si>
    <t>SW-102677</t>
  </si>
  <si>
    <t>SW-102678</t>
  </si>
  <si>
    <t>SW-102679</t>
  </si>
  <si>
    <t>SW-102680</t>
  </si>
  <si>
    <t>SW-102681</t>
  </si>
  <si>
    <t>SW-102682</t>
  </si>
  <si>
    <t>SW-102683</t>
  </si>
  <si>
    <t>SW-102684</t>
  </si>
  <si>
    <t>SW-102685</t>
  </si>
  <si>
    <t>SW-102686</t>
  </si>
  <si>
    <t>SW-102687</t>
  </si>
  <si>
    <t>SW-102688</t>
  </si>
  <si>
    <t>SW-102689</t>
  </si>
  <si>
    <t>SW-102690</t>
  </si>
  <si>
    <t>SW-102691</t>
  </si>
  <si>
    <t>SW-102692</t>
  </si>
  <si>
    <t>SW-102693</t>
  </si>
  <si>
    <t>SW-102694</t>
  </si>
  <si>
    <t>SW-102695</t>
  </si>
  <si>
    <t>SW-102696</t>
  </si>
  <si>
    <t>SW-102697</t>
  </si>
  <si>
    <t>SW-102698</t>
  </si>
  <si>
    <t>SW-102699</t>
  </si>
  <si>
    <t>SW-102700</t>
  </si>
  <si>
    <t>SW-102701</t>
  </si>
  <si>
    <t>SW-102702</t>
  </si>
  <si>
    <t>SW-102703</t>
  </si>
  <si>
    <t>SW-102704</t>
  </si>
  <si>
    <t>SW-102705</t>
  </si>
  <si>
    <t>SW-102706</t>
  </si>
  <si>
    <t>SW-102707</t>
  </si>
  <si>
    <t>SW-102708</t>
  </si>
  <si>
    <t>SW-102709</t>
  </si>
  <si>
    <t>SW-102710</t>
  </si>
  <si>
    <t>SW-102711</t>
  </si>
  <si>
    <t>SW-102712</t>
  </si>
  <si>
    <t>SW-102713</t>
  </si>
  <si>
    <t>SW-102714</t>
  </si>
  <si>
    <t>SW-102715</t>
  </si>
  <si>
    <t>SW-102716</t>
  </si>
  <si>
    <t>SW-102717</t>
  </si>
  <si>
    <t>SW-102718</t>
  </si>
  <si>
    <t>SW-102719</t>
  </si>
  <si>
    <t>SW-102720</t>
  </si>
  <si>
    <t>SW-102721</t>
  </si>
  <si>
    <t>SW-102722</t>
  </si>
  <si>
    <t>SW-102723</t>
  </si>
  <si>
    <t>SW-102724</t>
  </si>
  <si>
    <t>SW-102725</t>
  </si>
  <si>
    <t>SW-102726</t>
  </si>
  <si>
    <t>SW-102727</t>
  </si>
  <si>
    <t>SW-102728</t>
  </si>
  <si>
    <t>SW-102729</t>
  </si>
  <si>
    <t>SW-102730</t>
  </si>
  <si>
    <t>SW-102731</t>
  </si>
  <si>
    <t>SW-102732</t>
  </si>
  <si>
    <t>SW-102733</t>
  </si>
  <si>
    <t>SW-102734</t>
  </si>
  <si>
    <t>SW-102735</t>
  </si>
  <si>
    <t>SW-102736</t>
  </si>
  <si>
    <t>SW-102737</t>
  </si>
  <si>
    <t>SW-102738</t>
  </si>
  <si>
    <t>SW-102739</t>
  </si>
  <si>
    <t>SW-102740</t>
  </si>
  <si>
    <t>SW-102741</t>
  </si>
  <si>
    <t>SW-102742</t>
  </si>
  <si>
    <t>SW-102743</t>
  </si>
  <si>
    <t>SW-102744</t>
  </si>
  <si>
    <t>SW-102745</t>
  </si>
  <si>
    <t>SW-102746</t>
  </si>
  <si>
    <t>SW-102747</t>
  </si>
  <si>
    <t>SW-102748</t>
  </si>
  <si>
    <t>SW-102749</t>
  </si>
  <si>
    <t>SW-102750</t>
  </si>
  <si>
    <t>SW-102751</t>
  </si>
  <si>
    <t>SW-102752</t>
  </si>
  <si>
    <t>SW-102753</t>
  </si>
  <si>
    <t>SW-102754</t>
  </si>
  <si>
    <t>SW-102755</t>
  </si>
  <si>
    <t>SW-102756</t>
  </si>
  <si>
    <t>SW-102757</t>
  </si>
  <si>
    <t>SW-102758</t>
  </si>
  <si>
    <t>SW-102759</t>
  </si>
  <si>
    <t>SW-102760</t>
  </si>
  <si>
    <t>SW-102761</t>
  </si>
  <si>
    <t>SW-102762</t>
  </si>
  <si>
    <t>SW-102763</t>
  </si>
  <si>
    <t>SW-102764</t>
  </si>
  <si>
    <t>SW-102765</t>
  </si>
  <si>
    <t>SW-102766</t>
  </si>
  <si>
    <t>SW-102767</t>
  </si>
  <si>
    <t>SW-102768</t>
  </si>
  <si>
    <t>SW-102769</t>
  </si>
  <si>
    <t>SW-102770</t>
  </si>
  <si>
    <t>SW-102771</t>
  </si>
  <si>
    <t>SW-102772</t>
  </si>
  <si>
    <t>SW-102773</t>
  </si>
  <si>
    <t>SW-102774</t>
  </si>
  <si>
    <t>SW-102775</t>
  </si>
  <si>
    <t>SW-102776</t>
  </si>
  <si>
    <t>SW-102777</t>
  </si>
  <si>
    <t>SW-102778</t>
  </si>
  <si>
    <t>SW-102779</t>
  </si>
  <si>
    <t>SW-102780</t>
  </si>
  <si>
    <t>SW-102781</t>
  </si>
  <si>
    <t>SW-102782</t>
  </si>
  <si>
    <t>SW-102783</t>
  </si>
  <si>
    <t>SW-102784</t>
  </si>
  <si>
    <t>SW-102785</t>
  </si>
  <si>
    <t>SW-102786</t>
  </si>
  <si>
    <t>SW-102787</t>
  </si>
  <si>
    <t>SW-102788</t>
  </si>
  <si>
    <t>SW-102789</t>
  </si>
  <si>
    <t>SW-102790</t>
  </si>
  <si>
    <t>SW-102791</t>
  </si>
  <si>
    <t>SW-102792</t>
  </si>
  <si>
    <t>SW-102793</t>
  </si>
  <si>
    <t>SW-102794</t>
  </si>
  <si>
    <t>SW-102795</t>
  </si>
  <si>
    <t>SW-102796</t>
  </si>
  <si>
    <t>SW-102797</t>
  </si>
  <si>
    <t>SW-102798</t>
  </si>
  <si>
    <t>SW-102799</t>
  </si>
  <si>
    <t>SW-102800</t>
  </si>
  <si>
    <t>SW-102801</t>
  </si>
  <si>
    <t>SW-102802</t>
  </si>
  <si>
    <t>SW-102803</t>
  </si>
  <si>
    <t>SW-102804</t>
  </si>
  <si>
    <t>SW-102805</t>
  </si>
  <si>
    <t>SW-102806</t>
  </si>
  <si>
    <t>SW-102807</t>
  </si>
  <si>
    <t>SW-102808</t>
  </si>
  <si>
    <t>SW-102809</t>
  </si>
  <si>
    <t>SW-102810</t>
  </si>
  <si>
    <t>SW-102811</t>
  </si>
  <si>
    <t>SW-102812</t>
  </si>
  <si>
    <t>SW-102813</t>
  </si>
  <si>
    <t>SW-102814</t>
  </si>
  <si>
    <t>SW-102815</t>
  </si>
  <si>
    <t>SW-102816</t>
  </si>
  <si>
    <t>SW-102817</t>
  </si>
  <si>
    <t>SW-102818</t>
  </si>
  <si>
    <t>SW-102819</t>
  </si>
  <si>
    <t>SW-102820</t>
  </si>
  <si>
    <t>SW-102821</t>
  </si>
  <si>
    <t>SW-102822</t>
  </si>
  <si>
    <t>SW-102823</t>
  </si>
  <si>
    <t>SW-102824</t>
  </si>
  <si>
    <t>SW-102825</t>
  </si>
  <si>
    <t>SW-102826</t>
  </si>
  <si>
    <t>SW-102827</t>
  </si>
  <si>
    <t>SW-102828</t>
  </si>
  <si>
    <t>SW-102829</t>
  </si>
  <si>
    <t>SW-102830</t>
  </si>
  <si>
    <t>SW-102831</t>
  </si>
  <si>
    <t>SW-102832</t>
  </si>
  <si>
    <t>SW-102833</t>
  </si>
  <si>
    <t>SW-102834</t>
  </si>
  <si>
    <t>SW-102835</t>
  </si>
  <si>
    <t>SW-102836</t>
  </si>
  <si>
    <t>SW-102837</t>
  </si>
  <si>
    <t>SW-102838</t>
  </si>
  <si>
    <t>SW-102839</t>
  </si>
  <si>
    <t>SW-102840</t>
  </si>
  <si>
    <t>SW-102841</t>
  </si>
  <si>
    <t>SW-102842</t>
  </si>
  <si>
    <t>SW-102843</t>
  </si>
  <si>
    <t>SW-102844</t>
  </si>
  <si>
    <t>SW-102845</t>
  </si>
  <si>
    <t>SW-102846</t>
  </si>
  <si>
    <t>SW-102847</t>
  </si>
  <si>
    <t>SW-102848</t>
  </si>
  <si>
    <t>SW-102849</t>
  </si>
  <si>
    <t>SW-102850</t>
  </si>
  <si>
    <t>SW-102851</t>
  </si>
  <si>
    <t>SW-102852</t>
  </si>
  <si>
    <t>SW-102853</t>
  </si>
  <si>
    <t>SW-102854</t>
  </si>
  <si>
    <t>SW-102855</t>
  </si>
  <si>
    <t>SW-102856</t>
  </si>
  <si>
    <t>SW-102857</t>
  </si>
  <si>
    <t>SW-102858</t>
  </si>
  <si>
    <t>SW-102859</t>
  </si>
  <si>
    <t>SW-102860</t>
  </si>
  <si>
    <t>SW-102861</t>
  </si>
  <si>
    <t>SW-102862</t>
  </si>
  <si>
    <t>SW-102863</t>
  </si>
  <si>
    <t>SW-102864</t>
  </si>
  <si>
    <t>SW-102865</t>
  </si>
  <si>
    <t>SW-102866</t>
  </si>
  <si>
    <t>SW-102867</t>
  </si>
  <si>
    <t>SW-102868</t>
  </si>
  <si>
    <t>SW-102869</t>
  </si>
  <si>
    <t>SW-102870</t>
  </si>
  <si>
    <t>SW-102871</t>
  </si>
  <si>
    <t>SW-102872</t>
  </si>
  <si>
    <t>SW-102873</t>
  </si>
  <si>
    <t>SW-102874</t>
  </si>
  <si>
    <t>SW-102875</t>
  </si>
  <si>
    <t>SW-102876</t>
  </si>
  <si>
    <t>SW-102877</t>
  </si>
  <si>
    <t>SW-102878</t>
  </si>
  <si>
    <t>SW-102879</t>
  </si>
  <si>
    <t>SW-102880</t>
  </si>
  <si>
    <t>SW-102881</t>
  </si>
  <si>
    <t>SW-102882</t>
  </si>
  <si>
    <t>SW-102883</t>
  </si>
  <si>
    <t>SW-102884</t>
  </si>
  <si>
    <t>SW-102885</t>
  </si>
  <si>
    <t>SW-102886</t>
  </si>
  <si>
    <t>SW-102887</t>
  </si>
  <si>
    <t>SW-102888</t>
  </si>
  <si>
    <t>SW-102889</t>
  </si>
  <si>
    <t>SW-102890</t>
  </si>
  <si>
    <t>SW-102891</t>
  </si>
  <si>
    <t>SW-102892</t>
  </si>
  <si>
    <t>SW-102893</t>
  </si>
  <si>
    <t>SW-102894</t>
  </si>
  <si>
    <t>SW-102895</t>
  </si>
  <si>
    <t>SW-102896</t>
  </si>
  <si>
    <t>SW-102897</t>
  </si>
  <si>
    <t>SW-102898</t>
  </si>
  <si>
    <t>SW-102899</t>
  </si>
  <si>
    <t>SW-102900</t>
  </si>
  <si>
    <t>SW-102901</t>
  </si>
  <si>
    <t>SW-102902</t>
  </si>
  <si>
    <t>SW-102903</t>
  </si>
  <si>
    <t>SW-102904</t>
  </si>
  <si>
    <t>SW-102905</t>
  </si>
  <si>
    <t>SW-102906</t>
  </si>
  <si>
    <t>SW-102907</t>
  </si>
  <si>
    <t>SW-102908</t>
  </si>
  <si>
    <t>SW-102909</t>
  </si>
  <si>
    <t>SW-102910</t>
  </si>
  <si>
    <t>SW-102911</t>
  </si>
  <si>
    <t>SW-102912</t>
  </si>
  <si>
    <t>SW-102913</t>
  </si>
  <si>
    <t>SW-102914</t>
  </si>
  <si>
    <t>SW-102915</t>
  </si>
  <si>
    <t>SW-102916</t>
  </si>
  <si>
    <t>SW-102917</t>
  </si>
  <si>
    <t>SW-102918</t>
  </si>
  <si>
    <t>SW-102919</t>
  </si>
  <si>
    <t>SW-102920</t>
  </si>
  <si>
    <t>SW-102921</t>
  </si>
  <si>
    <t>SW-102922</t>
  </si>
  <si>
    <t>SW-102923</t>
  </si>
  <si>
    <t>SW-102924</t>
  </si>
  <si>
    <t>SW-102925</t>
  </si>
  <si>
    <t>SW-102926</t>
  </si>
  <si>
    <t>SW-102927</t>
  </si>
  <si>
    <t>SW-102928</t>
  </si>
  <si>
    <t>SW-102929</t>
  </si>
  <si>
    <t>SW-102930</t>
  </si>
  <si>
    <t>SW-102931</t>
  </si>
  <si>
    <t>SW-102932</t>
  </si>
  <si>
    <t>SW-102933</t>
  </si>
  <si>
    <t>SW-102934</t>
  </si>
  <si>
    <t>SW-102935</t>
  </si>
  <si>
    <t>SW-102936</t>
  </si>
  <si>
    <t>SW-102937</t>
  </si>
  <si>
    <t>SW-102938</t>
  </si>
  <si>
    <t>SW-102939</t>
  </si>
  <si>
    <t>SW-102940</t>
  </si>
  <si>
    <t>SW-102941</t>
  </si>
  <si>
    <t>SW-102942</t>
  </si>
  <si>
    <t>SW-102943</t>
  </si>
  <si>
    <t>SW-102944</t>
  </si>
  <si>
    <t>SW-102945</t>
  </si>
  <si>
    <t>SW-102946</t>
  </si>
  <si>
    <t>SW-102947</t>
  </si>
  <si>
    <t>SW-102948</t>
  </si>
  <si>
    <t>SW-102949</t>
  </si>
  <si>
    <t>SW-102950</t>
  </si>
  <si>
    <t>SW-102951</t>
  </si>
  <si>
    <t>SW-102952</t>
  </si>
  <si>
    <t>SW-102953</t>
  </si>
  <si>
    <t>SW-102954</t>
  </si>
  <si>
    <t>SW-102955</t>
  </si>
  <si>
    <t>SW-102956</t>
  </si>
  <si>
    <t>SW-102957</t>
  </si>
  <si>
    <t>SW-102958</t>
  </si>
  <si>
    <t>SW-102959</t>
  </si>
  <si>
    <t>SW-102960</t>
  </si>
  <si>
    <t>SW-102961</t>
  </si>
  <si>
    <t>SW-102962</t>
  </si>
  <si>
    <t>SW-102963</t>
  </si>
  <si>
    <t>SW-102964</t>
  </si>
  <si>
    <t>SW-102965</t>
  </si>
  <si>
    <t>SW-102966</t>
  </si>
  <si>
    <t>SW-102967</t>
  </si>
  <si>
    <t>SW-102968</t>
  </si>
  <si>
    <t>SW-102969</t>
  </si>
  <si>
    <t>SW-102970</t>
  </si>
  <si>
    <t>SW-102971</t>
  </si>
  <si>
    <t>SW-102972</t>
  </si>
  <si>
    <t>SW-102973</t>
  </si>
  <si>
    <t>SW-102974</t>
  </si>
  <si>
    <t>SW-102975</t>
  </si>
  <si>
    <t>SW-102976</t>
  </si>
  <si>
    <t>SW-102977</t>
  </si>
  <si>
    <t>SW-102978</t>
  </si>
  <si>
    <t>SW-102979</t>
  </si>
  <si>
    <t>SW-102980</t>
  </si>
  <si>
    <t>SW-102981</t>
  </si>
  <si>
    <t>SW-102982</t>
  </si>
  <si>
    <t>SW-102983</t>
  </si>
  <si>
    <t>SW-102984</t>
  </si>
  <si>
    <t>SW-102985</t>
  </si>
  <si>
    <t>SW-102986</t>
  </si>
  <si>
    <t>SW-102987</t>
  </si>
  <si>
    <t>SW-102988</t>
  </si>
  <si>
    <t>SW-102989</t>
  </si>
  <si>
    <t>SW-102990</t>
  </si>
  <si>
    <t>SW-102991</t>
  </si>
  <si>
    <t>SW-102992</t>
  </si>
  <si>
    <t>SW-102993</t>
  </si>
  <si>
    <t>SW-102994</t>
  </si>
  <si>
    <t>SW-102995</t>
  </si>
  <si>
    <t>SW-102996</t>
  </si>
  <si>
    <t>SW-102997</t>
  </si>
  <si>
    <t>SW-102998</t>
  </si>
  <si>
    <t>SW-102999</t>
  </si>
  <si>
    <t>SW-103000</t>
  </si>
  <si>
    <t>SW-103001</t>
  </si>
  <si>
    <t>SW-103002</t>
  </si>
  <si>
    <t>SW-103003</t>
  </si>
  <si>
    <t>SW-103004</t>
  </si>
  <si>
    <t>SW-103005</t>
  </si>
  <si>
    <t>SW-103006</t>
  </si>
  <si>
    <t>SW-103007</t>
  </si>
  <si>
    <t>SW-103008</t>
  </si>
  <si>
    <t>SW-103009</t>
  </si>
  <si>
    <t>SW-103010</t>
  </si>
  <si>
    <t>SW-103011</t>
  </si>
  <si>
    <t>SW-103012</t>
  </si>
  <si>
    <t>SW-103013</t>
  </si>
  <si>
    <t>SW-103014</t>
  </si>
  <si>
    <t>SW-103015</t>
  </si>
  <si>
    <t>SW-103016</t>
  </si>
  <si>
    <t>SW-103017</t>
  </si>
  <si>
    <t>SW-103018</t>
  </si>
  <si>
    <t>SW-103019</t>
  </si>
  <si>
    <t>SW-103020</t>
  </si>
  <si>
    <t>SW-103021</t>
  </si>
  <si>
    <t>SW-103022</t>
  </si>
  <si>
    <t>SW-103023</t>
  </si>
  <si>
    <t>SW-103024</t>
  </si>
  <si>
    <t>SW-103025</t>
  </si>
  <si>
    <t>SW-103026</t>
  </si>
  <si>
    <t>SW-103027</t>
  </si>
  <si>
    <t>SW-103028</t>
  </si>
  <si>
    <t>SW-103029</t>
  </si>
  <si>
    <t>SW-103030</t>
  </si>
  <si>
    <t>SW-103031</t>
  </si>
  <si>
    <t>SW-103032</t>
  </si>
  <si>
    <t>SW-103033</t>
  </si>
  <si>
    <t>SW-103034</t>
  </si>
  <si>
    <t>SW-103035</t>
  </si>
  <si>
    <t>SW-103036</t>
  </si>
  <si>
    <t>SW-103037</t>
  </si>
  <si>
    <t>SW-103038</t>
  </si>
  <si>
    <t>SW-103039</t>
  </si>
  <si>
    <t>SW-103040</t>
  </si>
  <si>
    <t>SW-103041</t>
  </si>
  <si>
    <t>SW-103042</t>
  </si>
  <si>
    <t>SW-103043</t>
  </si>
  <si>
    <t>SW-103044</t>
  </si>
  <si>
    <t>SW-103045</t>
  </si>
  <si>
    <t>SW-103046</t>
  </si>
  <si>
    <t>SW-103047</t>
  </si>
  <si>
    <t>SW-103048</t>
  </si>
  <si>
    <t>SW-103049</t>
  </si>
  <si>
    <t>SW-103050</t>
  </si>
  <si>
    <t>SW-103051</t>
  </si>
  <si>
    <t>SW-103052</t>
  </si>
  <si>
    <t>SW-103053</t>
  </si>
  <si>
    <t>SW-103054</t>
  </si>
  <si>
    <t>SW-103055</t>
  </si>
  <si>
    <t>SW-103056</t>
  </si>
  <si>
    <t>SW-103057</t>
  </si>
  <si>
    <t>SW-103058</t>
  </si>
  <si>
    <t>SW-103059</t>
  </si>
  <si>
    <t>SW-103060</t>
  </si>
  <si>
    <t>SW-103061</t>
  </si>
  <si>
    <t>SW-103062</t>
  </si>
  <si>
    <t>SW-103063</t>
  </si>
  <si>
    <t>SW-103064</t>
  </si>
  <si>
    <t>SW-103065</t>
  </si>
  <si>
    <t>SW-103066</t>
  </si>
  <si>
    <t>SW-103067</t>
  </si>
  <si>
    <t>SW-103068</t>
  </si>
  <si>
    <t>SW-103069</t>
  </si>
  <si>
    <t>SW-103070</t>
  </si>
  <si>
    <t>SW-103071</t>
  </si>
  <si>
    <t>SW-103072</t>
  </si>
  <si>
    <t>SW-103073</t>
  </si>
  <si>
    <t>SW-103074</t>
  </si>
  <si>
    <t>SW-103075</t>
  </si>
  <si>
    <t>SW-103076</t>
  </si>
  <si>
    <t>SW-103077</t>
  </si>
  <si>
    <t>SW-103078</t>
  </si>
  <si>
    <t>SW-103079</t>
  </si>
  <si>
    <t>SW-103080</t>
  </si>
  <si>
    <t>SW-103081</t>
  </si>
  <si>
    <t>SW-103082</t>
  </si>
  <si>
    <t>SW-103083</t>
  </si>
  <si>
    <t>SW-103084</t>
  </si>
  <si>
    <t>SW-103085</t>
  </si>
  <si>
    <t>SW-103086</t>
  </si>
  <si>
    <t>SW-103087</t>
  </si>
  <si>
    <t>SW-103088</t>
  </si>
  <si>
    <t>SW-103089</t>
  </si>
  <si>
    <t>SW-103090</t>
  </si>
  <si>
    <t>SW-103091</t>
  </si>
  <si>
    <t>SW-103092</t>
  </si>
  <si>
    <t>SW-103093</t>
  </si>
  <si>
    <t>SW-103094</t>
  </si>
  <si>
    <t>SW-103095</t>
  </si>
  <si>
    <t>SW-103096</t>
  </si>
  <si>
    <t>SW-103097</t>
  </si>
  <si>
    <t>SW-103098</t>
  </si>
  <si>
    <t>SW-103099</t>
  </si>
  <si>
    <t>SW-103100</t>
  </si>
  <si>
    <t>SW-103101</t>
  </si>
  <si>
    <t>SW-103102</t>
  </si>
  <si>
    <t>SW-103103</t>
  </si>
  <si>
    <t>SW-103104</t>
  </si>
  <si>
    <t>SW-103105</t>
  </si>
  <si>
    <t>SW-103106</t>
  </si>
  <si>
    <t>SW-103107</t>
  </si>
  <si>
    <t>SW-103108</t>
  </si>
  <si>
    <t>SW-103109</t>
  </si>
  <si>
    <t>SW-103110</t>
  </si>
  <si>
    <t>SW-103111</t>
  </si>
  <si>
    <t>SW-103112</t>
  </si>
  <si>
    <t>SW-103113</t>
  </si>
  <si>
    <t>SW-103114</t>
  </si>
  <si>
    <t>SW-103115</t>
  </si>
  <si>
    <t>SW-103116</t>
  </si>
  <si>
    <t>SW-103117</t>
  </si>
  <si>
    <t>SW-103118</t>
  </si>
  <si>
    <t>SW-103119</t>
  </si>
  <si>
    <t>SW-103120</t>
  </si>
  <si>
    <t>SW-103121</t>
  </si>
  <si>
    <t>SW-103122</t>
  </si>
  <si>
    <t>SW-103123</t>
  </si>
  <si>
    <t>SW-103124</t>
  </si>
  <si>
    <t>SW-103125</t>
  </si>
  <si>
    <t>SW-103126</t>
  </si>
  <si>
    <t>SW-103127</t>
  </si>
  <si>
    <t>SW-103128</t>
  </si>
  <si>
    <t>SW-103129</t>
  </si>
  <si>
    <t>SW-103130</t>
  </si>
  <si>
    <t>SW-103131</t>
  </si>
  <si>
    <t>SW-103132</t>
  </si>
  <si>
    <t>SW-103133</t>
  </si>
  <si>
    <t>SW-103134</t>
  </si>
  <si>
    <t>SW-103135</t>
  </si>
  <si>
    <t>SW-103136</t>
  </si>
  <si>
    <t>SW-103137</t>
  </si>
  <si>
    <t>SW-103138</t>
  </si>
  <si>
    <t>SW-103139</t>
  </si>
  <si>
    <t>SW-103140</t>
  </si>
  <si>
    <t>SW-103141</t>
  </si>
  <si>
    <t>SW-103142</t>
  </si>
  <si>
    <t>SW-103143</t>
  </si>
  <si>
    <t>SW-103144</t>
  </si>
  <si>
    <t>SW-103145</t>
  </si>
  <si>
    <t>SW-103146</t>
  </si>
  <si>
    <t>SW-103147</t>
  </si>
  <si>
    <t>SW-103148</t>
  </si>
  <si>
    <t>SW-103149</t>
  </si>
  <si>
    <t>SW-103150</t>
  </si>
  <si>
    <t>SW-103151</t>
  </si>
  <si>
    <t>SW-103152</t>
  </si>
  <si>
    <t>SW-103153</t>
  </si>
  <si>
    <t>SW-103154</t>
  </si>
  <si>
    <t>SW-103155</t>
  </si>
  <si>
    <t>SW-103156</t>
  </si>
  <si>
    <t>SW-103157</t>
  </si>
  <si>
    <t>SW-103158</t>
  </si>
  <si>
    <t>SW-103159</t>
  </si>
  <si>
    <t>SW-103160</t>
  </si>
  <si>
    <t>SW-103161</t>
  </si>
  <si>
    <t>SW-103162</t>
  </si>
  <si>
    <t>SW-103163</t>
  </si>
  <si>
    <t>SW-103164</t>
  </si>
  <si>
    <t>SW-103165</t>
  </si>
  <si>
    <t>SW-103166</t>
  </si>
  <si>
    <t>SW-103167</t>
  </si>
  <si>
    <t>SW-103168</t>
  </si>
  <si>
    <t>SW-103169</t>
  </si>
  <si>
    <t>SW-103170</t>
  </si>
  <si>
    <t>SW-103171</t>
  </si>
  <si>
    <t>SW-103172</t>
  </si>
  <si>
    <t>SW-103173</t>
  </si>
  <si>
    <t>SW-103174</t>
  </si>
  <si>
    <t>SW-103175</t>
  </si>
  <si>
    <t>SW-103176</t>
  </si>
  <si>
    <t>SW-103177</t>
  </si>
  <si>
    <t>SW-103178</t>
  </si>
  <si>
    <t>SW-103179</t>
  </si>
  <si>
    <t>SW-103180</t>
  </si>
  <si>
    <t>SW-103181</t>
  </si>
  <si>
    <t>SW-103182</t>
  </si>
  <si>
    <t>SW-103183</t>
  </si>
  <si>
    <t>SW-103184</t>
  </si>
  <si>
    <t>SW-103185</t>
  </si>
  <si>
    <t>SW-103186</t>
  </si>
  <si>
    <t>SW-103187</t>
  </si>
  <si>
    <t>SW-103188</t>
  </si>
  <si>
    <t>SW-103189</t>
  </si>
  <si>
    <t>SW-103190</t>
  </si>
  <si>
    <t>SW-103191</t>
  </si>
  <si>
    <t>SW-103192</t>
  </si>
  <si>
    <t>SW-103193</t>
  </si>
  <si>
    <t>SW-103194</t>
  </si>
  <si>
    <t>SW-103195</t>
  </si>
  <si>
    <t>SW-103196</t>
  </si>
  <si>
    <t>SW-103197</t>
  </si>
  <si>
    <t>SW-103198</t>
  </si>
  <si>
    <t>SW-103199</t>
  </si>
  <si>
    <t>SW-103200</t>
  </si>
  <si>
    <t>SW-103201</t>
  </si>
  <si>
    <t>SW-103202</t>
  </si>
  <si>
    <t>SW-103203</t>
  </si>
  <si>
    <t>SW-103204</t>
  </si>
  <si>
    <t>SW-103205</t>
  </si>
  <si>
    <t>SW-103206</t>
  </si>
  <si>
    <t>SW-103207</t>
  </si>
  <si>
    <t>SW-103208</t>
  </si>
  <si>
    <t>SW-103209</t>
  </si>
  <si>
    <t>SW-103210</t>
  </si>
  <si>
    <t>SW-103211</t>
  </si>
  <si>
    <t>SW-103212</t>
  </si>
  <si>
    <t>SW-103213</t>
  </si>
  <si>
    <t>SW-103214</t>
  </si>
  <si>
    <t>SW-103215</t>
  </si>
  <si>
    <t>SW-103216</t>
  </si>
  <si>
    <t>SW-103217</t>
  </si>
  <si>
    <t>SW-103218</t>
  </si>
  <si>
    <t>SW-103219</t>
  </si>
  <si>
    <t>SW-103220</t>
  </si>
  <si>
    <t>SW-103221</t>
  </si>
  <si>
    <t>SW-103222</t>
  </si>
  <si>
    <t>SW-103223</t>
  </si>
  <si>
    <t>SW-103224</t>
  </si>
  <si>
    <t>SW-103225</t>
  </si>
  <si>
    <t>SW-103226</t>
  </si>
  <si>
    <t>SW-103227</t>
  </si>
  <si>
    <t>SW-103228</t>
  </si>
  <si>
    <t>SW-103229</t>
  </si>
  <si>
    <t>SW-103230</t>
  </si>
  <si>
    <t>SW-103231</t>
  </si>
  <si>
    <t>SW-103232</t>
  </si>
  <si>
    <t>SW-103233</t>
  </si>
  <si>
    <t>SW-103234</t>
  </si>
  <si>
    <t>SW-103235</t>
  </si>
  <si>
    <t>SW-103236</t>
  </si>
  <si>
    <t>SW-103237</t>
  </si>
  <si>
    <t>SW-103238</t>
  </si>
  <si>
    <t>SW-103239</t>
  </si>
  <si>
    <t>SW-103240</t>
  </si>
  <si>
    <t>SW-103241</t>
  </si>
  <si>
    <t>SW-103242</t>
  </si>
  <si>
    <t>SW-103243</t>
  </si>
  <si>
    <t>SW-103244</t>
  </si>
  <si>
    <t>SW-103245</t>
  </si>
  <si>
    <t>SW-103246</t>
  </si>
  <si>
    <t>SW-103247</t>
  </si>
  <si>
    <t>SW-103248</t>
  </si>
  <si>
    <t>SW-103249</t>
  </si>
  <si>
    <t>SW-103250</t>
  </si>
  <si>
    <t>SW-103251</t>
  </si>
  <si>
    <t>SW-103252</t>
  </si>
  <si>
    <t>SW-103253</t>
  </si>
  <si>
    <t>SW-103254</t>
  </si>
  <si>
    <t>SW-103255</t>
  </si>
  <si>
    <t>SW-103256</t>
  </si>
  <si>
    <t>SW-103257</t>
  </si>
  <si>
    <t>SW-103258</t>
  </si>
  <si>
    <t>SW-103259</t>
  </si>
  <si>
    <t>SW-103260</t>
  </si>
  <si>
    <t>SW-103261</t>
  </si>
  <si>
    <t>SW-103262</t>
  </si>
  <si>
    <t>SW-103263</t>
  </si>
  <si>
    <t>SW-103264</t>
  </si>
  <si>
    <t>SW-103265</t>
  </si>
  <si>
    <t>SW-103266</t>
  </si>
  <si>
    <t>SW-103267</t>
  </si>
  <si>
    <t>SW-103268</t>
  </si>
  <si>
    <t>SW-103269</t>
  </si>
  <si>
    <t>SW-103270</t>
  </si>
  <si>
    <t>SW-103271</t>
  </si>
  <si>
    <t>SW-103272</t>
  </si>
  <si>
    <t>SW-103273</t>
  </si>
  <si>
    <t>SW-103274</t>
  </si>
  <si>
    <t>SW-103275</t>
  </si>
  <si>
    <t>SW-103276</t>
  </si>
  <si>
    <t>SW-103277</t>
  </si>
  <si>
    <t>SW-103278</t>
  </si>
  <si>
    <t>SW-103279</t>
  </si>
  <si>
    <t>SW-103280</t>
  </si>
  <si>
    <t>SW-103281</t>
  </si>
  <si>
    <t>SW-103282</t>
  </si>
  <si>
    <t>SW-103283</t>
  </si>
  <si>
    <t>SW-103284</t>
  </si>
  <si>
    <t>SW-103285</t>
  </si>
  <si>
    <t>SW-103286</t>
  </si>
  <si>
    <t>SW-103287</t>
  </si>
  <si>
    <t>SW-103288</t>
  </si>
  <si>
    <t>SW-103289</t>
  </si>
  <si>
    <t>SW-103290</t>
  </si>
  <si>
    <t>SW-103291</t>
  </si>
  <si>
    <t>SW-103292</t>
  </si>
  <si>
    <t>SW-103293</t>
  </si>
  <si>
    <t>SW-103294</t>
  </si>
  <si>
    <t>SW-103295</t>
  </si>
  <si>
    <t>SW-103296</t>
  </si>
  <si>
    <t>SW-103297</t>
  </si>
  <si>
    <t>SW-103298</t>
  </si>
  <si>
    <t>SW-103299</t>
  </si>
  <si>
    <t>SW-103300</t>
  </si>
  <si>
    <t>SW-103301</t>
  </si>
  <si>
    <t>SW-103302</t>
  </si>
  <si>
    <t>SW-103303</t>
  </si>
  <si>
    <t>SW-103304</t>
  </si>
  <si>
    <t>SW-103305</t>
  </si>
  <si>
    <t>SW-103306</t>
  </si>
  <si>
    <t>SW-103307</t>
  </si>
  <si>
    <t>SW-103308</t>
  </si>
  <si>
    <t>SW-103309</t>
  </si>
  <si>
    <t>SW-103310</t>
  </si>
  <si>
    <t>SW-103311</t>
  </si>
  <si>
    <t>SW-103312</t>
  </si>
  <si>
    <t>SW-103313</t>
  </si>
  <si>
    <t>SW-103314</t>
  </si>
  <si>
    <t>SW-103315</t>
  </si>
  <si>
    <t>SW-103316</t>
  </si>
  <si>
    <t>SW-103317</t>
  </si>
  <si>
    <t>SW-103318</t>
  </si>
  <si>
    <t>SW-103319</t>
  </si>
  <si>
    <t>SW-103320</t>
  </si>
  <si>
    <t>SW-103321</t>
  </si>
  <si>
    <t>SW-103322</t>
  </si>
  <si>
    <t>SW-103323</t>
  </si>
  <si>
    <t>SW-103324</t>
  </si>
  <si>
    <t>SW-103325</t>
  </si>
  <si>
    <t>SW-103326</t>
  </si>
  <si>
    <t>SW-103327</t>
  </si>
  <si>
    <t>SW-103328</t>
  </si>
  <si>
    <t>SW-103329</t>
  </si>
  <si>
    <t>SW-103330</t>
  </si>
  <si>
    <t>SW-103331</t>
  </si>
  <si>
    <t>SW-103332</t>
  </si>
  <si>
    <t>SW-103333</t>
  </si>
  <si>
    <t>SW-103334</t>
  </si>
  <si>
    <t>SW-103335</t>
  </si>
  <si>
    <t>SW-103336</t>
  </si>
  <si>
    <t>SW-103337</t>
  </si>
  <si>
    <t>SW-103338</t>
  </si>
  <si>
    <t>SW-103339</t>
  </si>
  <si>
    <t>SW-103340</t>
  </si>
  <si>
    <t>SW-103341</t>
  </si>
  <si>
    <t>SW-103342</t>
  </si>
  <si>
    <t>SW-103343</t>
  </si>
  <si>
    <t>SW-103344</t>
  </si>
  <si>
    <t>SW-103345</t>
  </si>
  <si>
    <t>SW-103346</t>
  </si>
  <si>
    <t>SW-103347</t>
  </si>
  <si>
    <t>SW-103348</t>
  </si>
  <si>
    <t>SW-103349</t>
  </si>
  <si>
    <t>SW-103350</t>
  </si>
  <si>
    <t>SW-103351</t>
  </si>
  <si>
    <t>SW-103352</t>
  </si>
  <si>
    <t>SW-103353</t>
  </si>
  <si>
    <t>SW-103354</t>
  </si>
  <si>
    <t>SW-103355</t>
  </si>
  <si>
    <t>SW-103356</t>
  </si>
  <si>
    <t>SW-103357</t>
  </si>
  <si>
    <t>SW-103358</t>
  </si>
  <si>
    <t>SW-103359</t>
  </si>
  <si>
    <t>SW-103360</t>
  </si>
  <si>
    <t>SW-103361</t>
  </si>
  <si>
    <t>SW-103362</t>
  </si>
  <si>
    <t>SW-103363</t>
  </si>
  <si>
    <t>SW-103364</t>
  </si>
  <si>
    <t>SW-103365</t>
  </si>
  <si>
    <t>SW-103366</t>
  </si>
  <si>
    <t>SW-103367</t>
  </si>
  <si>
    <t>SW-103368</t>
  </si>
  <si>
    <t>SW-103369</t>
  </si>
  <si>
    <t>SW-103370</t>
  </si>
  <si>
    <t>SW-103371</t>
  </si>
  <si>
    <t>SW-103372</t>
  </si>
  <si>
    <t>SW-103373</t>
  </si>
  <si>
    <t>SW-103374</t>
  </si>
  <si>
    <t>SW-103375</t>
  </si>
  <si>
    <t>SW-103376</t>
  </si>
  <si>
    <t>SW-103377</t>
  </si>
  <si>
    <t>SW-103378</t>
  </si>
  <si>
    <t>SW-103379</t>
  </si>
  <si>
    <t>SW-103380</t>
  </si>
  <si>
    <t>SW-103381</t>
  </si>
  <si>
    <t>SW-103382</t>
  </si>
  <si>
    <t>SW-103383</t>
  </si>
  <si>
    <t>SW-103384</t>
  </si>
  <si>
    <t>SW-103385</t>
  </si>
  <si>
    <t>SW-103386</t>
  </si>
  <si>
    <t>SW-103387</t>
  </si>
  <si>
    <t>SW-103388</t>
  </si>
  <si>
    <t>SW-103389</t>
  </si>
  <si>
    <t>SW-103390</t>
  </si>
  <si>
    <t>SW-103391</t>
  </si>
  <si>
    <t>SW-103392</t>
  </si>
  <si>
    <t>SW-103393</t>
  </si>
  <si>
    <t>SW-103394</t>
  </si>
  <si>
    <t>SW-103395</t>
  </si>
  <si>
    <t>SW-103396</t>
  </si>
  <si>
    <t>SW-103397</t>
  </si>
  <si>
    <t>SW-103398</t>
  </si>
  <si>
    <t>SW-103399</t>
  </si>
  <si>
    <t>SW-103400</t>
  </si>
  <si>
    <t>SW-103401</t>
  </si>
  <si>
    <t>SW-103402</t>
  </si>
  <si>
    <t>SW-103403</t>
  </si>
  <si>
    <t>SW-103404</t>
  </si>
  <si>
    <t>SW-103405</t>
  </si>
  <si>
    <t>SW-103406</t>
  </si>
  <si>
    <t>SW-103407</t>
  </si>
  <si>
    <t>SW-103408</t>
  </si>
  <si>
    <t>SW-103409</t>
  </si>
  <si>
    <t>SW-103410</t>
  </si>
  <si>
    <t>SW-103411</t>
  </si>
  <si>
    <t>SW-103412</t>
  </si>
  <si>
    <t>SW-103413</t>
  </si>
  <si>
    <t>SW-103414</t>
  </si>
  <si>
    <t>SW-103415</t>
  </si>
  <si>
    <t>SW-103416</t>
  </si>
  <si>
    <t>SW-103417</t>
  </si>
  <si>
    <t>SW-103418</t>
  </si>
  <si>
    <t>SW-103419</t>
  </si>
  <si>
    <t>SW-103420</t>
  </si>
  <si>
    <t>SW-103421</t>
  </si>
  <si>
    <t>SW-103422</t>
  </si>
  <si>
    <t>SW-103423</t>
  </si>
  <si>
    <t>SW-103424</t>
  </si>
  <si>
    <t>SW-103425</t>
  </si>
  <si>
    <t>SW-103426</t>
  </si>
  <si>
    <t>SW-103427</t>
  </si>
  <si>
    <t>SW-103428</t>
  </si>
  <si>
    <t>SW-103429</t>
  </si>
  <si>
    <t>SW-103430</t>
  </si>
  <si>
    <t>SW-103431</t>
  </si>
  <si>
    <t>SW-103432</t>
  </si>
  <si>
    <t>SW-103433</t>
  </si>
  <si>
    <t>SW-103434</t>
  </si>
  <si>
    <t>SW-103435</t>
  </si>
  <si>
    <t>SW-103436</t>
  </si>
  <si>
    <t>SW-103437</t>
  </si>
  <si>
    <t>SW-103438</t>
  </si>
  <si>
    <t>SW-103439</t>
  </si>
  <si>
    <t>SW-103440</t>
  </si>
  <si>
    <t>SW-103441</t>
  </si>
  <si>
    <t>SW-103442</t>
  </si>
  <si>
    <t>SW-103443</t>
  </si>
  <si>
    <t>SW-103444</t>
  </si>
  <si>
    <t>SW-103445</t>
  </si>
  <si>
    <t>SW-103446</t>
  </si>
  <si>
    <t>SW-103447</t>
  </si>
  <si>
    <t>SW-103448</t>
  </si>
  <si>
    <t>SW-103449</t>
  </si>
  <si>
    <t>SW-103450</t>
  </si>
  <si>
    <t>SW-103451</t>
  </si>
  <si>
    <t>SW-103452</t>
  </si>
  <si>
    <t>SW-103453</t>
  </si>
  <si>
    <t>SW-103454</t>
  </si>
  <si>
    <t>SW-103455</t>
  </si>
  <si>
    <t>SW-103456</t>
  </si>
  <si>
    <t>SW-103457</t>
  </si>
  <si>
    <t>SW-103458</t>
  </si>
  <si>
    <t>SW-103459</t>
  </si>
  <si>
    <t>SW-103460</t>
  </si>
  <si>
    <t>SW-103461</t>
  </si>
  <si>
    <t>SW-103462</t>
  </si>
  <si>
    <t>SW-103463</t>
  </si>
  <si>
    <t>SW-103464</t>
  </si>
  <si>
    <t>SW-103465</t>
  </si>
  <si>
    <t>SW-103466</t>
  </si>
  <si>
    <t>SW-103467</t>
  </si>
  <si>
    <t>SW-103468</t>
  </si>
  <si>
    <t>SW-103469</t>
  </si>
  <si>
    <t>SW-103470</t>
  </si>
  <si>
    <t>SW-103471</t>
  </si>
  <si>
    <t>SW-103472</t>
  </si>
  <si>
    <t>SW-103473</t>
  </si>
  <si>
    <t>SW-103474</t>
  </si>
  <si>
    <t>SW-103475</t>
  </si>
  <si>
    <t>SW-103476</t>
  </si>
  <si>
    <t>SW-103477</t>
  </si>
  <si>
    <t>SW-103478</t>
  </si>
  <si>
    <t>SW-103479</t>
  </si>
  <si>
    <t>SW-103480</t>
  </si>
  <si>
    <t>SW-103481</t>
  </si>
  <si>
    <t>SW-103482</t>
  </si>
  <si>
    <t>SW-103483</t>
  </si>
  <si>
    <t>SW-103484</t>
  </si>
  <si>
    <t>SW-103485</t>
  </si>
  <si>
    <t>SW-103486</t>
  </si>
  <si>
    <t>SW-103487</t>
  </si>
  <si>
    <t>SW-103488</t>
  </si>
  <si>
    <t>SW-103489</t>
  </si>
  <si>
    <t>SW-103490</t>
  </si>
  <si>
    <t>SW-103491</t>
  </si>
  <si>
    <t>SW-103492</t>
  </si>
  <si>
    <t>SW-103493</t>
  </si>
  <si>
    <t>SW-103494</t>
  </si>
  <si>
    <t>SW-103495</t>
  </si>
  <si>
    <t>SW-103496</t>
  </si>
  <si>
    <t>SW-103497</t>
  </si>
  <si>
    <t>SW-103498</t>
  </si>
  <si>
    <t>SW-103499</t>
  </si>
  <si>
    <t>SW-103500</t>
  </si>
  <si>
    <t>SW-103501</t>
  </si>
  <si>
    <t>SW-103502</t>
  </si>
  <si>
    <t>SW-103503</t>
  </si>
  <si>
    <t>SW-103504</t>
  </si>
  <si>
    <t>SW-103505</t>
  </si>
  <si>
    <t>SW-103506</t>
  </si>
  <si>
    <t>SW-103507</t>
  </si>
  <si>
    <t>SW-103508</t>
  </si>
  <si>
    <t>SW-103509</t>
  </si>
  <si>
    <t>SW-103510</t>
  </si>
  <si>
    <t>SW-103511</t>
  </si>
  <si>
    <t>SW-103512</t>
  </si>
  <si>
    <t>SW-103513</t>
  </si>
  <si>
    <t>SW-103514</t>
  </si>
  <si>
    <t>SW-103515</t>
  </si>
  <si>
    <t>SW-103516</t>
  </si>
  <si>
    <t>SW-103517</t>
  </si>
  <si>
    <t>SW-103518</t>
  </si>
  <si>
    <t>SW-103519</t>
  </si>
  <si>
    <t>SW-103520</t>
  </si>
  <si>
    <t>SW-103521</t>
  </si>
  <si>
    <t>SW-103522</t>
  </si>
  <si>
    <t>SW-103523</t>
  </si>
  <si>
    <t>SW-103524</t>
  </si>
  <si>
    <t>SW-103525</t>
  </si>
  <si>
    <t>SW-103526</t>
  </si>
  <si>
    <t>SW-103527</t>
  </si>
  <si>
    <t>SW-103528</t>
  </si>
  <si>
    <t>SW-103529</t>
  </si>
  <si>
    <t>SW-103530</t>
  </si>
  <si>
    <t>SW-103531</t>
  </si>
  <si>
    <t>SW-103532</t>
  </si>
  <si>
    <t>SW-103533</t>
  </si>
  <si>
    <t>SW-103534</t>
  </si>
  <si>
    <t>SW-103535</t>
  </si>
  <si>
    <t>SW-103536</t>
  </si>
  <si>
    <t>SW-103537</t>
  </si>
  <si>
    <t>SW-103538</t>
  </si>
  <si>
    <t>SW-103539</t>
  </si>
  <si>
    <t>SW-103540</t>
  </si>
  <si>
    <t>SW-103541</t>
  </si>
  <si>
    <t>SW-103542</t>
  </si>
  <si>
    <t>SW-103543</t>
  </si>
  <si>
    <t>SW-103544</t>
  </si>
  <si>
    <t>SW-103545</t>
  </si>
  <si>
    <t>SW-103546</t>
  </si>
  <si>
    <t>SW-103547</t>
  </si>
  <si>
    <t>SW-103548</t>
  </si>
  <si>
    <t>SW-103549</t>
  </si>
  <si>
    <t>SW-103550</t>
  </si>
  <si>
    <t>SW-103551</t>
  </si>
  <si>
    <t>SW-103552</t>
  </si>
  <si>
    <t>SW-103553</t>
  </si>
  <si>
    <t>SW-103554</t>
  </si>
  <si>
    <t>SW-103555</t>
  </si>
  <si>
    <t>SW-103556</t>
  </si>
  <si>
    <t>SW-103557</t>
  </si>
  <si>
    <t>SW-103558</t>
  </si>
  <si>
    <t>SW-103559</t>
  </si>
  <si>
    <t>SW-103560</t>
  </si>
  <si>
    <t>SW-103561</t>
  </si>
  <si>
    <t>SW-103562</t>
  </si>
  <si>
    <t>SW-103563</t>
  </si>
  <si>
    <t>SW-103564</t>
  </si>
  <si>
    <t>SW-103565</t>
  </si>
  <si>
    <t>SW-103566</t>
  </si>
  <si>
    <t>SW-103567</t>
  </si>
  <si>
    <t>SW-103568</t>
  </si>
  <si>
    <t>SW-103569</t>
  </si>
  <si>
    <t>SW-103570</t>
  </si>
  <si>
    <t>SW-103571</t>
  </si>
  <si>
    <t>SW-103572</t>
  </si>
  <si>
    <t>SW-103573</t>
  </si>
  <si>
    <t>SW-103574</t>
  </si>
  <si>
    <t>SW-103575</t>
  </si>
  <si>
    <t>SW-103576</t>
  </si>
  <si>
    <t>SW-103577</t>
  </si>
  <si>
    <t>SW-103578</t>
  </si>
  <si>
    <t>SW-103579</t>
  </si>
  <si>
    <t>SW-103580</t>
  </si>
  <si>
    <t>SW-103581</t>
  </si>
  <si>
    <t>SW-103582</t>
  </si>
  <si>
    <t>SW-103583</t>
  </si>
  <si>
    <t>SW-103584</t>
  </si>
  <si>
    <t>SW-103585</t>
  </si>
  <si>
    <t>SW-103586</t>
  </si>
  <si>
    <t>SW-103587</t>
  </si>
  <si>
    <t>SW-103588</t>
  </si>
  <si>
    <t>SW-103589</t>
  </si>
  <si>
    <t>SW-103590</t>
  </si>
  <si>
    <t>SW-103591</t>
  </si>
  <si>
    <t>SW-103592</t>
  </si>
  <si>
    <t>SW-103593</t>
  </si>
  <si>
    <t>SW-103594</t>
  </si>
  <si>
    <t>SW-103595</t>
  </si>
  <si>
    <t>SW-103596</t>
  </si>
  <si>
    <t>SW-103597</t>
  </si>
  <si>
    <t>SW-103598</t>
  </si>
  <si>
    <t>SW-103599</t>
  </si>
  <si>
    <t>SW-103600</t>
  </si>
  <si>
    <t>SW-103601</t>
  </si>
  <si>
    <t>SW-103602</t>
  </si>
  <si>
    <t>SW-103603</t>
  </si>
  <si>
    <t>SW-103604</t>
  </si>
  <si>
    <t>SW-103605</t>
  </si>
  <si>
    <t>SW-103606</t>
  </si>
  <si>
    <t>SW-103607</t>
  </si>
  <si>
    <t>SW-103608</t>
  </si>
  <si>
    <t>SW-103609</t>
  </si>
  <si>
    <t>SW-103610</t>
  </si>
  <si>
    <t>SW-103611</t>
  </si>
  <si>
    <t>SW-103612</t>
  </si>
  <si>
    <t>SW-103613</t>
  </si>
  <si>
    <t>SW-103614</t>
  </si>
  <si>
    <t>SW-103615</t>
  </si>
  <si>
    <t>SW-103616</t>
  </si>
  <si>
    <t>SW-103617</t>
  </si>
  <si>
    <t>SW-103618</t>
  </si>
  <si>
    <t>SW-103619</t>
  </si>
  <si>
    <t>SW-103620</t>
  </si>
  <si>
    <t>SW-103621</t>
  </si>
  <si>
    <t>SW-103622</t>
  </si>
  <si>
    <t>SW-103623</t>
  </si>
  <si>
    <t>SW-103624</t>
  </si>
  <si>
    <t>SW-103625</t>
  </si>
  <si>
    <t>SW-103626</t>
  </si>
  <si>
    <t>SW-103627</t>
  </si>
  <si>
    <t>SW-103628</t>
  </si>
  <si>
    <t>SW-103629</t>
  </si>
  <si>
    <t>SW-103630</t>
  </si>
  <si>
    <t>SW-103631</t>
  </si>
  <si>
    <t>SW-103632</t>
  </si>
  <si>
    <t>SW-103633</t>
  </si>
  <si>
    <t>SW-103634</t>
  </si>
  <si>
    <t>SW-103635</t>
  </si>
  <si>
    <t>SW-103636</t>
  </si>
  <si>
    <t>SW-103637</t>
  </si>
  <si>
    <t>SW-103638</t>
  </si>
  <si>
    <t>SW-103639</t>
  </si>
  <si>
    <t>SW-103640</t>
  </si>
  <si>
    <t>SW-103641</t>
  </si>
  <si>
    <t>SW-103642</t>
  </si>
  <si>
    <t>SW-103643</t>
  </si>
  <si>
    <t>SW-103644</t>
  </si>
  <si>
    <t>SW-103645</t>
  </si>
  <si>
    <t>SW-103646</t>
  </si>
  <si>
    <t>SW-103647</t>
  </si>
  <si>
    <t>SW-103648</t>
  </si>
  <si>
    <t>SW-103649</t>
  </si>
  <si>
    <t>SW-103650</t>
  </si>
  <si>
    <t>SW-103651</t>
  </si>
  <si>
    <t>SW-103652</t>
  </si>
  <si>
    <t>SW-103653</t>
  </si>
  <si>
    <t>SW-103654</t>
  </si>
  <si>
    <t>SW-103655</t>
  </si>
  <si>
    <t>SW-103656</t>
  </si>
  <si>
    <t>SW-103657</t>
  </si>
  <si>
    <t>SW-103658</t>
  </si>
  <si>
    <t>SW-103659</t>
  </si>
  <si>
    <t>SW-103660</t>
  </si>
  <si>
    <t>SW-103661</t>
  </si>
  <si>
    <t>SW-103662</t>
  </si>
  <si>
    <t>SW-103663</t>
  </si>
  <si>
    <t>SW-103664</t>
  </si>
  <si>
    <t>SW-103665</t>
  </si>
  <si>
    <t>SW-103666</t>
  </si>
  <si>
    <t>SW-103667</t>
  </si>
  <si>
    <t>SW-103668</t>
  </si>
  <si>
    <t>SW-103669</t>
  </si>
  <si>
    <t>SW-103670</t>
  </si>
  <si>
    <t>SW-103671</t>
  </si>
  <si>
    <t>SW-103672</t>
  </si>
  <si>
    <t>SW-103673</t>
  </si>
  <si>
    <t>SW-103674</t>
  </si>
  <si>
    <t>SW-103675</t>
  </si>
  <si>
    <t>SW-103676</t>
  </si>
  <si>
    <t>SW-103677</t>
  </si>
  <si>
    <t>SW-103678</t>
  </si>
  <si>
    <t>SW-103679</t>
  </si>
  <si>
    <t>SW-103680</t>
  </si>
  <si>
    <t>SW-103681</t>
  </si>
  <si>
    <t>SW-103682</t>
  </si>
  <si>
    <t>SW-103683</t>
  </si>
  <si>
    <t>SW-103684</t>
  </si>
  <si>
    <t>SW-103685</t>
  </si>
  <si>
    <t>SW-103686</t>
  </si>
  <si>
    <t>SW-103687</t>
  </si>
  <si>
    <t>SW-103688</t>
  </si>
  <si>
    <t>SW-103689</t>
  </si>
  <si>
    <t>SW-103690</t>
  </si>
  <si>
    <t>SW-103691</t>
  </si>
  <si>
    <t>SW-103692</t>
  </si>
  <si>
    <t>SW-103693</t>
  </si>
  <si>
    <t>SW-103694</t>
  </si>
  <si>
    <t>SW-103695</t>
  </si>
  <si>
    <t>SW-103696</t>
  </si>
  <si>
    <t>SW-103697</t>
  </si>
  <si>
    <t>SW-103698</t>
  </si>
  <si>
    <t>SW-103699</t>
  </si>
  <si>
    <t>SW-103700</t>
  </si>
  <si>
    <t>SW-103701</t>
  </si>
  <si>
    <t>SW-103702</t>
  </si>
  <si>
    <t>SW-103703</t>
  </si>
  <si>
    <t>SW-103704</t>
  </si>
  <si>
    <t>SW-103705</t>
  </si>
  <si>
    <t>SW-103706</t>
  </si>
  <si>
    <t>SW-103707</t>
  </si>
  <si>
    <t>SW-103708</t>
  </si>
  <si>
    <t>SW-103709</t>
  </si>
  <si>
    <t>SW-103710</t>
  </si>
  <si>
    <t>SW-103711</t>
  </si>
  <si>
    <t>SW-103712</t>
  </si>
  <si>
    <t>SW-103713</t>
  </si>
  <si>
    <t>SW-103714</t>
  </si>
  <si>
    <t>SW-103715</t>
  </si>
  <si>
    <t>SW-103716</t>
  </si>
  <si>
    <t>SW-103717</t>
  </si>
  <si>
    <t>SW-103718</t>
  </si>
  <si>
    <t>SW-103719</t>
  </si>
  <si>
    <t>SW-103720</t>
  </si>
  <si>
    <t>SW-103721</t>
  </si>
  <si>
    <t>SW-103722</t>
  </si>
  <si>
    <t>SW-103723</t>
  </si>
  <si>
    <t>SW-103724</t>
  </si>
  <si>
    <t>SW-103725</t>
  </si>
  <si>
    <t>SW-103726</t>
  </si>
  <si>
    <t>SW-103727</t>
  </si>
  <si>
    <t>SW-103728</t>
  </si>
  <si>
    <t>SW-103729</t>
  </si>
  <si>
    <t>SW-103730</t>
  </si>
  <si>
    <t>SW-103731</t>
  </si>
  <si>
    <t>SW-103732</t>
  </si>
  <si>
    <t>SW-103733</t>
  </si>
  <si>
    <t>SW-103734</t>
  </si>
  <si>
    <t>SW-103735</t>
  </si>
  <si>
    <t>SW-103736</t>
  </si>
  <si>
    <t>SW-103737</t>
  </si>
  <si>
    <t>SW-103738</t>
  </si>
  <si>
    <t>SW-103739</t>
  </si>
  <si>
    <t>SW-103740</t>
  </si>
  <si>
    <t>SW-103741</t>
  </si>
  <si>
    <t>SW-103742</t>
  </si>
  <si>
    <t>SW-103743</t>
  </si>
  <si>
    <t>SW-103744</t>
  </si>
  <si>
    <t>SW-103745</t>
  </si>
  <si>
    <t>SW-103746</t>
  </si>
  <si>
    <t>SW-103747</t>
  </si>
  <si>
    <t>SW-103748</t>
  </si>
  <si>
    <t>SW-103749</t>
  </si>
  <si>
    <t>SW-103750</t>
  </si>
  <si>
    <t>SW-103751</t>
  </si>
  <si>
    <t>SW-103752</t>
  </si>
  <si>
    <t>SW-103753</t>
  </si>
  <si>
    <t>SW-103754</t>
  </si>
  <si>
    <t>SW-103755</t>
  </si>
  <si>
    <t>SW-103756</t>
  </si>
  <si>
    <t>SW-103757</t>
  </si>
  <si>
    <t>SW-103758</t>
  </si>
  <si>
    <t>SW-103759</t>
  </si>
  <si>
    <t>SW-103760</t>
  </si>
  <si>
    <t>SW-103761</t>
  </si>
  <si>
    <t>SW-103762</t>
  </si>
  <si>
    <t>SW-103763</t>
  </si>
  <si>
    <t>SW-103764</t>
  </si>
  <si>
    <t>SW-103765</t>
  </si>
  <si>
    <t>SW-103766</t>
  </si>
  <si>
    <t>SW-103767</t>
  </si>
  <si>
    <t>SW-103768</t>
  </si>
  <si>
    <t>SW-103769</t>
  </si>
  <si>
    <t>SW-103770</t>
  </si>
  <si>
    <t>SW-103771</t>
  </si>
  <si>
    <t>SW-103772</t>
  </si>
  <si>
    <t>SW-103773</t>
  </si>
  <si>
    <t>SW-103774</t>
  </si>
  <si>
    <t>SW-103775</t>
  </si>
  <si>
    <t>SW-103776</t>
  </si>
  <si>
    <t>SW-103777</t>
  </si>
  <si>
    <t>SW-103778</t>
  </si>
  <si>
    <t>SW-103779</t>
  </si>
  <si>
    <t>SW-103780</t>
  </si>
  <si>
    <t>SW-103781</t>
  </si>
  <si>
    <t>SW-103782</t>
  </si>
  <si>
    <t>SW-103783</t>
  </si>
  <si>
    <t>SW-103784</t>
  </si>
  <si>
    <t>SW-103785</t>
  </si>
  <si>
    <t>SW-103786</t>
  </si>
  <si>
    <t>SW-103787</t>
  </si>
  <si>
    <t>SW-103788</t>
  </si>
  <si>
    <t>SW-103789</t>
  </si>
  <si>
    <t>SW-103790</t>
  </si>
  <si>
    <t>SW-103791</t>
  </si>
  <si>
    <t>SW-103792</t>
  </si>
  <si>
    <t>SW-103793</t>
  </si>
  <si>
    <t>SW-103794</t>
  </si>
  <si>
    <t>SW-103795</t>
  </si>
  <si>
    <t>SW-103796</t>
  </si>
  <si>
    <t>SW-103797</t>
  </si>
  <si>
    <t>SW-103798</t>
  </si>
  <si>
    <t>SW-103799</t>
  </si>
  <si>
    <t>SW-103800</t>
  </si>
  <si>
    <t>SW-103801</t>
  </si>
  <si>
    <t>SW-103802</t>
  </si>
  <si>
    <t>SW-103803</t>
  </si>
  <si>
    <t>SW-103804</t>
  </si>
  <si>
    <t>SW-103805</t>
  </si>
  <si>
    <t>SW-103806</t>
  </si>
  <si>
    <t>SW-103807</t>
  </si>
  <si>
    <t>SW-103808</t>
  </si>
  <si>
    <t>SW-103809</t>
  </si>
  <si>
    <t>SW-103810</t>
  </si>
  <si>
    <t>SW-103811</t>
  </si>
  <si>
    <t>SW-103812</t>
  </si>
  <si>
    <t>SW-103813</t>
  </si>
  <si>
    <t>SW-103814</t>
  </si>
  <si>
    <t>SW-103815</t>
  </si>
  <si>
    <t>SW-103816</t>
  </si>
  <si>
    <t>SW-103817</t>
  </si>
  <si>
    <t>SW-103818</t>
  </si>
  <si>
    <t>SW-103819</t>
  </si>
  <si>
    <t>SW-103820</t>
  </si>
  <si>
    <t>SW-103821</t>
  </si>
  <si>
    <t>SW-103822</t>
  </si>
  <si>
    <t>SW-103823</t>
  </si>
  <si>
    <t>SW-103824</t>
  </si>
  <si>
    <t>SW-103825</t>
  </si>
  <si>
    <t>SW-103826</t>
  </si>
  <si>
    <t>SW-103827</t>
  </si>
  <si>
    <t>SW-103828</t>
  </si>
  <si>
    <t>SW-103829</t>
  </si>
  <si>
    <t>SW-103830</t>
  </si>
  <si>
    <t>SW-103831</t>
  </si>
  <si>
    <t>SW-103832</t>
  </si>
  <si>
    <t>SW-103833</t>
  </si>
  <si>
    <t>SW-103834</t>
  </si>
  <si>
    <t>SW-103835</t>
  </si>
  <si>
    <t>SW-103836</t>
  </si>
  <si>
    <t>SW-103837</t>
  </si>
  <si>
    <t>SW-103838</t>
  </si>
  <si>
    <t>SW-103839</t>
  </si>
  <si>
    <t>SW-103840</t>
  </si>
  <si>
    <t>SW-103841</t>
  </si>
  <si>
    <t>SW-103842</t>
  </si>
  <si>
    <t>SW-103843</t>
  </si>
  <si>
    <t>SW-103844</t>
  </si>
  <si>
    <t>SW-103845</t>
  </si>
  <si>
    <t>SW-103846</t>
  </si>
  <si>
    <t>SW-103847</t>
  </si>
  <si>
    <t>SW-103848</t>
  </si>
  <si>
    <t>SW-103849</t>
  </si>
  <si>
    <t>SW-103850</t>
  </si>
  <si>
    <t>SW-103851</t>
  </si>
  <si>
    <t>SW-103852</t>
  </si>
  <si>
    <t>SW-103853</t>
  </si>
  <si>
    <t>SW-103854</t>
  </si>
  <si>
    <t>SW-103855</t>
  </si>
  <si>
    <t>SW-103856</t>
  </si>
  <si>
    <t>SW-103857</t>
  </si>
  <si>
    <t>SW-103858</t>
  </si>
  <si>
    <t>SW-103859</t>
  </si>
  <si>
    <t>SW-103860</t>
  </si>
  <si>
    <t>SW-103861</t>
  </si>
  <si>
    <t>SW-103862</t>
  </si>
  <si>
    <t>SW-103863</t>
  </si>
  <si>
    <t>SW-103864</t>
  </si>
  <si>
    <t>SW-103865</t>
  </si>
  <si>
    <t>SW-103866</t>
  </si>
  <si>
    <t>SW-103867</t>
  </si>
  <si>
    <t>SW-103868</t>
  </si>
  <si>
    <t>SW-103869</t>
  </si>
  <si>
    <t>SW-103870</t>
  </si>
  <si>
    <t>SW-103871</t>
  </si>
  <si>
    <t>SW-103872</t>
  </si>
  <si>
    <t>SW-103873</t>
  </si>
  <si>
    <t>SW-103874</t>
  </si>
  <si>
    <t>SW-103875</t>
  </si>
  <si>
    <t>SW-103876</t>
  </si>
  <si>
    <t>SW-103877</t>
  </si>
  <si>
    <t>SW-103878</t>
  </si>
  <si>
    <t>SW-103879</t>
  </si>
  <si>
    <t>SW-103880</t>
  </si>
  <si>
    <t>SW-103881</t>
  </si>
  <si>
    <t>SW-103882</t>
  </si>
  <si>
    <t>SW-103883</t>
  </si>
  <si>
    <t>SW-103884</t>
  </si>
  <si>
    <t>SW-103885</t>
  </si>
  <si>
    <t>SW-103886</t>
  </si>
  <si>
    <t>SW-103887</t>
  </si>
  <si>
    <t>SW-103888</t>
  </si>
  <si>
    <t>SW-103889</t>
  </si>
  <si>
    <t>SW-103890</t>
  </si>
  <si>
    <t>SW-103891</t>
  </si>
  <si>
    <t>SW-103892</t>
  </si>
  <si>
    <t>SW-103893</t>
  </si>
  <si>
    <t>SW-103894</t>
  </si>
  <si>
    <t>SW-103895</t>
  </si>
  <si>
    <t>SW-103896</t>
  </si>
  <si>
    <t>SW-103897</t>
  </si>
  <si>
    <t>SW-103898</t>
  </si>
  <si>
    <t>SW-103899</t>
  </si>
  <si>
    <t>SW-103900</t>
  </si>
  <si>
    <t>SW-103901</t>
  </si>
  <si>
    <t>SW-103902</t>
  </si>
  <si>
    <t>SW-103903</t>
  </si>
  <si>
    <t>SW-103904</t>
  </si>
  <si>
    <t>SW-103905</t>
  </si>
  <si>
    <t>SW-103906</t>
  </si>
  <si>
    <t>SW-103907</t>
  </si>
  <si>
    <t>SW-103908</t>
  </si>
  <si>
    <t>SW-103909</t>
  </si>
  <si>
    <t>SW-103910</t>
  </si>
  <si>
    <t>SW-103911</t>
  </si>
  <si>
    <t>SW-103912</t>
  </si>
  <si>
    <t>SW-103913</t>
  </si>
  <si>
    <t>SW-103914</t>
  </si>
  <si>
    <t>SW-103915</t>
  </si>
  <si>
    <t>SW-103916</t>
  </si>
  <si>
    <t>SW-103917</t>
  </si>
  <si>
    <t>SW-103918</t>
  </si>
  <si>
    <t>SW-103919</t>
  </si>
  <si>
    <t>SW-103920</t>
  </si>
  <si>
    <t>SW-103921</t>
  </si>
  <si>
    <t>SW-103922</t>
  </si>
  <si>
    <t>SW-103923</t>
  </si>
  <si>
    <t>SW-103924</t>
  </si>
  <si>
    <t>SW-103925</t>
  </si>
  <si>
    <t>SW-103926</t>
  </si>
  <si>
    <t>SW-103927</t>
  </si>
  <si>
    <t>SW-103928</t>
  </si>
  <si>
    <t>SW-103929</t>
  </si>
  <si>
    <t>SW-103930</t>
  </si>
  <si>
    <t>SW-103931</t>
  </si>
  <si>
    <t>SW-103932</t>
  </si>
  <si>
    <t>SW-103933</t>
  </si>
  <si>
    <t>SW-103934</t>
  </si>
  <si>
    <t>SW-103935</t>
  </si>
  <si>
    <t>SW-103936</t>
  </si>
  <si>
    <t>SW-103937</t>
  </si>
  <si>
    <t>SW-103938</t>
  </si>
  <si>
    <t>SW-103939</t>
  </si>
  <si>
    <t>SW-103940</t>
  </si>
  <si>
    <t>SW-103941</t>
  </si>
  <si>
    <t>SW-103942</t>
  </si>
  <si>
    <t>SW-103943</t>
  </si>
  <si>
    <t>SW-103944</t>
  </si>
  <si>
    <t>SW-103945</t>
  </si>
  <si>
    <t>SW-103946</t>
  </si>
  <si>
    <t>SW-103947</t>
  </si>
  <si>
    <t>SW-103948</t>
  </si>
  <si>
    <t>SW-103949</t>
  </si>
  <si>
    <t>SW-103950</t>
  </si>
  <si>
    <t>SW-103951</t>
  </si>
  <si>
    <t>SW-103952</t>
  </si>
  <si>
    <t>SW-103953</t>
  </si>
  <si>
    <t>SW-103954</t>
  </si>
  <si>
    <t>SW-103955</t>
  </si>
  <si>
    <t>SW-103956</t>
  </si>
  <si>
    <t>SW-103957</t>
  </si>
  <si>
    <t>SW-103958</t>
  </si>
  <si>
    <t>SW-103959</t>
  </si>
  <si>
    <t>SW-103960</t>
  </si>
  <si>
    <t>SW-103961</t>
  </si>
  <si>
    <t>SW-103962</t>
  </si>
  <si>
    <t>SW-103963</t>
  </si>
  <si>
    <t>SW-103964</t>
  </si>
  <si>
    <t>SW-103965</t>
  </si>
  <si>
    <t>SW-103966</t>
  </si>
  <si>
    <t>SW-103967</t>
  </si>
  <si>
    <t>SW-103968</t>
  </si>
  <si>
    <t>SW-103969</t>
  </si>
  <si>
    <t>SW-103970</t>
  </si>
  <si>
    <t>SW-103971</t>
  </si>
  <si>
    <t>SW-103972</t>
  </si>
  <si>
    <t>SW-103973</t>
  </si>
  <si>
    <t>SW-103974</t>
  </si>
  <si>
    <t>SW-103975</t>
  </si>
  <si>
    <t>SW-103976</t>
  </si>
  <si>
    <t>SW-103977</t>
  </si>
  <si>
    <t>SW-103978</t>
  </si>
  <si>
    <t>SW-103979</t>
  </si>
  <si>
    <t>SW-103980</t>
  </si>
  <si>
    <t>SW-103981</t>
  </si>
  <si>
    <t>SW-103982</t>
  </si>
  <si>
    <t>SW-103983</t>
  </si>
  <si>
    <t>SW-103984</t>
  </si>
  <si>
    <t>SW-103985</t>
  </si>
  <si>
    <t>SW-103986</t>
  </si>
  <si>
    <t>SW-103987</t>
  </si>
  <si>
    <t>SW-103988</t>
  </si>
  <si>
    <t>SW-103989</t>
  </si>
  <si>
    <t>SW-103990</t>
  </si>
  <si>
    <t>SW-103991</t>
  </si>
  <si>
    <t>SW-103992</t>
  </si>
  <si>
    <t>SW-103993</t>
  </si>
  <si>
    <t>SW-103994</t>
  </si>
  <si>
    <t>SW-103995</t>
  </si>
  <si>
    <t>SW-103996</t>
  </si>
  <si>
    <t>SW-103997</t>
  </si>
  <si>
    <t>SW-103998</t>
  </si>
  <si>
    <t>SW-103999</t>
  </si>
  <si>
    <t>SW-104000</t>
  </si>
  <si>
    <t>SW-104001</t>
  </si>
  <si>
    <t>SW-104002</t>
  </si>
  <si>
    <t>SW-104003</t>
  </si>
  <si>
    <t>SW-104004</t>
  </si>
  <si>
    <t>SW-104005</t>
  </si>
  <si>
    <t>SW-104006</t>
  </si>
  <si>
    <t>SW-104007</t>
  </si>
  <si>
    <t>SW-104008</t>
  </si>
  <si>
    <t>SW-104009</t>
  </si>
  <si>
    <t>SW-104010</t>
  </si>
  <si>
    <t>SW-104011</t>
  </si>
  <si>
    <t>SW-104012</t>
  </si>
  <si>
    <t>SW-104013</t>
  </si>
  <si>
    <t>SW-104014</t>
  </si>
  <si>
    <t>SW-104015</t>
  </si>
  <si>
    <t>SW-104016</t>
  </si>
  <si>
    <t>SW-104017</t>
  </si>
  <si>
    <t>SW-104018</t>
  </si>
  <si>
    <t>SW-104019</t>
  </si>
  <si>
    <t>SW-104020</t>
  </si>
  <si>
    <t>SW-104021</t>
  </si>
  <si>
    <t>SW-104022</t>
  </si>
  <si>
    <t>SW-104023</t>
  </si>
  <si>
    <t>SW-104024</t>
  </si>
  <si>
    <t>SW-104025</t>
  </si>
  <si>
    <t>SW-104026</t>
  </si>
  <si>
    <t>SW-104027</t>
  </si>
  <si>
    <t>SW-104028</t>
  </si>
  <si>
    <t>SW-104029</t>
  </si>
  <si>
    <t>SW-104030</t>
  </si>
  <si>
    <t>SW-104031</t>
  </si>
  <si>
    <t>SW-104032</t>
  </si>
  <si>
    <t>SW-104033</t>
  </si>
  <si>
    <t>SW-104034</t>
  </si>
  <si>
    <t>SW-104035</t>
  </si>
  <si>
    <t>SW-104036</t>
  </si>
  <si>
    <t>SW-104037</t>
  </si>
  <si>
    <t>SW-104038</t>
  </si>
  <si>
    <t>SW-104039</t>
  </si>
  <si>
    <t>SW-104040</t>
  </si>
  <si>
    <t>SW-104041</t>
  </si>
  <si>
    <t>SW-104042</t>
  </si>
  <si>
    <t>SW-104043</t>
  </si>
  <si>
    <t>SW-104044</t>
  </si>
  <si>
    <t>SW-104045</t>
  </si>
  <si>
    <t>SW-104046</t>
  </si>
  <si>
    <t>SW-104047</t>
  </si>
  <si>
    <t>SW-104048</t>
  </si>
  <si>
    <t>SW-104049</t>
  </si>
  <si>
    <t>SW-104050</t>
  </si>
  <si>
    <t>SW-104051</t>
  </si>
  <si>
    <t>SW-104052</t>
  </si>
  <si>
    <t>SW-104053</t>
  </si>
  <si>
    <t>SW-104054</t>
  </si>
  <si>
    <t>SW-104055</t>
  </si>
  <si>
    <t>SW-104056</t>
  </si>
  <si>
    <t>SW-104057</t>
  </si>
  <si>
    <t>SW-104058</t>
  </si>
  <si>
    <t>SW-104059</t>
  </si>
  <si>
    <t>SW-104060</t>
  </si>
  <si>
    <t>SW-104061</t>
  </si>
  <si>
    <t>SW-104062</t>
  </si>
  <si>
    <t>SW-104063</t>
  </si>
  <si>
    <t>SW-104064</t>
  </si>
  <si>
    <t>SW-104065</t>
  </si>
  <si>
    <t>SW-104066</t>
  </si>
  <si>
    <t>SW-104067</t>
  </si>
  <si>
    <t>SW-104068</t>
  </si>
  <si>
    <t>SW-104069</t>
  </si>
  <si>
    <t>SW-104070</t>
  </si>
  <si>
    <t>SW-104071</t>
  </si>
  <si>
    <t>SW-104072</t>
  </si>
  <si>
    <t>SW-104073</t>
  </si>
  <si>
    <t>SW-104074</t>
  </si>
  <si>
    <t>SW-104075</t>
  </si>
  <si>
    <t>SW-104076</t>
  </si>
  <si>
    <t>SW-104077</t>
  </si>
  <si>
    <t>SW-104078</t>
  </si>
  <si>
    <t>SW-104079</t>
  </si>
  <si>
    <t>SW-104080</t>
  </si>
  <si>
    <t>SW-104081</t>
  </si>
  <si>
    <t>SW-104082</t>
  </si>
  <si>
    <t>SW-104083</t>
  </si>
  <si>
    <t>SW-104084</t>
  </si>
  <si>
    <t>SW-104085</t>
  </si>
  <si>
    <t>SW-104086</t>
  </si>
  <si>
    <t>SW-104087</t>
  </si>
  <si>
    <t>SW-104088</t>
  </si>
  <si>
    <t>SW-104089</t>
  </si>
  <si>
    <t>SW-104090</t>
  </si>
  <si>
    <t>SW-104091</t>
  </si>
  <si>
    <t>SW-104092</t>
  </si>
  <si>
    <t>SW-104093</t>
  </si>
  <si>
    <t>SW-104094</t>
  </si>
  <si>
    <t>SW-104095</t>
  </si>
  <si>
    <t>SW-104096</t>
  </si>
  <si>
    <t>SW-104097</t>
  </si>
  <si>
    <t>SW-104098</t>
  </si>
  <si>
    <t>SW-104099</t>
  </si>
  <si>
    <t>SW-104100</t>
  </si>
  <si>
    <t>SW-104101</t>
  </si>
  <si>
    <t>SW-104102</t>
  </si>
  <si>
    <t>SW-104103</t>
  </si>
  <si>
    <t>SW-104104</t>
  </si>
  <si>
    <t>SW-104105</t>
  </si>
  <si>
    <t>SW-104106</t>
  </si>
  <si>
    <t>SW-104107</t>
  </si>
  <si>
    <t>SW-104108</t>
  </si>
  <si>
    <t>SW-104109</t>
  </si>
  <si>
    <t>SW-104110</t>
  </si>
  <si>
    <t>SW-104111</t>
  </si>
  <si>
    <t>SW-104112</t>
  </si>
  <si>
    <t>SW-104113</t>
  </si>
  <si>
    <t>SW-104114</t>
  </si>
  <si>
    <t>SW-104115</t>
  </si>
  <si>
    <t>SW-104116</t>
  </si>
  <si>
    <t>SW-104117</t>
  </si>
  <si>
    <t>SW-104118</t>
  </si>
  <si>
    <t>SW-104119</t>
  </si>
  <si>
    <t>SW-104120</t>
  </si>
  <si>
    <t>SW-104121</t>
  </si>
  <si>
    <t>SW-104122</t>
  </si>
  <si>
    <t>SW-104123</t>
  </si>
  <si>
    <t>SW-104124</t>
  </si>
  <si>
    <t>SW-104125</t>
  </si>
  <si>
    <t>SW-104126</t>
  </si>
  <si>
    <t>SW-104127</t>
  </si>
  <si>
    <t>SW-104128</t>
  </si>
  <si>
    <t>SW-104129</t>
  </si>
  <si>
    <t>SW-104130</t>
  </si>
  <si>
    <t>SW-104131</t>
  </si>
  <si>
    <t>SW-104132</t>
  </si>
  <si>
    <t>SW-104133</t>
  </si>
  <si>
    <t>SW-104134</t>
  </si>
  <si>
    <t>SW-104135</t>
  </si>
  <si>
    <t>SW-104136</t>
  </si>
  <si>
    <t>SW-104137</t>
  </si>
  <si>
    <t>SW-104138</t>
  </si>
  <si>
    <t>SW-104139</t>
  </si>
  <si>
    <t>SW-104140</t>
  </si>
  <si>
    <t>SW-104141</t>
  </si>
  <si>
    <t>SW-104142</t>
  </si>
  <si>
    <t>SW-104143</t>
  </si>
  <si>
    <t>SW-104144</t>
  </si>
  <si>
    <t>SW-104145</t>
  </si>
  <si>
    <t>SW-104146</t>
  </si>
  <si>
    <t>SW-104147</t>
  </si>
  <si>
    <t>SW-104148</t>
  </si>
  <si>
    <t>SW-104149</t>
  </si>
  <si>
    <t>SW-104150</t>
  </si>
  <si>
    <t>SW-104151</t>
  </si>
  <si>
    <t>SW-104152</t>
  </si>
  <si>
    <t>SW-104153</t>
  </si>
  <si>
    <t>SW-104154</t>
  </si>
  <si>
    <t>SW-104155</t>
  </si>
  <si>
    <t>SW-104156</t>
  </si>
  <si>
    <t>SW-104157</t>
  </si>
  <si>
    <t>SW-104158</t>
  </si>
  <si>
    <t>SW-104159</t>
  </si>
  <si>
    <t>SW-104160</t>
  </si>
  <si>
    <t>SW-104161</t>
  </si>
  <si>
    <t>SW-104162</t>
  </si>
  <si>
    <t>SW-104163</t>
  </si>
  <si>
    <t>SW-104164</t>
  </si>
  <si>
    <t>SW-104165</t>
  </si>
  <si>
    <t>SW-104166</t>
  </si>
  <si>
    <t>SW-104167</t>
  </si>
  <si>
    <t>SW-104168</t>
  </si>
  <si>
    <t>SW-104169</t>
  </si>
  <si>
    <t>SW-104170</t>
  </si>
  <si>
    <t>SW-104171</t>
  </si>
  <si>
    <t>SW-104172</t>
  </si>
  <si>
    <t>SW-104173</t>
  </si>
  <si>
    <t>SW-104174</t>
  </si>
  <si>
    <t>SW-104175</t>
  </si>
  <si>
    <t>SW-104176</t>
  </si>
  <si>
    <t>SW-104177</t>
  </si>
  <si>
    <t>SW-104178</t>
  </si>
  <si>
    <t>SW-104179</t>
  </si>
  <si>
    <t>SW-104180</t>
  </si>
  <si>
    <t>SW-104181</t>
  </si>
  <si>
    <t>SW-104182</t>
  </si>
  <si>
    <t>SW-104183</t>
  </si>
  <si>
    <t>SW-104184</t>
  </si>
  <si>
    <t>SW-104185</t>
  </si>
  <si>
    <t>SW-104186</t>
  </si>
  <si>
    <t>SW-104187</t>
  </si>
  <si>
    <t>SW-104188</t>
  </si>
  <si>
    <t>SW-104189</t>
  </si>
  <si>
    <t>SW-104190</t>
  </si>
  <si>
    <t>SW-104191</t>
  </si>
  <si>
    <t>SW-104192</t>
  </si>
  <si>
    <t>SW-104193</t>
  </si>
  <si>
    <t>SW-104194</t>
  </si>
  <si>
    <t>SW-104195</t>
  </si>
  <si>
    <t>SW-104196</t>
  </si>
  <si>
    <t>SW-104197</t>
  </si>
  <si>
    <t>SW-104198</t>
  </si>
  <si>
    <t>SW-104199</t>
  </si>
  <si>
    <t>SW-104200</t>
  </si>
  <si>
    <t>SW-104201</t>
  </si>
  <si>
    <t>SW-104202</t>
  </si>
  <si>
    <t>SW-104203</t>
  </si>
  <si>
    <t>SW-104204</t>
  </si>
  <si>
    <t>SW-104205</t>
  </si>
  <si>
    <t>SW-104206</t>
  </si>
  <si>
    <t>SW-104207</t>
  </si>
  <si>
    <t>SW-104208</t>
  </si>
  <si>
    <t>SW-104209</t>
  </si>
  <si>
    <t>SW-104210</t>
  </si>
  <si>
    <t>SW-104211</t>
  </si>
  <si>
    <t>SW-104212</t>
  </si>
  <si>
    <t>SW-104213</t>
  </si>
  <si>
    <t>SW-104214</t>
  </si>
  <si>
    <t>SW-104215</t>
  </si>
  <si>
    <t>SW-104216</t>
  </si>
  <si>
    <t>SW-104217</t>
  </si>
  <si>
    <t>SW-104218</t>
  </si>
  <si>
    <t>SW-104219</t>
  </si>
  <si>
    <t>SW-104220</t>
  </si>
  <si>
    <t>SW-104221</t>
  </si>
  <si>
    <t>SW-104222</t>
  </si>
  <si>
    <t>SW-104223</t>
  </si>
  <si>
    <t>SW-104224</t>
  </si>
  <si>
    <t>SW-104225</t>
  </si>
  <si>
    <t>SW-104226</t>
  </si>
  <si>
    <t>SW-104227</t>
  </si>
  <si>
    <t>SW-104228</t>
  </si>
  <si>
    <t>SW-104229</t>
  </si>
  <si>
    <t>SW-104230</t>
  </si>
  <si>
    <t>SW-104231</t>
  </si>
  <si>
    <t>SW-104232</t>
  </si>
  <si>
    <t>SW-104233</t>
  </si>
  <si>
    <t>SW-104234</t>
  </si>
  <si>
    <t>SW-104235</t>
  </si>
  <si>
    <t>SW-104236</t>
  </si>
  <si>
    <t>SW-104237</t>
  </si>
  <si>
    <t>SW-104238</t>
  </si>
  <si>
    <t>SW-104239</t>
  </si>
  <si>
    <t>SW-104240</t>
  </si>
  <si>
    <t>SW-104241</t>
  </si>
  <si>
    <t>SW-104242</t>
  </si>
  <si>
    <t>SW-104243</t>
  </si>
  <si>
    <t>SW-104244</t>
  </si>
  <si>
    <t>SW-104245</t>
  </si>
  <si>
    <t>SW-104246</t>
  </si>
  <si>
    <t>SW-104247</t>
  </si>
  <si>
    <t>SW-104248</t>
  </si>
  <si>
    <t>SW-104249</t>
  </si>
  <si>
    <t>SW-104250</t>
  </si>
  <si>
    <t>SW-104251</t>
  </si>
  <si>
    <t>SW-104252</t>
  </si>
  <si>
    <t>SW-104253</t>
  </si>
  <si>
    <t>SW-104254</t>
  </si>
  <si>
    <t>SW-104255</t>
  </si>
  <si>
    <t>SW-104256</t>
  </si>
  <si>
    <t>SW-104257</t>
  </si>
  <si>
    <t>SW-104258</t>
  </si>
  <si>
    <t>SW-104259</t>
  </si>
  <si>
    <t>SW-104260</t>
  </si>
  <si>
    <t>SW-104261</t>
  </si>
  <si>
    <t>SW-104262</t>
  </si>
  <si>
    <t>SW-104263</t>
  </si>
  <si>
    <t>SW-104264</t>
  </si>
  <si>
    <t>SW-104265</t>
  </si>
  <si>
    <t>SW-104266</t>
  </si>
  <si>
    <t>SW-104267</t>
  </si>
  <si>
    <t>SW-104268</t>
  </si>
  <si>
    <t>SW-104269</t>
  </si>
  <si>
    <t>SW-104270</t>
  </si>
  <si>
    <t>SW-104271</t>
  </si>
  <si>
    <t>SW-104272</t>
  </si>
  <si>
    <t>SW-104273</t>
  </si>
  <si>
    <t>SW-104274</t>
  </si>
  <si>
    <t>SW-104275</t>
  </si>
  <si>
    <t>SW-104276</t>
  </si>
  <si>
    <t>SW-104277</t>
  </si>
  <si>
    <t>SW-104278</t>
  </si>
  <si>
    <t>SW-104279</t>
  </si>
  <si>
    <t>SW-104280</t>
  </si>
  <si>
    <t>SW-104281</t>
  </si>
  <si>
    <t>SW-104282</t>
  </si>
  <si>
    <t>SW-104283</t>
  </si>
  <si>
    <t>SW-104284</t>
  </si>
  <si>
    <t>SW-104285</t>
  </si>
  <si>
    <t>SW-104286</t>
  </si>
  <si>
    <t>SW-104287</t>
  </si>
  <si>
    <t>SW-104288</t>
  </si>
  <si>
    <t>SW-104289</t>
  </si>
  <si>
    <t>SW-104290</t>
  </si>
  <si>
    <t>SW-104291</t>
  </si>
  <si>
    <t>SW-104292</t>
  </si>
  <si>
    <t>SW-104293</t>
  </si>
  <si>
    <t>SW-104294</t>
  </si>
  <si>
    <t>SW-104295</t>
  </si>
  <si>
    <t>SW-104296</t>
  </si>
  <si>
    <t>SW-104297</t>
  </si>
  <si>
    <t>SW-104298</t>
  </si>
  <si>
    <t>SW-104299</t>
  </si>
  <si>
    <t>SW-104300</t>
  </si>
  <si>
    <t>SW-104301</t>
  </si>
  <si>
    <t>SW-104302</t>
  </si>
  <si>
    <t>SW-104303</t>
  </si>
  <si>
    <t>SW-104304</t>
  </si>
  <si>
    <t>SW-104305</t>
  </si>
  <si>
    <t>SW-104306</t>
  </si>
  <si>
    <t>SW-104307</t>
  </si>
  <si>
    <t>SW-104308</t>
  </si>
  <si>
    <t>SW-104309</t>
  </si>
  <si>
    <t>SW-104310</t>
  </si>
  <si>
    <t>SW-104311</t>
  </si>
  <si>
    <t>SW-104312</t>
  </si>
  <si>
    <t>SW-104313</t>
  </si>
  <si>
    <t>SW-104314</t>
  </si>
  <si>
    <t>SW-104315</t>
  </si>
  <si>
    <t>SW-104316</t>
  </si>
  <si>
    <t>SW-104317</t>
  </si>
  <si>
    <t>SW-104318</t>
  </si>
  <si>
    <t>SW-104319</t>
  </si>
  <si>
    <t>SW-104320</t>
  </si>
  <si>
    <t>SW-104321</t>
  </si>
  <si>
    <t>SW-104322</t>
  </si>
  <si>
    <t>SW-104323</t>
  </si>
  <si>
    <t>SW-104324</t>
  </si>
  <si>
    <t>SW-104325</t>
  </si>
  <si>
    <t>SW-104326</t>
  </si>
  <si>
    <t>SW-104327</t>
  </si>
  <si>
    <t>SW-104328</t>
  </si>
  <si>
    <t>SW-104329</t>
  </si>
  <si>
    <t>SW-104330</t>
  </si>
  <si>
    <t>SW-104331</t>
  </si>
  <si>
    <t>SW-104332</t>
  </si>
  <si>
    <t>SW-104333</t>
  </si>
  <si>
    <t>SW-104334</t>
  </si>
  <si>
    <t>SW-104335</t>
  </si>
  <si>
    <t>SW-104336</t>
  </si>
  <si>
    <t>SW-104337</t>
  </si>
  <si>
    <t>SW-104338</t>
  </si>
  <si>
    <t>SW-104339</t>
  </si>
  <si>
    <t>SW-104340</t>
  </si>
  <si>
    <t>SW-104341</t>
  </si>
  <si>
    <t>SW-104342</t>
  </si>
  <si>
    <t>SW-104343</t>
  </si>
  <si>
    <t>SW-104344</t>
  </si>
  <si>
    <t>SW-104345</t>
  </si>
  <si>
    <t>SW-104346</t>
  </si>
  <si>
    <t>SW-104347</t>
  </si>
  <si>
    <t>SW-104348</t>
  </si>
  <si>
    <t>SW-104349</t>
  </si>
  <si>
    <t>SW-104350</t>
  </si>
  <si>
    <t>SW-104351</t>
  </si>
  <si>
    <t>SW-104352</t>
  </si>
  <si>
    <t>SW-104353</t>
  </si>
  <si>
    <t>SW-104354</t>
  </si>
  <si>
    <t>SW-104355</t>
  </si>
  <si>
    <t>SW-104356</t>
  </si>
  <si>
    <t>SW-104357</t>
  </si>
  <si>
    <t>SW-104358</t>
  </si>
  <si>
    <t>SW-104359</t>
  </si>
  <si>
    <t>SW-104360</t>
  </si>
  <si>
    <t>SW-104361</t>
  </si>
  <si>
    <t>SW-104362</t>
  </si>
  <si>
    <t>SW-104363</t>
  </si>
  <si>
    <t>SW-104364</t>
  </si>
  <si>
    <t>SW-104365</t>
  </si>
  <si>
    <t>SW-104366</t>
  </si>
  <si>
    <t>SW-104367</t>
  </si>
  <si>
    <t>SW-104368</t>
  </si>
  <si>
    <t>SW-104369</t>
  </si>
  <si>
    <t>SW-104370</t>
  </si>
  <si>
    <t>SW-104371</t>
  </si>
  <si>
    <t>SW-104372</t>
  </si>
  <si>
    <t>SW-104373</t>
  </si>
  <si>
    <t>SW-104374</t>
  </si>
  <si>
    <t>SW-104375</t>
  </si>
  <si>
    <t>SW-104376</t>
  </si>
  <si>
    <t>SW-104377</t>
  </si>
  <si>
    <t>SW-104378</t>
  </si>
  <si>
    <t>SW-104379</t>
  </si>
  <si>
    <t>SW-104380</t>
  </si>
  <si>
    <t>SW-104381</t>
  </si>
  <si>
    <t>SW-104382</t>
  </si>
  <si>
    <t>SW-104383</t>
  </si>
  <si>
    <t>SW-104384</t>
  </si>
  <si>
    <t>SW-104385</t>
  </si>
  <si>
    <t>SW-104386</t>
  </si>
  <si>
    <t>SW-104387</t>
  </si>
  <si>
    <t>SW-104388</t>
  </si>
  <si>
    <t>SW-104389</t>
  </si>
  <si>
    <t>SW-104390</t>
  </si>
  <si>
    <t>SW-104391</t>
  </si>
  <si>
    <t>SW-104392</t>
  </si>
  <si>
    <t>SW-104393</t>
  </si>
  <si>
    <t>SW-104394</t>
  </si>
  <si>
    <t>SW-104395</t>
  </si>
  <si>
    <t>SW-104396</t>
  </si>
  <si>
    <t>SW-104397</t>
  </si>
  <si>
    <t>SW-104398</t>
  </si>
  <si>
    <t>SW-104399</t>
  </si>
  <si>
    <t>SW-104400</t>
  </si>
  <si>
    <t>SW-104401</t>
  </si>
  <si>
    <t>SW-104402</t>
  </si>
  <si>
    <t>SW-104403</t>
  </si>
  <si>
    <t>SW-104404</t>
  </si>
  <si>
    <t>SW-104405</t>
  </si>
  <si>
    <t>SW-104406</t>
  </si>
  <si>
    <t>SW-104407</t>
  </si>
  <si>
    <t>SW-104408</t>
  </si>
  <si>
    <t>SW-104409</t>
  </si>
  <si>
    <t>SW-104410</t>
  </si>
  <si>
    <t>SW-104411</t>
  </si>
  <si>
    <t>SW-104412</t>
  </si>
  <si>
    <t>SW-104413</t>
  </si>
  <si>
    <t>SW-104414</t>
  </si>
  <si>
    <t>SW-104415</t>
  </si>
  <si>
    <t>SW-104416</t>
  </si>
  <si>
    <t>SW-104417</t>
  </si>
  <si>
    <t>SW-104418</t>
  </si>
  <si>
    <t>SW-104419</t>
  </si>
  <si>
    <t>SW-104420</t>
  </si>
  <si>
    <t>SW-104421</t>
  </si>
  <si>
    <t>SW-104422</t>
  </si>
  <si>
    <t>SW-104423</t>
  </si>
  <si>
    <t>SW-104424</t>
  </si>
  <si>
    <t>SW-104425</t>
  </si>
  <si>
    <t>SW-104426</t>
  </si>
  <si>
    <t>SW-104427</t>
  </si>
  <si>
    <t>SW-104428</t>
  </si>
  <si>
    <t>SW-104429</t>
  </si>
  <si>
    <t>SW-104430</t>
  </si>
  <si>
    <t>SW-104431</t>
  </si>
  <si>
    <t>SW-104432</t>
  </si>
  <si>
    <t>SW-104433</t>
  </si>
  <si>
    <t>SW-104434</t>
  </si>
  <si>
    <t>SW-104435</t>
  </si>
  <si>
    <t>SW-104436</t>
  </si>
  <si>
    <t>SW-104437</t>
  </si>
  <si>
    <t>SW-104438</t>
  </si>
  <si>
    <t>SW-104439</t>
  </si>
  <si>
    <t>SW-104440</t>
  </si>
  <si>
    <t>SW-104441</t>
  </si>
  <si>
    <t>SW-104442</t>
  </si>
  <si>
    <t>SW-104443</t>
  </si>
  <si>
    <t>SW-104444</t>
  </si>
  <si>
    <t>SW-104445</t>
  </si>
  <si>
    <t>SW-104446</t>
  </si>
  <si>
    <t>SW-104447</t>
  </si>
  <si>
    <t>SW-104448</t>
  </si>
  <si>
    <t>SW-104449</t>
  </si>
  <si>
    <t>SW-104450</t>
  </si>
  <si>
    <t>SW-104451</t>
  </si>
  <si>
    <t>SW-104452</t>
  </si>
  <si>
    <t>SW-104453</t>
  </si>
  <si>
    <t>SW-104454</t>
  </si>
  <si>
    <t>SW-104455</t>
  </si>
  <si>
    <t>SW-104456</t>
  </si>
  <si>
    <t>SW-104457</t>
  </si>
  <si>
    <t>SW-104458</t>
  </si>
  <si>
    <t>SW-104459</t>
  </si>
  <si>
    <t>SW-104460</t>
  </si>
  <si>
    <t>SW-104461</t>
  </si>
  <si>
    <t>SW-104462</t>
  </si>
  <si>
    <t>SW-104463</t>
  </si>
  <si>
    <t>SW-104464</t>
  </si>
  <si>
    <t>SW-104465</t>
  </si>
  <si>
    <t>SW-104466</t>
  </si>
  <si>
    <t>SW-104467</t>
  </si>
  <si>
    <t>SW-104468</t>
  </si>
  <si>
    <t>SW-104469</t>
  </si>
  <si>
    <t>SW-104470</t>
  </si>
  <si>
    <t>SW-104471</t>
  </si>
  <si>
    <t>SW-104472</t>
  </si>
  <si>
    <t>SW-104473</t>
  </si>
  <si>
    <t>SW-104474</t>
  </si>
  <si>
    <t>SW-104475</t>
  </si>
  <si>
    <t>SW-104476</t>
  </si>
  <si>
    <t>SW-104477</t>
  </si>
  <si>
    <t>SW-104478</t>
  </si>
  <si>
    <t>SW-104479</t>
  </si>
  <si>
    <t>SW-104480</t>
  </si>
  <si>
    <t>SW-104481</t>
  </si>
  <si>
    <t>SW-104482</t>
  </si>
  <si>
    <t>SW-104483</t>
  </si>
  <si>
    <t>SW-104484</t>
  </si>
  <si>
    <t>SW-104485</t>
  </si>
  <si>
    <t>SW-104486</t>
  </si>
  <si>
    <t>SW-104487</t>
  </si>
  <si>
    <t>SW-104488</t>
  </si>
  <si>
    <t>SW-104489</t>
  </si>
  <si>
    <t>SW-104490</t>
  </si>
  <si>
    <t>SW-104491</t>
  </si>
  <si>
    <t>SW-104492</t>
  </si>
  <si>
    <t>SW-104493</t>
  </si>
  <si>
    <t>SW-104494</t>
  </si>
  <si>
    <t>SW-104495</t>
  </si>
  <si>
    <t>SW-104496</t>
  </si>
  <si>
    <t>SW-104497</t>
  </si>
  <si>
    <t>SW-104498</t>
  </si>
  <si>
    <t>SW-104499</t>
  </si>
  <si>
    <t>SW-104500</t>
  </si>
  <si>
    <t>SW-104501</t>
  </si>
  <si>
    <t>SW-104502</t>
  </si>
  <si>
    <t>SW-104503</t>
  </si>
  <si>
    <t>SW-104504</t>
  </si>
  <si>
    <t>SW-104505</t>
  </si>
  <si>
    <t>SW-104506</t>
  </si>
  <si>
    <t>SW-104507</t>
  </si>
  <si>
    <t>SW-104508</t>
  </si>
  <si>
    <t>SW-104509</t>
  </si>
  <si>
    <t>SW-104510</t>
  </si>
  <si>
    <t>SW-104511</t>
  </si>
  <si>
    <t>SW-104512</t>
  </si>
  <si>
    <t>SW-104513</t>
  </si>
  <si>
    <t>SW-104514</t>
  </si>
  <si>
    <t>SW-104515</t>
  </si>
  <si>
    <t>SW-104516</t>
  </si>
  <si>
    <t>SW-104517</t>
  </si>
  <si>
    <t>SW-104518</t>
  </si>
  <si>
    <t>SW-104519</t>
  </si>
  <si>
    <t>SW-104520</t>
  </si>
  <si>
    <t>SW-104521</t>
  </si>
  <si>
    <t>SW-104522</t>
  </si>
  <si>
    <t>SW-104523</t>
  </si>
  <si>
    <t>SW-104524</t>
  </si>
  <si>
    <t>SW-104525</t>
  </si>
  <si>
    <t>SW-104526</t>
  </si>
  <si>
    <t>SW-104527</t>
  </si>
  <si>
    <t>SW-104528</t>
  </si>
  <si>
    <t>SW-104529</t>
  </si>
  <si>
    <t>SW-104530</t>
  </si>
  <si>
    <t>SW-104531</t>
  </si>
  <si>
    <t>SW-104532</t>
  </si>
  <si>
    <t>SW-104533</t>
  </si>
  <si>
    <t>SW-104534</t>
  </si>
  <si>
    <t>SW-104535</t>
  </si>
  <si>
    <t>SW-104536</t>
  </si>
  <si>
    <t>SW-104537</t>
  </si>
  <si>
    <t>SW-104538</t>
  </si>
  <si>
    <t>SW-104539</t>
  </si>
  <si>
    <t>SW-104540</t>
  </si>
  <si>
    <t>SW-104541</t>
  </si>
  <si>
    <t>SW-104542</t>
  </si>
  <si>
    <t>SW-104543</t>
  </si>
  <si>
    <t>SW-104544</t>
  </si>
  <si>
    <t>SW-104545</t>
  </si>
  <si>
    <t>SW-104546</t>
  </si>
  <si>
    <t>SW-104547</t>
  </si>
  <si>
    <t>SW-104548</t>
  </si>
  <si>
    <t>SW-104549</t>
  </si>
  <si>
    <t>SW-104550</t>
  </si>
  <si>
    <t>SW-104551</t>
  </si>
  <si>
    <t>SW-104552</t>
  </si>
  <si>
    <t>SW-104553</t>
  </si>
  <si>
    <t>SW-104554</t>
  </si>
  <si>
    <t>SW-104555</t>
  </si>
  <si>
    <t>SW-104556</t>
  </si>
  <si>
    <t>SW-104557</t>
  </si>
  <si>
    <t>SW-104558</t>
  </si>
  <si>
    <t>SW-104559</t>
  </si>
  <si>
    <t>SW-104560</t>
  </si>
  <si>
    <t>SW-104561</t>
  </si>
  <si>
    <t>SW-104562</t>
  </si>
  <si>
    <t>SW-104563</t>
  </si>
  <si>
    <t>SW-104564</t>
  </si>
  <si>
    <t>SW-104565</t>
  </si>
  <si>
    <t>SW-104566</t>
  </si>
  <si>
    <t>SW-104567</t>
  </si>
  <si>
    <t>SW-104568</t>
  </si>
  <si>
    <t>SW-104569</t>
  </si>
  <si>
    <t>SW-104570</t>
  </si>
  <si>
    <t>SW-104571</t>
  </si>
  <si>
    <t>SW-104572</t>
  </si>
  <si>
    <t>SW-104573</t>
  </si>
  <si>
    <t>SW-104574</t>
  </si>
  <si>
    <t>SW-104575</t>
  </si>
  <si>
    <t>SW-104576</t>
  </si>
  <si>
    <t>SW-104577</t>
  </si>
  <si>
    <t>SW-104578</t>
  </si>
  <si>
    <t>SW-104579</t>
  </si>
  <si>
    <t>SW-104580</t>
  </si>
  <si>
    <t>SW-104581</t>
  </si>
  <si>
    <t>SW-104582</t>
  </si>
  <si>
    <t>SW-104583</t>
  </si>
  <si>
    <t>SW-104584</t>
  </si>
  <si>
    <t>SW-104585</t>
  </si>
  <si>
    <t>SW-104586</t>
  </si>
  <si>
    <t>SW-104587</t>
  </si>
  <si>
    <t>SW-104588</t>
  </si>
  <si>
    <t>SW-104589</t>
  </si>
  <si>
    <t>SW-104590</t>
  </si>
  <si>
    <t>SW-104591</t>
  </si>
  <si>
    <t>SW-104592</t>
  </si>
  <si>
    <t>SW-104593</t>
  </si>
  <si>
    <t>SW-104594</t>
  </si>
  <si>
    <t>SW-104595</t>
  </si>
  <si>
    <t>SW-104596</t>
  </si>
  <si>
    <t>SW-104597</t>
  </si>
  <si>
    <t>SW-104598</t>
  </si>
  <si>
    <t>SW-104599</t>
  </si>
  <si>
    <t>SW-104600</t>
  </si>
  <si>
    <t>SW-104601</t>
  </si>
  <si>
    <t>SW-104602</t>
  </si>
  <si>
    <t>SW-104603</t>
  </si>
  <si>
    <t>SW-104604</t>
  </si>
  <si>
    <t>SW-104605</t>
  </si>
  <si>
    <t>SW-104606</t>
  </si>
  <si>
    <t>SW-104607</t>
  </si>
  <si>
    <t>SW-104608</t>
  </si>
  <si>
    <t>SW-104609</t>
  </si>
  <si>
    <t>SW-104610</t>
  </si>
  <si>
    <t>SW-104611</t>
  </si>
  <si>
    <t>SW-104612</t>
  </si>
  <si>
    <t>SW-104613</t>
  </si>
  <si>
    <t>SW-104614</t>
  </si>
  <si>
    <t>SW-104615</t>
  </si>
  <si>
    <t>SW-104616</t>
  </si>
  <si>
    <t>SW-104617</t>
  </si>
  <si>
    <t>SW-104618</t>
  </si>
  <si>
    <t>SW-104619</t>
  </si>
  <si>
    <t>SW-104620</t>
  </si>
  <si>
    <t>SW-104621</t>
  </si>
  <si>
    <t>SW-104622</t>
  </si>
  <si>
    <t>SW-104623</t>
  </si>
  <si>
    <t>SW-104624</t>
  </si>
  <si>
    <t>SW-104625</t>
  </si>
  <si>
    <t>SW-104626</t>
  </si>
  <si>
    <t>SW-104627</t>
  </si>
  <si>
    <t>SW-104628</t>
  </si>
  <si>
    <t>SW-104629</t>
  </si>
  <si>
    <t>SW-104630</t>
  </si>
  <si>
    <t>SW-104631</t>
  </si>
  <si>
    <t>SW-104632</t>
  </si>
  <si>
    <t>SW-104633</t>
  </si>
  <si>
    <t>SW-104634</t>
  </si>
  <si>
    <t>SW-104635</t>
  </si>
  <si>
    <t>SW-104636</t>
  </si>
  <si>
    <t>SW-104637</t>
  </si>
  <si>
    <t>SW-104638</t>
  </si>
  <si>
    <t>SW-104639</t>
  </si>
  <si>
    <t>SW-104640</t>
  </si>
  <si>
    <t>SW-104641</t>
  </si>
  <si>
    <t>SW-104642</t>
  </si>
  <si>
    <t>SW-104643</t>
  </si>
  <si>
    <t>SW-104644</t>
  </si>
  <si>
    <t>SW-104645</t>
  </si>
  <si>
    <t>SW-104646</t>
  </si>
  <si>
    <t>SW-104647</t>
  </si>
  <si>
    <t>SW-104648</t>
  </si>
  <si>
    <t>SW-104649</t>
  </si>
  <si>
    <t>SW-104650</t>
  </si>
  <si>
    <t>SW-104651</t>
  </si>
  <si>
    <t>SW-104652</t>
  </si>
  <si>
    <t>SW-104653</t>
  </si>
  <si>
    <t>SW-104654</t>
  </si>
  <si>
    <t>SW-104655</t>
  </si>
  <si>
    <t>SW-104656</t>
  </si>
  <si>
    <t>SW-104657</t>
  </si>
  <si>
    <t>SW-104658</t>
  </si>
  <si>
    <t>SW-104659</t>
  </si>
  <si>
    <t>SW-104660</t>
  </si>
  <si>
    <t>SW-104661</t>
  </si>
  <si>
    <t>SW-104662</t>
  </si>
  <si>
    <t>SW-104663</t>
  </si>
  <si>
    <t>SW-104664</t>
  </si>
  <si>
    <t>SW-104665</t>
  </si>
  <si>
    <t>SW-104666</t>
  </si>
  <si>
    <t>SW-104667</t>
  </si>
  <si>
    <t>SW-104668</t>
  </si>
  <si>
    <t>SW-104669</t>
  </si>
  <si>
    <t>SW-104670</t>
  </si>
  <si>
    <t>SW-104671</t>
  </si>
  <si>
    <t>SW-104672</t>
  </si>
  <si>
    <t>SW-104673</t>
  </si>
  <si>
    <t>SW-104674</t>
  </si>
  <si>
    <t>SW-104675</t>
  </si>
  <si>
    <t>SW-104676</t>
  </si>
  <si>
    <t>SW-104677</t>
  </si>
  <si>
    <t>SW-104678</t>
  </si>
  <si>
    <t>SW-104679</t>
  </si>
  <si>
    <t>SW-104680</t>
  </si>
  <si>
    <t>SW-104681</t>
  </si>
  <si>
    <t>SW-104682</t>
  </si>
  <si>
    <t>SW-104683</t>
  </si>
  <si>
    <t>SW-104684</t>
  </si>
  <si>
    <t>SW-104685</t>
  </si>
  <si>
    <t>SW-104686</t>
  </si>
  <si>
    <t>SW-104687</t>
  </si>
  <si>
    <t>SW-104688</t>
  </si>
  <si>
    <t>SW-104689</t>
  </si>
  <si>
    <t>SW-104690</t>
  </si>
  <si>
    <t>SW-104691</t>
  </si>
  <si>
    <t>SW-104692</t>
  </si>
  <si>
    <t>SW-104693</t>
  </si>
  <si>
    <t>SW-104694</t>
  </si>
  <si>
    <t>SW-104695</t>
  </si>
  <si>
    <t>SW-104696</t>
  </si>
  <si>
    <t>SW-104697</t>
  </si>
  <si>
    <t>SW-104698</t>
  </si>
  <si>
    <t>SW-104699</t>
  </si>
  <si>
    <t>SW-104700</t>
  </si>
  <si>
    <t>SW-104701</t>
  </si>
  <si>
    <t>SW-104702</t>
  </si>
  <si>
    <t>SW-104703</t>
  </si>
  <si>
    <t>SW-104704</t>
  </si>
  <si>
    <t>SW-104705</t>
  </si>
  <si>
    <t>SW-104706</t>
  </si>
  <si>
    <t>SW-104707</t>
  </si>
  <si>
    <t>SW-104708</t>
  </si>
  <si>
    <t>SW-104709</t>
  </si>
  <si>
    <t>SW-104710</t>
  </si>
  <si>
    <t>SW-104711</t>
  </si>
  <si>
    <t>SW-104712</t>
  </si>
  <si>
    <t>SW-104713</t>
  </si>
  <si>
    <t>SW-104714</t>
  </si>
  <si>
    <t>SW-104715</t>
  </si>
  <si>
    <t>SW-104716</t>
  </si>
  <si>
    <t>SW-104717</t>
  </si>
  <si>
    <t>SW-104718</t>
  </si>
  <si>
    <t>SW-104719</t>
  </si>
  <si>
    <t>SW-104720</t>
  </si>
  <si>
    <t>SW-104721</t>
  </si>
  <si>
    <t>SW-104722</t>
  </si>
  <si>
    <t>SW-104723</t>
  </si>
  <si>
    <t>SW-104724</t>
  </si>
  <si>
    <t>SW-104725</t>
  </si>
  <si>
    <t>SW-104726</t>
  </si>
  <si>
    <t>SW-104727</t>
  </si>
  <si>
    <t>SW-104728</t>
  </si>
  <si>
    <t>SW-104729</t>
  </si>
  <si>
    <t>SW-104730</t>
  </si>
  <si>
    <t>SW-104731</t>
  </si>
  <si>
    <t>SW-104732</t>
  </si>
  <si>
    <t>SW-104733</t>
  </si>
  <si>
    <t>SW-104734</t>
  </si>
  <si>
    <t>SW-104735</t>
  </si>
  <si>
    <t>SW-104736</t>
  </si>
  <si>
    <t>SW-104737</t>
  </si>
  <si>
    <t>SW-104738</t>
  </si>
  <si>
    <t>SW-104739</t>
  </si>
  <si>
    <t>SW-104740</t>
  </si>
  <si>
    <t>SW-104741</t>
  </si>
  <si>
    <t>SW-104742</t>
  </si>
  <si>
    <t>SW-104743</t>
  </si>
  <si>
    <t>SW-104744</t>
  </si>
  <si>
    <t>SW-104745</t>
  </si>
  <si>
    <t>SW-104746</t>
  </si>
  <si>
    <t>SW-104747</t>
  </si>
  <si>
    <t>SW-104748</t>
  </si>
  <si>
    <t>SW-104749</t>
  </si>
  <si>
    <t>SW-104750</t>
  </si>
  <si>
    <t>SW-104751</t>
  </si>
  <si>
    <t>SW-104752</t>
  </si>
  <si>
    <t>SW-104753</t>
  </si>
  <si>
    <t>SW-104754</t>
  </si>
  <si>
    <t>SW-104755</t>
  </si>
  <si>
    <t>SW-104756</t>
  </si>
  <si>
    <t>SW-104757</t>
  </si>
  <si>
    <t>SW-104758</t>
  </si>
  <si>
    <t>SW-104759</t>
  </si>
  <si>
    <t>SW-104760</t>
  </si>
  <si>
    <t>SW-104761</t>
  </si>
  <si>
    <t>SW-104762</t>
  </si>
  <si>
    <t>SW-104763</t>
  </si>
  <si>
    <t>SW-104764</t>
  </si>
  <si>
    <t>SW-104765</t>
  </si>
  <si>
    <t>SW-104766</t>
  </si>
  <si>
    <t>SW-104767</t>
  </si>
  <si>
    <t>SW-104768</t>
  </si>
  <si>
    <t>SW-104769</t>
  </si>
  <si>
    <t>SW-104770</t>
  </si>
  <si>
    <t>SW-104771</t>
  </si>
  <si>
    <t>SW-104772</t>
  </si>
  <si>
    <t>SW-104773</t>
  </si>
  <si>
    <t>SW-104774</t>
  </si>
  <si>
    <t>SW-104775</t>
  </si>
  <si>
    <t>SW-104776</t>
  </si>
  <si>
    <t>SW-104777</t>
  </si>
  <si>
    <t>SW-104778</t>
  </si>
  <si>
    <t>SW-104779</t>
  </si>
  <si>
    <t>SW-104780</t>
  </si>
  <si>
    <t>SW-104781</t>
  </si>
  <si>
    <t>SW-104782</t>
  </si>
  <si>
    <t>SW-104783</t>
  </si>
  <si>
    <t>SW-104784</t>
  </si>
  <si>
    <t>SW-104785</t>
  </si>
  <si>
    <t>SW-104786</t>
  </si>
  <si>
    <t>SW-104787</t>
  </si>
  <si>
    <t>SW-104788</t>
  </si>
  <si>
    <t>SW-104789</t>
  </si>
  <si>
    <t>SW-104790</t>
  </si>
  <si>
    <t>SW-104791</t>
  </si>
  <si>
    <t>SW-104792</t>
  </si>
  <si>
    <t>SW-104793</t>
  </si>
  <si>
    <t>SW-104794</t>
  </si>
  <si>
    <t>SW-104795</t>
  </si>
  <si>
    <t>SW-104796</t>
  </si>
  <si>
    <t>SW-104797</t>
  </si>
  <si>
    <t>SW-104798</t>
  </si>
  <si>
    <t>SW-104799</t>
  </si>
  <si>
    <t>SW-104800</t>
  </si>
  <si>
    <t>SW-104801</t>
  </si>
  <si>
    <t>SW-104802</t>
  </si>
  <si>
    <t>SW-104803</t>
  </si>
  <si>
    <t>SW-104804</t>
  </si>
  <si>
    <t>SW-104805</t>
  </si>
  <si>
    <t>SW-104806</t>
  </si>
  <si>
    <t>SW-104807</t>
  </si>
  <si>
    <t>SW-104808</t>
  </si>
  <si>
    <t>SW-104809</t>
  </si>
  <si>
    <t>SW-104810</t>
  </si>
  <si>
    <t>SW-104811</t>
  </si>
  <si>
    <t>SW-104812</t>
  </si>
  <si>
    <t>SW-104813</t>
  </si>
  <si>
    <t>SW-104814</t>
  </si>
  <si>
    <t>SW-104815</t>
  </si>
  <si>
    <t>SW-104816</t>
  </si>
  <si>
    <t>SW-104817</t>
  </si>
  <si>
    <t>SW-104818</t>
  </si>
  <si>
    <t>SW-104819</t>
  </si>
  <si>
    <t>SW-104820</t>
  </si>
  <si>
    <t>SW-104821</t>
  </si>
  <si>
    <t>SW-104822</t>
  </si>
  <si>
    <t>SW-104823</t>
  </si>
  <si>
    <t>SW-104824</t>
  </si>
  <si>
    <t>SW-104825</t>
  </si>
  <si>
    <t>SW-104826</t>
  </si>
  <si>
    <t>SW-104827</t>
  </si>
  <si>
    <t>SW-104828</t>
  </si>
  <si>
    <t>SW-104829</t>
  </si>
  <si>
    <t>SW-104830</t>
  </si>
  <si>
    <t>SW-104831</t>
  </si>
  <si>
    <t>SW-104832</t>
  </si>
  <si>
    <t>SW-104833</t>
  </si>
  <si>
    <t>SW-104834</t>
  </si>
  <si>
    <t>SW-104835</t>
  </si>
  <si>
    <t>SW-104836</t>
  </si>
  <si>
    <t>SW-104837</t>
  </si>
  <si>
    <t>SW-104838</t>
  </si>
  <si>
    <t>SW-104839</t>
  </si>
  <si>
    <t>SW-104840</t>
  </si>
  <si>
    <t>SW-104841</t>
  </si>
  <si>
    <t>SW-104842</t>
  </si>
  <si>
    <t>SW-104843</t>
  </si>
  <si>
    <t>SW-104844</t>
  </si>
  <si>
    <t>SW-104845</t>
  </si>
  <si>
    <t>SW-104846</t>
  </si>
  <si>
    <t>SW-104847</t>
  </si>
  <si>
    <t>SW-104848</t>
  </si>
  <si>
    <t>SW-104849</t>
  </si>
  <si>
    <t>SW-104850</t>
  </si>
  <si>
    <t>SW-104851</t>
  </si>
  <si>
    <t>SW-104852</t>
  </si>
  <si>
    <t>SW-104853</t>
  </si>
  <si>
    <t>SW-104854</t>
  </si>
  <si>
    <t>SW-104855</t>
  </si>
  <si>
    <t>SW-104856</t>
  </si>
  <si>
    <t>SW-104857</t>
  </si>
  <si>
    <t>SW-104858</t>
  </si>
  <si>
    <t>SW-104859</t>
  </si>
  <si>
    <t>SW-104860</t>
  </si>
  <si>
    <t>SW-104861</t>
  </si>
  <si>
    <t>SW-104862</t>
  </si>
  <si>
    <t>SW-104863</t>
  </si>
  <si>
    <t>SW-104864</t>
  </si>
  <si>
    <t>SW-104865</t>
  </si>
  <si>
    <t>SW-104866</t>
  </si>
  <si>
    <t>SW-104867</t>
  </si>
  <si>
    <t>SW-104868</t>
  </si>
  <si>
    <t>SW-104869</t>
  </si>
  <si>
    <t>SW-104870</t>
  </si>
  <si>
    <t>SW-104871</t>
  </si>
  <si>
    <t>SW-104872</t>
  </si>
  <si>
    <t>SW-104873</t>
  </si>
  <si>
    <t>SW-104874</t>
  </si>
  <si>
    <t>SW-104875</t>
  </si>
  <si>
    <t>SW-104876</t>
  </si>
  <si>
    <t>SW-104877</t>
  </si>
  <si>
    <t>SW-104878</t>
  </si>
  <si>
    <t>SW-104879</t>
  </si>
  <si>
    <t>SW-104880</t>
  </si>
  <si>
    <t>SW-104881</t>
  </si>
  <si>
    <t>SW-104882</t>
  </si>
  <si>
    <t>SW-104883</t>
  </si>
  <si>
    <t>SW-104884</t>
  </si>
  <si>
    <t>SW-104885</t>
  </si>
  <si>
    <t>SW-104886</t>
  </si>
  <si>
    <t>SW-104887</t>
  </si>
  <si>
    <t>SW-104888</t>
  </si>
  <si>
    <t>SW-104889</t>
  </si>
  <si>
    <t>SW-104890</t>
  </si>
  <si>
    <t>SW-104891</t>
  </si>
  <si>
    <t>SW-104892</t>
  </si>
  <si>
    <t>SW-104893</t>
  </si>
  <si>
    <t>SW-104894</t>
  </si>
  <si>
    <t>SW-104895</t>
  </si>
  <si>
    <t>SW-104896</t>
  </si>
  <si>
    <t>SW-104897</t>
  </si>
  <si>
    <t>SW-104898</t>
  </si>
  <si>
    <t>SW-104899</t>
  </si>
  <si>
    <t>SW-104900</t>
  </si>
  <si>
    <t>SW-104901</t>
  </si>
  <si>
    <t>SW-104902</t>
  </si>
  <si>
    <t>SW-104903</t>
  </si>
  <si>
    <t>SW-104904</t>
  </si>
  <si>
    <t>SW-104905</t>
  </si>
  <si>
    <t>SW-104906</t>
  </si>
  <si>
    <t>SW-104907</t>
  </si>
  <si>
    <t>SW-104908</t>
  </si>
  <si>
    <t>SW-104909</t>
  </si>
  <si>
    <t>SW-104910</t>
  </si>
  <si>
    <t>SW-104911</t>
  </si>
  <si>
    <t>SW-104912</t>
  </si>
  <si>
    <t>SW-104913</t>
  </si>
  <si>
    <t>SW-104914</t>
  </si>
  <si>
    <t>SW-104915</t>
  </si>
  <si>
    <t>SW-104916</t>
  </si>
  <si>
    <t>SW-104917</t>
  </si>
  <si>
    <t>SW-104918</t>
  </si>
  <si>
    <t>SW-104919</t>
  </si>
  <si>
    <t>SW-104920</t>
  </si>
  <si>
    <t>SW-104921</t>
  </si>
  <si>
    <t>SW-104922</t>
  </si>
  <si>
    <t>SW-104923</t>
  </si>
  <si>
    <t>SW-104924</t>
  </si>
  <si>
    <t>SW-104925</t>
  </si>
  <si>
    <t>SW-104926</t>
  </si>
  <si>
    <t>SW-104927</t>
  </si>
  <si>
    <t>SW-104928</t>
  </si>
  <si>
    <t>SW-104929</t>
  </si>
  <si>
    <t>SW-104930</t>
  </si>
  <si>
    <t>SW-104931</t>
  </si>
  <si>
    <t>SW-104932</t>
  </si>
  <si>
    <t>SW-104933</t>
  </si>
  <si>
    <t>SW-104934</t>
  </si>
  <si>
    <t>SW-104935</t>
  </si>
  <si>
    <t>SW-104936</t>
  </si>
  <si>
    <t>SW-104937</t>
  </si>
  <si>
    <t>SW-104938</t>
  </si>
  <si>
    <t>SW-104939</t>
  </si>
  <si>
    <t>SW-104940</t>
  </si>
  <si>
    <t>SW-104941</t>
  </si>
  <si>
    <t>SW-104942</t>
  </si>
  <si>
    <t>SW-104943</t>
  </si>
  <si>
    <t>SW-104944</t>
  </si>
  <si>
    <t>SW-104945</t>
  </si>
  <si>
    <t>SW-104946</t>
  </si>
  <si>
    <t>SW-104947</t>
  </si>
  <si>
    <t>SW-104948</t>
  </si>
  <si>
    <t>SW-104949</t>
  </si>
  <si>
    <t>SW-104950</t>
  </si>
  <si>
    <t>SW-104951</t>
  </si>
  <si>
    <t>SW-104952</t>
  </si>
  <si>
    <t>SW-104953</t>
  </si>
  <si>
    <t>SW-104954</t>
  </si>
  <si>
    <t>SW-104955</t>
  </si>
  <si>
    <t>SW-104956</t>
  </si>
  <si>
    <t>SW-104957</t>
  </si>
  <si>
    <t>SW-104958</t>
  </si>
  <si>
    <t>SW-104959</t>
  </si>
  <si>
    <t>SW-104960</t>
  </si>
  <si>
    <t>SW-104961</t>
  </si>
  <si>
    <t>SW-104962</t>
  </si>
  <si>
    <t>SW-104963</t>
  </si>
  <si>
    <t>SW-104964</t>
  </si>
  <si>
    <t>SW-104965</t>
  </si>
  <si>
    <t>SW-104966</t>
  </si>
  <si>
    <t>SW-104967</t>
  </si>
  <si>
    <t>SW-104968</t>
  </si>
  <si>
    <t>SW-104969</t>
  </si>
  <si>
    <t>SW-104970</t>
  </si>
  <si>
    <t>SW-104971</t>
  </si>
  <si>
    <t>SW-104972</t>
  </si>
  <si>
    <t>SW-104973</t>
  </si>
  <si>
    <t>SW-104974</t>
  </si>
  <si>
    <t>SW-104975</t>
  </si>
  <si>
    <t>SW-104976</t>
  </si>
  <si>
    <t>SW-104977</t>
  </si>
  <si>
    <t>SW-104978</t>
  </si>
  <si>
    <t>SW-104979</t>
  </si>
  <si>
    <t>SW-104980</t>
  </si>
  <si>
    <t>SW-104981</t>
  </si>
  <si>
    <t>SW-104982</t>
  </si>
  <si>
    <t>SW-104983</t>
  </si>
  <si>
    <t>SW-104984</t>
  </si>
  <si>
    <t>SW-104985</t>
  </si>
  <si>
    <t>SW-104986</t>
  </si>
  <si>
    <t>SW-104987</t>
  </si>
  <si>
    <t>SW-104988</t>
  </si>
  <si>
    <t>SW-104989</t>
  </si>
  <si>
    <t>SW-104990</t>
  </si>
  <si>
    <t>SW-104991</t>
  </si>
  <si>
    <t>SW-104992</t>
  </si>
  <si>
    <t>SW-104993</t>
  </si>
  <si>
    <t>SW-104994</t>
  </si>
  <si>
    <t>SW-104995</t>
  </si>
  <si>
    <t>SW-104996</t>
  </si>
  <si>
    <t>SW-104997</t>
  </si>
  <si>
    <t>SW-104998</t>
  </si>
  <si>
    <t>SW-104999</t>
  </si>
  <si>
    <t>SW-105000</t>
  </si>
  <si>
    <t>SW-105001</t>
  </si>
  <si>
    <t>SW-105002</t>
  </si>
  <si>
    <t>SW-105003</t>
  </si>
  <si>
    <t>SW-105004</t>
  </si>
  <si>
    <t>SW-105005</t>
  </si>
  <si>
    <t>SW-105006</t>
  </si>
  <si>
    <t>SW-105007</t>
  </si>
  <si>
    <t>SW-105008</t>
  </si>
  <si>
    <t>SW-105009</t>
  </si>
  <si>
    <t>SW-105010</t>
  </si>
  <si>
    <t>SW-105011</t>
  </si>
  <si>
    <t>SW-105012</t>
  </si>
  <si>
    <t>SW-105013</t>
  </si>
  <si>
    <t>SW-105014</t>
  </si>
  <si>
    <t>SW-105015</t>
  </si>
  <si>
    <t>SW-105016</t>
  </si>
  <si>
    <t>SW-105017</t>
  </si>
  <si>
    <t>SW-105018</t>
  </si>
  <si>
    <t>SW-105019</t>
  </si>
  <si>
    <t>SW-105020</t>
  </si>
  <si>
    <t>SW-105021</t>
  </si>
  <si>
    <t>SW-105022</t>
  </si>
  <si>
    <t>SW-105023</t>
  </si>
  <si>
    <t>SW-105024</t>
  </si>
  <si>
    <t>SW-105025</t>
  </si>
  <si>
    <t>SW-105026</t>
  </si>
  <si>
    <t>SW-105027</t>
  </si>
  <si>
    <t>SW-105028</t>
  </si>
  <si>
    <t>SW-105029</t>
  </si>
  <si>
    <t>SW-105030</t>
  </si>
  <si>
    <t>SW-105031</t>
  </si>
  <si>
    <t>SW-105032</t>
  </si>
  <si>
    <t>SW-105033</t>
  </si>
  <si>
    <t>SW-105034</t>
  </si>
  <si>
    <t>SW-105035</t>
  </si>
  <si>
    <t>SW-105036</t>
  </si>
  <si>
    <t>SW-105037</t>
  </si>
  <si>
    <t>SW-105038</t>
  </si>
  <si>
    <t>SW-105039</t>
  </si>
  <si>
    <t>SW-105040</t>
  </si>
  <si>
    <t>SW-105041</t>
  </si>
  <si>
    <t>SW-105042</t>
  </si>
  <si>
    <t>SW-105043</t>
  </si>
  <si>
    <t>SW-105044</t>
  </si>
  <si>
    <t>SW-105045</t>
  </si>
  <si>
    <t>SW-105046</t>
  </si>
  <si>
    <t>SW-105047</t>
  </si>
  <si>
    <t>SW-105048</t>
  </si>
  <si>
    <t>SW-105049</t>
  </si>
  <si>
    <t>SW-105050</t>
  </si>
  <si>
    <t>SW-105051</t>
  </si>
  <si>
    <t>SW-105052</t>
  </si>
  <si>
    <t>SW-105053</t>
  </si>
  <si>
    <t>SW-105054</t>
  </si>
  <si>
    <t>SW-105055</t>
  </si>
  <si>
    <t>SW-105056</t>
  </si>
  <si>
    <t>SW-105057</t>
  </si>
  <si>
    <t>SW-105058</t>
  </si>
  <si>
    <t>SW-105059</t>
  </si>
  <si>
    <t>SW-105060</t>
  </si>
  <si>
    <t>SW-105061</t>
  </si>
  <si>
    <t>SW-105062</t>
  </si>
  <si>
    <t>SW-105063</t>
  </si>
  <si>
    <t>SW-105064</t>
  </si>
  <si>
    <t>SW-105065</t>
  </si>
  <si>
    <t>SW-105066</t>
  </si>
  <si>
    <t>SW-105067</t>
  </si>
  <si>
    <t>SW-105068</t>
  </si>
  <si>
    <t>SW-105069</t>
  </si>
  <si>
    <t>SW-105070</t>
  </si>
  <si>
    <t>SW-105071</t>
  </si>
  <si>
    <t>SW-105072</t>
  </si>
  <si>
    <t>SW-105073</t>
  </si>
  <si>
    <t>SW-105074</t>
  </si>
  <si>
    <t>SW-105075</t>
  </si>
  <si>
    <t>SW-105076</t>
  </si>
  <si>
    <t>SW-105077</t>
  </si>
  <si>
    <t>SW-105078</t>
  </si>
  <si>
    <t>SW-105079</t>
  </si>
  <si>
    <t>SW-105080</t>
  </si>
  <si>
    <t>SW-105081</t>
  </si>
  <si>
    <t>SW-105082</t>
  </si>
  <si>
    <t>SW-105083</t>
  </si>
  <si>
    <t>SW-105084</t>
  </si>
  <si>
    <t>SW-105085</t>
  </si>
  <si>
    <t>SW-105086</t>
  </si>
  <si>
    <t>SW-105087</t>
  </si>
  <si>
    <t>SW-105088</t>
  </si>
  <si>
    <t>SW-105089</t>
  </si>
  <si>
    <t>SW-105090</t>
  </si>
  <si>
    <t>SW-105091</t>
  </si>
  <si>
    <t>SW-105092</t>
  </si>
  <si>
    <t>SW-105093</t>
  </si>
  <si>
    <t>SW-105094</t>
  </si>
  <si>
    <t>SW-105095</t>
  </si>
  <si>
    <t>SW-105096</t>
  </si>
  <si>
    <t>SW-105097</t>
  </si>
  <si>
    <t>SW-105098</t>
  </si>
  <si>
    <t>SW-105099</t>
  </si>
  <si>
    <t>SW-105100</t>
  </si>
  <si>
    <t>SW-105101</t>
  </si>
  <si>
    <t>SW-105102</t>
  </si>
  <si>
    <t>SW-105103</t>
  </si>
  <si>
    <t>SW-105104</t>
  </si>
  <si>
    <t>SW-105105</t>
  </si>
  <si>
    <t>SW-105106</t>
  </si>
  <si>
    <t>SW-105107</t>
  </si>
  <si>
    <t>SW-105108</t>
  </si>
  <si>
    <t>SW-105109</t>
  </si>
  <si>
    <t>SW-105110</t>
  </si>
  <si>
    <t>SW-105111</t>
  </si>
  <si>
    <t>SW-105112</t>
  </si>
  <si>
    <t>SW-105113</t>
  </si>
  <si>
    <t>SW-105114</t>
  </si>
  <si>
    <t>SW-105115</t>
  </si>
  <si>
    <t>SW-105116</t>
  </si>
  <si>
    <t>SW-105117</t>
  </si>
  <si>
    <t>SW-105118</t>
  </si>
  <si>
    <t>SW-105119</t>
  </si>
  <si>
    <t>SW-105120</t>
  </si>
  <si>
    <t>SW-105121</t>
  </si>
  <si>
    <t>SW-105122</t>
  </si>
  <si>
    <t>SW-105123</t>
  </si>
  <si>
    <t>SW-105124</t>
  </si>
  <si>
    <t>SW-105125</t>
  </si>
  <si>
    <t>SW-105126</t>
  </si>
  <si>
    <t>SW-105127</t>
  </si>
  <si>
    <t>SW-105128</t>
  </si>
  <si>
    <t>SW-105129</t>
  </si>
  <si>
    <t>SW-105130</t>
  </si>
  <si>
    <t>SW-105131</t>
  </si>
  <si>
    <t>SW-105132</t>
  </si>
  <si>
    <t>SW-105133</t>
  </si>
  <si>
    <t>SW-105134</t>
  </si>
  <si>
    <t>SW-105135</t>
  </si>
  <si>
    <t>SW-105136</t>
  </si>
  <si>
    <t>SW-105137</t>
  </si>
  <si>
    <t>SW-105138</t>
  </si>
  <si>
    <t>SW-105139</t>
  </si>
  <si>
    <t>SW-105140</t>
  </si>
  <si>
    <t>SW-105141</t>
  </si>
  <si>
    <t>SW-105142</t>
  </si>
  <si>
    <t>SW-105143</t>
  </si>
  <si>
    <t>SW-105144</t>
  </si>
  <si>
    <t>SW-105145</t>
  </si>
  <si>
    <t>SW-105146</t>
  </si>
  <si>
    <t>SW-105147</t>
  </si>
  <si>
    <t>SW-105148</t>
  </si>
  <si>
    <t>SW-105149</t>
  </si>
  <si>
    <t>SW-105150</t>
  </si>
  <si>
    <t>SW-105151</t>
  </si>
  <si>
    <t>SW-105152</t>
  </si>
  <si>
    <t>SW-105153</t>
  </si>
  <si>
    <t>SW-105154</t>
  </si>
  <si>
    <t>SW-105155</t>
  </si>
  <si>
    <t>SW-105156</t>
  </si>
  <si>
    <t>SW-105157</t>
  </si>
  <si>
    <t>SW-105158</t>
  </si>
  <si>
    <t>SW-105159</t>
  </si>
  <si>
    <t>SW-105160</t>
  </si>
  <si>
    <t>SW-105161</t>
  </si>
  <si>
    <t>SW-105162</t>
  </si>
  <si>
    <t>SW-105163</t>
  </si>
  <si>
    <t>SW-105164</t>
  </si>
  <si>
    <t>SW-105165</t>
  </si>
  <si>
    <t>SW-105166</t>
  </si>
  <si>
    <t>SW-105167</t>
  </si>
  <si>
    <t>SW-105168</t>
  </si>
  <si>
    <t>SW-105169</t>
  </si>
  <si>
    <t>SW-105170</t>
  </si>
  <si>
    <t>SW-105171</t>
  </si>
  <si>
    <t>SW-105172</t>
  </si>
  <si>
    <t>SW-105173</t>
  </si>
  <si>
    <t>SW-105174</t>
  </si>
  <si>
    <t>SW-105175</t>
  </si>
  <si>
    <t>SW-105176</t>
  </si>
  <si>
    <t>SW-105177</t>
  </si>
  <si>
    <t>SW-105178</t>
  </si>
  <si>
    <t>SW-105179</t>
  </si>
  <si>
    <t>SW-105180</t>
  </si>
  <si>
    <t>SW-105181</t>
  </si>
  <si>
    <t>SW-105182</t>
  </si>
  <si>
    <t>SW-105183</t>
  </si>
  <si>
    <t>SW-105184</t>
  </si>
  <si>
    <t>SW-105185</t>
  </si>
  <si>
    <t>SW-105186</t>
  </si>
  <si>
    <t>SW-105187</t>
  </si>
  <si>
    <t>SW-105188</t>
  </si>
  <si>
    <t>SW-105189</t>
  </si>
  <si>
    <t>SW-105190</t>
  </si>
  <si>
    <t>SW-105191</t>
  </si>
  <si>
    <t>SW-105192</t>
  </si>
  <si>
    <t>SW-105193</t>
  </si>
  <si>
    <t>SW-105194</t>
  </si>
  <si>
    <t>SW-105195</t>
  </si>
  <si>
    <t>SW-105196</t>
  </si>
  <si>
    <t>SW-105197</t>
  </si>
  <si>
    <t>SW-105198</t>
  </si>
  <si>
    <t>SW-105199</t>
  </si>
  <si>
    <t>SW-105200</t>
  </si>
  <si>
    <t>SW-105201</t>
  </si>
  <si>
    <t>SW-105202</t>
  </si>
  <si>
    <t>SW-105203</t>
  </si>
  <si>
    <t>SW-105204</t>
  </si>
  <si>
    <t>SW-105205</t>
  </si>
  <si>
    <t>SW-105206</t>
  </si>
  <si>
    <t>SW-105207</t>
  </si>
  <si>
    <t>SW-105208</t>
  </si>
  <si>
    <t>SW-105209</t>
  </si>
  <si>
    <t>SW-105210</t>
  </si>
  <si>
    <t>SW-105211</t>
  </si>
  <si>
    <t>SW-105212</t>
  </si>
  <si>
    <t>SW-105213</t>
  </si>
  <si>
    <t>SW-105214</t>
  </si>
  <si>
    <t>SW-105215</t>
  </si>
  <si>
    <t>SW-105216</t>
  </si>
  <si>
    <t>SW-105217</t>
  </si>
  <si>
    <t>SW-105218</t>
  </si>
  <si>
    <t>SW-105219</t>
  </si>
  <si>
    <t>SW-105220</t>
  </si>
  <si>
    <t>SW-105221</t>
  </si>
  <si>
    <t>SW-105222</t>
  </si>
  <si>
    <t>SW-105223</t>
  </si>
  <si>
    <t>SW-105224</t>
  </si>
  <si>
    <t>SW-105225</t>
  </si>
  <si>
    <t>SW-105226</t>
  </si>
  <si>
    <t>SW-105227</t>
  </si>
  <si>
    <t>SW-105228</t>
  </si>
  <si>
    <t>SW-105229</t>
  </si>
  <si>
    <t>SW-105230</t>
  </si>
  <si>
    <t>SW-105231</t>
  </si>
  <si>
    <t>SW-105232</t>
  </si>
  <si>
    <t>SW-105233</t>
  </si>
  <si>
    <t>SW-105234</t>
  </si>
  <si>
    <t>SW-105235</t>
  </si>
  <si>
    <t>SW-105236</t>
  </si>
  <si>
    <t>SW-105237</t>
  </si>
  <si>
    <t>SW-105238</t>
  </si>
  <si>
    <t>SW-105239</t>
  </si>
  <si>
    <t>SW-105240</t>
  </si>
  <si>
    <t>SW-105241</t>
  </si>
  <si>
    <t>SW-105242</t>
  </si>
  <si>
    <t>SW-105243</t>
  </si>
  <si>
    <t>SW-105244</t>
  </si>
  <si>
    <t>SW-105245</t>
  </si>
  <si>
    <t>SW-105246</t>
  </si>
  <si>
    <t>SW-105247</t>
  </si>
  <si>
    <t>SW-105248</t>
  </si>
  <si>
    <t>SW-105249</t>
  </si>
  <si>
    <t>SW-105250</t>
  </si>
  <si>
    <t>SW-105251</t>
  </si>
  <si>
    <t>SW-105252</t>
  </si>
  <si>
    <t>SW-105253</t>
  </si>
  <si>
    <t>SW-105254</t>
  </si>
  <si>
    <t>SW-105255</t>
  </si>
  <si>
    <t>SW-105256</t>
  </si>
  <si>
    <t>SW-105257</t>
  </si>
  <si>
    <t>SW-105258</t>
  </si>
  <si>
    <t>SW-105259</t>
  </si>
  <si>
    <t>SW-105260</t>
  </si>
  <si>
    <t>SW-105261</t>
  </si>
  <si>
    <t>SW-105262</t>
  </si>
  <si>
    <t>SW-105263</t>
  </si>
  <si>
    <t>SW-105264</t>
  </si>
  <si>
    <t>SW-105265</t>
  </si>
  <si>
    <t>SW-105266</t>
  </si>
  <si>
    <t>SW-105267</t>
  </si>
  <si>
    <t>SW-105268</t>
  </si>
  <si>
    <t>SW-105269</t>
  </si>
  <si>
    <t>SW-105270</t>
  </si>
  <si>
    <t>SW-105271</t>
  </si>
  <si>
    <t>SW-105272</t>
  </si>
  <si>
    <t>SW-105273</t>
  </si>
  <si>
    <t>SW-105274</t>
  </si>
  <si>
    <t>SW-105275</t>
  </si>
  <si>
    <t>SW-105276</t>
  </si>
  <si>
    <t>SW-105277</t>
  </si>
  <si>
    <t>SW-105278</t>
  </si>
  <si>
    <t>SW-105279</t>
  </si>
  <si>
    <t>SW-105280</t>
  </si>
  <si>
    <t>SW-105281</t>
  </si>
  <si>
    <t>SW-105282</t>
  </si>
  <si>
    <t>SW-105283</t>
  </si>
  <si>
    <t>SW-105284</t>
  </si>
  <si>
    <t>SW-105285</t>
  </si>
  <si>
    <t>SW-105286</t>
  </si>
  <si>
    <t>SW-105287</t>
  </si>
  <si>
    <t>SW-105288</t>
  </si>
  <si>
    <t>SW-105289</t>
  </si>
  <si>
    <t>SW-105290</t>
  </si>
  <si>
    <t>SW-105291</t>
  </si>
  <si>
    <t>SW-105292</t>
  </si>
  <si>
    <t>SW-105293</t>
  </si>
  <si>
    <t>SW-105294</t>
  </si>
  <si>
    <t>SW-105295</t>
  </si>
  <si>
    <t>SW-105296</t>
  </si>
  <si>
    <t>SW-105297</t>
  </si>
  <si>
    <t>SW-105298</t>
  </si>
  <si>
    <t>SW-105299</t>
  </si>
  <si>
    <t>SW-105300</t>
  </si>
  <si>
    <t>SW-105301</t>
  </si>
  <si>
    <t>SW-105302</t>
  </si>
  <si>
    <t>SW-105303</t>
  </si>
  <si>
    <t>SW-105304</t>
  </si>
  <si>
    <t>SW-105305</t>
  </si>
  <si>
    <t>SW-105306</t>
  </si>
  <si>
    <t>SW-105307</t>
  </si>
  <si>
    <t>SW-105308</t>
  </si>
  <si>
    <t>SW-105309</t>
  </si>
  <si>
    <t>SW-105310</t>
  </si>
  <si>
    <t>SW-105311</t>
  </si>
  <si>
    <t>SW-105312</t>
  </si>
  <si>
    <t>SW-105313</t>
  </si>
  <si>
    <t>SW-105314</t>
  </si>
  <si>
    <t>SW-105315</t>
  </si>
  <si>
    <t>SW-105316</t>
  </si>
  <si>
    <t>SW-105317</t>
  </si>
  <si>
    <t>SW-105318</t>
  </si>
  <si>
    <t>SW-105319</t>
  </si>
  <si>
    <t>SW-105320</t>
  </si>
  <si>
    <t>SW-105321</t>
  </si>
  <si>
    <t>SW-105322</t>
  </si>
  <si>
    <t>SW-105323</t>
  </si>
  <si>
    <t>SW-105324</t>
  </si>
  <si>
    <t>SW-105325</t>
  </si>
  <si>
    <t>SW-105326</t>
  </si>
  <si>
    <t>SW-105327</t>
  </si>
  <si>
    <t>SW-105328</t>
  </si>
  <si>
    <t>SW-105329</t>
  </si>
  <si>
    <t>SW-105330</t>
  </si>
  <si>
    <t>SW-105331</t>
  </si>
  <si>
    <t>SW-105332</t>
  </si>
  <si>
    <t>SW-105333</t>
  </si>
  <si>
    <t>SW-105334</t>
  </si>
  <si>
    <t>SW-105335</t>
  </si>
  <si>
    <t>SW-105336</t>
  </si>
  <si>
    <t>SW-105337</t>
  </si>
  <si>
    <t>SW-105338</t>
  </si>
  <si>
    <t>SW-105339</t>
  </si>
  <si>
    <t>SW-105340</t>
  </si>
  <si>
    <t>SW-105341</t>
  </si>
  <si>
    <t>SW-105342</t>
  </si>
  <si>
    <t>SW-105343</t>
  </si>
  <si>
    <t>SW-105344</t>
  </si>
  <si>
    <t>SW-105345</t>
  </si>
  <si>
    <t>SW-105346</t>
  </si>
  <si>
    <t>SW-105347</t>
  </si>
  <si>
    <t>SW-105348</t>
  </si>
  <si>
    <t>SW-105349</t>
  </si>
  <si>
    <t>SW-105350</t>
  </si>
  <si>
    <t>SW-105351</t>
  </si>
  <si>
    <t>SW-105352</t>
  </si>
  <si>
    <t>SW-105353</t>
  </si>
  <si>
    <t>SW-105354</t>
  </si>
  <si>
    <t>SW-105355</t>
  </si>
  <si>
    <t>SW-105356</t>
  </si>
  <si>
    <t>SW-105357</t>
  </si>
  <si>
    <t>SW-105358</t>
  </si>
  <si>
    <t>SW-105359</t>
  </si>
  <si>
    <t>SW-105360</t>
  </si>
  <si>
    <t>SW-105361</t>
  </si>
  <si>
    <t>SW-105362</t>
  </si>
  <si>
    <t>SW-105363</t>
  </si>
  <si>
    <t>SW-105364</t>
  </si>
  <si>
    <t>SW-105365</t>
  </si>
  <si>
    <t>SW-105366</t>
  </si>
  <si>
    <t>SW-105367</t>
  </si>
  <si>
    <t>SW-105368</t>
  </si>
  <si>
    <t>SW-105369</t>
  </si>
  <si>
    <t>SW-105370</t>
  </si>
  <si>
    <t>SW-105371</t>
  </si>
  <si>
    <t>SW-105372</t>
  </si>
  <si>
    <t>SW-105373</t>
  </si>
  <si>
    <t>SW-105374</t>
  </si>
  <si>
    <t>SW-105375</t>
  </si>
  <si>
    <t>SW-105376</t>
  </si>
  <si>
    <t>SW-105377</t>
  </si>
  <si>
    <t>SW-105378</t>
  </si>
  <si>
    <t>SW-105379</t>
  </si>
  <si>
    <t>SW-105380</t>
  </si>
  <si>
    <t>SW-105381</t>
  </si>
  <si>
    <t>SW-105382</t>
  </si>
  <si>
    <t>SW-105383</t>
  </si>
  <si>
    <t>SW-105384</t>
  </si>
  <si>
    <t>SW-105385</t>
  </si>
  <si>
    <t>SW-105386</t>
  </si>
  <si>
    <t>SW-105387</t>
  </si>
  <si>
    <t>SW-105388</t>
  </si>
  <si>
    <t>SW-105389</t>
  </si>
  <si>
    <t>SW-105390</t>
  </si>
  <si>
    <t>SW-105391</t>
  </si>
  <si>
    <t>SW-105392</t>
  </si>
  <si>
    <t>SW-105393</t>
  </si>
  <si>
    <t>SW-105394</t>
  </si>
  <si>
    <t>SW-105395</t>
  </si>
  <si>
    <t>SW-105396</t>
  </si>
  <si>
    <t>SW-105397</t>
  </si>
  <si>
    <t>SW-105398</t>
  </si>
  <si>
    <t>SW-105399</t>
  </si>
  <si>
    <t>SW-105400</t>
  </si>
  <si>
    <t>E-Commerce Sales Performance</t>
  </si>
  <si>
    <t>Online store | Revenue, profitability, channels &amp; returns | 2024-2025  |  Sample / simulated data for portfolio use</t>
  </si>
  <si>
    <t>BUSINESS PROBLEM</t>
  </si>
  <si>
    <t>Context</t>
  </si>
  <si>
    <t>An online store selling across a website, a mobile app and a marketplace wants one view of sales performance. Management asks where growth comes from, which categories and discounts hurt profit, and why customers return products.</t>
  </si>
  <si>
    <t>QUESTIONS THIS ANALYSIS ANSWERS</t>
  </si>
  <si>
    <t>How did revenue, orders and average order value change in 2025 vs 2024?</t>
  </si>
  <si>
    <t>Which channel and category drive revenue, and how is the channel mix shifting?</t>
  </si>
  <si>
    <t>How much margin do discounts cost us?</t>
  </si>
  <si>
    <t>Which categories have the highest return rate?</t>
  </si>
  <si>
    <t>Q5</t>
  </si>
  <si>
    <t>Does delivery speed affect customer ratings?</t>
  </si>
  <si>
    <t>KEY INSIGHTS</t>
  </si>
  <si>
    <t>Insight 1</t>
  </si>
  <si>
    <t>Revenue grew 15.0% in 2025 ($566.1K to $650.8K), driven by order volume rather than basket size.</t>
  </si>
  <si>
    <t>Insight 2</t>
  </si>
  <si>
    <t>Mobile App share of revenue rose from 27.7% to 43.3%; it is now the largest channel.</t>
  </si>
  <si>
    <t>Insight 3</t>
  </si>
  <si>
    <t>November and December generate 23.3% of annual revenue (2 of 12 months), so stock and delivery capacity must peak in Q4.</t>
  </si>
  <si>
    <t>Insight 4</t>
  </si>
  <si>
    <t>Fashion has the highest return rate (15.7%) vs 4.0% for Beauty; returns are also higher on the Marketplace channel.</t>
  </si>
  <si>
    <t>Insight 5</t>
  </si>
  <si>
    <t>Profit margin falls from 27.6% with no discount to 1.0% at 21-30% discounts.</t>
  </si>
  <si>
    <t>Insight 6</t>
  </si>
  <si>
    <t>Orders delivered in 6+ days are rated 3.43/5 vs 4.29/5 for 1-3 day deliveries.</t>
  </si>
  <si>
    <t>RECOMMENDATIONS</t>
  </si>
  <si>
    <t>Action 1</t>
  </si>
  <si>
    <t>Shift acquisition budget toward the Mobile App (push notifications, app-only offers); it is growing fastest.</t>
  </si>
  <si>
    <t>Action 2</t>
  </si>
  <si>
    <t>Cap blanket discounts at 20% and use targeted vouchers instead; deep discounts erase most of the margin.</t>
  </si>
  <si>
    <t>Action 3</t>
  </si>
  <si>
    <t>Add a size guide and fit reviews to Fashion product pages to cut the return rate.</t>
  </si>
  <si>
    <t>Action 4</t>
  </si>
  <si>
    <t>Open a regional fulfilment point or partner courier for Northern and Southern regions to cut delivery days.</t>
  </si>
  <si>
    <t>DATASET</t>
  </si>
  <si>
    <t>Rows / columns</t>
  </si>
  <si>
    <t>5,400 rows x 21 columns (sheet 'Data', Excel table 'tblData')</t>
  </si>
  <si>
    <t>Period</t>
  </si>
  <si>
    <t>01 Jan 2024 to 31 Dec 2025</t>
  </si>
  <si>
    <t>Unique order number</t>
  </si>
  <si>
    <t>Order date (Year, Quarter, Month derived)</t>
  </si>
  <si>
    <t>Website, Mobile App or Marketplace</t>
  </si>
  <si>
    <t>Customer delivery region</t>
  </si>
  <si>
    <t>New or Returning customer</t>
  </si>
  <si>
    <t>Category / Product</t>
  </si>
  <si>
    <t>Product hierarchy</t>
  </si>
  <si>
    <t>Quantity, UnitPrice</t>
  </si>
  <si>
    <t>Units ordered and list price (USD)</t>
  </si>
  <si>
    <t>DiscountPct / DiscountBand</t>
  </si>
  <si>
    <t>Discount applied</t>
  </si>
  <si>
    <t>Revenue, Cost, Profit</t>
  </si>
  <si>
    <t>Net revenue after discount, landed cost and gross profit (USD)</t>
  </si>
  <si>
    <t>Order counter (1 per row)</t>
  </si>
  <si>
    <t>1 if the order was returned</t>
  </si>
  <si>
    <t>DeliveryDays, Rating</t>
  </si>
  <si>
    <t>Days to deliver and customer rating (1-5)</t>
  </si>
  <si>
    <t>WORKBOOK GUIDE</t>
  </si>
  <si>
    <t>Dashboard</t>
  </si>
  <si>
    <t>KPI cards, pivot charts and slicers. Click any slicer on the left to filter every chart and KPI at once.</t>
  </si>
  <si>
    <t>Pivots</t>
  </si>
  <si>
    <t>The PivotTables that feed the dashboard (all share one pivot cache). Refresh: Data &gt; Refresh All.</t>
  </si>
  <si>
    <t>Data</t>
  </si>
  <si>
    <t>Clean, typed source table. Add rows to the table and press Refresh All to update everything.</t>
  </si>
  <si>
    <t>Tools</t>
  </si>
  <si>
    <t>Excel PivotTables, calculated fields, PivotCharts, Slicers, GETPIVOTDATA, conditional number formats.</t>
  </si>
  <si>
    <t>Prepared by</t>
  </si>
  <si>
    <t>Ahmed Abdulsalam | Data Analyst</t>
  </si>
  <si>
    <t>PivotTables feeding the dashboard (one shared pivot cache; Data &gt; Refresh All updates everything)</t>
  </si>
  <si>
    <t>KPI summary (feeds the KPI cards)</t>
  </si>
  <si>
    <t>Grand Total</t>
  </si>
  <si>
    <t xml:space="preserve">Revenue </t>
  </si>
  <si>
    <t>Values</t>
  </si>
  <si>
    <t xml:space="preserve">Orders </t>
  </si>
  <si>
    <t xml:space="preserve">AOV </t>
  </si>
  <si>
    <t xml:space="preserve">Margin </t>
  </si>
  <si>
    <t xml:space="preserve">Return Rate </t>
  </si>
  <si>
    <t>Monthly revenue by year</t>
  </si>
  <si>
    <t>Revenue by category</t>
  </si>
  <si>
    <t>Revenue by channel</t>
  </si>
  <si>
    <t>Return rate by category</t>
  </si>
  <si>
    <t>Profit margin by discount band</t>
  </si>
  <si>
    <t>Online store | Revenue, profitability, channels &amp; returns | 2024-2025</t>
  </si>
  <si>
    <t>Sample / simulated data</t>
  </si>
  <si>
    <t xml:space="preserve">  FILTERS</t>
  </si>
  <si>
    <t xml:space="preserve">  REVENUE  ·  2025</t>
  </si>
  <si>
    <t xml:space="preserve">  ORDERS  ·  2025</t>
  </si>
  <si>
    <t xml:space="preserve">  AVG ORDER VALUE  ·  2025</t>
  </si>
  <si>
    <t xml:space="preserve">  PROFIT MARGIN  ·  2025</t>
  </si>
  <si>
    <t xml:space="preserve">  RETURN RATE  ·  2025</t>
  </si>
  <si>
    <t>Click any slicer to filter every chart and KPI. Source: sheet 'Data' (table tblData).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</si>
</sst>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d\-mmm\-yyyy"/>
    <numFmt numFmtId="166" formatCode="\$#,##0.00"/>
    <numFmt numFmtId="167" formatCode="&quot;$&quot;#,##0"/>
    <numFmt numFmtId="168" formatCode="&quot;$&quot;#,##0.00"/>
    <numFmt numFmtId="169" formatCode="0.0%"/>
    <numFmt numFmtId="170" formatCode="&quot;$&quot;#,##0.00,,&quot;M&quot;"/>
    <numFmt numFmtId="171" formatCode="[Color10]&quot;▲ &quot;0.0%&quot; vs 2024&quot;;[Red]&quot;▼ &quot;0.0%&quot; vs 2024&quot;;&quot;■ 0.0% vs 2024&quot;"/>
    <numFmt numFmtId="172" formatCode="[Color10]&quot;▲ &quot;0.0&quot; pp vs 2024&quot;;[Red]&quot;▼ &quot;0.0&quot; pp vs 2024&quot;;&quot;■ 0.0 pp vs 2024&quot;"/>
    <numFmt numFmtId="173" formatCode="[Red]&quot;▲ &quot;0.0&quot; pp vs 2024&quot;;[Color10]&quot;▼ &quot;0.0&quot; pp vs 2024&quot;;&quot;■ 0.0 pp vs 2024&quot;"/>
  </numFmts>
  <fonts count="18" x14ac:knownFonts="1">
    <font>
      <sz val="11"/>
      <color theme="1"/>
      <name val="Segoe UI"/>
      <family val="2"/>
      <scheme val="minor"/>
    </font>
    <font>
      <b/>
      <sz val="18"/>
      <color rgb="FFFFFFFF"/>
      <name val="Segoe UI"/>
    </font>
    <font>
      <i/>
      <sz val="10"/>
      <color rgb="FF5D6D7E"/>
      <name val="Segoe UI"/>
    </font>
    <font>
      <b/>
      <sz val="11"/>
      <color rgb="FF2563EB"/>
      <name val="Segoe UI"/>
    </font>
    <font>
      <b/>
      <sz val="10"/>
      <color rgb="FF1F2D3D"/>
      <name val="Segoe UI"/>
    </font>
    <font>
      <sz val="10"/>
      <color rgb="FF1F2D3D"/>
      <name val="Segoe UI"/>
    </font>
    <font>
      <b/>
      <sz val="12"/>
      <color theme="1"/>
      <name val="Segoe UI"/>
      <family val="2"/>
      <scheme val="minor"/>
    </font>
    <font>
      <b/>
      <sz val="11"/>
      <color rgb="FF2563EB"/>
      <name val="Segoe UI"/>
      <family val="2"/>
      <scheme val="minor"/>
    </font>
    <font>
      <sz val="9"/>
      <color theme="1"/>
      <name val="Segoe UI"/>
      <family val="2"/>
      <scheme val="minor"/>
    </font>
    <font>
      <b/>
      <sz val="20"/>
      <color rgb="FFFFFFFF"/>
      <name val="Segoe UI"/>
      <family val="2"/>
      <scheme val="minor"/>
    </font>
    <font>
      <sz val="10"/>
      <color rgb="FFD6DEE8"/>
      <name val="Segoe UI"/>
      <family val="2"/>
      <scheme val="minor"/>
    </font>
    <font>
      <i/>
      <sz val="9"/>
      <color rgb="FFD6DEE8"/>
      <name val="Segoe UI"/>
      <family val="2"/>
      <scheme val="minor"/>
    </font>
    <font>
      <sz val="9"/>
      <color rgb="FFFFFFFF"/>
      <name val="Segoe UI"/>
      <family val="2"/>
      <scheme val="minor"/>
    </font>
    <font>
      <b/>
      <sz val="10"/>
      <color rgb="FF2563EB"/>
      <name val="Segoe UI"/>
      <family val="2"/>
      <scheme val="minor"/>
    </font>
    <font>
      <b/>
      <sz val="8"/>
      <color theme="1"/>
      <name val="Segoe UI"/>
      <family val="2"/>
      <scheme val="minor"/>
    </font>
    <font>
      <b/>
      <sz val="8"/>
      <color rgb="FF5D6D7E"/>
      <name val="Segoe UI"/>
      <family val="2"/>
      <scheme val="minor"/>
    </font>
    <font>
      <b/>
      <sz val="20"/>
      <color rgb="FF1F2D3D"/>
      <name val="Segoe UI"/>
      <family val="2"/>
      <scheme val="minor"/>
    </font>
    <font>
      <i/>
      <sz val="8"/>
      <color rgb="FF5D6D7E"/>
      <name val="Segoe UI"/>
      <family val="2"/>
      <scheme val="minor"/>
    </font>
  </fonts>
  <fills count="7">
    <fill>
      <patternFill patternType="none"/>
    </fill>
    <fill>
      <patternFill patternType="gray125"/>
    </fill>
    <fill>
      <patternFill patternType="solid">
        <fgColor rgb="FF2563EB"/>
      </patternFill>
    </fill>
    <fill>
      <patternFill patternType="solid">
        <fgColor rgb="FFF1F4F9"/>
        <bgColor indexed="64"/>
      </patternFill>
    </fill>
    <fill>
      <patternFill patternType="solid">
        <fgColor rgb="FF0F1E3D"/>
        <bgColor indexed="64"/>
      </patternFill>
    </fill>
    <fill>
      <patternFill patternType="solid">
        <fgColor rgb="FF2563EB"/>
        <bgColor indexed="64"/>
      </patternFill>
    </fill>
    <fill>
      <patternFill patternType="solid">
        <fgColor rgb="FFFFFFFF"/>
        <bgColor indexed="64"/>
      </patternFill>
    </fill>
  </fills>
  <borders count="13">
    <border>
      <left/>
      <right/>
      <top/>
      <bottom/>
      <diagonal/>
    </border>
    <border>
      <left/>
      <right/>
      <top/>
      <bottom style="medium">
        <color rgb="FF2563EB"/>
      </bottom>
      <diagonal/>
    </border>
    <border>
      <left style="thin">
        <color rgb="FFDDE2E8"/>
      </left>
      <right/>
      <top/>
      <bottom/>
      <diagonal/>
    </border>
    <border>
      <left style="thin">
        <color rgb="FFDDE2E8"/>
      </left>
      <right/>
      <top style="thin">
        <color rgb="FFDDE2E8"/>
      </top>
      <bottom/>
      <diagonal/>
    </border>
    <border>
      <left/>
      <right/>
      <top style="thin">
        <color rgb="FFDDE2E8"/>
      </top>
      <bottom/>
      <diagonal/>
    </border>
    <border>
      <left style="thin">
        <color rgb="FFDDE2E8"/>
      </left>
      <right/>
      <top/>
      <bottom style="thin">
        <color rgb="FFDDE2E8"/>
      </bottom>
      <diagonal/>
    </border>
    <border>
      <left/>
      <right/>
      <top/>
      <bottom style="thin">
        <color rgb="FFDDE2E8"/>
      </bottom>
      <diagonal/>
    </border>
    <border>
      <left/>
      <right style="thin">
        <color rgb="FFDDE2E8"/>
      </right>
      <top style="thin">
        <color rgb="FFDDE2E8"/>
      </top>
      <bottom/>
      <diagonal/>
    </border>
    <border>
      <left/>
      <right style="thin">
        <color rgb="FFDDE2E8"/>
      </right>
      <top/>
      <bottom/>
      <diagonal/>
    </border>
    <border>
      <left/>
      <right style="thin">
        <color rgb="FFDDE2E8"/>
      </right>
      <top/>
      <bottom style="thin">
        <color rgb="FFDDE2E8"/>
      </bottom>
      <diagonal/>
    </border>
    <border>
      <left style="thin">
        <color rgb="FFDDE2E8"/>
      </left>
      <right/>
      <top style="medium">
        <color rgb="FF2563EB"/>
      </top>
      <bottom/>
      <diagonal/>
    </border>
    <border>
      <left/>
      <right/>
      <top style="medium">
        <color rgb="FF2563EB"/>
      </top>
      <bottom/>
      <diagonal/>
    </border>
    <border>
      <left/>
      <right style="thin">
        <color rgb="FFDDE2E8"/>
      </right>
      <top style="medium">
        <color rgb="FF2563EB"/>
      </top>
      <bottom/>
      <diagonal/>
    </border>
  </borders>
  <cellStyleXfs count="1">
    <xf numFmtId="0" fontId="0" fillId="0" borderId="0"/>
  </cellStyleXfs>
  <cellXfs count="61">
    <xf numFmtId="0" fontId="0" fillId="0" borderId="0" xfId="0"/>
    <xf numFmtId="165" fontId="0" fillId="0" borderId="0" xfId="0" applyNumberFormat="1"/>
    <xf numFmtId="166" fontId="0" fillId="0" borderId="0" xfId="0" applyNumberFormat="1"/>
    <xf numFmtId="9" fontId="0" fillId="0" borderId="0" xfId="0" applyNumberForma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6" fillId="0" borderId="0" xfId="0" applyFont="1"/>
    <xf numFmtId="0" fontId="7" fillId="0" borderId="0" xfId="0" applyFont="1"/>
    <xf numFmtId="0" fontId="0" fillId="0" borderId="0" xfId="0" pivotButton="1"/>
    <xf numFmtId="167" fontId="0" fillId="0" borderId="0" xfId="0" applyNumberFormat="1"/>
    <xf numFmtId="3" fontId="0" fillId="0" borderId="0" xfId="0" applyNumberFormat="1"/>
    <xf numFmtId="168" fontId="0" fillId="0" borderId="0" xfId="0" applyNumberFormat="1"/>
    <xf numFmtId="169" fontId="0" fillId="0" borderId="0" xfId="0" applyNumberFormat="1"/>
    <xf numFmtId="0" fontId="0" fillId="0" borderId="0" xfId="0" applyFont="1"/>
    <xf numFmtId="0" fontId="8" fillId="0" borderId="0" xfId="0" applyFont="1"/>
    <xf numFmtId="0" fontId="8" fillId="3" borderId="0" xfId="0" applyFont="1" applyFill="1"/>
    <xf numFmtId="0" fontId="8" fillId="4" borderId="0" xfId="0" applyFont="1" applyFill="1"/>
    <xf numFmtId="0" fontId="9" fillId="4" borderId="0" xfId="0" applyFont="1" applyFill="1"/>
    <xf numFmtId="0" fontId="10" fillId="4" borderId="0" xfId="0" applyFont="1" applyFill="1"/>
    <xf numFmtId="0" fontId="11" fillId="4" borderId="0" xfId="0" applyFont="1" applyFill="1" applyAlignment="1">
      <alignment horizontal="right"/>
    </xf>
    <xf numFmtId="0" fontId="12" fillId="4" borderId="0" xfId="0" applyFont="1" applyFill="1" applyAlignment="1">
      <alignment horizontal="right"/>
    </xf>
    <xf numFmtId="0" fontId="8" fillId="5" borderId="0" xfId="0" applyFont="1" applyFill="1"/>
    <xf numFmtId="0" fontId="8" fillId="6" borderId="0" xfId="0" applyFont="1" applyFill="1" applyBorder="1"/>
    <xf numFmtId="0" fontId="8" fillId="6" borderId="2" xfId="0" applyFont="1" applyFill="1" applyBorder="1"/>
    <xf numFmtId="0" fontId="8" fillId="6" borderId="4" xfId="0" applyFont="1" applyFill="1" applyBorder="1"/>
    <xf numFmtId="0" fontId="8" fillId="6" borderId="5" xfId="0" applyFont="1" applyFill="1" applyBorder="1"/>
    <xf numFmtId="0" fontId="8" fillId="6" borderId="6" xfId="0" applyFont="1" applyFill="1" applyBorder="1"/>
    <xf numFmtId="0" fontId="8" fillId="6" borderId="7" xfId="0" applyFont="1" applyFill="1" applyBorder="1"/>
    <xf numFmtId="0" fontId="8" fillId="6" borderId="8" xfId="0" applyFont="1" applyFill="1" applyBorder="1"/>
    <xf numFmtId="0" fontId="8" fillId="6" borderId="9" xfId="0" applyFont="1" applyFill="1" applyBorder="1"/>
    <xf numFmtId="0" fontId="13" fillId="6" borderId="3" xfId="0" applyFont="1" applyFill="1" applyBorder="1"/>
    <xf numFmtId="0" fontId="8" fillId="6" borderId="11" xfId="0" applyFont="1" applyFill="1" applyBorder="1"/>
    <xf numFmtId="0" fontId="8" fillId="6" borderId="12" xfId="0" applyFont="1" applyFill="1" applyBorder="1"/>
    <xf numFmtId="0" fontId="15" fillId="6" borderId="10" xfId="0" applyFont="1" applyFill="1" applyBorder="1"/>
    <xf numFmtId="170" fontId="16" fillId="6" borderId="2" xfId="0" applyNumberFormat="1" applyFont="1" applyFill="1" applyBorder="1" applyAlignment="1">
      <alignment horizontal="left" vertical="center" indent="1"/>
    </xf>
    <xf numFmtId="170" fontId="16" fillId="6" borderId="0" xfId="0" applyNumberFormat="1" applyFont="1" applyFill="1" applyBorder="1" applyAlignment="1">
      <alignment horizontal="left" vertical="center" indent="1"/>
    </xf>
    <xf numFmtId="170" fontId="16" fillId="6" borderId="8" xfId="0" applyNumberFormat="1" applyFont="1" applyFill="1" applyBorder="1" applyAlignment="1">
      <alignment horizontal="left" vertical="center" indent="1"/>
    </xf>
    <xf numFmtId="171" fontId="14" fillId="6" borderId="5" xfId="0" applyNumberFormat="1" applyFont="1" applyFill="1" applyBorder="1" applyAlignment="1">
      <alignment horizontal="left" indent="1"/>
    </xf>
    <xf numFmtId="171" fontId="14" fillId="6" borderId="6" xfId="0" applyNumberFormat="1" applyFont="1" applyFill="1" applyBorder="1" applyAlignment="1">
      <alignment horizontal="left" indent="1"/>
    </xf>
    <xf numFmtId="171" fontId="14" fillId="6" borderId="9" xfId="0" applyNumberFormat="1" applyFont="1" applyFill="1" applyBorder="1" applyAlignment="1">
      <alignment horizontal="left" indent="1"/>
    </xf>
    <xf numFmtId="3" fontId="16" fillId="6" borderId="2" xfId="0" applyNumberFormat="1" applyFont="1" applyFill="1" applyBorder="1" applyAlignment="1">
      <alignment horizontal="left" vertical="center" indent="1"/>
    </xf>
    <xf numFmtId="3" fontId="16" fillId="6" borderId="0" xfId="0" applyNumberFormat="1" applyFont="1" applyFill="1" applyBorder="1" applyAlignment="1">
      <alignment horizontal="left" vertical="center" indent="1"/>
    </xf>
    <xf numFmtId="3" fontId="16" fillId="6" borderId="8" xfId="0" applyNumberFormat="1" applyFont="1" applyFill="1" applyBorder="1" applyAlignment="1">
      <alignment horizontal="left" vertical="center" indent="1"/>
    </xf>
    <xf numFmtId="168" fontId="16" fillId="6" borderId="2" xfId="0" applyNumberFormat="1" applyFont="1" applyFill="1" applyBorder="1" applyAlignment="1">
      <alignment horizontal="left" vertical="center" indent="1"/>
    </xf>
    <xf numFmtId="168" fontId="16" fillId="6" borderId="0" xfId="0" applyNumberFormat="1" applyFont="1" applyFill="1" applyBorder="1" applyAlignment="1">
      <alignment horizontal="left" vertical="center" indent="1"/>
    </xf>
    <xf numFmtId="168" fontId="16" fillId="6" borderId="8" xfId="0" applyNumberFormat="1" applyFont="1" applyFill="1" applyBorder="1" applyAlignment="1">
      <alignment horizontal="left" vertical="center" indent="1"/>
    </xf>
    <xf numFmtId="169" fontId="16" fillId="6" borderId="2" xfId="0" applyNumberFormat="1" applyFont="1" applyFill="1" applyBorder="1" applyAlignment="1">
      <alignment horizontal="left" vertical="center" indent="1"/>
    </xf>
    <xf numFmtId="169" fontId="16" fillId="6" borderId="0" xfId="0" applyNumberFormat="1" applyFont="1" applyFill="1" applyBorder="1" applyAlignment="1">
      <alignment horizontal="left" vertical="center" indent="1"/>
    </xf>
    <xf numFmtId="169" fontId="16" fillId="6" borderId="8" xfId="0" applyNumberFormat="1" applyFont="1" applyFill="1" applyBorder="1" applyAlignment="1">
      <alignment horizontal="left" vertical="center" indent="1"/>
    </xf>
    <xf numFmtId="172" fontId="14" fillId="6" borderId="5" xfId="0" applyNumberFormat="1" applyFont="1" applyFill="1" applyBorder="1" applyAlignment="1">
      <alignment horizontal="left" indent="1"/>
    </xf>
    <xf numFmtId="172" fontId="14" fillId="6" borderId="6" xfId="0" applyNumberFormat="1" applyFont="1" applyFill="1" applyBorder="1" applyAlignment="1">
      <alignment horizontal="left" indent="1"/>
    </xf>
    <xf numFmtId="172" fontId="14" fillId="6" borderId="9" xfId="0" applyNumberFormat="1" applyFont="1" applyFill="1" applyBorder="1" applyAlignment="1">
      <alignment horizontal="left" indent="1"/>
    </xf>
    <xf numFmtId="173" fontId="14" fillId="6" borderId="5" xfId="0" applyNumberFormat="1" applyFont="1" applyFill="1" applyBorder="1" applyAlignment="1">
      <alignment horizontal="left" indent="1"/>
    </xf>
    <xf numFmtId="173" fontId="14" fillId="6" borderId="6" xfId="0" applyNumberFormat="1" applyFont="1" applyFill="1" applyBorder="1" applyAlignment="1">
      <alignment horizontal="left" indent="1"/>
    </xf>
    <xf numFmtId="173" fontId="14" fillId="6" borderId="9" xfId="0" applyNumberFormat="1" applyFont="1" applyFill="1" applyBorder="1" applyAlignment="1">
      <alignment horizontal="left" indent="1"/>
    </xf>
    <xf numFmtId="0" fontId="17"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[Ecommerce_Sales_Dashboard.xlsx]Pivots!ptTrend</c:name>
    <c:fmtId val="0"/>
  </c:pivotSource>
  <c:chart>
    <c:title>
      <c:tx>
        <c:rich>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r>
              <a:rPr lang="en-US" sz="1100" b="1">
                <a:solidFill>
                  <a:srgbClr val="0F1E3D"/>
                </a:solidFill>
              </a:rPr>
              <a:t>Monthly Revenue: 2025 vs 2024</a:t>
            </a:r>
          </a:p>
        </c:rich>
      </c:tx>
      <c:layout>
        <c:manualLayout>
          <c:xMode val="edge"/>
          <c:yMode val="edge"/>
          <c:x val="2.2038567493112948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endParaRPr lang="en-US"/>
        </a:p>
      </c:txPr>
    </c:title>
    <c:autoTitleDeleted val="0"/>
    <c:pivotFmts>
      <c:pivotFmt>
        <c:idx val="0"/>
        <c:spPr>
          <a:ln w="22225" cap="rnd">
            <a:solidFill>
              <a:srgbClr val="94A3B8"/>
            </a:solidFill>
            <a:prstDash val="dash"/>
            <a:round/>
          </a:ln>
          <a:effectLst/>
        </c:spPr>
        <c:marker>
          <c:symbol val="circle"/>
          <c:size val="5"/>
          <c:spPr>
            <a:solidFill>
              <a:srgbClr val="94A3B8"/>
            </a:solidFill>
            <a:ln w="22225">
              <a:solidFill>
                <a:srgbClr val="94A3B8"/>
              </a:solidFill>
              <a:prstDash val="lgDash"/>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2563EB"/>
            </a:solidFill>
            <a:round/>
          </a:ln>
          <a:effectLst/>
        </c:spPr>
        <c:marker>
          <c:symbol val="circle"/>
          <c:size val="5"/>
          <c:spPr>
            <a:solidFill>
              <a:srgbClr val="2563EB"/>
            </a:solidFill>
            <a:ln w="31750">
              <a:solidFill>
                <a:srgbClr val="2563EB"/>
              </a:solidFill>
              <a:prstDash val="solid"/>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Pivots!$H$5:$H$6</c:f>
              <c:strCache>
                <c:ptCount val="1"/>
                <c:pt idx="0">
                  <c:v>2024</c:v>
                </c:pt>
              </c:strCache>
            </c:strRef>
          </c:tx>
          <c:spPr>
            <a:ln w="22225" cap="rnd">
              <a:solidFill>
                <a:srgbClr val="94A3B8"/>
              </a:solidFill>
              <a:prstDash val="dash"/>
              <a:round/>
            </a:ln>
            <a:effectLst/>
          </c:spPr>
          <c:marker>
            <c:symbol val="circle"/>
            <c:size val="5"/>
            <c:spPr>
              <a:solidFill>
                <a:srgbClr val="94A3B8"/>
              </a:solidFill>
              <a:ln w="22225">
                <a:solidFill>
                  <a:srgbClr val="94A3B8"/>
                </a:solidFill>
                <a:prstDash val="lgDash"/>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Pivots!$H$7:$H$19</c:f>
              <c:numCache>
                <c:formatCode>"$"#,##0</c:formatCode>
                <c:ptCount val="12"/>
                <c:pt idx="0">
                  <c:v>42946.1</c:v>
                </c:pt>
                <c:pt idx="1">
                  <c:v>40413.43</c:v>
                </c:pt>
                <c:pt idx="2">
                  <c:v>48109.720000000038</c:v>
                </c:pt>
                <c:pt idx="3">
                  <c:v>48311.060000000012</c:v>
                </c:pt>
                <c:pt idx="4">
                  <c:v>43072.750000000007</c:v>
                </c:pt>
                <c:pt idx="5">
                  <c:v>46015.21000000005</c:v>
                </c:pt>
                <c:pt idx="6">
                  <c:v>39933.840000000011</c:v>
                </c:pt>
                <c:pt idx="7">
                  <c:v>34686.939999999995</c:v>
                </c:pt>
                <c:pt idx="8">
                  <c:v>42530.730000000018</c:v>
                </c:pt>
                <c:pt idx="9">
                  <c:v>47549.549999999981</c:v>
                </c:pt>
                <c:pt idx="10">
                  <c:v>76271.709999999977</c:v>
                </c:pt>
                <c:pt idx="11">
                  <c:v>56277.17</c:v>
                </c:pt>
              </c:numCache>
            </c:numRef>
          </c:val>
          <c:smooth val="0"/>
          <c:extLst>
            <c:ext xmlns:c16="http://schemas.microsoft.com/office/drawing/2014/chart" uri="{C3380CC4-5D6E-409C-BE32-E72D297353CC}">
              <c16:uniqueId val="{00000001-646F-440C-8FFA-74E9C728438E}"/>
            </c:ext>
          </c:extLst>
        </c:ser>
        <c:ser>
          <c:idx val="1"/>
          <c:order val="1"/>
          <c:tx>
            <c:strRef>
              <c:f>Pivots!$I$5:$I$6</c:f>
              <c:strCache>
                <c:ptCount val="1"/>
                <c:pt idx="0">
                  <c:v>2025</c:v>
                </c:pt>
              </c:strCache>
            </c:strRef>
          </c:tx>
          <c:spPr>
            <a:ln w="31750" cap="rnd">
              <a:solidFill>
                <a:srgbClr val="2563EB"/>
              </a:solidFill>
              <a:round/>
            </a:ln>
            <a:effectLst/>
          </c:spPr>
          <c:marker>
            <c:symbol val="circle"/>
            <c:size val="5"/>
            <c:spPr>
              <a:solidFill>
                <a:srgbClr val="2563EB"/>
              </a:solidFill>
              <a:ln w="31750">
                <a:solidFill>
                  <a:srgbClr val="2563EB"/>
                </a:solidFill>
                <a:prstDash val="solid"/>
              </a:ln>
              <a:effectLst/>
            </c:spPr>
          </c:marker>
          <c:cat>
            <c:strRef>
              <c:f>Pivots!$G$7:$G$19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Pivots!$I$7:$I$19</c:f>
              <c:numCache>
                <c:formatCode>"$"#,##0</c:formatCode>
                <c:ptCount val="12"/>
                <c:pt idx="0">
                  <c:v>45533.94999999999</c:v>
                </c:pt>
                <c:pt idx="1">
                  <c:v>34400.30999999999</c:v>
                </c:pt>
                <c:pt idx="2">
                  <c:v>51148.720000000008</c:v>
                </c:pt>
                <c:pt idx="3">
                  <c:v>51472.319999999985</c:v>
                </c:pt>
                <c:pt idx="4">
                  <c:v>46769.169999999976</c:v>
                </c:pt>
                <c:pt idx="5">
                  <c:v>52946.500000000022</c:v>
                </c:pt>
                <c:pt idx="6">
                  <c:v>52045.000000000007</c:v>
                </c:pt>
                <c:pt idx="7">
                  <c:v>60511.73000000001</c:v>
                </c:pt>
                <c:pt idx="8">
                  <c:v>47778.24000000002</c:v>
                </c:pt>
                <c:pt idx="9">
                  <c:v>57014.880000000005</c:v>
                </c:pt>
                <c:pt idx="10">
                  <c:v>78399.53</c:v>
                </c:pt>
                <c:pt idx="11">
                  <c:v>72789.809999999925</c:v>
                </c:pt>
              </c:numCache>
            </c:numRef>
          </c:val>
          <c:smooth val="0"/>
          <c:extLst>
            <c:ext xmlns:c16="http://schemas.microsoft.com/office/drawing/2014/chart" uri="{C3380CC4-5D6E-409C-BE32-E72D297353CC}">
              <c16:uniqueId val="{00000002-646F-440C-8FFA-74E9C728438E}"/>
            </c:ext>
          </c:extLst>
        </c:ser>
        <c:dLbls>
          <c:showLegendKey val="0"/>
          <c:showVal val="0"/>
          <c:showCatName val="0"/>
          <c:showSerName val="0"/>
          <c:showPercent val="0"/>
          <c:showBubbleSize val="0"/>
        </c:dLbls>
        <c:marker val="1"/>
        <c:smooth val="0"/>
        <c:axId val="643186752"/>
        <c:axId val="717469280"/>
      </c:lineChart>
      <c:catAx>
        <c:axId val="643186752"/>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717469280"/>
        <c:crosses val="autoZero"/>
        <c:auto val="1"/>
        <c:lblAlgn val="ctr"/>
        <c:lblOffset val="100"/>
        <c:noMultiLvlLbl val="0"/>
      </c:catAx>
      <c:valAx>
        <c:axId val="717469280"/>
        <c:scaling>
          <c:orientation val="minMax"/>
        </c:scaling>
        <c:delete val="0"/>
        <c:axPos val="l"/>
        <c:majorGridlines>
          <c:spPr>
            <a:ln w="9525" cap="flat" cmpd="sng" algn="ctr">
              <a:solidFill>
                <a:srgbClr val="EEF1F4"/>
              </a:solidFill>
              <a:round/>
            </a:ln>
            <a:effectLst/>
          </c:spPr>
        </c:majorGridlines>
        <c:numFmt formatCode="&quot;$&quot;#,##0,&quot;K&quot;"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643186752"/>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DE2E8"/>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[Ecommerce_Sales_Dashboard.xlsx]Pivots!ptCategory</c:name>
    <c:fmtId val="0"/>
  </c:pivotSource>
  <c:chart>
    <c:title>
      <c:tx>
        <c:rich>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r>
              <a:rPr lang="en-US" sz="1100" b="1">
                <a:solidFill>
                  <a:srgbClr val="0F1E3D"/>
                </a:solidFill>
              </a:rPr>
              <a:t>Revenue by Category</a:t>
            </a:r>
          </a:p>
        </c:rich>
      </c:tx>
      <c:layout>
        <c:manualLayout>
          <c:xMode val="edge"/>
          <c:yMode val="edge"/>
          <c:x val="3.6363636363636362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endParaRPr lang="en-US"/>
        </a:p>
      </c:txPr>
    </c:title>
    <c:autoTitleDeleted val="0"/>
    <c:pivotFmts>
      <c:pivotFmt>
        <c:idx val="0"/>
        <c:spPr>
          <a:solidFill>
            <a:srgbClr val="2563EB"/>
          </a:solidFill>
          <a:ln>
            <a:noFill/>
          </a:ln>
          <a:effectLst/>
          <a:extLst>
            <a:ext uri="{91240B29-F687-4F45-9708-019B960494DF}">
              <a14:hiddenLine xmlns:a14="http://schemas.microsoft.com/office/drawing/2010/main">
                <a:noFill/>
              </a14:hiddenLine>
            </a:ext>
          </a:ex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Pivots!$M$5</c:f>
              <c:strCache>
                <c:ptCount val="1"/>
                <c:pt idx="0">
                  <c:v>Total</c:v>
                </c:pt>
              </c:strCache>
            </c:strRef>
          </c:tx>
          <c:spPr>
            <a:solidFill>
              <a:srgbClr val="2563EB"/>
            </a:solidFill>
            <a:ln>
              <a:noFill/>
            </a:ln>
            <a:effectLst/>
            <a:extLst>
              <a:ext uri="{91240B29-F687-4F45-9708-019B960494DF}">
                <a14:hiddenLine xmlns:a14="http://schemas.microsoft.com/office/drawing/2010/main">
                  <a:noFill/>
                </a14:hiddenLine>
              </a:ext>
            </a:ex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Pivots!$L$6:$L$12</c:f>
              <c:strCache>
                <c:ptCount val="6"/>
                <c:pt idx="0">
                  <c:v>Electronics</c:v>
                </c:pt>
                <c:pt idx="1">
                  <c:v>Home &amp; Kitchen</c:v>
                </c:pt>
                <c:pt idx="2">
                  <c:v>Fashion</c:v>
                </c:pt>
                <c:pt idx="3">
                  <c:v>Sports</c:v>
                </c:pt>
                <c:pt idx="4">
                  <c:v>Beauty</c:v>
                </c:pt>
                <c:pt idx="5">
                  <c:v>Books &amp; Toys</c:v>
                </c:pt>
              </c:strCache>
            </c:strRef>
          </c:cat>
          <c:val>
            <c:numRef>
              <c:f>Pivots!$M$6:$M$12</c:f>
              <c:numCache>
                <c:formatCode>"$"#,##0</c:formatCode>
                <c:ptCount val="6"/>
                <c:pt idx="0">
                  <c:v>702668.39999999956</c:v>
                </c:pt>
                <c:pt idx="1">
                  <c:v>184254.75999999992</c:v>
                </c:pt>
                <c:pt idx="2">
                  <c:v>138937.7900000005</c:v>
                </c:pt>
                <c:pt idx="3">
                  <c:v>105161.80999999995</c:v>
                </c:pt>
                <c:pt idx="4">
                  <c:v>57590.820000000094</c:v>
                </c:pt>
                <c:pt idx="5">
                  <c:v>28314.789999999979</c:v>
                </c:pt>
              </c:numCache>
            </c:numRef>
          </c:val>
          <c:extLst>
            <c:ext xmlns:c16="http://schemas.microsoft.com/office/drawing/2014/chart" uri="{C3380CC4-5D6E-409C-BE32-E72D297353CC}">
              <c16:uniqueId val="{00000001-6233-4D0B-A512-DA23C6F0501F}"/>
            </c:ext>
          </c:extLst>
        </c:ser>
        <c:dLbls>
          <c:showLegendKey val="0"/>
          <c:showVal val="0"/>
          <c:showCatName val="0"/>
          <c:showSerName val="0"/>
          <c:showPercent val="0"/>
          <c:showBubbleSize val="0"/>
        </c:dLbls>
        <c:gapWidth val="60"/>
        <c:overlap val="-10"/>
        <c:axId val="714488688"/>
        <c:axId val="717473120"/>
      </c:barChart>
      <c:catAx>
        <c:axId val="714488688"/>
        <c:scaling>
          <c:orientation val="maxMin"/>
        </c:scaling>
        <c:delete val="0"/>
        <c:axPos val="l"/>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717473120"/>
        <c:crosses val="autoZero"/>
        <c:auto val="1"/>
        <c:lblAlgn val="ctr"/>
        <c:lblOffset val="100"/>
        <c:noMultiLvlLbl val="0"/>
      </c:catAx>
      <c:valAx>
        <c:axId val="717473120"/>
        <c:scaling>
          <c:orientation val="minMax"/>
        </c:scaling>
        <c:delete val="1"/>
        <c:axPos val="t"/>
        <c:numFmt formatCode="&quot;$&quot;#,##0" sourceLinked="1"/>
        <c:majorTickMark val="none"/>
        <c:minorTickMark val="none"/>
        <c:tickLblPos val="nextTo"/>
        <c:crossAx val="714488688"/>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DE2E8"/>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[Ecommerce_Sales_Dashboard.xlsx]Pivots!ptChannel</c:name>
    <c:fmtId val="0"/>
  </c:pivotSource>
  <c:chart>
    <c:title>
      <c:tx>
        <c:rich>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r>
              <a:rPr lang="en-US" sz="1100" b="1">
                <a:solidFill>
                  <a:srgbClr val="0F1E3D"/>
                </a:solidFill>
              </a:rPr>
              <a:t>Revenue Share by Channel</a:t>
            </a:r>
          </a:p>
        </c:rich>
      </c:tx>
      <c:layout>
        <c:manualLayout>
          <c:xMode val="edge"/>
          <c:yMode val="edge"/>
          <c:x val="4.2780748663101602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endParaRPr lang="en-US"/>
        </a:p>
      </c:txPr>
    </c:title>
    <c:autoTitleDeleted val="0"/>
    <c:pivotFmts>
      <c:pivotFmt>
        <c:idx val="0"/>
        <c:spPr>
          <a:solidFill>
            <a:schemeClr val="accent1"/>
          </a:solidFill>
          <a:ln w="19050">
            <a:solidFill>
              <a:srgbClr val="FFFF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Pivots!$P$5</c:f>
              <c:strCache>
                <c:ptCount val="1"/>
                <c:pt idx="0">
                  <c:v>Total</c:v>
                </c:pt>
              </c:strCache>
            </c:strRef>
          </c:tx>
          <c:spPr>
            <a:ln w="19050">
              <a:solidFill>
                <a:srgbClr val="FFFFFF"/>
              </a:solidFill>
            </a:ln>
          </c:spPr>
          <c:dPt>
            <c:idx val="0"/>
            <c:bubble3D val="0"/>
            <c:spPr>
              <a:solidFill>
                <a:schemeClr val="accent1"/>
              </a:solidFill>
              <a:ln w="19050">
                <a:solidFill>
                  <a:srgbClr val="FFFFFF"/>
                </a:solidFill>
              </a:ln>
              <a:effectLst/>
            </c:spPr>
          </c:dPt>
          <c:dPt>
            <c:idx val="1"/>
            <c:bubble3D val="0"/>
            <c:spPr>
              <a:solidFill>
                <a:schemeClr val="accent2"/>
              </a:solidFill>
              <a:ln w="19050">
                <a:solidFill>
                  <a:srgbClr val="FFFFFF"/>
                </a:solidFill>
              </a:ln>
              <a:effectLst/>
            </c:spPr>
          </c:dPt>
          <c:dPt>
            <c:idx val="2"/>
            <c:bubble3D val="0"/>
            <c:spPr>
              <a:solidFill>
                <a:schemeClr val="accent3"/>
              </a:solidFill>
              <a:ln w="19050">
                <a:solidFill>
                  <a:srgbClr val="FFFFFF"/>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Pivots!$O$6:$O$9</c:f>
              <c:strCache>
                <c:ptCount val="3"/>
                <c:pt idx="0">
                  <c:v>Website</c:v>
                </c:pt>
                <c:pt idx="1">
                  <c:v>Mobile App</c:v>
                </c:pt>
                <c:pt idx="2">
                  <c:v>Marketplace</c:v>
                </c:pt>
              </c:strCache>
            </c:strRef>
          </c:cat>
          <c:val>
            <c:numRef>
              <c:f>Pivots!$P$6:$P$9</c:f>
              <c:numCache>
                <c:formatCode>"$"#,##0</c:formatCode>
                <c:ptCount val="3"/>
                <c:pt idx="0">
                  <c:v>546491.78999999829</c:v>
                </c:pt>
                <c:pt idx="1">
                  <c:v>438128.85999999847</c:v>
                </c:pt>
                <c:pt idx="2">
                  <c:v>232307.72000000026</c:v>
                </c:pt>
              </c:numCache>
            </c:numRef>
          </c:val>
          <c:extLst>
            <c:ext xmlns:c16="http://schemas.microsoft.com/office/drawing/2014/chart" uri="{C3380CC4-5D6E-409C-BE32-E72D297353CC}">
              <c16:uniqueId val="{00000001-EC88-4B28-B642-8C26B070D507}"/>
            </c:ext>
          </c:extLst>
        </c:ser>
        <c:dLbls>
          <c:showLegendKey val="0"/>
          <c:showVal val="0"/>
          <c:showCatName val="0"/>
          <c:showSerName val="0"/>
          <c:showPercent val="0"/>
          <c:showBubbleSize val="0"/>
          <c:showLeaderLines val="0"/>
        </c:dLbls>
        <c:firstSliceAng val="0"/>
        <c:holeSize val="58"/>
      </c:doughnutChart>
      <c:spPr>
        <a:noFill/>
        <a:ln>
          <a:noFill/>
        </a:ln>
        <a:effectLst/>
        <a:extLst>
          <a:ext uri="{909E8E84-426E-40DD-AFC4-6F175D3DCCD1}">
            <a14:hiddenFill xmlns:a14="http://schemas.microsoft.com/office/drawing/2010/main">
              <a:noFill/>
            </a14:hiddenFill>
          </a:ext>
        </a:ex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DE2E8"/>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[Ecommerce_Sales_Dashboard.xlsx]Pivots!ptReturns</c:name>
    <c:fmtId val="0"/>
  </c:pivotSource>
  <c:chart>
    <c:title>
      <c:tx>
        <c:rich>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r>
              <a:rPr lang="en-US" sz="1100" b="1">
                <a:solidFill>
                  <a:srgbClr val="0F1E3D"/>
                </a:solidFill>
              </a:rPr>
              <a:t>Return Rate by Category</a:t>
            </a:r>
          </a:p>
        </c:rich>
      </c:tx>
      <c:layout>
        <c:manualLayout>
          <c:xMode val="edge"/>
          <c:yMode val="edge"/>
          <c:x val="4.0404040404040407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endParaRPr lang="en-US"/>
        </a:p>
      </c:txPr>
    </c:title>
    <c:autoTitleDeleted val="0"/>
    <c:pivotFmts>
      <c:pivotFmt>
        <c:idx val="0"/>
        <c:spPr>
          <a:solidFill>
            <a:srgbClr val="EF4444"/>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Pivots!$S$5</c:f>
              <c:strCache>
                <c:ptCount val="1"/>
                <c:pt idx="0">
                  <c:v>Total</c:v>
                </c:pt>
              </c:strCache>
            </c:strRef>
          </c:tx>
          <c:spPr>
            <a:solidFill>
              <a:srgbClr val="EF4444"/>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Pivots!$R$6:$R$12</c:f>
              <c:strCache>
                <c:ptCount val="6"/>
                <c:pt idx="0">
                  <c:v>Fashion</c:v>
                </c:pt>
                <c:pt idx="1">
                  <c:v>Sports</c:v>
                </c:pt>
                <c:pt idx="2">
                  <c:v>Electronics</c:v>
                </c:pt>
                <c:pt idx="3">
                  <c:v>Home &amp; Kitchen</c:v>
                </c:pt>
                <c:pt idx="4">
                  <c:v>Books &amp; Toys</c:v>
                </c:pt>
                <c:pt idx="5">
                  <c:v>Beauty</c:v>
                </c:pt>
              </c:strCache>
            </c:strRef>
          </c:cat>
          <c:val>
            <c:numRef>
              <c:f>Pivots!$S$6:$S$12</c:f>
              <c:numCache>
                <c:formatCode>0.0%</c:formatCode>
                <c:ptCount val="6"/>
                <c:pt idx="0">
                  <c:v>0.15707620528771385</c:v>
                </c:pt>
                <c:pt idx="1">
                  <c:v>8.5007727975270481E-2</c:v>
                </c:pt>
                <c:pt idx="2">
                  <c:v>7.8216989066442394E-2</c:v>
                </c:pt>
                <c:pt idx="3">
                  <c:v>6.5708418891170434E-2</c:v>
                </c:pt>
                <c:pt idx="4">
                  <c:v>4.3252595155709339E-2</c:v>
                </c:pt>
                <c:pt idx="5">
                  <c:v>3.9944903581267219E-2</c:v>
                </c:pt>
              </c:numCache>
            </c:numRef>
          </c:val>
          <c:extLst>
            <c:ext xmlns:c16="http://schemas.microsoft.com/office/drawing/2014/chart" uri="{C3380CC4-5D6E-409C-BE32-E72D297353CC}">
              <c16:uniqueId val="{00000001-C443-4D7F-92DB-90D4A9BBEA32}"/>
            </c:ext>
          </c:extLst>
        </c:ser>
        <c:dLbls>
          <c:showLegendKey val="0"/>
          <c:showVal val="0"/>
          <c:showCatName val="0"/>
          <c:showSerName val="0"/>
          <c:showPercent val="0"/>
          <c:showBubbleSize val="0"/>
        </c:dLbls>
        <c:gapWidth val="60"/>
        <c:overlap val="-10"/>
        <c:axId val="745346192"/>
        <c:axId val="717475520"/>
      </c:barChart>
      <c:catAx>
        <c:axId val="745346192"/>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717475520"/>
        <c:crosses val="autoZero"/>
        <c:auto val="1"/>
        <c:lblAlgn val="ctr"/>
        <c:lblOffset val="100"/>
        <c:noMultiLvlLbl val="0"/>
      </c:catAx>
      <c:valAx>
        <c:axId val="717475520"/>
        <c:scaling>
          <c:orientation val="minMax"/>
        </c:scaling>
        <c:delete val="1"/>
        <c:axPos val="l"/>
        <c:numFmt formatCode="0.0%" sourceLinked="1"/>
        <c:majorTickMark val="none"/>
        <c:minorTickMark val="none"/>
        <c:tickLblPos val="nextTo"/>
        <c:crossAx val="745346192"/>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DE2E8"/>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[Ecommerce_Sales_Dashboard.xlsx]Pivots!ptDiscount</c:name>
    <c:fmtId val="0"/>
  </c:pivotSource>
  <c:chart>
    <c:title>
      <c:tx>
        <c:rich>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r>
              <a:rPr lang="en-US" sz="1100" b="1">
                <a:solidFill>
                  <a:srgbClr val="0F1E3D"/>
                </a:solidFill>
              </a:rPr>
              <a:t>Profit Margin by Discount Band</a:t>
            </a:r>
          </a:p>
        </c:rich>
      </c:tx>
      <c:layout>
        <c:manualLayout>
          <c:xMode val="edge"/>
          <c:yMode val="edge"/>
          <c:x val="4.2780748663101602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F1E3D"/>
              </a:solidFill>
              <a:latin typeface="Segoe UI" panose="020B0502040204020203" pitchFamily="34" charset="0"/>
              <a:ea typeface="+mn-ea"/>
              <a:cs typeface="+mn-cs"/>
            </a:defRPr>
          </a:pPr>
          <a:endParaRPr lang="en-US"/>
        </a:p>
      </c:txPr>
    </c:title>
    <c:autoTitleDeleted val="0"/>
    <c:pivotFmts>
      <c:pivotFmt>
        <c:idx val="0"/>
        <c:spPr>
          <a:solidFill>
            <a:srgbClr val="10B981"/>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Pivots!$V$5</c:f>
              <c:strCache>
                <c:ptCount val="1"/>
                <c:pt idx="0">
                  <c:v>Total</c:v>
                </c:pt>
              </c:strCache>
            </c:strRef>
          </c:tx>
          <c:spPr>
            <a:solidFill>
              <a:srgbClr val="10B981"/>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5866"/>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Pivots!$U$6:$U$10</c:f>
              <c:strCache>
                <c:ptCount val="4"/>
                <c:pt idx="0">
                  <c:v>0% (none)</c:v>
                </c:pt>
                <c:pt idx="1">
                  <c:v>1-10%</c:v>
                </c:pt>
                <c:pt idx="2">
                  <c:v>11-20%</c:v>
                </c:pt>
                <c:pt idx="3">
                  <c:v>21-30%</c:v>
                </c:pt>
              </c:strCache>
            </c:strRef>
          </c:cat>
          <c:val>
            <c:numRef>
              <c:f>Pivots!$V$6:$V$10</c:f>
              <c:numCache>
                <c:formatCode>0.0%</c:formatCode>
                <c:ptCount val="4"/>
                <c:pt idx="0">
                  <c:v>0.27566335642695788</c:v>
                </c:pt>
                <c:pt idx="1">
                  <c:v>0.22357798669962384</c:v>
                </c:pt>
                <c:pt idx="2">
                  <c:v>0.12989826979234681</c:v>
                </c:pt>
                <c:pt idx="3">
                  <c:v>1.0032217227060146E-2</c:v>
                </c:pt>
              </c:numCache>
            </c:numRef>
          </c:val>
          <c:extLst>
            <c:ext xmlns:c16="http://schemas.microsoft.com/office/drawing/2014/chart" uri="{C3380CC4-5D6E-409C-BE32-E72D297353CC}">
              <c16:uniqueId val="{00000001-4A4E-46F2-AB90-87A33E3598B8}"/>
            </c:ext>
          </c:extLst>
        </c:ser>
        <c:dLbls>
          <c:showLegendKey val="0"/>
          <c:showVal val="0"/>
          <c:showCatName val="0"/>
          <c:showSerName val="0"/>
          <c:showPercent val="0"/>
          <c:showBubbleSize val="0"/>
        </c:dLbls>
        <c:gapWidth val="60"/>
        <c:overlap val="-10"/>
        <c:axId val="630084288"/>
        <c:axId val="717494720"/>
      </c:barChart>
      <c:catAx>
        <c:axId val="630084288"/>
        <c:scaling>
          <c:orientation val="minMax"/>
        </c:scaling>
        <c:delete val="0"/>
        <c:axPos val="b"/>
        <c:numFmt formatCode="General" sourceLinked="1"/>
        <c:majorTickMark val="none"/>
        <c:minorTickMark val="none"/>
        <c:tickLblPos val="nextTo"/>
        <c:spPr>
          <a:noFill/>
          <a:ln w="9525" cap="flat" cmpd="sng" algn="ctr">
            <a:solidFill>
              <a:srgbClr val="EEF1F4"/>
            </a:solidFill>
            <a:round/>
          </a:ln>
          <a:effectLst/>
        </c:spPr>
        <c:txPr>
          <a:bodyPr rot="-60000000" spcFirstLastPara="1" vertOverflow="ellipsis" vert="horz" wrap="square" anchor="ctr" anchorCtr="1"/>
          <a:lstStyle/>
          <a:p>
            <a:pPr>
              <a:defRPr sz="800" b="0" i="0" u="none" strike="noStrike" kern="1200" baseline="0">
                <a:solidFill>
                  <a:srgbClr val="4A5866"/>
                </a:solidFill>
                <a:latin typeface="Segoe UI" panose="020B0502040204020203" pitchFamily="34" charset="0"/>
                <a:ea typeface="+mn-ea"/>
                <a:cs typeface="+mn-cs"/>
              </a:defRPr>
            </a:pPr>
            <a:endParaRPr lang="en-US"/>
          </a:p>
        </c:txPr>
        <c:crossAx val="717494720"/>
        <c:crosses val="autoZero"/>
        <c:auto val="1"/>
        <c:lblAlgn val="ctr"/>
        <c:lblOffset val="100"/>
        <c:noMultiLvlLbl val="0"/>
      </c:catAx>
      <c:valAx>
        <c:axId val="717494720"/>
        <c:scaling>
          <c:orientation val="minMax"/>
        </c:scaling>
        <c:delete val="1"/>
        <c:axPos val="l"/>
        <c:numFmt formatCode="0.0%" sourceLinked="1"/>
        <c:majorTickMark val="none"/>
        <c:minorTickMark val="none"/>
        <c:tickLblPos val="nextTo"/>
        <c:crossAx val="630084288"/>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DE2E8"/>
      </a:solidFill>
      <a:round/>
    </a:ln>
    <a:effectLst/>
  </c:spPr>
  <c:txPr>
    <a:bodyPr/>
    <a:lstStyle/>
    <a:p>
      <a:pPr>
        <a:defRPr sz="800">
          <a:solidFill>
            <a:srgbClr val="4A5866"/>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0</xdr:colOff>
      <xdr:row>11</xdr:row>
      <xdr:rowOff>0</xdr:rowOff>
    </xdr:from>
    <xdr:to>
      <xdr:col>45</xdr:col>
      <xdr:colOff>0</xdr:colOff>
      <xdr:row>28</xdr:row>
      <xdr:rowOff>0</xdr:rowOff>
    </xdr:to>
    <xdr:graphicFrame macro="">
      <xdr:nvGraphicFramePr>
        <xdr:cNvPr id="2" name="ch_ptTrend">
          <a:extLst>
            <a:ext uri="{FF2B5EF4-FFF2-40B4-BE49-F238E27FC236}">
              <a16:creationId xmlns:a16="http://schemas.microsoft.com/office/drawing/2014/main" id="{C05A58B1-CD82-A10B-753D-EA5B818DF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0</xdr:colOff>
      <xdr:row>11</xdr:row>
      <xdr:rowOff>0</xdr:rowOff>
    </xdr:from>
    <xdr:to>
      <xdr:col>66</xdr:col>
      <xdr:colOff>0</xdr:colOff>
      <xdr:row>28</xdr:row>
      <xdr:rowOff>0</xdr:rowOff>
    </xdr:to>
    <xdr:graphicFrame macro="">
      <xdr:nvGraphicFramePr>
        <xdr:cNvPr id="3" name="ch_ptCategory">
          <a:extLst>
            <a:ext uri="{FF2B5EF4-FFF2-40B4-BE49-F238E27FC236}">
              <a16:creationId xmlns:a16="http://schemas.microsoft.com/office/drawing/2014/main" id="{F98EFA9F-01A5-3330-9707-71EE0B7CE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29</xdr:row>
      <xdr:rowOff>0</xdr:rowOff>
    </xdr:from>
    <xdr:to>
      <xdr:col>29</xdr:col>
      <xdr:colOff>0</xdr:colOff>
      <xdr:row>46</xdr:row>
      <xdr:rowOff>0</xdr:rowOff>
    </xdr:to>
    <xdr:graphicFrame macro="">
      <xdr:nvGraphicFramePr>
        <xdr:cNvPr id="4" name="ch_ptChannel">
          <a:extLst>
            <a:ext uri="{FF2B5EF4-FFF2-40B4-BE49-F238E27FC236}">
              <a16:creationId xmlns:a16="http://schemas.microsoft.com/office/drawing/2014/main" id="{86EE09B1-9409-A3AA-497A-89E8FCC6E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29</xdr:row>
      <xdr:rowOff>0</xdr:rowOff>
    </xdr:from>
    <xdr:to>
      <xdr:col>48</xdr:col>
      <xdr:colOff>0</xdr:colOff>
      <xdr:row>46</xdr:row>
      <xdr:rowOff>0</xdr:rowOff>
    </xdr:to>
    <xdr:graphicFrame macro="">
      <xdr:nvGraphicFramePr>
        <xdr:cNvPr id="5" name="ch_ptReturns">
          <a:extLst>
            <a:ext uri="{FF2B5EF4-FFF2-40B4-BE49-F238E27FC236}">
              <a16:creationId xmlns:a16="http://schemas.microsoft.com/office/drawing/2014/main" id="{FA042C69-D748-6B3C-B0B4-3A3F826F0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0</xdr:colOff>
      <xdr:row>29</xdr:row>
      <xdr:rowOff>0</xdr:rowOff>
    </xdr:from>
    <xdr:to>
      <xdr:col>66</xdr:col>
      <xdr:colOff>0</xdr:colOff>
      <xdr:row>46</xdr:row>
      <xdr:rowOff>0</xdr:rowOff>
    </xdr:to>
    <xdr:graphicFrame macro="">
      <xdr:nvGraphicFramePr>
        <xdr:cNvPr id="6" name="ch_ptDiscount">
          <a:extLst>
            <a:ext uri="{FF2B5EF4-FFF2-40B4-BE49-F238E27FC236}">
              <a16:creationId xmlns:a16="http://schemas.microsoft.com/office/drawing/2014/main" id="{194105F5-317C-F678-B32C-8C16F0848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76200</xdr:colOff>
      <xdr:row>7</xdr:row>
      <xdr:rowOff>50800</xdr:rowOff>
    </xdr:from>
    <xdr:to>
      <xdr:col>10</xdr:col>
      <xdr:colOff>133350</xdr:colOff>
      <xdr:row>17</xdr:row>
      <xdr:rowOff>179832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627A1BC-8068-0B43-1F03-8A0F6B64F5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7867" y="1363133"/>
              <a:ext cx="1962150" cy="2034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18</xdr:row>
      <xdr:rowOff>65531</xdr:rowOff>
    </xdr:from>
    <xdr:to>
      <xdr:col>10</xdr:col>
      <xdr:colOff>133350</xdr:colOff>
      <xdr:row>25</xdr:row>
      <xdr:rowOff>184911</xdr:rowOff>
    </xdr:to>
    <mc:AlternateContent xmlns:mc="http://schemas.openxmlformats.org/markup-compatibility/2006">
      <mc:Choice xmlns:a14="http://schemas.microsoft.com/office/drawing/2010/main" Requires="a14">
        <xdr:graphicFrame macro="">
          <xdr:nvGraphicFramePr>
            <xdr:cNvPr id="8" name="Channel">
              <a:extLst>
                <a:ext uri="{FF2B5EF4-FFF2-40B4-BE49-F238E27FC236}">
                  <a16:creationId xmlns:a16="http://schemas.microsoft.com/office/drawing/2014/main" id="{61E3ABA7-6954-8E38-BCC5-DF3B7D6EB54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87867" y="3473364"/>
              <a:ext cx="1962150" cy="1452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26</xdr:row>
      <xdr:rowOff>70611</xdr:rowOff>
    </xdr:from>
    <xdr:to>
      <xdr:col>10</xdr:col>
      <xdr:colOff>133350</xdr:colOff>
      <xdr:row>33</xdr:row>
      <xdr:rowOff>189991</xdr:rowOff>
    </xdr:to>
    <mc:AlternateContent xmlns:mc="http://schemas.openxmlformats.org/markup-compatibility/2006">
      <mc:Choice xmlns:a14="http://schemas.microsoft.com/office/drawing/2010/main" Requires="a14">
        <xdr:graphicFrame macro="">
          <xdr:nvGraphicFramePr>
            <xdr:cNvPr id="9" name="CustomerType">
              <a:extLst>
                <a:ext uri="{FF2B5EF4-FFF2-40B4-BE49-F238E27FC236}">
                  <a16:creationId xmlns:a16="http://schemas.microsoft.com/office/drawing/2014/main" id="{A4046B86-3791-50E3-49B2-45E5DF1F34BD}"/>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287867" y="5002444"/>
              <a:ext cx="1962150" cy="1452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34</xdr:row>
      <xdr:rowOff>75691</xdr:rowOff>
    </xdr:from>
    <xdr:to>
      <xdr:col>10</xdr:col>
      <xdr:colOff>133350</xdr:colOff>
      <xdr:row>46</xdr:row>
      <xdr:rowOff>114299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52F5D88-5B6C-1170-4AA0-934BEE915F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7867" y="6531524"/>
              <a:ext cx="1962150" cy="2324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9.877222453702" createdVersion="5" refreshedVersion="8" minRefreshableVersion="3" recordCount="5400" xr:uid="{B61AD3EF-9B2F-40C6-9FA0-0312B33432B1}">
  <cacheSource type="worksheet">
    <worksheetSource name="tblData"/>
  </cacheSource>
  <cacheFields count="24">
    <cacheField name="OrderID" numFmtId="0">
      <sharedItems/>
    </cacheField>
    <cacheField name="OrderDate" numFmtId="165">
      <sharedItems containsSemiMixedTypes="0" containsNonDate="0" containsDate="1" containsString="0" minDate="2024-01-01T00:00:00" maxDate="2026-01-01T00:00:00"/>
    </cacheField>
    <cacheField name="Year" numFmtId="0">
      <sharedItems containsSemiMixedTypes="0" containsString="0" containsNumber="1" containsInteger="1" minValue="2024" maxValue="2025" count="2">
        <n v="2024"/>
        <n v="2025"/>
      </sharedItems>
    </cacheField>
    <cacheField name="Quarter" numFmtId="0">
      <sharedItems/>
    </cacheField>
    <cacheField name="Month" numFmtId="0">
      <sharedItems count="12">
        <s v="Jan"/>
        <s v="Feb"/>
        <s v="Mar"/>
        <s v="Apr"/>
        <s v="May"/>
        <s v="Jun"/>
        <s v="Jul"/>
        <s v="Aug"/>
        <s v="Sep"/>
        <s v="Oct"/>
        <s v="Nov"/>
        <s v="Dec"/>
      </sharedItems>
    </cacheField>
    <cacheField name="Channel" numFmtId="0">
      <sharedItems count="3">
        <s v="Website"/>
        <s v="Mobile App"/>
        <s v="Marketplace"/>
      </sharedItems>
    </cacheField>
    <cacheField name="Region" numFmtId="0">
      <sharedItems count="5">
        <s v="Western"/>
        <s v="Southern"/>
        <s v="Eastern"/>
        <s v="Central"/>
        <s v="Northern"/>
      </sharedItems>
    </cacheField>
    <cacheField name="CustomerType" numFmtId="0">
      <sharedItems count="2">
        <s v="New"/>
        <s v="Returning"/>
      </sharedItems>
    </cacheField>
    <cacheField name="Category" numFmtId="0">
      <sharedItems count="6">
        <s v="Fashion"/>
        <s v="Beauty"/>
        <s v="Home &amp; Kitchen"/>
        <s v="Sports"/>
        <s v="Electronics"/>
        <s v="Books &amp; Toys"/>
      </sharedItems>
    </cacheField>
    <cacheField name="Product" numFmtId="0">
      <sharedItems/>
    </cacheField>
    <cacheField name="Quantity" numFmtId="0">
      <sharedItems containsSemiMixedTypes="0" containsString="0" containsNumber="1" containsInteger="1" minValue="1" maxValue="4"/>
    </cacheField>
    <cacheField name="UnitPrice" numFmtId="166">
      <sharedItems containsSemiMixedTypes="0" containsString="0" containsNumber="1" minValue="10.76" maxValue="636.09"/>
    </cacheField>
    <cacheField name="DiscountPct" numFmtId="9">
      <sharedItems containsSemiMixedTypes="0" containsString="0" containsNumber="1" minValue="0" maxValue="0.3"/>
    </cacheField>
    <cacheField name="DiscountBand" numFmtId="0">
      <sharedItems count="4">
        <s v="1-10%"/>
        <s v="11-20%"/>
        <s v="0% (none)"/>
        <s v="21-30%"/>
      </sharedItems>
    </cacheField>
    <cacheField name="Revenue" numFmtId="166">
      <sharedItems containsSemiMixedTypes="0" containsString="0" containsNumber="1" minValue="7.53" maxValue="2544.36"/>
    </cacheField>
    <cacheField name="Cost" numFmtId="166">
      <sharedItems containsSemiMixedTypes="0" containsString="0" containsNumber="1" minValue="7.32" maxValue="2127.38"/>
    </cacheField>
    <cacheField name="Profit" numFmtId="166">
      <sharedItems containsSemiMixedTypes="0" containsString="0" containsNumber="1" minValue="-239.14" maxValue="537.6"/>
    </cacheField>
    <cacheField name="Orders" numFmtId="0">
      <sharedItems containsSemiMixedTypes="0" containsString="0" containsNumber="1" containsInteger="1" minValue="1" maxValue="1"/>
    </cacheField>
    <cacheField name="Returned" numFmtId="0">
      <sharedItems containsSemiMixedTypes="0" containsString="0" containsNumber="1" containsInteger="1" minValue="0" maxValue="1"/>
    </cacheField>
    <cacheField name="DeliveryDays" numFmtId="0">
      <sharedItems containsSemiMixedTypes="0" containsString="0" containsNumber="1" containsInteger="1" minValue="2" maxValue="14"/>
    </cacheField>
    <cacheField name="Rating" numFmtId="0">
      <sharedItems containsSemiMixedTypes="0" containsString="0" containsNumber="1" containsInteger="1" minValue="1" maxValue="5"/>
    </cacheField>
    <cacheField name="AOV" numFmtId="0" formula="Revenue/Orders" databaseField="0"/>
    <cacheField name="Margin" numFmtId="0" formula="Profit/Revenue" databaseField="0"/>
    <cacheField name="ReturnRate" numFmtId="0" formula="Returned/Orders" databaseField="0"/>
  </cacheFields>
  <extLst>
    <ext xmlns:x14="http://schemas.microsoft.com/office/spreadsheetml/2009/9/main" uri="{725AE2AE-9491-48be-B2B4-4EB974FC3084}">
      <x14:pivotCacheDefinition pivotCacheId="541384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0">
  <r>
    <s v="SW-100001"/>
    <d v="2024-01-01T00:00:00"/>
    <x v="0"/>
    <s v="Q1"/>
    <x v="0"/>
    <x v="0"/>
    <x v="0"/>
    <x v="0"/>
    <x v="0"/>
    <s v="Leather Handbag"/>
    <n v="2"/>
    <n v="138.5"/>
    <n v="0.05"/>
    <x v="0"/>
    <n v="263.14999999999998"/>
    <n v="154.41"/>
    <n v="108.74"/>
    <n v="1"/>
    <n v="1"/>
    <n v="7"/>
    <n v="2"/>
  </r>
  <r>
    <s v="SW-100002"/>
    <d v="2024-01-01T00:00:00"/>
    <x v="0"/>
    <s v="Q1"/>
    <x v="0"/>
    <x v="1"/>
    <x v="0"/>
    <x v="1"/>
    <x v="0"/>
    <s v="Denim Jacket"/>
    <n v="1"/>
    <n v="78.510000000000005"/>
    <n v="0.2"/>
    <x v="1"/>
    <n v="62.81"/>
    <n v="42.93"/>
    <n v="19.88"/>
    <n v="1"/>
    <n v="0"/>
    <n v="5"/>
    <n v="5"/>
  </r>
  <r>
    <s v="SW-100003"/>
    <d v="2024-01-01T00:00:00"/>
    <x v="0"/>
    <s v="Q1"/>
    <x v="0"/>
    <x v="0"/>
    <x v="0"/>
    <x v="0"/>
    <x v="1"/>
    <s v="Hair Dryer"/>
    <n v="1"/>
    <n v="33.18"/>
    <n v="0"/>
    <x v="2"/>
    <n v="33.18"/>
    <n v="15.69"/>
    <n v="17.489999999999998"/>
    <n v="1"/>
    <n v="0"/>
    <n v="4"/>
    <n v="5"/>
  </r>
  <r>
    <s v="SW-100004"/>
    <d v="2024-01-01T00:00:00"/>
    <x v="0"/>
    <s v="Q1"/>
    <x v="0"/>
    <x v="0"/>
    <x v="0"/>
    <x v="0"/>
    <x v="0"/>
    <s v="Sunglasses"/>
    <n v="1"/>
    <n v="104.94"/>
    <n v="0.15"/>
    <x v="1"/>
    <n v="89.2"/>
    <n v="58.07"/>
    <n v="31.13"/>
    <n v="1"/>
    <n v="0"/>
    <n v="3"/>
    <n v="5"/>
  </r>
  <r>
    <s v="SW-100005"/>
    <d v="2024-01-01T00:00:00"/>
    <x v="0"/>
    <s v="Q1"/>
    <x v="0"/>
    <x v="1"/>
    <x v="0"/>
    <x v="1"/>
    <x v="2"/>
    <s v="Storage Boxes"/>
    <n v="1"/>
    <n v="154.66"/>
    <n v="0.2"/>
    <x v="1"/>
    <n v="123.73"/>
    <n v="103.78"/>
    <n v="19.95"/>
    <n v="1"/>
    <n v="0"/>
    <n v="4"/>
    <n v="4"/>
  </r>
  <r>
    <s v="SW-100006"/>
    <d v="2024-01-01T00:00:00"/>
    <x v="0"/>
    <s v="Q1"/>
    <x v="0"/>
    <x v="2"/>
    <x v="1"/>
    <x v="1"/>
    <x v="0"/>
    <s v="Summer Dress"/>
    <n v="2"/>
    <n v="33.99"/>
    <n v="0.1"/>
    <x v="0"/>
    <n v="61.18"/>
    <n v="38.01"/>
    <n v="23.17"/>
    <n v="1"/>
    <n v="0"/>
    <n v="6"/>
    <n v="3"/>
  </r>
  <r>
    <s v="SW-100007"/>
    <d v="2024-01-01T00:00:00"/>
    <x v="0"/>
    <s v="Q1"/>
    <x v="0"/>
    <x v="0"/>
    <x v="2"/>
    <x v="0"/>
    <x v="0"/>
    <s v="Sunglasses"/>
    <n v="1"/>
    <n v="104.94"/>
    <n v="0.1"/>
    <x v="0"/>
    <n v="94.45"/>
    <n v="55.44"/>
    <n v="39.01"/>
    <n v="1"/>
    <n v="0"/>
    <n v="3"/>
    <n v="5"/>
  </r>
  <r>
    <s v="SW-100008"/>
    <d v="2024-01-01T00:00:00"/>
    <x v="0"/>
    <s v="Q1"/>
    <x v="0"/>
    <x v="0"/>
    <x v="3"/>
    <x v="0"/>
    <x v="1"/>
    <s v="Skin Care Bundle"/>
    <n v="3"/>
    <n v="92.54"/>
    <n v="0"/>
    <x v="2"/>
    <n v="277.62"/>
    <n v="135.58000000000001"/>
    <n v="142.04"/>
    <n v="1"/>
    <n v="0"/>
    <n v="4"/>
    <n v="5"/>
  </r>
  <r>
    <s v="SW-100009"/>
    <d v="2024-01-01T00:00:00"/>
    <x v="0"/>
    <s v="Q1"/>
    <x v="0"/>
    <x v="1"/>
    <x v="2"/>
    <x v="1"/>
    <x v="2"/>
    <s v="Coffee Maker"/>
    <n v="1"/>
    <n v="148.05000000000001"/>
    <n v="0.2"/>
    <x v="1"/>
    <n v="118.44"/>
    <n v="101.49"/>
    <n v="16.95"/>
    <n v="1"/>
    <n v="0"/>
    <n v="4"/>
    <n v="5"/>
  </r>
  <r>
    <s v="SW-100010"/>
    <d v="2024-01-02T00:00:00"/>
    <x v="0"/>
    <s v="Q1"/>
    <x v="0"/>
    <x v="0"/>
    <x v="3"/>
    <x v="1"/>
    <x v="1"/>
    <s v="Makeup Kit"/>
    <n v="1"/>
    <n v="74.3"/>
    <n v="0.2"/>
    <x v="1"/>
    <n v="59.44"/>
    <n v="35.090000000000003"/>
    <n v="24.35"/>
    <n v="1"/>
    <n v="0"/>
    <n v="2"/>
    <n v="4"/>
  </r>
  <r>
    <s v="SW-100011"/>
    <d v="2024-01-02T00:00:00"/>
    <x v="0"/>
    <s v="Q1"/>
    <x v="0"/>
    <x v="1"/>
    <x v="3"/>
    <x v="1"/>
    <x v="2"/>
    <s v="Cookware Set"/>
    <n v="1"/>
    <n v="233.81"/>
    <n v="0.1"/>
    <x v="0"/>
    <n v="210.43"/>
    <n v="157.76"/>
    <n v="52.67"/>
    <n v="1"/>
    <n v="0"/>
    <n v="4"/>
    <n v="4"/>
  </r>
  <r>
    <s v="SW-100012"/>
    <d v="2024-01-03T00:00:00"/>
    <x v="0"/>
    <s v="Q1"/>
    <x v="0"/>
    <x v="0"/>
    <x v="0"/>
    <x v="0"/>
    <x v="0"/>
    <s v="Running Sneakers"/>
    <n v="1"/>
    <n v="94.85"/>
    <n v="0.1"/>
    <x v="0"/>
    <n v="85.36"/>
    <n v="51.56"/>
    <n v="33.799999999999997"/>
    <n v="1"/>
    <n v="0"/>
    <n v="3"/>
    <n v="5"/>
  </r>
  <r>
    <s v="SW-100013"/>
    <d v="2024-01-03T00:00:00"/>
    <x v="0"/>
    <s v="Q1"/>
    <x v="0"/>
    <x v="1"/>
    <x v="3"/>
    <x v="0"/>
    <x v="0"/>
    <s v="Denim Jacket"/>
    <n v="1"/>
    <n v="78.510000000000005"/>
    <n v="0.25"/>
    <x v="3"/>
    <n v="58.88"/>
    <n v="43.83"/>
    <n v="15.05"/>
    <n v="1"/>
    <n v="0"/>
    <n v="3"/>
    <n v="4"/>
  </r>
  <r>
    <s v="SW-100014"/>
    <d v="2024-01-03T00:00:00"/>
    <x v="0"/>
    <s v="Q1"/>
    <x v="0"/>
    <x v="0"/>
    <x v="2"/>
    <x v="0"/>
    <x v="1"/>
    <s v="Hair Dryer"/>
    <n v="2"/>
    <n v="33.18"/>
    <n v="0"/>
    <x v="2"/>
    <n v="66.36"/>
    <n v="31.27"/>
    <n v="35.090000000000003"/>
    <n v="1"/>
    <n v="0"/>
    <n v="4"/>
    <n v="4"/>
  </r>
  <r>
    <s v="SW-100015"/>
    <d v="2024-01-03T00:00:00"/>
    <x v="0"/>
    <s v="Q1"/>
    <x v="0"/>
    <x v="0"/>
    <x v="4"/>
    <x v="1"/>
    <x v="0"/>
    <s v="Sunglasses"/>
    <n v="1"/>
    <n v="104.94"/>
    <n v="0"/>
    <x v="2"/>
    <n v="104.94"/>
    <n v="53.23"/>
    <n v="51.71"/>
    <n v="1"/>
    <n v="0"/>
    <n v="5"/>
    <n v="5"/>
  </r>
  <r>
    <s v="SW-100016"/>
    <d v="2024-01-04T00:00:00"/>
    <x v="0"/>
    <s v="Q1"/>
    <x v="0"/>
    <x v="2"/>
    <x v="3"/>
    <x v="1"/>
    <x v="3"/>
    <s v="Fitness Tracker"/>
    <n v="1"/>
    <n v="74.459999999999994"/>
    <n v="0.1"/>
    <x v="0"/>
    <n v="67.010000000000005"/>
    <n v="48.57"/>
    <n v="18.440000000000001"/>
    <n v="1"/>
    <n v="0"/>
    <n v="4"/>
    <n v="4"/>
  </r>
  <r>
    <s v="SW-100017"/>
    <d v="2024-01-04T00:00:00"/>
    <x v="0"/>
    <s v="Q1"/>
    <x v="0"/>
    <x v="2"/>
    <x v="3"/>
    <x v="1"/>
    <x v="4"/>
    <s v="Wireless Earbuds"/>
    <n v="3"/>
    <n v="588.41"/>
    <n v="0"/>
    <x v="2"/>
    <n v="1765.23"/>
    <n v="1305.45"/>
    <n v="459.78"/>
    <n v="1"/>
    <n v="0"/>
    <n v="4"/>
    <n v="4"/>
  </r>
  <r>
    <s v="SW-100018"/>
    <d v="2024-01-04T00:00:00"/>
    <x v="0"/>
    <s v="Q1"/>
    <x v="0"/>
    <x v="0"/>
    <x v="2"/>
    <x v="0"/>
    <x v="4"/>
    <s v="Wireless Earbuds"/>
    <n v="1"/>
    <n v="588.41"/>
    <n v="0.1"/>
    <x v="0"/>
    <n v="529.57000000000005"/>
    <n v="472.72"/>
    <n v="56.85"/>
    <n v="1"/>
    <n v="0"/>
    <n v="4"/>
    <n v="4"/>
  </r>
  <r>
    <s v="SW-100019"/>
    <d v="2024-01-05T00:00:00"/>
    <x v="0"/>
    <s v="Q1"/>
    <x v="0"/>
    <x v="2"/>
    <x v="1"/>
    <x v="1"/>
    <x v="2"/>
    <s v="Coffee Maker"/>
    <n v="1"/>
    <n v="148.05000000000001"/>
    <n v="0.05"/>
    <x v="0"/>
    <n v="140.65"/>
    <n v="95.06"/>
    <n v="45.59"/>
    <n v="1"/>
    <n v="0"/>
    <n v="7"/>
    <n v="4"/>
  </r>
  <r>
    <s v="SW-100020"/>
    <d v="2024-01-05T00:00:00"/>
    <x v="0"/>
    <s v="Q1"/>
    <x v="0"/>
    <x v="1"/>
    <x v="0"/>
    <x v="1"/>
    <x v="0"/>
    <s v="Leather Handbag"/>
    <n v="1"/>
    <n v="138.5"/>
    <n v="0.1"/>
    <x v="0"/>
    <n v="124.65"/>
    <n v="78.5"/>
    <n v="46.15"/>
    <n v="1"/>
    <n v="0"/>
    <n v="3"/>
    <n v="5"/>
  </r>
  <r>
    <s v="SW-100021"/>
    <d v="2024-01-05T00:00:00"/>
    <x v="0"/>
    <s v="Q1"/>
    <x v="0"/>
    <x v="0"/>
    <x v="2"/>
    <x v="0"/>
    <x v="2"/>
    <s v="Bed Sheet Set"/>
    <n v="1"/>
    <n v="90.75"/>
    <n v="0.15"/>
    <x v="1"/>
    <n v="77.14"/>
    <n v="59.63"/>
    <n v="17.510000000000002"/>
    <n v="1"/>
    <n v="0"/>
    <n v="4"/>
    <n v="4"/>
  </r>
  <r>
    <s v="SW-100022"/>
    <d v="2024-01-05T00:00:00"/>
    <x v="0"/>
    <s v="Q1"/>
    <x v="0"/>
    <x v="0"/>
    <x v="3"/>
    <x v="1"/>
    <x v="3"/>
    <s v="Cycling Helmet"/>
    <n v="1"/>
    <n v="85.42"/>
    <n v="0"/>
    <x v="2"/>
    <n v="85.42"/>
    <n v="53.26"/>
    <n v="32.159999999999997"/>
    <n v="1"/>
    <n v="0"/>
    <n v="2"/>
    <n v="5"/>
  </r>
  <r>
    <s v="SW-100023"/>
    <d v="2024-01-05T00:00:00"/>
    <x v="0"/>
    <s v="Q1"/>
    <x v="0"/>
    <x v="0"/>
    <x v="1"/>
    <x v="1"/>
    <x v="2"/>
    <s v="Storage Boxes"/>
    <n v="1"/>
    <n v="154.66"/>
    <n v="0.15"/>
    <x v="1"/>
    <n v="131.46"/>
    <n v="102.13"/>
    <n v="29.33"/>
    <n v="1"/>
    <n v="0"/>
    <n v="10"/>
    <n v="5"/>
  </r>
  <r>
    <s v="SW-100024"/>
    <d v="2024-01-05T00:00:00"/>
    <x v="0"/>
    <s v="Q1"/>
    <x v="0"/>
    <x v="0"/>
    <x v="0"/>
    <x v="1"/>
    <x v="1"/>
    <s v="Hair Dryer"/>
    <n v="2"/>
    <n v="33.18"/>
    <n v="0.2"/>
    <x v="1"/>
    <n v="53.09"/>
    <n v="31.89"/>
    <n v="21.2"/>
    <n v="1"/>
    <n v="0"/>
    <n v="4"/>
    <n v="5"/>
  </r>
  <r>
    <s v="SW-100025"/>
    <d v="2024-01-06T00:00:00"/>
    <x v="0"/>
    <s v="Q1"/>
    <x v="0"/>
    <x v="2"/>
    <x v="0"/>
    <x v="1"/>
    <x v="4"/>
    <s v="Power Bank"/>
    <n v="1"/>
    <n v="508.8"/>
    <n v="0"/>
    <x v="2"/>
    <n v="508.8"/>
    <n v="402.51"/>
    <n v="106.29"/>
    <n v="1"/>
    <n v="0"/>
    <n v="3"/>
    <n v="4"/>
  </r>
  <r>
    <s v="SW-100026"/>
    <d v="2024-01-06T00:00:00"/>
    <x v="0"/>
    <s v="Q1"/>
    <x v="0"/>
    <x v="0"/>
    <x v="3"/>
    <x v="1"/>
    <x v="5"/>
    <s v="Board Game"/>
    <n v="1"/>
    <n v="57.92"/>
    <n v="0"/>
    <x v="2"/>
    <n v="57.92"/>
    <n v="42.55"/>
    <n v="15.37"/>
    <n v="1"/>
    <n v="0"/>
    <n v="3"/>
    <n v="3"/>
  </r>
  <r>
    <s v="SW-100027"/>
    <d v="2024-01-07T00:00:00"/>
    <x v="0"/>
    <s v="Q1"/>
    <x v="0"/>
    <x v="0"/>
    <x v="3"/>
    <x v="1"/>
    <x v="4"/>
    <s v="Tablet 10in"/>
    <n v="2"/>
    <n v="490.3"/>
    <n v="0"/>
    <x v="2"/>
    <n v="980.6"/>
    <n v="751.04"/>
    <n v="229.56"/>
    <n v="1"/>
    <n v="0"/>
    <n v="2"/>
    <n v="5"/>
  </r>
  <r>
    <s v="SW-100028"/>
    <d v="2024-01-07T00:00:00"/>
    <x v="0"/>
    <s v="Q1"/>
    <x v="0"/>
    <x v="0"/>
    <x v="4"/>
    <x v="1"/>
    <x v="2"/>
    <s v="Air Fryer"/>
    <n v="3"/>
    <n v="68.349999999999994"/>
    <n v="0"/>
    <x v="2"/>
    <n v="205.05"/>
    <n v="144.63999999999999"/>
    <n v="60.41"/>
    <n v="1"/>
    <n v="0"/>
    <n v="6"/>
    <n v="3"/>
  </r>
  <r>
    <s v="SW-100029"/>
    <d v="2024-01-07T00:00:00"/>
    <x v="0"/>
    <s v="Q1"/>
    <x v="0"/>
    <x v="0"/>
    <x v="2"/>
    <x v="1"/>
    <x v="2"/>
    <s v="Cookware Set"/>
    <n v="1"/>
    <n v="233.81"/>
    <n v="0.1"/>
    <x v="0"/>
    <n v="210.43"/>
    <n v="149.6"/>
    <n v="60.83"/>
    <n v="1"/>
    <n v="1"/>
    <n v="3"/>
    <n v="3"/>
  </r>
  <r>
    <s v="SW-100030"/>
    <d v="2024-01-07T00:00:00"/>
    <x v="0"/>
    <s v="Q1"/>
    <x v="0"/>
    <x v="2"/>
    <x v="3"/>
    <x v="0"/>
    <x v="4"/>
    <s v="Power Bank"/>
    <n v="1"/>
    <n v="508.8"/>
    <n v="0"/>
    <x v="2"/>
    <n v="508.8"/>
    <n v="412.42"/>
    <n v="96.38"/>
    <n v="1"/>
    <n v="0"/>
    <n v="3"/>
    <n v="4"/>
  </r>
  <r>
    <s v="SW-100031"/>
    <d v="2024-01-07T00:00:00"/>
    <x v="0"/>
    <s v="Q1"/>
    <x v="0"/>
    <x v="0"/>
    <x v="4"/>
    <x v="1"/>
    <x v="3"/>
    <s v="Dumbbell Set"/>
    <n v="1"/>
    <n v="198.42"/>
    <n v="0.25"/>
    <x v="3"/>
    <n v="148.82"/>
    <n v="139.56"/>
    <n v="9.26"/>
    <n v="1"/>
    <n v="0"/>
    <n v="6"/>
    <n v="4"/>
  </r>
  <r>
    <s v="SW-100032"/>
    <d v="2024-01-07T00:00:00"/>
    <x v="0"/>
    <s v="Q1"/>
    <x v="0"/>
    <x v="0"/>
    <x v="3"/>
    <x v="1"/>
    <x v="4"/>
    <s v="Power Bank"/>
    <n v="1"/>
    <n v="508.8"/>
    <n v="0"/>
    <x v="2"/>
    <n v="508.8"/>
    <n v="416.25"/>
    <n v="92.55"/>
    <n v="1"/>
    <n v="0"/>
    <n v="2"/>
    <n v="5"/>
  </r>
  <r>
    <s v="SW-100033"/>
    <d v="2024-01-08T00:00:00"/>
    <x v="0"/>
    <s v="Q1"/>
    <x v="0"/>
    <x v="0"/>
    <x v="3"/>
    <x v="1"/>
    <x v="5"/>
    <s v="Story Book Set"/>
    <n v="2"/>
    <n v="10.76"/>
    <n v="0.1"/>
    <x v="0"/>
    <n v="19.37"/>
    <n v="15.3"/>
    <n v="4.07"/>
    <n v="1"/>
    <n v="0"/>
    <n v="4"/>
    <n v="5"/>
  </r>
  <r>
    <s v="SW-100034"/>
    <d v="2024-01-08T00:00:00"/>
    <x v="0"/>
    <s v="Q1"/>
    <x v="0"/>
    <x v="0"/>
    <x v="3"/>
    <x v="1"/>
    <x v="2"/>
    <s v="Desk Lamp"/>
    <n v="1"/>
    <n v="117.63"/>
    <n v="0.2"/>
    <x v="1"/>
    <n v="94.1"/>
    <n v="75.37"/>
    <n v="18.73"/>
    <n v="1"/>
    <n v="0"/>
    <n v="2"/>
    <n v="4"/>
  </r>
  <r>
    <s v="SW-100035"/>
    <d v="2024-01-08T00:00:00"/>
    <x v="0"/>
    <s v="Q1"/>
    <x v="0"/>
    <x v="0"/>
    <x v="4"/>
    <x v="0"/>
    <x v="3"/>
    <s v="Fitness Tracker"/>
    <n v="1"/>
    <n v="74.459999999999994"/>
    <n v="0.25"/>
    <x v="3"/>
    <n v="55.84"/>
    <n v="49.09"/>
    <n v="6.75"/>
    <n v="1"/>
    <n v="0"/>
    <n v="5"/>
    <n v="5"/>
  </r>
  <r>
    <s v="SW-100036"/>
    <d v="2024-01-08T00:00:00"/>
    <x v="0"/>
    <s v="Q1"/>
    <x v="0"/>
    <x v="2"/>
    <x v="0"/>
    <x v="0"/>
    <x v="2"/>
    <s v="Cookware Set"/>
    <n v="1"/>
    <n v="233.81"/>
    <n v="0.3"/>
    <x v="3"/>
    <n v="163.66999999999999"/>
    <n v="154.22999999999999"/>
    <n v="9.44"/>
    <n v="1"/>
    <n v="0"/>
    <n v="3"/>
    <n v="4"/>
  </r>
  <r>
    <s v="SW-100037"/>
    <d v="2024-01-08T00:00:00"/>
    <x v="0"/>
    <s v="Q1"/>
    <x v="0"/>
    <x v="0"/>
    <x v="1"/>
    <x v="0"/>
    <x v="2"/>
    <s v="Storage Boxes"/>
    <n v="1"/>
    <n v="154.66"/>
    <n v="0.05"/>
    <x v="0"/>
    <n v="146.93"/>
    <n v="104.61"/>
    <n v="42.32"/>
    <n v="1"/>
    <n v="0"/>
    <n v="6"/>
    <n v="3"/>
  </r>
  <r>
    <s v="SW-100038"/>
    <d v="2024-01-09T00:00:00"/>
    <x v="0"/>
    <s v="Q1"/>
    <x v="0"/>
    <x v="1"/>
    <x v="4"/>
    <x v="0"/>
    <x v="3"/>
    <s v="Camping Tent"/>
    <n v="1"/>
    <n v="83.06"/>
    <n v="0"/>
    <x v="2"/>
    <n v="83.06"/>
    <n v="52.95"/>
    <n v="30.11"/>
    <n v="1"/>
    <n v="0"/>
    <n v="6"/>
    <n v="4"/>
  </r>
  <r>
    <s v="SW-100039"/>
    <d v="2024-01-09T00:00:00"/>
    <x v="0"/>
    <s v="Q1"/>
    <x v="0"/>
    <x v="1"/>
    <x v="1"/>
    <x v="0"/>
    <x v="2"/>
    <s v="Air Fryer"/>
    <n v="1"/>
    <n v="68.349999999999994"/>
    <n v="0.05"/>
    <x v="0"/>
    <n v="64.930000000000007"/>
    <n v="45.38"/>
    <n v="19.55"/>
    <n v="1"/>
    <n v="0"/>
    <n v="5"/>
    <n v="4"/>
  </r>
  <r>
    <s v="SW-100040"/>
    <d v="2024-01-09T00:00:00"/>
    <x v="0"/>
    <s v="Q1"/>
    <x v="0"/>
    <x v="1"/>
    <x v="2"/>
    <x v="0"/>
    <x v="5"/>
    <s v="Bestseller Novel"/>
    <n v="1"/>
    <n v="45.28"/>
    <n v="0"/>
    <x v="2"/>
    <n v="45.28"/>
    <n v="32.520000000000003"/>
    <n v="12.76"/>
    <n v="1"/>
    <n v="0"/>
    <n v="5"/>
    <n v="5"/>
  </r>
  <r>
    <s v="SW-100041"/>
    <d v="2024-01-09T00:00:00"/>
    <x v="0"/>
    <s v="Q1"/>
    <x v="0"/>
    <x v="2"/>
    <x v="3"/>
    <x v="1"/>
    <x v="2"/>
    <s v="Storage Boxes"/>
    <n v="1"/>
    <n v="154.66"/>
    <n v="0"/>
    <x v="2"/>
    <n v="154.66"/>
    <n v="98.82"/>
    <n v="55.84"/>
    <n v="1"/>
    <n v="0"/>
    <n v="5"/>
    <n v="5"/>
  </r>
  <r>
    <s v="SW-100042"/>
    <d v="2024-01-09T00:00:00"/>
    <x v="0"/>
    <s v="Q1"/>
    <x v="0"/>
    <x v="1"/>
    <x v="4"/>
    <x v="1"/>
    <x v="2"/>
    <s v="Air Fryer"/>
    <n v="1"/>
    <n v="68.349999999999994"/>
    <n v="0.1"/>
    <x v="0"/>
    <n v="61.51"/>
    <n v="46.14"/>
    <n v="15.37"/>
    <n v="1"/>
    <n v="0"/>
    <n v="5"/>
    <n v="5"/>
  </r>
  <r>
    <s v="SW-100043"/>
    <d v="2024-01-09T00:00:00"/>
    <x v="0"/>
    <s v="Q1"/>
    <x v="0"/>
    <x v="0"/>
    <x v="4"/>
    <x v="1"/>
    <x v="0"/>
    <s v="Cotton T-Shirt"/>
    <n v="1"/>
    <n v="19.41"/>
    <n v="0.15"/>
    <x v="1"/>
    <n v="16.5"/>
    <n v="10.93"/>
    <n v="5.57"/>
    <n v="1"/>
    <n v="0"/>
    <n v="6"/>
    <n v="4"/>
  </r>
  <r>
    <s v="SW-100044"/>
    <d v="2024-01-09T00:00:00"/>
    <x v="0"/>
    <s v="Q1"/>
    <x v="0"/>
    <x v="0"/>
    <x v="2"/>
    <x v="1"/>
    <x v="1"/>
    <s v="Skin Care Bundle"/>
    <n v="2"/>
    <n v="92.54"/>
    <n v="0.15"/>
    <x v="1"/>
    <n v="157.32"/>
    <n v="90.96"/>
    <n v="66.36"/>
    <n v="1"/>
    <n v="0"/>
    <n v="3"/>
    <n v="4"/>
  </r>
  <r>
    <s v="SW-100045"/>
    <d v="2024-01-09T00:00:00"/>
    <x v="0"/>
    <s v="Q1"/>
    <x v="0"/>
    <x v="2"/>
    <x v="4"/>
    <x v="1"/>
    <x v="1"/>
    <s v="Hair Dryer"/>
    <n v="1"/>
    <n v="33.18"/>
    <n v="0"/>
    <x v="2"/>
    <n v="33.18"/>
    <n v="16.41"/>
    <n v="16.77"/>
    <n v="1"/>
    <n v="0"/>
    <n v="5"/>
    <n v="4"/>
  </r>
  <r>
    <s v="SW-100046"/>
    <d v="2024-01-10T00:00:00"/>
    <x v="0"/>
    <s v="Q1"/>
    <x v="0"/>
    <x v="2"/>
    <x v="0"/>
    <x v="0"/>
    <x v="3"/>
    <s v="Camping Tent"/>
    <n v="1"/>
    <n v="83.06"/>
    <n v="0.05"/>
    <x v="0"/>
    <n v="78.91"/>
    <n v="57.25"/>
    <n v="21.66"/>
    <n v="1"/>
    <n v="0"/>
    <n v="3"/>
    <n v="5"/>
  </r>
  <r>
    <s v="SW-100047"/>
    <d v="2024-01-10T00:00:00"/>
    <x v="0"/>
    <s v="Q1"/>
    <x v="0"/>
    <x v="2"/>
    <x v="3"/>
    <x v="0"/>
    <x v="1"/>
    <s v="Face Serum"/>
    <n v="1"/>
    <n v="33.479999999999997"/>
    <n v="0.25"/>
    <x v="3"/>
    <n v="25.11"/>
    <n v="15.89"/>
    <n v="9.2200000000000006"/>
    <n v="1"/>
    <n v="0"/>
    <n v="2"/>
    <n v="5"/>
  </r>
  <r>
    <s v="SW-100048"/>
    <d v="2024-01-11T00:00:00"/>
    <x v="0"/>
    <s v="Q1"/>
    <x v="0"/>
    <x v="0"/>
    <x v="0"/>
    <x v="1"/>
    <x v="2"/>
    <s v="Desk Lamp"/>
    <n v="1"/>
    <n v="117.63"/>
    <n v="0.25"/>
    <x v="3"/>
    <n v="88.22"/>
    <n v="77.31"/>
    <n v="10.91"/>
    <n v="1"/>
    <n v="0"/>
    <n v="4"/>
    <n v="4"/>
  </r>
  <r>
    <s v="SW-100049"/>
    <d v="2024-01-11T00:00:00"/>
    <x v="0"/>
    <s v="Q1"/>
    <x v="0"/>
    <x v="1"/>
    <x v="2"/>
    <x v="1"/>
    <x v="2"/>
    <s v="Coffee Maker"/>
    <n v="4"/>
    <n v="148.05000000000001"/>
    <n v="0.05"/>
    <x v="0"/>
    <n v="562.59"/>
    <n v="399.78"/>
    <n v="162.81"/>
    <n v="1"/>
    <n v="0"/>
    <n v="3"/>
    <n v="5"/>
  </r>
  <r>
    <s v="SW-100050"/>
    <d v="2024-01-11T00:00:00"/>
    <x v="0"/>
    <s v="Q1"/>
    <x v="0"/>
    <x v="0"/>
    <x v="2"/>
    <x v="0"/>
    <x v="0"/>
    <s v="Leather Handbag"/>
    <n v="2"/>
    <n v="138.5"/>
    <n v="0.15"/>
    <x v="1"/>
    <n v="235.45"/>
    <n v="153.77000000000001"/>
    <n v="81.680000000000007"/>
    <n v="1"/>
    <n v="0"/>
    <n v="4"/>
    <n v="4"/>
  </r>
  <r>
    <s v="SW-100051"/>
    <d v="2024-01-11T00:00:00"/>
    <x v="0"/>
    <s v="Q1"/>
    <x v="0"/>
    <x v="1"/>
    <x v="3"/>
    <x v="0"/>
    <x v="0"/>
    <s v="Cotton T-Shirt"/>
    <n v="1"/>
    <n v="19.41"/>
    <n v="0.15"/>
    <x v="1"/>
    <n v="16.5"/>
    <n v="10.62"/>
    <n v="5.88"/>
    <n v="1"/>
    <n v="0"/>
    <n v="3"/>
    <n v="5"/>
  </r>
  <r>
    <s v="SW-100052"/>
    <d v="2024-01-11T00:00:00"/>
    <x v="0"/>
    <s v="Q1"/>
    <x v="0"/>
    <x v="0"/>
    <x v="2"/>
    <x v="0"/>
    <x v="0"/>
    <s v="Sunglasses"/>
    <n v="1"/>
    <n v="104.94"/>
    <n v="0"/>
    <x v="2"/>
    <n v="104.94"/>
    <n v="57.91"/>
    <n v="47.03"/>
    <n v="1"/>
    <n v="0"/>
    <n v="6"/>
    <n v="4"/>
  </r>
  <r>
    <s v="SW-100053"/>
    <d v="2024-01-12T00:00:00"/>
    <x v="0"/>
    <s v="Q1"/>
    <x v="0"/>
    <x v="0"/>
    <x v="1"/>
    <x v="1"/>
    <x v="4"/>
    <s v="Tablet 10in"/>
    <n v="1"/>
    <n v="490.3"/>
    <n v="0.05"/>
    <x v="0"/>
    <n v="465.78"/>
    <n v="396.54"/>
    <n v="69.239999999999995"/>
    <n v="1"/>
    <n v="0"/>
    <n v="6"/>
    <n v="4"/>
  </r>
  <r>
    <s v="SW-100054"/>
    <d v="2024-01-12T00:00:00"/>
    <x v="0"/>
    <s v="Q1"/>
    <x v="0"/>
    <x v="1"/>
    <x v="0"/>
    <x v="1"/>
    <x v="3"/>
    <s v="Dumbbell Set"/>
    <n v="2"/>
    <n v="198.42"/>
    <n v="0.05"/>
    <x v="0"/>
    <n v="377"/>
    <n v="268.24"/>
    <n v="108.76"/>
    <n v="1"/>
    <n v="0"/>
    <n v="3"/>
    <n v="5"/>
  </r>
  <r>
    <s v="SW-100055"/>
    <d v="2024-01-12T00:00:00"/>
    <x v="0"/>
    <s v="Q1"/>
    <x v="0"/>
    <x v="0"/>
    <x v="2"/>
    <x v="1"/>
    <x v="2"/>
    <s v="Cookware Set"/>
    <n v="1"/>
    <n v="233.81"/>
    <n v="0.2"/>
    <x v="1"/>
    <n v="187.05"/>
    <n v="143.69999999999999"/>
    <n v="43.35"/>
    <n v="1"/>
    <n v="0"/>
    <n v="3"/>
    <n v="5"/>
  </r>
  <r>
    <s v="SW-100056"/>
    <d v="2024-01-13T00:00:00"/>
    <x v="0"/>
    <s v="Q1"/>
    <x v="0"/>
    <x v="0"/>
    <x v="3"/>
    <x v="0"/>
    <x v="2"/>
    <s v="Storage Boxes"/>
    <n v="4"/>
    <n v="154.66"/>
    <n v="0"/>
    <x v="2"/>
    <n v="618.64"/>
    <n v="404.59"/>
    <n v="214.05"/>
    <n v="1"/>
    <n v="0"/>
    <n v="2"/>
    <n v="4"/>
  </r>
  <r>
    <s v="SW-100057"/>
    <d v="2024-01-13T00:00:00"/>
    <x v="0"/>
    <s v="Q1"/>
    <x v="0"/>
    <x v="0"/>
    <x v="0"/>
    <x v="1"/>
    <x v="1"/>
    <s v="Perfume 100ml"/>
    <n v="3"/>
    <n v="54.56"/>
    <n v="0"/>
    <x v="2"/>
    <n v="163.68"/>
    <n v="78.709999999999994"/>
    <n v="84.97"/>
    <n v="1"/>
    <n v="0"/>
    <n v="4"/>
    <n v="5"/>
  </r>
  <r>
    <s v="SW-100058"/>
    <d v="2024-01-13T00:00:00"/>
    <x v="0"/>
    <s v="Q1"/>
    <x v="0"/>
    <x v="0"/>
    <x v="1"/>
    <x v="1"/>
    <x v="5"/>
    <s v="Bestseller Novel"/>
    <n v="1"/>
    <n v="45.28"/>
    <n v="0.15"/>
    <x v="1"/>
    <n v="38.49"/>
    <n v="31.48"/>
    <n v="7.01"/>
    <n v="1"/>
    <n v="0"/>
    <n v="5"/>
    <n v="4"/>
  </r>
  <r>
    <s v="SW-100059"/>
    <d v="2024-01-13T00:00:00"/>
    <x v="0"/>
    <s v="Q1"/>
    <x v="0"/>
    <x v="0"/>
    <x v="0"/>
    <x v="1"/>
    <x v="4"/>
    <s v="Bluetooth Speaker"/>
    <n v="1"/>
    <n v="177.65"/>
    <n v="0.1"/>
    <x v="0"/>
    <n v="159.88999999999999"/>
    <n v="144.47"/>
    <n v="15.42"/>
    <n v="1"/>
    <n v="0"/>
    <n v="3"/>
    <n v="4"/>
  </r>
  <r>
    <s v="SW-100060"/>
    <d v="2024-01-13T00:00:00"/>
    <x v="0"/>
    <s v="Q1"/>
    <x v="0"/>
    <x v="1"/>
    <x v="0"/>
    <x v="1"/>
    <x v="2"/>
    <s v="Storage Boxes"/>
    <n v="1"/>
    <n v="154.66"/>
    <n v="0"/>
    <x v="2"/>
    <n v="154.66"/>
    <n v="101.29"/>
    <n v="53.37"/>
    <n v="1"/>
    <n v="0"/>
    <n v="4"/>
    <n v="4"/>
  </r>
  <r>
    <s v="SW-100061"/>
    <d v="2024-01-13T00:00:00"/>
    <x v="0"/>
    <s v="Q1"/>
    <x v="0"/>
    <x v="1"/>
    <x v="4"/>
    <x v="1"/>
    <x v="5"/>
    <s v="Building Blocks"/>
    <n v="1"/>
    <n v="48.86"/>
    <n v="0"/>
    <x v="2"/>
    <n v="48.86"/>
    <n v="36.590000000000003"/>
    <n v="12.27"/>
    <n v="1"/>
    <n v="0"/>
    <n v="5"/>
    <n v="4"/>
  </r>
  <r>
    <s v="SW-100062"/>
    <d v="2024-01-14T00:00:00"/>
    <x v="0"/>
    <s v="Q1"/>
    <x v="0"/>
    <x v="0"/>
    <x v="2"/>
    <x v="1"/>
    <x v="2"/>
    <s v="Desk Lamp"/>
    <n v="2"/>
    <n v="117.63"/>
    <n v="0"/>
    <x v="2"/>
    <n v="235.26"/>
    <n v="159.38"/>
    <n v="75.88"/>
    <n v="1"/>
    <n v="0"/>
    <n v="3"/>
    <n v="4"/>
  </r>
  <r>
    <s v="SW-100063"/>
    <d v="2024-01-14T00:00:00"/>
    <x v="0"/>
    <s v="Q1"/>
    <x v="0"/>
    <x v="1"/>
    <x v="0"/>
    <x v="0"/>
    <x v="4"/>
    <s v="Power Bank"/>
    <n v="2"/>
    <n v="508.8"/>
    <n v="0.1"/>
    <x v="0"/>
    <n v="915.84"/>
    <n v="840.09"/>
    <n v="75.75"/>
    <n v="1"/>
    <n v="0"/>
    <n v="4"/>
    <n v="5"/>
  </r>
  <r>
    <s v="SW-100064"/>
    <d v="2024-01-14T00:00:00"/>
    <x v="0"/>
    <s v="Q1"/>
    <x v="0"/>
    <x v="0"/>
    <x v="0"/>
    <x v="1"/>
    <x v="4"/>
    <s v="Bluetooth Speaker"/>
    <n v="1"/>
    <n v="177.65"/>
    <n v="0.1"/>
    <x v="0"/>
    <n v="159.88999999999999"/>
    <n v="139.97999999999999"/>
    <n v="19.91"/>
    <n v="1"/>
    <n v="0"/>
    <n v="3"/>
    <n v="5"/>
  </r>
  <r>
    <s v="SW-100065"/>
    <d v="2024-01-14T00:00:00"/>
    <x v="0"/>
    <s v="Q1"/>
    <x v="0"/>
    <x v="1"/>
    <x v="3"/>
    <x v="1"/>
    <x v="4"/>
    <s v="Bluetooth Speaker"/>
    <n v="1"/>
    <n v="177.65"/>
    <n v="0.1"/>
    <x v="0"/>
    <n v="159.88999999999999"/>
    <n v="139.25"/>
    <n v="20.64"/>
    <n v="1"/>
    <n v="0"/>
    <n v="3"/>
    <n v="5"/>
  </r>
  <r>
    <s v="SW-100066"/>
    <d v="2024-01-14T00:00:00"/>
    <x v="0"/>
    <s v="Q1"/>
    <x v="0"/>
    <x v="1"/>
    <x v="3"/>
    <x v="1"/>
    <x v="1"/>
    <s v="Perfume 100ml"/>
    <n v="2"/>
    <n v="54.56"/>
    <n v="0"/>
    <x v="2"/>
    <n v="109.12"/>
    <n v="52.38"/>
    <n v="56.74"/>
    <n v="1"/>
    <n v="0"/>
    <n v="2"/>
    <n v="4"/>
  </r>
  <r>
    <s v="SW-100067"/>
    <d v="2024-01-14T00:00:00"/>
    <x v="0"/>
    <s v="Q1"/>
    <x v="0"/>
    <x v="0"/>
    <x v="3"/>
    <x v="0"/>
    <x v="0"/>
    <s v="Summer Dress"/>
    <n v="1"/>
    <n v="33.99"/>
    <n v="0"/>
    <x v="2"/>
    <n v="33.99"/>
    <n v="18.14"/>
    <n v="15.85"/>
    <n v="1"/>
    <n v="0"/>
    <n v="3"/>
    <n v="5"/>
  </r>
  <r>
    <s v="SW-100068"/>
    <d v="2024-01-15T00:00:00"/>
    <x v="0"/>
    <s v="Q1"/>
    <x v="0"/>
    <x v="2"/>
    <x v="2"/>
    <x v="0"/>
    <x v="0"/>
    <s v="Leather Handbag"/>
    <n v="1"/>
    <n v="138.5"/>
    <n v="0"/>
    <x v="2"/>
    <n v="138.5"/>
    <n v="73.87"/>
    <n v="64.63"/>
    <n v="1"/>
    <n v="0"/>
    <n v="4"/>
    <n v="4"/>
  </r>
  <r>
    <s v="SW-100069"/>
    <d v="2024-01-15T00:00:00"/>
    <x v="0"/>
    <s v="Q1"/>
    <x v="0"/>
    <x v="0"/>
    <x v="0"/>
    <x v="0"/>
    <x v="2"/>
    <s v="Desk Lamp"/>
    <n v="1"/>
    <n v="117.63"/>
    <n v="0.2"/>
    <x v="1"/>
    <n v="94.1"/>
    <n v="77.38"/>
    <n v="16.72"/>
    <n v="1"/>
    <n v="0"/>
    <n v="4"/>
    <n v="3"/>
  </r>
  <r>
    <s v="SW-100070"/>
    <d v="2024-01-15T00:00:00"/>
    <x v="0"/>
    <s v="Q1"/>
    <x v="0"/>
    <x v="1"/>
    <x v="2"/>
    <x v="0"/>
    <x v="3"/>
    <s v="Cycling Helmet"/>
    <n v="1"/>
    <n v="85.42"/>
    <n v="0"/>
    <x v="2"/>
    <n v="85.42"/>
    <n v="55.88"/>
    <n v="29.54"/>
    <n v="1"/>
    <n v="1"/>
    <n v="4"/>
    <n v="3"/>
  </r>
  <r>
    <s v="SW-100071"/>
    <d v="2024-01-15T00:00:00"/>
    <x v="0"/>
    <s v="Q1"/>
    <x v="0"/>
    <x v="0"/>
    <x v="3"/>
    <x v="0"/>
    <x v="3"/>
    <s v="Camping Tent"/>
    <n v="1"/>
    <n v="83.06"/>
    <n v="0"/>
    <x v="2"/>
    <n v="83.06"/>
    <n v="55.76"/>
    <n v="27.3"/>
    <n v="1"/>
    <n v="1"/>
    <n v="2"/>
    <n v="4"/>
  </r>
  <r>
    <s v="SW-100072"/>
    <d v="2024-01-15T00:00:00"/>
    <x v="0"/>
    <s v="Q1"/>
    <x v="0"/>
    <x v="0"/>
    <x v="3"/>
    <x v="0"/>
    <x v="2"/>
    <s v="Bed Sheet Set"/>
    <n v="1"/>
    <n v="90.75"/>
    <n v="0.15"/>
    <x v="1"/>
    <n v="77.14"/>
    <n v="61.89"/>
    <n v="15.25"/>
    <n v="1"/>
    <n v="0"/>
    <n v="2"/>
    <n v="3"/>
  </r>
  <r>
    <s v="SW-100073"/>
    <d v="2024-01-15T00:00:00"/>
    <x v="0"/>
    <s v="Q1"/>
    <x v="0"/>
    <x v="2"/>
    <x v="3"/>
    <x v="0"/>
    <x v="2"/>
    <s v="Desk Lamp"/>
    <n v="1"/>
    <n v="117.63"/>
    <n v="0"/>
    <x v="2"/>
    <n v="117.63"/>
    <n v="77.47"/>
    <n v="40.159999999999997"/>
    <n v="1"/>
    <n v="1"/>
    <n v="3"/>
    <n v="3"/>
  </r>
  <r>
    <s v="SW-100074"/>
    <d v="2024-01-15T00:00:00"/>
    <x v="0"/>
    <s v="Q1"/>
    <x v="0"/>
    <x v="1"/>
    <x v="2"/>
    <x v="1"/>
    <x v="2"/>
    <s v="Bed Sheet Set"/>
    <n v="1"/>
    <n v="90.75"/>
    <n v="0"/>
    <x v="2"/>
    <n v="90.75"/>
    <n v="57.69"/>
    <n v="33.06"/>
    <n v="1"/>
    <n v="0"/>
    <n v="4"/>
    <n v="4"/>
  </r>
  <r>
    <s v="SW-100075"/>
    <d v="2024-01-16T00:00:00"/>
    <x v="0"/>
    <s v="Q1"/>
    <x v="0"/>
    <x v="1"/>
    <x v="2"/>
    <x v="1"/>
    <x v="2"/>
    <s v="Cookware Set"/>
    <n v="1"/>
    <n v="233.81"/>
    <n v="0"/>
    <x v="2"/>
    <n v="233.81"/>
    <n v="161.57"/>
    <n v="72.239999999999995"/>
    <n v="1"/>
    <n v="0"/>
    <n v="5"/>
    <n v="5"/>
  </r>
  <r>
    <s v="SW-100076"/>
    <d v="2024-01-16T00:00:00"/>
    <x v="0"/>
    <s v="Q1"/>
    <x v="0"/>
    <x v="1"/>
    <x v="2"/>
    <x v="0"/>
    <x v="3"/>
    <s v="Dumbbell Set"/>
    <n v="1"/>
    <n v="198.42"/>
    <n v="0.2"/>
    <x v="1"/>
    <n v="158.74"/>
    <n v="128.85"/>
    <n v="29.89"/>
    <n v="1"/>
    <n v="0"/>
    <n v="3"/>
    <n v="5"/>
  </r>
  <r>
    <s v="SW-100077"/>
    <d v="2024-01-16T00:00:00"/>
    <x v="0"/>
    <s v="Q1"/>
    <x v="0"/>
    <x v="1"/>
    <x v="3"/>
    <x v="0"/>
    <x v="5"/>
    <s v="Bestseller Novel"/>
    <n v="1"/>
    <n v="45.28"/>
    <n v="0.25"/>
    <x v="3"/>
    <n v="33.96"/>
    <n v="32.67"/>
    <n v="1.29"/>
    <n v="1"/>
    <n v="0"/>
    <n v="3"/>
    <n v="5"/>
  </r>
  <r>
    <s v="SW-100078"/>
    <d v="2024-01-17T00:00:00"/>
    <x v="0"/>
    <s v="Q1"/>
    <x v="0"/>
    <x v="0"/>
    <x v="2"/>
    <x v="0"/>
    <x v="1"/>
    <s v="Face Serum"/>
    <n v="4"/>
    <n v="33.479999999999997"/>
    <n v="0.1"/>
    <x v="0"/>
    <n v="120.53"/>
    <n v="61.42"/>
    <n v="59.11"/>
    <n v="1"/>
    <n v="0"/>
    <n v="3"/>
    <n v="5"/>
  </r>
  <r>
    <s v="SW-100079"/>
    <d v="2024-01-17T00:00:00"/>
    <x v="0"/>
    <s v="Q1"/>
    <x v="0"/>
    <x v="1"/>
    <x v="4"/>
    <x v="1"/>
    <x v="4"/>
    <s v="Power Bank"/>
    <n v="1"/>
    <n v="508.8"/>
    <n v="0.1"/>
    <x v="0"/>
    <n v="457.92"/>
    <n v="392.05"/>
    <n v="65.87"/>
    <n v="1"/>
    <n v="0"/>
    <n v="6"/>
    <n v="3"/>
  </r>
  <r>
    <s v="SW-100080"/>
    <d v="2024-01-17T00:00:00"/>
    <x v="0"/>
    <s v="Q1"/>
    <x v="0"/>
    <x v="0"/>
    <x v="0"/>
    <x v="1"/>
    <x v="0"/>
    <s v="Running Sneakers"/>
    <n v="1"/>
    <n v="94.85"/>
    <n v="0.1"/>
    <x v="0"/>
    <n v="85.36"/>
    <n v="51.65"/>
    <n v="33.71"/>
    <n v="1"/>
    <n v="0"/>
    <n v="5"/>
    <n v="5"/>
  </r>
  <r>
    <s v="SW-100081"/>
    <d v="2024-01-17T00:00:00"/>
    <x v="0"/>
    <s v="Q1"/>
    <x v="0"/>
    <x v="2"/>
    <x v="1"/>
    <x v="1"/>
    <x v="0"/>
    <s v="Leather Handbag"/>
    <n v="2"/>
    <n v="138.5"/>
    <n v="0.1"/>
    <x v="0"/>
    <n v="249.3"/>
    <n v="155.57"/>
    <n v="93.73"/>
    <n v="1"/>
    <n v="0"/>
    <n v="9"/>
    <n v="4"/>
  </r>
  <r>
    <s v="SW-100082"/>
    <d v="2024-01-17T00:00:00"/>
    <x v="0"/>
    <s v="Q1"/>
    <x v="0"/>
    <x v="2"/>
    <x v="3"/>
    <x v="0"/>
    <x v="1"/>
    <s v="Skin Care Bundle"/>
    <n v="1"/>
    <n v="92.54"/>
    <n v="0.25"/>
    <x v="3"/>
    <n v="69.400000000000006"/>
    <n v="44.93"/>
    <n v="24.47"/>
    <n v="1"/>
    <n v="0"/>
    <n v="2"/>
    <n v="4"/>
  </r>
  <r>
    <s v="SW-100083"/>
    <d v="2024-01-17T00:00:00"/>
    <x v="0"/>
    <s v="Q1"/>
    <x v="0"/>
    <x v="2"/>
    <x v="0"/>
    <x v="1"/>
    <x v="4"/>
    <s v="Wireless Earbuds"/>
    <n v="2"/>
    <n v="588.41"/>
    <n v="0.25"/>
    <x v="3"/>
    <n v="882.62"/>
    <n v="986.98"/>
    <n v="-104.36"/>
    <n v="1"/>
    <n v="0"/>
    <n v="4"/>
    <n v="4"/>
  </r>
  <r>
    <s v="SW-100084"/>
    <d v="2024-01-18T00:00:00"/>
    <x v="0"/>
    <s v="Q1"/>
    <x v="0"/>
    <x v="0"/>
    <x v="4"/>
    <x v="0"/>
    <x v="2"/>
    <s v="Bed Sheet Set"/>
    <n v="1"/>
    <n v="90.75"/>
    <n v="0.2"/>
    <x v="1"/>
    <n v="72.599999999999994"/>
    <n v="59.11"/>
    <n v="13.49"/>
    <n v="1"/>
    <n v="0"/>
    <n v="5"/>
    <n v="4"/>
  </r>
  <r>
    <s v="SW-100085"/>
    <d v="2024-01-18T00:00:00"/>
    <x v="0"/>
    <s v="Q1"/>
    <x v="0"/>
    <x v="1"/>
    <x v="3"/>
    <x v="0"/>
    <x v="5"/>
    <s v="Board Game"/>
    <n v="1"/>
    <n v="57.92"/>
    <n v="0"/>
    <x v="2"/>
    <n v="57.92"/>
    <n v="41.77"/>
    <n v="16.149999999999999"/>
    <n v="1"/>
    <n v="0"/>
    <n v="2"/>
    <n v="4"/>
  </r>
  <r>
    <s v="SW-100086"/>
    <d v="2024-01-18T00:00:00"/>
    <x v="0"/>
    <s v="Q1"/>
    <x v="0"/>
    <x v="0"/>
    <x v="3"/>
    <x v="1"/>
    <x v="2"/>
    <s v="Air Fryer"/>
    <n v="4"/>
    <n v="68.349999999999994"/>
    <n v="0"/>
    <x v="2"/>
    <n v="273.39999999999998"/>
    <n v="188.68"/>
    <n v="84.72"/>
    <n v="1"/>
    <n v="0"/>
    <n v="4"/>
    <n v="3"/>
  </r>
  <r>
    <s v="SW-100087"/>
    <d v="2024-01-18T00:00:00"/>
    <x v="0"/>
    <s v="Q1"/>
    <x v="0"/>
    <x v="0"/>
    <x v="1"/>
    <x v="1"/>
    <x v="2"/>
    <s v="Storage Boxes"/>
    <n v="2"/>
    <n v="154.66"/>
    <n v="0"/>
    <x v="2"/>
    <n v="309.32"/>
    <n v="207.21"/>
    <n v="102.11"/>
    <n v="1"/>
    <n v="0"/>
    <n v="5"/>
    <n v="5"/>
  </r>
  <r>
    <s v="SW-100088"/>
    <d v="2024-01-19T00:00:00"/>
    <x v="0"/>
    <s v="Q1"/>
    <x v="0"/>
    <x v="1"/>
    <x v="2"/>
    <x v="1"/>
    <x v="3"/>
    <s v="Camping Tent"/>
    <n v="2"/>
    <n v="83.06"/>
    <n v="0.1"/>
    <x v="0"/>
    <n v="149.51"/>
    <n v="112.12"/>
    <n v="37.39"/>
    <n v="1"/>
    <n v="0"/>
    <n v="3"/>
    <n v="3"/>
  </r>
  <r>
    <s v="SW-100089"/>
    <d v="2024-01-19T00:00:00"/>
    <x v="0"/>
    <s v="Q1"/>
    <x v="0"/>
    <x v="0"/>
    <x v="0"/>
    <x v="1"/>
    <x v="4"/>
    <s v="Tablet 10in"/>
    <n v="1"/>
    <n v="490.3"/>
    <n v="0.05"/>
    <x v="0"/>
    <n v="465.78"/>
    <n v="375.75"/>
    <n v="90.03"/>
    <n v="1"/>
    <n v="0"/>
    <n v="5"/>
    <n v="4"/>
  </r>
  <r>
    <s v="SW-100090"/>
    <d v="2024-01-19T00:00:00"/>
    <x v="0"/>
    <s v="Q1"/>
    <x v="0"/>
    <x v="2"/>
    <x v="0"/>
    <x v="1"/>
    <x v="4"/>
    <s v="4K Action Camera"/>
    <n v="1"/>
    <n v="636.09"/>
    <n v="0"/>
    <x v="2"/>
    <n v="636.09"/>
    <n v="498.43"/>
    <n v="137.66"/>
    <n v="1"/>
    <n v="0"/>
    <n v="3"/>
    <n v="4"/>
  </r>
  <r>
    <s v="SW-100091"/>
    <d v="2024-01-19T00:00:00"/>
    <x v="0"/>
    <s v="Q1"/>
    <x v="0"/>
    <x v="0"/>
    <x v="3"/>
    <x v="1"/>
    <x v="1"/>
    <s v="Hair Dryer"/>
    <n v="4"/>
    <n v="33.18"/>
    <n v="0"/>
    <x v="2"/>
    <n v="132.72"/>
    <n v="63.89"/>
    <n v="68.83"/>
    <n v="1"/>
    <n v="0"/>
    <n v="3"/>
    <n v="4"/>
  </r>
  <r>
    <s v="SW-100092"/>
    <d v="2024-01-19T00:00:00"/>
    <x v="0"/>
    <s v="Q1"/>
    <x v="0"/>
    <x v="2"/>
    <x v="2"/>
    <x v="1"/>
    <x v="1"/>
    <s v="Skin Care Bundle"/>
    <n v="2"/>
    <n v="92.54"/>
    <n v="0"/>
    <x v="2"/>
    <n v="185.08"/>
    <n v="87.73"/>
    <n v="97.35"/>
    <n v="1"/>
    <n v="0"/>
    <n v="4"/>
    <n v="4"/>
  </r>
  <r>
    <s v="SW-100093"/>
    <d v="2024-01-19T00:00:00"/>
    <x v="0"/>
    <s v="Q1"/>
    <x v="0"/>
    <x v="2"/>
    <x v="0"/>
    <x v="0"/>
    <x v="2"/>
    <s v="Bed Sheet Set"/>
    <n v="2"/>
    <n v="90.75"/>
    <n v="0"/>
    <x v="2"/>
    <n v="181.5"/>
    <n v="117.72"/>
    <n v="63.78"/>
    <n v="1"/>
    <n v="0"/>
    <n v="4"/>
    <n v="4"/>
  </r>
  <r>
    <s v="SW-100094"/>
    <d v="2024-01-19T00:00:00"/>
    <x v="0"/>
    <s v="Q1"/>
    <x v="0"/>
    <x v="2"/>
    <x v="1"/>
    <x v="1"/>
    <x v="4"/>
    <s v="4K Action Camera"/>
    <n v="1"/>
    <n v="636.09"/>
    <n v="0"/>
    <x v="2"/>
    <n v="636.09"/>
    <n v="516.91"/>
    <n v="119.18"/>
    <n v="1"/>
    <n v="0"/>
    <n v="7"/>
    <n v="4"/>
  </r>
  <r>
    <s v="SW-100095"/>
    <d v="2024-01-19T00:00:00"/>
    <x v="0"/>
    <s v="Q1"/>
    <x v="0"/>
    <x v="0"/>
    <x v="2"/>
    <x v="1"/>
    <x v="1"/>
    <s v="Face Serum"/>
    <n v="1"/>
    <n v="33.479999999999997"/>
    <n v="0.05"/>
    <x v="0"/>
    <n v="31.81"/>
    <n v="15.62"/>
    <n v="16.190000000000001"/>
    <n v="1"/>
    <n v="0"/>
    <n v="3"/>
    <n v="5"/>
  </r>
  <r>
    <s v="SW-100096"/>
    <d v="2024-01-20T00:00:00"/>
    <x v="0"/>
    <s v="Q1"/>
    <x v="0"/>
    <x v="1"/>
    <x v="3"/>
    <x v="0"/>
    <x v="4"/>
    <s v="4K Action Camera"/>
    <n v="1"/>
    <n v="636.09"/>
    <n v="0.25"/>
    <x v="3"/>
    <n v="477.07"/>
    <n v="513.54999999999995"/>
    <n v="-36.479999999999997"/>
    <n v="1"/>
    <n v="0"/>
    <n v="2"/>
    <n v="4"/>
  </r>
  <r>
    <s v="SW-100097"/>
    <d v="2024-01-20T00:00:00"/>
    <x v="0"/>
    <s v="Q1"/>
    <x v="0"/>
    <x v="2"/>
    <x v="0"/>
    <x v="1"/>
    <x v="4"/>
    <s v="4K Action Camera"/>
    <n v="3"/>
    <n v="636.09"/>
    <n v="0.1"/>
    <x v="0"/>
    <n v="1717.44"/>
    <n v="1561.21"/>
    <n v="156.22999999999999"/>
    <n v="1"/>
    <n v="0"/>
    <n v="6"/>
    <n v="3"/>
  </r>
  <r>
    <s v="SW-100098"/>
    <d v="2024-01-20T00:00:00"/>
    <x v="0"/>
    <s v="Q1"/>
    <x v="0"/>
    <x v="0"/>
    <x v="0"/>
    <x v="0"/>
    <x v="0"/>
    <s v="Leather Handbag"/>
    <n v="1"/>
    <n v="138.5"/>
    <n v="0.15"/>
    <x v="1"/>
    <n v="117.72"/>
    <n v="76.75"/>
    <n v="40.97"/>
    <n v="1"/>
    <n v="0"/>
    <n v="5"/>
    <n v="4"/>
  </r>
  <r>
    <s v="SW-100099"/>
    <d v="2024-01-20T00:00:00"/>
    <x v="0"/>
    <s v="Q1"/>
    <x v="0"/>
    <x v="0"/>
    <x v="4"/>
    <x v="1"/>
    <x v="2"/>
    <s v="Desk Lamp"/>
    <n v="1"/>
    <n v="117.63"/>
    <n v="0.05"/>
    <x v="0"/>
    <n v="111.75"/>
    <n v="72.900000000000006"/>
    <n v="38.85"/>
    <n v="1"/>
    <n v="0"/>
    <n v="5"/>
    <n v="4"/>
  </r>
  <r>
    <s v="SW-100100"/>
    <d v="2024-01-20T00:00:00"/>
    <x v="0"/>
    <s v="Q1"/>
    <x v="0"/>
    <x v="1"/>
    <x v="0"/>
    <x v="1"/>
    <x v="3"/>
    <s v="Cycling Helmet"/>
    <n v="1"/>
    <n v="85.42"/>
    <n v="0.05"/>
    <x v="0"/>
    <n v="81.150000000000006"/>
    <n v="54.89"/>
    <n v="26.26"/>
    <n v="1"/>
    <n v="0"/>
    <n v="4"/>
    <n v="4"/>
  </r>
  <r>
    <s v="SW-100101"/>
    <d v="2024-01-21T00:00:00"/>
    <x v="0"/>
    <s v="Q1"/>
    <x v="0"/>
    <x v="0"/>
    <x v="0"/>
    <x v="0"/>
    <x v="3"/>
    <s v="Yoga Mat"/>
    <n v="4"/>
    <n v="137.05000000000001"/>
    <n v="0"/>
    <x v="2"/>
    <n v="548.20000000000005"/>
    <n v="357.02"/>
    <n v="191.18"/>
    <n v="1"/>
    <n v="0"/>
    <n v="6"/>
    <n v="3"/>
  </r>
  <r>
    <s v="SW-100102"/>
    <d v="2024-01-21T00:00:00"/>
    <x v="0"/>
    <s v="Q1"/>
    <x v="0"/>
    <x v="0"/>
    <x v="3"/>
    <x v="1"/>
    <x v="1"/>
    <s v="Face Serum"/>
    <n v="1"/>
    <n v="33.479999999999997"/>
    <n v="0.05"/>
    <x v="0"/>
    <n v="31.81"/>
    <n v="16.329999999999998"/>
    <n v="15.48"/>
    <n v="1"/>
    <n v="0"/>
    <n v="2"/>
    <n v="5"/>
  </r>
  <r>
    <s v="SW-100103"/>
    <d v="2024-01-21T00:00:00"/>
    <x v="0"/>
    <s v="Q1"/>
    <x v="0"/>
    <x v="0"/>
    <x v="1"/>
    <x v="1"/>
    <x v="0"/>
    <s v="Sunglasses"/>
    <n v="2"/>
    <n v="104.94"/>
    <n v="0"/>
    <x v="2"/>
    <n v="209.88"/>
    <n v="107.8"/>
    <n v="102.08"/>
    <n v="1"/>
    <n v="0"/>
    <n v="6"/>
    <n v="4"/>
  </r>
  <r>
    <s v="SW-100104"/>
    <d v="2024-01-21T00:00:00"/>
    <x v="0"/>
    <s v="Q1"/>
    <x v="0"/>
    <x v="2"/>
    <x v="3"/>
    <x v="1"/>
    <x v="1"/>
    <s v="Hair Dryer"/>
    <n v="2"/>
    <n v="33.18"/>
    <n v="0"/>
    <x v="2"/>
    <n v="66.36"/>
    <n v="31.35"/>
    <n v="35.01"/>
    <n v="1"/>
    <n v="0"/>
    <n v="3"/>
    <n v="5"/>
  </r>
  <r>
    <s v="SW-100105"/>
    <d v="2024-01-22T00:00:00"/>
    <x v="0"/>
    <s v="Q1"/>
    <x v="0"/>
    <x v="1"/>
    <x v="2"/>
    <x v="1"/>
    <x v="2"/>
    <s v="Bed Sheet Set"/>
    <n v="3"/>
    <n v="90.75"/>
    <n v="0.2"/>
    <x v="1"/>
    <n v="217.8"/>
    <n v="176.29"/>
    <n v="41.51"/>
    <n v="1"/>
    <n v="0"/>
    <n v="4"/>
    <n v="4"/>
  </r>
  <r>
    <s v="SW-100106"/>
    <d v="2024-01-22T00:00:00"/>
    <x v="0"/>
    <s v="Q1"/>
    <x v="0"/>
    <x v="1"/>
    <x v="2"/>
    <x v="1"/>
    <x v="4"/>
    <s v="Tablet 10in"/>
    <n v="1"/>
    <n v="490.3"/>
    <n v="0.1"/>
    <x v="0"/>
    <n v="441.27"/>
    <n v="402"/>
    <n v="39.270000000000003"/>
    <n v="1"/>
    <n v="1"/>
    <n v="4"/>
    <n v="3"/>
  </r>
  <r>
    <s v="SW-100107"/>
    <d v="2024-01-22T00:00:00"/>
    <x v="0"/>
    <s v="Q1"/>
    <x v="0"/>
    <x v="0"/>
    <x v="1"/>
    <x v="1"/>
    <x v="4"/>
    <s v="Power Bank"/>
    <n v="1"/>
    <n v="508.8"/>
    <n v="0.2"/>
    <x v="1"/>
    <n v="407.04"/>
    <n v="412.76"/>
    <n v="-5.72"/>
    <n v="1"/>
    <n v="1"/>
    <n v="6"/>
    <n v="3"/>
  </r>
  <r>
    <s v="SW-100108"/>
    <d v="2024-01-22T00:00:00"/>
    <x v="0"/>
    <s v="Q1"/>
    <x v="0"/>
    <x v="0"/>
    <x v="2"/>
    <x v="1"/>
    <x v="3"/>
    <s v="Yoga Mat"/>
    <n v="1"/>
    <n v="137.05000000000001"/>
    <n v="0.05"/>
    <x v="0"/>
    <n v="130.19999999999999"/>
    <n v="91.86"/>
    <n v="38.340000000000003"/>
    <n v="1"/>
    <n v="0"/>
    <n v="4"/>
    <n v="5"/>
  </r>
  <r>
    <s v="SW-100109"/>
    <d v="2024-01-22T00:00:00"/>
    <x v="0"/>
    <s v="Q1"/>
    <x v="0"/>
    <x v="2"/>
    <x v="4"/>
    <x v="1"/>
    <x v="3"/>
    <s v="Cycling Helmet"/>
    <n v="1"/>
    <n v="85.42"/>
    <n v="0"/>
    <x v="2"/>
    <n v="85.42"/>
    <n v="59.27"/>
    <n v="26.15"/>
    <n v="1"/>
    <n v="0"/>
    <n v="5"/>
    <n v="5"/>
  </r>
  <r>
    <s v="SW-100110"/>
    <d v="2024-01-22T00:00:00"/>
    <x v="0"/>
    <s v="Q1"/>
    <x v="0"/>
    <x v="0"/>
    <x v="0"/>
    <x v="0"/>
    <x v="4"/>
    <s v="4K Action Camera"/>
    <n v="4"/>
    <n v="636.09"/>
    <n v="0.1"/>
    <x v="0"/>
    <n v="2289.92"/>
    <n v="2082.54"/>
    <n v="207.38"/>
    <n v="1"/>
    <n v="1"/>
    <n v="3"/>
    <n v="3"/>
  </r>
  <r>
    <s v="SW-100111"/>
    <d v="2024-01-23T00:00:00"/>
    <x v="0"/>
    <s v="Q1"/>
    <x v="0"/>
    <x v="2"/>
    <x v="1"/>
    <x v="0"/>
    <x v="2"/>
    <s v="Bed Sheet Set"/>
    <n v="2"/>
    <n v="90.75"/>
    <n v="0.15"/>
    <x v="1"/>
    <n v="154.28"/>
    <n v="125.03"/>
    <n v="29.25"/>
    <n v="1"/>
    <n v="1"/>
    <n v="5"/>
    <n v="3"/>
  </r>
  <r>
    <s v="SW-100112"/>
    <d v="2024-01-23T00:00:00"/>
    <x v="0"/>
    <s v="Q1"/>
    <x v="0"/>
    <x v="0"/>
    <x v="0"/>
    <x v="1"/>
    <x v="5"/>
    <s v="Bestseller Novel"/>
    <n v="1"/>
    <n v="45.28"/>
    <n v="0.2"/>
    <x v="1"/>
    <n v="36.22"/>
    <n v="34.68"/>
    <n v="1.54"/>
    <n v="1"/>
    <n v="0"/>
    <n v="3"/>
    <n v="4"/>
  </r>
  <r>
    <s v="SW-100113"/>
    <d v="2024-01-23T00:00:00"/>
    <x v="0"/>
    <s v="Q1"/>
    <x v="0"/>
    <x v="0"/>
    <x v="0"/>
    <x v="0"/>
    <x v="5"/>
    <s v="Board Game"/>
    <n v="1"/>
    <n v="57.92"/>
    <n v="0.1"/>
    <x v="0"/>
    <n v="52.13"/>
    <n v="43.31"/>
    <n v="8.82"/>
    <n v="1"/>
    <n v="0"/>
    <n v="5"/>
    <n v="5"/>
  </r>
  <r>
    <s v="SW-100114"/>
    <d v="2024-01-23T00:00:00"/>
    <x v="0"/>
    <s v="Q1"/>
    <x v="0"/>
    <x v="1"/>
    <x v="2"/>
    <x v="0"/>
    <x v="0"/>
    <s v="Leather Handbag"/>
    <n v="2"/>
    <n v="138.5"/>
    <n v="0"/>
    <x v="2"/>
    <n v="277"/>
    <n v="140.58000000000001"/>
    <n v="136.41999999999999"/>
    <n v="1"/>
    <n v="0"/>
    <n v="4"/>
    <n v="4"/>
  </r>
  <r>
    <s v="SW-100115"/>
    <d v="2024-01-23T00:00:00"/>
    <x v="0"/>
    <s v="Q1"/>
    <x v="0"/>
    <x v="0"/>
    <x v="2"/>
    <x v="0"/>
    <x v="4"/>
    <s v="Power Bank"/>
    <n v="1"/>
    <n v="508.8"/>
    <n v="0.1"/>
    <x v="0"/>
    <n v="457.92"/>
    <n v="395.62"/>
    <n v="62.3"/>
    <n v="1"/>
    <n v="0"/>
    <n v="4"/>
    <n v="5"/>
  </r>
  <r>
    <s v="SW-100116"/>
    <d v="2024-01-23T00:00:00"/>
    <x v="0"/>
    <s v="Q1"/>
    <x v="0"/>
    <x v="0"/>
    <x v="0"/>
    <x v="1"/>
    <x v="1"/>
    <s v="Makeup Kit"/>
    <n v="1"/>
    <n v="74.3"/>
    <n v="0.25"/>
    <x v="3"/>
    <n v="55.72"/>
    <n v="35.39"/>
    <n v="20.329999999999998"/>
    <n v="1"/>
    <n v="1"/>
    <n v="4"/>
    <n v="4"/>
  </r>
  <r>
    <s v="SW-100117"/>
    <d v="2024-01-24T00:00:00"/>
    <x v="0"/>
    <s v="Q1"/>
    <x v="0"/>
    <x v="0"/>
    <x v="3"/>
    <x v="1"/>
    <x v="0"/>
    <s v="Leather Handbag"/>
    <n v="1"/>
    <n v="138.5"/>
    <n v="0.05"/>
    <x v="0"/>
    <n v="131.57"/>
    <n v="74.760000000000005"/>
    <n v="56.81"/>
    <n v="1"/>
    <n v="0"/>
    <n v="3"/>
    <n v="4"/>
  </r>
  <r>
    <s v="SW-100118"/>
    <d v="2024-01-24T00:00:00"/>
    <x v="0"/>
    <s v="Q1"/>
    <x v="0"/>
    <x v="1"/>
    <x v="0"/>
    <x v="1"/>
    <x v="0"/>
    <s v="Summer Dress"/>
    <n v="1"/>
    <n v="33.99"/>
    <n v="0.15"/>
    <x v="1"/>
    <n v="28.89"/>
    <n v="18.43"/>
    <n v="10.46"/>
    <n v="1"/>
    <n v="0"/>
    <n v="3"/>
    <n v="3"/>
  </r>
  <r>
    <s v="SW-100119"/>
    <d v="2024-01-24T00:00:00"/>
    <x v="0"/>
    <s v="Q1"/>
    <x v="0"/>
    <x v="0"/>
    <x v="3"/>
    <x v="0"/>
    <x v="5"/>
    <s v="Building Blocks"/>
    <n v="1"/>
    <n v="48.86"/>
    <n v="0"/>
    <x v="2"/>
    <n v="48.86"/>
    <n v="34.229999999999997"/>
    <n v="14.63"/>
    <n v="1"/>
    <n v="0"/>
    <n v="3"/>
    <n v="5"/>
  </r>
  <r>
    <s v="SW-100120"/>
    <d v="2024-01-24T00:00:00"/>
    <x v="0"/>
    <s v="Q1"/>
    <x v="0"/>
    <x v="2"/>
    <x v="1"/>
    <x v="1"/>
    <x v="2"/>
    <s v="Storage Boxes"/>
    <n v="1"/>
    <n v="154.66"/>
    <n v="0.2"/>
    <x v="1"/>
    <n v="123.73"/>
    <n v="100.89"/>
    <n v="22.84"/>
    <n v="1"/>
    <n v="0"/>
    <n v="7"/>
    <n v="4"/>
  </r>
  <r>
    <s v="SW-100121"/>
    <d v="2024-01-24T00:00:00"/>
    <x v="0"/>
    <s v="Q1"/>
    <x v="0"/>
    <x v="1"/>
    <x v="2"/>
    <x v="1"/>
    <x v="1"/>
    <s v="Skin Care Bundle"/>
    <n v="1"/>
    <n v="92.54"/>
    <n v="0"/>
    <x v="2"/>
    <n v="92.54"/>
    <n v="46.93"/>
    <n v="45.61"/>
    <n v="1"/>
    <n v="0"/>
    <n v="4"/>
    <n v="4"/>
  </r>
  <r>
    <s v="SW-100122"/>
    <d v="2024-01-24T00:00:00"/>
    <x v="0"/>
    <s v="Q1"/>
    <x v="0"/>
    <x v="0"/>
    <x v="0"/>
    <x v="1"/>
    <x v="5"/>
    <s v="Bestseller Novel"/>
    <n v="1"/>
    <n v="45.28"/>
    <n v="0.2"/>
    <x v="1"/>
    <n v="36.22"/>
    <n v="32.380000000000003"/>
    <n v="3.84"/>
    <n v="1"/>
    <n v="0"/>
    <n v="3"/>
    <n v="5"/>
  </r>
  <r>
    <s v="SW-100123"/>
    <d v="2024-01-24T00:00:00"/>
    <x v="0"/>
    <s v="Q1"/>
    <x v="0"/>
    <x v="0"/>
    <x v="3"/>
    <x v="1"/>
    <x v="1"/>
    <s v="Perfume 100ml"/>
    <n v="2"/>
    <n v="54.56"/>
    <n v="0"/>
    <x v="2"/>
    <n v="109.12"/>
    <n v="55.64"/>
    <n v="53.48"/>
    <n v="1"/>
    <n v="0"/>
    <n v="5"/>
    <n v="4"/>
  </r>
  <r>
    <s v="SW-100124"/>
    <d v="2024-01-24T00:00:00"/>
    <x v="0"/>
    <s v="Q1"/>
    <x v="0"/>
    <x v="0"/>
    <x v="0"/>
    <x v="0"/>
    <x v="2"/>
    <s v="Air Fryer"/>
    <n v="2"/>
    <n v="68.349999999999994"/>
    <n v="0.15"/>
    <x v="1"/>
    <n v="116.2"/>
    <n v="88.26"/>
    <n v="27.94"/>
    <n v="1"/>
    <n v="0"/>
    <n v="3"/>
    <n v="5"/>
  </r>
  <r>
    <s v="SW-100125"/>
    <d v="2024-01-24T00:00:00"/>
    <x v="0"/>
    <s v="Q1"/>
    <x v="0"/>
    <x v="2"/>
    <x v="1"/>
    <x v="0"/>
    <x v="2"/>
    <s v="Coffee Maker"/>
    <n v="2"/>
    <n v="148.05000000000001"/>
    <n v="0.15"/>
    <x v="1"/>
    <n v="251.68"/>
    <n v="195.81"/>
    <n v="55.87"/>
    <n v="1"/>
    <n v="0"/>
    <n v="12"/>
    <n v="3"/>
  </r>
  <r>
    <s v="SW-100126"/>
    <d v="2024-01-25T00:00:00"/>
    <x v="0"/>
    <s v="Q1"/>
    <x v="0"/>
    <x v="0"/>
    <x v="0"/>
    <x v="1"/>
    <x v="2"/>
    <s v="Storage Boxes"/>
    <n v="1"/>
    <n v="154.66"/>
    <n v="0.05"/>
    <x v="0"/>
    <n v="146.93"/>
    <n v="105.79"/>
    <n v="41.14"/>
    <n v="1"/>
    <n v="0"/>
    <n v="5"/>
    <n v="4"/>
  </r>
  <r>
    <s v="SW-100127"/>
    <d v="2024-01-25T00:00:00"/>
    <x v="0"/>
    <s v="Q1"/>
    <x v="0"/>
    <x v="0"/>
    <x v="2"/>
    <x v="0"/>
    <x v="2"/>
    <s v="Desk Lamp"/>
    <n v="1"/>
    <n v="117.63"/>
    <n v="0"/>
    <x v="2"/>
    <n v="117.63"/>
    <n v="76.52"/>
    <n v="41.11"/>
    <n v="1"/>
    <n v="0"/>
    <n v="4"/>
    <n v="5"/>
  </r>
  <r>
    <s v="SW-100128"/>
    <d v="2024-01-25T00:00:00"/>
    <x v="0"/>
    <s v="Q1"/>
    <x v="0"/>
    <x v="0"/>
    <x v="3"/>
    <x v="1"/>
    <x v="0"/>
    <s v="Summer Dress"/>
    <n v="2"/>
    <n v="33.99"/>
    <n v="0"/>
    <x v="2"/>
    <n v="67.98"/>
    <n v="38.21"/>
    <n v="29.77"/>
    <n v="1"/>
    <n v="0"/>
    <n v="2"/>
    <n v="3"/>
  </r>
  <r>
    <s v="SW-100129"/>
    <d v="2024-01-25T00:00:00"/>
    <x v="0"/>
    <s v="Q1"/>
    <x v="0"/>
    <x v="2"/>
    <x v="0"/>
    <x v="1"/>
    <x v="0"/>
    <s v="Denim Jacket"/>
    <n v="1"/>
    <n v="78.510000000000005"/>
    <n v="0"/>
    <x v="2"/>
    <n v="78.510000000000005"/>
    <n v="39.75"/>
    <n v="38.76"/>
    <n v="1"/>
    <n v="0"/>
    <n v="4"/>
    <n v="5"/>
  </r>
  <r>
    <s v="SW-100130"/>
    <d v="2024-01-25T00:00:00"/>
    <x v="0"/>
    <s v="Q1"/>
    <x v="0"/>
    <x v="0"/>
    <x v="0"/>
    <x v="1"/>
    <x v="4"/>
    <s v="Wireless Earbuds"/>
    <n v="4"/>
    <n v="588.41"/>
    <n v="0.05"/>
    <x v="0"/>
    <n v="2235.96"/>
    <n v="1884.11"/>
    <n v="351.85"/>
    <n v="1"/>
    <n v="0"/>
    <n v="4"/>
    <n v="5"/>
  </r>
  <r>
    <s v="SW-100131"/>
    <d v="2024-01-25T00:00:00"/>
    <x v="0"/>
    <s v="Q1"/>
    <x v="0"/>
    <x v="2"/>
    <x v="0"/>
    <x v="1"/>
    <x v="2"/>
    <s v="Cookware Set"/>
    <n v="2"/>
    <n v="233.81"/>
    <n v="0.1"/>
    <x v="0"/>
    <n v="420.86"/>
    <n v="308.54000000000002"/>
    <n v="112.32"/>
    <n v="1"/>
    <n v="0"/>
    <n v="5"/>
    <n v="4"/>
  </r>
  <r>
    <s v="SW-100132"/>
    <d v="2024-01-25T00:00:00"/>
    <x v="0"/>
    <s v="Q1"/>
    <x v="0"/>
    <x v="0"/>
    <x v="0"/>
    <x v="0"/>
    <x v="0"/>
    <s v="Running Sneakers"/>
    <n v="2"/>
    <n v="94.85"/>
    <n v="0"/>
    <x v="2"/>
    <n v="189.7"/>
    <n v="102.51"/>
    <n v="87.19"/>
    <n v="1"/>
    <n v="0"/>
    <n v="3"/>
    <n v="4"/>
  </r>
  <r>
    <s v="SW-100133"/>
    <d v="2024-01-26T00:00:00"/>
    <x v="0"/>
    <s v="Q1"/>
    <x v="0"/>
    <x v="0"/>
    <x v="0"/>
    <x v="0"/>
    <x v="4"/>
    <s v="4K Action Camera"/>
    <n v="2"/>
    <n v="636.09"/>
    <n v="0.05"/>
    <x v="0"/>
    <n v="1208.57"/>
    <n v="1042.92"/>
    <n v="165.65"/>
    <n v="1"/>
    <n v="0"/>
    <n v="4"/>
    <n v="5"/>
  </r>
  <r>
    <s v="SW-100134"/>
    <d v="2024-01-26T00:00:00"/>
    <x v="0"/>
    <s v="Q1"/>
    <x v="0"/>
    <x v="2"/>
    <x v="2"/>
    <x v="1"/>
    <x v="0"/>
    <s v="Cotton T-Shirt"/>
    <n v="1"/>
    <n v="19.41"/>
    <n v="0.05"/>
    <x v="0"/>
    <n v="18.440000000000001"/>
    <n v="9.86"/>
    <n v="8.58"/>
    <n v="1"/>
    <n v="0"/>
    <n v="3"/>
    <n v="5"/>
  </r>
  <r>
    <s v="SW-100135"/>
    <d v="2024-01-27T00:00:00"/>
    <x v="0"/>
    <s v="Q1"/>
    <x v="0"/>
    <x v="1"/>
    <x v="0"/>
    <x v="1"/>
    <x v="4"/>
    <s v="4K Action Camera"/>
    <n v="3"/>
    <n v="636.09"/>
    <n v="0.1"/>
    <x v="0"/>
    <n v="1717.44"/>
    <n v="1506.9"/>
    <n v="210.54"/>
    <n v="1"/>
    <n v="0"/>
    <n v="4"/>
    <n v="5"/>
  </r>
  <r>
    <s v="SW-100136"/>
    <d v="2024-01-27T00:00:00"/>
    <x v="0"/>
    <s v="Q1"/>
    <x v="0"/>
    <x v="1"/>
    <x v="2"/>
    <x v="0"/>
    <x v="0"/>
    <s v="Cotton T-Shirt"/>
    <n v="1"/>
    <n v="19.41"/>
    <n v="0.15"/>
    <x v="1"/>
    <n v="16.5"/>
    <n v="10.52"/>
    <n v="5.98"/>
    <n v="1"/>
    <n v="0"/>
    <n v="4"/>
    <n v="5"/>
  </r>
  <r>
    <s v="SW-100137"/>
    <d v="2024-01-27T00:00:00"/>
    <x v="0"/>
    <s v="Q1"/>
    <x v="0"/>
    <x v="2"/>
    <x v="0"/>
    <x v="0"/>
    <x v="0"/>
    <s v="Sunglasses"/>
    <n v="2"/>
    <n v="104.94"/>
    <n v="0.3"/>
    <x v="3"/>
    <n v="146.91999999999999"/>
    <n v="116.55"/>
    <n v="30.37"/>
    <n v="1"/>
    <n v="0"/>
    <n v="3"/>
    <n v="4"/>
  </r>
  <r>
    <s v="SW-100138"/>
    <d v="2024-01-27T00:00:00"/>
    <x v="0"/>
    <s v="Q1"/>
    <x v="0"/>
    <x v="1"/>
    <x v="3"/>
    <x v="1"/>
    <x v="1"/>
    <s v="Hair Dryer"/>
    <n v="4"/>
    <n v="33.18"/>
    <n v="0.05"/>
    <x v="0"/>
    <n v="126.08"/>
    <n v="65.86"/>
    <n v="60.22"/>
    <n v="1"/>
    <n v="0"/>
    <n v="3"/>
    <n v="5"/>
  </r>
  <r>
    <s v="SW-100139"/>
    <d v="2024-01-27T00:00:00"/>
    <x v="0"/>
    <s v="Q1"/>
    <x v="0"/>
    <x v="0"/>
    <x v="3"/>
    <x v="1"/>
    <x v="0"/>
    <s v="Leather Handbag"/>
    <n v="1"/>
    <n v="138.5"/>
    <n v="0"/>
    <x v="2"/>
    <n v="138.5"/>
    <n v="72.78"/>
    <n v="65.72"/>
    <n v="1"/>
    <n v="0"/>
    <n v="2"/>
    <n v="4"/>
  </r>
  <r>
    <s v="SW-100140"/>
    <d v="2024-01-27T00:00:00"/>
    <x v="0"/>
    <s v="Q1"/>
    <x v="0"/>
    <x v="0"/>
    <x v="0"/>
    <x v="1"/>
    <x v="0"/>
    <s v="Sunglasses"/>
    <n v="1"/>
    <n v="104.94"/>
    <n v="0.1"/>
    <x v="0"/>
    <n v="94.45"/>
    <n v="55.64"/>
    <n v="38.81"/>
    <n v="1"/>
    <n v="0"/>
    <n v="3"/>
    <n v="4"/>
  </r>
  <r>
    <s v="SW-100141"/>
    <d v="2024-01-27T00:00:00"/>
    <x v="0"/>
    <s v="Q1"/>
    <x v="0"/>
    <x v="1"/>
    <x v="1"/>
    <x v="1"/>
    <x v="0"/>
    <s v="Cotton T-Shirt"/>
    <n v="1"/>
    <n v="19.41"/>
    <n v="0.15"/>
    <x v="1"/>
    <n v="16.5"/>
    <n v="10.93"/>
    <n v="5.57"/>
    <n v="1"/>
    <n v="0"/>
    <n v="6"/>
    <n v="2"/>
  </r>
  <r>
    <s v="SW-100142"/>
    <d v="2024-01-28T00:00:00"/>
    <x v="0"/>
    <s v="Q1"/>
    <x v="0"/>
    <x v="2"/>
    <x v="2"/>
    <x v="1"/>
    <x v="3"/>
    <s v="Camping Tent"/>
    <n v="2"/>
    <n v="83.06"/>
    <n v="0"/>
    <x v="2"/>
    <n v="166.12"/>
    <n v="115.14"/>
    <n v="50.98"/>
    <n v="1"/>
    <n v="0"/>
    <n v="4"/>
    <n v="5"/>
  </r>
  <r>
    <s v="SW-100143"/>
    <d v="2024-01-28T00:00:00"/>
    <x v="0"/>
    <s v="Q1"/>
    <x v="0"/>
    <x v="0"/>
    <x v="3"/>
    <x v="1"/>
    <x v="0"/>
    <s v="Running Sneakers"/>
    <n v="1"/>
    <n v="94.85"/>
    <n v="0"/>
    <x v="2"/>
    <n v="94.85"/>
    <n v="47.65"/>
    <n v="47.2"/>
    <n v="1"/>
    <n v="0"/>
    <n v="3"/>
    <n v="4"/>
  </r>
  <r>
    <s v="SW-100144"/>
    <d v="2024-01-28T00:00:00"/>
    <x v="0"/>
    <s v="Q1"/>
    <x v="0"/>
    <x v="1"/>
    <x v="4"/>
    <x v="1"/>
    <x v="0"/>
    <s v="Sunglasses"/>
    <n v="1"/>
    <n v="104.94"/>
    <n v="0"/>
    <x v="2"/>
    <n v="104.94"/>
    <n v="55.06"/>
    <n v="49.88"/>
    <n v="1"/>
    <n v="1"/>
    <n v="6"/>
    <n v="2"/>
  </r>
  <r>
    <s v="SW-100145"/>
    <d v="2024-01-28T00:00:00"/>
    <x v="0"/>
    <s v="Q1"/>
    <x v="0"/>
    <x v="0"/>
    <x v="4"/>
    <x v="0"/>
    <x v="0"/>
    <s v="Sunglasses"/>
    <n v="2"/>
    <n v="104.94"/>
    <n v="0.05"/>
    <x v="0"/>
    <n v="199.39"/>
    <n v="110"/>
    <n v="89.39"/>
    <n v="1"/>
    <n v="0"/>
    <n v="8"/>
    <n v="5"/>
  </r>
  <r>
    <s v="SW-100146"/>
    <d v="2024-01-29T00:00:00"/>
    <x v="0"/>
    <s v="Q1"/>
    <x v="0"/>
    <x v="0"/>
    <x v="2"/>
    <x v="0"/>
    <x v="3"/>
    <s v="Dumbbell Set"/>
    <n v="2"/>
    <n v="198.42"/>
    <n v="0.1"/>
    <x v="0"/>
    <n v="357.16"/>
    <n v="264.95"/>
    <n v="92.21"/>
    <n v="1"/>
    <n v="1"/>
    <n v="3"/>
    <n v="2"/>
  </r>
  <r>
    <s v="SW-100147"/>
    <d v="2024-01-29T00:00:00"/>
    <x v="0"/>
    <s v="Q1"/>
    <x v="0"/>
    <x v="1"/>
    <x v="0"/>
    <x v="1"/>
    <x v="3"/>
    <s v="Yoga Mat"/>
    <n v="1"/>
    <n v="137.05000000000001"/>
    <n v="0.05"/>
    <x v="0"/>
    <n v="130.19999999999999"/>
    <n v="92.3"/>
    <n v="37.9"/>
    <n v="1"/>
    <n v="0"/>
    <n v="4"/>
    <n v="3"/>
  </r>
  <r>
    <s v="SW-100148"/>
    <d v="2024-01-29T00:00:00"/>
    <x v="0"/>
    <s v="Q1"/>
    <x v="0"/>
    <x v="1"/>
    <x v="0"/>
    <x v="1"/>
    <x v="1"/>
    <s v="Skin Care Bundle"/>
    <n v="3"/>
    <n v="92.54"/>
    <n v="0.05"/>
    <x v="0"/>
    <n v="263.74"/>
    <n v="127.34"/>
    <n v="136.4"/>
    <n v="1"/>
    <n v="0"/>
    <n v="5"/>
    <n v="5"/>
  </r>
  <r>
    <s v="SW-100149"/>
    <d v="2024-01-29T00:00:00"/>
    <x v="0"/>
    <s v="Q1"/>
    <x v="0"/>
    <x v="2"/>
    <x v="3"/>
    <x v="1"/>
    <x v="5"/>
    <s v="Kids Puzzle"/>
    <n v="2"/>
    <n v="16.97"/>
    <n v="0.05"/>
    <x v="0"/>
    <n v="32.24"/>
    <n v="24.92"/>
    <n v="7.32"/>
    <n v="1"/>
    <n v="0"/>
    <n v="2"/>
    <n v="4"/>
  </r>
  <r>
    <s v="SW-100150"/>
    <d v="2024-01-29T00:00:00"/>
    <x v="0"/>
    <s v="Q1"/>
    <x v="0"/>
    <x v="2"/>
    <x v="3"/>
    <x v="1"/>
    <x v="0"/>
    <s v="Summer Dress"/>
    <n v="1"/>
    <n v="33.99"/>
    <n v="0"/>
    <x v="2"/>
    <n v="33.99"/>
    <n v="18.82"/>
    <n v="15.17"/>
    <n v="1"/>
    <n v="0"/>
    <n v="4"/>
    <n v="4"/>
  </r>
  <r>
    <s v="SW-100151"/>
    <d v="2024-01-29T00:00:00"/>
    <x v="0"/>
    <s v="Q1"/>
    <x v="0"/>
    <x v="1"/>
    <x v="4"/>
    <x v="0"/>
    <x v="5"/>
    <s v="Story Book Set"/>
    <n v="3"/>
    <n v="10.76"/>
    <n v="0"/>
    <x v="2"/>
    <n v="32.28"/>
    <n v="22.69"/>
    <n v="9.59"/>
    <n v="1"/>
    <n v="0"/>
    <n v="7"/>
    <n v="3"/>
  </r>
  <r>
    <s v="SW-100152"/>
    <d v="2024-01-29T00:00:00"/>
    <x v="0"/>
    <s v="Q1"/>
    <x v="0"/>
    <x v="1"/>
    <x v="2"/>
    <x v="1"/>
    <x v="4"/>
    <s v="Power Bank"/>
    <n v="2"/>
    <n v="508.8"/>
    <n v="0.1"/>
    <x v="0"/>
    <n v="915.84"/>
    <n v="821.83"/>
    <n v="94.01"/>
    <n v="1"/>
    <n v="0"/>
    <n v="5"/>
    <n v="4"/>
  </r>
  <r>
    <s v="SW-100153"/>
    <d v="2024-01-29T00:00:00"/>
    <x v="0"/>
    <s v="Q1"/>
    <x v="0"/>
    <x v="1"/>
    <x v="2"/>
    <x v="0"/>
    <x v="2"/>
    <s v="Cookware Set"/>
    <n v="4"/>
    <n v="233.81"/>
    <n v="0.25"/>
    <x v="3"/>
    <n v="701.43"/>
    <n v="612.64"/>
    <n v="88.79"/>
    <n v="1"/>
    <n v="0"/>
    <n v="3"/>
    <n v="4"/>
  </r>
  <r>
    <s v="SW-100154"/>
    <d v="2024-01-29T00:00:00"/>
    <x v="0"/>
    <s v="Q1"/>
    <x v="0"/>
    <x v="0"/>
    <x v="4"/>
    <x v="0"/>
    <x v="1"/>
    <s v="Perfume 100ml"/>
    <n v="2"/>
    <n v="54.56"/>
    <n v="0"/>
    <x v="2"/>
    <n v="109.12"/>
    <n v="52.55"/>
    <n v="56.57"/>
    <n v="1"/>
    <n v="0"/>
    <n v="7"/>
    <n v="3"/>
  </r>
  <r>
    <s v="SW-100155"/>
    <d v="2024-01-29T00:00:00"/>
    <x v="0"/>
    <s v="Q1"/>
    <x v="0"/>
    <x v="0"/>
    <x v="3"/>
    <x v="0"/>
    <x v="1"/>
    <s v="Skin Care Bundle"/>
    <n v="1"/>
    <n v="92.54"/>
    <n v="0.3"/>
    <x v="3"/>
    <n v="64.78"/>
    <n v="44.98"/>
    <n v="19.8"/>
    <n v="1"/>
    <n v="0"/>
    <n v="3"/>
    <n v="4"/>
  </r>
  <r>
    <s v="SW-100156"/>
    <d v="2024-01-30T00:00:00"/>
    <x v="0"/>
    <s v="Q1"/>
    <x v="0"/>
    <x v="1"/>
    <x v="0"/>
    <x v="1"/>
    <x v="4"/>
    <s v="4K Action Camera"/>
    <n v="4"/>
    <n v="636.09"/>
    <n v="0"/>
    <x v="2"/>
    <n v="2544.36"/>
    <n v="2102.1"/>
    <n v="442.26"/>
    <n v="1"/>
    <n v="0"/>
    <n v="4"/>
    <n v="4"/>
  </r>
  <r>
    <s v="SW-100157"/>
    <d v="2024-01-30T00:00:00"/>
    <x v="0"/>
    <s v="Q1"/>
    <x v="0"/>
    <x v="0"/>
    <x v="2"/>
    <x v="1"/>
    <x v="1"/>
    <s v="Perfume 100ml"/>
    <n v="2"/>
    <n v="54.56"/>
    <n v="0"/>
    <x v="2"/>
    <n v="109.12"/>
    <n v="54.85"/>
    <n v="54.27"/>
    <n v="1"/>
    <n v="0"/>
    <n v="5"/>
    <n v="4"/>
  </r>
  <r>
    <s v="SW-100158"/>
    <d v="2024-01-30T00:00:00"/>
    <x v="0"/>
    <s v="Q1"/>
    <x v="0"/>
    <x v="1"/>
    <x v="3"/>
    <x v="1"/>
    <x v="5"/>
    <s v="Building Blocks"/>
    <n v="1"/>
    <n v="48.86"/>
    <n v="0"/>
    <x v="2"/>
    <n v="48.86"/>
    <n v="36.57"/>
    <n v="12.29"/>
    <n v="1"/>
    <n v="0"/>
    <n v="2"/>
    <n v="4"/>
  </r>
  <r>
    <s v="SW-100159"/>
    <d v="2024-01-30T00:00:00"/>
    <x v="0"/>
    <s v="Q1"/>
    <x v="0"/>
    <x v="2"/>
    <x v="0"/>
    <x v="0"/>
    <x v="1"/>
    <s v="Makeup Kit"/>
    <n v="2"/>
    <n v="74.3"/>
    <n v="0.2"/>
    <x v="1"/>
    <n v="118.88"/>
    <n v="72.930000000000007"/>
    <n v="45.95"/>
    <n v="1"/>
    <n v="1"/>
    <n v="5"/>
    <n v="3"/>
  </r>
  <r>
    <s v="SW-100160"/>
    <d v="2024-01-30T00:00:00"/>
    <x v="0"/>
    <s v="Q1"/>
    <x v="0"/>
    <x v="0"/>
    <x v="4"/>
    <x v="1"/>
    <x v="2"/>
    <s v="Coffee Maker"/>
    <n v="1"/>
    <n v="148.05000000000001"/>
    <n v="0.1"/>
    <x v="0"/>
    <n v="133.24"/>
    <n v="99.4"/>
    <n v="33.840000000000003"/>
    <n v="1"/>
    <n v="0"/>
    <n v="6"/>
    <n v="5"/>
  </r>
  <r>
    <s v="SW-100161"/>
    <d v="2024-01-31T00:00:00"/>
    <x v="0"/>
    <s v="Q1"/>
    <x v="0"/>
    <x v="0"/>
    <x v="3"/>
    <x v="1"/>
    <x v="3"/>
    <s v="Camping Tent"/>
    <n v="3"/>
    <n v="83.06"/>
    <n v="0"/>
    <x v="2"/>
    <n v="249.18"/>
    <n v="166.98"/>
    <n v="82.2"/>
    <n v="1"/>
    <n v="0"/>
    <n v="2"/>
    <n v="3"/>
  </r>
  <r>
    <s v="SW-100162"/>
    <d v="2024-01-31T00:00:00"/>
    <x v="0"/>
    <s v="Q1"/>
    <x v="0"/>
    <x v="2"/>
    <x v="2"/>
    <x v="1"/>
    <x v="5"/>
    <s v="Kids Puzzle"/>
    <n v="1"/>
    <n v="16.97"/>
    <n v="0.15"/>
    <x v="1"/>
    <n v="14.42"/>
    <n v="11.89"/>
    <n v="2.5299999999999998"/>
    <n v="1"/>
    <n v="0"/>
    <n v="4"/>
    <n v="4"/>
  </r>
  <r>
    <s v="SW-100163"/>
    <d v="2024-01-31T00:00:00"/>
    <x v="0"/>
    <s v="Q1"/>
    <x v="0"/>
    <x v="1"/>
    <x v="0"/>
    <x v="1"/>
    <x v="2"/>
    <s v="Cookware Set"/>
    <n v="1"/>
    <n v="233.81"/>
    <n v="0.25"/>
    <x v="3"/>
    <n v="175.36"/>
    <n v="159.58000000000001"/>
    <n v="15.78"/>
    <n v="1"/>
    <n v="0"/>
    <n v="3"/>
    <n v="5"/>
  </r>
  <r>
    <s v="SW-100164"/>
    <d v="2024-01-31T00:00:00"/>
    <x v="0"/>
    <s v="Q1"/>
    <x v="0"/>
    <x v="2"/>
    <x v="3"/>
    <x v="1"/>
    <x v="4"/>
    <s v="Wireless Earbuds"/>
    <n v="1"/>
    <n v="588.41"/>
    <n v="0.1"/>
    <x v="0"/>
    <n v="529.57000000000005"/>
    <n v="481.64"/>
    <n v="47.93"/>
    <n v="1"/>
    <n v="0"/>
    <n v="3"/>
    <n v="5"/>
  </r>
  <r>
    <s v="SW-100165"/>
    <d v="2024-01-31T00:00:00"/>
    <x v="0"/>
    <s v="Q1"/>
    <x v="0"/>
    <x v="0"/>
    <x v="3"/>
    <x v="0"/>
    <x v="0"/>
    <s v="Sunglasses"/>
    <n v="1"/>
    <n v="104.94"/>
    <n v="0.1"/>
    <x v="0"/>
    <n v="94.45"/>
    <n v="54.21"/>
    <n v="40.24"/>
    <n v="1"/>
    <n v="0"/>
    <n v="2"/>
    <n v="5"/>
  </r>
  <r>
    <s v="SW-100166"/>
    <d v="2024-01-31T00:00:00"/>
    <x v="0"/>
    <s v="Q1"/>
    <x v="0"/>
    <x v="0"/>
    <x v="3"/>
    <x v="1"/>
    <x v="0"/>
    <s v="Leather Handbag"/>
    <n v="1"/>
    <n v="138.5"/>
    <n v="0.15"/>
    <x v="1"/>
    <n v="117.72"/>
    <n v="75.13"/>
    <n v="42.59"/>
    <n v="1"/>
    <n v="0"/>
    <n v="2"/>
    <n v="4"/>
  </r>
  <r>
    <s v="SW-100167"/>
    <d v="2024-02-01T00:00:00"/>
    <x v="0"/>
    <s v="Q1"/>
    <x v="1"/>
    <x v="0"/>
    <x v="0"/>
    <x v="1"/>
    <x v="4"/>
    <s v="Bluetooth Speaker"/>
    <n v="1"/>
    <n v="177.65"/>
    <n v="0.15"/>
    <x v="1"/>
    <n v="151"/>
    <n v="139.08000000000001"/>
    <n v="11.92"/>
    <n v="1"/>
    <n v="0"/>
    <n v="4"/>
    <n v="4"/>
  </r>
  <r>
    <s v="SW-100168"/>
    <d v="2024-02-01T00:00:00"/>
    <x v="0"/>
    <s v="Q1"/>
    <x v="1"/>
    <x v="2"/>
    <x v="1"/>
    <x v="1"/>
    <x v="4"/>
    <s v="4K Action Camera"/>
    <n v="1"/>
    <n v="636.09"/>
    <n v="0"/>
    <x v="2"/>
    <n v="636.09"/>
    <n v="511.79"/>
    <n v="124.3"/>
    <n v="1"/>
    <n v="0"/>
    <n v="6"/>
    <n v="4"/>
  </r>
  <r>
    <s v="SW-100169"/>
    <d v="2024-02-02T00:00:00"/>
    <x v="0"/>
    <s v="Q1"/>
    <x v="1"/>
    <x v="1"/>
    <x v="4"/>
    <x v="1"/>
    <x v="0"/>
    <s v="Sunglasses"/>
    <n v="2"/>
    <n v="104.94"/>
    <n v="0.2"/>
    <x v="1"/>
    <n v="167.9"/>
    <n v="113.09"/>
    <n v="54.81"/>
    <n v="1"/>
    <n v="0"/>
    <n v="6"/>
    <n v="4"/>
  </r>
  <r>
    <s v="SW-100170"/>
    <d v="2024-02-02T00:00:00"/>
    <x v="0"/>
    <s v="Q1"/>
    <x v="1"/>
    <x v="1"/>
    <x v="4"/>
    <x v="1"/>
    <x v="5"/>
    <s v="Board Game"/>
    <n v="1"/>
    <n v="57.92"/>
    <n v="0.1"/>
    <x v="0"/>
    <n v="52.13"/>
    <n v="41.14"/>
    <n v="10.99"/>
    <n v="1"/>
    <n v="0"/>
    <n v="7"/>
    <n v="3"/>
  </r>
  <r>
    <s v="SW-100171"/>
    <d v="2024-02-02T00:00:00"/>
    <x v="0"/>
    <s v="Q1"/>
    <x v="1"/>
    <x v="1"/>
    <x v="4"/>
    <x v="1"/>
    <x v="4"/>
    <s v="Bluetooth Speaker"/>
    <n v="2"/>
    <n v="177.65"/>
    <n v="0.15"/>
    <x v="1"/>
    <n v="302"/>
    <n v="278.95"/>
    <n v="23.05"/>
    <n v="1"/>
    <n v="1"/>
    <n v="7"/>
    <n v="3"/>
  </r>
  <r>
    <s v="SW-100172"/>
    <d v="2024-02-02T00:00:00"/>
    <x v="0"/>
    <s v="Q1"/>
    <x v="1"/>
    <x v="0"/>
    <x v="3"/>
    <x v="0"/>
    <x v="4"/>
    <s v="4K Action Camera"/>
    <n v="2"/>
    <n v="636.09"/>
    <n v="0.05"/>
    <x v="0"/>
    <n v="1208.57"/>
    <n v="1003.1"/>
    <n v="205.47"/>
    <n v="1"/>
    <n v="0"/>
    <n v="2"/>
    <n v="4"/>
  </r>
  <r>
    <s v="SW-100173"/>
    <d v="2024-02-03T00:00:00"/>
    <x v="0"/>
    <s v="Q1"/>
    <x v="1"/>
    <x v="2"/>
    <x v="0"/>
    <x v="1"/>
    <x v="1"/>
    <s v="Hair Dryer"/>
    <n v="1"/>
    <n v="33.18"/>
    <n v="0.2"/>
    <x v="1"/>
    <n v="26.54"/>
    <n v="16.760000000000002"/>
    <n v="9.7799999999999994"/>
    <n v="1"/>
    <n v="0"/>
    <n v="3"/>
    <n v="5"/>
  </r>
  <r>
    <s v="SW-100174"/>
    <d v="2024-02-03T00:00:00"/>
    <x v="0"/>
    <s v="Q1"/>
    <x v="1"/>
    <x v="0"/>
    <x v="3"/>
    <x v="1"/>
    <x v="4"/>
    <s v="Power Bank"/>
    <n v="1"/>
    <n v="508.8"/>
    <n v="0.3"/>
    <x v="3"/>
    <n v="356.16"/>
    <n v="408.68"/>
    <n v="-52.52"/>
    <n v="1"/>
    <n v="0"/>
    <n v="4"/>
    <n v="3"/>
  </r>
  <r>
    <s v="SW-100175"/>
    <d v="2024-02-03T00:00:00"/>
    <x v="0"/>
    <s v="Q1"/>
    <x v="1"/>
    <x v="1"/>
    <x v="2"/>
    <x v="1"/>
    <x v="2"/>
    <s v="Air Fryer"/>
    <n v="1"/>
    <n v="68.349999999999994"/>
    <n v="0.05"/>
    <x v="0"/>
    <n v="64.930000000000007"/>
    <n v="44.82"/>
    <n v="20.11"/>
    <n v="1"/>
    <n v="0"/>
    <n v="3"/>
    <n v="4"/>
  </r>
  <r>
    <s v="SW-100176"/>
    <d v="2024-02-03T00:00:00"/>
    <x v="0"/>
    <s v="Q1"/>
    <x v="1"/>
    <x v="0"/>
    <x v="2"/>
    <x v="1"/>
    <x v="4"/>
    <s v="Smart Watch"/>
    <n v="1"/>
    <n v="216.08"/>
    <n v="0.15"/>
    <x v="1"/>
    <n v="183.67"/>
    <n v="165.17"/>
    <n v="18.5"/>
    <n v="1"/>
    <n v="0"/>
    <n v="4"/>
    <n v="4"/>
  </r>
  <r>
    <s v="SW-100177"/>
    <d v="2024-02-03T00:00:00"/>
    <x v="0"/>
    <s v="Q1"/>
    <x v="1"/>
    <x v="1"/>
    <x v="4"/>
    <x v="1"/>
    <x v="5"/>
    <s v="Board Game"/>
    <n v="4"/>
    <n v="57.92"/>
    <n v="0"/>
    <x v="2"/>
    <n v="231.68"/>
    <n v="170.99"/>
    <n v="60.69"/>
    <n v="1"/>
    <n v="0"/>
    <n v="6"/>
    <n v="3"/>
  </r>
  <r>
    <s v="SW-100178"/>
    <d v="2024-02-03T00:00:00"/>
    <x v="0"/>
    <s v="Q1"/>
    <x v="1"/>
    <x v="0"/>
    <x v="3"/>
    <x v="1"/>
    <x v="2"/>
    <s v="Bed Sheet Set"/>
    <n v="1"/>
    <n v="90.75"/>
    <n v="0.05"/>
    <x v="0"/>
    <n v="86.21"/>
    <n v="60.77"/>
    <n v="25.44"/>
    <n v="1"/>
    <n v="0"/>
    <n v="2"/>
    <n v="3"/>
  </r>
  <r>
    <s v="SW-100179"/>
    <d v="2024-02-03T00:00:00"/>
    <x v="0"/>
    <s v="Q1"/>
    <x v="1"/>
    <x v="0"/>
    <x v="4"/>
    <x v="0"/>
    <x v="0"/>
    <s v="Denim Jacket"/>
    <n v="1"/>
    <n v="78.510000000000005"/>
    <n v="0"/>
    <x v="2"/>
    <n v="78.510000000000005"/>
    <n v="42.36"/>
    <n v="36.15"/>
    <n v="1"/>
    <n v="0"/>
    <n v="6"/>
    <n v="3"/>
  </r>
  <r>
    <s v="SW-100180"/>
    <d v="2024-02-03T00:00:00"/>
    <x v="0"/>
    <s v="Q1"/>
    <x v="1"/>
    <x v="2"/>
    <x v="0"/>
    <x v="0"/>
    <x v="5"/>
    <s v="Story Book Set"/>
    <n v="1"/>
    <n v="10.76"/>
    <n v="0"/>
    <x v="2"/>
    <n v="10.76"/>
    <n v="7.73"/>
    <n v="3.03"/>
    <n v="1"/>
    <n v="0"/>
    <n v="4"/>
    <n v="5"/>
  </r>
  <r>
    <s v="SW-100181"/>
    <d v="2024-02-03T00:00:00"/>
    <x v="0"/>
    <s v="Q1"/>
    <x v="1"/>
    <x v="1"/>
    <x v="3"/>
    <x v="1"/>
    <x v="5"/>
    <s v="Board Game"/>
    <n v="1"/>
    <n v="57.92"/>
    <n v="0.1"/>
    <x v="0"/>
    <n v="52.13"/>
    <n v="40.950000000000003"/>
    <n v="11.18"/>
    <n v="1"/>
    <n v="0"/>
    <n v="4"/>
    <n v="3"/>
  </r>
  <r>
    <s v="SW-100182"/>
    <d v="2024-02-04T00:00:00"/>
    <x v="0"/>
    <s v="Q1"/>
    <x v="1"/>
    <x v="0"/>
    <x v="3"/>
    <x v="0"/>
    <x v="2"/>
    <s v="Bed Sheet Set"/>
    <n v="1"/>
    <n v="90.75"/>
    <n v="0"/>
    <x v="2"/>
    <n v="90.75"/>
    <n v="59.03"/>
    <n v="31.72"/>
    <n v="1"/>
    <n v="0"/>
    <n v="4"/>
    <n v="5"/>
  </r>
  <r>
    <s v="SW-100183"/>
    <d v="2024-02-04T00:00:00"/>
    <x v="0"/>
    <s v="Q1"/>
    <x v="1"/>
    <x v="0"/>
    <x v="1"/>
    <x v="1"/>
    <x v="4"/>
    <s v="Power Bank"/>
    <n v="2"/>
    <n v="508.8"/>
    <n v="0.25"/>
    <x v="3"/>
    <n v="763.2"/>
    <n v="836.94"/>
    <n v="-73.739999999999995"/>
    <n v="1"/>
    <n v="0"/>
    <n v="6"/>
    <n v="4"/>
  </r>
  <r>
    <s v="SW-100184"/>
    <d v="2024-02-04T00:00:00"/>
    <x v="0"/>
    <s v="Q1"/>
    <x v="1"/>
    <x v="0"/>
    <x v="4"/>
    <x v="0"/>
    <x v="4"/>
    <s v="Smart Watch"/>
    <n v="1"/>
    <n v="216.08"/>
    <n v="0.05"/>
    <x v="0"/>
    <n v="205.28"/>
    <n v="176.26"/>
    <n v="29.02"/>
    <n v="1"/>
    <n v="0"/>
    <n v="7"/>
    <n v="3"/>
  </r>
  <r>
    <s v="SW-100185"/>
    <d v="2024-02-04T00:00:00"/>
    <x v="0"/>
    <s v="Q1"/>
    <x v="1"/>
    <x v="2"/>
    <x v="0"/>
    <x v="1"/>
    <x v="4"/>
    <s v="Power Bank"/>
    <n v="2"/>
    <n v="508.8"/>
    <n v="0"/>
    <x v="2"/>
    <n v="1017.6"/>
    <n v="830.3"/>
    <n v="187.3"/>
    <n v="1"/>
    <n v="0"/>
    <n v="3"/>
    <n v="4"/>
  </r>
  <r>
    <s v="SW-100186"/>
    <d v="2024-02-04T00:00:00"/>
    <x v="0"/>
    <s v="Q1"/>
    <x v="1"/>
    <x v="2"/>
    <x v="0"/>
    <x v="0"/>
    <x v="0"/>
    <s v="Sunglasses"/>
    <n v="3"/>
    <n v="104.94"/>
    <n v="0.05"/>
    <x v="0"/>
    <n v="299.08"/>
    <n v="161"/>
    <n v="138.08000000000001"/>
    <n v="1"/>
    <n v="0"/>
    <n v="5"/>
    <n v="5"/>
  </r>
  <r>
    <s v="SW-100187"/>
    <d v="2024-02-04T00:00:00"/>
    <x v="0"/>
    <s v="Q1"/>
    <x v="1"/>
    <x v="0"/>
    <x v="3"/>
    <x v="1"/>
    <x v="3"/>
    <s v="Camping Tent"/>
    <n v="3"/>
    <n v="83.06"/>
    <n v="0.25"/>
    <x v="3"/>
    <n v="186.88"/>
    <n v="162.74"/>
    <n v="24.14"/>
    <n v="1"/>
    <n v="0"/>
    <n v="2"/>
    <n v="5"/>
  </r>
  <r>
    <s v="SW-100188"/>
    <d v="2024-02-05T00:00:00"/>
    <x v="0"/>
    <s v="Q1"/>
    <x v="1"/>
    <x v="0"/>
    <x v="3"/>
    <x v="0"/>
    <x v="2"/>
    <s v="Desk Lamp"/>
    <n v="2"/>
    <n v="117.63"/>
    <n v="0.15"/>
    <x v="1"/>
    <n v="199.97"/>
    <n v="154.02000000000001"/>
    <n v="45.95"/>
    <n v="1"/>
    <n v="0"/>
    <n v="4"/>
    <n v="5"/>
  </r>
  <r>
    <s v="SW-100189"/>
    <d v="2024-02-05T00:00:00"/>
    <x v="0"/>
    <s v="Q1"/>
    <x v="1"/>
    <x v="1"/>
    <x v="2"/>
    <x v="1"/>
    <x v="4"/>
    <s v="Power Bank"/>
    <n v="3"/>
    <n v="508.8"/>
    <n v="0.15"/>
    <x v="1"/>
    <n v="1297.44"/>
    <n v="1222.24"/>
    <n v="75.2"/>
    <n v="1"/>
    <n v="0"/>
    <n v="3"/>
    <n v="5"/>
  </r>
  <r>
    <s v="SW-100190"/>
    <d v="2024-02-05T00:00:00"/>
    <x v="0"/>
    <s v="Q1"/>
    <x v="1"/>
    <x v="0"/>
    <x v="1"/>
    <x v="1"/>
    <x v="2"/>
    <s v="Desk Lamp"/>
    <n v="1"/>
    <n v="117.63"/>
    <n v="0.1"/>
    <x v="0"/>
    <n v="105.87"/>
    <n v="75.69"/>
    <n v="30.18"/>
    <n v="1"/>
    <n v="0"/>
    <n v="5"/>
    <n v="4"/>
  </r>
  <r>
    <s v="SW-100191"/>
    <d v="2024-02-05T00:00:00"/>
    <x v="0"/>
    <s v="Q1"/>
    <x v="1"/>
    <x v="0"/>
    <x v="2"/>
    <x v="1"/>
    <x v="3"/>
    <s v="Yoga Mat"/>
    <n v="4"/>
    <n v="137.05000000000001"/>
    <n v="0"/>
    <x v="2"/>
    <n v="548.20000000000005"/>
    <n v="353.73"/>
    <n v="194.47"/>
    <n v="1"/>
    <n v="0"/>
    <n v="4"/>
    <n v="4"/>
  </r>
  <r>
    <s v="SW-100192"/>
    <d v="2024-02-05T00:00:00"/>
    <x v="0"/>
    <s v="Q1"/>
    <x v="1"/>
    <x v="1"/>
    <x v="0"/>
    <x v="1"/>
    <x v="5"/>
    <s v="Kids Puzzle"/>
    <n v="1"/>
    <n v="16.97"/>
    <n v="0"/>
    <x v="2"/>
    <n v="16.97"/>
    <n v="12.69"/>
    <n v="4.28"/>
    <n v="1"/>
    <n v="0"/>
    <n v="3"/>
    <n v="5"/>
  </r>
  <r>
    <s v="SW-100193"/>
    <d v="2024-02-06T00:00:00"/>
    <x v="0"/>
    <s v="Q1"/>
    <x v="1"/>
    <x v="2"/>
    <x v="3"/>
    <x v="0"/>
    <x v="0"/>
    <s v="Running Sneakers"/>
    <n v="1"/>
    <n v="94.85"/>
    <n v="0.25"/>
    <x v="3"/>
    <n v="71.14"/>
    <n v="50.8"/>
    <n v="20.34"/>
    <n v="1"/>
    <n v="0"/>
    <n v="3"/>
    <n v="5"/>
  </r>
  <r>
    <s v="SW-100194"/>
    <d v="2024-02-06T00:00:00"/>
    <x v="0"/>
    <s v="Q1"/>
    <x v="1"/>
    <x v="0"/>
    <x v="3"/>
    <x v="0"/>
    <x v="3"/>
    <s v="Fitness Tracker"/>
    <n v="1"/>
    <n v="74.459999999999994"/>
    <n v="0"/>
    <x v="2"/>
    <n v="74.459999999999994"/>
    <n v="48.36"/>
    <n v="26.1"/>
    <n v="1"/>
    <n v="0"/>
    <n v="2"/>
    <n v="5"/>
  </r>
  <r>
    <s v="SW-100195"/>
    <d v="2024-02-06T00:00:00"/>
    <x v="0"/>
    <s v="Q1"/>
    <x v="1"/>
    <x v="0"/>
    <x v="3"/>
    <x v="0"/>
    <x v="4"/>
    <s v="Bluetooth Speaker"/>
    <n v="2"/>
    <n v="177.65"/>
    <n v="0.1"/>
    <x v="0"/>
    <n v="319.77"/>
    <n v="293.60000000000002"/>
    <n v="26.17"/>
    <n v="1"/>
    <n v="0"/>
    <n v="3"/>
    <n v="5"/>
  </r>
  <r>
    <s v="SW-100196"/>
    <d v="2024-02-06T00:00:00"/>
    <x v="0"/>
    <s v="Q1"/>
    <x v="1"/>
    <x v="0"/>
    <x v="4"/>
    <x v="0"/>
    <x v="0"/>
    <s v="Leather Handbag"/>
    <n v="1"/>
    <n v="138.5"/>
    <n v="0"/>
    <x v="2"/>
    <n v="138.5"/>
    <n v="73.58"/>
    <n v="64.92"/>
    <n v="1"/>
    <n v="0"/>
    <n v="6"/>
    <n v="2"/>
  </r>
  <r>
    <s v="SW-100197"/>
    <d v="2024-02-06T00:00:00"/>
    <x v="0"/>
    <s v="Q1"/>
    <x v="1"/>
    <x v="1"/>
    <x v="0"/>
    <x v="0"/>
    <x v="2"/>
    <s v="Air Fryer"/>
    <n v="1"/>
    <n v="68.349999999999994"/>
    <n v="0.25"/>
    <x v="3"/>
    <n v="51.26"/>
    <n v="43.63"/>
    <n v="7.63"/>
    <n v="1"/>
    <n v="0"/>
    <n v="4"/>
    <n v="5"/>
  </r>
  <r>
    <s v="SW-100198"/>
    <d v="2024-02-06T00:00:00"/>
    <x v="0"/>
    <s v="Q1"/>
    <x v="1"/>
    <x v="0"/>
    <x v="0"/>
    <x v="0"/>
    <x v="0"/>
    <s v="Running Sneakers"/>
    <n v="1"/>
    <n v="94.85"/>
    <n v="0.3"/>
    <x v="3"/>
    <n v="66.400000000000006"/>
    <n v="50.46"/>
    <n v="15.94"/>
    <n v="1"/>
    <n v="0"/>
    <n v="5"/>
    <n v="5"/>
  </r>
  <r>
    <s v="SW-100199"/>
    <d v="2024-02-06T00:00:00"/>
    <x v="0"/>
    <s v="Q1"/>
    <x v="1"/>
    <x v="0"/>
    <x v="3"/>
    <x v="0"/>
    <x v="0"/>
    <s v="Sunglasses"/>
    <n v="1"/>
    <n v="104.94"/>
    <n v="0"/>
    <x v="2"/>
    <n v="104.94"/>
    <n v="54.39"/>
    <n v="50.55"/>
    <n v="1"/>
    <n v="0"/>
    <n v="2"/>
    <n v="4"/>
  </r>
  <r>
    <s v="SW-100200"/>
    <d v="2024-02-06T00:00:00"/>
    <x v="0"/>
    <s v="Q1"/>
    <x v="1"/>
    <x v="2"/>
    <x v="2"/>
    <x v="0"/>
    <x v="4"/>
    <s v="Smart Watch"/>
    <n v="1"/>
    <n v="216.08"/>
    <n v="0.15"/>
    <x v="1"/>
    <n v="183.67"/>
    <n v="168.08"/>
    <n v="15.59"/>
    <n v="1"/>
    <n v="0"/>
    <n v="6"/>
    <n v="3"/>
  </r>
  <r>
    <s v="SW-100201"/>
    <d v="2024-02-06T00:00:00"/>
    <x v="0"/>
    <s v="Q1"/>
    <x v="1"/>
    <x v="2"/>
    <x v="3"/>
    <x v="1"/>
    <x v="2"/>
    <s v="Storage Boxes"/>
    <n v="1"/>
    <n v="154.66"/>
    <n v="0.1"/>
    <x v="0"/>
    <n v="139.19"/>
    <n v="107.99"/>
    <n v="31.2"/>
    <n v="1"/>
    <n v="0"/>
    <n v="2"/>
    <n v="4"/>
  </r>
  <r>
    <s v="SW-100202"/>
    <d v="2024-02-06T00:00:00"/>
    <x v="0"/>
    <s v="Q1"/>
    <x v="1"/>
    <x v="2"/>
    <x v="2"/>
    <x v="0"/>
    <x v="4"/>
    <s v="Bluetooth Speaker"/>
    <n v="4"/>
    <n v="177.65"/>
    <n v="0"/>
    <x v="2"/>
    <n v="710.6"/>
    <n v="565.83000000000004"/>
    <n v="144.77000000000001"/>
    <n v="1"/>
    <n v="0"/>
    <n v="4"/>
    <n v="4"/>
  </r>
  <r>
    <s v="SW-100203"/>
    <d v="2024-02-06T00:00:00"/>
    <x v="0"/>
    <s v="Q1"/>
    <x v="1"/>
    <x v="2"/>
    <x v="3"/>
    <x v="1"/>
    <x v="1"/>
    <s v="Hair Dryer"/>
    <n v="2"/>
    <n v="33.18"/>
    <n v="0"/>
    <x v="2"/>
    <n v="66.36"/>
    <n v="30.89"/>
    <n v="35.47"/>
    <n v="1"/>
    <n v="0"/>
    <n v="3"/>
    <n v="5"/>
  </r>
  <r>
    <s v="SW-100204"/>
    <d v="2024-02-06T00:00:00"/>
    <x v="0"/>
    <s v="Q1"/>
    <x v="1"/>
    <x v="1"/>
    <x v="2"/>
    <x v="1"/>
    <x v="3"/>
    <s v="Cycling Helmet"/>
    <n v="1"/>
    <n v="85.42"/>
    <n v="0"/>
    <x v="2"/>
    <n v="85.42"/>
    <n v="57.88"/>
    <n v="27.54"/>
    <n v="1"/>
    <n v="0"/>
    <n v="3"/>
    <n v="5"/>
  </r>
  <r>
    <s v="SW-100205"/>
    <d v="2024-02-06T00:00:00"/>
    <x v="0"/>
    <s v="Q1"/>
    <x v="1"/>
    <x v="0"/>
    <x v="2"/>
    <x v="1"/>
    <x v="5"/>
    <s v="Board Game"/>
    <n v="1"/>
    <n v="57.92"/>
    <n v="0.05"/>
    <x v="0"/>
    <n v="55.02"/>
    <n v="41.86"/>
    <n v="13.16"/>
    <n v="1"/>
    <n v="0"/>
    <n v="3"/>
    <n v="4"/>
  </r>
  <r>
    <s v="SW-100206"/>
    <d v="2024-02-06T00:00:00"/>
    <x v="0"/>
    <s v="Q1"/>
    <x v="1"/>
    <x v="0"/>
    <x v="2"/>
    <x v="1"/>
    <x v="5"/>
    <s v="Building Blocks"/>
    <n v="2"/>
    <n v="48.86"/>
    <n v="0"/>
    <x v="2"/>
    <n v="97.72"/>
    <n v="67.319999999999993"/>
    <n v="30.4"/>
    <n v="1"/>
    <n v="0"/>
    <n v="5"/>
    <n v="5"/>
  </r>
  <r>
    <s v="SW-100207"/>
    <d v="2024-02-07T00:00:00"/>
    <x v="0"/>
    <s v="Q1"/>
    <x v="1"/>
    <x v="0"/>
    <x v="0"/>
    <x v="1"/>
    <x v="3"/>
    <s v="Dumbbell Set"/>
    <n v="1"/>
    <n v="198.42"/>
    <n v="0.1"/>
    <x v="0"/>
    <n v="178.58"/>
    <n v="139.55000000000001"/>
    <n v="39.03"/>
    <n v="1"/>
    <n v="0"/>
    <n v="4"/>
    <n v="5"/>
  </r>
  <r>
    <s v="SW-100208"/>
    <d v="2024-02-07T00:00:00"/>
    <x v="0"/>
    <s v="Q1"/>
    <x v="1"/>
    <x v="0"/>
    <x v="2"/>
    <x v="1"/>
    <x v="1"/>
    <s v="Skin Care Bundle"/>
    <n v="2"/>
    <n v="92.54"/>
    <n v="0.05"/>
    <x v="0"/>
    <n v="175.83"/>
    <n v="92.95"/>
    <n v="82.88"/>
    <n v="1"/>
    <n v="0"/>
    <n v="6"/>
    <n v="3"/>
  </r>
  <r>
    <s v="SW-100209"/>
    <d v="2024-02-07T00:00:00"/>
    <x v="0"/>
    <s v="Q1"/>
    <x v="1"/>
    <x v="0"/>
    <x v="0"/>
    <x v="1"/>
    <x v="2"/>
    <s v="Storage Boxes"/>
    <n v="1"/>
    <n v="154.66"/>
    <n v="0.05"/>
    <x v="0"/>
    <n v="146.93"/>
    <n v="100.59"/>
    <n v="46.34"/>
    <n v="1"/>
    <n v="0"/>
    <n v="5"/>
    <n v="4"/>
  </r>
  <r>
    <s v="SW-100210"/>
    <d v="2024-02-07T00:00:00"/>
    <x v="0"/>
    <s v="Q1"/>
    <x v="1"/>
    <x v="0"/>
    <x v="0"/>
    <x v="1"/>
    <x v="0"/>
    <s v="Cotton T-Shirt"/>
    <n v="1"/>
    <n v="19.41"/>
    <n v="0"/>
    <x v="2"/>
    <n v="19.41"/>
    <n v="10.51"/>
    <n v="8.9"/>
    <n v="1"/>
    <n v="0"/>
    <n v="3"/>
    <n v="4"/>
  </r>
  <r>
    <s v="SW-100211"/>
    <d v="2024-02-07T00:00:00"/>
    <x v="0"/>
    <s v="Q1"/>
    <x v="1"/>
    <x v="2"/>
    <x v="2"/>
    <x v="0"/>
    <x v="5"/>
    <s v="Story Book Set"/>
    <n v="1"/>
    <n v="10.76"/>
    <n v="0.25"/>
    <x v="3"/>
    <n v="8.07"/>
    <n v="7.99"/>
    <n v="0.08"/>
    <n v="1"/>
    <n v="0"/>
    <n v="5"/>
    <n v="4"/>
  </r>
  <r>
    <s v="SW-100212"/>
    <d v="2024-02-07T00:00:00"/>
    <x v="0"/>
    <s v="Q1"/>
    <x v="1"/>
    <x v="0"/>
    <x v="3"/>
    <x v="1"/>
    <x v="3"/>
    <s v="Cycling Helmet"/>
    <n v="3"/>
    <n v="85.42"/>
    <n v="0"/>
    <x v="2"/>
    <n v="256.26"/>
    <n v="176.94"/>
    <n v="79.319999999999993"/>
    <n v="1"/>
    <n v="0"/>
    <n v="4"/>
    <n v="5"/>
  </r>
  <r>
    <s v="SW-100213"/>
    <d v="2024-02-08T00:00:00"/>
    <x v="0"/>
    <s v="Q1"/>
    <x v="1"/>
    <x v="0"/>
    <x v="2"/>
    <x v="1"/>
    <x v="5"/>
    <s v="Bestseller Novel"/>
    <n v="1"/>
    <n v="45.28"/>
    <n v="0"/>
    <x v="2"/>
    <n v="45.28"/>
    <n v="32.24"/>
    <n v="13.04"/>
    <n v="1"/>
    <n v="1"/>
    <n v="6"/>
    <n v="2"/>
  </r>
  <r>
    <s v="SW-100214"/>
    <d v="2024-02-08T00:00:00"/>
    <x v="0"/>
    <s v="Q1"/>
    <x v="1"/>
    <x v="1"/>
    <x v="3"/>
    <x v="1"/>
    <x v="3"/>
    <s v="Cycling Helmet"/>
    <n v="1"/>
    <n v="85.42"/>
    <n v="0.15"/>
    <x v="1"/>
    <n v="72.61"/>
    <n v="58.86"/>
    <n v="13.75"/>
    <n v="1"/>
    <n v="0"/>
    <n v="3"/>
    <n v="4"/>
  </r>
  <r>
    <s v="SW-100215"/>
    <d v="2024-02-08T00:00:00"/>
    <x v="0"/>
    <s v="Q1"/>
    <x v="1"/>
    <x v="2"/>
    <x v="0"/>
    <x v="0"/>
    <x v="4"/>
    <s v="Smart Watch"/>
    <n v="2"/>
    <n v="216.08"/>
    <n v="0.2"/>
    <x v="1"/>
    <n v="345.73"/>
    <n v="359"/>
    <n v="-13.27"/>
    <n v="1"/>
    <n v="0"/>
    <n v="5"/>
    <n v="5"/>
  </r>
  <r>
    <s v="SW-100216"/>
    <d v="2024-02-08T00:00:00"/>
    <x v="0"/>
    <s v="Q1"/>
    <x v="1"/>
    <x v="0"/>
    <x v="0"/>
    <x v="0"/>
    <x v="2"/>
    <s v="Storage Boxes"/>
    <n v="1"/>
    <n v="154.66"/>
    <n v="0.1"/>
    <x v="0"/>
    <n v="139.19"/>
    <n v="101.82"/>
    <n v="37.369999999999997"/>
    <n v="1"/>
    <n v="1"/>
    <n v="4"/>
    <n v="3"/>
  </r>
  <r>
    <s v="SW-100217"/>
    <d v="2024-02-08T00:00:00"/>
    <x v="0"/>
    <s v="Q1"/>
    <x v="1"/>
    <x v="1"/>
    <x v="1"/>
    <x v="0"/>
    <x v="0"/>
    <s v="Leather Handbag"/>
    <n v="3"/>
    <n v="138.5"/>
    <n v="0.15"/>
    <x v="1"/>
    <n v="353.18"/>
    <n v="212.08"/>
    <n v="141.1"/>
    <n v="1"/>
    <n v="0"/>
    <n v="6"/>
    <n v="5"/>
  </r>
  <r>
    <s v="SW-100218"/>
    <d v="2024-02-09T00:00:00"/>
    <x v="0"/>
    <s v="Q1"/>
    <x v="1"/>
    <x v="1"/>
    <x v="1"/>
    <x v="1"/>
    <x v="5"/>
    <s v="Board Game"/>
    <n v="1"/>
    <n v="57.92"/>
    <n v="0.05"/>
    <x v="0"/>
    <n v="55.02"/>
    <n v="43.55"/>
    <n v="11.47"/>
    <n v="1"/>
    <n v="0"/>
    <n v="5"/>
    <n v="5"/>
  </r>
  <r>
    <s v="SW-100219"/>
    <d v="2024-02-09T00:00:00"/>
    <x v="0"/>
    <s v="Q1"/>
    <x v="1"/>
    <x v="0"/>
    <x v="3"/>
    <x v="0"/>
    <x v="1"/>
    <s v="Hair Dryer"/>
    <n v="1"/>
    <n v="33.18"/>
    <n v="0"/>
    <x v="2"/>
    <n v="33.18"/>
    <n v="15.93"/>
    <n v="17.25"/>
    <n v="1"/>
    <n v="0"/>
    <n v="4"/>
    <n v="5"/>
  </r>
  <r>
    <s v="SW-100220"/>
    <d v="2024-02-09T00:00:00"/>
    <x v="0"/>
    <s v="Q1"/>
    <x v="1"/>
    <x v="0"/>
    <x v="4"/>
    <x v="1"/>
    <x v="4"/>
    <s v="Wireless Earbuds"/>
    <n v="4"/>
    <n v="588.41"/>
    <n v="0.1"/>
    <x v="0"/>
    <n v="2118.2800000000002"/>
    <n v="1932.97"/>
    <n v="185.31"/>
    <n v="1"/>
    <n v="0"/>
    <n v="7"/>
    <n v="4"/>
  </r>
  <r>
    <s v="SW-100221"/>
    <d v="2024-02-09T00:00:00"/>
    <x v="0"/>
    <s v="Q1"/>
    <x v="1"/>
    <x v="0"/>
    <x v="0"/>
    <x v="1"/>
    <x v="3"/>
    <s v="Cycling Helmet"/>
    <n v="4"/>
    <n v="85.42"/>
    <n v="0.05"/>
    <x v="0"/>
    <n v="324.60000000000002"/>
    <n v="226.56"/>
    <n v="98.04"/>
    <n v="1"/>
    <n v="0"/>
    <n v="5"/>
    <n v="5"/>
  </r>
  <r>
    <s v="SW-100222"/>
    <d v="2024-02-09T00:00:00"/>
    <x v="0"/>
    <s v="Q1"/>
    <x v="1"/>
    <x v="1"/>
    <x v="3"/>
    <x v="0"/>
    <x v="2"/>
    <s v="Cookware Set"/>
    <n v="2"/>
    <n v="233.81"/>
    <n v="0"/>
    <x v="2"/>
    <n v="467.62"/>
    <n v="303.83"/>
    <n v="163.79"/>
    <n v="1"/>
    <n v="0"/>
    <n v="3"/>
    <n v="4"/>
  </r>
  <r>
    <s v="SW-100223"/>
    <d v="2024-02-09T00:00:00"/>
    <x v="0"/>
    <s v="Q1"/>
    <x v="1"/>
    <x v="0"/>
    <x v="3"/>
    <x v="0"/>
    <x v="0"/>
    <s v="Summer Dress"/>
    <n v="1"/>
    <n v="33.99"/>
    <n v="0"/>
    <x v="2"/>
    <n v="33.99"/>
    <n v="18.07"/>
    <n v="15.92"/>
    <n v="1"/>
    <n v="0"/>
    <n v="3"/>
    <n v="5"/>
  </r>
  <r>
    <s v="SW-100224"/>
    <d v="2024-02-09T00:00:00"/>
    <x v="0"/>
    <s v="Q1"/>
    <x v="1"/>
    <x v="1"/>
    <x v="2"/>
    <x v="0"/>
    <x v="0"/>
    <s v="Summer Dress"/>
    <n v="3"/>
    <n v="33.99"/>
    <n v="0"/>
    <x v="2"/>
    <n v="101.97"/>
    <n v="54.92"/>
    <n v="47.05"/>
    <n v="1"/>
    <n v="0"/>
    <n v="5"/>
    <n v="4"/>
  </r>
  <r>
    <s v="SW-100225"/>
    <d v="2024-02-09T00:00:00"/>
    <x v="0"/>
    <s v="Q1"/>
    <x v="1"/>
    <x v="2"/>
    <x v="1"/>
    <x v="1"/>
    <x v="3"/>
    <s v="Cycling Helmet"/>
    <n v="1"/>
    <n v="85.42"/>
    <n v="0.25"/>
    <x v="3"/>
    <n v="64.06"/>
    <n v="60.1"/>
    <n v="3.96"/>
    <n v="1"/>
    <n v="0"/>
    <n v="7"/>
    <n v="3"/>
  </r>
  <r>
    <s v="SW-100226"/>
    <d v="2024-02-09T00:00:00"/>
    <x v="0"/>
    <s v="Q1"/>
    <x v="1"/>
    <x v="0"/>
    <x v="2"/>
    <x v="1"/>
    <x v="0"/>
    <s v="Cotton T-Shirt"/>
    <n v="1"/>
    <n v="19.41"/>
    <n v="0.1"/>
    <x v="0"/>
    <n v="17.47"/>
    <n v="10.82"/>
    <n v="6.65"/>
    <n v="1"/>
    <n v="0"/>
    <n v="3"/>
    <n v="4"/>
  </r>
  <r>
    <s v="SW-100227"/>
    <d v="2024-02-10T00:00:00"/>
    <x v="0"/>
    <s v="Q1"/>
    <x v="1"/>
    <x v="0"/>
    <x v="3"/>
    <x v="0"/>
    <x v="4"/>
    <s v="Smart Watch"/>
    <n v="2"/>
    <n v="216.08"/>
    <n v="0"/>
    <x v="2"/>
    <n v="432.16"/>
    <n v="328.08"/>
    <n v="104.08"/>
    <n v="1"/>
    <n v="0"/>
    <n v="4"/>
    <n v="4"/>
  </r>
  <r>
    <s v="SW-100228"/>
    <d v="2024-02-10T00:00:00"/>
    <x v="0"/>
    <s v="Q1"/>
    <x v="1"/>
    <x v="2"/>
    <x v="2"/>
    <x v="1"/>
    <x v="0"/>
    <s v="Sunglasses"/>
    <n v="2"/>
    <n v="104.94"/>
    <n v="0"/>
    <x v="2"/>
    <n v="209.88"/>
    <n v="111.5"/>
    <n v="98.38"/>
    <n v="1"/>
    <n v="0"/>
    <n v="3"/>
    <n v="4"/>
  </r>
  <r>
    <s v="SW-100229"/>
    <d v="2024-02-10T00:00:00"/>
    <x v="0"/>
    <s v="Q1"/>
    <x v="1"/>
    <x v="2"/>
    <x v="3"/>
    <x v="1"/>
    <x v="1"/>
    <s v="Makeup Kit"/>
    <n v="1"/>
    <n v="74.3"/>
    <n v="0"/>
    <x v="2"/>
    <n v="74.3"/>
    <n v="36.08"/>
    <n v="38.22"/>
    <n v="1"/>
    <n v="0"/>
    <n v="2"/>
    <n v="5"/>
  </r>
  <r>
    <s v="SW-100230"/>
    <d v="2024-02-10T00:00:00"/>
    <x v="0"/>
    <s v="Q1"/>
    <x v="1"/>
    <x v="1"/>
    <x v="3"/>
    <x v="1"/>
    <x v="1"/>
    <s v="Hair Dryer"/>
    <n v="1"/>
    <n v="33.18"/>
    <n v="0"/>
    <x v="2"/>
    <n v="33.18"/>
    <n v="15.85"/>
    <n v="17.329999999999998"/>
    <n v="1"/>
    <n v="0"/>
    <n v="2"/>
    <n v="4"/>
  </r>
  <r>
    <s v="SW-100231"/>
    <d v="2024-02-10T00:00:00"/>
    <x v="0"/>
    <s v="Q1"/>
    <x v="1"/>
    <x v="2"/>
    <x v="0"/>
    <x v="0"/>
    <x v="0"/>
    <s v="Summer Dress"/>
    <n v="1"/>
    <n v="33.99"/>
    <n v="0"/>
    <x v="2"/>
    <n v="33.99"/>
    <n v="18.52"/>
    <n v="15.47"/>
    <n v="1"/>
    <n v="0"/>
    <n v="4"/>
    <n v="5"/>
  </r>
  <r>
    <s v="SW-100232"/>
    <d v="2024-02-10T00:00:00"/>
    <x v="0"/>
    <s v="Q1"/>
    <x v="1"/>
    <x v="0"/>
    <x v="1"/>
    <x v="0"/>
    <x v="4"/>
    <s v="4K Action Camera"/>
    <n v="1"/>
    <n v="636.09"/>
    <n v="0.1"/>
    <x v="0"/>
    <n v="572.48"/>
    <n v="521.11"/>
    <n v="51.37"/>
    <n v="1"/>
    <n v="0"/>
    <n v="7"/>
    <n v="5"/>
  </r>
  <r>
    <s v="SW-100233"/>
    <d v="2024-02-10T00:00:00"/>
    <x v="0"/>
    <s v="Q1"/>
    <x v="1"/>
    <x v="0"/>
    <x v="0"/>
    <x v="1"/>
    <x v="0"/>
    <s v="Sunglasses"/>
    <n v="2"/>
    <n v="104.94"/>
    <n v="0"/>
    <x v="2"/>
    <n v="209.88"/>
    <n v="115.49"/>
    <n v="94.39"/>
    <n v="1"/>
    <n v="0"/>
    <n v="4"/>
    <n v="5"/>
  </r>
  <r>
    <s v="SW-100234"/>
    <d v="2024-02-11T00:00:00"/>
    <x v="0"/>
    <s v="Q1"/>
    <x v="1"/>
    <x v="0"/>
    <x v="1"/>
    <x v="0"/>
    <x v="1"/>
    <s v="Hair Dryer"/>
    <n v="1"/>
    <n v="33.18"/>
    <n v="0"/>
    <x v="2"/>
    <n v="33.18"/>
    <n v="15.77"/>
    <n v="17.41"/>
    <n v="1"/>
    <n v="0"/>
    <n v="6"/>
    <n v="4"/>
  </r>
  <r>
    <s v="SW-100235"/>
    <d v="2024-02-12T00:00:00"/>
    <x v="0"/>
    <s v="Q1"/>
    <x v="1"/>
    <x v="0"/>
    <x v="0"/>
    <x v="0"/>
    <x v="4"/>
    <s v="4K Action Camera"/>
    <n v="2"/>
    <n v="636.09"/>
    <n v="0.3"/>
    <x v="3"/>
    <n v="890.53"/>
    <n v="1008.06"/>
    <n v="-117.53"/>
    <n v="1"/>
    <n v="0"/>
    <n v="3"/>
    <n v="4"/>
  </r>
  <r>
    <s v="SW-100236"/>
    <d v="2024-02-12T00:00:00"/>
    <x v="0"/>
    <s v="Q1"/>
    <x v="1"/>
    <x v="0"/>
    <x v="3"/>
    <x v="1"/>
    <x v="2"/>
    <s v="Cookware Set"/>
    <n v="1"/>
    <n v="233.81"/>
    <n v="0"/>
    <x v="2"/>
    <n v="233.81"/>
    <n v="154.32"/>
    <n v="79.489999999999995"/>
    <n v="1"/>
    <n v="0"/>
    <n v="3"/>
    <n v="5"/>
  </r>
  <r>
    <s v="SW-100237"/>
    <d v="2024-02-12T00:00:00"/>
    <x v="0"/>
    <s v="Q1"/>
    <x v="1"/>
    <x v="2"/>
    <x v="0"/>
    <x v="0"/>
    <x v="4"/>
    <s v="Wireless Earbuds"/>
    <n v="2"/>
    <n v="588.41"/>
    <n v="0.1"/>
    <x v="0"/>
    <n v="1059.1400000000001"/>
    <n v="908.54"/>
    <n v="150.6"/>
    <n v="1"/>
    <n v="0"/>
    <n v="5"/>
    <n v="5"/>
  </r>
  <r>
    <s v="SW-100238"/>
    <d v="2024-02-12T00:00:00"/>
    <x v="0"/>
    <s v="Q1"/>
    <x v="1"/>
    <x v="1"/>
    <x v="0"/>
    <x v="1"/>
    <x v="0"/>
    <s v="Sunglasses"/>
    <n v="2"/>
    <n v="104.94"/>
    <n v="0"/>
    <x v="2"/>
    <n v="209.88"/>
    <n v="110.01"/>
    <n v="99.87"/>
    <n v="1"/>
    <n v="0"/>
    <n v="4"/>
    <n v="5"/>
  </r>
  <r>
    <s v="SW-100239"/>
    <d v="2024-02-12T00:00:00"/>
    <x v="0"/>
    <s v="Q1"/>
    <x v="1"/>
    <x v="1"/>
    <x v="2"/>
    <x v="0"/>
    <x v="4"/>
    <s v="Smart Watch"/>
    <n v="2"/>
    <n v="216.08"/>
    <n v="0.1"/>
    <x v="0"/>
    <n v="388.94"/>
    <n v="340.9"/>
    <n v="48.04"/>
    <n v="1"/>
    <n v="0"/>
    <n v="3"/>
    <n v="4"/>
  </r>
  <r>
    <s v="SW-100240"/>
    <d v="2024-02-12T00:00:00"/>
    <x v="0"/>
    <s v="Q1"/>
    <x v="1"/>
    <x v="1"/>
    <x v="4"/>
    <x v="0"/>
    <x v="4"/>
    <s v="Wireless Earbuds"/>
    <n v="3"/>
    <n v="588.41"/>
    <n v="0.1"/>
    <x v="0"/>
    <n v="1588.71"/>
    <n v="1421.26"/>
    <n v="167.45"/>
    <n v="1"/>
    <n v="1"/>
    <n v="6"/>
    <n v="1"/>
  </r>
  <r>
    <s v="SW-100241"/>
    <d v="2024-02-12T00:00:00"/>
    <x v="0"/>
    <s v="Q1"/>
    <x v="1"/>
    <x v="0"/>
    <x v="0"/>
    <x v="1"/>
    <x v="0"/>
    <s v="Cotton T-Shirt"/>
    <n v="1"/>
    <n v="19.41"/>
    <n v="0"/>
    <x v="2"/>
    <n v="19.41"/>
    <n v="10.42"/>
    <n v="8.99"/>
    <n v="1"/>
    <n v="0"/>
    <n v="5"/>
    <n v="4"/>
  </r>
  <r>
    <s v="SW-100242"/>
    <d v="2024-02-12T00:00:00"/>
    <x v="0"/>
    <s v="Q1"/>
    <x v="1"/>
    <x v="1"/>
    <x v="4"/>
    <x v="0"/>
    <x v="4"/>
    <s v="4K Action Camera"/>
    <n v="2"/>
    <n v="636.09"/>
    <n v="0"/>
    <x v="2"/>
    <n v="1272.18"/>
    <n v="1069.75"/>
    <n v="202.43"/>
    <n v="1"/>
    <n v="0"/>
    <n v="6"/>
    <n v="4"/>
  </r>
  <r>
    <s v="SW-100243"/>
    <d v="2024-02-13T00:00:00"/>
    <x v="0"/>
    <s v="Q1"/>
    <x v="1"/>
    <x v="1"/>
    <x v="0"/>
    <x v="0"/>
    <x v="3"/>
    <s v="Camping Tent"/>
    <n v="1"/>
    <n v="83.06"/>
    <n v="0.05"/>
    <x v="0"/>
    <n v="78.91"/>
    <n v="56.39"/>
    <n v="22.52"/>
    <n v="1"/>
    <n v="0"/>
    <n v="3"/>
    <n v="3"/>
  </r>
  <r>
    <s v="SW-100244"/>
    <d v="2024-02-13T00:00:00"/>
    <x v="0"/>
    <s v="Q1"/>
    <x v="1"/>
    <x v="0"/>
    <x v="0"/>
    <x v="1"/>
    <x v="1"/>
    <s v="Hair Dryer"/>
    <n v="1"/>
    <n v="33.18"/>
    <n v="0.2"/>
    <x v="1"/>
    <n v="26.54"/>
    <n v="15.72"/>
    <n v="10.82"/>
    <n v="1"/>
    <n v="0"/>
    <n v="5"/>
    <n v="4"/>
  </r>
  <r>
    <s v="SW-100245"/>
    <d v="2024-02-13T00:00:00"/>
    <x v="0"/>
    <s v="Q1"/>
    <x v="1"/>
    <x v="0"/>
    <x v="2"/>
    <x v="0"/>
    <x v="4"/>
    <s v="Tablet 10in"/>
    <n v="1"/>
    <n v="490.3"/>
    <n v="0.3"/>
    <x v="3"/>
    <n v="343.21"/>
    <n v="365.63"/>
    <n v="-22.42"/>
    <n v="1"/>
    <n v="0"/>
    <n v="3"/>
    <n v="4"/>
  </r>
  <r>
    <s v="SW-100246"/>
    <d v="2024-02-13T00:00:00"/>
    <x v="0"/>
    <s v="Q1"/>
    <x v="1"/>
    <x v="0"/>
    <x v="2"/>
    <x v="0"/>
    <x v="2"/>
    <s v="Coffee Maker"/>
    <n v="2"/>
    <n v="148.05000000000001"/>
    <n v="0.2"/>
    <x v="1"/>
    <n v="236.88"/>
    <n v="190.78"/>
    <n v="46.1"/>
    <n v="1"/>
    <n v="0"/>
    <n v="4"/>
    <n v="4"/>
  </r>
  <r>
    <s v="SW-100247"/>
    <d v="2024-02-14T00:00:00"/>
    <x v="0"/>
    <s v="Q1"/>
    <x v="1"/>
    <x v="0"/>
    <x v="3"/>
    <x v="1"/>
    <x v="1"/>
    <s v="Hair Dryer"/>
    <n v="1"/>
    <n v="33.18"/>
    <n v="0.05"/>
    <x v="0"/>
    <n v="31.52"/>
    <n v="15.84"/>
    <n v="15.68"/>
    <n v="1"/>
    <n v="0"/>
    <n v="2"/>
    <n v="5"/>
  </r>
  <r>
    <s v="SW-100248"/>
    <d v="2024-02-14T00:00:00"/>
    <x v="0"/>
    <s v="Q1"/>
    <x v="1"/>
    <x v="0"/>
    <x v="2"/>
    <x v="1"/>
    <x v="0"/>
    <s v="Summer Dress"/>
    <n v="1"/>
    <n v="33.99"/>
    <n v="0.15"/>
    <x v="1"/>
    <n v="28.89"/>
    <n v="17.5"/>
    <n v="11.39"/>
    <n v="1"/>
    <n v="0"/>
    <n v="3"/>
    <n v="4"/>
  </r>
  <r>
    <s v="SW-100249"/>
    <d v="2024-02-14T00:00:00"/>
    <x v="0"/>
    <s v="Q1"/>
    <x v="1"/>
    <x v="1"/>
    <x v="2"/>
    <x v="1"/>
    <x v="1"/>
    <s v="Hair Dryer"/>
    <n v="1"/>
    <n v="33.18"/>
    <n v="0.05"/>
    <x v="0"/>
    <n v="31.52"/>
    <n v="16.670000000000002"/>
    <n v="14.85"/>
    <n v="1"/>
    <n v="0"/>
    <n v="4"/>
    <n v="4"/>
  </r>
  <r>
    <s v="SW-100250"/>
    <d v="2024-02-14T00:00:00"/>
    <x v="0"/>
    <s v="Q1"/>
    <x v="1"/>
    <x v="2"/>
    <x v="3"/>
    <x v="1"/>
    <x v="0"/>
    <s v="Leather Handbag"/>
    <n v="2"/>
    <n v="138.5"/>
    <n v="0.15"/>
    <x v="1"/>
    <n v="235.45"/>
    <n v="151.16999999999999"/>
    <n v="84.28"/>
    <n v="1"/>
    <n v="0"/>
    <n v="2"/>
    <n v="4"/>
  </r>
  <r>
    <s v="SW-100251"/>
    <d v="2024-02-15T00:00:00"/>
    <x v="0"/>
    <s v="Q1"/>
    <x v="1"/>
    <x v="1"/>
    <x v="4"/>
    <x v="0"/>
    <x v="1"/>
    <s v="Skin Care Bundle"/>
    <n v="2"/>
    <n v="92.54"/>
    <n v="0"/>
    <x v="2"/>
    <n v="185.08"/>
    <n v="89.54"/>
    <n v="95.54"/>
    <n v="1"/>
    <n v="0"/>
    <n v="6"/>
    <n v="2"/>
  </r>
  <r>
    <s v="SW-100252"/>
    <d v="2024-02-15T00:00:00"/>
    <x v="0"/>
    <s v="Q1"/>
    <x v="1"/>
    <x v="0"/>
    <x v="3"/>
    <x v="1"/>
    <x v="4"/>
    <s v="4K Action Camera"/>
    <n v="1"/>
    <n v="636.09"/>
    <n v="0.05"/>
    <x v="0"/>
    <n v="604.29"/>
    <n v="517.44000000000005"/>
    <n v="86.85"/>
    <n v="1"/>
    <n v="0"/>
    <n v="2"/>
    <n v="5"/>
  </r>
  <r>
    <s v="SW-100253"/>
    <d v="2024-02-15T00:00:00"/>
    <x v="0"/>
    <s v="Q1"/>
    <x v="1"/>
    <x v="0"/>
    <x v="2"/>
    <x v="0"/>
    <x v="0"/>
    <s v="Sunglasses"/>
    <n v="4"/>
    <n v="104.94"/>
    <n v="0.05"/>
    <x v="0"/>
    <n v="398.77"/>
    <n v="232.73"/>
    <n v="166.04"/>
    <n v="1"/>
    <n v="0"/>
    <n v="3"/>
    <n v="4"/>
  </r>
  <r>
    <s v="SW-100254"/>
    <d v="2024-02-16T00:00:00"/>
    <x v="0"/>
    <s v="Q1"/>
    <x v="1"/>
    <x v="1"/>
    <x v="2"/>
    <x v="1"/>
    <x v="5"/>
    <s v="Story Book Set"/>
    <n v="2"/>
    <n v="10.76"/>
    <n v="0.2"/>
    <x v="1"/>
    <n v="17.22"/>
    <n v="14.75"/>
    <n v="2.4700000000000002"/>
    <n v="1"/>
    <n v="0"/>
    <n v="4"/>
    <n v="4"/>
  </r>
  <r>
    <s v="SW-100255"/>
    <d v="2024-02-16T00:00:00"/>
    <x v="0"/>
    <s v="Q1"/>
    <x v="1"/>
    <x v="2"/>
    <x v="0"/>
    <x v="1"/>
    <x v="0"/>
    <s v="Sunglasses"/>
    <n v="1"/>
    <n v="104.94"/>
    <n v="0.1"/>
    <x v="0"/>
    <n v="94.45"/>
    <n v="56.75"/>
    <n v="37.700000000000003"/>
    <n v="1"/>
    <n v="0"/>
    <n v="3"/>
    <n v="5"/>
  </r>
  <r>
    <s v="SW-100256"/>
    <d v="2024-02-16T00:00:00"/>
    <x v="0"/>
    <s v="Q1"/>
    <x v="1"/>
    <x v="2"/>
    <x v="0"/>
    <x v="0"/>
    <x v="2"/>
    <s v="Air Fryer"/>
    <n v="1"/>
    <n v="68.349999999999994"/>
    <n v="0"/>
    <x v="2"/>
    <n v="68.349999999999994"/>
    <n v="44"/>
    <n v="24.35"/>
    <n v="1"/>
    <n v="0"/>
    <n v="4"/>
    <n v="5"/>
  </r>
  <r>
    <s v="SW-100257"/>
    <d v="2024-02-16T00:00:00"/>
    <x v="0"/>
    <s v="Q1"/>
    <x v="1"/>
    <x v="2"/>
    <x v="2"/>
    <x v="0"/>
    <x v="5"/>
    <s v="Bestseller Novel"/>
    <n v="1"/>
    <n v="45.28"/>
    <n v="0"/>
    <x v="2"/>
    <n v="45.28"/>
    <n v="32.81"/>
    <n v="12.47"/>
    <n v="1"/>
    <n v="0"/>
    <n v="3"/>
    <n v="4"/>
  </r>
  <r>
    <s v="SW-100258"/>
    <d v="2024-02-16T00:00:00"/>
    <x v="0"/>
    <s v="Q1"/>
    <x v="1"/>
    <x v="0"/>
    <x v="0"/>
    <x v="1"/>
    <x v="3"/>
    <s v="Cycling Helmet"/>
    <n v="3"/>
    <n v="85.42"/>
    <n v="0"/>
    <x v="2"/>
    <n v="256.26"/>
    <n v="176.88"/>
    <n v="79.38"/>
    <n v="1"/>
    <n v="0"/>
    <n v="4"/>
    <n v="5"/>
  </r>
  <r>
    <s v="SW-100259"/>
    <d v="2024-02-17T00:00:00"/>
    <x v="0"/>
    <s v="Q1"/>
    <x v="1"/>
    <x v="1"/>
    <x v="3"/>
    <x v="0"/>
    <x v="2"/>
    <s v="Storage Boxes"/>
    <n v="1"/>
    <n v="154.66"/>
    <n v="0"/>
    <x v="2"/>
    <n v="154.66"/>
    <n v="99.27"/>
    <n v="55.39"/>
    <n v="1"/>
    <n v="0"/>
    <n v="3"/>
    <n v="5"/>
  </r>
  <r>
    <s v="SW-100260"/>
    <d v="2024-02-17T00:00:00"/>
    <x v="0"/>
    <s v="Q1"/>
    <x v="1"/>
    <x v="0"/>
    <x v="1"/>
    <x v="0"/>
    <x v="1"/>
    <s v="Skin Care Bundle"/>
    <n v="1"/>
    <n v="92.54"/>
    <n v="0.15"/>
    <x v="1"/>
    <n v="78.66"/>
    <n v="45.39"/>
    <n v="33.270000000000003"/>
    <n v="1"/>
    <n v="0"/>
    <n v="8"/>
    <n v="4"/>
  </r>
  <r>
    <s v="SW-100261"/>
    <d v="2024-02-17T00:00:00"/>
    <x v="0"/>
    <s v="Q1"/>
    <x v="1"/>
    <x v="0"/>
    <x v="3"/>
    <x v="1"/>
    <x v="4"/>
    <s v="Smart Watch"/>
    <n v="1"/>
    <n v="216.08"/>
    <n v="0"/>
    <x v="2"/>
    <n v="216.08"/>
    <n v="173.85"/>
    <n v="42.23"/>
    <n v="1"/>
    <n v="0"/>
    <n v="3"/>
    <n v="5"/>
  </r>
  <r>
    <s v="SW-100262"/>
    <d v="2024-02-17T00:00:00"/>
    <x v="0"/>
    <s v="Q1"/>
    <x v="1"/>
    <x v="0"/>
    <x v="0"/>
    <x v="1"/>
    <x v="1"/>
    <s v="Perfume 100ml"/>
    <n v="1"/>
    <n v="54.56"/>
    <n v="0"/>
    <x v="2"/>
    <n v="54.56"/>
    <n v="27"/>
    <n v="27.56"/>
    <n v="1"/>
    <n v="0"/>
    <n v="5"/>
    <n v="4"/>
  </r>
  <r>
    <s v="SW-100263"/>
    <d v="2024-02-17T00:00:00"/>
    <x v="0"/>
    <s v="Q1"/>
    <x v="1"/>
    <x v="0"/>
    <x v="1"/>
    <x v="0"/>
    <x v="5"/>
    <s v="Board Game"/>
    <n v="1"/>
    <n v="57.92"/>
    <n v="0.15"/>
    <x v="1"/>
    <n v="49.23"/>
    <n v="41.68"/>
    <n v="7.55"/>
    <n v="1"/>
    <n v="0"/>
    <n v="6"/>
    <n v="3"/>
  </r>
  <r>
    <s v="SW-100264"/>
    <d v="2024-02-17T00:00:00"/>
    <x v="0"/>
    <s v="Q1"/>
    <x v="1"/>
    <x v="0"/>
    <x v="1"/>
    <x v="1"/>
    <x v="2"/>
    <s v="Coffee Maker"/>
    <n v="1"/>
    <n v="148.05000000000001"/>
    <n v="0.1"/>
    <x v="0"/>
    <n v="133.24"/>
    <n v="93.98"/>
    <n v="39.26"/>
    <n v="1"/>
    <n v="0"/>
    <n v="7"/>
    <n v="3"/>
  </r>
  <r>
    <s v="SW-100265"/>
    <d v="2024-02-17T00:00:00"/>
    <x v="0"/>
    <s v="Q1"/>
    <x v="1"/>
    <x v="2"/>
    <x v="0"/>
    <x v="1"/>
    <x v="2"/>
    <s v="Storage Boxes"/>
    <n v="1"/>
    <n v="154.66"/>
    <n v="0.05"/>
    <x v="0"/>
    <n v="146.93"/>
    <n v="106.26"/>
    <n v="40.67"/>
    <n v="1"/>
    <n v="0"/>
    <n v="4"/>
    <n v="4"/>
  </r>
  <r>
    <s v="SW-100266"/>
    <d v="2024-02-17T00:00:00"/>
    <x v="0"/>
    <s v="Q1"/>
    <x v="1"/>
    <x v="1"/>
    <x v="3"/>
    <x v="1"/>
    <x v="5"/>
    <s v="Board Game"/>
    <n v="1"/>
    <n v="57.92"/>
    <n v="0.1"/>
    <x v="0"/>
    <n v="52.13"/>
    <n v="40.39"/>
    <n v="11.74"/>
    <n v="1"/>
    <n v="0"/>
    <n v="3"/>
    <n v="4"/>
  </r>
  <r>
    <s v="SW-100267"/>
    <d v="2024-02-18T00:00:00"/>
    <x v="0"/>
    <s v="Q1"/>
    <x v="1"/>
    <x v="2"/>
    <x v="3"/>
    <x v="1"/>
    <x v="1"/>
    <s v="Skin Care Bundle"/>
    <n v="1"/>
    <n v="92.54"/>
    <n v="0.2"/>
    <x v="1"/>
    <n v="74.03"/>
    <n v="44.64"/>
    <n v="29.39"/>
    <n v="1"/>
    <n v="0"/>
    <n v="2"/>
    <n v="4"/>
  </r>
  <r>
    <s v="SW-100268"/>
    <d v="2024-02-18T00:00:00"/>
    <x v="0"/>
    <s v="Q1"/>
    <x v="1"/>
    <x v="1"/>
    <x v="0"/>
    <x v="1"/>
    <x v="4"/>
    <s v="Smart Watch"/>
    <n v="1"/>
    <n v="216.08"/>
    <n v="0.1"/>
    <x v="0"/>
    <n v="194.47"/>
    <n v="174.28"/>
    <n v="20.190000000000001"/>
    <n v="1"/>
    <n v="0"/>
    <n v="3"/>
    <n v="5"/>
  </r>
  <r>
    <s v="SW-100269"/>
    <d v="2024-02-18T00:00:00"/>
    <x v="0"/>
    <s v="Q1"/>
    <x v="1"/>
    <x v="0"/>
    <x v="2"/>
    <x v="0"/>
    <x v="4"/>
    <s v="Wireless Earbuds"/>
    <n v="1"/>
    <n v="588.41"/>
    <n v="0"/>
    <x v="2"/>
    <n v="588.41"/>
    <n v="452.94"/>
    <n v="135.47"/>
    <n v="1"/>
    <n v="0"/>
    <n v="5"/>
    <n v="4"/>
  </r>
  <r>
    <s v="SW-100270"/>
    <d v="2024-02-18T00:00:00"/>
    <x v="0"/>
    <s v="Q1"/>
    <x v="1"/>
    <x v="0"/>
    <x v="2"/>
    <x v="0"/>
    <x v="0"/>
    <s v="Sunglasses"/>
    <n v="3"/>
    <n v="104.94"/>
    <n v="0.25"/>
    <x v="3"/>
    <n v="236.12"/>
    <n v="173.16"/>
    <n v="62.96"/>
    <n v="1"/>
    <n v="0"/>
    <n v="5"/>
    <n v="5"/>
  </r>
  <r>
    <s v="SW-100271"/>
    <d v="2024-02-18T00:00:00"/>
    <x v="0"/>
    <s v="Q1"/>
    <x v="1"/>
    <x v="1"/>
    <x v="2"/>
    <x v="0"/>
    <x v="3"/>
    <s v="Fitness Tracker"/>
    <n v="1"/>
    <n v="74.459999999999994"/>
    <n v="0.05"/>
    <x v="0"/>
    <n v="70.739999999999995"/>
    <n v="52.02"/>
    <n v="18.72"/>
    <n v="1"/>
    <n v="0"/>
    <n v="3"/>
    <n v="5"/>
  </r>
  <r>
    <s v="SW-100272"/>
    <d v="2024-02-18T00:00:00"/>
    <x v="0"/>
    <s v="Q1"/>
    <x v="1"/>
    <x v="1"/>
    <x v="4"/>
    <x v="0"/>
    <x v="5"/>
    <s v="Story Book Set"/>
    <n v="2"/>
    <n v="10.76"/>
    <n v="0.05"/>
    <x v="0"/>
    <n v="20.440000000000001"/>
    <n v="15.66"/>
    <n v="4.78"/>
    <n v="1"/>
    <n v="0"/>
    <n v="6"/>
    <n v="4"/>
  </r>
  <r>
    <s v="SW-100273"/>
    <d v="2024-02-18T00:00:00"/>
    <x v="0"/>
    <s v="Q1"/>
    <x v="1"/>
    <x v="1"/>
    <x v="1"/>
    <x v="0"/>
    <x v="4"/>
    <s v="Tablet 10in"/>
    <n v="1"/>
    <n v="490.3"/>
    <n v="0.05"/>
    <x v="0"/>
    <n v="465.78"/>
    <n v="392.02"/>
    <n v="73.760000000000005"/>
    <n v="1"/>
    <n v="0"/>
    <n v="7"/>
    <n v="4"/>
  </r>
  <r>
    <s v="SW-100274"/>
    <d v="2024-02-18T00:00:00"/>
    <x v="0"/>
    <s v="Q1"/>
    <x v="1"/>
    <x v="0"/>
    <x v="2"/>
    <x v="0"/>
    <x v="0"/>
    <s v="Cotton T-Shirt"/>
    <n v="3"/>
    <n v="19.41"/>
    <n v="0.15"/>
    <x v="1"/>
    <n v="49.5"/>
    <n v="31.42"/>
    <n v="18.079999999999998"/>
    <n v="1"/>
    <n v="0"/>
    <n v="3"/>
    <n v="4"/>
  </r>
  <r>
    <s v="SW-100275"/>
    <d v="2024-02-20T00:00:00"/>
    <x v="0"/>
    <s v="Q1"/>
    <x v="1"/>
    <x v="0"/>
    <x v="2"/>
    <x v="1"/>
    <x v="1"/>
    <s v="Perfume 100ml"/>
    <n v="1"/>
    <n v="54.56"/>
    <n v="0.2"/>
    <x v="1"/>
    <n v="43.65"/>
    <n v="26.69"/>
    <n v="16.96"/>
    <n v="1"/>
    <n v="1"/>
    <n v="4"/>
    <n v="3"/>
  </r>
  <r>
    <s v="SW-100276"/>
    <d v="2024-02-20T00:00:00"/>
    <x v="0"/>
    <s v="Q1"/>
    <x v="1"/>
    <x v="2"/>
    <x v="2"/>
    <x v="0"/>
    <x v="0"/>
    <s v="Cotton T-Shirt"/>
    <n v="3"/>
    <n v="19.41"/>
    <n v="0"/>
    <x v="2"/>
    <n v="58.23"/>
    <n v="31.62"/>
    <n v="26.61"/>
    <n v="1"/>
    <n v="1"/>
    <n v="3"/>
    <n v="4"/>
  </r>
  <r>
    <s v="SW-100277"/>
    <d v="2024-02-20T00:00:00"/>
    <x v="0"/>
    <s v="Q1"/>
    <x v="1"/>
    <x v="1"/>
    <x v="2"/>
    <x v="1"/>
    <x v="0"/>
    <s v="Running Sneakers"/>
    <n v="2"/>
    <n v="94.85"/>
    <n v="0.2"/>
    <x v="1"/>
    <n v="151.76"/>
    <n v="101.62"/>
    <n v="50.14"/>
    <n v="1"/>
    <n v="0"/>
    <n v="3"/>
    <n v="4"/>
  </r>
  <r>
    <s v="SW-100278"/>
    <d v="2024-02-21T00:00:00"/>
    <x v="0"/>
    <s v="Q1"/>
    <x v="1"/>
    <x v="2"/>
    <x v="0"/>
    <x v="0"/>
    <x v="4"/>
    <s v="Wireless Earbuds"/>
    <n v="2"/>
    <n v="588.41"/>
    <n v="0.05"/>
    <x v="0"/>
    <n v="1117.98"/>
    <n v="981.4"/>
    <n v="136.58000000000001"/>
    <n v="1"/>
    <n v="0"/>
    <n v="4"/>
    <n v="5"/>
  </r>
  <r>
    <s v="SW-100279"/>
    <d v="2024-02-21T00:00:00"/>
    <x v="0"/>
    <s v="Q1"/>
    <x v="1"/>
    <x v="0"/>
    <x v="3"/>
    <x v="0"/>
    <x v="5"/>
    <s v="Building Blocks"/>
    <n v="3"/>
    <n v="48.86"/>
    <n v="0.05"/>
    <x v="0"/>
    <n v="139.25"/>
    <n v="102.08"/>
    <n v="37.17"/>
    <n v="1"/>
    <n v="0"/>
    <n v="4"/>
    <n v="4"/>
  </r>
  <r>
    <s v="SW-100280"/>
    <d v="2024-02-21T00:00:00"/>
    <x v="0"/>
    <s v="Q1"/>
    <x v="1"/>
    <x v="1"/>
    <x v="3"/>
    <x v="0"/>
    <x v="4"/>
    <s v="Tablet 10in"/>
    <n v="2"/>
    <n v="490.3"/>
    <n v="0"/>
    <x v="2"/>
    <n v="980.6"/>
    <n v="767.06"/>
    <n v="213.54"/>
    <n v="1"/>
    <n v="0"/>
    <n v="3"/>
    <n v="4"/>
  </r>
  <r>
    <s v="SW-100281"/>
    <d v="2024-02-21T00:00:00"/>
    <x v="0"/>
    <s v="Q1"/>
    <x v="1"/>
    <x v="0"/>
    <x v="4"/>
    <x v="0"/>
    <x v="3"/>
    <s v="Dumbbell Set"/>
    <n v="1"/>
    <n v="198.42"/>
    <n v="0.15"/>
    <x v="1"/>
    <n v="168.66"/>
    <n v="129.86000000000001"/>
    <n v="38.799999999999997"/>
    <n v="1"/>
    <n v="0"/>
    <n v="6"/>
    <n v="3"/>
  </r>
  <r>
    <s v="SW-100282"/>
    <d v="2024-02-21T00:00:00"/>
    <x v="0"/>
    <s v="Q1"/>
    <x v="1"/>
    <x v="1"/>
    <x v="3"/>
    <x v="1"/>
    <x v="2"/>
    <s v="Desk Lamp"/>
    <n v="3"/>
    <n v="117.63"/>
    <n v="0"/>
    <x v="2"/>
    <n v="352.89"/>
    <n v="235.65"/>
    <n v="117.24"/>
    <n v="1"/>
    <n v="0"/>
    <n v="2"/>
    <n v="4"/>
  </r>
  <r>
    <s v="SW-100283"/>
    <d v="2024-02-21T00:00:00"/>
    <x v="0"/>
    <s v="Q1"/>
    <x v="1"/>
    <x v="0"/>
    <x v="3"/>
    <x v="1"/>
    <x v="0"/>
    <s v="Cotton T-Shirt"/>
    <n v="1"/>
    <n v="19.41"/>
    <n v="0.05"/>
    <x v="0"/>
    <n v="18.440000000000001"/>
    <n v="10.47"/>
    <n v="7.97"/>
    <n v="1"/>
    <n v="0"/>
    <n v="4"/>
    <n v="5"/>
  </r>
  <r>
    <s v="SW-100284"/>
    <d v="2024-02-21T00:00:00"/>
    <x v="0"/>
    <s v="Q1"/>
    <x v="1"/>
    <x v="1"/>
    <x v="2"/>
    <x v="1"/>
    <x v="1"/>
    <s v="Face Serum"/>
    <n v="1"/>
    <n v="33.479999999999997"/>
    <n v="0"/>
    <x v="2"/>
    <n v="33.479999999999997"/>
    <n v="16.46"/>
    <n v="17.02"/>
    <n v="1"/>
    <n v="0"/>
    <n v="3"/>
    <n v="4"/>
  </r>
  <r>
    <s v="SW-100285"/>
    <d v="2024-02-22T00:00:00"/>
    <x v="0"/>
    <s v="Q1"/>
    <x v="1"/>
    <x v="0"/>
    <x v="3"/>
    <x v="1"/>
    <x v="4"/>
    <s v="Wireless Earbuds"/>
    <n v="1"/>
    <n v="588.41"/>
    <n v="0.2"/>
    <x v="1"/>
    <n v="470.73"/>
    <n v="465.28"/>
    <n v="5.45"/>
    <n v="1"/>
    <n v="0"/>
    <n v="3"/>
    <n v="4"/>
  </r>
  <r>
    <s v="SW-100286"/>
    <d v="2024-02-22T00:00:00"/>
    <x v="0"/>
    <s v="Q1"/>
    <x v="1"/>
    <x v="0"/>
    <x v="3"/>
    <x v="0"/>
    <x v="0"/>
    <s v="Denim Jacket"/>
    <n v="1"/>
    <n v="78.510000000000005"/>
    <n v="0.05"/>
    <x v="0"/>
    <n v="74.58"/>
    <n v="41.56"/>
    <n v="33.020000000000003"/>
    <n v="1"/>
    <n v="0"/>
    <n v="2"/>
    <n v="4"/>
  </r>
  <r>
    <s v="SW-100287"/>
    <d v="2024-02-22T00:00:00"/>
    <x v="0"/>
    <s v="Q1"/>
    <x v="1"/>
    <x v="0"/>
    <x v="3"/>
    <x v="0"/>
    <x v="1"/>
    <s v="Makeup Kit"/>
    <n v="2"/>
    <n v="74.3"/>
    <n v="0.15"/>
    <x v="1"/>
    <n v="126.31"/>
    <n v="71.08"/>
    <n v="55.23"/>
    <n v="1"/>
    <n v="0"/>
    <n v="3"/>
    <n v="5"/>
  </r>
  <r>
    <s v="SW-100288"/>
    <d v="2024-02-23T00:00:00"/>
    <x v="0"/>
    <s v="Q1"/>
    <x v="1"/>
    <x v="0"/>
    <x v="4"/>
    <x v="0"/>
    <x v="0"/>
    <s v="Summer Dress"/>
    <n v="1"/>
    <n v="33.99"/>
    <n v="0"/>
    <x v="2"/>
    <n v="33.99"/>
    <n v="18.190000000000001"/>
    <n v="15.8"/>
    <n v="1"/>
    <n v="1"/>
    <n v="6"/>
    <n v="2"/>
  </r>
  <r>
    <s v="SW-100289"/>
    <d v="2024-02-23T00:00:00"/>
    <x v="0"/>
    <s v="Q1"/>
    <x v="1"/>
    <x v="0"/>
    <x v="3"/>
    <x v="0"/>
    <x v="5"/>
    <s v="Bestseller Novel"/>
    <n v="2"/>
    <n v="45.28"/>
    <n v="0.05"/>
    <x v="0"/>
    <n v="86.03"/>
    <n v="62.59"/>
    <n v="23.44"/>
    <n v="1"/>
    <n v="0"/>
    <n v="2"/>
    <n v="5"/>
  </r>
  <r>
    <s v="SW-100290"/>
    <d v="2024-02-23T00:00:00"/>
    <x v="0"/>
    <s v="Q1"/>
    <x v="1"/>
    <x v="1"/>
    <x v="2"/>
    <x v="1"/>
    <x v="2"/>
    <s v="Bed Sheet Set"/>
    <n v="3"/>
    <n v="90.75"/>
    <n v="0.05"/>
    <x v="0"/>
    <n v="258.64"/>
    <n v="185.5"/>
    <n v="73.14"/>
    <n v="1"/>
    <n v="0"/>
    <n v="3"/>
    <n v="4"/>
  </r>
  <r>
    <s v="SW-100291"/>
    <d v="2024-02-23T00:00:00"/>
    <x v="0"/>
    <s v="Q1"/>
    <x v="1"/>
    <x v="0"/>
    <x v="0"/>
    <x v="0"/>
    <x v="1"/>
    <s v="Makeup Kit"/>
    <n v="2"/>
    <n v="74.3"/>
    <n v="0.1"/>
    <x v="0"/>
    <n v="133.74"/>
    <n v="69.73"/>
    <n v="64.010000000000005"/>
    <n v="1"/>
    <n v="0"/>
    <n v="3"/>
    <n v="4"/>
  </r>
  <r>
    <s v="SW-100292"/>
    <d v="2024-02-23T00:00:00"/>
    <x v="0"/>
    <s v="Q1"/>
    <x v="1"/>
    <x v="0"/>
    <x v="3"/>
    <x v="1"/>
    <x v="4"/>
    <s v="Tablet 10in"/>
    <n v="1"/>
    <n v="490.3"/>
    <n v="0"/>
    <x v="2"/>
    <n v="490.3"/>
    <n v="400.69"/>
    <n v="89.61"/>
    <n v="1"/>
    <n v="0"/>
    <n v="4"/>
    <n v="4"/>
  </r>
  <r>
    <s v="SW-100293"/>
    <d v="2024-02-23T00:00:00"/>
    <x v="0"/>
    <s v="Q1"/>
    <x v="1"/>
    <x v="1"/>
    <x v="1"/>
    <x v="1"/>
    <x v="3"/>
    <s v="Camping Tent"/>
    <n v="4"/>
    <n v="83.06"/>
    <n v="0.2"/>
    <x v="1"/>
    <n v="265.79000000000002"/>
    <n v="222.28"/>
    <n v="43.51"/>
    <n v="1"/>
    <n v="0"/>
    <n v="6"/>
    <n v="5"/>
  </r>
  <r>
    <s v="SW-100294"/>
    <d v="2024-02-23T00:00:00"/>
    <x v="0"/>
    <s v="Q1"/>
    <x v="1"/>
    <x v="0"/>
    <x v="4"/>
    <x v="0"/>
    <x v="2"/>
    <s v="Desk Lamp"/>
    <n v="3"/>
    <n v="117.63"/>
    <n v="0.1"/>
    <x v="0"/>
    <n v="317.60000000000002"/>
    <n v="240.16"/>
    <n v="77.44"/>
    <n v="1"/>
    <n v="0"/>
    <n v="9"/>
    <n v="3"/>
  </r>
  <r>
    <s v="SW-100295"/>
    <d v="2024-02-24T00:00:00"/>
    <x v="0"/>
    <s v="Q1"/>
    <x v="1"/>
    <x v="0"/>
    <x v="0"/>
    <x v="1"/>
    <x v="2"/>
    <s v="Bed Sheet Set"/>
    <n v="1"/>
    <n v="90.75"/>
    <n v="0.15"/>
    <x v="1"/>
    <n v="77.14"/>
    <n v="60.89"/>
    <n v="16.25"/>
    <n v="1"/>
    <n v="0"/>
    <n v="4"/>
    <n v="4"/>
  </r>
  <r>
    <s v="SW-100296"/>
    <d v="2024-02-24T00:00:00"/>
    <x v="0"/>
    <s v="Q1"/>
    <x v="1"/>
    <x v="0"/>
    <x v="2"/>
    <x v="1"/>
    <x v="4"/>
    <s v="Wireless Earbuds"/>
    <n v="1"/>
    <n v="588.41"/>
    <n v="0.15"/>
    <x v="1"/>
    <n v="500.15"/>
    <n v="437.71"/>
    <n v="62.44"/>
    <n v="1"/>
    <n v="1"/>
    <n v="4"/>
    <n v="3"/>
  </r>
  <r>
    <s v="SW-100297"/>
    <d v="2024-02-25T00:00:00"/>
    <x v="0"/>
    <s v="Q1"/>
    <x v="1"/>
    <x v="0"/>
    <x v="0"/>
    <x v="1"/>
    <x v="2"/>
    <s v="Cookware Set"/>
    <n v="3"/>
    <n v="233.81"/>
    <n v="0"/>
    <x v="2"/>
    <n v="701.43"/>
    <n v="496.62"/>
    <n v="204.81"/>
    <n v="1"/>
    <n v="0"/>
    <n v="4"/>
    <n v="4"/>
  </r>
  <r>
    <s v="SW-100298"/>
    <d v="2024-02-25T00:00:00"/>
    <x v="0"/>
    <s v="Q1"/>
    <x v="1"/>
    <x v="1"/>
    <x v="1"/>
    <x v="1"/>
    <x v="0"/>
    <s v="Leather Handbag"/>
    <n v="1"/>
    <n v="138.5"/>
    <n v="0"/>
    <x v="2"/>
    <n v="138.5"/>
    <n v="74.45"/>
    <n v="64.05"/>
    <n v="1"/>
    <n v="0"/>
    <n v="5"/>
    <n v="4"/>
  </r>
  <r>
    <s v="SW-100299"/>
    <d v="2024-02-25T00:00:00"/>
    <x v="0"/>
    <s v="Q1"/>
    <x v="1"/>
    <x v="0"/>
    <x v="0"/>
    <x v="0"/>
    <x v="3"/>
    <s v="Dumbbell Set"/>
    <n v="1"/>
    <n v="198.42"/>
    <n v="0"/>
    <x v="2"/>
    <n v="198.42"/>
    <n v="135.46"/>
    <n v="62.96"/>
    <n v="1"/>
    <n v="0"/>
    <n v="9"/>
    <n v="3"/>
  </r>
  <r>
    <s v="SW-100300"/>
    <d v="2024-02-25T00:00:00"/>
    <x v="0"/>
    <s v="Q1"/>
    <x v="1"/>
    <x v="1"/>
    <x v="3"/>
    <x v="0"/>
    <x v="4"/>
    <s v="4K Action Camera"/>
    <n v="1"/>
    <n v="636.09"/>
    <n v="0.15"/>
    <x v="1"/>
    <n v="540.67999999999995"/>
    <n v="480.17"/>
    <n v="60.51"/>
    <n v="1"/>
    <n v="0"/>
    <n v="3"/>
    <n v="4"/>
  </r>
  <r>
    <s v="SW-100301"/>
    <d v="2024-02-25T00:00:00"/>
    <x v="0"/>
    <s v="Q1"/>
    <x v="1"/>
    <x v="1"/>
    <x v="1"/>
    <x v="1"/>
    <x v="5"/>
    <s v="Board Game"/>
    <n v="1"/>
    <n v="57.92"/>
    <n v="0.15"/>
    <x v="1"/>
    <n v="49.23"/>
    <n v="42.09"/>
    <n v="7.14"/>
    <n v="1"/>
    <n v="0"/>
    <n v="7"/>
    <n v="3"/>
  </r>
  <r>
    <s v="SW-100302"/>
    <d v="2024-02-25T00:00:00"/>
    <x v="0"/>
    <s v="Q1"/>
    <x v="1"/>
    <x v="0"/>
    <x v="2"/>
    <x v="1"/>
    <x v="3"/>
    <s v="Dumbbell Set"/>
    <n v="1"/>
    <n v="198.42"/>
    <n v="0.3"/>
    <x v="3"/>
    <n v="138.88999999999999"/>
    <n v="137.88999999999999"/>
    <n v="1"/>
    <n v="1"/>
    <n v="0"/>
    <n v="4"/>
    <n v="3"/>
  </r>
  <r>
    <s v="SW-100303"/>
    <d v="2024-02-25T00:00:00"/>
    <x v="0"/>
    <s v="Q1"/>
    <x v="1"/>
    <x v="0"/>
    <x v="1"/>
    <x v="0"/>
    <x v="2"/>
    <s v="Desk Lamp"/>
    <n v="1"/>
    <n v="117.63"/>
    <n v="0.05"/>
    <x v="0"/>
    <n v="111.75"/>
    <n v="76.64"/>
    <n v="35.11"/>
    <n v="1"/>
    <n v="0"/>
    <n v="5"/>
    <n v="5"/>
  </r>
  <r>
    <s v="SW-100304"/>
    <d v="2024-02-25T00:00:00"/>
    <x v="0"/>
    <s v="Q1"/>
    <x v="1"/>
    <x v="1"/>
    <x v="0"/>
    <x v="1"/>
    <x v="0"/>
    <s v="Running Sneakers"/>
    <n v="1"/>
    <n v="94.85"/>
    <n v="0.1"/>
    <x v="0"/>
    <n v="85.36"/>
    <n v="52.98"/>
    <n v="32.380000000000003"/>
    <n v="1"/>
    <n v="0"/>
    <n v="6"/>
    <n v="4"/>
  </r>
  <r>
    <s v="SW-100305"/>
    <d v="2024-02-25T00:00:00"/>
    <x v="0"/>
    <s v="Q1"/>
    <x v="1"/>
    <x v="0"/>
    <x v="3"/>
    <x v="0"/>
    <x v="1"/>
    <s v="Perfume 100ml"/>
    <n v="1"/>
    <n v="54.56"/>
    <n v="0"/>
    <x v="2"/>
    <n v="54.56"/>
    <n v="26.56"/>
    <n v="28"/>
    <n v="1"/>
    <n v="0"/>
    <n v="2"/>
    <n v="5"/>
  </r>
  <r>
    <s v="SW-100306"/>
    <d v="2024-02-25T00:00:00"/>
    <x v="0"/>
    <s v="Q1"/>
    <x v="1"/>
    <x v="0"/>
    <x v="0"/>
    <x v="1"/>
    <x v="4"/>
    <s v="4K Action Camera"/>
    <n v="1"/>
    <n v="636.09"/>
    <n v="0.05"/>
    <x v="0"/>
    <n v="604.29"/>
    <n v="502.23"/>
    <n v="102.06"/>
    <n v="1"/>
    <n v="0"/>
    <n v="6"/>
    <n v="3"/>
  </r>
  <r>
    <s v="SW-100307"/>
    <d v="2024-02-26T00:00:00"/>
    <x v="0"/>
    <s v="Q1"/>
    <x v="1"/>
    <x v="2"/>
    <x v="4"/>
    <x v="1"/>
    <x v="0"/>
    <s v="Leather Handbag"/>
    <n v="2"/>
    <n v="138.5"/>
    <n v="0.15"/>
    <x v="1"/>
    <n v="235.45"/>
    <n v="154.69"/>
    <n v="80.760000000000005"/>
    <n v="1"/>
    <n v="1"/>
    <n v="5"/>
    <n v="2"/>
  </r>
  <r>
    <s v="SW-100308"/>
    <d v="2024-02-26T00:00:00"/>
    <x v="0"/>
    <s v="Q1"/>
    <x v="1"/>
    <x v="0"/>
    <x v="2"/>
    <x v="1"/>
    <x v="0"/>
    <s v="Leather Handbag"/>
    <n v="1"/>
    <n v="138.5"/>
    <n v="0"/>
    <x v="2"/>
    <n v="138.5"/>
    <n v="75.37"/>
    <n v="63.13"/>
    <n v="1"/>
    <n v="1"/>
    <n v="3"/>
    <n v="3"/>
  </r>
  <r>
    <s v="SW-100309"/>
    <d v="2024-02-26T00:00:00"/>
    <x v="0"/>
    <s v="Q1"/>
    <x v="1"/>
    <x v="1"/>
    <x v="0"/>
    <x v="1"/>
    <x v="2"/>
    <s v="Desk Lamp"/>
    <n v="1"/>
    <n v="117.63"/>
    <n v="0.15"/>
    <x v="1"/>
    <n v="99.99"/>
    <n v="72.92"/>
    <n v="27.07"/>
    <n v="1"/>
    <n v="0"/>
    <n v="7"/>
    <n v="2"/>
  </r>
  <r>
    <s v="SW-100310"/>
    <d v="2024-02-26T00:00:00"/>
    <x v="0"/>
    <s v="Q1"/>
    <x v="1"/>
    <x v="1"/>
    <x v="1"/>
    <x v="0"/>
    <x v="0"/>
    <s v="Running Sneakers"/>
    <n v="1"/>
    <n v="94.85"/>
    <n v="0"/>
    <x v="2"/>
    <n v="94.85"/>
    <n v="50.79"/>
    <n v="44.06"/>
    <n v="1"/>
    <n v="0"/>
    <n v="7"/>
    <n v="4"/>
  </r>
  <r>
    <s v="SW-100311"/>
    <d v="2024-02-27T00:00:00"/>
    <x v="0"/>
    <s v="Q1"/>
    <x v="1"/>
    <x v="1"/>
    <x v="3"/>
    <x v="1"/>
    <x v="3"/>
    <s v="Dumbbell Set"/>
    <n v="1"/>
    <n v="198.42"/>
    <n v="0"/>
    <x v="2"/>
    <n v="198.42"/>
    <n v="128.88"/>
    <n v="69.540000000000006"/>
    <n v="1"/>
    <n v="0"/>
    <n v="3"/>
    <n v="5"/>
  </r>
  <r>
    <s v="SW-100312"/>
    <d v="2024-02-27T00:00:00"/>
    <x v="0"/>
    <s v="Q1"/>
    <x v="1"/>
    <x v="0"/>
    <x v="0"/>
    <x v="1"/>
    <x v="2"/>
    <s v="Air Fryer"/>
    <n v="2"/>
    <n v="68.349999999999994"/>
    <n v="0.2"/>
    <x v="1"/>
    <n v="109.36"/>
    <n v="89.72"/>
    <n v="19.64"/>
    <n v="1"/>
    <n v="0"/>
    <n v="4"/>
    <n v="4"/>
  </r>
  <r>
    <s v="SW-100313"/>
    <d v="2024-02-27T00:00:00"/>
    <x v="0"/>
    <s v="Q1"/>
    <x v="1"/>
    <x v="0"/>
    <x v="3"/>
    <x v="1"/>
    <x v="0"/>
    <s v="Cotton T-Shirt"/>
    <n v="2"/>
    <n v="19.41"/>
    <n v="0.05"/>
    <x v="0"/>
    <n v="36.880000000000003"/>
    <n v="20.59"/>
    <n v="16.29"/>
    <n v="1"/>
    <n v="0"/>
    <n v="4"/>
    <n v="3"/>
  </r>
  <r>
    <s v="SW-100314"/>
    <d v="2024-02-27T00:00:00"/>
    <x v="0"/>
    <s v="Q1"/>
    <x v="1"/>
    <x v="1"/>
    <x v="2"/>
    <x v="0"/>
    <x v="0"/>
    <s v="Denim Jacket"/>
    <n v="3"/>
    <n v="78.510000000000005"/>
    <n v="0.15"/>
    <x v="1"/>
    <n v="200.2"/>
    <n v="124.7"/>
    <n v="75.5"/>
    <n v="1"/>
    <n v="0"/>
    <n v="3"/>
    <n v="4"/>
  </r>
  <r>
    <s v="SW-100315"/>
    <d v="2024-02-28T00:00:00"/>
    <x v="0"/>
    <s v="Q1"/>
    <x v="1"/>
    <x v="2"/>
    <x v="2"/>
    <x v="0"/>
    <x v="1"/>
    <s v="Skin Care Bundle"/>
    <n v="1"/>
    <n v="92.54"/>
    <n v="0"/>
    <x v="2"/>
    <n v="92.54"/>
    <n v="42"/>
    <n v="50.54"/>
    <n v="1"/>
    <n v="0"/>
    <n v="4"/>
    <n v="4"/>
  </r>
  <r>
    <s v="SW-100316"/>
    <d v="2024-02-28T00:00:00"/>
    <x v="0"/>
    <s v="Q1"/>
    <x v="1"/>
    <x v="0"/>
    <x v="3"/>
    <x v="0"/>
    <x v="4"/>
    <s v="Tablet 10in"/>
    <n v="2"/>
    <n v="490.3"/>
    <n v="0"/>
    <x v="2"/>
    <n v="980.6"/>
    <n v="794.56"/>
    <n v="186.04"/>
    <n v="1"/>
    <n v="0"/>
    <n v="4"/>
    <n v="4"/>
  </r>
  <r>
    <s v="SW-100317"/>
    <d v="2024-02-29T00:00:00"/>
    <x v="0"/>
    <s v="Q1"/>
    <x v="1"/>
    <x v="0"/>
    <x v="2"/>
    <x v="0"/>
    <x v="1"/>
    <s v="Face Serum"/>
    <n v="3"/>
    <n v="33.479999999999997"/>
    <n v="0"/>
    <x v="2"/>
    <n v="100.44"/>
    <n v="45.32"/>
    <n v="55.12"/>
    <n v="1"/>
    <n v="0"/>
    <n v="6"/>
    <n v="4"/>
  </r>
  <r>
    <s v="SW-100318"/>
    <d v="2024-02-29T00:00:00"/>
    <x v="0"/>
    <s v="Q1"/>
    <x v="1"/>
    <x v="1"/>
    <x v="3"/>
    <x v="1"/>
    <x v="2"/>
    <s v="Air Fryer"/>
    <n v="1"/>
    <n v="68.349999999999994"/>
    <n v="0.1"/>
    <x v="0"/>
    <n v="61.51"/>
    <n v="43.47"/>
    <n v="18.04"/>
    <n v="1"/>
    <n v="0"/>
    <n v="2"/>
    <n v="5"/>
  </r>
  <r>
    <s v="SW-100319"/>
    <d v="2024-02-29T00:00:00"/>
    <x v="0"/>
    <s v="Q1"/>
    <x v="1"/>
    <x v="1"/>
    <x v="0"/>
    <x v="1"/>
    <x v="1"/>
    <s v="Face Serum"/>
    <n v="1"/>
    <n v="33.479999999999997"/>
    <n v="0.3"/>
    <x v="3"/>
    <n v="23.44"/>
    <n v="14.78"/>
    <n v="8.66"/>
    <n v="1"/>
    <n v="0"/>
    <n v="4"/>
    <n v="4"/>
  </r>
  <r>
    <s v="SW-100320"/>
    <d v="2024-02-29T00:00:00"/>
    <x v="0"/>
    <s v="Q1"/>
    <x v="1"/>
    <x v="0"/>
    <x v="3"/>
    <x v="1"/>
    <x v="4"/>
    <s v="4K Action Camera"/>
    <n v="1"/>
    <n v="636.09"/>
    <n v="0.15"/>
    <x v="1"/>
    <n v="540.67999999999995"/>
    <n v="512.11"/>
    <n v="28.57"/>
    <n v="1"/>
    <n v="0"/>
    <n v="3"/>
    <n v="5"/>
  </r>
  <r>
    <s v="SW-100321"/>
    <d v="2024-02-29T00:00:00"/>
    <x v="0"/>
    <s v="Q1"/>
    <x v="1"/>
    <x v="0"/>
    <x v="0"/>
    <x v="1"/>
    <x v="4"/>
    <s v="Bluetooth Speaker"/>
    <n v="2"/>
    <n v="177.65"/>
    <n v="0.25"/>
    <x v="3"/>
    <n v="266.48"/>
    <n v="290.02999999999997"/>
    <n v="-23.55"/>
    <n v="1"/>
    <n v="0"/>
    <n v="4"/>
    <n v="5"/>
  </r>
  <r>
    <s v="SW-100322"/>
    <d v="2024-02-29T00:00:00"/>
    <x v="0"/>
    <s v="Q1"/>
    <x v="1"/>
    <x v="0"/>
    <x v="0"/>
    <x v="1"/>
    <x v="4"/>
    <s v="Power Bank"/>
    <n v="1"/>
    <n v="508.8"/>
    <n v="0.05"/>
    <x v="0"/>
    <n v="483.36"/>
    <n v="438.66"/>
    <n v="44.7"/>
    <n v="1"/>
    <n v="0"/>
    <n v="5"/>
    <n v="5"/>
  </r>
  <r>
    <s v="SW-100323"/>
    <d v="2024-02-29T00:00:00"/>
    <x v="0"/>
    <s v="Q1"/>
    <x v="1"/>
    <x v="2"/>
    <x v="0"/>
    <x v="1"/>
    <x v="3"/>
    <s v="Cycling Helmet"/>
    <n v="2"/>
    <n v="85.42"/>
    <n v="0"/>
    <x v="2"/>
    <n v="170.84"/>
    <n v="114.5"/>
    <n v="56.34"/>
    <n v="1"/>
    <n v="0"/>
    <n v="3"/>
    <n v="3"/>
  </r>
  <r>
    <s v="SW-100324"/>
    <d v="2024-02-29T00:00:00"/>
    <x v="0"/>
    <s v="Q1"/>
    <x v="1"/>
    <x v="0"/>
    <x v="2"/>
    <x v="0"/>
    <x v="1"/>
    <s v="Hair Dryer"/>
    <n v="2"/>
    <n v="33.18"/>
    <n v="0"/>
    <x v="2"/>
    <n v="66.36"/>
    <n v="33.340000000000003"/>
    <n v="33.020000000000003"/>
    <n v="1"/>
    <n v="0"/>
    <n v="7"/>
    <n v="3"/>
  </r>
  <r>
    <s v="SW-100325"/>
    <d v="2024-03-01T00:00:00"/>
    <x v="0"/>
    <s v="Q1"/>
    <x v="2"/>
    <x v="1"/>
    <x v="4"/>
    <x v="0"/>
    <x v="4"/>
    <s v="Power Bank"/>
    <n v="1"/>
    <n v="508.8"/>
    <n v="0"/>
    <x v="2"/>
    <n v="508.8"/>
    <n v="406.51"/>
    <n v="102.29"/>
    <n v="1"/>
    <n v="1"/>
    <n v="5"/>
    <n v="4"/>
  </r>
  <r>
    <s v="SW-100326"/>
    <d v="2024-03-01T00:00:00"/>
    <x v="0"/>
    <s v="Q1"/>
    <x v="2"/>
    <x v="0"/>
    <x v="4"/>
    <x v="0"/>
    <x v="0"/>
    <s v="Sunglasses"/>
    <n v="2"/>
    <n v="104.94"/>
    <n v="0.1"/>
    <x v="0"/>
    <n v="188.89"/>
    <n v="110.73"/>
    <n v="78.16"/>
    <n v="1"/>
    <n v="0"/>
    <n v="5"/>
    <n v="4"/>
  </r>
  <r>
    <s v="SW-100327"/>
    <d v="2024-03-01T00:00:00"/>
    <x v="0"/>
    <s v="Q1"/>
    <x v="2"/>
    <x v="0"/>
    <x v="4"/>
    <x v="0"/>
    <x v="4"/>
    <s v="Power Bank"/>
    <n v="3"/>
    <n v="508.8"/>
    <n v="0"/>
    <x v="2"/>
    <n v="1526.4"/>
    <n v="1260.51"/>
    <n v="265.89"/>
    <n v="1"/>
    <n v="0"/>
    <n v="6"/>
    <n v="3"/>
  </r>
  <r>
    <s v="SW-100328"/>
    <d v="2024-03-01T00:00:00"/>
    <x v="0"/>
    <s v="Q1"/>
    <x v="2"/>
    <x v="0"/>
    <x v="3"/>
    <x v="1"/>
    <x v="2"/>
    <s v="Bed Sheet Set"/>
    <n v="2"/>
    <n v="90.75"/>
    <n v="0"/>
    <x v="2"/>
    <n v="181.5"/>
    <n v="121.25"/>
    <n v="60.25"/>
    <n v="1"/>
    <n v="0"/>
    <n v="2"/>
    <n v="5"/>
  </r>
  <r>
    <s v="SW-100329"/>
    <d v="2024-03-01T00:00:00"/>
    <x v="0"/>
    <s v="Q1"/>
    <x v="2"/>
    <x v="1"/>
    <x v="1"/>
    <x v="1"/>
    <x v="4"/>
    <s v="Bluetooth Speaker"/>
    <n v="1"/>
    <n v="177.65"/>
    <n v="0.2"/>
    <x v="1"/>
    <n v="142.12"/>
    <n v="143.32"/>
    <n v="-1.2"/>
    <n v="1"/>
    <n v="0"/>
    <n v="5"/>
    <n v="4"/>
  </r>
  <r>
    <s v="SW-100330"/>
    <d v="2024-03-01T00:00:00"/>
    <x v="0"/>
    <s v="Q1"/>
    <x v="2"/>
    <x v="1"/>
    <x v="2"/>
    <x v="1"/>
    <x v="0"/>
    <s v="Denim Jacket"/>
    <n v="1"/>
    <n v="78.510000000000005"/>
    <n v="0"/>
    <x v="2"/>
    <n v="78.510000000000005"/>
    <n v="41.52"/>
    <n v="36.99"/>
    <n v="1"/>
    <n v="1"/>
    <n v="5"/>
    <n v="3"/>
  </r>
  <r>
    <s v="SW-100331"/>
    <d v="2024-03-01T00:00:00"/>
    <x v="0"/>
    <s v="Q1"/>
    <x v="2"/>
    <x v="0"/>
    <x v="0"/>
    <x v="0"/>
    <x v="0"/>
    <s v="Cotton T-Shirt"/>
    <n v="1"/>
    <n v="19.41"/>
    <n v="0"/>
    <x v="2"/>
    <n v="19.41"/>
    <n v="10.62"/>
    <n v="8.7899999999999991"/>
    <n v="1"/>
    <n v="0"/>
    <n v="3"/>
    <n v="4"/>
  </r>
  <r>
    <s v="SW-100332"/>
    <d v="2024-03-01T00:00:00"/>
    <x v="0"/>
    <s v="Q1"/>
    <x v="2"/>
    <x v="1"/>
    <x v="3"/>
    <x v="1"/>
    <x v="5"/>
    <s v="Building Blocks"/>
    <n v="2"/>
    <n v="48.86"/>
    <n v="0.1"/>
    <x v="0"/>
    <n v="87.95"/>
    <n v="70.430000000000007"/>
    <n v="17.52"/>
    <n v="1"/>
    <n v="0"/>
    <n v="3"/>
    <n v="5"/>
  </r>
  <r>
    <s v="SW-100333"/>
    <d v="2024-03-01T00:00:00"/>
    <x v="0"/>
    <s v="Q1"/>
    <x v="2"/>
    <x v="0"/>
    <x v="1"/>
    <x v="1"/>
    <x v="5"/>
    <s v="Story Book Set"/>
    <n v="1"/>
    <n v="10.76"/>
    <n v="0"/>
    <x v="2"/>
    <n v="10.76"/>
    <n v="8.0500000000000007"/>
    <n v="2.71"/>
    <n v="1"/>
    <n v="0"/>
    <n v="9"/>
    <n v="4"/>
  </r>
  <r>
    <s v="SW-100334"/>
    <d v="2024-03-02T00:00:00"/>
    <x v="0"/>
    <s v="Q1"/>
    <x v="2"/>
    <x v="0"/>
    <x v="2"/>
    <x v="1"/>
    <x v="0"/>
    <s v="Cotton T-Shirt"/>
    <n v="1"/>
    <n v="19.41"/>
    <n v="0.15"/>
    <x v="1"/>
    <n v="16.5"/>
    <n v="10.44"/>
    <n v="6.06"/>
    <n v="1"/>
    <n v="0"/>
    <n v="4"/>
    <n v="4"/>
  </r>
  <r>
    <s v="SW-100335"/>
    <d v="2024-03-02T00:00:00"/>
    <x v="0"/>
    <s v="Q1"/>
    <x v="2"/>
    <x v="0"/>
    <x v="0"/>
    <x v="0"/>
    <x v="2"/>
    <s v="Storage Boxes"/>
    <n v="1"/>
    <n v="154.66"/>
    <n v="0.05"/>
    <x v="0"/>
    <n v="146.93"/>
    <n v="101.39"/>
    <n v="45.54"/>
    <n v="1"/>
    <n v="0"/>
    <n v="4"/>
    <n v="4"/>
  </r>
  <r>
    <s v="SW-100336"/>
    <d v="2024-03-02T00:00:00"/>
    <x v="0"/>
    <s v="Q1"/>
    <x v="2"/>
    <x v="0"/>
    <x v="0"/>
    <x v="1"/>
    <x v="1"/>
    <s v="Perfume 100ml"/>
    <n v="1"/>
    <n v="54.56"/>
    <n v="0.05"/>
    <x v="0"/>
    <n v="51.83"/>
    <n v="26.69"/>
    <n v="25.14"/>
    <n v="1"/>
    <n v="0"/>
    <n v="4"/>
    <n v="5"/>
  </r>
  <r>
    <s v="SW-100337"/>
    <d v="2024-03-02T00:00:00"/>
    <x v="0"/>
    <s v="Q1"/>
    <x v="2"/>
    <x v="2"/>
    <x v="0"/>
    <x v="0"/>
    <x v="4"/>
    <s v="Smart Watch"/>
    <n v="2"/>
    <n v="216.08"/>
    <n v="0.15"/>
    <x v="1"/>
    <n v="367.34"/>
    <n v="346.21"/>
    <n v="21.13"/>
    <n v="1"/>
    <n v="0"/>
    <n v="3"/>
    <n v="5"/>
  </r>
  <r>
    <s v="SW-100338"/>
    <d v="2024-03-02T00:00:00"/>
    <x v="0"/>
    <s v="Q1"/>
    <x v="2"/>
    <x v="0"/>
    <x v="0"/>
    <x v="1"/>
    <x v="1"/>
    <s v="Perfume 100ml"/>
    <n v="2"/>
    <n v="54.56"/>
    <n v="0.05"/>
    <x v="0"/>
    <n v="103.66"/>
    <n v="51.83"/>
    <n v="51.83"/>
    <n v="1"/>
    <n v="0"/>
    <n v="4"/>
    <n v="4"/>
  </r>
  <r>
    <s v="SW-100339"/>
    <d v="2024-03-02T00:00:00"/>
    <x v="0"/>
    <s v="Q1"/>
    <x v="2"/>
    <x v="1"/>
    <x v="4"/>
    <x v="1"/>
    <x v="3"/>
    <s v="Camping Tent"/>
    <n v="2"/>
    <n v="83.06"/>
    <n v="0.1"/>
    <x v="0"/>
    <n v="149.51"/>
    <n v="112.58"/>
    <n v="36.93"/>
    <n v="1"/>
    <n v="1"/>
    <n v="6"/>
    <n v="2"/>
  </r>
  <r>
    <s v="SW-100340"/>
    <d v="2024-03-02T00:00:00"/>
    <x v="0"/>
    <s v="Q1"/>
    <x v="2"/>
    <x v="2"/>
    <x v="3"/>
    <x v="1"/>
    <x v="1"/>
    <s v="Makeup Kit"/>
    <n v="1"/>
    <n v="74.3"/>
    <n v="0"/>
    <x v="2"/>
    <n v="74.3"/>
    <n v="36.979999999999997"/>
    <n v="37.32"/>
    <n v="1"/>
    <n v="0"/>
    <n v="6"/>
    <n v="4"/>
  </r>
  <r>
    <s v="SW-100341"/>
    <d v="2024-03-03T00:00:00"/>
    <x v="0"/>
    <s v="Q1"/>
    <x v="2"/>
    <x v="1"/>
    <x v="3"/>
    <x v="0"/>
    <x v="0"/>
    <s v="Cotton T-Shirt"/>
    <n v="1"/>
    <n v="19.41"/>
    <n v="0.05"/>
    <x v="0"/>
    <n v="18.440000000000001"/>
    <n v="10.37"/>
    <n v="8.07"/>
    <n v="1"/>
    <n v="0"/>
    <n v="2"/>
    <n v="5"/>
  </r>
  <r>
    <s v="SW-100342"/>
    <d v="2024-03-03T00:00:00"/>
    <x v="0"/>
    <s v="Q1"/>
    <x v="2"/>
    <x v="0"/>
    <x v="4"/>
    <x v="0"/>
    <x v="3"/>
    <s v="Fitness Tracker"/>
    <n v="2"/>
    <n v="74.459999999999994"/>
    <n v="0.25"/>
    <x v="3"/>
    <n v="111.69"/>
    <n v="104.03"/>
    <n v="7.66"/>
    <n v="1"/>
    <n v="0"/>
    <n v="6"/>
    <n v="4"/>
  </r>
  <r>
    <s v="SW-100343"/>
    <d v="2024-03-04T00:00:00"/>
    <x v="0"/>
    <s v="Q1"/>
    <x v="2"/>
    <x v="0"/>
    <x v="2"/>
    <x v="1"/>
    <x v="5"/>
    <s v="Board Game"/>
    <n v="1"/>
    <n v="57.92"/>
    <n v="0.05"/>
    <x v="0"/>
    <n v="55.02"/>
    <n v="39.840000000000003"/>
    <n v="15.18"/>
    <n v="1"/>
    <n v="0"/>
    <n v="3"/>
    <n v="5"/>
  </r>
  <r>
    <s v="SW-100344"/>
    <d v="2024-03-04T00:00:00"/>
    <x v="0"/>
    <s v="Q1"/>
    <x v="2"/>
    <x v="0"/>
    <x v="2"/>
    <x v="0"/>
    <x v="3"/>
    <s v="Yoga Mat"/>
    <n v="2"/>
    <n v="137.05000000000001"/>
    <n v="0.1"/>
    <x v="0"/>
    <n v="246.69"/>
    <n v="185.6"/>
    <n v="61.09"/>
    <n v="1"/>
    <n v="0"/>
    <n v="4"/>
    <n v="5"/>
  </r>
  <r>
    <s v="SW-100345"/>
    <d v="2024-03-04T00:00:00"/>
    <x v="0"/>
    <s v="Q1"/>
    <x v="2"/>
    <x v="0"/>
    <x v="0"/>
    <x v="0"/>
    <x v="4"/>
    <s v="Power Bank"/>
    <n v="3"/>
    <n v="508.8"/>
    <n v="0.15"/>
    <x v="1"/>
    <n v="1297.44"/>
    <n v="1188.3399999999999"/>
    <n v="109.1"/>
    <n v="1"/>
    <n v="0"/>
    <n v="6"/>
    <n v="5"/>
  </r>
  <r>
    <s v="SW-100346"/>
    <d v="2024-03-05T00:00:00"/>
    <x v="0"/>
    <s v="Q1"/>
    <x v="2"/>
    <x v="0"/>
    <x v="1"/>
    <x v="0"/>
    <x v="4"/>
    <s v="Wireless Earbuds"/>
    <n v="1"/>
    <n v="588.41"/>
    <n v="0.1"/>
    <x v="0"/>
    <n v="529.57000000000005"/>
    <n v="484.22"/>
    <n v="45.35"/>
    <n v="1"/>
    <n v="0"/>
    <n v="6"/>
    <n v="4"/>
  </r>
  <r>
    <s v="SW-100347"/>
    <d v="2024-03-05T00:00:00"/>
    <x v="0"/>
    <s v="Q1"/>
    <x v="2"/>
    <x v="0"/>
    <x v="1"/>
    <x v="0"/>
    <x v="2"/>
    <s v="Bed Sheet Set"/>
    <n v="1"/>
    <n v="90.75"/>
    <n v="0"/>
    <x v="2"/>
    <n v="90.75"/>
    <n v="62.25"/>
    <n v="28.5"/>
    <n v="1"/>
    <n v="0"/>
    <n v="5"/>
    <n v="4"/>
  </r>
  <r>
    <s v="SW-100348"/>
    <d v="2024-03-05T00:00:00"/>
    <x v="0"/>
    <s v="Q1"/>
    <x v="2"/>
    <x v="2"/>
    <x v="0"/>
    <x v="0"/>
    <x v="2"/>
    <s v="Desk Lamp"/>
    <n v="1"/>
    <n v="117.63"/>
    <n v="0.05"/>
    <x v="0"/>
    <n v="111.75"/>
    <n v="76.31"/>
    <n v="35.44"/>
    <n v="1"/>
    <n v="0"/>
    <n v="4"/>
    <n v="5"/>
  </r>
  <r>
    <s v="SW-100349"/>
    <d v="2024-03-05T00:00:00"/>
    <x v="0"/>
    <s v="Q1"/>
    <x v="2"/>
    <x v="1"/>
    <x v="4"/>
    <x v="1"/>
    <x v="4"/>
    <s v="Wireless Earbuds"/>
    <n v="1"/>
    <n v="588.41"/>
    <n v="0.05"/>
    <x v="0"/>
    <n v="558.99"/>
    <n v="471.23"/>
    <n v="87.76"/>
    <n v="1"/>
    <n v="0"/>
    <n v="5"/>
    <n v="4"/>
  </r>
  <r>
    <s v="SW-100350"/>
    <d v="2024-03-05T00:00:00"/>
    <x v="0"/>
    <s v="Q1"/>
    <x v="2"/>
    <x v="0"/>
    <x v="0"/>
    <x v="1"/>
    <x v="4"/>
    <s v="Wireless Earbuds"/>
    <n v="1"/>
    <n v="588.41"/>
    <n v="0.25"/>
    <x v="3"/>
    <n v="441.31"/>
    <n v="429.95"/>
    <n v="11.36"/>
    <n v="1"/>
    <n v="0"/>
    <n v="4"/>
    <n v="5"/>
  </r>
  <r>
    <s v="SW-100351"/>
    <d v="2024-03-05T00:00:00"/>
    <x v="0"/>
    <s v="Q1"/>
    <x v="2"/>
    <x v="0"/>
    <x v="1"/>
    <x v="0"/>
    <x v="1"/>
    <s v="Face Serum"/>
    <n v="2"/>
    <n v="33.479999999999997"/>
    <n v="0.15"/>
    <x v="1"/>
    <n v="56.92"/>
    <n v="31.88"/>
    <n v="25.04"/>
    <n v="1"/>
    <n v="0"/>
    <n v="5"/>
    <n v="4"/>
  </r>
  <r>
    <s v="SW-100352"/>
    <d v="2024-03-05T00:00:00"/>
    <x v="0"/>
    <s v="Q1"/>
    <x v="2"/>
    <x v="1"/>
    <x v="3"/>
    <x v="0"/>
    <x v="0"/>
    <s v="Sunglasses"/>
    <n v="1"/>
    <n v="104.94"/>
    <n v="0.05"/>
    <x v="0"/>
    <n v="99.69"/>
    <n v="57.26"/>
    <n v="42.43"/>
    <n v="1"/>
    <n v="0"/>
    <n v="2"/>
    <n v="4"/>
  </r>
  <r>
    <s v="SW-100353"/>
    <d v="2024-03-05T00:00:00"/>
    <x v="0"/>
    <s v="Q1"/>
    <x v="2"/>
    <x v="1"/>
    <x v="2"/>
    <x v="1"/>
    <x v="2"/>
    <s v="Coffee Maker"/>
    <n v="1"/>
    <n v="148.05000000000001"/>
    <n v="0.05"/>
    <x v="0"/>
    <n v="140.65"/>
    <n v="94.75"/>
    <n v="45.9"/>
    <n v="1"/>
    <n v="0"/>
    <n v="3"/>
    <n v="5"/>
  </r>
  <r>
    <s v="SW-100354"/>
    <d v="2024-03-05T00:00:00"/>
    <x v="0"/>
    <s v="Q1"/>
    <x v="2"/>
    <x v="0"/>
    <x v="3"/>
    <x v="0"/>
    <x v="5"/>
    <s v="Kids Puzzle"/>
    <n v="1"/>
    <n v="16.97"/>
    <n v="0.1"/>
    <x v="0"/>
    <n v="15.27"/>
    <n v="13.05"/>
    <n v="2.2200000000000002"/>
    <n v="1"/>
    <n v="0"/>
    <n v="2"/>
    <n v="3"/>
  </r>
  <r>
    <s v="SW-100355"/>
    <d v="2024-03-06T00:00:00"/>
    <x v="0"/>
    <s v="Q1"/>
    <x v="2"/>
    <x v="2"/>
    <x v="3"/>
    <x v="0"/>
    <x v="3"/>
    <s v="Camping Tent"/>
    <n v="1"/>
    <n v="83.06"/>
    <n v="0.05"/>
    <x v="0"/>
    <n v="78.91"/>
    <n v="54.56"/>
    <n v="24.35"/>
    <n v="1"/>
    <n v="0"/>
    <n v="4"/>
    <n v="4"/>
  </r>
  <r>
    <s v="SW-100356"/>
    <d v="2024-03-06T00:00:00"/>
    <x v="0"/>
    <s v="Q1"/>
    <x v="2"/>
    <x v="2"/>
    <x v="3"/>
    <x v="1"/>
    <x v="1"/>
    <s v="Face Serum"/>
    <n v="1"/>
    <n v="33.479999999999997"/>
    <n v="0"/>
    <x v="2"/>
    <n v="33.479999999999997"/>
    <n v="15.8"/>
    <n v="17.68"/>
    <n v="1"/>
    <n v="0"/>
    <n v="2"/>
    <n v="4"/>
  </r>
  <r>
    <s v="SW-100357"/>
    <d v="2024-03-06T00:00:00"/>
    <x v="0"/>
    <s v="Q1"/>
    <x v="2"/>
    <x v="2"/>
    <x v="0"/>
    <x v="1"/>
    <x v="2"/>
    <s v="Bed Sheet Set"/>
    <n v="1"/>
    <n v="90.75"/>
    <n v="0"/>
    <x v="2"/>
    <n v="90.75"/>
    <n v="61.63"/>
    <n v="29.12"/>
    <n v="1"/>
    <n v="0"/>
    <n v="4"/>
    <n v="4"/>
  </r>
  <r>
    <s v="SW-100358"/>
    <d v="2024-03-06T00:00:00"/>
    <x v="0"/>
    <s v="Q1"/>
    <x v="2"/>
    <x v="2"/>
    <x v="3"/>
    <x v="1"/>
    <x v="2"/>
    <s v="Storage Boxes"/>
    <n v="2"/>
    <n v="154.66"/>
    <n v="0.05"/>
    <x v="0"/>
    <n v="293.85000000000002"/>
    <n v="192.88"/>
    <n v="100.97"/>
    <n v="1"/>
    <n v="0"/>
    <n v="4"/>
    <n v="4"/>
  </r>
  <r>
    <s v="SW-100359"/>
    <d v="2024-03-07T00:00:00"/>
    <x v="0"/>
    <s v="Q1"/>
    <x v="2"/>
    <x v="1"/>
    <x v="3"/>
    <x v="1"/>
    <x v="0"/>
    <s v="Running Sneakers"/>
    <n v="2"/>
    <n v="94.85"/>
    <n v="0.15"/>
    <x v="1"/>
    <n v="161.24"/>
    <n v="101.42"/>
    <n v="59.82"/>
    <n v="1"/>
    <n v="0"/>
    <n v="2"/>
    <n v="4"/>
  </r>
  <r>
    <s v="SW-100360"/>
    <d v="2024-03-07T00:00:00"/>
    <x v="0"/>
    <s v="Q1"/>
    <x v="2"/>
    <x v="1"/>
    <x v="2"/>
    <x v="1"/>
    <x v="4"/>
    <s v="Tablet 10in"/>
    <n v="2"/>
    <n v="490.3"/>
    <n v="0"/>
    <x v="2"/>
    <n v="980.6"/>
    <n v="744.25"/>
    <n v="236.35"/>
    <n v="1"/>
    <n v="0"/>
    <n v="3"/>
    <n v="5"/>
  </r>
  <r>
    <s v="SW-100361"/>
    <d v="2024-03-07T00:00:00"/>
    <x v="0"/>
    <s v="Q1"/>
    <x v="2"/>
    <x v="1"/>
    <x v="4"/>
    <x v="1"/>
    <x v="2"/>
    <s v="Coffee Maker"/>
    <n v="3"/>
    <n v="148.05000000000001"/>
    <n v="0.15"/>
    <x v="1"/>
    <n v="377.53"/>
    <n v="277.95"/>
    <n v="99.58"/>
    <n v="1"/>
    <n v="0"/>
    <n v="6"/>
    <n v="3"/>
  </r>
  <r>
    <s v="SW-100362"/>
    <d v="2024-03-07T00:00:00"/>
    <x v="0"/>
    <s v="Q1"/>
    <x v="2"/>
    <x v="0"/>
    <x v="3"/>
    <x v="0"/>
    <x v="2"/>
    <s v="Cookware Set"/>
    <n v="1"/>
    <n v="233.81"/>
    <n v="0.05"/>
    <x v="0"/>
    <n v="222.12"/>
    <n v="149.82"/>
    <n v="72.3"/>
    <n v="1"/>
    <n v="1"/>
    <n v="2"/>
    <n v="3"/>
  </r>
  <r>
    <s v="SW-100363"/>
    <d v="2024-03-07T00:00:00"/>
    <x v="0"/>
    <s v="Q1"/>
    <x v="2"/>
    <x v="2"/>
    <x v="2"/>
    <x v="0"/>
    <x v="4"/>
    <s v="Bluetooth Speaker"/>
    <n v="1"/>
    <n v="177.65"/>
    <n v="0.1"/>
    <x v="0"/>
    <n v="159.88999999999999"/>
    <n v="147.24"/>
    <n v="12.65"/>
    <n v="1"/>
    <n v="0"/>
    <n v="5"/>
    <n v="5"/>
  </r>
  <r>
    <s v="SW-100364"/>
    <d v="2024-03-07T00:00:00"/>
    <x v="0"/>
    <s v="Q1"/>
    <x v="2"/>
    <x v="2"/>
    <x v="0"/>
    <x v="0"/>
    <x v="1"/>
    <s v="Face Serum"/>
    <n v="1"/>
    <n v="33.479999999999997"/>
    <n v="0.25"/>
    <x v="3"/>
    <n v="25.11"/>
    <n v="16.38"/>
    <n v="8.73"/>
    <n v="1"/>
    <n v="0"/>
    <n v="6"/>
    <n v="5"/>
  </r>
  <r>
    <s v="SW-100365"/>
    <d v="2024-03-08T00:00:00"/>
    <x v="0"/>
    <s v="Q1"/>
    <x v="2"/>
    <x v="0"/>
    <x v="2"/>
    <x v="1"/>
    <x v="2"/>
    <s v="Desk Lamp"/>
    <n v="1"/>
    <n v="117.63"/>
    <n v="0.1"/>
    <x v="0"/>
    <n v="105.87"/>
    <n v="76.36"/>
    <n v="29.51"/>
    <n v="1"/>
    <n v="0"/>
    <n v="3"/>
    <n v="4"/>
  </r>
  <r>
    <s v="SW-100366"/>
    <d v="2024-03-08T00:00:00"/>
    <x v="0"/>
    <s v="Q1"/>
    <x v="2"/>
    <x v="2"/>
    <x v="3"/>
    <x v="1"/>
    <x v="0"/>
    <s v="Running Sneakers"/>
    <n v="1"/>
    <n v="94.85"/>
    <n v="0.25"/>
    <x v="3"/>
    <n v="71.14"/>
    <n v="52.08"/>
    <n v="19.059999999999999"/>
    <n v="1"/>
    <n v="0"/>
    <n v="3"/>
    <n v="5"/>
  </r>
  <r>
    <s v="SW-100367"/>
    <d v="2024-03-08T00:00:00"/>
    <x v="0"/>
    <s v="Q1"/>
    <x v="2"/>
    <x v="1"/>
    <x v="3"/>
    <x v="1"/>
    <x v="4"/>
    <s v="Bluetooth Speaker"/>
    <n v="1"/>
    <n v="177.65"/>
    <n v="0"/>
    <x v="2"/>
    <n v="177.65"/>
    <n v="143.61000000000001"/>
    <n v="34.04"/>
    <n v="1"/>
    <n v="0"/>
    <n v="3"/>
    <n v="4"/>
  </r>
  <r>
    <s v="SW-100368"/>
    <d v="2024-03-08T00:00:00"/>
    <x v="0"/>
    <s v="Q1"/>
    <x v="2"/>
    <x v="0"/>
    <x v="0"/>
    <x v="1"/>
    <x v="0"/>
    <s v="Denim Jacket"/>
    <n v="2"/>
    <n v="78.510000000000005"/>
    <n v="0.1"/>
    <x v="0"/>
    <n v="141.32"/>
    <n v="80.569999999999993"/>
    <n v="60.75"/>
    <n v="1"/>
    <n v="0"/>
    <n v="5"/>
    <n v="4"/>
  </r>
  <r>
    <s v="SW-100369"/>
    <d v="2024-03-08T00:00:00"/>
    <x v="0"/>
    <s v="Q1"/>
    <x v="2"/>
    <x v="2"/>
    <x v="1"/>
    <x v="1"/>
    <x v="0"/>
    <s v="Cotton T-Shirt"/>
    <n v="1"/>
    <n v="19.41"/>
    <n v="0.1"/>
    <x v="0"/>
    <n v="17.47"/>
    <n v="10.210000000000001"/>
    <n v="7.26"/>
    <n v="1"/>
    <n v="0"/>
    <n v="8"/>
    <n v="2"/>
  </r>
  <r>
    <s v="SW-100370"/>
    <d v="2024-03-08T00:00:00"/>
    <x v="0"/>
    <s v="Q1"/>
    <x v="2"/>
    <x v="1"/>
    <x v="4"/>
    <x v="1"/>
    <x v="0"/>
    <s v="Denim Jacket"/>
    <n v="4"/>
    <n v="78.510000000000005"/>
    <n v="0.1"/>
    <x v="0"/>
    <n v="282.64"/>
    <n v="165.54"/>
    <n v="117.1"/>
    <n v="1"/>
    <n v="0"/>
    <n v="6"/>
    <n v="3"/>
  </r>
  <r>
    <s v="SW-100371"/>
    <d v="2024-03-08T00:00:00"/>
    <x v="0"/>
    <s v="Q1"/>
    <x v="2"/>
    <x v="0"/>
    <x v="0"/>
    <x v="0"/>
    <x v="4"/>
    <s v="Bluetooth Speaker"/>
    <n v="1"/>
    <n v="177.65"/>
    <n v="0.15"/>
    <x v="1"/>
    <n v="151"/>
    <n v="143.44"/>
    <n v="7.56"/>
    <n v="1"/>
    <n v="0"/>
    <n v="5"/>
    <n v="4"/>
  </r>
  <r>
    <s v="SW-100372"/>
    <d v="2024-03-09T00:00:00"/>
    <x v="0"/>
    <s v="Q1"/>
    <x v="2"/>
    <x v="1"/>
    <x v="2"/>
    <x v="1"/>
    <x v="3"/>
    <s v="Cycling Helmet"/>
    <n v="3"/>
    <n v="85.42"/>
    <n v="0.05"/>
    <x v="0"/>
    <n v="243.45"/>
    <n v="163.31"/>
    <n v="80.14"/>
    <n v="1"/>
    <n v="0"/>
    <n v="5"/>
    <n v="4"/>
  </r>
  <r>
    <s v="SW-100373"/>
    <d v="2024-03-09T00:00:00"/>
    <x v="0"/>
    <s v="Q1"/>
    <x v="2"/>
    <x v="2"/>
    <x v="0"/>
    <x v="1"/>
    <x v="4"/>
    <s v="4K Action Camera"/>
    <n v="1"/>
    <n v="636.09"/>
    <n v="0.1"/>
    <x v="0"/>
    <n v="572.48"/>
    <n v="486.36"/>
    <n v="86.12"/>
    <n v="1"/>
    <n v="1"/>
    <n v="3"/>
    <n v="3"/>
  </r>
  <r>
    <s v="SW-100374"/>
    <d v="2024-03-09T00:00:00"/>
    <x v="0"/>
    <s v="Q1"/>
    <x v="2"/>
    <x v="0"/>
    <x v="2"/>
    <x v="0"/>
    <x v="5"/>
    <s v="Kids Puzzle"/>
    <n v="1"/>
    <n v="16.97"/>
    <n v="0"/>
    <x v="2"/>
    <n v="16.97"/>
    <n v="11.46"/>
    <n v="5.51"/>
    <n v="1"/>
    <n v="0"/>
    <n v="4"/>
    <n v="5"/>
  </r>
  <r>
    <s v="SW-100375"/>
    <d v="2024-03-09T00:00:00"/>
    <x v="0"/>
    <s v="Q1"/>
    <x v="2"/>
    <x v="2"/>
    <x v="0"/>
    <x v="1"/>
    <x v="0"/>
    <s v="Denim Jacket"/>
    <n v="2"/>
    <n v="78.510000000000005"/>
    <n v="0.1"/>
    <x v="0"/>
    <n v="141.32"/>
    <n v="87.04"/>
    <n v="54.28"/>
    <n v="1"/>
    <n v="1"/>
    <n v="4"/>
    <n v="2"/>
  </r>
  <r>
    <s v="SW-100376"/>
    <d v="2024-03-09T00:00:00"/>
    <x v="0"/>
    <s v="Q1"/>
    <x v="2"/>
    <x v="2"/>
    <x v="3"/>
    <x v="1"/>
    <x v="0"/>
    <s v="Running Sneakers"/>
    <n v="1"/>
    <n v="94.85"/>
    <n v="0.15"/>
    <x v="1"/>
    <n v="80.62"/>
    <n v="51.6"/>
    <n v="29.02"/>
    <n v="1"/>
    <n v="0"/>
    <n v="3"/>
    <n v="4"/>
  </r>
  <r>
    <s v="SW-100377"/>
    <d v="2024-03-09T00:00:00"/>
    <x v="0"/>
    <s v="Q1"/>
    <x v="2"/>
    <x v="0"/>
    <x v="0"/>
    <x v="0"/>
    <x v="1"/>
    <s v="Skin Care Bundle"/>
    <n v="1"/>
    <n v="92.54"/>
    <n v="0"/>
    <x v="2"/>
    <n v="92.54"/>
    <n v="43.95"/>
    <n v="48.59"/>
    <n v="1"/>
    <n v="0"/>
    <n v="4"/>
    <n v="4"/>
  </r>
  <r>
    <s v="SW-100378"/>
    <d v="2024-03-09T00:00:00"/>
    <x v="0"/>
    <s v="Q1"/>
    <x v="2"/>
    <x v="1"/>
    <x v="2"/>
    <x v="1"/>
    <x v="4"/>
    <s v="Wireless Earbuds"/>
    <n v="3"/>
    <n v="588.41"/>
    <n v="0"/>
    <x v="2"/>
    <n v="1765.23"/>
    <n v="1385.72"/>
    <n v="379.51"/>
    <n v="1"/>
    <n v="0"/>
    <n v="3"/>
    <n v="4"/>
  </r>
  <r>
    <s v="SW-100379"/>
    <d v="2024-03-09T00:00:00"/>
    <x v="0"/>
    <s v="Q1"/>
    <x v="2"/>
    <x v="0"/>
    <x v="2"/>
    <x v="1"/>
    <x v="0"/>
    <s v="Summer Dress"/>
    <n v="1"/>
    <n v="33.99"/>
    <n v="0.1"/>
    <x v="0"/>
    <n v="30.59"/>
    <n v="17.850000000000001"/>
    <n v="12.74"/>
    <n v="1"/>
    <n v="1"/>
    <n v="3"/>
    <n v="3"/>
  </r>
  <r>
    <s v="SW-100380"/>
    <d v="2024-03-09T00:00:00"/>
    <x v="0"/>
    <s v="Q1"/>
    <x v="2"/>
    <x v="0"/>
    <x v="2"/>
    <x v="0"/>
    <x v="5"/>
    <s v="Building Blocks"/>
    <n v="1"/>
    <n v="48.86"/>
    <n v="0.25"/>
    <x v="3"/>
    <n v="36.64"/>
    <n v="36.479999999999997"/>
    <n v="0.16"/>
    <n v="1"/>
    <n v="0"/>
    <n v="4"/>
    <n v="4"/>
  </r>
  <r>
    <s v="SW-100381"/>
    <d v="2024-03-09T00:00:00"/>
    <x v="0"/>
    <s v="Q1"/>
    <x v="2"/>
    <x v="2"/>
    <x v="2"/>
    <x v="1"/>
    <x v="4"/>
    <s v="Wireless Earbuds"/>
    <n v="1"/>
    <n v="588.41"/>
    <n v="0.15"/>
    <x v="1"/>
    <n v="500.15"/>
    <n v="453.62"/>
    <n v="46.53"/>
    <n v="1"/>
    <n v="0"/>
    <n v="5"/>
    <n v="5"/>
  </r>
  <r>
    <s v="SW-100382"/>
    <d v="2024-03-09T00:00:00"/>
    <x v="0"/>
    <s v="Q1"/>
    <x v="2"/>
    <x v="0"/>
    <x v="0"/>
    <x v="1"/>
    <x v="0"/>
    <s v="Running Sneakers"/>
    <n v="2"/>
    <n v="94.85"/>
    <n v="0.15"/>
    <x v="1"/>
    <n v="161.24"/>
    <n v="100.25"/>
    <n v="60.99"/>
    <n v="1"/>
    <n v="0"/>
    <n v="3"/>
    <n v="5"/>
  </r>
  <r>
    <s v="SW-100383"/>
    <d v="2024-03-10T00:00:00"/>
    <x v="0"/>
    <s v="Q1"/>
    <x v="2"/>
    <x v="0"/>
    <x v="4"/>
    <x v="0"/>
    <x v="5"/>
    <s v="Story Book Set"/>
    <n v="3"/>
    <n v="10.76"/>
    <n v="0.05"/>
    <x v="0"/>
    <n v="30.67"/>
    <n v="22.62"/>
    <n v="8.0500000000000007"/>
    <n v="1"/>
    <n v="0"/>
    <n v="6"/>
    <n v="4"/>
  </r>
  <r>
    <s v="SW-100384"/>
    <d v="2024-03-10T00:00:00"/>
    <x v="0"/>
    <s v="Q1"/>
    <x v="2"/>
    <x v="0"/>
    <x v="4"/>
    <x v="1"/>
    <x v="0"/>
    <s v="Summer Dress"/>
    <n v="1"/>
    <n v="33.99"/>
    <n v="0"/>
    <x v="2"/>
    <n v="33.99"/>
    <n v="18.23"/>
    <n v="15.76"/>
    <n v="1"/>
    <n v="0"/>
    <n v="6"/>
    <n v="5"/>
  </r>
  <r>
    <s v="SW-100385"/>
    <d v="2024-03-10T00:00:00"/>
    <x v="0"/>
    <s v="Q1"/>
    <x v="2"/>
    <x v="0"/>
    <x v="2"/>
    <x v="0"/>
    <x v="1"/>
    <s v="Perfume 100ml"/>
    <n v="1"/>
    <n v="54.56"/>
    <n v="0.1"/>
    <x v="0"/>
    <n v="49.1"/>
    <n v="26.05"/>
    <n v="23.05"/>
    <n v="1"/>
    <n v="0"/>
    <n v="3"/>
    <n v="4"/>
  </r>
  <r>
    <s v="SW-100386"/>
    <d v="2024-03-10T00:00:00"/>
    <x v="0"/>
    <s v="Q1"/>
    <x v="2"/>
    <x v="0"/>
    <x v="2"/>
    <x v="0"/>
    <x v="1"/>
    <s v="Perfume 100ml"/>
    <n v="1"/>
    <n v="54.56"/>
    <n v="0.3"/>
    <x v="3"/>
    <n v="38.19"/>
    <n v="26"/>
    <n v="12.19"/>
    <n v="1"/>
    <n v="0"/>
    <n v="4"/>
    <n v="5"/>
  </r>
  <r>
    <s v="SW-100387"/>
    <d v="2024-03-11T00:00:00"/>
    <x v="0"/>
    <s v="Q1"/>
    <x v="2"/>
    <x v="1"/>
    <x v="4"/>
    <x v="0"/>
    <x v="0"/>
    <s v="Cotton T-Shirt"/>
    <n v="2"/>
    <n v="19.41"/>
    <n v="0.2"/>
    <x v="1"/>
    <n v="31.06"/>
    <n v="18.73"/>
    <n v="12.33"/>
    <n v="1"/>
    <n v="0"/>
    <n v="6"/>
    <n v="2"/>
  </r>
  <r>
    <s v="SW-100388"/>
    <d v="2024-03-11T00:00:00"/>
    <x v="0"/>
    <s v="Q1"/>
    <x v="2"/>
    <x v="0"/>
    <x v="4"/>
    <x v="1"/>
    <x v="4"/>
    <s v="Tablet 10in"/>
    <n v="1"/>
    <n v="490.3"/>
    <n v="0.25"/>
    <x v="3"/>
    <n v="367.72"/>
    <n v="378.12"/>
    <n v="-10.4"/>
    <n v="1"/>
    <n v="0"/>
    <n v="6"/>
    <n v="3"/>
  </r>
  <r>
    <s v="SW-100389"/>
    <d v="2024-03-11T00:00:00"/>
    <x v="0"/>
    <s v="Q1"/>
    <x v="2"/>
    <x v="0"/>
    <x v="0"/>
    <x v="0"/>
    <x v="0"/>
    <s v="Sunglasses"/>
    <n v="1"/>
    <n v="104.94"/>
    <n v="0.05"/>
    <x v="0"/>
    <n v="99.69"/>
    <n v="56.33"/>
    <n v="43.36"/>
    <n v="1"/>
    <n v="0"/>
    <n v="5"/>
    <n v="4"/>
  </r>
  <r>
    <s v="SW-100390"/>
    <d v="2024-03-11T00:00:00"/>
    <x v="0"/>
    <s v="Q1"/>
    <x v="2"/>
    <x v="0"/>
    <x v="2"/>
    <x v="0"/>
    <x v="4"/>
    <s v="Power Bank"/>
    <n v="1"/>
    <n v="508.8"/>
    <n v="0.1"/>
    <x v="0"/>
    <n v="457.92"/>
    <n v="415.43"/>
    <n v="42.49"/>
    <n v="1"/>
    <n v="0"/>
    <n v="3"/>
    <n v="5"/>
  </r>
  <r>
    <s v="SW-100391"/>
    <d v="2024-03-11T00:00:00"/>
    <x v="0"/>
    <s v="Q1"/>
    <x v="2"/>
    <x v="1"/>
    <x v="1"/>
    <x v="0"/>
    <x v="0"/>
    <s v="Running Sneakers"/>
    <n v="4"/>
    <n v="94.85"/>
    <n v="0.1"/>
    <x v="0"/>
    <n v="341.46"/>
    <n v="203.01"/>
    <n v="138.44999999999999"/>
    <n v="1"/>
    <n v="1"/>
    <n v="6"/>
    <n v="2"/>
  </r>
  <r>
    <s v="SW-100392"/>
    <d v="2024-03-12T00:00:00"/>
    <x v="0"/>
    <s v="Q1"/>
    <x v="2"/>
    <x v="1"/>
    <x v="3"/>
    <x v="1"/>
    <x v="0"/>
    <s v="Cotton T-Shirt"/>
    <n v="1"/>
    <n v="19.41"/>
    <n v="0.2"/>
    <x v="1"/>
    <n v="15.53"/>
    <n v="9.8699999999999992"/>
    <n v="5.66"/>
    <n v="1"/>
    <n v="0"/>
    <n v="3"/>
    <n v="4"/>
  </r>
  <r>
    <s v="SW-100393"/>
    <d v="2024-03-12T00:00:00"/>
    <x v="0"/>
    <s v="Q1"/>
    <x v="2"/>
    <x v="0"/>
    <x v="3"/>
    <x v="0"/>
    <x v="5"/>
    <s v="Building Blocks"/>
    <n v="2"/>
    <n v="48.86"/>
    <n v="0.15"/>
    <x v="1"/>
    <n v="83.06"/>
    <n v="71.819999999999993"/>
    <n v="11.24"/>
    <n v="1"/>
    <n v="0"/>
    <n v="2"/>
    <n v="5"/>
  </r>
  <r>
    <s v="SW-100394"/>
    <d v="2024-03-12T00:00:00"/>
    <x v="0"/>
    <s v="Q1"/>
    <x v="2"/>
    <x v="1"/>
    <x v="0"/>
    <x v="1"/>
    <x v="5"/>
    <s v="Kids Puzzle"/>
    <n v="1"/>
    <n v="16.97"/>
    <n v="0.05"/>
    <x v="0"/>
    <n v="16.12"/>
    <n v="12.28"/>
    <n v="3.84"/>
    <n v="1"/>
    <n v="0"/>
    <n v="5"/>
    <n v="5"/>
  </r>
  <r>
    <s v="SW-100395"/>
    <d v="2024-03-13T00:00:00"/>
    <x v="0"/>
    <s v="Q1"/>
    <x v="2"/>
    <x v="2"/>
    <x v="3"/>
    <x v="1"/>
    <x v="0"/>
    <s v="Cotton T-Shirt"/>
    <n v="2"/>
    <n v="19.41"/>
    <n v="0.1"/>
    <x v="0"/>
    <n v="34.94"/>
    <n v="20.38"/>
    <n v="14.56"/>
    <n v="1"/>
    <n v="0"/>
    <n v="2"/>
    <n v="4"/>
  </r>
  <r>
    <s v="SW-100396"/>
    <d v="2024-03-13T00:00:00"/>
    <x v="0"/>
    <s v="Q1"/>
    <x v="2"/>
    <x v="1"/>
    <x v="3"/>
    <x v="0"/>
    <x v="4"/>
    <s v="Power Bank"/>
    <n v="1"/>
    <n v="508.8"/>
    <n v="0.2"/>
    <x v="1"/>
    <n v="407.04"/>
    <n v="411.34"/>
    <n v="-4.3"/>
    <n v="1"/>
    <n v="0"/>
    <n v="4"/>
    <n v="4"/>
  </r>
  <r>
    <s v="SW-100397"/>
    <d v="2024-03-13T00:00:00"/>
    <x v="0"/>
    <s v="Q1"/>
    <x v="2"/>
    <x v="1"/>
    <x v="3"/>
    <x v="1"/>
    <x v="2"/>
    <s v="Coffee Maker"/>
    <n v="1"/>
    <n v="148.05000000000001"/>
    <n v="0.15"/>
    <x v="1"/>
    <n v="125.84"/>
    <n v="99.89"/>
    <n v="25.95"/>
    <n v="1"/>
    <n v="0"/>
    <n v="3"/>
    <n v="4"/>
  </r>
  <r>
    <s v="SW-100398"/>
    <d v="2024-03-13T00:00:00"/>
    <x v="0"/>
    <s v="Q1"/>
    <x v="2"/>
    <x v="1"/>
    <x v="2"/>
    <x v="1"/>
    <x v="2"/>
    <s v="Bed Sheet Set"/>
    <n v="1"/>
    <n v="90.75"/>
    <n v="0.25"/>
    <x v="3"/>
    <n v="68.06"/>
    <n v="62.65"/>
    <n v="5.41"/>
    <n v="1"/>
    <n v="0"/>
    <n v="3"/>
    <n v="4"/>
  </r>
  <r>
    <s v="SW-100399"/>
    <d v="2024-03-13T00:00:00"/>
    <x v="0"/>
    <s v="Q1"/>
    <x v="2"/>
    <x v="0"/>
    <x v="4"/>
    <x v="0"/>
    <x v="4"/>
    <s v="Bluetooth Speaker"/>
    <n v="1"/>
    <n v="177.65"/>
    <n v="0.15"/>
    <x v="1"/>
    <n v="151"/>
    <n v="139.38999999999999"/>
    <n v="11.61"/>
    <n v="1"/>
    <n v="0"/>
    <n v="5"/>
    <n v="5"/>
  </r>
  <r>
    <s v="SW-100400"/>
    <d v="2024-03-13T00:00:00"/>
    <x v="0"/>
    <s v="Q1"/>
    <x v="2"/>
    <x v="2"/>
    <x v="4"/>
    <x v="1"/>
    <x v="4"/>
    <s v="Power Bank"/>
    <n v="1"/>
    <n v="508.8"/>
    <n v="0"/>
    <x v="2"/>
    <n v="508.8"/>
    <n v="402.73"/>
    <n v="106.07"/>
    <n v="1"/>
    <n v="1"/>
    <n v="7"/>
    <n v="3"/>
  </r>
  <r>
    <s v="SW-100401"/>
    <d v="2024-03-14T00:00:00"/>
    <x v="0"/>
    <s v="Q1"/>
    <x v="2"/>
    <x v="0"/>
    <x v="0"/>
    <x v="1"/>
    <x v="1"/>
    <s v="Hair Dryer"/>
    <n v="1"/>
    <n v="33.18"/>
    <n v="0.2"/>
    <x v="1"/>
    <n v="26.54"/>
    <n v="16.37"/>
    <n v="10.17"/>
    <n v="1"/>
    <n v="0"/>
    <n v="3"/>
    <n v="3"/>
  </r>
  <r>
    <s v="SW-100402"/>
    <d v="2024-03-14T00:00:00"/>
    <x v="0"/>
    <s v="Q1"/>
    <x v="2"/>
    <x v="0"/>
    <x v="2"/>
    <x v="0"/>
    <x v="1"/>
    <s v="Perfume 100ml"/>
    <n v="1"/>
    <n v="54.56"/>
    <n v="0"/>
    <x v="2"/>
    <n v="54.56"/>
    <n v="26.57"/>
    <n v="27.99"/>
    <n v="1"/>
    <n v="0"/>
    <n v="3"/>
    <n v="4"/>
  </r>
  <r>
    <s v="SW-100403"/>
    <d v="2024-03-14T00:00:00"/>
    <x v="0"/>
    <s v="Q1"/>
    <x v="2"/>
    <x v="0"/>
    <x v="2"/>
    <x v="1"/>
    <x v="4"/>
    <s v="Power Bank"/>
    <n v="2"/>
    <n v="508.8"/>
    <n v="0"/>
    <x v="2"/>
    <n v="1017.6"/>
    <n v="828.38"/>
    <n v="189.22"/>
    <n v="1"/>
    <n v="0"/>
    <n v="4"/>
    <n v="4"/>
  </r>
  <r>
    <s v="SW-100404"/>
    <d v="2024-03-14T00:00:00"/>
    <x v="0"/>
    <s v="Q1"/>
    <x v="2"/>
    <x v="0"/>
    <x v="0"/>
    <x v="1"/>
    <x v="4"/>
    <s v="4K Action Camera"/>
    <n v="3"/>
    <n v="636.09"/>
    <n v="0"/>
    <x v="2"/>
    <n v="1908.27"/>
    <n v="1505.82"/>
    <n v="402.45"/>
    <n v="1"/>
    <n v="0"/>
    <n v="4"/>
    <n v="5"/>
  </r>
  <r>
    <s v="SW-100405"/>
    <d v="2024-03-14T00:00:00"/>
    <x v="0"/>
    <s v="Q1"/>
    <x v="2"/>
    <x v="1"/>
    <x v="4"/>
    <x v="1"/>
    <x v="2"/>
    <s v="Desk Lamp"/>
    <n v="1"/>
    <n v="117.63"/>
    <n v="0.15"/>
    <x v="1"/>
    <n v="99.99"/>
    <n v="77.63"/>
    <n v="22.36"/>
    <n v="1"/>
    <n v="0"/>
    <n v="6"/>
    <n v="4"/>
  </r>
  <r>
    <s v="SW-100406"/>
    <d v="2024-03-14T00:00:00"/>
    <x v="0"/>
    <s v="Q1"/>
    <x v="2"/>
    <x v="2"/>
    <x v="3"/>
    <x v="1"/>
    <x v="1"/>
    <s v="Hair Dryer"/>
    <n v="1"/>
    <n v="33.18"/>
    <n v="0.2"/>
    <x v="1"/>
    <n v="26.54"/>
    <n v="15.84"/>
    <n v="10.7"/>
    <n v="1"/>
    <n v="0"/>
    <n v="2"/>
    <n v="3"/>
  </r>
  <r>
    <s v="SW-100407"/>
    <d v="2024-03-15T00:00:00"/>
    <x v="0"/>
    <s v="Q1"/>
    <x v="2"/>
    <x v="2"/>
    <x v="2"/>
    <x v="1"/>
    <x v="1"/>
    <s v="Perfume 100ml"/>
    <n v="3"/>
    <n v="54.56"/>
    <n v="0.25"/>
    <x v="3"/>
    <n v="122.76"/>
    <n v="77.03"/>
    <n v="45.73"/>
    <n v="1"/>
    <n v="0"/>
    <n v="4"/>
    <n v="4"/>
  </r>
  <r>
    <s v="SW-100408"/>
    <d v="2024-03-15T00:00:00"/>
    <x v="0"/>
    <s v="Q1"/>
    <x v="2"/>
    <x v="0"/>
    <x v="1"/>
    <x v="1"/>
    <x v="4"/>
    <s v="Bluetooth Speaker"/>
    <n v="2"/>
    <n v="177.65"/>
    <n v="0"/>
    <x v="2"/>
    <n v="355.3"/>
    <n v="285.02"/>
    <n v="70.28"/>
    <n v="1"/>
    <n v="1"/>
    <n v="5"/>
    <n v="3"/>
  </r>
  <r>
    <s v="SW-100409"/>
    <d v="2024-03-15T00:00:00"/>
    <x v="0"/>
    <s v="Q1"/>
    <x v="2"/>
    <x v="1"/>
    <x v="0"/>
    <x v="1"/>
    <x v="4"/>
    <s v="Wireless Earbuds"/>
    <n v="1"/>
    <n v="588.41"/>
    <n v="0"/>
    <x v="2"/>
    <n v="588.41"/>
    <n v="462.38"/>
    <n v="126.03"/>
    <n v="1"/>
    <n v="0"/>
    <n v="3"/>
    <n v="4"/>
  </r>
  <r>
    <s v="SW-100410"/>
    <d v="2024-03-16T00:00:00"/>
    <x v="0"/>
    <s v="Q1"/>
    <x v="2"/>
    <x v="0"/>
    <x v="3"/>
    <x v="0"/>
    <x v="2"/>
    <s v="Cookware Set"/>
    <n v="2"/>
    <n v="233.81"/>
    <n v="0.05"/>
    <x v="0"/>
    <n v="444.24"/>
    <n v="316.11"/>
    <n v="128.13"/>
    <n v="1"/>
    <n v="0"/>
    <n v="2"/>
    <n v="5"/>
  </r>
  <r>
    <s v="SW-100411"/>
    <d v="2024-03-16T00:00:00"/>
    <x v="0"/>
    <s v="Q1"/>
    <x v="2"/>
    <x v="0"/>
    <x v="4"/>
    <x v="1"/>
    <x v="1"/>
    <s v="Hair Dryer"/>
    <n v="3"/>
    <n v="33.18"/>
    <n v="0"/>
    <x v="2"/>
    <n v="99.54"/>
    <n v="47.73"/>
    <n v="51.81"/>
    <n v="1"/>
    <n v="0"/>
    <n v="6"/>
    <n v="4"/>
  </r>
  <r>
    <s v="SW-100412"/>
    <d v="2024-03-16T00:00:00"/>
    <x v="0"/>
    <s v="Q1"/>
    <x v="2"/>
    <x v="1"/>
    <x v="3"/>
    <x v="0"/>
    <x v="2"/>
    <s v="Storage Boxes"/>
    <n v="1"/>
    <n v="154.66"/>
    <n v="0"/>
    <x v="2"/>
    <n v="154.66"/>
    <n v="104.5"/>
    <n v="50.16"/>
    <n v="1"/>
    <n v="0"/>
    <n v="6"/>
    <n v="4"/>
  </r>
  <r>
    <s v="SW-100413"/>
    <d v="2024-03-16T00:00:00"/>
    <x v="0"/>
    <s v="Q1"/>
    <x v="2"/>
    <x v="2"/>
    <x v="1"/>
    <x v="1"/>
    <x v="1"/>
    <s v="Face Serum"/>
    <n v="1"/>
    <n v="33.479999999999997"/>
    <n v="0.25"/>
    <x v="3"/>
    <n v="25.11"/>
    <n v="16.940000000000001"/>
    <n v="8.17"/>
    <n v="1"/>
    <n v="1"/>
    <n v="6"/>
    <n v="2"/>
  </r>
  <r>
    <s v="SW-100414"/>
    <d v="2024-03-16T00:00:00"/>
    <x v="0"/>
    <s v="Q1"/>
    <x v="2"/>
    <x v="1"/>
    <x v="3"/>
    <x v="0"/>
    <x v="0"/>
    <s v="Leather Handbag"/>
    <n v="1"/>
    <n v="138.5"/>
    <n v="0.2"/>
    <x v="1"/>
    <n v="110.8"/>
    <n v="76.72"/>
    <n v="34.08"/>
    <n v="1"/>
    <n v="0"/>
    <n v="3"/>
    <n v="5"/>
  </r>
  <r>
    <s v="SW-100415"/>
    <d v="2024-03-16T00:00:00"/>
    <x v="0"/>
    <s v="Q1"/>
    <x v="2"/>
    <x v="0"/>
    <x v="3"/>
    <x v="1"/>
    <x v="4"/>
    <s v="Tablet 10in"/>
    <n v="2"/>
    <n v="490.3"/>
    <n v="0.25"/>
    <x v="3"/>
    <n v="735.45"/>
    <n v="772.89"/>
    <n v="-37.44"/>
    <n v="1"/>
    <n v="0"/>
    <n v="3"/>
    <n v="5"/>
  </r>
  <r>
    <s v="SW-100416"/>
    <d v="2024-03-17T00:00:00"/>
    <x v="0"/>
    <s v="Q1"/>
    <x v="2"/>
    <x v="1"/>
    <x v="4"/>
    <x v="0"/>
    <x v="3"/>
    <s v="Cycling Helmet"/>
    <n v="1"/>
    <n v="85.42"/>
    <n v="0.05"/>
    <x v="0"/>
    <n v="81.150000000000006"/>
    <n v="55.26"/>
    <n v="25.89"/>
    <n v="1"/>
    <n v="0"/>
    <n v="5"/>
    <n v="4"/>
  </r>
  <r>
    <s v="SW-100417"/>
    <d v="2024-03-17T00:00:00"/>
    <x v="0"/>
    <s v="Q1"/>
    <x v="2"/>
    <x v="1"/>
    <x v="0"/>
    <x v="1"/>
    <x v="3"/>
    <s v="Yoga Mat"/>
    <n v="1"/>
    <n v="137.05000000000001"/>
    <n v="0"/>
    <x v="2"/>
    <n v="137.05000000000001"/>
    <n v="91.48"/>
    <n v="45.57"/>
    <n v="1"/>
    <n v="0"/>
    <n v="4"/>
    <n v="3"/>
  </r>
  <r>
    <s v="SW-100418"/>
    <d v="2024-03-17T00:00:00"/>
    <x v="0"/>
    <s v="Q1"/>
    <x v="2"/>
    <x v="2"/>
    <x v="4"/>
    <x v="1"/>
    <x v="0"/>
    <s v="Leather Handbag"/>
    <n v="1"/>
    <n v="138.5"/>
    <n v="0.05"/>
    <x v="0"/>
    <n v="131.57"/>
    <n v="75.45"/>
    <n v="56.12"/>
    <n v="1"/>
    <n v="0"/>
    <n v="8"/>
    <n v="3"/>
  </r>
  <r>
    <s v="SW-100419"/>
    <d v="2024-03-17T00:00:00"/>
    <x v="0"/>
    <s v="Q1"/>
    <x v="2"/>
    <x v="1"/>
    <x v="3"/>
    <x v="1"/>
    <x v="5"/>
    <s v="Building Blocks"/>
    <n v="1"/>
    <n v="48.86"/>
    <n v="0"/>
    <x v="2"/>
    <n v="48.86"/>
    <n v="34.090000000000003"/>
    <n v="14.77"/>
    <n v="1"/>
    <n v="0"/>
    <n v="4"/>
    <n v="5"/>
  </r>
  <r>
    <s v="SW-100420"/>
    <d v="2024-03-17T00:00:00"/>
    <x v="0"/>
    <s v="Q1"/>
    <x v="2"/>
    <x v="0"/>
    <x v="0"/>
    <x v="1"/>
    <x v="4"/>
    <s v="Tablet 10in"/>
    <n v="1"/>
    <n v="490.3"/>
    <n v="0.1"/>
    <x v="0"/>
    <n v="441.27"/>
    <n v="394.25"/>
    <n v="47.02"/>
    <n v="1"/>
    <n v="0"/>
    <n v="8"/>
    <n v="4"/>
  </r>
  <r>
    <s v="SW-100421"/>
    <d v="2024-03-17T00:00:00"/>
    <x v="0"/>
    <s v="Q1"/>
    <x v="2"/>
    <x v="1"/>
    <x v="2"/>
    <x v="0"/>
    <x v="4"/>
    <s v="Bluetooth Speaker"/>
    <n v="3"/>
    <n v="177.65"/>
    <n v="0"/>
    <x v="2"/>
    <n v="532.95000000000005"/>
    <n v="432.39"/>
    <n v="100.56"/>
    <n v="1"/>
    <n v="0"/>
    <n v="5"/>
    <n v="4"/>
  </r>
  <r>
    <s v="SW-100422"/>
    <d v="2024-03-18T00:00:00"/>
    <x v="0"/>
    <s v="Q1"/>
    <x v="2"/>
    <x v="0"/>
    <x v="0"/>
    <x v="1"/>
    <x v="0"/>
    <s v="Running Sneakers"/>
    <n v="1"/>
    <n v="94.85"/>
    <n v="0.05"/>
    <x v="0"/>
    <n v="90.11"/>
    <n v="50.3"/>
    <n v="39.81"/>
    <n v="1"/>
    <n v="0"/>
    <n v="4"/>
    <n v="5"/>
  </r>
  <r>
    <s v="SW-100423"/>
    <d v="2024-03-18T00:00:00"/>
    <x v="0"/>
    <s v="Q1"/>
    <x v="2"/>
    <x v="0"/>
    <x v="3"/>
    <x v="0"/>
    <x v="1"/>
    <s v="Face Serum"/>
    <n v="1"/>
    <n v="33.479999999999997"/>
    <n v="0"/>
    <x v="2"/>
    <n v="33.479999999999997"/>
    <n v="16.309999999999999"/>
    <n v="17.170000000000002"/>
    <n v="1"/>
    <n v="0"/>
    <n v="3"/>
    <n v="4"/>
  </r>
  <r>
    <s v="SW-100424"/>
    <d v="2024-03-18T00:00:00"/>
    <x v="0"/>
    <s v="Q1"/>
    <x v="2"/>
    <x v="0"/>
    <x v="2"/>
    <x v="1"/>
    <x v="1"/>
    <s v="Makeup Kit"/>
    <n v="2"/>
    <n v="74.3"/>
    <n v="0"/>
    <x v="2"/>
    <n v="148.6"/>
    <n v="71.900000000000006"/>
    <n v="76.7"/>
    <n v="1"/>
    <n v="0"/>
    <n v="3"/>
    <n v="5"/>
  </r>
  <r>
    <s v="SW-100425"/>
    <d v="2024-03-18T00:00:00"/>
    <x v="0"/>
    <s v="Q1"/>
    <x v="2"/>
    <x v="0"/>
    <x v="0"/>
    <x v="0"/>
    <x v="0"/>
    <s v="Denim Jacket"/>
    <n v="1"/>
    <n v="78.510000000000005"/>
    <n v="0.1"/>
    <x v="0"/>
    <n v="70.66"/>
    <n v="41.15"/>
    <n v="29.51"/>
    <n v="1"/>
    <n v="0"/>
    <n v="3"/>
    <n v="4"/>
  </r>
  <r>
    <s v="SW-100426"/>
    <d v="2024-03-18T00:00:00"/>
    <x v="0"/>
    <s v="Q1"/>
    <x v="2"/>
    <x v="0"/>
    <x v="2"/>
    <x v="1"/>
    <x v="0"/>
    <s v="Leather Handbag"/>
    <n v="2"/>
    <n v="138.5"/>
    <n v="0"/>
    <x v="2"/>
    <n v="277"/>
    <n v="149.13"/>
    <n v="127.87"/>
    <n v="1"/>
    <n v="1"/>
    <n v="6"/>
    <n v="2"/>
  </r>
  <r>
    <s v="SW-100427"/>
    <d v="2024-03-18T00:00:00"/>
    <x v="0"/>
    <s v="Q1"/>
    <x v="2"/>
    <x v="1"/>
    <x v="4"/>
    <x v="0"/>
    <x v="0"/>
    <s v="Running Sneakers"/>
    <n v="2"/>
    <n v="94.85"/>
    <n v="0"/>
    <x v="2"/>
    <n v="189.7"/>
    <n v="103.01"/>
    <n v="86.69"/>
    <n v="1"/>
    <n v="0"/>
    <n v="9"/>
    <n v="3"/>
  </r>
  <r>
    <s v="SW-100428"/>
    <d v="2024-03-18T00:00:00"/>
    <x v="0"/>
    <s v="Q1"/>
    <x v="2"/>
    <x v="0"/>
    <x v="0"/>
    <x v="0"/>
    <x v="1"/>
    <s v="Hair Dryer"/>
    <n v="2"/>
    <n v="33.18"/>
    <n v="0.15"/>
    <x v="1"/>
    <n v="56.41"/>
    <n v="31.03"/>
    <n v="25.38"/>
    <n v="1"/>
    <n v="0"/>
    <n v="6"/>
    <n v="3"/>
  </r>
  <r>
    <s v="SW-100429"/>
    <d v="2024-03-18T00:00:00"/>
    <x v="0"/>
    <s v="Q1"/>
    <x v="2"/>
    <x v="0"/>
    <x v="0"/>
    <x v="1"/>
    <x v="0"/>
    <s v="Sunglasses"/>
    <n v="1"/>
    <n v="104.94"/>
    <n v="0.05"/>
    <x v="0"/>
    <n v="99.69"/>
    <n v="58.04"/>
    <n v="41.65"/>
    <n v="1"/>
    <n v="1"/>
    <n v="4"/>
    <n v="4"/>
  </r>
  <r>
    <s v="SW-100430"/>
    <d v="2024-03-19T00:00:00"/>
    <x v="0"/>
    <s v="Q1"/>
    <x v="2"/>
    <x v="2"/>
    <x v="1"/>
    <x v="1"/>
    <x v="0"/>
    <s v="Running Sneakers"/>
    <n v="1"/>
    <n v="94.85"/>
    <n v="0.05"/>
    <x v="0"/>
    <n v="90.11"/>
    <n v="51.7"/>
    <n v="38.409999999999997"/>
    <n v="1"/>
    <n v="0"/>
    <n v="7"/>
    <n v="4"/>
  </r>
  <r>
    <s v="SW-100431"/>
    <d v="2024-03-19T00:00:00"/>
    <x v="0"/>
    <s v="Q1"/>
    <x v="2"/>
    <x v="2"/>
    <x v="0"/>
    <x v="0"/>
    <x v="1"/>
    <s v="Makeup Kit"/>
    <n v="1"/>
    <n v="74.3"/>
    <n v="0.05"/>
    <x v="0"/>
    <n v="70.58"/>
    <n v="36.130000000000003"/>
    <n v="34.450000000000003"/>
    <n v="1"/>
    <n v="0"/>
    <n v="5"/>
    <n v="4"/>
  </r>
  <r>
    <s v="SW-100432"/>
    <d v="2024-03-19T00:00:00"/>
    <x v="0"/>
    <s v="Q1"/>
    <x v="2"/>
    <x v="1"/>
    <x v="1"/>
    <x v="1"/>
    <x v="4"/>
    <s v="Wireless Earbuds"/>
    <n v="1"/>
    <n v="588.41"/>
    <n v="0.15"/>
    <x v="1"/>
    <n v="500.15"/>
    <n v="480.62"/>
    <n v="19.53"/>
    <n v="1"/>
    <n v="0"/>
    <n v="5"/>
    <n v="4"/>
  </r>
  <r>
    <s v="SW-100433"/>
    <d v="2024-03-19T00:00:00"/>
    <x v="0"/>
    <s v="Q1"/>
    <x v="2"/>
    <x v="0"/>
    <x v="0"/>
    <x v="1"/>
    <x v="2"/>
    <s v="Coffee Maker"/>
    <n v="1"/>
    <n v="148.05000000000001"/>
    <n v="0"/>
    <x v="2"/>
    <n v="148.05000000000001"/>
    <n v="96.35"/>
    <n v="51.7"/>
    <n v="1"/>
    <n v="1"/>
    <n v="5"/>
    <n v="3"/>
  </r>
  <r>
    <s v="SW-100434"/>
    <d v="2024-03-19T00:00:00"/>
    <x v="0"/>
    <s v="Q1"/>
    <x v="2"/>
    <x v="0"/>
    <x v="3"/>
    <x v="0"/>
    <x v="2"/>
    <s v="Bed Sheet Set"/>
    <n v="1"/>
    <n v="90.75"/>
    <n v="0.15"/>
    <x v="1"/>
    <n v="77.14"/>
    <n v="57.19"/>
    <n v="19.95"/>
    <n v="1"/>
    <n v="0"/>
    <n v="2"/>
    <n v="5"/>
  </r>
  <r>
    <s v="SW-100435"/>
    <d v="2024-03-19T00:00:00"/>
    <x v="0"/>
    <s v="Q1"/>
    <x v="2"/>
    <x v="0"/>
    <x v="1"/>
    <x v="0"/>
    <x v="2"/>
    <s v="Air Fryer"/>
    <n v="2"/>
    <n v="68.349999999999994"/>
    <n v="0"/>
    <x v="2"/>
    <n v="136.69999999999999"/>
    <n v="87.23"/>
    <n v="49.47"/>
    <n v="1"/>
    <n v="0"/>
    <n v="6"/>
    <n v="3"/>
  </r>
  <r>
    <s v="SW-100436"/>
    <d v="2024-03-19T00:00:00"/>
    <x v="0"/>
    <s v="Q1"/>
    <x v="2"/>
    <x v="1"/>
    <x v="2"/>
    <x v="1"/>
    <x v="3"/>
    <s v="Yoga Mat"/>
    <n v="1"/>
    <n v="137.05000000000001"/>
    <n v="0"/>
    <x v="2"/>
    <n v="137.05000000000001"/>
    <n v="92.62"/>
    <n v="44.43"/>
    <n v="1"/>
    <n v="0"/>
    <n v="4"/>
    <n v="5"/>
  </r>
  <r>
    <s v="SW-100437"/>
    <d v="2024-03-19T00:00:00"/>
    <x v="0"/>
    <s v="Q1"/>
    <x v="2"/>
    <x v="2"/>
    <x v="2"/>
    <x v="1"/>
    <x v="4"/>
    <s v="Wireless Earbuds"/>
    <n v="1"/>
    <n v="588.41"/>
    <n v="0.1"/>
    <x v="0"/>
    <n v="529.57000000000005"/>
    <n v="475.64"/>
    <n v="53.93"/>
    <n v="1"/>
    <n v="0"/>
    <n v="5"/>
    <n v="4"/>
  </r>
  <r>
    <s v="SW-100438"/>
    <d v="2024-03-19T00:00:00"/>
    <x v="0"/>
    <s v="Q1"/>
    <x v="2"/>
    <x v="1"/>
    <x v="1"/>
    <x v="0"/>
    <x v="2"/>
    <s v="Storage Boxes"/>
    <n v="2"/>
    <n v="154.66"/>
    <n v="0"/>
    <x v="2"/>
    <n v="309.32"/>
    <n v="200.66"/>
    <n v="108.66"/>
    <n v="1"/>
    <n v="0"/>
    <n v="8"/>
    <n v="4"/>
  </r>
  <r>
    <s v="SW-100439"/>
    <d v="2024-03-20T00:00:00"/>
    <x v="0"/>
    <s v="Q1"/>
    <x v="2"/>
    <x v="0"/>
    <x v="1"/>
    <x v="1"/>
    <x v="0"/>
    <s v="Leather Handbag"/>
    <n v="1"/>
    <n v="138.5"/>
    <n v="0"/>
    <x v="2"/>
    <n v="138.5"/>
    <n v="74.430000000000007"/>
    <n v="64.069999999999993"/>
    <n v="1"/>
    <n v="1"/>
    <n v="6"/>
    <n v="3"/>
  </r>
  <r>
    <s v="SW-100440"/>
    <d v="2024-03-20T00:00:00"/>
    <x v="0"/>
    <s v="Q1"/>
    <x v="2"/>
    <x v="1"/>
    <x v="2"/>
    <x v="1"/>
    <x v="3"/>
    <s v="Cycling Helmet"/>
    <n v="2"/>
    <n v="85.42"/>
    <n v="0.1"/>
    <x v="0"/>
    <n v="153.76"/>
    <n v="115.48"/>
    <n v="38.28"/>
    <n v="1"/>
    <n v="0"/>
    <n v="4"/>
    <n v="5"/>
  </r>
  <r>
    <s v="SW-100441"/>
    <d v="2024-03-20T00:00:00"/>
    <x v="0"/>
    <s v="Q1"/>
    <x v="2"/>
    <x v="2"/>
    <x v="0"/>
    <x v="0"/>
    <x v="2"/>
    <s v="Cookware Set"/>
    <n v="3"/>
    <n v="233.81"/>
    <n v="0.25"/>
    <x v="3"/>
    <n v="526.07000000000005"/>
    <n v="463.27"/>
    <n v="62.8"/>
    <n v="1"/>
    <n v="0"/>
    <n v="5"/>
    <n v="5"/>
  </r>
  <r>
    <s v="SW-100442"/>
    <d v="2024-03-20T00:00:00"/>
    <x v="0"/>
    <s v="Q1"/>
    <x v="2"/>
    <x v="0"/>
    <x v="0"/>
    <x v="0"/>
    <x v="0"/>
    <s v="Cotton T-Shirt"/>
    <n v="1"/>
    <n v="19.41"/>
    <n v="0.1"/>
    <x v="0"/>
    <n v="17.47"/>
    <n v="10.75"/>
    <n v="6.72"/>
    <n v="1"/>
    <n v="0"/>
    <n v="4"/>
    <n v="4"/>
  </r>
  <r>
    <s v="SW-100443"/>
    <d v="2024-03-20T00:00:00"/>
    <x v="0"/>
    <s v="Q1"/>
    <x v="2"/>
    <x v="0"/>
    <x v="1"/>
    <x v="0"/>
    <x v="2"/>
    <s v="Air Fryer"/>
    <n v="1"/>
    <n v="68.349999999999994"/>
    <n v="0.15"/>
    <x v="1"/>
    <n v="58.1"/>
    <n v="45.78"/>
    <n v="12.32"/>
    <n v="1"/>
    <n v="0"/>
    <n v="6"/>
    <n v="3"/>
  </r>
  <r>
    <s v="SW-100444"/>
    <d v="2024-03-21T00:00:00"/>
    <x v="0"/>
    <s v="Q1"/>
    <x v="2"/>
    <x v="1"/>
    <x v="0"/>
    <x v="0"/>
    <x v="4"/>
    <s v="Power Bank"/>
    <n v="1"/>
    <n v="508.8"/>
    <n v="0.2"/>
    <x v="1"/>
    <n v="407.04"/>
    <n v="379.98"/>
    <n v="27.06"/>
    <n v="1"/>
    <n v="0"/>
    <n v="4"/>
    <n v="3"/>
  </r>
  <r>
    <s v="SW-100445"/>
    <d v="2024-03-21T00:00:00"/>
    <x v="0"/>
    <s v="Q1"/>
    <x v="2"/>
    <x v="0"/>
    <x v="3"/>
    <x v="1"/>
    <x v="0"/>
    <s v="Running Sneakers"/>
    <n v="2"/>
    <n v="94.85"/>
    <n v="0.15"/>
    <x v="1"/>
    <n v="161.24"/>
    <n v="106.91"/>
    <n v="54.33"/>
    <n v="1"/>
    <n v="0"/>
    <n v="5"/>
    <n v="4"/>
  </r>
  <r>
    <s v="SW-100446"/>
    <d v="2024-03-21T00:00:00"/>
    <x v="0"/>
    <s v="Q1"/>
    <x v="2"/>
    <x v="2"/>
    <x v="2"/>
    <x v="0"/>
    <x v="3"/>
    <s v="Cycling Helmet"/>
    <n v="2"/>
    <n v="85.42"/>
    <n v="0.05"/>
    <x v="0"/>
    <n v="162.30000000000001"/>
    <n v="118.77"/>
    <n v="43.53"/>
    <n v="1"/>
    <n v="0"/>
    <n v="4"/>
    <n v="5"/>
  </r>
  <r>
    <s v="SW-100447"/>
    <d v="2024-03-21T00:00:00"/>
    <x v="0"/>
    <s v="Q1"/>
    <x v="2"/>
    <x v="1"/>
    <x v="1"/>
    <x v="0"/>
    <x v="4"/>
    <s v="Smart Watch"/>
    <n v="1"/>
    <n v="216.08"/>
    <n v="0"/>
    <x v="2"/>
    <n v="216.08"/>
    <n v="173.09"/>
    <n v="42.99"/>
    <n v="1"/>
    <n v="0"/>
    <n v="7"/>
    <n v="5"/>
  </r>
  <r>
    <s v="SW-100448"/>
    <d v="2024-03-21T00:00:00"/>
    <x v="0"/>
    <s v="Q1"/>
    <x v="2"/>
    <x v="2"/>
    <x v="0"/>
    <x v="0"/>
    <x v="3"/>
    <s v="Dumbbell Set"/>
    <n v="1"/>
    <n v="198.42"/>
    <n v="0"/>
    <x v="2"/>
    <n v="198.42"/>
    <n v="134.81"/>
    <n v="63.61"/>
    <n v="1"/>
    <n v="0"/>
    <n v="4"/>
    <n v="4"/>
  </r>
  <r>
    <s v="SW-100449"/>
    <d v="2024-03-22T00:00:00"/>
    <x v="0"/>
    <s v="Q1"/>
    <x v="2"/>
    <x v="0"/>
    <x v="3"/>
    <x v="0"/>
    <x v="5"/>
    <s v="Building Blocks"/>
    <n v="2"/>
    <n v="48.86"/>
    <n v="0.05"/>
    <x v="0"/>
    <n v="92.83"/>
    <n v="73.13"/>
    <n v="19.7"/>
    <n v="1"/>
    <n v="0"/>
    <n v="3"/>
    <n v="5"/>
  </r>
  <r>
    <s v="SW-100450"/>
    <d v="2024-03-22T00:00:00"/>
    <x v="0"/>
    <s v="Q1"/>
    <x v="2"/>
    <x v="1"/>
    <x v="4"/>
    <x v="1"/>
    <x v="4"/>
    <s v="Smart Watch"/>
    <n v="1"/>
    <n v="216.08"/>
    <n v="0.2"/>
    <x v="1"/>
    <n v="172.86"/>
    <n v="168.89"/>
    <n v="3.97"/>
    <n v="1"/>
    <n v="0"/>
    <n v="8"/>
    <n v="3"/>
  </r>
  <r>
    <s v="SW-100451"/>
    <d v="2024-03-22T00:00:00"/>
    <x v="0"/>
    <s v="Q1"/>
    <x v="2"/>
    <x v="2"/>
    <x v="0"/>
    <x v="1"/>
    <x v="2"/>
    <s v="Desk Lamp"/>
    <n v="2"/>
    <n v="117.63"/>
    <n v="0.1"/>
    <x v="0"/>
    <n v="211.73"/>
    <n v="153.21"/>
    <n v="58.52"/>
    <n v="1"/>
    <n v="0"/>
    <n v="4"/>
    <n v="5"/>
  </r>
  <r>
    <s v="SW-100452"/>
    <d v="2024-03-23T00:00:00"/>
    <x v="0"/>
    <s v="Q1"/>
    <x v="2"/>
    <x v="1"/>
    <x v="3"/>
    <x v="1"/>
    <x v="4"/>
    <s v="Tablet 10in"/>
    <n v="4"/>
    <n v="490.3"/>
    <n v="0.05"/>
    <x v="0"/>
    <n v="1863.14"/>
    <n v="1598.47"/>
    <n v="264.67"/>
    <n v="1"/>
    <n v="0"/>
    <n v="3"/>
    <n v="5"/>
  </r>
  <r>
    <s v="SW-100453"/>
    <d v="2024-03-23T00:00:00"/>
    <x v="0"/>
    <s v="Q1"/>
    <x v="2"/>
    <x v="0"/>
    <x v="0"/>
    <x v="1"/>
    <x v="0"/>
    <s v="Running Sneakers"/>
    <n v="2"/>
    <n v="94.85"/>
    <n v="0.2"/>
    <x v="1"/>
    <n v="151.76"/>
    <n v="105.58"/>
    <n v="46.18"/>
    <n v="1"/>
    <n v="0"/>
    <n v="4"/>
    <n v="4"/>
  </r>
  <r>
    <s v="SW-100454"/>
    <d v="2024-03-23T00:00:00"/>
    <x v="0"/>
    <s v="Q1"/>
    <x v="2"/>
    <x v="1"/>
    <x v="3"/>
    <x v="0"/>
    <x v="3"/>
    <s v="Yoga Mat"/>
    <n v="2"/>
    <n v="137.05000000000001"/>
    <n v="0.1"/>
    <x v="0"/>
    <n v="246.69"/>
    <n v="172.41"/>
    <n v="74.28"/>
    <n v="1"/>
    <n v="0"/>
    <n v="3"/>
    <n v="5"/>
  </r>
  <r>
    <s v="SW-100455"/>
    <d v="2024-03-23T00:00:00"/>
    <x v="0"/>
    <s v="Q1"/>
    <x v="2"/>
    <x v="0"/>
    <x v="3"/>
    <x v="1"/>
    <x v="3"/>
    <s v="Cycling Helmet"/>
    <n v="1"/>
    <n v="85.42"/>
    <n v="0.05"/>
    <x v="0"/>
    <n v="81.150000000000006"/>
    <n v="57.64"/>
    <n v="23.51"/>
    <n v="1"/>
    <n v="0"/>
    <n v="4"/>
    <n v="4"/>
  </r>
  <r>
    <s v="SW-100456"/>
    <d v="2024-03-23T00:00:00"/>
    <x v="0"/>
    <s v="Q1"/>
    <x v="2"/>
    <x v="0"/>
    <x v="2"/>
    <x v="1"/>
    <x v="3"/>
    <s v="Cycling Helmet"/>
    <n v="1"/>
    <n v="85.42"/>
    <n v="0.1"/>
    <x v="0"/>
    <n v="76.88"/>
    <n v="59.02"/>
    <n v="17.86"/>
    <n v="1"/>
    <n v="1"/>
    <n v="3"/>
    <n v="4"/>
  </r>
  <r>
    <s v="SW-100457"/>
    <d v="2024-03-23T00:00:00"/>
    <x v="0"/>
    <s v="Q1"/>
    <x v="2"/>
    <x v="0"/>
    <x v="0"/>
    <x v="1"/>
    <x v="1"/>
    <s v="Face Serum"/>
    <n v="1"/>
    <n v="33.479999999999997"/>
    <n v="0"/>
    <x v="2"/>
    <n v="33.479999999999997"/>
    <n v="15.79"/>
    <n v="17.690000000000001"/>
    <n v="1"/>
    <n v="0"/>
    <n v="4"/>
    <n v="3"/>
  </r>
  <r>
    <s v="SW-100458"/>
    <d v="2024-03-23T00:00:00"/>
    <x v="0"/>
    <s v="Q1"/>
    <x v="2"/>
    <x v="0"/>
    <x v="1"/>
    <x v="1"/>
    <x v="1"/>
    <s v="Perfume 100ml"/>
    <n v="4"/>
    <n v="54.56"/>
    <n v="0"/>
    <x v="2"/>
    <n v="218.24"/>
    <n v="106.39"/>
    <n v="111.85"/>
    <n v="1"/>
    <n v="0"/>
    <n v="5"/>
    <n v="4"/>
  </r>
  <r>
    <s v="SW-100459"/>
    <d v="2024-03-23T00:00:00"/>
    <x v="0"/>
    <s v="Q1"/>
    <x v="2"/>
    <x v="1"/>
    <x v="0"/>
    <x v="1"/>
    <x v="0"/>
    <s v="Sunglasses"/>
    <n v="3"/>
    <n v="104.94"/>
    <n v="0.2"/>
    <x v="1"/>
    <n v="251.86"/>
    <n v="168.79"/>
    <n v="83.07"/>
    <n v="1"/>
    <n v="0"/>
    <n v="3"/>
    <n v="5"/>
  </r>
  <r>
    <s v="SW-100460"/>
    <d v="2024-03-23T00:00:00"/>
    <x v="0"/>
    <s v="Q1"/>
    <x v="2"/>
    <x v="1"/>
    <x v="0"/>
    <x v="1"/>
    <x v="0"/>
    <s v="Denim Jacket"/>
    <n v="1"/>
    <n v="78.510000000000005"/>
    <n v="0.05"/>
    <x v="0"/>
    <n v="74.58"/>
    <n v="41.44"/>
    <n v="33.14"/>
    <n v="1"/>
    <n v="0"/>
    <n v="6"/>
    <n v="4"/>
  </r>
  <r>
    <s v="SW-100461"/>
    <d v="2024-03-23T00:00:00"/>
    <x v="0"/>
    <s v="Q1"/>
    <x v="2"/>
    <x v="0"/>
    <x v="3"/>
    <x v="0"/>
    <x v="2"/>
    <s v="Coffee Maker"/>
    <n v="1"/>
    <n v="148.05000000000001"/>
    <n v="0.25"/>
    <x v="3"/>
    <n v="111.04"/>
    <n v="96.14"/>
    <n v="14.9"/>
    <n v="1"/>
    <n v="0"/>
    <n v="3"/>
    <n v="5"/>
  </r>
  <r>
    <s v="SW-100462"/>
    <d v="2024-03-24T00:00:00"/>
    <x v="0"/>
    <s v="Q1"/>
    <x v="2"/>
    <x v="2"/>
    <x v="0"/>
    <x v="0"/>
    <x v="2"/>
    <s v="Storage Boxes"/>
    <n v="1"/>
    <n v="154.66"/>
    <n v="0"/>
    <x v="2"/>
    <n v="154.66"/>
    <n v="99.31"/>
    <n v="55.35"/>
    <n v="1"/>
    <n v="0"/>
    <n v="5"/>
    <n v="4"/>
  </r>
  <r>
    <s v="SW-100463"/>
    <d v="2024-03-24T00:00:00"/>
    <x v="0"/>
    <s v="Q1"/>
    <x v="2"/>
    <x v="1"/>
    <x v="1"/>
    <x v="1"/>
    <x v="4"/>
    <s v="Smart Watch"/>
    <n v="1"/>
    <n v="216.08"/>
    <n v="0"/>
    <x v="2"/>
    <n v="216.08"/>
    <n v="173.05"/>
    <n v="43.03"/>
    <n v="1"/>
    <n v="0"/>
    <n v="6"/>
    <n v="3"/>
  </r>
  <r>
    <s v="SW-100464"/>
    <d v="2024-03-24T00:00:00"/>
    <x v="0"/>
    <s v="Q1"/>
    <x v="2"/>
    <x v="0"/>
    <x v="4"/>
    <x v="1"/>
    <x v="4"/>
    <s v="Bluetooth Speaker"/>
    <n v="1"/>
    <n v="177.65"/>
    <n v="0.25"/>
    <x v="3"/>
    <n v="133.24"/>
    <n v="142.93"/>
    <n v="-9.69"/>
    <n v="1"/>
    <n v="0"/>
    <n v="5"/>
    <n v="3"/>
  </r>
  <r>
    <s v="SW-100465"/>
    <d v="2024-03-25T00:00:00"/>
    <x v="0"/>
    <s v="Q1"/>
    <x v="2"/>
    <x v="0"/>
    <x v="3"/>
    <x v="0"/>
    <x v="4"/>
    <s v="Tablet 10in"/>
    <n v="1"/>
    <n v="490.3"/>
    <n v="0"/>
    <x v="2"/>
    <n v="490.3"/>
    <n v="398.54"/>
    <n v="91.76"/>
    <n v="1"/>
    <n v="0"/>
    <n v="2"/>
    <n v="3"/>
  </r>
  <r>
    <s v="SW-100466"/>
    <d v="2024-03-25T00:00:00"/>
    <x v="0"/>
    <s v="Q1"/>
    <x v="2"/>
    <x v="1"/>
    <x v="2"/>
    <x v="1"/>
    <x v="0"/>
    <s v="Summer Dress"/>
    <n v="1"/>
    <n v="33.99"/>
    <n v="0"/>
    <x v="2"/>
    <n v="33.99"/>
    <n v="17.940000000000001"/>
    <n v="16.05"/>
    <n v="1"/>
    <n v="0"/>
    <n v="4"/>
    <n v="5"/>
  </r>
  <r>
    <s v="SW-100467"/>
    <d v="2024-03-25T00:00:00"/>
    <x v="0"/>
    <s v="Q1"/>
    <x v="2"/>
    <x v="0"/>
    <x v="3"/>
    <x v="0"/>
    <x v="3"/>
    <s v="Dumbbell Set"/>
    <n v="3"/>
    <n v="198.42"/>
    <n v="0.3"/>
    <x v="3"/>
    <n v="416.68"/>
    <n v="413.29"/>
    <n v="3.39"/>
    <n v="1"/>
    <n v="0"/>
    <n v="3"/>
    <n v="5"/>
  </r>
  <r>
    <s v="SW-100468"/>
    <d v="2024-03-25T00:00:00"/>
    <x v="0"/>
    <s v="Q1"/>
    <x v="2"/>
    <x v="0"/>
    <x v="0"/>
    <x v="1"/>
    <x v="2"/>
    <s v="Coffee Maker"/>
    <n v="2"/>
    <n v="148.05000000000001"/>
    <n v="0.15"/>
    <x v="1"/>
    <n v="251.68"/>
    <n v="197.67"/>
    <n v="54.01"/>
    <n v="1"/>
    <n v="0"/>
    <n v="6"/>
    <n v="4"/>
  </r>
  <r>
    <s v="SW-100469"/>
    <d v="2024-03-25T00:00:00"/>
    <x v="0"/>
    <s v="Q1"/>
    <x v="2"/>
    <x v="0"/>
    <x v="3"/>
    <x v="0"/>
    <x v="2"/>
    <s v="Air Fryer"/>
    <n v="1"/>
    <n v="68.349999999999994"/>
    <n v="0"/>
    <x v="2"/>
    <n v="68.349999999999994"/>
    <n v="46.66"/>
    <n v="21.69"/>
    <n v="1"/>
    <n v="0"/>
    <n v="3"/>
    <n v="4"/>
  </r>
  <r>
    <s v="SW-100470"/>
    <d v="2024-03-25T00:00:00"/>
    <x v="0"/>
    <s v="Q1"/>
    <x v="2"/>
    <x v="0"/>
    <x v="2"/>
    <x v="1"/>
    <x v="0"/>
    <s v="Summer Dress"/>
    <n v="4"/>
    <n v="33.99"/>
    <n v="0"/>
    <x v="2"/>
    <n v="135.96"/>
    <n v="71.89"/>
    <n v="64.069999999999993"/>
    <n v="1"/>
    <n v="0"/>
    <n v="5"/>
    <n v="4"/>
  </r>
  <r>
    <s v="SW-100471"/>
    <d v="2024-03-25T00:00:00"/>
    <x v="0"/>
    <s v="Q1"/>
    <x v="2"/>
    <x v="1"/>
    <x v="3"/>
    <x v="0"/>
    <x v="4"/>
    <s v="4K Action Camera"/>
    <n v="1"/>
    <n v="636.09"/>
    <n v="0.05"/>
    <x v="0"/>
    <n v="604.29"/>
    <n v="499.9"/>
    <n v="104.39"/>
    <n v="1"/>
    <n v="0"/>
    <n v="2"/>
    <n v="5"/>
  </r>
  <r>
    <s v="SW-100472"/>
    <d v="2024-03-25T00:00:00"/>
    <x v="0"/>
    <s v="Q1"/>
    <x v="2"/>
    <x v="0"/>
    <x v="3"/>
    <x v="1"/>
    <x v="2"/>
    <s v="Storage Boxes"/>
    <n v="1"/>
    <n v="154.66"/>
    <n v="0.2"/>
    <x v="1"/>
    <n v="123.73"/>
    <n v="98.91"/>
    <n v="24.82"/>
    <n v="1"/>
    <n v="0"/>
    <n v="2"/>
    <n v="5"/>
  </r>
  <r>
    <s v="SW-100473"/>
    <d v="2024-03-25T00:00:00"/>
    <x v="0"/>
    <s v="Q1"/>
    <x v="2"/>
    <x v="0"/>
    <x v="2"/>
    <x v="1"/>
    <x v="0"/>
    <s v="Sunglasses"/>
    <n v="1"/>
    <n v="104.94"/>
    <n v="0.05"/>
    <x v="0"/>
    <n v="99.69"/>
    <n v="57.45"/>
    <n v="42.24"/>
    <n v="1"/>
    <n v="0"/>
    <n v="3"/>
    <n v="5"/>
  </r>
  <r>
    <s v="SW-100474"/>
    <d v="2024-03-25T00:00:00"/>
    <x v="0"/>
    <s v="Q1"/>
    <x v="2"/>
    <x v="0"/>
    <x v="3"/>
    <x v="1"/>
    <x v="5"/>
    <s v="Kids Puzzle"/>
    <n v="2"/>
    <n v="16.97"/>
    <n v="0.25"/>
    <x v="3"/>
    <n v="25.46"/>
    <n v="26.25"/>
    <n v="-0.79"/>
    <n v="1"/>
    <n v="0"/>
    <n v="4"/>
    <n v="4"/>
  </r>
  <r>
    <s v="SW-100475"/>
    <d v="2024-03-25T00:00:00"/>
    <x v="0"/>
    <s v="Q1"/>
    <x v="2"/>
    <x v="2"/>
    <x v="3"/>
    <x v="1"/>
    <x v="4"/>
    <s v="Tablet 10in"/>
    <n v="1"/>
    <n v="490.3"/>
    <n v="0.1"/>
    <x v="0"/>
    <n v="441.27"/>
    <n v="390.46"/>
    <n v="50.81"/>
    <n v="1"/>
    <n v="1"/>
    <n v="4"/>
    <n v="4"/>
  </r>
  <r>
    <s v="SW-100476"/>
    <d v="2024-03-26T00:00:00"/>
    <x v="0"/>
    <s v="Q1"/>
    <x v="2"/>
    <x v="1"/>
    <x v="1"/>
    <x v="1"/>
    <x v="0"/>
    <s v="Sunglasses"/>
    <n v="4"/>
    <n v="104.94"/>
    <n v="0.3"/>
    <x v="3"/>
    <n v="293.83"/>
    <n v="223.82"/>
    <n v="70.010000000000005"/>
    <n v="1"/>
    <n v="0"/>
    <n v="5"/>
    <n v="4"/>
  </r>
  <r>
    <s v="SW-100477"/>
    <d v="2024-03-26T00:00:00"/>
    <x v="0"/>
    <s v="Q1"/>
    <x v="2"/>
    <x v="0"/>
    <x v="0"/>
    <x v="0"/>
    <x v="0"/>
    <s v="Denim Jacket"/>
    <n v="2"/>
    <n v="78.510000000000005"/>
    <n v="0.15"/>
    <x v="1"/>
    <n v="133.47"/>
    <n v="84.02"/>
    <n v="49.45"/>
    <n v="1"/>
    <n v="0"/>
    <n v="4"/>
    <n v="4"/>
  </r>
  <r>
    <s v="SW-100478"/>
    <d v="2024-03-26T00:00:00"/>
    <x v="0"/>
    <s v="Q1"/>
    <x v="2"/>
    <x v="2"/>
    <x v="3"/>
    <x v="0"/>
    <x v="0"/>
    <s v="Leather Handbag"/>
    <n v="4"/>
    <n v="138.5"/>
    <n v="0"/>
    <x v="2"/>
    <n v="554"/>
    <n v="298.52999999999997"/>
    <n v="255.47"/>
    <n v="1"/>
    <n v="0"/>
    <n v="2"/>
    <n v="3"/>
  </r>
  <r>
    <s v="SW-100479"/>
    <d v="2024-03-26T00:00:00"/>
    <x v="0"/>
    <s v="Q1"/>
    <x v="2"/>
    <x v="0"/>
    <x v="2"/>
    <x v="1"/>
    <x v="5"/>
    <s v="Building Blocks"/>
    <n v="1"/>
    <n v="48.86"/>
    <n v="0"/>
    <x v="2"/>
    <n v="48.86"/>
    <n v="33.68"/>
    <n v="15.18"/>
    <n v="1"/>
    <n v="0"/>
    <n v="3"/>
    <n v="5"/>
  </r>
  <r>
    <s v="SW-100480"/>
    <d v="2024-03-27T00:00:00"/>
    <x v="0"/>
    <s v="Q1"/>
    <x v="2"/>
    <x v="1"/>
    <x v="0"/>
    <x v="1"/>
    <x v="0"/>
    <s v="Leather Handbag"/>
    <n v="1"/>
    <n v="138.5"/>
    <n v="0.05"/>
    <x v="0"/>
    <n v="131.57"/>
    <n v="77.709999999999994"/>
    <n v="53.86"/>
    <n v="1"/>
    <n v="0"/>
    <n v="4"/>
    <n v="4"/>
  </r>
  <r>
    <s v="SW-100481"/>
    <d v="2024-03-27T00:00:00"/>
    <x v="0"/>
    <s v="Q1"/>
    <x v="2"/>
    <x v="2"/>
    <x v="4"/>
    <x v="0"/>
    <x v="4"/>
    <s v="Smart Watch"/>
    <n v="1"/>
    <n v="216.08"/>
    <n v="0.15"/>
    <x v="1"/>
    <n v="183.67"/>
    <n v="175.73"/>
    <n v="7.94"/>
    <n v="1"/>
    <n v="0"/>
    <n v="6"/>
    <n v="4"/>
  </r>
  <r>
    <s v="SW-100482"/>
    <d v="2024-03-27T00:00:00"/>
    <x v="0"/>
    <s v="Q1"/>
    <x v="2"/>
    <x v="0"/>
    <x v="2"/>
    <x v="0"/>
    <x v="0"/>
    <s v="Denim Jacket"/>
    <n v="1"/>
    <n v="78.510000000000005"/>
    <n v="0.15"/>
    <x v="1"/>
    <n v="66.73"/>
    <n v="42.12"/>
    <n v="24.61"/>
    <n v="1"/>
    <n v="0"/>
    <n v="4"/>
    <n v="4"/>
  </r>
  <r>
    <s v="SW-100483"/>
    <d v="2024-03-27T00:00:00"/>
    <x v="0"/>
    <s v="Q1"/>
    <x v="2"/>
    <x v="0"/>
    <x v="0"/>
    <x v="1"/>
    <x v="1"/>
    <s v="Makeup Kit"/>
    <n v="1"/>
    <n v="74.3"/>
    <n v="0.1"/>
    <x v="0"/>
    <n v="66.87"/>
    <n v="36.770000000000003"/>
    <n v="30.1"/>
    <n v="1"/>
    <n v="0"/>
    <n v="5"/>
    <n v="5"/>
  </r>
  <r>
    <s v="SW-100484"/>
    <d v="2024-03-27T00:00:00"/>
    <x v="0"/>
    <s v="Q1"/>
    <x v="2"/>
    <x v="2"/>
    <x v="1"/>
    <x v="1"/>
    <x v="4"/>
    <s v="Wireless Earbuds"/>
    <n v="1"/>
    <n v="588.41"/>
    <n v="0.1"/>
    <x v="0"/>
    <n v="529.57000000000005"/>
    <n v="494.15"/>
    <n v="35.42"/>
    <n v="1"/>
    <n v="0"/>
    <n v="6"/>
    <n v="3"/>
  </r>
  <r>
    <s v="SW-100485"/>
    <d v="2024-03-27T00:00:00"/>
    <x v="0"/>
    <s v="Q1"/>
    <x v="2"/>
    <x v="0"/>
    <x v="3"/>
    <x v="1"/>
    <x v="2"/>
    <s v="Desk Lamp"/>
    <n v="1"/>
    <n v="117.63"/>
    <n v="0.15"/>
    <x v="1"/>
    <n v="99.99"/>
    <n v="77.69"/>
    <n v="22.3"/>
    <n v="1"/>
    <n v="0"/>
    <n v="2"/>
    <n v="4"/>
  </r>
  <r>
    <s v="SW-100486"/>
    <d v="2024-03-27T00:00:00"/>
    <x v="0"/>
    <s v="Q1"/>
    <x v="2"/>
    <x v="1"/>
    <x v="3"/>
    <x v="1"/>
    <x v="4"/>
    <s v="Wireless Earbuds"/>
    <n v="1"/>
    <n v="588.41"/>
    <n v="0.05"/>
    <x v="0"/>
    <n v="558.99"/>
    <n v="466.44"/>
    <n v="92.55"/>
    <n v="1"/>
    <n v="0"/>
    <n v="2"/>
    <n v="5"/>
  </r>
  <r>
    <s v="SW-100487"/>
    <d v="2024-03-28T00:00:00"/>
    <x v="0"/>
    <s v="Q1"/>
    <x v="2"/>
    <x v="0"/>
    <x v="3"/>
    <x v="0"/>
    <x v="4"/>
    <s v="Power Bank"/>
    <n v="3"/>
    <n v="508.8"/>
    <n v="0.05"/>
    <x v="0"/>
    <n v="1450.08"/>
    <n v="1185.3900000000001"/>
    <n v="264.69"/>
    <n v="1"/>
    <n v="0"/>
    <n v="3"/>
    <n v="5"/>
  </r>
  <r>
    <s v="SW-100488"/>
    <d v="2024-03-28T00:00:00"/>
    <x v="0"/>
    <s v="Q1"/>
    <x v="2"/>
    <x v="2"/>
    <x v="3"/>
    <x v="0"/>
    <x v="0"/>
    <s v="Summer Dress"/>
    <n v="3"/>
    <n v="33.99"/>
    <n v="0.05"/>
    <x v="0"/>
    <n v="96.87"/>
    <n v="56.85"/>
    <n v="40.020000000000003"/>
    <n v="1"/>
    <n v="0"/>
    <n v="2"/>
    <n v="4"/>
  </r>
  <r>
    <s v="SW-100489"/>
    <d v="2024-03-28T00:00:00"/>
    <x v="0"/>
    <s v="Q1"/>
    <x v="2"/>
    <x v="0"/>
    <x v="4"/>
    <x v="1"/>
    <x v="4"/>
    <s v="Smart Watch"/>
    <n v="1"/>
    <n v="216.08"/>
    <n v="0.2"/>
    <x v="1"/>
    <n v="172.86"/>
    <n v="165.21"/>
    <n v="7.65"/>
    <n v="1"/>
    <n v="0"/>
    <n v="5"/>
    <n v="5"/>
  </r>
  <r>
    <s v="SW-100490"/>
    <d v="2024-03-28T00:00:00"/>
    <x v="0"/>
    <s v="Q1"/>
    <x v="2"/>
    <x v="1"/>
    <x v="0"/>
    <x v="1"/>
    <x v="4"/>
    <s v="4K Action Camera"/>
    <n v="1"/>
    <n v="636.09"/>
    <n v="0"/>
    <x v="2"/>
    <n v="636.09"/>
    <n v="505.14"/>
    <n v="130.94999999999999"/>
    <n v="1"/>
    <n v="0"/>
    <n v="4"/>
    <n v="4"/>
  </r>
  <r>
    <s v="SW-100491"/>
    <d v="2024-03-28T00:00:00"/>
    <x v="0"/>
    <s v="Q1"/>
    <x v="2"/>
    <x v="0"/>
    <x v="2"/>
    <x v="1"/>
    <x v="4"/>
    <s v="Power Bank"/>
    <n v="2"/>
    <n v="508.8"/>
    <n v="0.05"/>
    <x v="0"/>
    <n v="966.72"/>
    <n v="804.89"/>
    <n v="161.83000000000001"/>
    <n v="1"/>
    <n v="0"/>
    <n v="4"/>
    <n v="5"/>
  </r>
  <r>
    <s v="SW-100492"/>
    <d v="2024-03-28T00:00:00"/>
    <x v="0"/>
    <s v="Q1"/>
    <x v="2"/>
    <x v="2"/>
    <x v="1"/>
    <x v="0"/>
    <x v="0"/>
    <s v="Sunglasses"/>
    <n v="1"/>
    <n v="104.94"/>
    <n v="0.1"/>
    <x v="0"/>
    <n v="94.45"/>
    <n v="59.8"/>
    <n v="34.65"/>
    <n v="1"/>
    <n v="1"/>
    <n v="6"/>
    <n v="3"/>
  </r>
  <r>
    <s v="SW-100493"/>
    <d v="2024-03-29T00:00:00"/>
    <x v="0"/>
    <s v="Q1"/>
    <x v="2"/>
    <x v="1"/>
    <x v="2"/>
    <x v="1"/>
    <x v="5"/>
    <s v="Board Game"/>
    <n v="1"/>
    <n v="57.92"/>
    <n v="0.1"/>
    <x v="0"/>
    <n v="52.13"/>
    <n v="41.47"/>
    <n v="10.66"/>
    <n v="1"/>
    <n v="0"/>
    <n v="5"/>
    <n v="5"/>
  </r>
  <r>
    <s v="SW-100494"/>
    <d v="2024-03-29T00:00:00"/>
    <x v="0"/>
    <s v="Q1"/>
    <x v="2"/>
    <x v="0"/>
    <x v="3"/>
    <x v="1"/>
    <x v="2"/>
    <s v="Desk Lamp"/>
    <n v="1"/>
    <n v="117.63"/>
    <n v="0.15"/>
    <x v="1"/>
    <n v="99.99"/>
    <n v="78.69"/>
    <n v="21.3"/>
    <n v="1"/>
    <n v="0"/>
    <n v="2"/>
    <n v="4"/>
  </r>
  <r>
    <s v="SW-100495"/>
    <d v="2024-03-29T00:00:00"/>
    <x v="0"/>
    <s v="Q1"/>
    <x v="2"/>
    <x v="0"/>
    <x v="0"/>
    <x v="0"/>
    <x v="5"/>
    <s v="Story Book Set"/>
    <n v="1"/>
    <n v="10.76"/>
    <n v="0.05"/>
    <x v="0"/>
    <n v="10.220000000000001"/>
    <n v="7.86"/>
    <n v="2.36"/>
    <n v="1"/>
    <n v="0"/>
    <n v="5"/>
    <n v="4"/>
  </r>
  <r>
    <s v="SW-100496"/>
    <d v="2024-03-29T00:00:00"/>
    <x v="0"/>
    <s v="Q1"/>
    <x v="2"/>
    <x v="1"/>
    <x v="3"/>
    <x v="1"/>
    <x v="4"/>
    <s v="Bluetooth Speaker"/>
    <n v="3"/>
    <n v="177.65"/>
    <n v="0.1"/>
    <x v="0"/>
    <n v="479.66"/>
    <n v="424.35"/>
    <n v="55.31"/>
    <n v="1"/>
    <n v="0"/>
    <n v="3"/>
    <n v="4"/>
  </r>
  <r>
    <s v="SW-100497"/>
    <d v="2024-03-29T00:00:00"/>
    <x v="0"/>
    <s v="Q1"/>
    <x v="2"/>
    <x v="2"/>
    <x v="3"/>
    <x v="1"/>
    <x v="4"/>
    <s v="Power Bank"/>
    <n v="1"/>
    <n v="508.8"/>
    <n v="0.15"/>
    <x v="1"/>
    <n v="432.48"/>
    <n v="389.98"/>
    <n v="42.5"/>
    <n v="1"/>
    <n v="0"/>
    <n v="5"/>
    <n v="4"/>
  </r>
  <r>
    <s v="SW-100498"/>
    <d v="2024-03-29T00:00:00"/>
    <x v="0"/>
    <s v="Q1"/>
    <x v="2"/>
    <x v="2"/>
    <x v="2"/>
    <x v="1"/>
    <x v="2"/>
    <s v="Bed Sheet Set"/>
    <n v="1"/>
    <n v="90.75"/>
    <n v="0.05"/>
    <x v="0"/>
    <n v="86.21"/>
    <n v="55.58"/>
    <n v="30.63"/>
    <n v="1"/>
    <n v="0"/>
    <n v="6"/>
    <n v="3"/>
  </r>
  <r>
    <s v="SW-100499"/>
    <d v="2024-03-29T00:00:00"/>
    <x v="0"/>
    <s v="Q1"/>
    <x v="2"/>
    <x v="1"/>
    <x v="0"/>
    <x v="1"/>
    <x v="5"/>
    <s v="Story Book Set"/>
    <n v="2"/>
    <n v="10.76"/>
    <n v="0.2"/>
    <x v="1"/>
    <n v="17.22"/>
    <n v="15.95"/>
    <n v="1.27"/>
    <n v="1"/>
    <n v="0"/>
    <n v="3"/>
    <n v="5"/>
  </r>
  <r>
    <s v="SW-100500"/>
    <d v="2024-03-29T00:00:00"/>
    <x v="0"/>
    <s v="Q1"/>
    <x v="2"/>
    <x v="2"/>
    <x v="3"/>
    <x v="0"/>
    <x v="5"/>
    <s v="Kids Puzzle"/>
    <n v="2"/>
    <n v="16.97"/>
    <n v="0"/>
    <x v="2"/>
    <n v="33.94"/>
    <n v="23.97"/>
    <n v="9.9700000000000006"/>
    <n v="1"/>
    <n v="0"/>
    <n v="3"/>
    <n v="5"/>
  </r>
  <r>
    <s v="SW-100501"/>
    <d v="2024-03-29T00:00:00"/>
    <x v="0"/>
    <s v="Q1"/>
    <x v="2"/>
    <x v="0"/>
    <x v="3"/>
    <x v="1"/>
    <x v="2"/>
    <s v="Coffee Maker"/>
    <n v="1"/>
    <n v="148.05000000000001"/>
    <n v="0"/>
    <x v="2"/>
    <n v="148.05000000000001"/>
    <n v="101.03"/>
    <n v="47.02"/>
    <n v="1"/>
    <n v="0"/>
    <n v="3"/>
    <n v="4"/>
  </r>
  <r>
    <s v="SW-100502"/>
    <d v="2024-03-30T00:00:00"/>
    <x v="0"/>
    <s v="Q1"/>
    <x v="2"/>
    <x v="0"/>
    <x v="0"/>
    <x v="1"/>
    <x v="0"/>
    <s v="Summer Dress"/>
    <n v="2"/>
    <n v="33.99"/>
    <n v="0.15"/>
    <x v="1"/>
    <n v="57.78"/>
    <n v="37.14"/>
    <n v="20.64"/>
    <n v="1"/>
    <n v="0"/>
    <n v="4"/>
    <n v="5"/>
  </r>
  <r>
    <s v="SW-100503"/>
    <d v="2024-03-30T00:00:00"/>
    <x v="0"/>
    <s v="Q1"/>
    <x v="2"/>
    <x v="2"/>
    <x v="3"/>
    <x v="0"/>
    <x v="5"/>
    <s v="Story Book Set"/>
    <n v="1"/>
    <n v="10.76"/>
    <n v="0"/>
    <x v="2"/>
    <n v="10.76"/>
    <n v="8.06"/>
    <n v="2.7"/>
    <n v="1"/>
    <n v="0"/>
    <n v="2"/>
    <n v="5"/>
  </r>
  <r>
    <s v="SW-100504"/>
    <d v="2024-03-30T00:00:00"/>
    <x v="0"/>
    <s v="Q1"/>
    <x v="2"/>
    <x v="0"/>
    <x v="3"/>
    <x v="0"/>
    <x v="0"/>
    <s v="Summer Dress"/>
    <n v="1"/>
    <n v="33.99"/>
    <n v="0.2"/>
    <x v="1"/>
    <n v="27.19"/>
    <n v="19.02"/>
    <n v="8.17"/>
    <n v="1"/>
    <n v="0"/>
    <n v="3"/>
    <n v="5"/>
  </r>
  <r>
    <s v="SW-100505"/>
    <d v="2024-03-30T00:00:00"/>
    <x v="0"/>
    <s v="Q1"/>
    <x v="2"/>
    <x v="0"/>
    <x v="0"/>
    <x v="1"/>
    <x v="0"/>
    <s v="Leather Handbag"/>
    <n v="1"/>
    <n v="138.5"/>
    <n v="0.1"/>
    <x v="0"/>
    <n v="124.65"/>
    <n v="75.14"/>
    <n v="49.51"/>
    <n v="1"/>
    <n v="0"/>
    <n v="5"/>
    <n v="4"/>
  </r>
  <r>
    <s v="SW-100506"/>
    <d v="2024-03-30T00:00:00"/>
    <x v="0"/>
    <s v="Q1"/>
    <x v="2"/>
    <x v="0"/>
    <x v="3"/>
    <x v="1"/>
    <x v="2"/>
    <s v="Coffee Maker"/>
    <n v="1"/>
    <n v="148.05000000000001"/>
    <n v="0"/>
    <x v="2"/>
    <n v="148.05000000000001"/>
    <n v="94.33"/>
    <n v="53.72"/>
    <n v="1"/>
    <n v="0"/>
    <n v="3"/>
    <n v="4"/>
  </r>
  <r>
    <s v="SW-100507"/>
    <d v="2024-03-30T00:00:00"/>
    <x v="0"/>
    <s v="Q1"/>
    <x v="2"/>
    <x v="0"/>
    <x v="0"/>
    <x v="0"/>
    <x v="1"/>
    <s v="Makeup Kit"/>
    <n v="1"/>
    <n v="74.3"/>
    <n v="0.15"/>
    <x v="1"/>
    <n v="63.15"/>
    <n v="34.909999999999997"/>
    <n v="28.24"/>
    <n v="1"/>
    <n v="0"/>
    <n v="3"/>
    <n v="3"/>
  </r>
  <r>
    <s v="SW-100508"/>
    <d v="2024-03-30T00:00:00"/>
    <x v="0"/>
    <s v="Q1"/>
    <x v="2"/>
    <x v="1"/>
    <x v="3"/>
    <x v="1"/>
    <x v="1"/>
    <s v="Makeup Kit"/>
    <n v="1"/>
    <n v="74.3"/>
    <n v="0"/>
    <x v="2"/>
    <n v="74.3"/>
    <n v="37.369999999999997"/>
    <n v="36.93"/>
    <n v="1"/>
    <n v="0"/>
    <n v="3"/>
    <n v="5"/>
  </r>
  <r>
    <s v="SW-100509"/>
    <d v="2024-03-30T00:00:00"/>
    <x v="0"/>
    <s v="Q1"/>
    <x v="2"/>
    <x v="0"/>
    <x v="0"/>
    <x v="0"/>
    <x v="1"/>
    <s v="Face Serum"/>
    <n v="1"/>
    <n v="33.479999999999997"/>
    <n v="0.1"/>
    <x v="0"/>
    <n v="30.13"/>
    <n v="15.93"/>
    <n v="14.2"/>
    <n v="1"/>
    <n v="0"/>
    <n v="4"/>
    <n v="4"/>
  </r>
  <r>
    <s v="SW-100510"/>
    <d v="2024-03-30T00:00:00"/>
    <x v="0"/>
    <s v="Q1"/>
    <x v="2"/>
    <x v="0"/>
    <x v="2"/>
    <x v="0"/>
    <x v="4"/>
    <s v="Bluetooth Speaker"/>
    <n v="2"/>
    <n v="177.65"/>
    <n v="0.2"/>
    <x v="1"/>
    <n v="284.24"/>
    <n v="268.16000000000003"/>
    <n v="16.079999999999998"/>
    <n v="1"/>
    <n v="1"/>
    <n v="3"/>
    <n v="3"/>
  </r>
  <r>
    <s v="SW-100511"/>
    <d v="2024-03-30T00:00:00"/>
    <x v="0"/>
    <s v="Q1"/>
    <x v="2"/>
    <x v="1"/>
    <x v="4"/>
    <x v="1"/>
    <x v="1"/>
    <s v="Face Serum"/>
    <n v="2"/>
    <n v="33.479999999999997"/>
    <n v="0"/>
    <x v="2"/>
    <n v="66.959999999999994"/>
    <n v="29.56"/>
    <n v="37.4"/>
    <n v="1"/>
    <n v="0"/>
    <n v="7"/>
    <n v="3"/>
  </r>
  <r>
    <s v="SW-100512"/>
    <d v="2024-03-30T00:00:00"/>
    <x v="0"/>
    <s v="Q1"/>
    <x v="2"/>
    <x v="0"/>
    <x v="2"/>
    <x v="1"/>
    <x v="4"/>
    <s v="Tablet 10in"/>
    <n v="1"/>
    <n v="490.3"/>
    <n v="0.05"/>
    <x v="0"/>
    <n v="465.78"/>
    <n v="408"/>
    <n v="57.78"/>
    <n v="1"/>
    <n v="0"/>
    <n v="3"/>
    <n v="5"/>
  </r>
  <r>
    <s v="SW-100513"/>
    <d v="2024-03-30T00:00:00"/>
    <x v="0"/>
    <s v="Q1"/>
    <x v="2"/>
    <x v="1"/>
    <x v="4"/>
    <x v="1"/>
    <x v="0"/>
    <s v="Leather Handbag"/>
    <n v="1"/>
    <n v="138.5"/>
    <n v="0"/>
    <x v="2"/>
    <n v="138.5"/>
    <n v="74.400000000000006"/>
    <n v="64.099999999999994"/>
    <n v="1"/>
    <n v="0"/>
    <n v="5"/>
    <n v="5"/>
  </r>
  <r>
    <s v="SW-100514"/>
    <d v="2024-03-30T00:00:00"/>
    <x v="0"/>
    <s v="Q1"/>
    <x v="2"/>
    <x v="0"/>
    <x v="3"/>
    <x v="0"/>
    <x v="0"/>
    <s v="Cotton T-Shirt"/>
    <n v="1"/>
    <n v="19.41"/>
    <n v="0.15"/>
    <x v="1"/>
    <n v="16.5"/>
    <n v="9.7200000000000006"/>
    <n v="6.78"/>
    <n v="1"/>
    <n v="0"/>
    <n v="2"/>
    <n v="5"/>
  </r>
  <r>
    <s v="SW-100515"/>
    <d v="2024-03-31T00:00:00"/>
    <x v="0"/>
    <s v="Q1"/>
    <x v="2"/>
    <x v="2"/>
    <x v="2"/>
    <x v="1"/>
    <x v="1"/>
    <s v="Face Serum"/>
    <n v="3"/>
    <n v="33.479999999999997"/>
    <n v="0.15"/>
    <x v="1"/>
    <n v="85.37"/>
    <n v="47.07"/>
    <n v="38.299999999999997"/>
    <n v="1"/>
    <n v="0"/>
    <n v="4"/>
    <n v="4"/>
  </r>
  <r>
    <s v="SW-100516"/>
    <d v="2024-03-31T00:00:00"/>
    <x v="0"/>
    <s v="Q1"/>
    <x v="2"/>
    <x v="0"/>
    <x v="0"/>
    <x v="0"/>
    <x v="4"/>
    <s v="Smart Watch"/>
    <n v="1"/>
    <n v="216.08"/>
    <n v="0.1"/>
    <x v="0"/>
    <n v="194.47"/>
    <n v="170.79"/>
    <n v="23.68"/>
    <n v="1"/>
    <n v="0"/>
    <n v="3"/>
    <n v="4"/>
  </r>
  <r>
    <s v="SW-100517"/>
    <d v="2024-03-31T00:00:00"/>
    <x v="0"/>
    <s v="Q1"/>
    <x v="2"/>
    <x v="0"/>
    <x v="3"/>
    <x v="1"/>
    <x v="1"/>
    <s v="Perfume 100ml"/>
    <n v="2"/>
    <n v="54.56"/>
    <n v="0.15"/>
    <x v="1"/>
    <n v="92.75"/>
    <n v="51.54"/>
    <n v="41.21"/>
    <n v="1"/>
    <n v="0"/>
    <n v="2"/>
    <n v="4"/>
  </r>
  <r>
    <s v="SW-100518"/>
    <d v="2024-03-31T00:00:00"/>
    <x v="0"/>
    <s v="Q1"/>
    <x v="2"/>
    <x v="0"/>
    <x v="0"/>
    <x v="1"/>
    <x v="4"/>
    <s v="Wireless Earbuds"/>
    <n v="3"/>
    <n v="588.41"/>
    <n v="0.1"/>
    <x v="0"/>
    <n v="1588.71"/>
    <n v="1358.16"/>
    <n v="230.55"/>
    <n v="1"/>
    <n v="0"/>
    <n v="3"/>
    <n v="4"/>
  </r>
  <r>
    <s v="SW-100519"/>
    <d v="2024-03-31T00:00:00"/>
    <x v="0"/>
    <s v="Q1"/>
    <x v="2"/>
    <x v="0"/>
    <x v="0"/>
    <x v="0"/>
    <x v="4"/>
    <s v="Tablet 10in"/>
    <n v="2"/>
    <n v="490.3"/>
    <n v="0.05"/>
    <x v="0"/>
    <n v="931.57"/>
    <n v="748.65"/>
    <n v="182.92"/>
    <n v="1"/>
    <n v="0"/>
    <n v="3"/>
    <n v="4"/>
  </r>
  <r>
    <s v="SW-100520"/>
    <d v="2024-03-31T00:00:00"/>
    <x v="0"/>
    <s v="Q1"/>
    <x v="2"/>
    <x v="0"/>
    <x v="1"/>
    <x v="1"/>
    <x v="5"/>
    <s v="Bestseller Novel"/>
    <n v="1"/>
    <n v="45.28"/>
    <n v="0.2"/>
    <x v="1"/>
    <n v="36.22"/>
    <n v="31.23"/>
    <n v="4.99"/>
    <n v="1"/>
    <n v="0"/>
    <n v="6"/>
    <n v="4"/>
  </r>
  <r>
    <s v="SW-100521"/>
    <d v="2024-04-01T00:00:00"/>
    <x v="0"/>
    <s v="Q2"/>
    <x v="3"/>
    <x v="2"/>
    <x v="3"/>
    <x v="0"/>
    <x v="0"/>
    <s v="Summer Dress"/>
    <n v="1"/>
    <n v="33.99"/>
    <n v="0.15"/>
    <x v="1"/>
    <n v="28.89"/>
    <n v="18.399999999999999"/>
    <n v="10.49"/>
    <n v="1"/>
    <n v="1"/>
    <n v="2"/>
    <n v="3"/>
  </r>
  <r>
    <s v="SW-100522"/>
    <d v="2024-04-01T00:00:00"/>
    <x v="0"/>
    <s v="Q2"/>
    <x v="3"/>
    <x v="1"/>
    <x v="2"/>
    <x v="1"/>
    <x v="3"/>
    <s v="Dumbbell Set"/>
    <n v="3"/>
    <n v="198.42"/>
    <n v="0.2"/>
    <x v="1"/>
    <n v="476.21"/>
    <n v="396.25"/>
    <n v="79.959999999999994"/>
    <n v="1"/>
    <n v="0"/>
    <n v="4"/>
    <n v="3"/>
  </r>
  <r>
    <s v="SW-100523"/>
    <d v="2024-04-01T00:00:00"/>
    <x v="0"/>
    <s v="Q2"/>
    <x v="3"/>
    <x v="2"/>
    <x v="4"/>
    <x v="0"/>
    <x v="5"/>
    <s v="Bestseller Novel"/>
    <n v="1"/>
    <n v="45.28"/>
    <n v="0.3"/>
    <x v="3"/>
    <n v="31.7"/>
    <n v="32.770000000000003"/>
    <n v="-1.07"/>
    <n v="1"/>
    <n v="1"/>
    <n v="8"/>
    <n v="1"/>
  </r>
  <r>
    <s v="SW-100524"/>
    <d v="2024-04-01T00:00:00"/>
    <x v="0"/>
    <s v="Q2"/>
    <x v="3"/>
    <x v="2"/>
    <x v="3"/>
    <x v="0"/>
    <x v="3"/>
    <s v="Cycling Helmet"/>
    <n v="1"/>
    <n v="85.42"/>
    <n v="0.1"/>
    <x v="0"/>
    <n v="76.88"/>
    <n v="56.62"/>
    <n v="20.260000000000002"/>
    <n v="1"/>
    <n v="0"/>
    <n v="4"/>
    <n v="4"/>
  </r>
  <r>
    <s v="SW-100525"/>
    <d v="2024-04-01T00:00:00"/>
    <x v="0"/>
    <s v="Q2"/>
    <x v="3"/>
    <x v="1"/>
    <x v="3"/>
    <x v="0"/>
    <x v="1"/>
    <s v="Perfume 100ml"/>
    <n v="2"/>
    <n v="54.56"/>
    <n v="0"/>
    <x v="2"/>
    <n v="109.12"/>
    <n v="51.39"/>
    <n v="57.73"/>
    <n v="1"/>
    <n v="0"/>
    <n v="3"/>
    <n v="3"/>
  </r>
  <r>
    <s v="SW-100526"/>
    <d v="2024-04-02T00:00:00"/>
    <x v="0"/>
    <s v="Q2"/>
    <x v="3"/>
    <x v="2"/>
    <x v="3"/>
    <x v="0"/>
    <x v="4"/>
    <s v="Smart Watch"/>
    <n v="4"/>
    <n v="216.08"/>
    <n v="0.2"/>
    <x v="1"/>
    <n v="691.46"/>
    <n v="700.3"/>
    <n v="-8.84"/>
    <n v="1"/>
    <n v="0"/>
    <n v="3"/>
    <n v="5"/>
  </r>
  <r>
    <s v="SW-100527"/>
    <d v="2024-04-02T00:00:00"/>
    <x v="0"/>
    <s v="Q2"/>
    <x v="3"/>
    <x v="0"/>
    <x v="3"/>
    <x v="1"/>
    <x v="2"/>
    <s v="Air Fryer"/>
    <n v="1"/>
    <n v="68.349999999999994"/>
    <n v="0.05"/>
    <x v="0"/>
    <n v="64.930000000000007"/>
    <n v="45.14"/>
    <n v="19.79"/>
    <n v="1"/>
    <n v="0"/>
    <n v="3"/>
    <n v="5"/>
  </r>
  <r>
    <s v="SW-100528"/>
    <d v="2024-04-02T00:00:00"/>
    <x v="0"/>
    <s v="Q2"/>
    <x v="3"/>
    <x v="1"/>
    <x v="3"/>
    <x v="0"/>
    <x v="4"/>
    <s v="Bluetooth Speaker"/>
    <n v="1"/>
    <n v="177.65"/>
    <n v="0.05"/>
    <x v="0"/>
    <n v="168.77"/>
    <n v="134"/>
    <n v="34.770000000000003"/>
    <n v="1"/>
    <n v="0"/>
    <n v="2"/>
    <n v="5"/>
  </r>
  <r>
    <s v="SW-100529"/>
    <d v="2024-04-03T00:00:00"/>
    <x v="0"/>
    <s v="Q2"/>
    <x v="3"/>
    <x v="1"/>
    <x v="2"/>
    <x v="0"/>
    <x v="0"/>
    <s v="Leather Handbag"/>
    <n v="4"/>
    <n v="138.5"/>
    <n v="0"/>
    <x v="2"/>
    <n v="554"/>
    <n v="300.51"/>
    <n v="253.49"/>
    <n v="1"/>
    <n v="0"/>
    <n v="3"/>
    <n v="5"/>
  </r>
  <r>
    <s v="SW-100530"/>
    <d v="2024-04-03T00:00:00"/>
    <x v="0"/>
    <s v="Q2"/>
    <x v="3"/>
    <x v="0"/>
    <x v="2"/>
    <x v="1"/>
    <x v="3"/>
    <s v="Fitness Tracker"/>
    <n v="4"/>
    <n v="74.459999999999994"/>
    <n v="0.05"/>
    <x v="0"/>
    <n v="282.95"/>
    <n v="193.84"/>
    <n v="89.11"/>
    <n v="1"/>
    <n v="0"/>
    <n v="4"/>
    <n v="4"/>
  </r>
  <r>
    <s v="SW-100531"/>
    <d v="2024-04-03T00:00:00"/>
    <x v="0"/>
    <s v="Q2"/>
    <x v="3"/>
    <x v="0"/>
    <x v="4"/>
    <x v="1"/>
    <x v="3"/>
    <s v="Cycling Helmet"/>
    <n v="2"/>
    <n v="85.42"/>
    <n v="0.15"/>
    <x v="1"/>
    <n v="145.21"/>
    <n v="117.23"/>
    <n v="27.98"/>
    <n v="1"/>
    <n v="0"/>
    <n v="8"/>
    <n v="4"/>
  </r>
  <r>
    <s v="SW-100532"/>
    <d v="2024-04-03T00:00:00"/>
    <x v="0"/>
    <s v="Q2"/>
    <x v="3"/>
    <x v="0"/>
    <x v="0"/>
    <x v="1"/>
    <x v="4"/>
    <s v="Tablet 10in"/>
    <n v="2"/>
    <n v="490.3"/>
    <n v="0"/>
    <x v="2"/>
    <n v="980.6"/>
    <n v="785.34"/>
    <n v="195.26"/>
    <n v="1"/>
    <n v="0"/>
    <n v="3"/>
    <n v="4"/>
  </r>
  <r>
    <s v="SW-100533"/>
    <d v="2024-04-03T00:00:00"/>
    <x v="0"/>
    <s v="Q2"/>
    <x v="3"/>
    <x v="0"/>
    <x v="1"/>
    <x v="1"/>
    <x v="2"/>
    <s v="Cookware Set"/>
    <n v="3"/>
    <n v="233.81"/>
    <n v="0"/>
    <x v="2"/>
    <n v="701.43"/>
    <n v="446.07"/>
    <n v="255.36"/>
    <n v="1"/>
    <n v="0"/>
    <n v="6"/>
    <n v="4"/>
  </r>
  <r>
    <s v="SW-100534"/>
    <d v="2024-04-03T00:00:00"/>
    <x v="0"/>
    <s v="Q2"/>
    <x v="3"/>
    <x v="0"/>
    <x v="2"/>
    <x v="1"/>
    <x v="0"/>
    <s v="Sunglasses"/>
    <n v="1"/>
    <n v="104.94"/>
    <n v="0.2"/>
    <x v="1"/>
    <n v="83.95"/>
    <n v="57.15"/>
    <n v="26.8"/>
    <n v="1"/>
    <n v="0"/>
    <n v="3"/>
    <n v="4"/>
  </r>
  <r>
    <s v="SW-100535"/>
    <d v="2024-04-03T00:00:00"/>
    <x v="0"/>
    <s v="Q2"/>
    <x v="3"/>
    <x v="1"/>
    <x v="3"/>
    <x v="0"/>
    <x v="0"/>
    <s v="Denim Jacket"/>
    <n v="1"/>
    <n v="78.510000000000005"/>
    <n v="0.05"/>
    <x v="0"/>
    <n v="74.58"/>
    <n v="42.86"/>
    <n v="31.72"/>
    <n v="1"/>
    <n v="0"/>
    <n v="3"/>
    <n v="4"/>
  </r>
  <r>
    <s v="SW-100536"/>
    <d v="2024-04-03T00:00:00"/>
    <x v="0"/>
    <s v="Q2"/>
    <x v="3"/>
    <x v="0"/>
    <x v="0"/>
    <x v="1"/>
    <x v="5"/>
    <s v="Story Book Set"/>
    <n v="2"/>
    <n v="10.76"/>
    <n v="0"/>
    <x v="2"/>
    <n v="21.52"/>
    <n v="15.88"/>
    <n v="5.64"/>
    <n v="1"/>
    <n v="0"/>
    <n v="3"/>
    <n v="4"/>
  </r>
  <r>
    <s v="SW-100537"/>
    <d v="2024-04-03T00:00:00"/>
    <x v="0"/>
    <s v="Q2"/>
    <x v="3"/>
    <x v="1"/>
    <x v="1"/>
    <x v="0"/>
    <x v="2"/>
    <s v="Bed Sheet Set"/>
    <n v="1"/>
    <n v="90.75"/>
    <n v="0"/>
    <x v="2"/>
    <n v="90.75"/>
    <n v="58.26"/>
    <n v="32.49"/>
    <n v="1"/>
    <n v="0"/>
    <n v="5"/>
    <n v="4"/>
  </r>
  <r>
    <s v="SW-100538"/>
    <d v="2024-04-03T00:00:00"/>
    <x v="0"/>
    <s v="Q2"/>
    <x v="3"/>
    <x v="0"/>
    <x v="1"/>
    <x v="1"/>
    <x v="4"/>
    <s v="4K Action Camera"/>
    <n v="3"/>
    <n v="636.09"/>
    <n v="0.15"/>
    <x v="1"/>
    <n v="1622.03"/>
    <n v="1496.21"/>
    <n v="125.82"/>
    <n v="1"/>
    <n v="0"/>
    <n v="6"/>
    <n v="3"/>
  </r>
  <r>
    <s v="SW-100539"/>
    <d v="2024-04-04T00:00:00"/>
    <x v="0"/>
    <s v="Q2"/>
    <x v="3"/>
    <x v="2"/>
    <x v="3"/>
    <x v="1"/>
    <x v="0"/>
    <s v="Leather Handbag"/>
    <n v="1"/>
    <n v="138.5"/>
    <n v="0.05"/>
    <x v="0"/>
    <n v="131.57"/>
    <n v="73.86"/>
    <n v="57.71"/>
    <n v="1"/>
    <n v="0"/>
    <n v="2"/>
    <n v="4"/>
  </r>
  <r>
    <s v="SW-100540"/>
    <d v="2024-04-04T00:00:00"/>
    <x v="0"/>
    <s v="Q2"/>
    <x v="3"/>
    <x v="0"/>
    <x v="3"/>
    <x v="0"/>
    <x v="0"/>
    <s v="Running Sneakers"/>
    <n v="3"/>
    <n v="94.85"/>
    <n v="0"/>
    <x v="2"/>
    <n v="284.55"/>
    <n v="152.97999999999999"/>
    <n v="131.57"/>
    <n v="1"/>
    <n v="1"/>
    <n v="3"/>
    <n v="3"/>
  </r>
  <r>
    <s v="SW-100541"/>
    <d v="2024-04-04T00:00:00"/>
    <x v="0"/>
    <s v="Q2"/>
    <x v="3"/>
    <x v="1"/>
    <x v="1"/>
    <x v="1"/>
    <x v="4"/>
    <s v="4K Action Camera"/>
    <n v="1"/>
    <n v="636.09"/>
    <n v="0"/>
    <x v="2"/>
    <n v="636.09"/>
    <n v="497.9"/>
    <n v="138.19"/>
    <n v="1"/>
    <n v="0"/>
    <n v="5"/>
    <n v="5"/>
  </r>
  <r>
    <s v="SW-100542"/>
    <d v="2024-04-04T00:00:00"/>
    <x v="0"/>
    <s v="Q2"/>
    <x v="3"/>
    <x v="1"/>
    <x v="3"/>
    <x v="1"/>
    <x v="4"/>
    <s v="Tablet 10in"/>
    <n v="2"/>
    <n v="490.3"/>
    <n v="0.1"/>
    <x v="0"/>
    <n v="882.54"/>
    <n v="792.29"/>
    <n v="90.25"/>
    <n v="1"/>
    <n v="0"/>
    <n v="2"/>
    <n v="4"/>
  </r>
  <r>
    <s v="SW-100543"/>
    <d v="2024-04-05T00:00:00"/>
    <x v="0"/>
    <s v="Q2"/>
    <x v="3"/>
    <x v="0"/>
    <x v="0"/>
    <x v="1"/>
    <x v="4"/>
    <s v="Wireless Earbuds"/>
    <n v="2"/>
    <n v="588.41"/>
    <n v="0"/>
    <x v="2"/>
    <n v="1176.82"/>
    <n v="956.41"/>
    <n v="220.41"/>
    <n v="1"/>
    <n v="0"/>
    <n v="4"/>
    <n v="5"/>
  </r>
  <r>
    <s v="SW-100544"/>
    <d v="2024-04-05T00:00:00"/>
    <x v="0"/>
    <s v="Q2"/>
    <x v="3"/>
    <x v="0"/>
    <x v="3"/>
    <x v="0"/>
    <x v="3"/>
    <s v="Dumbbell Set"/>
    <n v="4"/>
    <n v="198.42"/>
    <n v="0.1"/>
    <x v="0"/>
    <n v="714.31"/>
    <n v="512.03"/>
    <n v="202.28"/>
    <n v="1"/>
    <n v="1"/>
    <n v="2"/>
    <n v="3"/>
  </r>
  <r>
    <s v="SW-100545"/>
    <d v="2024-04-05T00:00:00"/>
    <x v="0"/>
    <s v="Q2"/>
    <x v="3"/>
    <x v="0"/>
    <x v="1"/>
    <x v="1"/>
    <x v="4"/>
    <s v="Wireless Earbuds"/>
    <n v="1"/>
    <n v="588.41"/>
    <n v="0.25"/>
    <x v="3"/>
    <n v="441.31"/>
    <n v="456.38"/>
    <n v="-15.07"/>
    <n v="1"/>
    <n v="0"/>
    <n v="5"/>
    <n v="5"/>
  </r>
  <r>
    <s v="SW-100546"/>
    <d v="2024-04-05T00:00:00"/>
    <x v="0"/>
    <s v="Q2"/>
    <x v="3"/>
    <x v="1"/>
    <x v="2"/>
    <x v="0"/>
    <x v="4"/>
    <s v="Tablet 10in"/>
    <n v="1"/>
    <n v="490.3"/>
    <n v="0.25"/>
    <x v="3"/>
    <n v="367.72"/>
    <n v="386.06"/>
    <n v="-18.34"/>
    <n v="1"/>
    <n v="0"/>
    <n v="3"/>
    <n v="3"/>
  </r>
  <r>
    <s v="SW-100547"/>
    <d v="2024-04-05T00:00:00"/>
    <x v="0"/>
    <s v="Q2"/>
    <x v="3"/>
    <x v="2"/>
    <x v="3"/>
    <x v="1"/>
    <x v="5"/>
    <s v="Story Book Set"/>
    <n v="1"/>
    <n v="10.76"/>
    <n v="0"/>
    <x v="2"/>
    <n v="10.76"/>
    <n v="7.77"/>
    <n v="2.99"/>
    <n v="1"/>
    <n v="0"/>
    <n v="2"/>
    <n v="4"/>
  </r>
  <r>
    <s v="SW-100548"/>
    <d v="2024-04-06T00:00:00"/>
    <x v="0"/>
    <s v="Q2"/>
    <x v="3"/>
    <x v="2"/>
    <x v="3"/>
    <x v="0"/>
    <x v="1"/>
    <s v="Perfume 100ml"/>
    <n v="1"/>
    <n v="54.56"/>
    <n v="0.1"/>
    <x v="0"/>
    <n v="49.1"/>
    <n v="26.85"/>
    <n v="22.25"/>
    <n v="1"/>
    <n v="0"/>
    <n v="3"/>
    <n v="5"/>
  </r>
  <r>
    <s v="SW-100549"/>
    <d v="2024-04-06T00:00:00"/>
    <x v="0"/>
    <s v="Q2"/>
    <x v="3"/>
    <x v="0"/>
    <x v="3"/>
    <x v="0"/>
    <x v="0"/>
    <s v="Sunglasses"/>
    <n v="2"/>
    <n v="104.94"/>
    <n v="0"/>
    <x v="2"/>
    <n v="209.88"/>
    <n v="115.65"/>
    <n v="94.23"/>
    <n v="1"/>
    <n v="0"/>
    <n v="4"/>
    <n v="4"/>
  </r>
  <r>
    <s v="SW-100550"/>
    <d v="2024-04-06T00:00:00"/>
    <x v="0"/>
    <s v="Q2"/>
    <x v="3"/>
    <x v="1"/>
    <x v="0"/>
    <x v="0"/>
    <x v="0"/>
    <s v="Leather Handbag"/>
    <n v="1"/>
    <n v="138.5"/>
    <n v="0.2"/>
    <x v="1"/>
    <n v="110.8"/>
    <n v="77.47"/>
    <n v="33.33"/>
    <n v="1"/>
    <n v="0"/>
    <n v="8"/>
    <n v="3"/>
  </r>
  <r>
    <s v="SW-100551"/>
    <d v="2024-04-06T00:00:00"/>
    <x v="0"/>
    <s v="Q2"/>
    <x v="3"/>
    <x v="1"/>
    <x v="2"/>
    <x v="1"/>
    <x v="4"/>
    <s v="4K Action Camera"/>
    <n v="3"/>
    <n v="636.09"/>
    <n v="0.1"/>
    <x v="0"/>
    <n v="1717.44"/>
    <n v="1490.23"/>
    <n v="227.21"/>
    <n v="1"/>
    <n v="0"/>
    <n v="3"/>
    <n v="5"/>
  </r>
  <r>
    <s v="SW-100552"/>
    <d v="2024-04-06T00:00:00"/>
    <x v="0"/>
    <s v="Q2"/>
    <x v="3"/>
    <x v="2"/>
    <x v="2"/>
    <x v="1"/>
    <x v="4"/>
    <s v="Bluetooth Speaker"/>
    <n v="2"/>
    <n v="177.65"/>
    <n v="0.1"/>
    <x v="0"/>
    <n v="319.77"/>
    <n v="276.05"/>
    <n v="43.72"/>
    <n v="1"/>
    <n v="0"/>
    <n v="3"/>
    <n v="4"/>
  </r>
  <r>
    <s v="SW-100553"/>
    <d v="2024-04-06T00:00:00"/>
    <x v="0"/>
    <s v="Q2"/>
    <x v="3"/>
    <x v="0"/>
    <x v="3"/>
    <x v="0"/>
    <x v="0"/>
    <s v="Running Sneakers"/>
    <n v="1"/>
    <n v="94.85"/>
    <n v="0"/>
    <x v="2"/>
    <n v="94.85"/>
    <n v="48.61"/>
    <n v="46.24"/>
    <n v="1"/>
    <n v="0"/>
    <n v="2"/>
    <n v="5"/>
  </r>
  <r>
    <s v="SW-100554"/>
    <d v="2024-04-06T00:00:00"/>
    <x v="0"/>
    <s v="Q2"/>
    <x v="3"/>
    <x v="2"/>
    <x v="2"/>
    <x v="0"/>
    <x v="0"/>
    <s v="Sunglasses"/>
    <n v="2"/>
    <n v="104.94"/>
    <n v="0.1"/>
    <x v="0"/>
    <n v="188.89"/>
    <n v="114.05"/>
    <n v="74.84"/>
    <n v="1"/>
    <n v="0"/>
    <n v="4"/>
    <n v="4"/>
  </r>
  <r>
    <s v="SW-100555"/>
    <d v="2024-04-06T00:00:00"/>
    <x v="0"/>
    <s v="Q2"/>
    <x v="3"/>
    <x v="1"/>
    <x v="0"/>
    <x v="0"/>
    <x v="3"/>
    <s v="Dumbbell Set"/>
    <n v="1"/>
    <n v="198.42"/>
    <n v="0.15"/>
    <x v="1"/>
    <n v="168.66"/>
    <n v="134.52000000000001"/>
    <n v="34.14"/>
    <n v="1"/>
    <n v="0"/>
    <n v="3"/>
    <n v="5"/>
  </r>
  <r>
    <s v="SW-100556"/>
    <d v="2024-04-06T00:00:00"/>
    <x v="0"/>
    <s v="Q2"/>
    <x v="3"/>
    <x v="2"/>
    <x v="2"/>
    <x v="0"/>
    <x v="4"/>
    <s v="Tablet 10in"/>
    <n v="1"/>
    <n v="490.3"/>
    <n v="0.15"/>
    <x v="1"/>
    <n v="416.76"/>
    <n v="413.48"/>
    <n v="3.28"/>
    <n v="1"/>
    <n v="0"/>
    <n v="4"/>
    <n v="5"/>
  </r>
  <r>
    <s v="SW-100557"/>
    <d v="2024-04-07T00:00:00"/>
    <x v="0"/>
    <s v="Q2"/>
    <x v="3"/>
    <x v="0"/>
    <x v="3"/>
    <x v="1"/>
    <x v="0"/>
    <s v="Running Sneakers"/>
    <n v="4"/>
    <n v="94.85"/>
    <n v="0"/>
    <x v="2"/>
    <n v="379.4"/>
    <n v="206.94"/>
    <n v="172.46"/>
    <n v="1"/>
    <n v="0"/>
    <n v="3"/>
    <n v="4"/>
  </r>
  <r>
    <s v="SW-100558"/>
    <d v="2024-04-07T00:00:00"/>
    <x v="0"/>
    <s v="Q2"/>
    <x v="3"/>
    <x v="0"/>
    <x v="2"/>
    <x v="0"/>
    <x v="1"/>
    <s v="Makeup Kit"/>
    <n v="2"/>
    <n v="74.3"/>
    <n v="0.05"/>
    <x v="0"/>
    <n v="141.16999999999999"/>
    <n v="72.77"/>
    <n v="68.400000000000006"/>
    <n v="1"/>
    <n v="0"/>
    <n v="3"/>
    <n v="5"/>
  </r>
  <r>
    <s v="SW-100559"/>
    <d v="2024-04-07T00:00:00"/>
    <x v="0"/>
    <s v="Q2"/>
    <x v="3"/>
    <x v="2"/>
    <x v="4"/>
    <x v="0"/>
    <x v="3"/>
    <s v="Fitness Tracker"/>
    <n v="2"/>
    <n v="74.459999999999994"/>
    <n v="0"/>
    <x v="2"/>
    <n v="148.91999999999999"/>
    <n v="101.96"/>
    <n v="46.96"/>
    <n v="1"/>
    <n v="0"/>
    <n v="6"/>
    <n v="3"/>
  </r>
  <r>
    <s v="SW-100560"/>
    <d v="2024-04-07T00:00:00"/>
    <x v="0"/>
    <s v="Q2"/>
    <x v="3"/>
    <x v="0"/>
    <x v="0"/>
    <x v="1"/>
    <x v="4"/>
    <s v="Bluetooth Speaker"/>
    <n v="2"/>
    <n v="177.65"/>
    <n v="0.1"/>
    <x v="0"/>
    <n v="319.77"/>
    <n v="280.58999999999997"/>
    <n v="39.18"/>
    <n v="1"/>
    <n v="0"/>
    <n v="5"/>
    <n v="4"/>
  </r>
  <r>
    <s v="SW-100561"/>
    <d v="2024-04-07T00:00:00"/>
    <x v="0"/>
    <s v="Q2"/>
    <x v="3"/>
    <x v="0"/>
    <x v="2"/>
    <x v="1"/>
    <x v="1"/>
    <s v="Face Serum"/>
    <n v="1"/>
    <n v="33.479999999999997"/>
    <n v="0.15"/>
    <x v="1"/>
    <n v="28.46"/>
    <n v="16.260000000000002"/>
    <n v="12.2"/>
    <n v="1"/>
    <n v="0"/>
    <n v="6"/>
    <n v="4"/>
  </r>
  <r>
    <s v="SW-100562"/>
    <d v="2024-04-08T00:00:00"/>
    <x v="0"/>
    <s v="Q2"/>
    <x v="3"/>
    <x v="1"/>
    <x v="3"/>
    <x v="1"/>
    <x v="4"/>
    <s v="Smart Watch"/>
    <n v="2"/>
    <n v="216.08"/>
    <n v="0"/>
    <x v="2"/>
    <n v="432.16"/>
    <n v="336.11"/>
    <n v="96.05"/>
    <n v="1"/>
    <n v="0"/>
    <n v="5"/>
    <n v="4"/>
  </r>
  <r>
    <s v="SW-100563"/>
    <d v="2024-04-08T00:00:00"/>
    <x v="0"/>
    <s v="Q2"/>
    <x v="3"/>
    <x v="0"/>
    <x v="2"/>
    <x v="1"/>
    <x v="0"/>
    <s v="Leather Handbag"/>
    <n v="2"/>
    <n v="138.5"/>
    <n v="0.05"/>
    <x v="0"/>
    <n v="263.14999999999998"/>
    <n v="149.57"/>
    <n v="113.58"/>
    <n v="1"/>
    <n v="1"/>
    <n v="4"/>
    <n v="4"/>
  </r>
  <r>
    <s v="SW-100564"/>
    <d v="2024-04-08T00:00:00"/>
    <x v="0"/>
    <s v="Q2"/>
    <x v="3"/>
    <x v="0"/>
    <x v="3"/>
    <x v="1"/>
    <x v="0"/>
    <s v="Summer Dress"/>
    <n v="1"/>
    <n v="33.99"/>
    <n v="0"/>
    <x v="2"/>
    <n v="33.99"/>
    <n v="18.22"/>
    <n v="15.77"/>
    <n v="1"/>
    <n v="0"/>
    <n v="3"/>
    <n v="5"/>
  </r>
  <r>
    <s v="SW-100565"/>
    <d v="2024-04-08T00:00:00"/>
    <x v="0"/>
    <s v="Q2"/>
    <x v="3"/>
    <x v="0"/>
    <x v="3"/>
    <x v="0"/>
    <x v="1"/>
    <s v="Perfume 100ml"/>
    <n v="2"/>
    <n v="54.56"/>
    <n v="0.1"/>
    <x v="0"/>
    <n v="98.21"/>
    <n v="50.6"/>
    <n v="47.61"/>
    <n v="1"/>
    <n v="0"/>
    <n v="2"/>
    <n v="5"/>
  </r>
  <r>
    <s v="SW-100566"/>
    <d v="2024-04-09T00:00:00"/>
    <x v="0"/>
    <s v="Q2"/>
    <x v="3"/>
    <x v="0"/>
    <x v="0"/>
    <x v="1"/>
    <x v="0"/>
    <s v="Denim Jacket"/>
    <n v="1"/>
    <n v="78.510000000000005"/>
    <n v="0"/>
    <x v="2"/>
    <n v="78.510000000000005"/>
    <n v="43.84"/>
    <n v="34.67"/>
    <n v="1"/>
    <n v="0"/>
    <n v="3"/>
    <n v="4"/>
  </r>
  <r>
    <s v="SW-100567"/>
    <d v="2024-04-09T00:00:00"/>
    <x v="0"/>
    <s v="Q2"/>
    <x v="3"/>
    <x v="0"/>
    <x v="0"/>
    <x v="0"/>
    <x v="4"/>
    <s v="Power Bank"/>
    <n v="2"/>
    <n v="508.8"/>
    <n v="0.1"/>
    <x v="0"/>
    <n v="915.84"/>
    <n v="813.53"/>
    <n v="102.31"/>
    <n v="1"/>
    <n v="0"/>
    <n v="4"/>
    <n v="4"/>
  </r>
  <r>
    <s v="SW-100568"/>
    <d v="2024-04-09T00:00:00"/>
    <x v="0"/>
    <s v="Q2"/>
    <x v="3"/>
    <x v="0"/>
    <x v="3"/>
    <x v="1"/>
    <x v="5"/>
    <s v="Building Blocks"/>
    <n v="1"/>
    <n v="48.86"/>
    <n v="0"/>
    <x v="2"/>
    <n v="48.86"/>
    <n v="34.53"/>
    <n v="14.33"/>
    <n v="1"/>
    <n v="0"/>
    <n v="3"/>
    <n v="4"/>
  </r>
  <r>
    <s v="SW-100569"/>
    <d v="2024-04-09T00:00:00"/>
    <x v="0"/>
    <s v="Q2"/>
    <x v="3"/>
    <x v="1"/>
    <x v="3"/>
    <x v="0"/>
    <x v="1"/>
    <s v="Hair Dryer"/>
    <n v="1"/>
    <n v="33.18"/>
    <n v="0"/>
    <x v="2"/>
    <n v="33.18"/>
    <n v="16.2"/>
    <n v="16.98"/>
    <n v="1"/>
    <n v="0"/>
    <n v="3"/>
    <n v="5"/>
  </r>
  <r>
    <s v="SW-100570"/>
    <d v="2024-04-09T00:00:00"/>
    <x v="0"/>
    <s v="Q2"/>
    <x v="3"/>
    <x v="0"/>
    <x v="3"/>
    <x v="1"/>
    <x v="0"/>
    <s v="Summer Dress"/>
    <n v="1"/>
    <n v="33.99"/>
    <n v="0.05"/>
    <x v="0"/>
    <n v="32.29"/>
    <n v="17.91"/>
    <n v="14.38"/>
    <n v="1"/>
    <n v="1"/>
    <n v="3"/>
    <n v="3"/>
  </r>
  <r>
    <s v="SW-100571"/>
    <d v="2024-04-09T00:00:00"/>
    <x v="0"/>
    <s v="Q2"/>
    <x v="3"/>
    <x v="0"/>
    <x v="3"/>
    <x v="1"/>
    <x v="0"/>
    <s v="Denim Jacket"/>
    <n v="2"/>
    <n v="78.510000000000005"/>
    <n v="0"/>
    <x v="2"/>
    <n v="157.02000000000001"/>
    <n v="85.95"/>
    <n v="71.069999999999993"/>
    <n v="1"/>
    <n v="0"/>
    <n v="3"/>
    <n v="4"/>
  </r>
  <r>
    <s v="SW-100572"/>
    <d v="2024-04-09T00:00:00"/>
    <x v="0"/>
    <s v="Q2"/>
    <x v="3"/>
    <x v="0"/>
    <x v="3"/>
    <x v="0"/>
    <x v="2"/>
    <s v="Storage Boxes"/>
    <n v="1"/>
    <n v="154.66"/>
    <n v="0.05"/>
    <x v="0"/>
    <n v="146.93"/>
    <n v="103.32"/>
    <n v="43.61"/>
    <n v="1"/>
    <n v="0"/>
    <n v="2"/>
    <n v="5"/>
  </r>
  <r>
    <s v="SW-100573"/>
    <d v="2024-04-09T00:00:00"/>
    <x v="0"/>
    <s v="Q2"/>
    <x v="3"/>
    <x v="1"/>
    <x v="0"/>
    <x v="0"/>
    <x v="3"/>
    <s v="Dumbbell Set"/>
    <n v="3"/>
    <n v="198.42"/>
    <n v="0"/>
    <x v="2"/>
    <n v="595.26"/>
    <n v="400.11"/>
    <n v="195.15"/>
    <n v="1"/>
    <n v="0"/>
    <n v="4"/>
    <n v="4"/>
  </r>
  <r>
    <s v="SW-100574"/>
    <d v="2024-04-09T00:00:00"/>
    <x v="0"/>
    <s v="Q2"/>
    <x v="3"/>
    <x v="0"/>
    <x v="0"/>
    <x v="0"/>
    <x v="1"/>
    <s v="Face Serum"/>
    <n v="2"/>
    <n v="33.479999999999997"/>
    <n v="0"/>
    <x v="2"/>
    <n v="66.959999999999994"/>
    <n v="30.68"/>
    <n v="36.28"/>
    <n v="1"/>
    <n v="0"/>
    <n v="3"/>
    <n v="4"/>
  </r>
  <r>
    <s v="SW-100575"/>
    <d v="2024-04-09T00:00:00"/>
    <x v="0"/>
    <s v="Q2"/>
    <x v="3"/>
    <x v="2"/>
    <x v="4"/>
    <x v="1"/>
    <x v="0"/>
    <s v="Sunglasses"/>
    <n v="2"/>
    <n v="104.94"/>
    <n v="0.2"/>
    <x v="1"/>
    <n v="167.9"/>
    <n v="105.09"/>
    <n v="62.81"/>
    <n v="1"/>
    <n v="0"/>
    <n v="5"/>
    <n v="5"/>
  </r>
  <r>
    <s v="SW-100576"/>
    <d v="2024-04-09T00:00:00"/>
    <x v="0"/>
    <s v="Q2"/>
    <x v="3"/>
    <x v="0"/>
    <x v="0"/>
    <x v="1"/>
    <x v="5"/>
    <s v="Story Book Set"/>
    <n v="1"/>
    <n v="10.76"/>
    <n v="0"/>
    <x v="2"/>
    <n v="10.76"/>
    <n v="7.32"/>
    <n v="3.44"/>
    <n v="1"/>
    <n v="0"/>
    <n v="5"/>
    <n v="5"/>
  </r>
  <r>
    <s v="SW-100577"/>
    <d v="2024-04-10T00:00:00"/>
    <x v="0"/>
    <s v="Q2"/>
    <x v="3"/>
    <x v="0"/>
    <x v="3"/>
    <x v="1"/>
    <x v="3"/>
    <s v="Yoga Mat"/>
    <n v="1"/>
    <n v="137.05000000000001"/>
    <n v="0"/>
    <x v="2"/>
    <n v="137.05000000000001"/>
    <n v="91.05"/>
    <n v="46"/>
    <n v="1"/>
    <n v="0"/>
    <n v="2"/>
    <n v="4"/>
  </r>
  <r>
    <s v="SW-100578"/>
    <d v="2024-04-10T00:00:00"/>
    <x v="0"/>
    <s v="Q2"/>
    <x v="3"/>
    <x v="0"/>
    <x v="2"/>
    <x v="1"/>
    <x v="0"/>
    <s v="Leather Handbag"/>
    <n v="1"/>
    <n v="138.5"/>
    <n v="0"/>
    <x v="2"/>
    <n v="138.5"/>
    <n v="69.459999999999994"/>
    <n v="69.040000000000006"/>
    <n v="1"/>
    <n v="0"/>
    <n v="3"/>
    <n v="5"/>
  </r>
  <r>
    <s v="SW-100579"/>
    <d v="2024-04-10T00:00:00"/>
    <x v="0"/>
    <s v="Q2"/>
    <x v="3"/>
    <x v="1"/>
    <x v="0"/>
    <x v="0"/>
    <x v="5"/>
    <s v="Board Game"/>
    <n v="4"/>
    <n v="57.92"/>
    <n v="0.1"/>
    <x v="0"/>
    <n v="208.51"/>
    <n v="164.99"/>
    <n v="43.52"/>
    <n v="1"/>
    <n v="0"/>
    <n v="3"/>
    <n v="4"/>
  </r>
  <r>
    <s v="SW-100580"/>
    <d v="2024-04-10T00:00:00"/>
    <x v="0"/>
    <s v="Q2"/>
    <x v="3"/>
    <x v="0"/>
    <x v="3"/>
    <x v="1"/>
    <x v="3"/>
    <s v="Yoga Mat"/>
    <n v="1"/>
    <n v="137.05000000000001"/>
    <n v="0.05"/>
    <x v="0"/>
    <n v="130.19999999999999"/>
    <n v="90.67"/>
    <n v="39.53"/>
    <n v="1"/>
    <n v="0"/>
    <n v="3"/>
    <n v="4"/>
  </r>
  <r>
    <s v="SW-100581"/>
    <d v="2024-04-10T00:00:00"/>
    <x v="0"/>
    <s v="Q2"/>
    <x v="3"/>
    <x v="0"/>
    <x v="3"/>
    <x v="0"/>
    <x v="4"/>
    <s v="Wireless Earbuds"/>
    <n v="1"/>
    <n v="588.41"/>
    <n v="0"/>
    <x v="2"/>
    <n v="588.41"/>
    <n v="486.95"/>
    <n v="101.46"/>
    <n v="1"/>
    <n v="0"/>
    <n v="4"/>
    <n v="4"/>
  </r>
  <r>
    <s v="SW-100582"/>
    <d v="2024-04-10T00:00:00"/>
    <x v="0"/>
    <s v="Q2"/>
    <x v="3"/>
    <x v="0"/>
    <x v="0"/>
    <x v="1"/>
    <x v="4"/>
    <s v="Bluetooth Speaker"/>
    <n v="1"/>
    <n v="177.65"/>
    <n v="0.05"/>
    <x v="0"/>
    <n v="168.77"/>
    <n v="145.51"/>
    <n v="23.26"/>
    <n v="1"/>
    <n v="0"/>
    <n v="3"/>
    <n v="4"/>
  </r>
  <r>
    <s v="SW-100583"/>
    <d v="2024-04-11T00:00:00"/>
    <x v="0"/>
    <s v="Q2"/>
    <x v="3"/>
    <x v="0"/>
    <x v="0"/>
    <x v="0"/>
    <x v="3"/>
    <s v="Cycling Helmet"/>
    <n v="2"/>
    <n v="85.42"/>
    <n v="0.1"/>
    <x v="0"/>
    <n v="153.76"/>
    <n v="111.33"/>
    <n v="42.43"/>
    <n v="1"/>
    <n v="0"/>
    <n v="3"/>
    <n v="4"/>
  </r>
  <r>
    <s v="SW-100584"/>
    <d v="2024-04-11T00:00:00"/>
    <x v="0"/>
    <s v="Q2"/>
    <x v="3"/>
    <x v="2"/>
    <x v="0"/>
    <x v="1"/>
    <x v="2"/>
    <s v="Coffee Maker"/>
    <n v="1"/>
    <n v="148.05000000000001"/>
    <n v="0.05"/>
    <x v="0"/>
    <n v="140.65"/>
    <n v="98.93"/>
    <n v="41.72"/>
    <n v="1"/>
    <n v="0"/>
    <n v="5"/>
    <n v="4"/>
  </r>
  <r>
    <s v="SW-100585"/>
    <d v="2024-04-11T00:00:00"/>
    <x v="0"/>
    <s v="Q2"/>
    <x v="3"/>
    <x v="0"/>
    <x v="3"/>
    <x v="0"/>
    <x v="1"/>
    <s v="Hair Dryer"/>
    <n v="1"/>
    <n v="33.18"/>
    <n v="0.1"/>
    <x v="0"/>
    <n v="29.86"/>
    <n v="15.57"/>
    <n v="14.29"/>
    <n v="1"/>
    <n v="0"/>
    <n v="3"/>
    <n v="3"/>
  </r>
  <r>
    <s v="SW-100586"/>
    <d v="2024-04-11T00:00:00"/>
    <x v="0"/>
    <s v="Q2"/>
    <x v="3"/>
    <x v="2"/>
    <x v="3"/>
    <x v="0"/>
    <x v="0"/>
    <s v="Leather Handbag"/>
    <n v="1"/>
    <n v="138.5"/>
    <n v="0.05"/>
    <x v="0"/>
    <n v="131.57"/>
    <n v="71.63"/>
    <n v="59.94"/>
    <n v="1"/>
    <n v="0"/>
    <n v="2"/>
    <n v="4"/>
  </r>
  <r>
    <s v="SW-100587"/>
    <d v="2024-04-11T00:00:00"/>
    <x v="0"/>
    <s v="Q2"/>
    <x v="3"/>
    <x v="0"/>
    <x v="3"/>
    <x v="0"/>
    <x v="0"/>
    <s v="Sunglasses"/>
    <n v="3"/>
    <n v="104.94"/>
    <n v="0.2"/>
    <x v="1"/>
    <n v="251.86"/>
    <n v="171.66"/>
    <n v="80.2"/>
    <n v="1"/>
    <n v="0"/>
    <n v="2"/>
    <n v="5"/>
  </r>
  <r>
    <s v="SW-100588"/>
    <d v="2024-04-11T00:00:00"/>
    <x v="0"/>
    <s v="Q2"/>
    <x v="3"/>
    <x v="0"/>
    <x v="3"/>
    <x v="0"/>
    <x v="1"/>
    <s v="Face Serum"/>
    <n v="1"/>
    <n v="33.479999999999997"/>
    <n v="0.25"/>
    <x v="3"/>
    <n v="25.11"/>
    <n v="16.239999999999998"/>
    <n v="8.8699999999999992"/>
    <n v="1"/>
    <n v="0"/>
    <n v="3"/>
    <n v="4"/>
  </r>
  <r>
    <s v="SW-100589"/>
    <d v="2024-04-11T00:00:00"/>
    <x v="0"/>
    <s v="Q2"/>
    <x v="3"/>
    <x v="1"/>
    <x v="3"/>
    <x v="1"/>
    <x v="0"/>
    <s v="Leather Handbag"/>
    <n v="3"/>
    <n v="138.5"/>
    <n v="0"/>
    <x v="2"/>
    <n v="415.5"/>
    <n v="219.38"/>
    <n v="196.12"/>
    <n v="1"/>
    <n v="0"/>
    <n v="2"/>
    <n v="4"/>
  </r>
  <r>
    <s v="SW-100590"/>
    <d v="2024-04-11T00:00:00"/>
    <x v="0"/>
    <s v="Q2"/>
    <x v="3"/>
    <x v="0"/>
    <x v="2"/>
    <x v="1"/>
    <x v="0"/>
    <s v="Running Sneakers"/>
    <n v="1"/>
    <n v="94.85"/>
    <n v="0"/>
    <x v="2"/>
    <n v="94.85"/>
    <n v="53.27"/>
    <n v="41.58"/>
    <n v="1"/>
    <n v="1"/>
    <n v="4"/>
    <n v="3"/>
  </r>
  <r>
    <s v="SW-100591"/>
    <d v="2024-04-11T00:00:00"/>
    <x v="0"/>
    <s v="Q2"/>
    <x v="3"/>
    <x v="2"/>
    <x v="0"/>
    <x v="0"/>
    <x v="5"/>
    <s v="Kids Puzzle"/>
    <n v="1"/>
    <n v="16.97"/>
    <n v="0.05"/>
    <x v="0"/>
    <n v="16.12"/>
    <n v="12.07"/>
    <n v="4.05"/>
    <n v="1"/>
    <n v="0"/>
    <n v="4"/>
    <n v="4"/>
  </r>
  <r>
    <s v="SW-100592"/>
    <d v="2024-04-11T00:00:00"/>
    <x v="0"/>
    <s v="Q2"/>
    <x v="3"/>
    <x v="1"/>
    <x v="3"/>
    <x v="1"/>
    <x v="0"/>
    <s v="Leather Handbag"/>
    <n v="1"/>
    <n v="138.5"/>
    <n v="0.05"/>
    <x v="0"/>
    <n v="131.57"/>
    <n v="74.83"/>
    <n v="56.74"/>
    <n v="1"/>
    <n v="0"/>
    <n v="4"/>
    <n v="5"/>
  </r>
  <r>
    <s v="SW-100593"/>
    <d v="2024-04-11T00:00:00"/>
    <x v="0"/>
    <s v="Q2"/>
    <x v="3"/>
    <x v="1"/>
    <x v="0"/>
    <x v="0"/>
    <x v="3"/>
    <s v="Fitness Tracker"/>
    <n v="1"/>
    <n v="74.459999999999994"/>
    <n v="0.1"/>
    <x v="0"/>
    <n v="67.010000000000005"/>
    <n v="50.33"/>
    <n v="16.68"/>
    <n v="1"/>
    <n v="0"/>
    <n v="4"/>
    <n v="5"/>
  </r>
  <r>
    <s v="SW-100594"/>
    <d v="2024-04-11T00:00:00"/>
    <x v="0"/>
    <s v="Q2"/>
    <x v="3"/>
    <x v="1"/>
    <x v="2"/>
    <x v="0"/>
    <x v="0"/>
    <s v="Summer Dress"/>
    <n v="1"/>
    <n v="33.99"/>
    <n v="0.1"/>
    <x v="0"/>
    <n v="30.59"/>
    <n v="18.78"/>
    <n v="11.81"/>
    <n v="1"/>
    <n v="0"/>
    <n v="3"/>
    <n v="3"/>
  </r>
  <r>
    <s v="SW-100595"/>
    <d v="2024-04-12T00:00:00"/>
    <x v="0"/>
    <s v="Q2"/>
    <x v="3"/>
    <x v="0"/>
    <x v="3"/>
    <x v="0"/>
    <x v="5"/>
    <s v="Kids Puzzle"/>
    <n v="1"/>
    <n v="16.97"/>
    <n v="0"/>
    <x v="2"/>
    <n v="16.97"/>
    <n v="12.46"/>
    <n v="4.51"/>
    <n v="1"/>
    <n v="0"/>
    <n v="3"/>
    <n v="4"/>
  </r>
  <r>
    <s v="SW-100596"/>
    <d v="2024-04-12T00:00:00"/>
    <x v="0"/>
    <s v="Q2"/>
    <x v="3"/>
    <x v="0"/>
    <x v="2"/>
    <x v="0"/>
    <x v="4"/>
    <s v="Tablet 10in"/>
    <n v="1"/>
    <n v="490.3"/>
    <n v="0"/>
    <x v="2"/>
    <n v="490.3"/>
    <n v="384.42"/>
    <n v="105.88"/>
    <n v="1"/>
    <n v="0"/>
    <n v="3"/>
    <n v="4"/>
  </r>
  <r>
    <s v="SW-100597"/>
    <d v="2024-04-12T00:00:00"/>
    <x v="0"/>
    <s v="Q2"/>
    <x v="3"/>
    <x v="2"/>
    <x v="1"/>
    <x v="0"/>
    <x v="0"/>
    <s v="Denim Jacket"/>
    <n v="1"/>
    <n v="78.510000000000005"/>
    <n v="0"/>
    <x v="2"/>
    <n v="78.510000000000005"/>
    <n v="41.98"/>
    <n v="36.53"/>
    <n v="1"/>
    <n v="0"/>
    <n v="6"/>
    <n v="4"/>
  </r>
  <r>
    <s v="SW-100598"/>
    <d v="2024-04-12T00:00:00"/>
    <x v="0"/>
    <s v="Q2"/>
    <x v="3"/>
    <x v="2"/>
    <x v="0"/>
    <x v="0"/>
    <x v="4"/>
    <s v="Smart Watch"/>
    <n v="1"/>
    <n v="216.08"/>
    <n v="0"/>
    <x v="2"/>
    <n v="216.08"/>
    <n v="171.26"/>
    <n v="44.82"/>
    <n v="1"/>
    <n v="0"/>
    <n v="3"/>
    <n v="4"/>
  </r>
  <r>
    <s v="SW-100599"/>
    <d v="2024-04-12T00:00:00"/>
    <x v="0"/>
    <s v="Q2"/>
    <x v="3"/>
    <x v="1"/>
    <x v="1"/>
    <x v="1"/>
    <x v="5"/>
    <s v="Story Book Set"/>
    <n v="3"/>
    <n v="10.76"/>
    <n v="0.05"/>
    <x v="0"/>
    <n v="30.67"/>
    <n v="22.53"/>
    <n v="8.14"/>
    <n v="1"/>
    <n v="0"/>
    <n v="5"/>
    <n v="5"/>
  </r>
  <r>
    <s v="SW-100600"/>
    <d v="2024-04-12T00:00:00"/>
    <x v="0"/>
    <s v="Q2"/>
    <x v="3"/>
    <x v="0"/>
    <x v="1"/>
    <x v="1"/>
    <x v="1"/>
    <s v="Makeup Kit"/>
    <n v="1"/>
    <n v="74.3"/>
    <n v="0"/>
    <x v="2"/>
    <n v="74.3"/>
    <n v="35.75"/>
    <n v="38.549999999999997"/>
    <n v="1"/>
    <n v="0"/>
    <n v="6"/>
    <n v="3"/>
  </r>
  <r>
    <s v="SW-100601"/>
    <d v="2024-04-12T00:00:00"/>
    <x v="0"/>
    <s v="Q2"/>
    <x v="3"/>
    <x v="0"/>
    <x v="3"/>
    <x v="0"/>
    <x v="5"/>
    <s v="Story Book Set"/>
    <n v="3"/>
    <n v="10.76"/>
    <n v="0"/>
    <x v="2"/>
    <n v="32.28"/>
    <n v="24.3"/>
    <n v="7.98"/>
    <n v="1"/>
    <n v="0"/>
    <n v="4"/>
    <n v="5"/>
  </r>
  <r>
    <s v="SW-100602"/>
    <d v="2024-04-12T00:00:00"/>
    <x v="0"/>
    <s v="Q2"/>
    <x v="3"/>
    <x v="0"/>
    <x v="3"/>
    <x v="1"/>
    <x v="1"/>
    <s v="Perfume 100ml"/>
    <n v="1"/>
    <n v="54.56"/>
    <n v="0"/>
    <x v="2"/>
    <n v="54.56"/>
    <n v="25.01"/>
    <n v="29.55"/>
    <n v="1"/>
    <n v="0"/>
    <n v="2"/>
    <n v="5"/>
  </r>
  <r>
    <s v="SW-100603"/>
    <d v="2024-04-13T00:00:00"/>
    <x v="0"/>
    <s v="Q2"/>
    <x v="3"/>
    <x v="1"/>
    <x v="2"/>
    <x v="0"/>
    <x v="0"/>
    <s v="Running Sneakers"/>
    <n v="1"/>
    <n v="94.85"/>
    <n v="0.1"/>
    <x v="0"/>
    <n v="85.36"/>
    <n v="53.85"/>
    <n v="31.51"/>
    <n v="1"/>
    <n v="0"/>
    <n v="3"/>
    <n v="5"/>
  </r>
  <r>
    <s v="SW-100604"/>
    <d v="2024-04-13T00:00:00"/>
    <x v="0"/>
    <s v="Q2"/>
    <x v="3"/>
    <x v="1"/>
    <x v="3"/>
    <x v="1"/>
    <x v="0"/>
    <s v="Cotton T-Shirt"/>
    <n v="1"/>
    <n v="19.41"/>
    <n v="0.1"/>
    <x v="0"/>
    <n v="17.47"/>
    <n v="10.35"/>
    <n v="7.12"/>
    <n v="1"/>
    <n v="0"/>
    <n v="3"/>
    <n v="4"/>
  </r>
  <r>
    <s v="SW-100605"/>
    <d v="2024-04-13T00:00:00"/>
    <x v="0"/>
    <s v="Q2"/>
    <x v="3"/>
    <x v="1"/>
    <x v="3"/>
    <x v="0"/>
    <x v="0"/>
    <s v="Sunglasses"/>
    <n v="2"/>
    <n v="104.94"/>
    <n v="0.25"/>
    <x v="3"/>
    <n v="157.41"/>
    <n v="113.11"/>
    <n v="44.3"/>
    <n v="1"/>
    <n v="0"/>
    <n v="3"/>
    <n v="5"/>
  </r>
  <r>
    <s v="SW-100606"/>
    <d v="2024-04-13T00:00:00"/>
    <x v="0"/>
    <s v="Q2"/>
    <x v="3"/>
    <x v="1"/>
    <x v="3"/>
    <x v="1"/>
    <x v="2"/>
    <s v="Coffee Maker"/>
    <n v="2"/>
    <n v="148.05000000000001"/>
    <n v="0"/>
    <x v="2"/>
    <n v="296.10000000000002"/>
    <n v="187.83"/>
    <n v="108.27"/>
    <n v="1"/>
    <n v="0"/>
    <n v="2"/>
    <n v="5"/>
  </r>
  <r>
    <s v="SW-100607"/>
    <d v="2024-04-13T00:00:00"/>
    <x v="0"/>
    <s v="Q2"/>
    <x v="3"/>
    <x v="0"/>
    <x v="0"/>
    <x v="1"/>
    <x v="1"/>
    <s v="Face Serum"/>
    <n v="3"/>
    <n v="33.479999999999997"/>
    <n v="0.15"/>
    <x v="1"/>
    <n v="85.37"/>
    <n v="49.69"/>
    <n v="35.68"/>
    <n v="1"/>
    <n v="0"/>
    <n v="4"/>
    <n v="5"/>
  </r>
  <r>
    <s v="SW-100608"/>
    <d v="2024-04-13T00:00:00"/>
    <x v="0"/>
    <s v="Q2"/>
    <x v="3"/>
    <x v="2"/>
    <x v="2"/>
    <x v="1"/>
    <x v="5"/>
    <s v="Kids Puzzle"/>
    <n v="1"/>
    <n v="16.97"/>
    <n v="0"/>
    <x v="2"/>
    <n v="16.97"/>
    <n v="12.63"/>
    <n v="4.34"/>
    <n v="1"/>
    <n v="0"/>
    <n v="5"/>
    <n v="4"/>
  </r>
  <r>
    <s v="SW-100609"/>
    <d v="2024-04-13T00:00:00"/>
    <x v="0"/>
    <s v="Q2"/>
    <x v="3"/>
    <x v="0"/>
    <x v="0"/>
    <x v="1"/>
    <x v="5"/>
    <s v="Board Game"/>
    <n v="1"/>
    <n v="57.92"/>
    <n v="0"/>
    <x v="2"/>
    <n v="57.92"/>
    <n v="40.520000000000003"/>
    <n v="17.399999999999999"/>
    <n v="1"/>
    <n v="0"/>
    <n v="3"/>
    <n v="5"/>
  </r>
  <r>
    <s v="SW-100610"/>
    <d v="2024-04-13T00:00:00"/>
    <x v="0"/>
    <s v="Q2"/>
    <x v="3"/>
    <x v="2"/>
    <x v="0"/>
    <x v="0"/>
    <x v="4"/>
    <s v="Wireless Earbuds"/>
    <n v="2"/>
    <n v="588.41"/>
    <n v="0.3"/>
    <x v="3"/>
    <n v="823.77"/>
    <n v="950.7"/>
    <n v="-126.93"/>
    <n v="1"/>
    <n v="0"/>
    <n v="3"/>
    <n v="4"/>
  </r>
  <r>
    <s v="SW-100611"/>
    <d v="2024-04-14T00:00:00"/>
    <x v="0"/>
    <s v="Q2"/>
    <x v="3"/>
    <x v="1"/>
    <x v="0"/>
    <x v="1"/>
    <x v="0"/>
    <s v="Denim Jacket"/>
    <n v="1"/>
    <n v="78.510000000000005"/>
    <n v="0.15"/>
    <x v="1"/>
    <n v="66.73"/>
    <n v="45.45"/>
    <n v="21.28"/>
    <n v="1"/>
    <n v="0"/>
    <n v="5"/>
    <n v="5"/>
  </r>
  <r>
    <s v="SW-100612"/>
    <d v="2024-04-14T00:00:00"/>
    <x v="0"/>
    <s v="Q2"/>
    <x v="3"/>
    <x v="0"/>
    <x v="4"/>
    <x v="1"/>
    <x v="4"/>
    <s v="Smart Watch"/>
    <n v="1"/>
    <n v="216.08"/>
    <n v="0.25"/>
    <x v="3"/>
    <n v="162.06"/>
    <n v="177.09"/>
    <n v="-15.03"/>
    <n v="1"/>
    <n v="0"/>
    <n v="5"/>
    <n v="5"/>
  </r>
  <r>
    <s v="SW-100613"/>
    <d v="2024-04-14T00:00:00"/>
    <x v="0"/>
    <s v="Q2"/>
    <x v="3"/>
    <x v="0"/>
    <x v="4"/>
    <x v="1"/>
    <x v="3"/>
    <s v="Dumbbell Set"/>
    <n v="1"/>
    <n v="198.42"/>
    <n v="0"/>
    <x v="2"/>
    <n v="198.42"/>
    <n v="136.65"/>
    <n v="61.77"/>
    <n v="1"/>
    <n v="0"/>
    <n v="6"/>
    <n v="4"/>
  </r>
  <r>
    <s v="SW-100614"/>
    <d v="2024-04-14T00:00:00"/>
    <x v="0"/>
    <s v="Q2"/>
    <x v="3"/>
    <x v="2"/>
    <x v="3"/>
    <x v="1"/>
    <x v="3"/>
    <s v="Dumbbell Set"/>
    <n v="2"/>
    <n v="198.42"/>
    <n v="0.05"/>
    <x v="0"/>
    <n v="377"/>
    <n v="249.96"/>
    <n v="127.04"/>
    <n v="1"/>
    <n v="0"/>
    <n v="2"/>
    <n v="5"/>
  </r>
  <r>
    <s v="SW-100615"/>
    <d v="2024-04-14T00:00:00"/>
    <x v="0"/>
    <s v="Q2"/>
    <x v="3"/>
    <x v="1"/>
    <x v="3"/>
    <x v="0"/>
    <x v="0"/>
    <s v="Summer Dress"/>
    <n v="1"/>
    <n v="33.99"/>
    <n v="0.3"/>
    <x v="3"/>
    <n v="23.79"/>
    <n v="18.86"/>
    <n v="4.93"/>
    <n v="1"/>
    <n v="0"/>
    <n v="2"/>
    <n v="4"/>
  </r>
  <r>
    <s v="SW-100616"/>
    <d v="2024-04-14T00:00:00"/>
    <x v="0"/>
    <s v="Q2"/>
    <x v="3"/>
    <x v="0"/>
    <x v="3"/>
    <x v="1"/>
    <x v="2"/>
    <s v="Desk Lamp"/>
    <n v="2"/>
    <n v="117.63"/>
    <n v="0.1"/>
    <x v="0"/>
    <n v="211.73"/>
    <n v="153.49"/>
    <n v="58.24"/>
    <n v="1"/>
    <n v="0"/>
    <n v="2"/>
    <n v="4"/>
  </r>
  <r>
    <s v="SW-100617"/>
    <d v="2024-04-14T00:00:00"/>
    <x v="0"/>
    <s v="Q2"/>
    <x v="3"/>
    <x v="0"/>
    <x v="0"/>
    <x v="0"/>
    <x v="1"/>
    <s v="Skin Care Bundle"/>
    <n v="1"/>
    <n v="92.54"/>
    <n v="0"/>
    <x v="2"/>
    <n v="92.54"/>
    <n v="43.27"/>
    <n v="49.27"/>
    <n v="1"/>
    <n v="0"/>
    <n v="3"/>
    <n v="4"/>
  </r>
  <r>
    <s v="SW-100618"/>
    <d v="2024-04-14T00:00:00"/>
    <x v="0"/>
    <s v="Q2"/>
    <x v="3"/>
    <x v="0"/>
    <x v="4"/>
    <x v="1"/>
    <x v="0"/>
    <s v="Summer Dress"/>
    <n v="2"/>
    <n v="33.99"/>
    <n v="0.1"/>
    <x v="0"/>
    <n v="61.18"/>
    <n v="36.99"/>
    <n v="24.19"/>
    <n v="1"/>
    <n v="0"/>
    <n v="7"/>
    <n v="3"/>
  </r>
  <r>
    <s v="SW-100619"/>
    <d v="2024-04-14T00:00:00"/>
    <x v="0"/>
    <s v="Q2"/>
    <x v="3"/>
    <x v="0"/>
    <x v="0"/>
    <x v="1"/>
    <x v="0"/>
    <s v="Leather Handbag"/>
    <n v="1"/>
    <n v="138.5"/>
    <n v="0.1"/>
    <x v="0"/>
    <n v="124.65"/>
    <n v="78.31"/>
    <n v="46.34"/>
    <n v="1"/>
    <n v="0"/>
    <n v="4"/>
    <n v="5"/>
  </r>
  <r>
    <s v="SW-100620"/>
    <d v="2024-04-15T00:00:00"/>
    <x v="0"/>
    <s v="Q2"/>
    <x v="3"/>
    <x v="0"/>
    <x v="3"/>
    <x v="1"/>
    <x v="4"/>
    <s v="4K Action Camera"/>
    <n v="1"/>
    <n v="636.09"/>
    <n v="0.05"/>
    <x v="0"/>
    <n v="604.29"/>
    <n v="500.34"/>
    <n v="103.95"/>
    <n v="1"/>
    <n v="1"/>
    <n v="2"/>
    <n v="3"/>
  </r>
  <r>
    <s v="SW-100621"/>
    <d v="2024-04-15T00:00:00"/>
    <x v="0"/>
    <s v="Q2"/>
    <x v="3"/>
    <x v="2"/>
    <x v="3"/>
    <x v="1"/>
    <x v="3"/>
    <s v="Fitness Tracker"/>
    <n v="1"/>
    <n v="74.459999999999994"/>
    <n v="0.25"/>
    <x v="3"/>
    <n v="55.84"/>
    <n v="48.72"/>
    <n v="7.12"/>
    <n v="1"/>
    <n v="0"/>
    <n v="3"/>
    <n v="4"/>
  </r>
  <r>
    <s v="SW-100622"/>
    <d v="2024-04-16T00:00:00"/>
    <x v="0"/>
    <s v="Q2"/>
    <x v="3"/>
    <x v="2"/>
    <x v="0"/>
    <x v="1"/>
    <x v="5"/>
    <s v="Bestseller Novel"/>
    <n v="1"/>
    <n v="45.28"/>
    <n v="0.2"/>
    <x v="1"/>
    <n v="36.22"/>
    <n v="31.76"/>
    <n v="4.46"/>
    <n v="1"/>
    <n v="0"/>
    <n v="3"/>
    <n v="5"/>
  </r>
  <r>
    <s v="SW-100623"/>
    <d v="2024-04-16T00:00:00"/>
    <x v="0"/>
    <s v="Q2"/>
    <x v="3"/>
    <x v="1"/>
    <x v="4"/>
    <x v="0"/>
    <x v="4"/>
    <s v="Power Bank"/>
    <n v="4"/>
    <n v="508.8"/>
    <n v="0.15"/>
    <x v="1"/>
    <n v="1729.92"/>
    <n v="1634.88"/>
    <n v="95.04"/>
    <n v="1"/>
    <n v="0"/>
    <n v="6"/>
    <n v="3"/>
  </r>
  <r>
    <s v="SW-100624"/>
    <d v="2024-04-16T00:00:00"/>
    <x v="0"/>
    <s v="Q2"/>
    <x v="3"/>
    <x v="0"/>
    <x v="0"/>
    <x v="0"/>
    <x v="4"/>
    <s v="Wireless Earbuds"/>
    <n v="1"/>
    <n v="588.41"/>
    <n v="0.05"/>
    <x v="0"/>
    <n v="558.99"/>
    <n v="477.01"/>
    <n v="81.98"/>
    <n v="1"/>
    <n v="0"/>
    <n v="6"/>
    <n v="3"/>
  </r>
  <r>
    <s v="SW-100625"/>
    <d v="2024-04-16T00:00:00"/>
    <x v="0"/>
    <s v="Q2"/>
    <x v="3"/>
    <x v="2"/>
    <x v="0"/>
    <x v="1"/>
    <x v="4"/>
    <s v="Tablet 10in"/>
    <n v="1"/>
    <n v="490.3"/>
    <n v="0.15"/>
    <x v="1"/>
    <n v="416.76"/>
    <n v="394.29"/>
    <n v="22.47"/>
    <n v="1"/>
    <n v="0"/>
    <n v="3"/>
    <n v="4"/>
  </r>
  <r>
    <s v="SW-100626"/>
    <d v="2024-04-16T00:00:00"/>
    <x v="0"/>
    <s v="Q2"/>
    <x v="3"/>
    <x v="2"/>
    <x v="4"/>
    <x v="0"/>
    <x v="2"/>
    <s v="Bed Sheet Set"/>
    <n v="1"/>
    <n v="90.75"/>
    <n v="0.1"/>
    <x v="0"/>
    <n v="81.680000000000007"/>
    <n v="58.61"/>
    <n v="23.07"/>
    <n v="1"/>
    <n v="0"/>
    <n v="5"/>
    <n v="5"/>
  </r>
  <r>
    <s v="SW-100627"/>
    <d v="2024-04-17T00:00:00"/>
    <x v="0"/>
    <s v="Q2"/>
    <x v="3"/>
    <x v="0"/>
    <x v="3"/>
    <x v="0"/>
    <x v="3"/>
    <s v="Fitness Tracker"/>
    <n v="1"/>
    <n v="74.459999999999994"/>
    <n v="0.2"/>
    <x v="1"/>
    <n v="59.57"/>
    <n v="49.71"/>
    <n v="9.86"/>
    <n v="1"/>
    <n v="0"/>
    <n v="2"/>
    <n v="4"/>
  </r>
  <r>
    <s v="SW-100628"/>
    <d v="2024-04-17T00:00:00"/>
    <x v="0"/>
    <s v="Q2"/>
    <x v="3"/>
    <x v="0"/>
    <x v="3"/>
    <x v="0"/>
    <x v="5"/>
    <s v="Kids Puzzle"/>
    <n v="1"/>
    <n v="16.97"/>
    <n v="0.15"/>
    <x v="1"/>
    <n v="14.42"/>
    <n v="12.55"/>
    <n v="1.87"/>
    <n v="1"/>
    <n v="0"/>
    <n v="3"/>
    <n v="5"/>
  </r>
  <r>
    <s v="SW-100629"/>
    <d v="2024-04-17T00:00:00"/>
    <x v="0"/>
    <s v="Q2"/>
    <x v="3"/>
    <x v="1"/>
    <x v="4"/>
    <x v="0"/>
    <x v="0"/>
    <s v="Running Sneakers"/>
    <n v="1"/>
    <n v="94.85"/>
    <n v="0.05"/>
    <x v="0"/>
    <n v="90.11"/>
    <n v="48.44"/>
    <n v="41.67"/>
    <n v="1"/>
    <n v="0"/>
    <n v="6"/>
    <n v="4"/>
  </r>
  <r>
    <s v="SW-100630"/>
    <d v="2024-04-17T00:00:00"/>
    <x v="0"/>
    <s v="Q2"/>
    <x v="3"/>
    <x v="0"/>
    <x v="0"/>
    <x v="1"/>
    <x v="1"/>
    <s v="Makeup Kit"/>
    <n v="1"/>
    <n v="74.3"/>
    <n v="0.05"/>
    <x v="0"/>
    <n v="70.58"/>
    <n v="34.31"/>
    <n v="36.270000000000003"/>
    <n v="1"/>
    <n v="0"/>
    <n v="3"/>
    <n v="4"/>
  </r>
  <r>
    <s v="SW-100631"/>
    <d v="2024-04-17T00:00:00"/>
    <x v="0"/>
    <s v="Q2"/>
    <x v="3"/>
    <x v="1"/>
    <x v="2"/>
    <x v="0"/>
    <x v="0"/>
    <s v="Denim Jacket"/>
    <n v="1"/>
    <n v="78.510000000000005"/>
    <n v="0.3"/>
    <x v="3"/>
    <n v="54.96"/>
    <n v="40.94"/>
    <n v="14.02"/>
    <n v="1"/>
    <n v="0"/>
    <n v="5"/>
    <n v="4"/>
  </r>
  <r>
    <s v="SW-100632"/>
    <d v="2024-04-17T00:00:00"/>
    <x v="0"/>
    <s v="Q2"/>
    <x v="3"/>
    <x v="0"/>
    <x v="1"/>
    <x v="1"/>
    <x v="2"/>
    <s v="Coffee Maker"/>
    <n v="2"/>
    <n v="148.05000000000001"/>
    <n v="0"/>
    <x v="2"/>
    <n v="296.10000000000002"/>
    <n v="187.19"/>
    <n v="108.91"/>
    <n v="1"/>
    <n v="0"/>
    <n v="5"/>
    <n v="5"/>
  </r>
  <r>
    <s v="SW-100633"/>
    <d v="2024-04-18T00:00:00"/>
    <x v="0"/>
    <s v="Q2"/>
    <x v="3"/>
    <x v="0"/>
    <x v="0"/>
    <x v="1"/>
    <x v="0"/>
    <s v="Sunglasses"/>
    <n v="1"/>
    <n v="104.94"/>
    <n v="0"/>
    <x v="2"/>
    <n v="104.94"/>
    <n v="56.46"/>
    <n v="48.48"/>
    <n v="1"/>
    <n v="0"/>
    <n v="5"/>
    <n v="4"/>
  </r>
  <r>
    <s v="SW-100634"/>
    <d v="2024-04-18T00:00:00"/>
    <x v="0"/>
    <s v="Q2"/>
    <x v="3"/>
    <x v="2"/>
    <x v="3"/>
    <x v="1"/>
    <x v="5"/>
    <s v="Building Blocks"/>
    <n v="2"/>
    <n v="48.86"/>
    <n v="0.3"/>
    <x v="3"/>
    <n v="68.400000000000006"/>
    <n v="76.73"/>
    <n v="-8.33"/>
    <n v="1"/>
    <n v="0"/>
    <n v="5"/>
    <n v="5"/>
  </r>
  <r>
    <s v="SW-100635"/>
    <d v="2024-04-18T00:00:00"/>
    <x v="0"/>
    <s v="Q2"/>
    <x v="3"/>
    <x v="1"/>
    <x v="1"/>
    <x v="0"/>
    <x v="1"/>
    <s v="Face Serum"/>
    <n v="1"/>
    <n v="33.479999999999997"/>
    <n v="0.15"/>
    <x v="1"/>
    <n v="28.46"/>
    <n v="16.29"/>
    <n v="12.17"/>
    <n v="1"/>
    <n v="0"/>
    <n v="5"/>
    <n v="5"/>
  </r>
  <r>
    <s v="SW-100636"/>
    <d v="2024-04-18T00:00:00"/>
    <x v="0"/>
    <s v="Q2"/>
    <x v="3"/>
    <x v="2"/>
    <x v="2"/>
    <x v="1"/>
    <x v="3"/>
    <s v="Fitness Tracker"/>
    <n v="2"/>
    <n v="74.459999999999994"/>
    <n v="0.05"/>
    <x v="0"/>
    <n v="141.47"/>
    <n v="101.49"/>
    <n v="39.979999999999997"/>
    <n v="1"/>
    <n v="1"/>
    <n v="4"/>
    <n v="2"/>
  </r>
  <r>
    <s v="SW-100637"/>
    <d v="2024-04-18T00:00:00"/>
    <x v="0"/>
    <s v="Q2"/>
    <x v="3"/>
    <x v="1"/>
    <x v="3"/>
    <x v="0"/>
    <x v="1"/>
    <s v="Hair Dryer"/>
    <n v="1"/>
    <n v="33.18"/>
    <n v="0.05"/>
    <x v="0"/>
    <n v="31.52"/>
    <n v="15.26"/>
    <n v="16.260000000000002"/>
    <n v="1"/>
    <n v="0"/>
    <n v="5"/>
    <n v="5"/>
  </r>
  <r>
    <s v="SW-100638"/>
    <d v="2024-04-18T00:00:00"/>
    <x v="0"/>
    <s v="Q2"/>
    <x v="3"/>
    <x v="1"/>
    <x v="3"/>
    <x v="0"/>
    <x v="2"/>
    <s v="Desk Lamp"/>
    <n v="1"/>
    <n v="117.63"/>
    <n v="0.15"/>
    <x v="1"/>
    <n v="99.99"/>
    <n v="76.73"/>
    <n v="23.26"/>
    <n v="1"/>
    <n v="0"/>
    <n v="3"/>
    <n v="5"/>
  </r>
  <r>
    <s v="SW-100639"/>
    <d v="2024-04-18T00:00:00"/>
    <x v="0"/>
    <s v="Q2"/>
    <x v="3"/>
    <x v="0"/>
    <x v="2"/>
    <x v="0"/>
    <x v="0"/>
    <s v="Sunglasses"/>
    <n v="1"/>
    <n v="104.94"/>
    <n v="0.15"/>
    <x v="1"/>
    <n v="89.2"/>
    <n v="55.36"/>
    <n v="33.840000000000003"/>
    <n v="1"/>
    <n v="0"/>
    <n v="4"/>
    <n v="5"/>
  </r>
  <r>
    <s v="SW-100640"/>
    <d v="2024-04-18T00:00:00"/>
    <x v="0"/>
    <s v="Q2"/>
    <x v="3"/>
    <x v="2"/>
    <x v="3"/>
    <x v="1"/>
    <x v="4"/>
    <s v="Tablet 10in"/>
    <n v="1"/>
    <n v="490.3"/>
    <n v="0.25"/>
    <x v="3"/>
    <n v="367.72"/>
    <n v="371.68"/>
    <n v="-3.96"/>
    <n v="1"/>
    <n v="0"/>
    <n v="2"/>
    <n v="4"/>
  </r>
  <r>
    <s v="SW-100641"/>
    <d v="2024-04-18T00:00:00"/>
    <x v="0"/>
    <s v="Q2"/>
    <x v="3"/>
    <x v="0"/>
    <x v="1"/>
    <x v="1"/>
    <x v="0"/>
    <s v="Cotton T-Shirt"/>
    <n v="3"/>
    <n v="19.41"/>
    <n v="0.05"/>
    <x v="0"/>
    <n v="55.32"/>
    <n v="31.36"/>
    <n v="23.96"/>
    <n v="1"/>
    <n v="0"/>
    <n v="6"/>
    <n v="3"/>
  </r>
  <r>
    <s v="SW-100642"/>
    <d v="2024-04-19T00:00:00"/>
    <x v="0"/>
    <s v="Q2"/>
    <x v="3"/>
    <x v="2"/>
    <x v="3"/>
    <x v="0"/>
    <x v="3"/>
    <s v="Camping Tent"/>
    <n v="1"/>
    <n v="83.06"/>
    <n v="0.05"/>
    <x v="0"/>
    <n v="78.91"/>
    <n v="53.72"/>
    <n v="25.19"/>
    <n v="1"/>
    <n v="0"/>
    <n v="3"/>
    <n v="5"/>
  </r>
  <r>
    <s v="SW-100643"/>
    <d v="2024-04-19T00:00:00"/>
    <x v="0"/>
    <s v="Q2"/>
    <x v="3"/>
    <x v="0"/>
    <x v="2"/>
    <x v="1"/>
    <x v="0"/>
    <s v="Summer Dress"/>
    <n v="3"/>
    <n v="33.99"/>
    <n v="0.15"/>
    <x v="1"/>
    <n v="86.67"/>
    <n v="57.98"/>
    <n v="28.69"/>
    <n v="1"/>
    <n v="0"/>
    <n v="3"/>
    <n v="4"/>
  </r>
  <r>
    <s v="SW-100644"/>
    <d v="2024-04-19T00:00:00"/>
    <x v="0"/>
    <s v="Q2"/>
    <x v="3"/>
    <x v="0"/>
    <x v="0"/>
    <x v="0"/>
    <x v="1"/>
    <s v="Skin Care Bundle"/>
    <n v="1"/>
    <n v="92.54"/>
    <n v="0"/>
    <x v="2"/>
    <n v="92.54"/>
    <n v="44.58"/>
    <n v="47.96"/>
    <n v="1"/>
    <n v="0"/>
    <n v="4"/>
    <n v="3"/>
  </r>
  <r>
    <s v="SW-100645"/>
    <d v="2024-04-19T00:00:00"/>
    <x v="0"/>
    <s v="Q2"/>
    <x v="3"/>
    <x v="0"/>
    <x v="0"/>
    <x v="0"/>
    <x v="3"/>
    <s v="Fitness Tracker"/>
    <n v="3"/>
    <n v="74.459999999999994"/>
    <n v="0"/>
    <x v="2"/>
    <n v="223.38"/>
    <n v="138.36000000000001"/>
    <n v="85.02"/>
    <n v="1"/>
    <n v="1"/>
    <n v="3"/>
    <n v="3"/>
  </r>
  <r>
    <s v="SW-100646"/>
    <d v="2024-04-20T00:00:00"/>
    <x v="0"/>
    <s v="Q2"/>
    <x v="3"/>
    <x v="2"/>
    <x v="2"/>
    <x v="1"/>
    <x v="4"/>
    <s v="4K Action Camera"/>
    <n v="1"/>
    <n v="636.09"/>
    <n v="0"/>
    <x v="2"/>
    <n v="636.09"/>
    <n v="527.97"/>
    <n v="108.12"/>
    <n v="1"/>
    <n v="0"/>
    <n v="9"/>
    <n v="4"/>
  </r>
  <r>
    <s v="SW-100647"/>
    <d v="2024-04-20T00:00:00"/>
    <x v="0"/>
    <s v="Q2"/>
    <x v="3"/>
    <x v="0"/>
    <x v="0"/>
    <x v="1"/>
    <x v="1"/>
    <s v="Perfume 100ml"/>
    <n v="1"/>
    <n v="54.56"/>
    <n v="0"/>
    <x v="2"/>
    <n v="54.56"/>
    <n v="26.88"/>
    <n v="27.68"/>
    <n v="1"/>
    <n v="0"/>
    <n v="4"/>
    <n v="4"/>
  </r>
  <r>
    <s v="SW-100648"/>
    <d v="2024-04-20T00:00:00"/>
    <x v="0"/>
    <s v="Q2"/>
    <x v="3"/>
    <x v="1"/>
    <x v="3"/>
    <x v="0"/>
    <x v="0"/>
    <s v="Running Sneakers"/>
    <n v="2"/>
    <n v="94.85"/>
    <n v="0"/>
    <x v="2"/>
    <n v="189.7"/>
    <n v="99.12"/>
    <n v="90.58"/>
    <n v="1"/>
    <n v="1"/>
    <n v="3"/>
    <n v="4"/>
  </r>
  <r>
    <s v="SW-100649"/>
    <d v="2024-04-20T00:00:00"/>
    <x v="0"/>
    <s v="Q2"/>
    <x v="3"/>
    <x v="0"/>
    <x v="3"/>
    <x v="0"/>
    <x v="4"/>
    <s v="Wireless Earbuds"/>
    <n v="1"/>
    <n v="588.41"/>
    <n v="0.2"/>
    <x v="1"/>
    <n v="470.73"/>
    <n v="468.17"/>
    <n v="2.56"/>
    <n v="1"/>
    <n v="0"/>
    <n v="3"/>
    <n v="5"/>
  </r>
  <r>
    <s v="SW-100650"/>
    <d v="2024-04-20T00:00:00"/>
    <x v="0"/>
    <s v="Q2"/>
    <x v="3"/>
    <x v="0"/>
    <x v="3"/>
    <x v="0"/>
    <x v="2"/>
    <s v="Cookware Set"/>
    <n v="1"/>
    <n v="233.81"/>
    <n v="0.05"/>
    <x v="0"/>
    <n v="222.12"/>
    <n v="157.08000000000001"/>
    <n v="65.040000000000006"/>
    <n v="1"/>
    <n v="0"/>
    <n v="3"/>
    <n v="5"/>
  </r>
  <r>
    <s v="SW-100651"/>
    <d v="2024-04-20T00:00:00"/>
    <x v="0"/>
    <s v="Q2"/>
    <x v="3"/>
    <x v="2"/>
    <x v="0"/>
    <x v="0"/>
    <x v="5"/>
    <s v="Bestseller Novel"/>
    <n v="2"/>
    <n v="45.28"/>
    <n v="0.3"/>
    <x v="3"/>
    <n v="63.39"/>
    <n v="64.25"/>
    <n v="-0.86"/>
    <n v="1"/>
    <n v="0"/>
    <n v="5"/>
    <n v="5"/>
  </r>
  <r>
    <s v="SW-100652"/>
    <d v="2024-04-20T00:00:00"/>
    <x v="0"/>
    <s v="Q2"/>
    <x v="3"/>
    <x v="0"/>
    <x v="3"/>
    <x v="1"/>
    <x v="2"/>
    <s v="Air Fryer"/>
    <n v="4"/>
    <n v="68.349999999999994"/>
    <n v="0.1"/>
    <x v="0"/>
    <n v="246.06"/>
    <n v="177.91"/>
    <n v="68.150000000000006"/>
    <n v="1"/>
    <n v="0"/>
    <n v="2"/>
    <n v="4"/>
  </r>
  <r>
    <s v="SW-100653"/>
    <d v="2024-04-20T00:00:00"/>
    <x v="0"/>
    <s v="Q2"/>
    <x v="3"/>
    <x v="1"/>
    <x v="2"/>
    <x v="1"/>
    <x v="3"/>
    <s v="Camping Tent"/>
    <n v="2"/>
    <n v="83.06"/>
    <n v="0"/>
    <x v="2"/>
    <n v="166.12"/>
    <n v="112.41"/>
    <n v="53.71"/>
    <n v="1"/>
    <n v="0"/>
    <n v="3"/>
    <n v="4"/>
  </r>
  <r>
    <s v="SW-100654"/>
    <d v="2024-04-20T00:00:00"/>
    <x v="0"/>
    <s v="Q2"/>
    <x v="3"/>
    <x v="1"/>
    <x v="3"/>
    <x v="1"/>
    <x v="1"/>
    <s v="Face Serum"/>
    <n v="1"/>
    <n v="33.479999999999997"/>
    <n v="0.2"/>
    <x v="1"/>
    <n v="26.78"/>
    <n v="14.99"/>
    <n v="11.79"/>
    <n v="1"/>
    <n v="0"/>
    <n v="3"/>
    <n v="5"/>
  </r>
  <r>
    <s v="SW-100655"/>
    <d v="2024-04-21T00:00:00"/>
    <x v="0"/>
    <s v="Q2"/>
    <x v="3"/>
    <x v="0"/>
    <x v="0"/>
    <x v="1"/>
    <x v="2"/>
    <s v="Bed Sheet Set"/>
    <n v="2"/>
    <n v="90.75"/>
    <n v="0.2"/>
    <x v="1"/>
    <n v="145.19999999999999"/>
    <n v="115.17"/>
    <n v="30.03"/>
    <n v="1"/>
    <n v="0"/>
    <n v="3"/>
    <n v="4"/>
  </r>
  <r>
    <s v="SW-100656"/>
    <d v="2024-04-21T00:00:00"/>
    <x v="0"/>
    <s v="Q2"/>
    <x v="3"/>
    <x v="2"/>
    <x v="2"/>
    <x v="1"/>
    <x v="4"/>
    <s v="Bluetooth Speaker"/>
    <n v="1"/>
    <n v="177.65"/>
    <n v="0"/>
    <x v="2"/>
    <n v="177.65"/>
    <n v="144.38999999999999"/>
    <n v="33.26"/>
    <n v="1"/>
    <n v="0"/>
    <n v="6"/>
    <n v="3"/>
  </r>
  <r>
    <s v="SW-100657"/>
    <d v="2024-04-21T00:00:00"/>
    <x v="0"/>
    <s v="Q2"/>
    <x v="3"/>
    <x v="1"/>
    <x v="1"/>
    <x v="1"/>
    <x v="4"/>
    <s v="Bluetooth Speaker"/>
    <n v="1"/>
    <n v="177.65"/>
    <n v="0.15"/>
    <x v="1"/>
    <n v="151"/>
    <n v="144.88999999999999"/>
    <n v="6.11"/>
    <n v="1"/>
    <n v="0"/>
    <n v="5"/>
    <n v="4"/>
  </r>
  <r>
    <s v="SW-100658"/>
    <d v="2024-04-21T00:00:00"/>
    <x v="0"/>
    <s v="Q2"/>
    <x v="3"/>
    <x v="0"/>
    <x v="3"/>
    <x v="0"/>
    <x v="0"/>
    <s v="Leather Handbag"/>
    <n v="2"/>
    <n v="138.5"/>
    <n v="0"/>
    <x v="2"/>
    <n v="277"/>
    <n v="149.31"/>
    <n v="127.69"/>
    <n v="1"/>
    <n v="0"/>
    <n v="2"/>
    <n v="5"/>
  </r>
  <r>
    <s v="SW-100659"/>
    <d v="2024-04-21T00:00:00"/>
    <x v="0"/>
    <s v="Q2"/>
    <x v="3"/>
    <x v="2"/>
    <x v="0"/>
    <x v="1"/>
    <x v="2"/>
    <s v="Desk Lamp"/>
    <n v="2"/>
    <n v="117.63"/>
    <n v="0"/>
    <x v="2"/>
    <n v="235.26"/>
    <n v="151.66"/>
    <n v="83.6"/>
    <n v="1"/>
    <n v="0"/>
    <n v="4"/>
    <n v="5"/>
  </r>
  <r>
    <s v="SW-100660"/>
    <d v="2024-04-21T00:00:00"/>
    <x v="0"/>
    <s v="Q2"/>
    <x v="3"/>
    <x v="2"/>
    <x v="1"/>
    <x v="0"/>
    <x v="5"/>
    <s v="Building Blocks"/>
    <n v="1"/>
    <n v="48.86"/>
    <n v="0"/>
    <x v="2"/>
    <n v="48.86"/>
    <n v="34.85"/>
    <n v="14.01"/>
    <n v="1"/>
    <n v="0"/>
    <n v="5"/>
    <n v="5"/>
  </r>
  <r>
    <s v="SW-100661"/>
    <d v="2024-04-21T00:00:00"/>
    <x v="0"/>
    <s v="Q2"/>
    <x v="3"/>
    <x v="1"/>
    <x v="0"/>
    <x v="1"/>
    <x v="0"/>
    <s v="Denim Jacket"/>
    <n v="1"/>
    <n v="78.510000000000005"/>
    <n v="0"/>
    <x v="2"/>
    <n v="78.510000000000005"/>
    <n v="41.49"/>
    <n v="37.020000000000003"/>
    <n v="1"/>
    <n v="0"/>
    <n v="4"/>
    <n v="3"/>
  </r>
  <r>
    <s v="SW-100662"/>
    <d v="2024-04-21T00:00:00"/>
    <x v="0"/>
    <s v="Q2"/>
    <x v="3"/>
    <x v="0"/>
    <x v="4"/>
    <x v="1"/>
    <x v="2"/>
    <s v="Coffee Maker"/>
    <n v="1"/>
    <n v="148.05000000000001"/>
    <n v="0.15"/>
    <x v="1"/>
    <n v="125.84"/>
    <n v="94.28"/>
    <n v="31.56"/>
    <n v="1"/>
    <n v="0"/>
    <n v="6"/>
    <n v="3"/>
  </r>
  <r>
    <s v="SW-100663"/>
    <d v="2024-04-21T00:00:00"/>
    <x v="0"/>
    <s v="Q2"/>
    <x v="3"/>
    <x v="1"/>
    <x v="1"/>
    <x v="1"/>
    <x v="1"/>
    <s v="Skin Care Bundle"/>
    <n v="2"/>
    <n v="92.54"/>
    <n v="0"/>
    <x v="2"/>
    <n v="185.08"/>
    <n v="87.44"/>
    <n v="97.64"/>
    <n v="1"/>
    <n v="0"/>
    <n v="5"/>
    <n v="4"/>
  </r>
  <r>
    <s v="SW-100664"/>
    <d v="2024-04-21T00:00:00"/>
    <x v="0"/>
    <s v="Q2"/>
    <x v="3"/>
    <x v="1"/>
    <x v="0"/>
    <x v="1"/>
    <x v="1"/>
    <s v="Perfume 100ml"/>
    <n v="1"/>
    <n v="54.56"/>
    <n v="0.3"/>
    <x v="3"/>
    <n v="38.19"/>
    <n v="25.38"/>
    <n v="12.81"/>
    <n v="1"/>
    <n v="0"/>
    <n v="4"/>
    <n v="4"/>
  </r>
  <r>
    <s v="SW-100665"/>
    <d v="2024-04-21T00:00:00"/>
    <x v="0"/>
    <s v="Q2"/>
    <x v="3"/>
    <x v="1"/>
    <x v="2"/>
    <x v="1"/>
    <x v="3"/>
    <s v="Dumbbell Set"/>
    <n v="1"/>
    <n v="198.42"/>
    <n v="0"/>
    <x v="2"/>
    <n v="198.42"/>
    <n v="130.18"/>
    <n v="68.239999999999995"/>
    <n v="1"/>
    <n v="0"/>
    <n v="6"/>
    <n v="2"/>
  </r>
  <r>
    <s v="SW-100666"/>
    <d v="2024-04-22T00:00:00"/>
    <x v="0"/>
    <s v="Q2"/>
    <x v="3"/>
    <x v="0"/>
    <x v="2"/>
    <x v="1"/>
    <x v="1"/>
    <s v="Skin Care Bundle"/>
    <n v="2"/>
    <n v="92.54"/>
    <n v="0"/>
    <x v="2"/>
    <n v="185.08"/>
    <n v="82.97"/>
    <n v="102.11"/>
    <n v="1"/>
    <n v="0"/>
    <n v="4"/>
    <n v="4"/>
  </r>
  <r>
    <s v="SW-100667"/>
    <d v="2024-04-22T00:00:00"/>
    <x v="0"/>
    <s v="Q2"/>
    <x v="3"/>
    <x v="2"/>
    <x v="4"/>
    <x v="1"/>
    <x v="0"/>
    <s v="Running Sneakers"/>
    <n v="2"/>
    <n v="94.85"/>
    <n v="0.15"/>
    <x v="1"/>
    <n v="161.24"/>
    <n v="104.64"/>
    <n v="56.6"/>
    <n v="1"/>
    <n v="0"/>
    <n v="5"/>
    <n v="4"/>
  </r>
  <r>
    <s v="SW-100668"/>
    <d v="2024-04-22T00:00:00"/>
    <x v="0"/>
    <s v="Q2"/>
    <x v="3"/>
    <x v="0"/>
    <x v="2"/>
    <x v="0"/>
    <x v="4"/>
    <s v="4K Action Camera"/>
    <n v="1"/>
    <n v="636.09"/>
    <n v="0.05"/>
    <x v="0"/>
    <n v="604.29"/>
    <n v="517.84"/>
    <n v="86.45"/>
    <n v="1"/>
    <n v="0"/>
    <n v="4"/>
    <n v="4"/>
  </r>
  <r>
    <s v="SW-100669"/>
    <d v="2024-04-22T00:00:00"/>
    <x v="0"/>
    <s v="Q2"/>
    <x v="3"/>
    <x v="1"/>
    <x v="2"/>
    <x v="1"/>
    <x v="4"/>
    <s v="Wireless Earbuds"/>
    <n v="3"/>
    <n v="588.41"/>
    <n v="0.05"/>
    <x v="0"/>
    <n v="1676.97"/>
    <n v="1387.36"/>
    <n v="289.61"/>
    <n v="1"/>
    <n v="0"/>
    <n v="4"/>
    <n v="4"/>
  </r>
  <r>
    <s v="SW-100670"/>
    <d v="2024-04-22T00:00:00"/>
    <x v="0"/>
    <s v="Q2"/>
    <x v="3"/>
    <x v="1"/>
    <x v="3"/>
    <x v="1"/>
    <x v="3"/>
    <s v="Yoga Mat"/>
    <n v="1"/>
    <n v="137.05000000000001"/>
    <n v="0"/>
    <x v="2"/>
    <n v="137.05000000000001"/>
    <n v="94.67"/>
    <n v="42.38"/>
    <n v="1"/>
    <n v="0"/>
    <n v="3"/>
    <n v="4"/>
  </r>
  <r>
    <s v="SW-100671"/>
    <d v="2024-04-22T00:00:00"/>
    <x v="0"/>
    <s v="Q2"/>
    <x v="3"/>
    <x v="0"/>
    <x v="3"/>
    <x v="1"/>
    <x v="2"/>
    <s v="Coffee Maker"/>
    <n v="2"/>
    <n v="148.05000000000001"/>
    <n v="0.05"/>
    <x v="0"/>
    <n v="281.3"/>
    <n v="186.54"/>
    <n v="94.76"/>
    <n v="1"/>
    <n v="0"/>
    <n v="2"/>
    <n v="5"/>
  </r>
  <r>
    <s v="SW-100672"/>
    <d v="2024-04-23T00:00:00"/>
    <x v="0"/>
    <s v="Q2"/>
    <x v="3"/>
    <x v="1"/>
    <x v="3"/>
    <x v="1"/>
    <x v="0"/>
    <s v="Denim Jacket"/>
    <n v="1"/>
    <n v="78.510000000000005"/>
    <n v="0"/>
    <x v="2"/>
    <n v="78.510000000000005"/>
    <n v="41.29"/>
    <n v="37.22"/>
    <n v="1"/>
    <n v="0"/>
    <n v="3"/>
    <n v="5"/>
  </r>
  <r>
    <s v="SW-100673"/>
    <d v="2024-04-23T00:00:00"/>
    <x v="0"/>
    <s v="Q2"/>
    <x v="3"/>
    <x v="1"/>
    <x v="2"/>
    <x v="0"/>
    <x v="4"/>
    <s v="4K Action Camera"/>
    <n v="2"/>
    <n v="636.09"/>
    <n v="0"/>
    <x v="2"/>
    <n v="1272.18"/>
    <n v="1020.87"/>
    <n v="251.31"/>
    <n v="1"/>
    <n v="1"/>
    <n v="3"/>
    <n v="3"/>
  </r>
  <r>
    <s v="SW-100674"/>
    <d v="2024-04-23T00:00:00"/>
    <x v="0"/>
    <s v="Q2"/>
    <x v="3"/>
    <x v="1"/>
    <x v="0"/>
    <x v="1"/>
    <x v="2"/>
    <s v="Cookware Set"/>
    <n v="2"/>
    <n v="233.81"/>
    <n v="0.25"/>
    <x v="3"/>
    <n v="350.72"/>
    <n v="307.54000000000002"/>
    <n v="43.18"/>
    <n v="1"/>
    <n v="0"/>
    <n v="4"/>
    <n v="5"/>
  </r>
  <r>
    <s v="SW-100675"/>
    <d v="2024-04-23T00:00:00"/>
    <x v="0"/>
    <s v="Q2"/>
    <x v="3"/>
    <x v="0"/>
    <x v="2"/>
    <x v="0"/>
    <x v="1"/>
    <s v="Skin Care Bundle"/>
    <n v="1"/>
    <n v="92.54"/>
    <n v="0.2"/>
    <x v="1"/>
    <n v="74.03"/>
    <n v="43.67"/>
    <n v="30.36"/>
    <n v="1"/>
    <n v="0"/>
    <n v="5"/>
    <n v="5"/>
  </r>
  <r>
    <s v="SW-100676"/>
    <d v="2024-04-23T00:00:00"/>
    <x v="0"/>
    <s v="Q2"/>
    <x v="3"/>
    <x v="0"/>
    <x v="4"/>
    <x v="1"/>
    <x v="5"/>
    <s v="Bestseller Novel"/>
    <n v="1"/>
    <n v="45.28"/>
    <n v="0.05"/>
    <x v="0"/>
    <n v="43.02"/>
    <n v="31.46"/>
    <n v="11.56"/>
    <n v="1"/>
    <n v="0"/>
    <n v="7"/>
    <n v="2"/>
  </r>
  <r>
    <s v="SW-100677"/>
    <d v="2024-04-24T00:00:00"/>
    <x v="0"/>
    <s v="Q2"/>
    <x v="3"/>
    <x v="0"/>
    <x v="3"/>
    <x v="1"/>
    <x v="2"/>
    <s v="Desk Lamp"/>
    <n v="1"/>
    <n v="117.63"/>
    <n v="0.05"/>
    <x v="0"/>
    <n v="111.75"/>
    <n v="78.63"/>
    <n v="33.119999999999997"/>
    <n v="1"/>
    <n v="0"/>
    <n v="3"/>
    <n v="4"/>
  </r>
  <r>
    <s v="SW-100678"/>
    <d v="2024-04-24T00:00:00"/>
    <x v="0"/>
    <s v="Q2"/>
    <x v="3"/>
    <x v="1"/>
    <x v="0"/>
    <x v="1"/>
    <x v="5"/>
    <s v="Story Book Set"/>
    <n v="1"/>
    <n v="10.76"/>
    <n v="0.1"/>
    <x v="0"/>
    <n v="9.68"/>
    <n v="7.97"/>
    <n v="1.71"/>
    <n v="1"/>
    <n v="0"/>
    <n v="3"/>
    <n v="5"/>
  </r>
  <r>
    <s v="SW-100679"/>
    <d v="2024-04-24T00:00:00"/>
    <x v="0"/>
    <s v="Q2"/>
    <x v="3"/>
    <x v="0"/>
    <x v="3"/>
    <x v="1"/>
    <x v="0"/>
    <s v="Denim Jacket"/>
    <n v="1"/>
    <n v="78.510000000000005"/>
    <n v="0.1"/>
    <x v="0"/>
    <n v="70.66"/>
    <n v="43.28"/>
    <n v="27.38"/>
    <n v="1"/>
    <n v="0"/>
    <n v="4"/>
    <n v="3"/>
  </r>
  <r>
    <s v="SW-100680"/>
    <d v="2024-04-24T00:00:00"/>
    <x v="0"/>
    <s v="Q2"/>
    <x v="3"/>
    <x v="2"/>
    <x v="3"/>
    <x v="1"/>
    <x v="3"/>
    <s v="Yoga Mat"/>
    <n v="2"/>
    <n v="137.05000000000001"/>
    <n v="0"/>
    <x v="2"/>
    <n v="274.10000000000002"/>
    <n v="173.18"/>
    <n v="100.92"/>
    <n v="1"/>
    <n v="1"/>
    <n v="4"/>
    <n v="4"/>
  </r>
  <r>
    <s v="SW-100681"/>
    <d v="2024-04-24T00:00:00"/>
    <x v="0"/>
    <s v="Q2"/>
    <x v="3"/>
    <x v="1"/>
    <x v="2"/>
    <x v="1"/>
    <x v="2"/>
    <s v="Bed Sheet Set"/>
    <n v="1"/>
    <n v="90.75"/>
    <n v="0.05"/>
    <x v="0"/>
    <n v="86.21"/>
    <n v="59.94"/>
    <n v="26.27"/>
    <n v="1"/>
    <n v="0"/>
    <n v="4"/>
    <n v="5"/>
  </r>
  <r>
    <s v="SW-100682"/>
    <d v="2024-04-25T00:00:00"/>
    <x v="0"/>
    <s v="Q2"/>
    <x v="3"/>
    <x v="0"/>
    <x v="0"/>
    <x v="1"/>
    <x v="0"/>
    <s v="Sunglasses"/>
    <n v="1"/>
    <n v="104.94"/>
    <n v="0"/>
    <x v="2"/>
    <n v="104.94"/>
    <n v="58.05"/>
    <n v="46.89"/>
    <n v="1"/>
    <n v="0"/>
    <n v="4"/>
    <n v="4"/>
  </r>
  <r>
    <s v="SW-100683"/>
    <d v="2024-04-25T00:00:00"/>
    <x v="0"/>
    <s v="Q2"/>
    <x v="3"/>
    <x v="2"/>
    <x v="1"/>
    <x v="0"/>
    <x v="2"/>
    <s v="Storage Boxes"/>
    <n v="1"/>
    <n v="154.66"/>
    <n v="0.1"/>
    <x v="0"/>
    <n v="139.19"/>
    <n v="97.47"/>
    <n v="41.72"/>
    <n v="1"/>
    <n v="0"/>
    <n v="7"/>
    <n v="3"/>
  </r>
  <r>
    <s v="SW-100684"/>
    <d v="2024-04-25T00:00:00"/>
    <x v="0"/>
    <s v="Q2"/>
    <x v="3"/>
    <x v="0"/>
    <x v="1"/>
    <x v="0"/>
    <x v="4"/>
    <s v="Bluetooth Speaker"/>
    <n v="2"/>
    <n v="177.65"/>
    <n v="0"/>
    <x v="2"/>
    <n v="355.3"/>
    <n v="307.76"/>
    <n v="47.54"/>
    <n v="1"/>
    <n v="1"/>
    <n v="6"/>
    <n v="2"/>
  </r>
  <r>
    <s v="SW-100685"/>
    <d v="2024-04-25T00:00:00"/>
    <x v="0"/>
    <s v="Q2"/>
    <x v="3"/>
    <x v="0"/>
    <x v="2"/>
    <x v="0"/>
    <x v="1"/>
    <s v="Makeup Kit"/>
    <n v="1"/>
    <n v="74.3"/>
    <n v="0.05"/>
    <x v="0"/>
    <n v="70.58"/>
    <n v="36.82"/>
    <n v="33.76"/>
    <n v="1"/>
    <n v="0"/>
    <n v="5"/>
    <n v="4"/>
  </r>
  <r>
    <s v="SW-100686"/>
    <d v="2024-04-25T00:00:00"/>
    <x v="0"/>
    <s v="Q2"/>
    <x v="3"/>
    <x v="2"/>
    <x v="0"/>
    <x v="0"/>
    <x v="0"/>
    <s v="Leather Handbag"/>
    <n v="1"/>
    <n v="138.5"/>
    <n v="0.2"/>
    <x v="1"/>
    <n v="110.8"/>
    <n v="72.760000000000005"/>
    <n v="38.04"/>
    <n v="1"/>
    <n v="0"/>
    <n v="4"/>
    <n v="4"/>
  </r>
  <r>
    <s v="SW-100687"/>
    <d v="2024-04-25T00:00:00"/>
    <x v="0"/>
    <s v="Q2"/>
    <x v="3"/>
    <x v="1"/>
    <x v="3"/>
    <x v="1"/>
    <x v="0"/>
    <s v="Sunglasses"/>
    <n v="2"/>
    <n v="104.94"/>
    <n v="0.05"/>
    <x v="0"/>
    <n v="199.39"/>
    <n v="120.33"/>
    <n v="79.06"/>
    <n v="1"/>
    <n v="0"/>
    <n v="2"/>
    <n v="5"/>
  </r>
  <r>
    <s v="SW-100688"/>
    <d v="2024-04-25T00:00:00"/>
    <x v="0"/>
    <s v="Q2"/>
    <x v="3"/>
    <x v="0"/>
    <x v="1"/>
    <x v="0"/>
    <x v="0"/>
    <s v="Leather Handbag"/>
    <n v="1"/>
    <n v="138.5"/>
    <n v="0.1"/>
    <x v="0"/>
    <n v="124.65"/>
    <n v="75.599999999999994"/>
    <n v="49.05"/>
    <n v="1"/>
    <n v="1"/>
    <n v="6"/>
    <n v="2"/>
  </r>
  <r>
    <s v="SW-100689"/>
    <d v="2024-04-25T00:00:00"/>
    <x v="0"/>
    <s v="Q2"/>
    <x v="3"/>
    <x v="2"/>
    <x v="0"/>
    <x v="0"/>
    <x v="3"/>
    <s v="Fitness Tracker"/>
    <n v="1"/>
    <n v="74.459999999999994"/>
    <n v="0.05"/>
    <x v="0"/>
    <n v="70.739999999999995"/>
    <n v="46.28"/>
    <n v="24.46"/>
    <n v="1"/>
    <n v="0"/>
    <n v="4"/>
    <n v="4"/>
  </r>
  <r>
    <s v="SW-100690"/>
    <d v="2024-04-26T00:00:00"/>
    <x v="0"/>
    <s v="Q2"/>
    <x v="3"/>
    <x v="0"/>
    <x v="3"/>
    <x v="1"/>
    <x v="4"/>
    <s v="Bluetooth Speaker"/>
    <n v="1"/>
    <n v="177.65"/>
    <n v="0.1"/>
    <x v="0"/>
    <n v="159.88999999999999"/>
    <n v="141.16999999999999"/>
    <n v="18.72"/>
    <n v="1"/>
    <n v="0"/>
    <n v="3"/>
    <n v="4"/>
  </r>
  <r>
    <s v="SW-100691"/>
    <d v="2024-04-26T00:00:00"/>
    <x v="0"/>
    <s v="Q2"/>
    <x v="3"/>
    <x v="0"/>
    <x v="2"/>
    <x v="0"/>
    <x v="0"/>
    <s v="Leather Handbag"/>
    <n v="1"/>
    <n v="138.5"/>
    <n v="0.1"/>
    <x v="0"/>
    <n v="124.65"/>
    <n v="75.069999999999993"/>
    <n v="49.58"/>
    <n v="1"/>
    <n v="0"/>
    <n v="3"/>
    <n v="5"/>
  </r>
  <r>
    <s v="SW-100692"/>
    <d v="2024-04-26T00:00:00"/>
    <x v="0"/>
    <s v="Q2"/>
    <x v="3"/>
    <x v="0"/>
    <x v="3"/>
    <x v="1"/>
    <x v="0"/>
    <s v="Summer Dress"/>
    <n v="2"/>
    <n v="33.99"/>
    <n v="0.2"/>
    <x v="1"/>
    <n v="54.38"/>
    <n v="38.229999999999997"/>
    <n v="16.149999999999999"/>
    <n v="1"/>
    <n v="0"/>
    <n v="2"/>
    <n v="5"/>
  </r>
  <r>
    <s v="SW-100693"/>
    <d v="2024-04-26T00:00:00"/>
    <x v="0"/>
    <s v="Q2"/>
    <x v="3"/>
    <x v="2"/>
    <x v="2"/>
    <x v="1"/>
    <x v="0"/>
    <s v="Summer Dress"/>
    <n v="1"/>
    <n v="33.99"/>
    <n v="0.2"/>
    <x v="1"/>
    <n v="27.19"/>
    <n v="18.02"/>
    <n v="9.17"/>
    <n v="1"/>
    <n v="0"/>
    <n v="3"/>
    <n v="5"/>
  </r>
  <r>
    <s v="SW-100694"/>
    <d v="2024-04-26T00:00:00"/>
    <x v="0"/>
    <s v="Q2"/>
    <x v="3"/>
    <x v="1"/>
    <x v="0"/>
    <x v="1"/>
    <x v="3"/>
    <s v="Dumbbell Set"/>
    <n v="1"/>
    <n v="198.42"/>
    <n v="0.1"/>
    <x v="0"/>
    <n v="178.58"/>
    <n v="123.19"/>
    <n v="55.39"/>
    <n v="1"/>
    <n v="0"/>
    <n v="5"/>
    <n v="5"/>
  </r>
  <r>
    <s v="SW-100695"/>
    <d v="2024-04-26T00:00:00"/>
    <x v="0"/>
    <s v="Q2"/>
    <x v="3"/>
    <x v="2"/>
    <x v="3"/>
    <x v="1"/>
    <x v="3"/>
    <s v="Fitness Tracker"/>
    <n v="1"/>
    <n v="74.459999999999994"/>
    <n v="0.05"/>
    <x v="0"/>
    <n v="70.739999999999995"/>
    <n v="48.88"/>
    <n v="21.86"/>
    <n v="1"/>
    <n v="0"/>
    <n v="2"/>
    <n v="5"/>
  </r>
  <r>
    <s v="SW-100696"/>
    <d v="2024-04-26T00:00:00"/>
    <x v="0"/>
    <s v="Q2"/>
    <x v="3"/>
    <x v="0"/>
    <x v="4"/>
    <x v="1"/>
    <x v="5"/>
    <s v="Bestseller Novel"/>
    <n v="2"/>
    <n v="45.28"/>
    <n v="0"/>
    <x v="2"/>
    <n v="90.56"/>
    <n v="65.31"/>
    <n v="25.25"/>
    <n v="1"/>
    <n v="0"/>
    <n v="5"/>
    <n v="4"/>
  </r>
  <r>
    <s v="SW-100697"/>
    <d v="2024-04-27T00:00:00"/>
    <x v="0"/>
    <s v="Q2"/>
    <x v="3"/>
    <x v="1"/>
    <x v="1"/>
    <x v="0"/>
    <x v="4"/>
    <s v="Tablet 10in"/>
    <n v="3"/>
    <n v="490.3"/>
    <n v="0.25"/>
    <x v="3"/>
    <n v="1103.18"/>
    <n v="1158.8900000000001"/>
    <n v="-55.71"/>
    <n v="1"/>
    <n v="0"/>
    <n v="6"/>
    <n v="3"/>
  </r>
  <r>
    <s v="SW-100698"/>
    <d v="2024-04-27T00:00:00"/>
    <x v="0"/>
    <s v="Q2"/>
    <x v="3"/>
    <x v="1"/>
    <x v="4"/>
    <x v="1"/>
    <x v="4"/>
    <s v="4K Action Camera"/>
    <n v="1"/>
    <n v="636.09"/>
    <n v="0.05"/>
    <x v="0"/>
    <n v="604.29"/>
    <n v="474.99"/>
    <n v="129.30000000000001"/>
    <n v="1"/>
    <n v="0"/>
    <n v="5"/>
    <n v="4"/>
  </r>
  <r>
    <s v="SW-100699"/>
    <d v="2024-04-27T00:00:00"/>
    <x v="0"/>
    <s v="Q2"/>
    <x v="3"/>
    <x v="2"/>
    <x v="2"/>
    <x v="1"/>
    <x v="2"/>
    <s v="Storage Boxes"/>
    <n v="1"/>
    <n v="154.66"/>
    <n v="0.15"/>
    <x v="1"/>
    <n v="131.46"/>
    <n v="103.2"/>
    <n v="28.26"/>
    <n v="1"/>
    <n v="0"/>
    <n v="4"/>
    <n v="5"/>
  </r>
  <r>
    <s v="SW-100700"/>
    <d v="2024-04-27T00:00:00"/>
    <x v="0"/>
    <s v="Q2"/>
    <x v="3"/>
    <x v="0"/>
    <x v="2"/>
    <x v="0"/>
    <x v="4"/>
    <s v="Tablet 10in"/>
    <n v="1"/>
    <n v="490.3"/>
    <n v="0.15"/>
    <x v="1"/>
    <n v="416.76"/>
    <n v="376.82"/>
    <n v="39.94"/>
    <n v="1"/>
    <n v="0"/>
    <n v="4"/>
    <n v="4"/>
  </r>
  <r>
    <s v="SW-100701"/>
    <d v="2024-04-27T00:00:00"/>
    <x v="0"/>
    <s v="Q2"/>
    <x v="3"/>
    <x v="1"/>
    <x v="3"/>
    <x v="0"/>
    <x v="2"/>
    <s v="Storage Boxes"/>
    <n v="2"/>
    <n v="154.66"/>
    <n v="0.1"/>
    <x v="0"/>
    <n v="278.39"/>
    <n v="201.34"/>
    <n v="77.05"/>
    <n v="1"/>
    <n v="0"/>
    <n v="2"/>
    <n v="5"/>
  </r>
  <r>
    <s v="SW-100702"/>
    <d v="2024-04-27T00:00:00"/>
    <x v="0"/>
    <s v="Q2"/>
    <x v="3"/>
    <x v="2"/>
    <x v="0"/>
    <x v="0"/>
    <x v="4"/>
    <s v="Power Bank"/>
    <n v="1"/>
    <n v="508.8"/>
    <n v="0.2"/>
    <x v="1"/>
    <n v="407.04"/>
    <n v="375.07"/>
    <n v="31.97"/>
    <n v="1"/>
    <n v="0"/>
    <n v="3"/>
    <n v="4"/>
  </r>
  <r>
    <s v="SW-100703"/>
    <d v="2024-04-27T00:00:00"/>
    <x v="0"/>
    <s v="Q2"/>
    <x v="3"/>
    <x v="0"/>
    <x v="3"/>
    <x v="1"/>
    <x v="5"/>
    <s v="Kids Puzzle"/>
    <n v="1"/>
    <n v="16.97"/>
    <n v="0"/>
    <x v="2"/>
    <n v="16.97"/>
    <n v="11.99"/>
    <n v="4.9800000000000004"/>
    <n v="1"/>
    <n v="0"/>
    <n v="2"/>
    <n v="5"/>
  </r>
  <r>
    <s v="SW-100704"/>
    <d v="2024-04-27T00:00:00"/>
    <x v="0"/>
    <s v="Q2"/>
    <x v="3"/>
    <x v="1"/>
    <x v="0"/>
    <x v="0"/>
    <x v="4"/>
    <s v="Power Bank"/>
    <n v="1"/>
    <n v="508.8"/>
    <n v="0.05"/>
    <x v="0"/>
    <n v="483.36"/>
    <n v="402.17"/>
    <n v="81.19"/>
    <n v="1"/>
    <n v="0"/>
    <n v="3"/>
    <n v="3"/>
  </r>
  <r>
    <s v="SW-100705"/>
    <d v="2024-04-28T00:00:00"/>
    <x v="0"/>
    <s v="Q2"/>
    <x v="3"/>
    <x v="0"/>
    <x v="0"/>
    <x v="1"/>
    <x v="2"/>
    <s v="Bed Sheet Set"/>
    <n v="3"/>
    <n v="90.75"/>
    <n v="0.15"/>
    <x v="1"/>
    <n v="231.41"/>
    <n v="183.96"/>
    <n v="47.45"/>
    <n v="1"/>
    <n v="0"/>
    <n v="4"/>
    <n v="4"/>
  </r>
  <r>
    <s v="SW-100706"/>
    <d v="2024-04-28T00:00:00"/>
    <x v="0"/>
    <s v="Q2"/>
    <x v="3"/>
    <x v="1"/>
    <x v="3"/>
    <x v="1"/>
    <x v="3"/>
    <s v="Cycling Helmet"/>
    <n v="4"/>
    <n v="85.42"/>
    <n v="0.1"/>
    <x v="0"/>
    <n v="307.51"/>
    <n v="224.35"/>
    <n v="83.16"/>
    <n v="1"/>
    <n v="1"/>
    <n v="2"/>
    <n v="3"/>
  </r>
  <r>
    <s v="SW-100707"/>
    <d v="2024-04-28T00:00:00"/>
    <x v="0"/>
    <s v="Q2"/>
    <x v="3"/>
    <x v="0"/>
    <x v="2"/>
    <x v="1"/>
    <x v="3"/>
    <s v="Yoga Mat"/>
    <n v="1"/>
    <n v="137.05000000000001"/>
    <n v="0.1"/>
    <x v="0"/>
    <n v="123.35"/>
    <n v="94.78"/>
    <n v="28.57"/>
    <n v="1"/>
    <n v="0"/>
    <n v="3"/>
    <n v="5"/>
  </r>
  <r>
    <s v="SW-100708"/>
    <d v="2024-04-28T00:00:00"/>
    <x v="0"/>
    <s v="Q2"/>
    <x v="3"/>
    <x v="1"/>
    <x v="2"/>
    <x v="1"/>
    <x v="1"/>
    <s v="Skin Care Bundle"/>
    <n v="3"/>
    <n v="92.54"/>
    <n v="0.05"/>
    <x v="0"/>
    <n v="263.74"/>
    <n v="137.18"/>
    <n v="126.56"/>
    <n v="1"/>
    <n v="1"/>
    <n v="5"/>
    <n v="3"/>
  </r>
  <r>
    <s v="SW-100709"/>
    <d v="2024-04-28T00:00:00"/>
    <x v="0"/>
    <s v="Q2"/>
    <x v="3"/>
    <x v="0"/>
    <x v="4"/>
    <x v="1"/>
    <x v="3"/>
    <s v="Yoga Mat"/>
    <n v="3"/>
    <n v="137.05000000000001"/>
    <n v="0.05"/>
    <x v="0"/>
    <n v="390.59"/>
    <n v="266.52"/>
    <n v="124.07"/>
    <n v="1"/>
    <n v="0"/>
    <n v="7"/>
    <n v="3"/>
  </r>
  <r>
    <s v="SW-100710"/>
    <d v="2024-04-28T00:00:00"/>
    <x v="0"/>
    <s v="Q2"/>
    <x v="3"/>
    <x v="1"/>
    <x v="0"/>
    <x v="0"/>
    <x v="0"/>
    <s v="Running Sneakers"/>
    <n v="1"/>
    <n v="94.85"/>
    <n v="0"/>
    <x v="2"/>
    <n v="94.85"/>
    <n v="48.8"/>
    <n v="46.05"/>
    <n v="1"/>
    <n v="0"/>
    <n v="5"/>
    <n v="4"/>
  </r>
  <r>
    <s v="SW-100711"/>
    <d v="2024-04-29T00:00:00"/>
    <x v="0"/>
    <s v="Q2"/>
    <x v="3"/>
    <x v="0"/>
    <x v="0"/>
    <x v="1"/>
    <x v="4"/>
    <s v="Bluetooth Speaker"/>
    <n v="1"/>
    <n v="177.65"/>
    <n v="0.1"/>
    <x v="0"/>
    <n v="159.88999999999999"/>
    <n v="147"/>
    <n v="12.89"/>
    <n v="1"/>
    <n v="0"/>
    <n v="5"/>
    <n v="5"/>
  </r>
  <r>
    <s v="SW-100712"/>
    <d v="2024-04-29T00:00:00"/>
    <x v="0"/>
    <s v="Q2"/>
    <x v="3"/>
    <x v="0"/>
    <x v="0"/>
    <x v="0"/>
    <x v="4"/>
    <s v="Wireless Earbuds"/>
    <n v="1"/>
    <n v="588.41"/>
    <n v="0"/>
    <x v="2"/>
    <n v="588.41"/>
    <n v="470.09"/>
    <n v="118.32"/>
    <n v="1"/>
    <n v="0"/>
    <n v="3"/>
    <n v="4"/>
  </r>
  <r>
    <s v="SW-100713"/>
    <d v="2024-04-29T00:00:00"/>
    <x v="0"/>
    <s v="Q2"/>
    <x v="3"/>
    <x v="0"/>
    <x v="3"/>
    <x v="1"/>
    <x v="0"/>
    <s v="Running Sneakers"/>
    <n v="2"/>
    <n v="94.85"/>
    <n v="0"/>
    <x v="2"/>
    <n v="189.7"/>
    <n v="104.11"/>
    <n v="85.59"/>
    <n v="1"/>
    <n v="0"/>
    <n v="4"/>
    <n v="3"/>
  </r>
  <r>
    <s v="SW-100714"/>
    <d v="2024-04-29T00:00:00"/>
    <x v="0"/>
    <s v="Q2"/>
    <x v="3"/>
    <x v="2"/>
    <x v="1"/>
    <x v="1"/>
    <x v="0"/>
    <s v="Denim Jacket"/>
    <n v="2"/>
    <n v="78.510000000000005"/>
    <n v="0.1"/>
    <x v="0"/>
    <n v="141.32"/>
    <n v="81.239999999999995"/>
    <n v="60.08"/>
    <n v="1"/>
    <n v="0"/>
    <n v="5"/>
    <n v="4"/>
  </r>
  <r>
    <s v="SW-100715"/>
    <d v="2024-04-29T00:00:00"/>
    <x v="0"/>
    <s v="Q2"/>
    <x v="3"/>
    <x v="0"/>
    <x v="2"/>
    <x v="0"/>
    <x v="2"/>
    <s v="Desk Lamp"/>
    <n v="3"/>
    <n v="117.63"/>
    <n v="0.2"/>
    <x v="1"/>
    <n v="282.31"/>
    <n v="226.62"/>
    <n v="55.69"/>
    <n v="1"/>
    <n v="0"/>
    <n v="4"/>
    <n v="4"/>
  </r>
  <r>
    <s v="SW-100716"/>
    <d v="2024-04-29T00:00:00"/>
    <x v="0"/>
    <s v="Q2"/>
    <x v="3"/>
    <x v="2"/>
    <x v="3"/>
    <x v="1"/>
    <x v="0"/>
    <s v="Denim Jacket"/>
    <n v="1"/>
    <n v="78.510000000000005"/>
    <n v="0.2"/>
    <x v="1"/>
    <n v="62.81"/>
    <n v="43.96"/>
    <n v="18.850000000000001"/>
    <n v="1"/>
    <n v="0"/>
    <n v="2"/>
    <n v="4"/>
  </r>
  <r>
    <s v="SW-100717"/>
    <d v="2024-04-29T00:00:00"/>
    <x v="0"/>
    <s v="Q2"/>
    <x v="3"/>
    <x v="1"/>
    <x v="4"/>
    <x v="0"/>
    <x v="1"/>
    <s v="Makeup Kit"/>
    <n v="1"/>
    <n v="74.3"/>
    <n v="0.1"/>
    <x v="0"/>
    <n v="66.87"/>
    <n v="35.07"/>
    <n v="31.8"/>
    <n v="1"/>
    <n v="0"/>
    <n v="6"/>
    <n v="3"/>
  </r>
  <r>
    <s v="SW-100718"/>
    <d v="2024-04-30T00:00:00"/>
    <x v="0"/>
    <s v="Q2"/>
    <x v="3"/>
    <x v="2"/>
    <x v="3"/>
    <x v="0"/>
    <x v="0"/>
    <s v="Leather Handbag"/>
    <n v="1"/>
    <n v="138.5"/>
    <n v="0"/>
    <x v="2"/>
    <n v="138.5"/>
    <n v="78.09"/>
    <n v="60.41"/>
    <n v="1"/>
    <n v="0"/>
    <n v="2"/>
    <n v="5"/>
  </r>
  <r>
    <s v="SW-100719"/>
    <d v="2024-04-30T00:00:00"/>
    <x v="0"/>
    <s v="Q2"/>
    <x v="3"/>
    <x v="1"/>
    <x v="0"/>
    <x v="0"/>
    <x v="2"/>
    <s v="Air Fryer"/>
    <n v="1"/>
    <n v="68.349999999999994"/>
    <n v="0.05"/>
    <x v="0"/>
    <n v="64.930000000000007"/>
    <n v="44.85"/>
    <n v="20.079999999999998"/>
    <n v="1"/>
    <n v="0"/>
    <n v="5"/>
    <n v="4"/>
  </r>
  <r>
    <s v="SW-100720"/>
    <d v="2024-04-30T00:00:00"/>
    <x v="0"/>
    <s v="Q2"/>
    <x v="3"/>
    <x v="1"/>
    <x v="2"/>
    <x v="1"/>
    <x v="4"/>
    <s v="Smart Watch"/>
    <n v="1"/>
    <n v="216.08"/>
    <n v="0"/>
    <x v="2"/>
    <n v="216.08"/>
    <n v="171.15"/>
    <n v="44.93"/>
    <n v="1"/>
    <n v="0"/>
    <n v="5"/>
    <n v="5"/>
  </r>
  <r>
    <s v="SW-100721"/>
    <d v="2024-04-30T00:00:00"/>
    <x v="0"/>
    <s v="Q2"/>
    <x v="3"/>
    <x v="1"/>
    <x v="2"/>
    <x v="1"/>
    <x v="0"/>
    <s v="Cotton T-Shirt"/>
    <n v="2"/>
    <n v="19.41"/>
    <n v="0.05"/>
    <x v="0"/>
    <n v="36.880000000000003"/>
    <n v="21.91"/>
    <n v="14.97"/>
    <n v="1"/>
    <n v="0"/>
    <n v="3"/>
    <n v="5"/>
  </r>
  <r>
    <s v="SW-100722"/>
    <d v="2024-05-01T00:00:00"/>
    <x v="0"/>
    <s v="Q2"/>
    <x v="4"/>
    <x v="0"/>
    <x v="3"/>
    <x v="1"/>
    <x v="0"/>
    <s v="Sunglasses"/>
    <n v="1"/>
    <n v="104.94"/>
    <n v="0"/>
    <x v="2"/>
    <n v="104.94"/>
    <n v="55.4"/>
    <n v="49.54"/>
    <n v="1"/>
    <n v="1"/>
    <n v="3"/>
    <n v="2"/>
  </r>
  <r>
    <s v="SW-100723"/>
    <d v="2024-05-01T00:00:00"/>
    <x v="0"/>
    <s v="Q2"/>
    <x v="4"/>
    <x v="1"/>
    <x v="3"/>
    <x v="0"/>
    <x v="4"/>
    <s v="Bluetooth Speaker"/>
    <n v="1"/>
    <n v="177.65"/>
    <n v="0"/>
    <x v="2"/>
    <n v="177.65"/>
    <n v="140.26"/>
    <n v="37.39"/>
    <n v="1"/>
    <n v="0"/>
    <n v="3"/>
    <n v="5"/>
  </r>
  <r>
    <s v="SW-100724"/>
    <d v="2024-05-01T00:00:00"/>
    <x v="0"/>
    <s v="Q2"/>
    <x v="4"/>
    <x v="0"/>
    <x v="3"/>
    <x v="1"/>
    <x v="3"/>
    <s v="Fitness Tracker"/>
    <n v="1"/>
    <n v="74.459999999999994"/>
    <n v="0.05"/>
    <x v="0"/>
    <n v="70.739999999999995"/>
    <n v="47.03"/>
    <n v="23.71"/>
    <n v="1"/>
    <n v="0"/>
    <n v="2"/>
    <n v="4"/>
  </r>
  <r>
    <s v="SW-100725"/>
    <d v="2024-05-01T00:00:00"/>
    <x v="0"/>
    <s v="Q2"/>
    <x v="4"/>
    <x v="2"/>
    <x v="0"/>
    <x v="0"/>
    <x v="2"/>
    <s v="Air Fryer"/>
    <n v="2"/>
    <n v="68.349999999999994"/>
    <n v="0.05"/>
    <x v="0"/>
    <n v="129.86000000000001"/>
    <n v="90.82"/>
    <n v="39.04"/>
    <n v="1"/>
    <n v="0"/>
    <n v="6"/>
    <n v="5"/>
  </r>
  <r>
    <s v="SW-100726"/>
    <d v="2024-05-01T00:00:00"/>
    <x v="0"/>
    <s v="Q2"/>
    <x v="4"/>
    <x v="0"/>
    <x v="2"/>
    <x v="1"/>
    <x v="1"/>
    <s v="Perfume 100ml"/>
    <n v="1"/>
    <n v="54.56"/>
    <n v="0"/>
    <x v="2"/>
    <n v="54.56"/>
    <n v="24.85"/>
    <n v="29.71"/>
    <n v="1"/>
    <n v="0"/>
    <n v="4"/>
    <n v="5"/>
  </r>
  <r>
    <s v="SW-100727"/>
    <d v="2024-05-02T00:00:00"/>
    <x v="0"/>
    <s v="Q2"/>
    <x v="4"/>
    <x v="0"/>
    <x v="0"/>
    <x v="1"/>
    <x v="2"/>
    <s v="Cookware Set"/>
    <n v="1"/>
    <n v="233.81"/>
    <n v="0"/>
    <x v="2"/>
    <n v="233.81"/>
    <n v="159.33000000000001"/>
    <n v="74.48"/>
    <n v="1"/>
    <n v="0"/>
    <n v="4"/>
    <n v="4"/>
  </r>
  <r>
    <s v="SW-100728"/>
    <d v="2024-05-02T00:00:00"/>
    <x v="0"/>
    <s v="Q2"/>
    <x v="4"/>
    <x v="0"/>
    <x v="0"/>
    <x v="1"/>
    <x v="0"/>
    <s v="Summer Dress"/>
    <n v="1"/>
    <n v="33.99"/>
    <n v="0"/>
    <x v="2"/>
    <n v="33.99"/>
    <n v="18.39"/>
    <n v="15.6"/>
    <n v="1"/>
    <n v="0"/>
    <n v="5"/>
    <n v="4"/>
  </r>
  <r>
    <s v="SW-100729"/>
    <d v="2024-05-02T00:00:00"/>
    <x v="0"/>
    <s v="Q2"/>
    <x v="4"/>
    <x v="1"/>
    <x v="0"/>
    <x v="0"/>
    <x v="3"/>
    <s v="Camping Tent"/>
    <n v="1"/>
    <n v="83.06"/>
    <n v="0"/>
    <x v="2"/>
    <n v="83.06"/>
    <n v="57.77"/>
    <n v="25.29"/>
    <n v="1"/>
    <n v="0"/>
    <n v="5"/>
    <n v="5"/>
  </r>
  <r>
    <s v="SW-100730"/>
    <d v="2024-05-02T00:00:00"/>
    <x v="0"/>
    <s v="Q2"/>
    <x v="4"/>
    <x v="0"/>
    <x v="4"/>
    <x v="0"/>
    <x v="2"/>
    <s v="Bed Sheet Set"/>
    <n v="2"/>
    <n v="90.75"/>
    <n v="0"/>
    <x v="2"/>
    <n v="181.5"/>
    <n v="118.39"/>
    <n v="63.11"/>
    <n v="1"/>
    <n v="0"/>
    <n v="8"/>
    <n v="4"/>
  </r>
  <r>
    <s v="SW-100731"/>
    <d v="2024-05-02T00:00:00"/>
    <x v="0"/>
    <s v="Q2"/>
    <x v="4"/>
    <x v="0"/>
    <x v="2"/>
    <x v="1"/>
    <x v="0"/>
    <s v="Running Sneakers"/>
    <n v="1"/>
    <n v="94.85"/>
    <n v="0.1"/>
    <x v="0"/>
    <n v="85.36"/>
    <n v="50.91"/>
    <n v="34.450000000000003"/>
    <n v="1"/>
    <n v="0"/>
    <n v="4"/>
    <n v="4"/>
  </r>
  <r>
    <s v="SW-100732"/>
    <d v="2024-05-02T00:00:00"/>
    <x v="0"/>
    <s v="Q2"/>
    <x v="4"/>
    <x v="1"/>
    <x v="3"/>
    <x v="1"/>
    <x v="0"/>
    <s v="Summer Dress"/>
    <n v="2"/>
    <n v="33.99"/>
    <n v="0.1"/>
    <x v="0"/>
    <n v="61.18"/>
    <n v="37.71"/>
    <n v="23.47"/>
    <n v="1"/>
    <n v="0"/>
    <n v="2"/>
    <n v="3"/>
  </r>
  <r>
    <s v="SW-100733"/>
    <d v="2024-05-03T00:00:00"/>
    <x v="0"/>
    <s v="Q2"/>
    <x v="4"/>
    <x v="1"/>
    <x v="3"/>
    <x v="0"/>
    <x v="2"/>
    <s v="Coffee Maker"/>
    <n v="2"/>
    <n v="148.05000000000001"/>
    <n v="0"/>
    <x v="2"/>
    <n v="296.10000000000002"/>
    <n v="190.64"/>
    <n v="105.46"/>
    <n v="1"/>
    <n v="0"/>
    <n v="2"/>
    <n v="4"/>
  </r>
  <r>
    <s v="SW-100734"/>
    <d v="2024-05-03T00:00:00"/>
    <x v="0"/>
    <s v="Q2"/>
    <x v="4"/>
    <x v="2"/>
    <x v="3"/>
    <x v="1"/>
    <x v="4"/>
    <s v="Bluetooth Speaker"/>
    <n v="2"/>
    <n v="177.65"/>
    <n v="0"/>
    <x v="2"/>
    <n v="355.3"/>
    <n v="285.61"/>
    <n v="69.69"/>
    <n v="1"/>
    <n v="0"/>
    <n v="5"/>
    <n v="5"/>
  </r>
  <r>
    <s v="SW-100735"/>
    <d v="2024-05-03T00:00:00"/>
    <x v="0"/>
    <s v="Q2"/>
    <x v="4"/>
    <x v="0"/>
    <x v="3"/>
    <x v="0"/>
    <x v="3"/>
    <s v="Camping Tent"/>
    <n v="2"/>
    <n v="83.06"/>
    <n v="0"/>
    <x v="2"/>
    <n v="166.12"/>
    <n v="114.89"/>
    <n v="51.23"/>
    <n v="1"/>
    <n v="0"/>
    <n v="4"/>
    <n v="5"/>
  </r>
  <r>
    <s v="SW-100736"/>
    <d v="2024-05-03T00:00:00"/>
    <x v="0"/>
    <s v="Q2"/>
    <x v="4"/>
    <x v="1"/>
    <x v="2"/>
    <x v="0"/>
    <x v="1"/>
    <s v="Hair Dryer"/>
    <n v="1"/>
    <n v="33.18"/>
    <n v="0.05"/>
    <x v="0"/>
    <n v="31.52"/>
    <n v="15.8"/>
    <n v="15.72"/>
    <n v="1"/>
    <n v="0"/>
    <n v="5"/>
    <n v="5"/>
  </r>
  <r>
    <s v="SW-100737"/>
    <d v="2024-05-04T00:00:00"/>
    <x v="0"/>
    <s v="Q2"/>
    <x v="4"/>
    <x v="2"/>
    <x v="2"/>
    <x v="0"/>
    <x v="0"/>
    <s v="Summer Dress"/>
    <n v="2"/>
    <n v="33.99"/>
    <n v="0.2"/>
    <x v="1"/>
    <n v="54.38"/>
    <n v="36.270000000000003"/>
    <n v="18.11"/>
    <n v="1"/>
    <n v="0"/>
    <n v="4"/>
    <n v="5"/>
  </r>
  <r>
    <s v="SW-100738"/>
    <d v="2024-05-04T00:00:00"/>
    <x v="0"/>
    <s v="Q2"/>
    <x v="4"/>
    <x v="0"/>
    <x v="3"/>
    <x v="1"/>
    <x v="3"/>
    <s v="Yoga Mat"/>
    <n v="1"/>
    <n v="137.05000000000001"/>
    <n v="0.05"/>
    <x v="0"/>
    <n v="130.19999999999999"/>
    <n v="95.63"/>
    <n v="34.57"/>
    <n v="1"/>
    <n v="0"/>
    <n v="3"/>
    <n v="5"/>
  </r>
  <r>
    <s v="SW-100739"/>
    <d v="2024-05-04T00:00:00"/>
    <x v="0"/>
    <s v="Q2"/>
    <x v="4"/>
    <x v="0"/>
    <x v="0"/>
    <x v="1"/>
    <x v="2"/>
    <s v="Storage Boxes"/>
    <n v="2"/>
    <n v="154.66"/>
    <n v="0"/>
    <x v="2"/>
    <n v="309.32"/>
    <n v="201.49"/>
    <n v="107.83"/>
    <n v="1"/>
    <n v="0"/>
    <n v="4"/>
    <n v="4"/>
  </r>
  <r>
    <s v="SW-100740"/>
    <d v="2024-05-04T00:00:00"/>
    <x v="0"/>
    <s v="Q2"/>
    <x v="4"/>
    <x v="0"/>
    <x v="2"/>
    <x v="1"/>
    <x v="1"/>
    <s v="Face Serum"/>
    <n v="1"/>
    <n v="33.479999999999997"/>
    <n v="0"/>
    <x v="2"/>
    <n v="33.479999999999997"/>
    <n v="16.66"/>
    <n v="16.82"/>
    <n v="1"/>
    <n v="0"/>
    <n v="3"/>
    <n v="5"/>
  </r>
  <r>
    <s v="SW-100741"/>
    <d v="2024-05-04T00:00:00"/>
    <x v="0"/>
    <s v="Q2"/>
    <x v="4"/>
    <x v="0"/>
    <x v="3"/>
    <x v="0"/>
    <x v="2"/>
    <s v="Bed Sheet Set"/>
    <n v="3"/>
    <n v="90.75"/>
    <n v="0"/>
    <x v="2"/>
    <n v="272.25"/>
    <n v="190.93"/>
    <n v="81.319999999999993"/>
    <n v="1"/>
    <n v="0"/>
    <n v="3"/>
    <n v="4"/>
  </r>
  <r>
    <s v="SW-100742"/>
    <d v="2024-05-04T00:00:00"/>
    <x v="0"/>
    <s v="Q2"/>
    <x v="4"/>
    <x v="0"/>
    <x v="4"/>
    <x v="0"/>
    <x v="3"/>
    <s v="Camping Tent"/>
    <n v="1"/>
    <n v="83.06"/>
    <n v="0"/>
    <x v="2"/>
    <n v="83.06"/>
    <n v="53.76"/>
    <n v="29.3"/>
    <n v="1"/>
    <n v="0"/>
    <n v="7"/>
    <n v="4"/>
  </r>
  <r>
    <s v="SW-100743"/>
    <d v="2024-05-04T00:00:00"/>
    <x v="0"/>
    <s v="Q2"/>
    <x v="4"/>
    <x v="1"/>
    <x v="1"/>
    <x v="0"/>
    <x v="2"/>
    <s v="Storage Boxes"/>
    <n v="2"/>
    <n v="154.66"/>
    <n v="0.2"/>
    <x v="1"/>
    <n v="247.46"/>
    <n v="210.06"/>
    <n v="37.4"/>
    <n v="1"/>
    <n v="0"/>
    <n v="6"/>
    <n v="4"/>
  </r>
  <r>
    <s v="SW-100744"/>
    <d v="2024-05-04T00:00:00"/>
    <x v="0"/>
    <s v="Q2"/>
    <x v="4"/>
    <x v="1"/>
    <x v="0"/>
    <x v="0"/>
    <x v="3"/>
    <s v="Fitness Tracker"/>
    <n v="1"/>
    <n v="74.459999999999994"/>
    <n v="0"/>
    <x v="2"/>
    <n v="74.459999999999994"/>
    <n v="50.46"/>
    <n v="24"/>
    <n v="1"/>
    <n v="0"/>
    <n v="3"/>
    <n v="5"/>
  </r>
  <r>
    <s v="SW-100745"/>
    <d v="2024-05-05T00:00:00"/>
    <x v="0"/>
    <s v="Q2"/>
    <x v="4"/>
    <x v="0"/>
    <x v="2"/>
    <x v="1"/>
    <x v="4"/>
    <s v="Bluetooth Speaker"/>
    <n v="2"/>
    <n v="177.65"/>
    <n v="0.1"/>
    <x v="0"/>
    <n v="319.77"/>
    <n v="305.86"/>
    <n v="13.91"/>
    <n v="1"/>
    <n v="0"/>
    <n v="3"/>
    <n v="5"/>
  </r>
  <r>
    <s v="SW-100746"/>
    <d v="2024-05-05T00:00:00"/>
    <x v="0"/>
    <s v="Q2"/>
    <x v="4"/>
    <x v="1"/>
    <x v="4"/>
    <x v="1"/>
    <x v="3"/>
    <s v="Dumbbell Set"/>
    <n v="2"/>
    <n v="198.42"/>
    <n v="0.2"/>
    <x v="1"/>
    <n v="317.47000000000003"/>
    <n v="279.48"/>
    <n v="37.99"/>
    <n v="1"/>
    <n v="0"/>
    <n v="5"/>
    <n v="5"/>
  </r>
  <r>
    <s v="SW-100747"/>
    <d v="2024-05-05T00:00:00"/>
    <x v="0"/>
    <s v="Q2"/>
    <x v="4"/>
    <x v="0"/>
    <x v="4"/>
    <x v="1"/>
    <x v="0"/>
    <s v="Denim Jacket"/>
    <n v="1"/>
    <n v="78.510000000000005"/>
    <n v="0.15"/>
    <x v="1"/>
    <n v="66.73"/>
    <n v="42.05"/>
    <n v="24.68"/>
    <n v="1"/>
    <n v="0"/>
    <n v="5"/>
    <n v="4"/>
  </r>
  <r>
    <s v="SW-100748"/>
    <d v="2024-05-05T00:00:00"/>
    <x v="0"/>
    <s v="Q2"/>
    <x v="4"/>
    <x v="2"/>
    <x v="0"/>
    <x v="0"/>
    <x v="4"/>
    <s v="Wireless Earbuds"/>
    <n v="2"/>
    <n v="588.41"/>
    <n v="0.2"/>
    <x v="1"/>
    <n v="941.46"/>
    <n v="855.46"/>
    <n v="86"/>
    <n v="1"/>
    <n v="0"/>
    <n v="4"/>
    <n v="4"/>
  </r>
  <r>
    <s v="SW-100749"/>
    <d v="2024-05-05T00:00:00"/>
    <x v="0"/>
    <s v="Q2"/>
    <x v="4"/>
    <x v="0"/>
    <x v="2"/>
    <x v="0"/>
    <x v="0"/>
    <s v="Leather Handbag"/>
    <n v="1"/>
    <n v="138.5"/>
    <n v="0.1"/>
    <x v="0"/>
    <n v="124.65"/>
    <n v="75.67"/>
    <n v="48.98"/>
    <n v="1"/>
    <n v="1"/>
    <n v="6"/>
    <n v="3"/>
  </r>
  <r>
    <s v="SW-100750"/>
    <d v="2024-05-05T00:00:00"/>
    <x v="0"/>
    <s v="Q2"/>
    <x v="4"/>
    <x v="0"/>
    <x v="3"/>
    <x v="1"/>
    <x v="1"/>
    <s v="Face Serum"/>
    <n v="1"/>
    <n v="33.479999999999997"/>
    <n v="0.1"/>
    <x v="0"/>
    <n v="30.13"/>
    <n v="15.31"/>
    <n v="14.82"/>
    <n v="1"/>
    <n v="0"/>
    <n v="3"/>
    <n v="4"/>
  </r>
  <r>
    <s v="SW-100751"/>
    <d v="2024-05-06T00:00:00"/>
    <x v="0"/>
    <s v="Q2"/>
    <x v="4"/>
    <x v="1"/>
    <x v="3"/>
    <x v="1"/>
    <x v="4"/>
    <s v="Bluetooth Speaker"/>
    <n v="1"/>
    <n v="177.65"/>
    <n v="0"/>
    <x v="2"/>
    <n v="177.65"/>
    <n v="143.44"/>
    <n v="34.21"/>
    <n v="1"/>
    <n v="1"/>
    <n v="2"/>
    <n v="3"/>
  </r>
  <r>
    <s v="SW-100752"/>
    <d v="2024-05-06T00:00:00"/>
    <x v="0"/>
    <s v="Q2"/>
    <x v="4"/>
    <x v="0"/>
    <x v="0"/>
    <x v="1"/>
    <x v="4"/>
    <s v="Bluetooth Speaker"/>
    <n v="1"/>
    <n v="177.65"/>
    <n v="0.05"/>
    <x v="0"/>
    <n v="168.77"/>
    <n v="144.65"/>
    <n v="24.12"/>
    <n v="1"/>
    <n v="0"/>
    <n v="3"/>
    <n v="5"/>
  </r>
  <r>
    <s v="SW-100753"/>
    <d v="2024-05-06T00:00:00"/>
    <x v="0"/>
    <s v="Q2"/>
    <x v="4"/>
    <x v="2"/>
    <x v="2"/>
    <x v="1"/>
    <x v="0"/>
    <s v="Running Sneakers"/>
    <n v="1"/>
    <n v="94.85"/>
    <n v="0"/>
    <x v="2"/>
    <n v="94.85"/>
    <n v="54.47"/>
    <n v="40.380000000000003"/>
    <n v="1"/>
    <n v="0"/>
    <n v="4"/>
    <n v="4"/>
  </r>
  <r>
    <s v="SW-100754"/>
    <d v="2024-05-06T00:00:00"/>
    <x v="0"/>
    <s v="Q2"/>
    <x v="4"/>
    <x v="0"/>
    <x v="2"/>
    <x v="1"/>
    <x v="5"/>
    <s v="Bestseller Novel"/>
    <n v="1"/>
    <n v="45.28"/>
    <n v="0"/>
    <x v="2"/>
    <n v="45.28"/>
    <n v="31.21"/>
    <n v="14.07"/>
    <n v="1"/>
    <n v="0"/>
    <n v="3"/>
    <n v="5"/>
  </r>
  <r>
    <s v="SW-100755"/>
    <d v="2024-05-07T00:00:00"/>
    <x v="0"/>
    <s v="Q2"/>
    <x v="4"/>
    <x v="0"/>
    <x v="1"/>
    <x v="0"/>
    <x v="0"/>
    <s v="Summer Dress"/>
    <n v="1"/>
    <n v="33.99"/>
    <n v="0"/>
    <x v="2"/>
    <n v="33.99"/>
    <n v="18.309999999999999"/>
    <n v="15.68"/>
    <n v="1"/>
    <n v="0"/>
    <n v="6"/>
    <n v="3"/>
  </r>
  <r>
    <s v="SW-100756"/>
    <d v="2024-05-07T00:00:00"/>
    <x v="0"/>
    <s v="Q2"/>
    <x v="4"/>
    <x v="0"/>
    <x v="3"/>
    <x v="1"/>
    <x v="1"/>
    <s v="Perfume 100ml"/>
    <n v="1"/>
    <n v="54.56"/>
    <n v="0.15"/>
    <x v="1"/>
    <n v="46.38"/>
    <n v="26.49"/>
    <n v="19.89"/>
    <n v="1"/>
    <n v="0"/>
    <n v="4"/>
    <n v="5"/>
  </r>
  <r>
    <s v="SW-100757"/>
    <d v="2024-05-07T00:00:00"/>
    <x v="0"/>
    <s v="Q2"/>
    <x v="4"/>
    <x v="0"/>
    <x v="4"/>
    <x v="0"/>
    <x v="2"/>
    <s v="Storage Boxes"/>
    <n v="1"/>
    <n v="154.66"/>
    <n v="0.15"/>
    <x v="1"/>
    <n v="131.46"/>
    <n v="104.76"/>
    <n v="26.7"/>
    <n v="1"/>
    <n v="0"/>
    <n v="6"/>
    <n v="3"/>
  </r>
  <r>
    <s v="SW-100758"/>
    <d v="2024-05-07T00:00:00"/>
    <x v="0"/>
    <s v="Q2"/>
    <x v="4"/>
    <x v="2"/>
    <x v="3"/>
    <x v="0"/>
    <x v="3"/>
    <s v="Camping Tent"/>
    <n v="1"/>
    <n v="83.06"/>
    <n v="0.1"/>
    <x v="0"/>
    <n v="74.75"/>
    <n v="55.34"/>
    <n v="19.41"/>
    <n v="1"/>
    <n v="0"/>
    <n v="4"/>
    <n v="4"/>
  </r>
  <r>
    <s v="SW-100759"/>
    <d v="2024-05-08T00:00:00"/>
    <x v="0"/>
    <s v="Q2"/>
    <x v="4"/>
    <x v="0"/>
    <x v="3"/>
    <x v="1"/>
    <x v="4"/>
    <s v="Power Bank"/>
    <n v="3"/>
    <n v="508.8"/>
    <n v="0.2"/>
    <x v="1"/>
    <n v="1221.1199999999999"/>
    <n v="1285"/>
    <n v="-63.88"/>
    <n v="1"/>
    <n v="0"/>
    <n v="3"/>
    <n v="4"/>
  </r>
  <r>
    <s v="SW-100760"/>
    <d v="2024-05-08T00:00:00"/>
    <x v="0"/>
    <s v="Q2"/>
    <x v="4"/>
    <x v="2"/>
    <x v="2"/>
    <x v="0"/>
    <x v="2"/>
    <s v="Bed Sheet Set"/>
    <n v="2"/>
    <n v="90.75"/>
    <n v="0.05"/>
    <x v="0"/>
    <n v="172.42"/>
    <n v="125.03"/>
    <n v="47.39"/>
    <n v="1"/>
    <n v="0"/>
    <n v="3"/>
    <n v="4"/>
  </r>
  <r>
    <s v="SW-100761"/>
    <d v="2024-05-08T00:00:00"/>
    <x v="0"/>
    <s v="Q2"/>
    <x v="4"/>
    <x v="0"/>
    <x v="2"/>
    <x v="0"/>
    <x v="0"/>
    <s v="Leather Handbag"/>
    <n v="2"/>
    <n v="138.5"/>
    <n v="0.1"/>
    <x v="0"/>
    <n v="249.3"/>
    <n v="149.77000000000001"/>
    <n v="99.53"/>
    <n v="1"/>
    <n v="1"/>
    <n v="4"/>
    <n v="3"/>
  </r>
  <r>
    <s v="SW-100762"/>
    <d v="2024-05-08T00:00:00"/>
    <x v="0"/>
    <s v="Q2"/>
    <x v="4"/>
    <x v="1"/>
    <x v="2"/>
    <x v="0"/>
    <x v="1"/>
    <s v="Perfume 100ml"/>
    <n v="3"/>
    <n v="54.56"/>
    <n v="0.1"/>
    <x v="0"/>
    <n v="147.31"/>
    <n v="82.09"/>
    <n v="65.22"/>
    <n v="1"/>
    <n v="0"/>
    <n v="4"/>
    <n v="4"/>
  </r>
  <r>
    <s v="SW-100763"/>
    <d v="2024-05-08T00:00:00"/>
    <x v="0"/>
    <s v="Q2"/>
    <x v="4"/>
    <x v="0"/>
    <x v="0"/>
    <x v="1"/>
    <x v="0"/>
    <s v="Summer Dress"/>
    <n v="1"/>
    <n v="33.99"/>
    <n v="0.05"/>
    <x v="0"/>
    <n v="32.29"/>
    <n v="18.559999999999999"/>
    <n v="13.73"/>
    <n v="1"/>
    <n v="0"/>
    <n v="3"/>
    <n v="3"/>
  </r>
  <r>
    <s v="SW-100764"/>
    <d v="2024-05-08T00:00:00"/>
    <x v="0"/>
    <s v="Q2"/>
    <x v="4"/>
    <x v="2"/>
    <x v="2"/>
    <x v="1"/>
    <x v="0"/>
    <s v="Cotton T-Shirt"/>
    <n v="1"/>
    <n v="19.41"/>
    <n v="0"/>
    <x v="2"/>
    <n v="19.41"/>
    <n v="11.22"/>
    <n v="8.19"/>
    <n v="1"/>
    <n v="0"/>
    <n v="3"/>
    <n v="5"/>
  </r>
  <r>
    <s v="SW-100765"/>
    <d v="2024-05-08T00:00:00"/>
    <x v="0"/>
    <s v="Q2"/>
    <x v="4"/>
    <x v="1"/>
    <x v="2"/>
    <x v="0"/>
    <x v="0"/>
    <s v="Running Sneakers"/>
    <n v="2"/>
    <n v="94.85"/>
    <n v="0.15"/>
    <x v="1"/>
    <n v="161.24"/>
    <n v="97.2"/>
    <n v="64.040000000000006"/>
    <n v="1"/>
    <n v="1"/>
    <n v="3"/>
    <n v="3"/>
  </r>
  <r>
    <s v="SW-100766"/>
    <d v="2024-05-08T00:00:00"/>
    <x v="0"/>
    <s v="Q2"/>
    <x v="4"/>
    <x v="2"/>
    <x v="2"/>
    <x v="1"/>
    <x v="2"/>
    <s v="Storage Boxes"/>
    <n v="4"/>
    <n v="154.66"/>
    <n v="0.1"/>
    <x v="0"/>
    <n v="556.78"/>
    <n v="407.84"/>
    <n v="148.94"/>
    <n v="1"/>
    <n v="0"/>
    <n v="6"/>
    <n v="4"/>
  </r>
  <r>
    <s v="SW-100767"/>
    <d v="2024-05-08T00:00:00"/>
    <x v="0"/>
    <s v="Q2"/>
    <x v="4"/>
    <x v="2"/>
    <x v="0"/>
    <x v="0"/>
    <x v="0"/>
    <s v="Leather Handbag"/>
    <n v="1"/>
    <n v="138.5"/>
    <n v="0.1"/>
    <x v="0"/>
    <n v="124.65"/>
    <n v="76.459999999999994"/>
    <n v="48.19"/>
    <n v="1"/>
    <n v="0"/>
    <n v="4"/>
    <n v="3"/>
  </r>
  <r>
    <s v="SW-100768"/>
    <d v="2024-05-08T00:00:00"/>
    <x v="0"/>
    <s v="Q2"/>
    <x v="4"/>
    <x v="0"/>
    <x v="3"/>
    <x v="0"/>
    <x v="0"/>
    <s v="Denim Jacket"/>
    <n v="1"/>
    <n v="78.510000000000005"/>
    <n v="0.05"/>
    <x v="0"/>
    <n v="74.58"/>
    <n v="42.28"/>
    <n v="32.299999999999997"/>
    <n v="1"/>
    <n v="0"/>
    <n v="5"/>
    <n v="4"/>
  </r>
  <r>
    <s v="SW-100769"/>
    <d v="2024-05-08T00:00:00"/>
    <x v="0"/>
    <s v="Q2"/>
    <x v="4"/>
    <x v="0"/>
    <x v="3"/>
    <x v="1"/>
    <x v="2"/>
    <s v="Desk Lamp"/>
    <n v="1"/>
    <n v="117.63"/>
    <n v="0.05"/>
    <x v="0"/>
    <n v="111.75"/>
    <n v="75.790000000000006"/>
    <n v="35.96"/>
    <n v="1"/>
    <n v="0"/>
    <n v="2"/>
    <n v="5"/>
  </r>
  <r>
    <s v="SW-100770"/>
    <d v="2024-05-08T00:00:00"/>
    <x v="0"/>
    <s v="Q2"/>
    <x v="4"/>
    <x v="2"/>
    <x v="2"/>
    <x v="1"/>
    <x v="4"/>
    <s v="Tablet 10in"/>
    <n v="1"/>
    <n v="490.3"/>
    <n v="0.15"/>
    <x v="1"/>
    <n v="416.76"/>
    <n v="386.52"/>
    <n v="30.24"/>
    <n v="1"/>
    <n v="0"/>
    <n v="3"/>
    <n v="3"/>
  </r>
  <r>
    <s v="SW-100771"/>
    <d v="2024-05-08T00:00:00"/>
    <x v="0"/>
    <s v="Q2"/>
    <x v="4"/>
    <x v="1"/>
    <x v="3"/>
    <x v="1"/>
    <x v="0"/>
    <s v="Cotton T-Shirt"/>
    <n v="1"/>
    <n v="19.41"/>
    <n v="0.25"/>
    <x v="3"/>
    <n v="14.56"/>
    <n v="9.92"/>
    <n v="4.6399999999999997"/>
    <n v="1"/>
    <n v="0"/>
    <n v="5"/>
    <n v="5"/>
  </r>
  <r>
    <s v="SW-100772"/>
    <d v="2024-05-08T00:00:00"/>
    <x v="0"/>
    <s v="Q2"/>
    <x v="4"/>
    <x v="1"/>
    <x v="1"/>
    <x v="1"/>
    <x v="0"/>
    <s v="Summer Dress"/>
    <n v="1"/>
    <n v="33.99"/>
    <n v="0"/>
    <x v="2"/>
    <n v="33.99"/>
    <n v="17.760000000000002"/>
    <n v="16.23"/>
    <n v="1"/>
    <n v="0"/>
    <n v="6"/>
    <n v="3"/>
  </r>
  <r>
    <s v="SW-100773"/>
    <d v="2024-05-09T00:00:00"/>
    <x v="0"/>
    <s v="Q2"/>
    <x v="4"/>
    <x v="0"/>
    <x v="2"/>
    <x v="1"/>
    <x v="3"/>
    <s v="Cycling Helmet"/>
    <n v="3"/>
    <n v="85.42"/>
    <n v="0.05"/>
    <x v="0"/>
    <n v="243.45"/>
    <n v="184.81"/>
    <n v="58.64"/>
    <n v="1"/>
    <n v="0"/>
    <n v="3"/>
    <n v="4"/>
  </r>
  <r>
    <s v="SW-100774"/>
    <d v="2024-05-09T00:00:00"/>
    <x v="0"/>
    <s v="Q2"/>
    <x v="4"/>
    <x v="1"/>
    <x v="0"/>
    <x v="0"/>
    <x v="2"/>
    <s v="Bed Sheet Set"/>
    <n v="1"/>
    <n v="90.75"/>
    <n v="0"/>
    <x v="2"/>
    <n v="90.75"/>
    <n v="59.69"/>
    <n v="31.06"/>
    <n v="1"/>
    <n v="0"/>
    <n v="4"/>
    <n v="5"/>
  </r>
  <r>
    <s v="SW-100775"/>
    <d v="2024-05-09T00:00:00"/>
    <x v="0"/>
    <s v="Q2"/>
    <x v="4"/>
    <x v="0"/>
    <x v="2"/>
    <x v="0"/>
    <x v="1"/>
    <s v="Hair Dryer"/>
    <n v="1"/>
    <n v="33.18"/>
    <n v="0"/>
    <x v="2"/>
    <n v="33.18"/>
    <n v="15.96"/>
    <n v="17.22"/>
    <n v="1"/>
    <n v="0"/>
    <n v="4"/>
    <n v="5"/>
  </r>
  <r>
    <s v="SW-100776"/>
    <d v="2024-05-09T00:00:00"/>
    <x v="0"/>
    <s v="Q2"/>
    <x v="4"/>
    <x v="1"/>
    <x v="0"/>
    <x v="1"/>
    <x v="5"/>
    <s v="Kids Puzzle"/>
    <n v="1"/>
    <n v="16.97"/>
    <n v="0"/>
    <x v="2"/>
    <n v="16.97"/>
    <n v="12.23"/>
    <n v="4.74"/>
    <n v="1"/>
    <n v="0"/>
    <n v="8"/>
    <n v="4"/>
  </r>
  <r>
    <s v="SW-100777"/>
    <d v="2024-05-10T00:00:00"/>
    <x v="0"/>
    <s v="Q2"/>
    <x v="4"/>
    <x v="0"/>
    <x v="3"/>
    <x v="1"/>
    <x v="5"/>
    <s v="Bestseller Novel"/>
    <n v="4"/>
    <n v="45.28"/>
    <n v="0.1"/>
    <x v="0"/>
    <n v="163.01"/>
    <n v="132.07"/>
    <n v="30.94"/>
    <n v="1"/>
    <n v="0"/>
    <n v="3"/>
    <n v="5"/>
  </r>
  <r>
    <s v="SW-100778"/>
    <d v="2024-05-10T00:00:00"/>
    <x v="0"/>
    <s v="Q2"/>
    <x v="4"/>
    <x v="1"/>
    <x v="3"/>
    <x v="0"/>
    <x v="0"/>
    <s v="Cotton T-Shirt"/>
    <n v="1"/>
    <n v="19.41"/>
    <n v="0.1"/>
    <x v="0"/>
    <n v="17.47"/>
    <n v="10.61"/>
    <n v="6.86"/>
    <n v="1"/>
    <n v="1"/>
    <n v="2"/>
    <n v="3"/>
  </r>
  <r>
    <s v="SW-100779"/>
    <d v="2024-05-10T00:00:00"/>
    <x v="0"/>
    <s v="Q2"/>
    <x v="4"/>
    <x v="2"/>
    <x v="2"/>
    <x v="0"/>
    <x v="0"/>
    <s v="Leather Handbag"/>
    <n v="2"/>
    <n v="138.5"/>
    <n v="0.15"/>
    <x v="1"/>
    <n v="235.45"/>
    <n v="153.96"/>
    <n v="81.489999999999995"/>
    <n v="1"/>
    <n v="1"/>
    <n v="4"/>
    <n v="5"/>
  </r>
  <r>
    <s v="SW-100780"/>
    <d v="2024-05-10T00:00:00"/>
    <x v="0"/>
    <s v="Q2"/>
    <x v="4"/>
    <x v="0"/>
    <x v="4"/>
    <x v="1"/>
    <x v="0"/>
    <s v="Running Sneakers"/>
    <n v="2"/>
    <n v="94.85"/>
    <n v="0.1"/>
    <x v="0"/>
    <n v="170.73"/>
    <n v="104.38"/>
    <n v="66.349999999999994"/>
    <n v="1"/>
    <n v="1"/>
    <n v="5"/>
    <n v="3"/>
  </r>
  <r>
    <s v="SW-100781"/>
    <d v="2024-05-10T00:00:00"/>
    <x v="0"/>
    <s v="Q2"/>
    <x v="4"/>
    <x v="0"/>
    <x v="0"/>
    <x v="1"/>
    <x v="0"/>
    <s v="Running Sneakers"/>
    <n v="1"/>
    <n v="94.85"/>
    <n v="0.15"/>
    <x v="1"/>
    <n v="80.62"/>
    <n v="52.23"/>
    <n v="28.39"/>
    <n v="1"/>
    <n v="0"/>
    <n v="4"/>
    <n v="4"/>
  </r>
  <r>
    <s v="SW-100782"/>
    <d v="2024-05-10T00:00:00"/>
    <x v="0"/>
    <s v="Q2"/>
    <x v="4"/>
    <x v="0"/>
    <x v="1"/>
    <x v="1"/>
    <x v="5"/>
    <s v="Kids Puzzle"/>
    <n v="1"/>
    <n v="16.97"/>
    <n v="0"/>
    <x v="2"/>
    <n v="16.97"/>
    <n v="12.16"/>
    <n v="4.8099999999999996"/>
    <n v="1"/>
    <n v="0"/>
    <n v="6"/>
    <n v="3"/>
  </r>
  <r>
    <s v="SW-100783"/>
    <d v="2024-05-10T00:00:00"/>
    <x v="0"/>
    <s v="Q2"/>
    <x v="4"/>
    <x v="2"/>
    <x v="4"/>
    <x v="1"/>
    <x v="5"/>
    <s v="Building Blocks"/>
    <n v="2"/>
    <n v="48.86"/>
    <n v="0"/>
    <x v="2"/>
    <n v="97.72"/>
    <n v="72.900000000000006"/>
    <n v="24.82"/>
    <n v="1"/>
    <n v="0"/>
    <n v="7"/>
    <n v="4"/>
  </r>
  <r>
    <s v="SW-100784"/>
    <d v="2024-05-10T00:00:00"/>
    <x v="0"/>
    <s v="Q2"/>
    <x v="4"/>
    <x v="1"/>
    <x v="3"/>
    <x v="1"/>
    <x v="4"/>
    <s v="Power Bank"/>
    <n v="2"/>
    <n v="508.8"/>
    <n v="0"/>
    <x v="2"/>
    <n v="1017.6"/>
    <n v="800.03"/>
    <n v="217.57"/>
    <n v="1"/>
    <n v="0"/>
    <n v="2"/>
    <n v="5"/>
  </r>
  <r>
    <s v="SW-100785"/>
    <d v="2024-05-11T00:00:00"/>
    <x v="0"/>
    <s v="Q2"/>
    <x v="4"/>
    <x v="1"/>
    <x v="3"/>
    <x v="1"/>
    <x v="5"/>
    <s v="Board Game"/>
    <n v="1"/>
    <n v="57.92"/>
    <n v="0.2"/>
    <x v="1"/>
    <n v="46.34"/>
    <n v="39.590000000000003"/>
    <n v="6.75"/>
    <n v="1"/>
    <n v="0"/>
    <n v="3"/>
    <n v="5"/>
  </r>
  <r>
    <s v="SW-100786"/>
    <d v="2024-05-11T00:00:00"/>
    <x v="0"/>
    <s v="Q2"/>
    <x v="4"/>
    <x v="1"/>
    <x v="0"/>
    <x v="0"/>
    <x v="2"/>
    <s v="Desk Lamp"/>
    <n v="1"/>
    <n v="117.63"/>
    <n v="0.3"/>
    <x v="3"/>
    <n v="82.34"/>
    <n v="74.790000000000006"/>
    <n v="7.55"/>
    <n v="1"/>
    <n v="0"/>
    <n v="5"/>
    <n v="5"/>
  </r>
  <r>
    <s v="SW-100787"/>
    <d v="2024-05-11T00:00:00"/>
    <x v="0"/>
    <s v="Q2"/>
    <x v="4"/>
    <x v="1"/>
    <x v="2"/>
    <x v="1"/>
    <x v="2"/>
    <s v="Cookware Set"/>
    <n v="1"/>
    <n v="233.81"/>
    <n v="0"/>
    <x v="2"/>
    <n v="233.81"/>
    <n v="157.49"/>
    <n v="76.319999999999993"/>
    <n v="1"/>
    <n v="0"/>
    <n v="3"/>
    <n v="4"/>
  </r>
  <r>
    <s v="SW-100788"/>
    <d v="2024-05-11T00:00:00"/>
    <x v="0"/>
    <s v="Q2"/>
    <x v="4"/>
    <x v="0"/>
    <x v="1"/>
    <x v="0"/>
    <x v="0"/>
    <s v="Running Sneakers"/>
    <n v="1"/>
    <n v="94.85"/>
    <n v="0.15"/>
    <x v="1"/>
    <n v="80.62"/>
    <n v="51.09"/>
    <n v="29.53"/>
    <n v="1"/>
    <n v="0"/>
    <n v="7"/>
    <n v="4"/>
  </r>
  <r>
    <s v="SW-100789"/>
    <d v="2024-05-11T00:00:00"/>
    <x v="0"/>
    <s v="Q2"/>
    <x v="4"/>
    <x v="2"/>
    <x v="2"/>
    <x v="0"/>
    <x v="2"/>
    <s v="Air Fryer"/>
    <n v="4"/>
    <n v="68.349999999999994"/>
    <n v="0"/>
    <x v="2"/>
    <n v="273.39999999999998"/>
    <n v="178.84"/>
    <n v="94.56"/>
    <n v="1"/>
    <n v="0"/>
    <n v="6"/>
    <n v="5"/>
  </r>
  <r>
    <s v="SW-100790"/>
    <d v="2024-05-11T00:00:00"/>
    <x v="0"/>
    <s v="Q2"/>
    <x v="4"/>
    <x v="0"/>
    <x v="3"/>
    <x v="0"/>
    <x v="3"/>
    <s v="Dumbbell Set"/>
    <n v="1"/>
    <n v="198.42"/>
    <n v="0"/>
    <x v="2"/>
    <n v="198.42"/>
    <n v="136.49"/>
    <n v="61.93"/>
    <n v="1"/>
    <n v="0"/>
    <n v="3"/>
    <n v="4"/>
  </r>
  <r>
    <s v="SW-100791"/>
    <d v="2024-05-11T00:00:00"/>
    <x v="0"/>
    <s v="Q2"/>
    <x v="4"/>
    <x v="0"/>
    <x v="2"/>
    <x v="1"/>
    <x v="4"/>
    <s v="4K Action Camera"/>
    <n v="3"/>
    <n v="636.09"/>
    <n v="0.2"/>
    <x v="1"/>
    <n v="1526.62"/>
    <n v="1506.2"/>
    <n v="20.420000000000002"/>
    <n v="1"/>
    <n v="0"/>
    <n v="5"/>
    <n v="3"/>
  </r>
  <r>
    <s v="SW-100792"/>
    <d v="2024-05-11T00:00:00"/>
    <x v="0"/>
    <s v="Q2"/>
    <x v="4"/>
    <x v="1"/>
    <x v="2"/>
    <x v="1"/>
    <x v="2"/>
    <s v="Air Fryer"/>
    <n v="2"/>
    <n v="68.349999999999994"/>
    <n v="0.15"/>
    <x v="1"/>
    <n v="116.2"/>
    <n v="90.02"/>
    <n v="26.18"/>
    <n v="1"/>
    <n v="0"/>
    <n v="3"/>
    <n v="5"/>
  </r>
  <r>
    <s v="SW-100793"/>
    <d v="2024-05-11T00:00:00"/>
    <x v="0"/>
    <s v="Q2"/>
    <x v="4"/>
    <x v="2"/>
    <x v="0"/>
    <x v="1"/>
    <x v="3"/>
    <s v="Camping Tent"/>
    <n v="1"/>
    <n v="83.06"/>
    <n v="0"/>
    <x v="2"/>
    <n v="83.06"/>
    <n v="56.41"/>
    <n v="26.65"/>
    <n v="1"/>
    <n v="0"/>
    <n v="3"/>
    <n v="4"/>
  </r>
  <r>
    <s v="SW-100794"/>
    <d v="2024-05-11T00:00:00"/>
    <x v="0"/>
    <s v="Q2"/>
    <x v="4"/>
    <x v="0"/>
    <x v="1"/>
    <x v="1"/>
    <x v="4"/>
    <s v="Bluetooth Speaker"/>
    <n v="1"/>
    <n v="177.65"/>
    <n v="0"/>
    <x v="2"/>
    <n v="177.65"/>
    <n v="141.37"/>
    <n v="36.28"/>
    <n v="1"/>
    <n v="0"/>
    <n v="6"/>
    <n v="4"/>
  </r>
  <r>
    <s v="SW-100795"/>
    <d v="2024-05-12T00:00:00"/>
    <x v="0"/>
    <s v="Q2"/>
    <x v="4"/>
    <x v="0"/>
    <x v="3"/>
    <x v="0"/>
    <x v="0"/>
    <s v="Running Sneakers"/>
    <n v="2"/>
    <n v="94.85"/>
    <n v="0"/>
    <x v="2"/>
    <n v="189.7"/>
    <n v="101.05"/>
    <n v="88.65"/>
    <n v="1"/>
    <n v="0"/>
    <n v="3"/>
    <n v="4"/>
  </r>
  <r>
    <s v="SW-100796"/>
    <d v="2024-05-12T00:00:00"/>
    <x v="0"/>
    <s v="Q2"/>
    <x v="4"/>
    <x v="0"/>
    <x v="2"/>
    <x v="1"/>
    <x v="4"/>
    <s v="Wireless Earbuds"/>
    <n v="4"/>
    <n v="588.41"/>
    <n v="0.05"/>
    <x v="0"/>
    <n v="2235.96"/>
    <n v="1937.35"/>
    <n v="298.61"/>
    <n v="1"/>
    <n v="0"/>
    <n v="5"/>
    <n v="5"/>
  </r>
  <r>
    <s v="SW-100797"/>
    <d v="2024-05-12T00:00:00"/>
    <x v="0"/>
    <s v="Q2"/>
    <x v="4"/>
    <x v="1"/>
    <x v="1"/>
    <x v="1"/>
    <x v="4"/>
    <s v="Bluetooth Speaker"/>
    <n v="1"/>
    <n v="177.65"/>
    <n v="0.15"/>
    <x v="1"/>
    <n v="151"/>
    <n v="136.44999999999999"/>
    <n v="14.55"/>
    <n v="1"/>
    <n v="0"/>
    <n v="6"/>
    <n v="4"/>
  </r>
  <r>
    <s v="SW-100798"/>
    <d v="2024-05-12T00:00:00"/>
    <x v="0"/>
    <s v="Q2"/>
    <x v="4"/>
    <x v="2"/>
    <x v="3"/>
    <x v="0"/>
    <x v="2"/>
    <s v="Air Fryer"/>
    <n v="2"/>
    <n v="68.349999999999994"/>
    <n v="0.15"/>
    <x v="1"/>
    <n v="116.2"/>
    <n v="89.83"/>
    <n v="26.37"/>
    <n v="1"/>
    <n v="0"/>
    <n v="3"/>
    <n v="4"/>
  </r>
  <r>
    <s v="SW-100799"/>
    <d v="2024-05-12T00:00:00"/>
    <x v="0"/>
    <s v="Q2"/>
    <x v="4"/>
    <x v="0"/>
    <x v="3"/>
    <x v="1"/>
    <x v="4"/>
    <s v="Smart Watch"/>
    <n v="1"/>
    <n v="216.08"/>
    <n v="0.25"/>
    <x v="3"/>
    <n v="162.06"/>
    <n v="171.62"/>
    <n v="-9.56"/>
    <n v="1"/>
    <n v="0"/>
    <n v="3"/>
    <n v="4"/>
  </r>
  <r>
    <s v="SW-100800"/>
    <d v="2024-05-12T00:00:00"/>
    <x v="0"/>
    <s v="Q2"/>
    <x v="4"/>
    <x v="1"/>
    <x v="1"/>
    <x v="1"/>
    <x v="2"/>
    <s v="Air Fryer"/>
    <n v="1"/>
    <n v="68.349999999999994"/>
    <n v="0.05"/>
    <x v="0"/>
    <n v="64.930000000000007"/>
    <n v="46.39"/>
    <n v="18.54"/>
    <n v="1"/>
    <n v="0"/>
    <n v="5"/>
    <n v="4"/>
  </r>
  <r>
    <s v="SW-100801"/>
    <d v="2024-05-12T00:00:00"/>
    <x v="0"/>
    <s v="Q2"/>
    <x v="4"/>
    <x v="2"/>
    <x v="4"/>
    <x v="0"/>
    <x v="1"/>
    <s v="Perfume 100ml"/>
    <n v="1"/>
    <n v="54.56"/>
    <n v="0.1"/>
    <x v="0"/>
    <n v="49.1"/>
    <n v="24.01"/>
    <n v="25.09"/>
    <n v="1"/>
    <n v="0"/>
    <n v="5"/>
    <n v="4"/>
  </r>
  <r>
    <s v="SW-100802"/>
    <d v="2024-05-13T00:00:00"/>
    <x v="0"/>
    <s v="Q2"/>
    <x v="4"/>
    <x v="0"/>
    <x v="2"/>
    <x v="1"/>
    <x v="4"/>
    <s v="Bluetooth Speaker"/>
    <n v="1"/>
    <n v="177.65"/>
    <n v="0.1"/>
    <x v="0"/>
    <n v="159.88999999999999"/>
    <n v="152.34"/>
    <n v="7.55"/>
    <n v="1"/>
    <n v="0"/>
    <n v="5"/>
    <n v="5"/>
  </r>
  <r>
    <s v="SW-100803"/>
    <d v="2024-05-13T00:00:00"/>
    <x v="0"/>
    <s v="Q2"/>
    <x v="4"/>
    <x v="0"/>
    <x v="0"/>
    <x v="1"/>
    <x v="0"/>
    <s v="Running Sneakers"/>
    <n v="1"/>
    <n v="94.85"/>
    <n v="0"/>
    <x v="2"/>
    <n v="94.85"/>
    <n v="51.53"/>
    <n v="43.32"/>
    <n v="1"/>
    <n v="1"/>
    <n v="3"/>
    <n v="3"/>
  </r>
  <r>
    <s v="SW-100804"/>
    <d v="2024-05-13T00:00:00"/>
    <x v="0"/>
    <s v="Q2"/>
    <x v="4"/>
    <x v="2"/>
    <x v="0"/>
    <x v="1"/>
    <x v="0"/>
    <s v="Leather Handbag"/>
    <n v="3"/>
    <n v="138.5"/>
    <n v="0.05"/>
    <x v="0"/>
    <n v="394.72"/>
    <n v="214.39"/>
    <n v="180.33"/>
    <n v="1"/>
    <n v="1"/>
    <n v="3"/>
    <n v="3"/>
  </r>
  <r>
    <s v="SW-100805"/>
    <d v="2024-05-13T00:00:00"/>
    <x v="0"/>
    <s v="Q2"/>
    <x v="4"/>
    <x v="0"/>
    <x v="4"/>
    <x v="0"/>
    <x v="4"/>
    <s v="Tablet 10in"/>
    <n v="1"/>
    <n v="490.3"/>
    <n v="0"/>
    <x v="2"/>
    <n v="490.3"/>
    <n v="397.18"/>
    <n v="93.12"/>
    <n v="1"/>
    <n v="1"/>
    <n v="5"/>
    <n v="3"/>
  </r>
  <r>
    <s v="SW-100806"/>
    <d v="2024-05-13T00:00:00"/>
    <x v="0"/>
    <s v="Q2"/>
    <x v="4"/>
    <x v="1"/>
    <x v="2"/>
    <x v="1"/>
    <x v="1"/>
    <s v="Face Serum"/>
    <n v="3"/>
    <n v="33.479999999999997"/>
    <n v="0.1"/>
    <x v="0"/>
    <n v="90.4"/>
    <n v="49.15"/>
    <n v="41.25"/>
    <n v="1"/>
    <n v="0"/>
    <n v="4"/>
    <n v="4"/>
  </r>
  <r>
    <s v="SW-100807"/>
    <d v="2024-05-14T00:00:00"/>
    <x v="0"/>
    <s v="Q2"/>
    <x v="4"/>
    <x v="1"/>
    <x v="0"/>
    <x v="1"/>
    <x v="1"/>
    <s v="Skin Care Bundle"/>
    <n v="1"/>
    <n v="92.54"/>
    <n v="0"/>
    <x v="2"/>
    <n v="92.54"/>
    <n v="44.72"/>
    <n v="47.82"/>
    <n v="1"/>
    <n v="0"/>
    <n v="4"/>
    <n v="4"/>
  </r>
  <r>
    <s v="SW-100808"/>
    <d v="2024-05-14T00:00:00"/>
    <x v="0"/>
    <s v="Q2"/>
    <x v="4"/>
    <x v="0"/>
    <x v="2"/>
    <x v="1"/>
    <x v="0"/>
    <s v="Summer Dress"/>
    <n v="2"/>
    <n v="33.99"/>
    <n v="0.05"/>
    <x v="0"/>
    <n v="64.58"/>
    <n v="36.78"/>
    <n v="27.8"/>
    <n v="1"/>
    <n v="1"/>
    <n v="5"/>
    <n v="3"/>
  </r>
  <r>
    <s v="SW-100809"/>
    <d v="2024-05-14T00:00:00"/>
    <x v="0"/>
    <s v="Q2"/>
    <x v="4"/>
    <x v="2"/>
    <x v="0"/>
    <x v="0"/>
    <x v="4"/>
    <s v="Power Bank"/>
    <n v="2"/>
    <n v="508.8"/>
    <n v="0"/>
    <x v="2"/>
    <n v="1017.6"/>
    <n v="804.64"/>
    <n v="212.96"/>
    <n v="1"/>
    <n v="0"/>
    <n v="4"/>
    <n v="3"/>
  </r>
  <r>
    <s v="SW-100810"/>
    <d v="2024-05-15T00:00:00"/>
    <x v="0"/>
    <s v="Q2"/>
    <x v="4"/>
    <x v="0"/>
    <x v="0"/>
    <x v="1"/>
    <x v="1"/>
    <s v="Makeup Kit"/>
    <n v="2"/>
    <n v="74.3"/>
    <n v="0.15"/>
    <x v="1"/>
    <n v="126.31"/>
    <n v="73.59"/>
    <n v="52.72"/>
    <n v="1"/>
    <n v="0"/>
    <n v="3"/>
    <n v="5"/>
  </r>
  <r>
    <s v="SW-100811"/>
    <d v="2024-05-15T00:00:00"/>
    <x v="0"/>
    <s v="Q2"/>
    <x v="4"/>
    <x v="1"/>
    <x v="2"/>
    <x v="0"/>
    <x v="3"/>
    <s v="Camping Tent"/>
    <n v="1"/>
    <n v="83.06"/>
    <n v="0.1"/>
    <x v="0"/>
    <n v="74.75"/>
    <n v="55.39"/>
    <n v="19.36"/>
    <n v="1"/>
    <n v="0"/>
    <n v="5"/>
    <n v="4"/>
  </r>
  <r>
    <s v="SW-100812"/>
    <d v="2024-05-15T00:00:00"/>
    <x v="0"/>
    <s v="Q2"/>
    <x v="4"/>
    <x v="1"/>
    <x v="1"/>
    <x v="0"/>
    <x v="5"/>
    <s v="Board Game"/>
    <n v="1"/>
    <n v="57.92"/>
    <n v="0.25"/>
    <x v="3"/>
    <n v="43.44"/>
    <n v="40.42"/>
    <n v="3.02"/>
    <n v="1"/>
    <n v="0"/>
    <n v="5"/>
    <n v="3"/>
  </r>
  <r>
    <s v="SW-100813"/>
    <d v="2024-05-15T00:00:00"/>
    <x v="0"/>
    <s v="Q2"/>
    <x v="4"/>
    <x v="1"/>
    <x v="3"/>
    <x v="1"/>
    <x v="0"/>
    <s v="Denim Jacket"/>
    <n v="1"/>
    <n v="78.510000000000005"/>
    <n v="0"/>
    <x v="2"/>
    <n v="78.510000000000005"/>
    <n v="43.6"/>
    <n v="34.909999999999997"/>
    <n v="1"/>
    <n v="1"/>
    <n v="3"/>
    <n v="3"/>
  </r>
  <r>
    <s v="SW-100814"/>
    <d v="2024-05-15T00:00:00"/>
    <x v="0"/>
    <s v="Q2"/>
    <x v="4"/>
    <x v="0"/>
    <x v="2"/>
    <x v="0"/>
    <x v="1"/>
    <s v="Hair Dryer"/>
    <n v="1"/>
    <n v="33.18"/>
    <n v="0"/>
    <x v="2"/>
    <n v="33.18"/>
    <n v="16.54"/>
    <n v="16.64"/>
    <n v="1"/>
    <n v="0"/>
    <n v="3"/>
    <n v="4"/>
  </r>
  <r>
    <s v="SW-100815"/>
    <d v="2024-05-15T00:00:00"/>
    <x v="0"/>
    <s v="Q2"/>
    <x v="4"/>
    <x v="0"/>
    <x v="3"/>
    <x v="1"/>
    <x v="4"/>
    <s v="Tablet 10in"/>
    <n v="1"/>
    <n v="490.3"/>
    <n v="0.1"/>
    <x v="0"/>
    <n v="441.27"/>
    <n v="398.53"/>
    <n v="42.74"/>
    <n v="1"/>
    <n v="1"/>
    <n v="3"/>
    <n v="4"/>
  </r>
  <r>
    <s v="SW-100816"/>
    <d v="2024-05-15T00:00:00"/>
    <x v="0"/>
    <s v="Q2"/>
    <x v="4"/>
    <x v="1"/>
    <x v="3"/>
    <x v="0"/>
    <x v="3"/>
    <s v="Fitness Tracker"/>
    <n v="1"/>
    <n v="74.459999999999994"/>
    <n v="0"/>
    <x v="2"/>
    <n v="74.459999999999994"/>
    <n v="51.41"/>
    <n v="23.05"/>
    <n v="1"/>
    <n v="0"/>
    <n v="2"/>
    <n v="5"/>
  </r>
  <r>
    <s v="SW-100817"/>
    <d v="2024-05-15T00:00:00"/>
    <x v="0"/>
    <s v="Q2"/>
    <x v="4"/>
    <x v="2"/>
    <x v="0"/>
    <x v="1"/>
    <x v="4"/>
    <s v="Smart Watch"/>
    <n v="3"/>
    <n v="216.08"/>
    <n v="0.1"/>
    <x v="0"/>
    <n v="583.41999999999996"/>
    <n v="530.91999999999996"/>
    <n v="52.5"/>
    <n v="1"/>
    <n v="0"/>
    <n v="4"/>
    <n v="4"/>
  </r>
  <r>
    <s v="SW-100818"/>
    <d v="2024-05-15T00:00:00"/>
    <x v="0"/>
    <s v="Q2"/>
    <x v="4"/>
    <x v="0"/>
    <x v="3"/>
    <x v="1"/>
    <x v="4"/>
    <s v="Power Bank"/>
    <n v="1"/>
    <n v="508.8"/>
    <n v="0.1"/>
    <x v="0"/>
    <n v="457.92"/>
    <n v="412.4"/>
    <n v="45.52"/>
    <n v="1"/>
    <n v="0"/>
    <n v="4"/>
    <n v="5"/>
  </r>
  <r>
    <s v="SW-100819"/>
    <d v="2024-05-15T00:00:00"/>
    <x v="0"/>
    <s v="Q2"/>
    <x v="4"/>
    <x v="0"/>
    <x v="3"/>
    <x v="0"/>
    <x v="4"/>
    <s v="Smart Watch"/>
    <n v="1"/>
    <n v="216.08"/>
    <n v="0.3"/>
    <x v="3"/>
    <n v="151.26"/>
    <n v="171.63"/>
    <n v="-20.37"/>
    <n v="1"/>
    <n v="0"/>
    <n v="4"/>
    <n v="4"/>
  </r>
  <r>
    <s v="SW-100820"/>
    <d v="2024-05-16T00:00:00"/>
    <x v="0"/>
    <s v="Q2"/>
    <x v="4"/>
    <x v="1"/>
    <x v="3"/>
    <x v="1"/>
    <x v="1"/>
    <s v="Perfume 100ml"/>
    <n v="1"/>
    <n v="54.56"/>
    <n v="0"/>
    <x v="2"/>
    <n v="54.56"/>
    <n v="26.3"/>
    <n v="28.26"/>
    <n v="1"/>
    <n v="0"/>
    <n v="2"/>
    <n v="4"/>
  </r>
  <r>
    <s v="SW-100821"/>
    <d v="2024-05-17T00:00:00"/>
    <x v="0"/>
    <s v="Q2"/>
    <x v="4"/>
    <x v="0"/>
    <x v="3"/>
    <x v="1"/>
    <x v="0"/>
    <s v="Denim Jacket"/>
    <n v="4"/>
    <n v="78.510000000000005"/>
    <n v="0"/>
    <x v="2"/>
    <n v="314.04000000000002"/>
    <n v="172.49"/>
    <n v="141.55000000000001"/>
    <n v="1"/>
    <n v="0"/>
    <n v="3"/>
    <n v="5"/>
  </r>
  <r>
    <s v="SW-100822"/>
    <d v="2024-05-17T00:00:00"/>
    <x v="0"/>
    <s v="Q2"/>
    <x v="4"/>
    <x v="0"/>
    <x v="0"/>
    <x v="1"/>
    <x v="1"/>
    <s v="Perfume 100ml"/>
    <n v="4"/>
    <n v="54.56"/>
    <n v="0.15"/>
    <x v="1"/>
    <n v="185.5"/>
    <n v="102.73"/>
    <n v="82.77"/>
    <n v="1"/>
    <n v="0"/>
    <n v="3"/>
    <n v="4"/>
  </r>
  <r>
    <s v="SW-100823"/>
    <d v="2024-05-17T00:00:00"/>
    <x v="0"/>
    <s v="Q2"/>
    <x v="4"/>
    <x v="1"/>
    <x v="3"/>
    <x v="1"/>
    <x v="0"/>
    <s v="Leather Handbag"/>
    <n v="3"/>
    <n v="138.5"/>
    <n v="0.1"/>
    <x v="0"/>
    <n v="373.95"/>
    <n v="230.83"/>
    <n v="143.12"/>
    <n v="1"/>
    <n v="1"/>
    <n v="3"/>
    <n v="3"/>
  </r>
  <r>
    <s v="SW-100824"/>
    <d v="2024-05-17T00:00:00"/>
    <x v="0"/>
    <s v="Q2"/>
    <x v="4"/>
    <x v="0"/>
    <x v="0"/>
    <x v="0"/>
    <x v="0"/>
    <s v="Running Sneakers"/>
    <n v="1"/>
    <n v="94.85"/>
    <n v="0"/>
    <x v="2"/>
    <n v="94.85"/>
    <n v="53"/>
    <n v="41.85"/>
    <n v="1"/>
    <n v="1"/>
    <n v="3"/>
    <n v="3"/>
  </r>
  <r>
    <s v="SW-100825"/>
    <d v="2024-05-17T00:00:00"/>
    <x v="0"/>
    <s v="Q2"/>
    <x v="4"/>
    <x v="1"/>
    <x v="0"/>
    <x v="0"/>
    <x v="3"/>
    <s v="Cycling Helmet"/>
    <n v="1"/>
    <n v="85.42"/>
    <n v="0.05"/>
    <x v="0"/>
    <n v="81.150000000000006"/>
    <n v="57.21"/>
    <n v="23.94"/>
    <n v="1"/>
    <n v="1"/>
    <n v="6"/>
    <n v="2"/>
  </r>
  <r>
    <s v="SW-100826"/>
    <d v="2024-05-17T00:00:00"/>
    <x v="0"/>
    <s v="Q2"/>
    <x v="4"/>
    <x v="1"/>
    <x v="0"/>
    <x v="0"/>
    <x v="2"/>
    <s v="Cookware Set"/>
    <n v="1"/>
    <n v="233.81"/>
    <n v="0"/>
    <x v="2"/>
    <n v="233.81"/>
    <n v="163.13"/>
    <n v="70.680000000000007"/>
    <n v="1"/>
    <n v="0"/>
    <n v="4"/>
    <n v="5"/>
  </r>
  <r>
    <s v="SW-100827"/>
    <d v="2024-05-18T00:00:00"/>
    <x v="0"/>
    <s v="Q2"/>
    <x v="4"/>
    <x v="1"/>
    <x v="0"/>
    <x v="0"/>
    <x v="3"/>
    <s v="Cycling Helmet"/>
    <n v="1"/>
    <n v="85.42"/>
    <n v="0.05"/>
    <x v="0"/>
    <n v="81.150000000000006"/>
    <n v="55.52"/>
    <n v="25.63"/>
    <n v="1"/>
    <n v="0"/>
    <n v="4"/>
    <n v="4"/>
  </r>
  <r>
    <s v="SW-100828"/>
    <d v="2024-05-18T00:00:00"/>
    <x v="0"/>
    <s v="Q2"/>
    <x v="4"/>
    <x v="0"/>
    <x v="2"/>
    <x v="1"/>
    <x v="0"/>
    <s v="Cotton T-Shirt"/>
    <n v="2"/>
    <n v="19.41"/>
    <n v="0"/>
    <x v="2"/>
    <n v="38.82"/>
    <n v="20.39"/>
    <n v="18.43"/>
    <n v="1"/>
    <n v="0"/>
    <n v="4"/>
    <n v="4"/>
  </r>
  <r>
    <s v="SW-100829"/>
    <d v="2024-05-18T00:00:00"/>
    <x v="0"/>
    <s v="Q2"/>
    <x v="4"/>
    <x v="0"/>
    <x v="1"/>
    <x v="0"/>
    <x v="3"/>
    <s v="Camping Tent"/>
    <n v="1"/>
    <n v="83.06"/>
    <n v="0.15"/>
    <x v="1"/>
    <n v="70.599999999999994"/>
    <n v="55.58"/>
    <n v="15.02"/>
    <n v="1"/>
    <n v="0"/>
    <n v="5"/>
    <n v="5"/>
  </r>
  <r>
    <s v="SW-100830"/>
    <d v="2024-05-18T00:00:00"/>
    <x v="0"/>
    <s v="Q2"/>
    <x v="4"/>
    <x v="0"/>
    <x v="3"/>
    <x v="0"/>
    <x v="5"/>
    <s v="Bestseller Novel"/>
    <n v="1"/>
    <n v="45.28"/>
    <n v="0.1"/>
    <x v="0"/>
    <n v="40.75"/>
    <n v="32.56"/>
    <n v="8.19"/>
    <n v="1"/>
    <n v="0"/>
    <n v="3"/>
    <n v="5"/>
  </r>
  <r>
    <s v="SW-100831"/>
    <d v="2024-05-18T00:00:00"/>
    <x v="0"/>
    <s v="Q2"/>
    <x v="4"/>
    <x v="0"/>
    <x v="4"/>
    <x v="0"/>
    <x v="1"/>
    <s v="Perfume 100ml"/>
    <n v="1"/>
    <n v="54.56"/>
    <n v="0.05"/>
    <x v="0"/>
    <n v="51.83"/>
    <n v="24.55"/>
    <n v="27.28"/>
    <n v="1"/>
    <n v="0"/>
    <n v="5"/>
    <n v="4"/>
  </r>
  <r>
    <s v="SW-100832"/>
    <d v="2024-05-18T00:00:00"/>
    <x v="0"/>
    <s v="Q2"/>
    <x v="4"/>
    <x v="2"/>
    <x v="3"/>
    <x v="1"/>
    <x v="4"/>
    <s v="Smart Watch"/>
    <n v="1"/>
    <n v="216.08"/>
    <n v="0"/>
    <x v="2"/>
    <n v="216.08"/>
    <n v="171.62"/>
    <n v="44.46"/>
    <n v="1"/>
    <n v="1"/>
    <n v="2"/>
    <n v="3"/>
  </r>
  <r>
    <s v="SW-100833"/>
    <d v="2024-05-18T00:00:00"/>
    <x v="0"/>
    <s v="Q2"/>
    <x v="4"/>
    <x v="2"/>
    <x v="3"/>
    <x v="1"/>
    <x v="2"/>
    <s v="Bed Sheet Set"/>
    <n v="1"/>
    <n v="90.75"/>
    <n v="0"/>
    <x v="2"/>
    <n v="90.75"/>
    <n v="59.97"/>
    <n v="30.78"/>
    <n v="1"/>
    <n v="0"/>
    <n v="2"/>
    <n v="4"/>
  </r>
  <r>
    <s v="SW-100834"/>
    <d v="2024-05-18T00:00:00"/>
    <x v="0"/>
    <s v="Q2"/>
    <x v="4"/>
    <x v="0"/>
    <x v="3"/>
    <x v="1"/>
    <x v="0"/>
    <s v="Cotton T-Shirt"/>
    <n v="1"/>
    <n v="19.41"/>
    <n v="0.15"/>
    <x v="1"/>
    <n v="16.5"/>
    <n v="10.73"/>
    <n v="5.77"/>
    <n v="1"/>
    <n v="0"/>
    <n v="2"/>
    <n v="5"/>
  </r>
  <r>
    <s v="SW-100835"/>
    <d v="2024-05-18T00:00:00"/>
    <x v="0"/>
    <s v="Q2"/>
    <x v="4"/>
    <x v="2"/>
    <x v="3"/>
    <x v="1"/>
    <x v="4"/>
    <s v="Tablet 10in"/>
    <n v="1"/>
    <n v="490.3"/>
    <n v="0.1"/>
    <x v="0"/>
    <n v="441.27"/>
    <n v="401.35"/>
    <n v="39.92"/>
    <n v="1"/>
    <n v="0"/>
    <n v="2"/>
    <n v="3"/>
  </r>
  <r>
    <s v="SW-100836"/>
    <d v="2024-05-18T00:00:00"/>
    <x v="0"/>
    <s v="Q2"/>
    <x v="4"/>
    <x v="1"/>
    <x v="4"/>
    <x v="0"/>
    <x v="1"/>
    <s v="Makeup Kit"/>
    <n v="1"/>
    <n v="74.3"/>
    <n v="0"/>
    <x v="2"/>
    <n v="74.3"/>
    <n v="36.049999999999997"/>
    <n v="38.25"/>
    <n v="1"/>
    <n v="0"/>
    <n v="6"/>
    <n v="4"/>
  </r>
  <r>
    <s v="SW-100837"/>
    <d v="2024-05-19T00:00:00"/>
    <x v="0"/>
    <s v="Q2"/>
    <x v="4"/>
    <x v="1"/>
    <x v="0"/>
    <x v="0"/>
    <x v="0"/>
    <s v="Sunglasses"/>
    <n v="4"/>
    <n v="104.94"/>
    <n v="0"/>
    <x v="2"/>
    <n v="419.76"/>
    <n v="226.17"/>
    <n v="193.59"/>
    <n v="1"/>
    <n v="0"/>
    <n v="5"/>
    <n v="4"/>
  </r>
  <r>
    <s v="SW-100838"/>
    <d v="2024-05-19T00:00:00"/>
    <x v="0"/>
    <s v="Q2"/>
    <x v="4"/>
    <x v="2"/>
    <x v="0"/>
    <x v="0"/>
    <x v="2"/>
    <s v="Cookware Set"/>
    <n v="1"/>
    <n v="233.81"/>
    <n v="0.1"/>
    <x v="0"/>
    <n v="210.43"/>
    <n v="144.13"/>
    <n v="66.3"/>
    <n v="1"/>
    <n v="0"/>
    <n v="5"/>
    <n v="4"/>
  </r>
  <r>
    <s v="SW-100839"/>
    <d v="2024-05-19T00:00:00"/>
    <x v="0"/>
    <s v="Q2"/>
    <x v="4"/>
    <x v="0"/>
    <x v="0"/>
    <x v="1"/>
    <x v="5"/>
    <s v="Kids Puzzle"/>
    <n v="1"/>
    <n v="16.97"/>
    <n v="0.25"/>
    <x v="3"/>
    <n v="12.73"/>
    <n v="12.1"/>
    <n v="0.63"/>
    <n v="1"/>
    <n v="0"/>
    <n v="4"/>
    <n v="4"/>
  </r>
  <r>
    <s v="SW-100840"/>
    <d v="2024-05-19T00:00:00"/>
    <x v="0"/>
    <s v="Q2"/>
    <x v="4"/>
    <x v="2"/>
    <x v="0"/>
    <x v="0"/>
    <x v="4"/>
    <s v="4K Action Camera"/>
    <n v="2"/>
    <n v="636.09"/>
    <n v="0.15"/>
    <x v="1"/>
    <n v="1081.3499999999999"/>
    <n v="1047.23"/>
    <n v="34.119999999999997"/>
    <n v="1"/>
    <n v="0"/>
    <n v="4"/>
    <n v="5"/>
  </r>
  <r>
    <s v="SW-100841"/>
    <d v="2024-05-19T00:00:00"/>
    <x v="0"/>
    <s v="Q2"/>
    <x v="4"/>
    <x v="0"/>
    <x v="3"/>
    <x v="1"/>
    <x v="1"/>
    <s v="Makeup Kit"/>
    <n v="1"/>
    <n v="74.3"/>
    <n v="0.1"/>
    <x v="0"/>
    <n v="66.87"/>
    <n v="34.67"/>
    <n v="32.200000000000003"/>
    <n v="1"/>
    <n v="0"/>
    <n v="3"/>
    <n v="5"/>
  </r>
  <r>
    <s v="SW-100842"/>
    <d v="2024-05-20T00:00:00"/>
    <x v="0"/>
    <s v="Q2"/>
    <x v="4"/>
    <x v="1"/>
    <x v="3"/>
    <x v="1"/>
    <x v="0"/>
    <s v="Cotton T-Shirt"/>
    <n v="1"/>
    <n v="19.41"/>
    <n v="0.25"/>
    <x v="3"/>
    <n v="14.56"/>
    <n v="10.119999999999999"/>
    <n v="4.4400000000000004"/>
    <n v="1"/>
    <n v="0"/>
    <n v="3"/>
    <n v="5"/>
  </r>
  <r>
    <s v="SW-100843"/>
    <d v="2024-05-20T00:00:00"/>
    <x v="0"/>
    <s v="Q2"/>
    <x v="4"/>
    <x v="1"/>
    <x v="3"/>
    <x v="1"/>
    <x v="0"/>
    <s v="Leather Handbag"/>
    <n v="3"/>
    <n v="138.5"/>
    <n v="0.1"/>
    <x v="0"/>
    <n v="373.95"/>
    <n v="222.19"/>
    <n v="151.76"/>
    <n v="1"/>
    <n v="0"/>
    <n v="2"/>
    <n v="5"/>
  </r>
  <r>
    <s v="SW-100844"/>
    <d v="2024-05-20T00:00:00"/>
    <x v="0"/>
    <s v="Q2"/>
    <x v="4"/>
    <x v="0"/>
    <x v="3"/>
    <x v="1"/>
    <x v="4"/>
    <s v="Power Bank"/>
    <n v="1"/>
    <n v="508.8"/>
    <n v="0"/>
    <x v="2"/>
    <n v="508.8"/>
    <n v="415.69"/>
    <n v="93.11"/>
    <n v="1"/>
    <n v="0"/>
    <n v="3"/>
    <n v="5"/>
  </r>
  <r>
    <s v="SW-100845"/>
    <d v="2024-05-20T00:00:00"/>
    <x v="0"/>
    <s v="Q2"/>
    <x v="4"/>
    <x v="2"/>
    <x v="1"/>
    <x v="1"/>
    <x v="4"/>
    <s v="Power Bank"/>
    <n v="1"/>
    <n v="508.8"/>
    <n v="0.15"/>
    <x v="1"/>
    <n v="432.48"/>
    <n v="418.22"/>
    <n v="14.26"/>
    <n v="1"/>
    <n v="0"/>
    <n v="8"/>
    <n v="3"/>
  </r>
  <r>
    <s v="SW-100846"/>
    <d v="2024-05-21T00:00:00"/>
    <x v="0"/>
    <s v="Q2"/>
    <x v="4"/>
    <x v="0"/>
    <x v="3"/>
    <x v="1"/>
    <x v="1"/>
    <s v="Hair Dryer"/>
    <n v="1"/>
    <n v="33.18"/>
    <n v="0.05"/>
    <x v="0"/>
    <n v="31.52"/>
    <n v="15.77"/>
    <n v="15.75"/>
    <n v="1"/>
    <n v="0"/>
    <n v="3"/>
    <n v="4"/>
  </r>
  <r>
    <s v="SW-100847"/>
    <d v="2024-05-21T00:00:00"/>
    <x v="0"/>
    <s v="Q2"/>
    <x v="4"/>
    <x v="1"/>
    <x v="3"/>
    <x v="1"/>
    <x v="2"/>
    <s v="Bed Sheet Set"/>
    <n v="1"/>
    <n v="90.75"/>
    <n v="0"/>
    <x v="2"/>
    <n v="90.75"/>
    <n v="61.11"/>
    <n v="29.64"/>
    <n v="1"/>
    <n v="0"/>
    <n v="3"/>
    <n v="3"/>
  </r>
  <r>
    <s v="SW-100848"/>
    <d v="2024-05-21T00:00:00"/>
    <x v="0"/>
    <s v="Q2"/>
    <x v="4"/>
    <x v="2"/>
    <x v="1"/>
    <x v="1"/>
    <x v="4"/>
    <s v="Wireless Earbuds"/>
    <n v="1"/>
    <n v="588.41"/>
    <n v="0.05"/>
    <x v="0"/>
    <n v="558.99"/>
    <n v="453.74"/>
    <n v="105.25"/>
    <n v="1"/>
    <n v="0"/>
    <n v="5"/>
    <n v="4"/>
  </r>
  <r>
    <s v="SW-100849"/>
    <d v="2024-05-21T00:00:00"/>
    <x v="0"/>
    <s v="Q2"/>
    <x v="4"/>
    <x v="1"/>
    <x v="0"/>
    <x v="1"/>
    <x v="3"/>
    <s v="Camping Tent"/>
    <n v="1"/>
    <n v="83.06"/>
    <n v="0.1"/>
    <x v="0"/>
    <n v="74.75"/>
    <n v="57.3"/>
    <n v="17.45"/>
    <n v="1"/>
    <n v="0"/>
    <n v="5"/>
    <n v="5"/>
  </r>
  <r>
    <s v="SW-100850"/>
    <d v="2024-05-21T00:00:00"/>
    <x v="0"/>
    <s v="Q2"/>
    <x v="4"/>
    <x v="0"/>
    <x v="3"/>
    <x v="0"/>
    <x v="4"/>
    <s v="Wireless Earbuds"/>
    <n v="1"/>
    <n v="588.41"/>
    <n v="0"/>
    <x v="2"/>
    <n v="588.41"/>
    <n v="459.68"/>
    <n v="128.72999999999999"/>
    <n v="1"/>
    <n v="0"/>
    <n v="3"/>
    <n v="5"/>
  </r>
  <r>
    <s v="SW-100851"/>
    <d v="2024-05-21T00:00:00"/>
    <x v="0"/>
    <s v="Q2"/>
    <x v="4"/>
    <x v="2"/>
    <x v="2"/>
    <x v="1"/>
    <x v="2"/>
    <s v="Desk Lamp"/>
    <n v="2"/>
    <n v="117.63"/>
    <n v="0.3"/>
    <x v="3"/>
    <n v="164.68"/>
    <n v="157.63999999999999"/>
    <n v="7.04"/>
    <n v="1"/>
    <n v="0"/>
    <n v="4"/>
    <n v="3"/>
  </r>
  <r>
    <s v="SW-100852"/>
    <d v="2024-05-21T00:00:00"/>
    <x v="0"/>
    <s v="Q2"/>
    <x v="4"/>
    <x v="0"/>
    <x v="2"/>
    <x v="0"/>
    <x v="0"/>
    <s v="Leather Handbag"/>
    <n v="4"/>
    <n v="138.5"/>
    <n v="0"/>
    <x v="2"/>
    <n v="554"/>
    <n v="291.89"/>
    <n v="262.11"/>
    <n v="1"/>
    <n v="0"/>
    <n v="4"/>
    <n v="4"/>
  </r>
  <r>
    <s v="SW-100853"/>
    <d v="2024-05-21T00:00:00"/>
    <x v="0"/>
    <s v="Q2"/>
    <x v="4"/>
    <x v="1"/>
    <x v="3"/>
    <x v="0"/>
    <x v="1"/>
    <s v="Perfume 100ml"/>
    <n v="1"/>
    <n v="54.56"/>
    <n v="0.25"/>
    <x v="3"/>
    <n v="40.92"/>
    <n v="26"/>
    <n v="14.92"/>
    <n v="1"/>
    <n v="0"/>
    <n v="3"/>
    <n v="3"/>
  </r>
  <r>
    <s v="SW-100854"/>
    <d v="2024-05-22T00:00:00"/>
    <x v="0"/>
    <s v="Q2"/>
    <x v="4"/>
    <x v="2"/>
    <x v="3"/>
    <x v="0"/>
    <x v="0"/>
    <s v="Leather Handbag"/>
    <n v="1"/>
    <n v="138.5"/>
    <n v="0"/>
    <x v="2"/>
    <n v="138.5"/>
    <n v="79.739999999999995"/>
    <n v="58.76"/>
    <n v="1"/>
    <n v="0"/>
    <n v="5"/>
    <n v="5"/>
  </r>
  <r>
    <s v="SW-100855"/>
    <d v="2024-05-22T00:00:00"/>
    <x v="0"/>
    <s v="Q2"/>
    <x v="4"/>
    <x v="0"/>
    <x v="0"/>
    <x v="1"/>
    <x v="0"/>
    <s v="Running Sneakers"/>
    <n v="1"/>
    <n v="94.85"/>
    <n v="0"/>
    <x v="2"/>
    <n v="94.85"/>
    <n v="49.5"/>
    <n v="45.35"/>
    <n v="1"/>
    <n v="0"/>
    <n v="5"/>
    <n v="5"/>
  </r>
  <r>
    <s v="SW-100856"/>
    <d v="2024-05-22T00:00:00"/>
    <x v="0"/>
    <s v="Q2"/>
    <x v="4"/>
    <x v="0"/>
    <x v="3"/>
    <x v="1"/>
    <x v="4"/>
    <s v="Power Bank"/>
    <n v="1"/>
    <n v="508.8"/>
    <n v="0.05"/>
    <x v="0"/>
    <n v="483.36"/>
    <n v="414.78"/>
    <n v="68.58"/>
    <n v="1"/>
    <n v="0"/>
    <n v="4"/>
    <n v="4"/>
  </r>
  <r>
    <s v="SW-100857"/>
    <d v="2024-05-22T00:00:00"/>
    <x v="0"/>
    <s v="Q2"/>
    <x v="4"/>
    <x v="0"/>
    <x v="1"/>
    <x v="1"/>
    <x v="1"/>
    <s v="Perfume 100ml"/>
    <n v="1"/>
    <n v="54.56"/>
    <n v="0.1"/>
    <x v="0"/>
    <n v="49.1"/>
    <n v="25.41"/>
    <n v="23.69"/>
    <n v="1"/>
    <n v="0"/>
    <n v="7"/>
    <n v="4"/>
  </r>
  <r>
    <s v="SW-100858"/>
    <d v="2024-05-22T00:00:00"/>
    <x v="0"/>
    <s v="Q2"/>
    <x v="4"/>
    <x v="2"/>
    <x v="3"/>
    <x v="1"/>
    <x v="2"/>
    <s v="Bed Sheet Set"/>
    <n v="2"/>
    <n v="90.75"/>
    <n v="0.2"/>
    <x v="1"/>
    <n v="145.19999999999999"/>
    <n v="118.93"/>
    <n v="26.27"/>
    <n v="1"/>
    <n v="0"/>
    <n v="4"/>
    <n v="5"/>
  </r>
  <r>
    <s v="SW-100859"/>
    <d v="2024-05-22T00:00:00"/>
    <x v="0"/>
    <s v="Q2"/>
    <x v="4"/>
    <x v="1"/>
    <x v="1"/>
    <x v="1"/>
    <x v="4"/>
    <s v="Smart Watch"/>
    <n v="2"/>
    <n v="216.08"/>
    <n v="0"/>
    <x v="2"/>
    <n v="432.16"/>
    <n v="337.97"/>
    <n v="94.19"/>
    <n v="1"/>
    <n v="0"/>
    <n v="6"/>
    <n v="3"/>
  </r>
  <r>
    <s v="SW-100860"/>
    <d v="2024-05-22T00:00:00"/>
    <x v="0"/>
    <s v="Q2"/>
    <x v="4"/>
    <x v="0"/>
    <x v="3"/>
    <x v="0"/>
    <x v="2"/>
    <s v="Desk Lamp"/>
    <n v="2"/>
    <n v="117.63"/>
    <n v="0.05"/>
    <x v="0"/>
    <n v="223.5"/>
    <n v="157.62"/>
    <n v="65.88"/>
    <n v="1"/>
    <n v="0"/>
    <n v="3"/>
    <n v="5"/>
  </r>
  <r>
    <s v="SW-100861"/>
    <d v="2024-05-22T00:00:00"/>
    <x v="0"/>
    <s v="Q2"/>
    <x v="4"/>
    <x v="0"/>
    <x v="4"/>
    <x v="1"/>
    <x v="4"/>
    <s v="Smart Watch"/>
    <n v="1"/>
    <n v="216.08"/>
    <n v="0"/>
    <x v="2"/>
    <n v="216.08"/>
    <n v="176.96"/>
    <n v="39.119999999999997"/>
    <n v="1"/>
    <n v="0"/>
    <n v="5"/>
    <n v="5"/>
  </r>
  <r>
    <s v="SW-100862"/>
    <d v="2024-05-22T00:00:00"/>
    <x v="0"/>
    <s v="Q2"/>
    <x v="4"/>
    <x v="1"/>
    <x v="0"/>
    <x v="1"/>
    <x v="0"/>
    <s v="Running Sneakers"/>
    <n v="2"/>
    <n v="94.85"/>
    <n v="0.05"/>
    <x v="0"/>
    <n v="180.21"/>
    <n v="99.87"/>
    <n v="80.34"/>
    <n v="1"/>
    <n v="0"/>
    <n v="5"/>
    <n v="5"/>
  </r>
  <r>
    <s v="SW-100863"/>
    <d v="2024-05-22T00:00:00"/>
    <x v="0"/>
    <s v="Q2"/>
    <x v="4"/>
    <x v="0"/>
    <x v="0"/>
    <x v="0"/>
    <x v="4"/>
    <s v="Bluetooth Speaker"/>
    <n v="1"/>
    <n v="177.65"/>
    <n v="0.05"/>
    <x v="0"/>
    <n v="168.77"/>
    <n v="146.57"/>
    <n v="22.2"/>
    <n v="1"/>
    <n v="0"/>
    <n v="4"/>
    <n v="4"/>
  </r>
  <r>
    <s v="SW-100864"/>
    <d v="2024-05-23T00:00:00"/>
    <x v="0"/>
    <s v="Q2"/>
    <x v="4"/>
    <x v="0"/>
    <x v="3"/>
    <x v="1"/>
    <x v="5"/>
    <s v="Board Game"/>
    <n v="2"/>
    <n v="57.92"/>
    <n v="0.25"/>
    <x v="3"/>
    <n v="86.88"/>
    <n v="79.989999999999995"/>
    <n v="6.89"/>
    <n v="1"/>
    <n v="0"/>
    <n v="3"/>
    <n v="4"/>
  </r>
  <r>
    <s v="SW-100865"/>
    <d v="2024-05-23T00:00:00"/>
    <x v="0"/>
    <s v="Q2"/>
    <x v="4"/>
    <x v="2"/>
    <x v="0"/>
    <x v="0"/>
    <x v="2"/>
    <s v="Cookware Set"/>
    <n v="1"/>
    <n v="233.81"/>
    <n v="0.2"/>
    <x v="1"/>
    <n v="187.05"/>
    <n v="162.06"/>
    <n v="24.99"/>
    <n v="1"/>
    <n v="0"/>
    <n v="3"/>
    <n v="4"/>
  </r>
  <r>
    <s v="SW-100866"/>
    <d v="2024-05-23T00:00:00"/>
    <x v="0"/>
    <s v="Q2"/>
    <x v="4"/>
    <x v="0"/>
    <x v="3"/>
    <x v="0"/>
    <x v="5"/>
    <s v="Building Blocks"/>
    <n v="1"/>
    <n v="48.86"/>
    <n v="0"/>
    <x v="2"/>
    <n v="48.86"/>
    <n v="35.07"/>
    <n v="13.79"/>
    <n v="1"/>
    <n v="0"/>
    <n v="2"/>
    <n v="4"/>
  </r>
  <r>
    <s v="SW-100867"/>
    <d v="2024-05-23T00:00:00"/>
    <x v="0"/>
    <s v="Q2"/>
    <x v="4"/>
    <x v="1"/>
    <x v="0"/>
    <x v="0"/>
    <x v="2"/>
    <s v="Storage Boxes"/>
    <n v="1"/>
    <n v="154.66"/>
    <n v="0.15"/>
    <x v="1"/>
    <n v="131.46"/>
    <n v="100.23"/>
    <n v="31.23"/>
    <n v="1"/>
    <n v="0"/>
    <n v="4"/>
    <n v="5"/>
  </r>
  <r>
    <s v="SW-100868"/>
    <d v="2024-05-23T00:00:00"/>
    <x v="0"/>
    <s v="Q2"/>
    <x v="4"/>
    <x v="0"/>
    <x v="2"/>
    <x v="1"/>
    <x v="2"/>
    <s v="Bed Sheet Set"/>
    <n v="2"/>
    <n v="90.75"/>
    <n v="0.1"/>
    <x v="0"/>
    <n v="163.35"/>
    <n v="125.89"/>
    <n v="37.46"/>
    <n v="1"/>
    <n v="0"/>
    <n v="4"/>
    <n v="4"/>
  </r>
  <r>
    <s v="SW-100869"/>
    <d v="2024-05-23T00:00:00"/>
    <x v="0"/>
    <s v="Q2"/>
    <x v="4"/>
    <x v="0"/>
    <x v="4"/>
    <x v="1"/>
    <x v="5"/>
    <s v="Building Blocks"/>
    <n v="1"/>
    <n v="48.86"/>
    <n v="0.1"/>
    <x v="0"/>
    <n v="43.97"/>
    <n v="35.58"/>
    <n v="8.39"/>
    <n v="1"/>
    <n v="0"/>
    <n v="5"/>
    <n v="5"/>
  </r>
  <r>
    <s v="SW-100870"/>
    <d v="2024-05-23T00:00:00"/>
    <x v="0"/>
    <s v="Q2"/>
    <x v="4"/>
    <x v="1"/>
    <x v="4"/>
    <x v="0"/>
    <x v="0"/>
    <s v="Summer Dress"/>
    <n v="1"/>
    <n v="33.99"/>
    <n v="0.2"/>
    <x v="1"/>
    <n v="27.19"/>
    <n v="18.18"/>
    <n v="9.01"/>
    <n v="1"/>
    <n v="0"/>
    <n v="6"/>
    <n v="3"/>
  </r>
  <r>
    <s v="SW-100871"/>
    <d v="2024-05-23T00:00:00"/>
    <x v="0"/>
    <s v="Q2"/>
    <x v="4"/>
    <x v="0"/>
    <x v="4"/>
    <x v="0"/>
    <x v="0"/>
    <s v="Summer Dress"/>
    <n v="1"/>
    <n v="33.99"/>
    <n v="0.15"/>
    <x v="1"/>
    <n v="28.89"/>
    <n v="18.489999999999998"/>
    <n v="10.4"/>
    <n v="1"/>
    <n v="0"/>
    <n v="5"/>
    <n v="4"/>
  </r>
  <r>
    <s v="SW-100872"/>
    <d v="2024-05-24T00:00:00"/>
    <x v="0"/>
    <s v="Q2"/>
    <x v="4"/>
    <x v="0"/>
    <x v="4"/>
    <x v="1"/>
    <x v="0"/>
    <s v="Sunglasses"/>
    <n v="4"/>
    <n v="104.94"/>
    <n v="0.25"/>
    <x v="3"/>
    <n v="314.82"/>
    <n v="218.62"/>
    <n v="96.2"/>
    <n v="1"/>
    <n v="0"/>
    <n v="5"/>
    <n v="4"/>
  </r>
  <r>
    <s v="SW-100873"/>
    <d v="2024-05-24T00:00:00"/>
    <x v="0"/>
    <s v="Q2"/>
    <x v="4"/>
    <x v="0"/>
    <x v="2"/>
    <x v="1"/>
    <x v="1"/>
    <s v="Face Serum"/>
    <n v="1"/>
    <n v="33.479999999999997"/>
    <n v="0.2"/>
    <x v="1"/>
    <n v="26.78"/>
    <n v="16.57"/>
    <n v="10.210000000000001"/>
    <n v="1"/>
    <n v="0"/>
    <n v="5"/>
    <n v="5"/>
  </r>
  <r>
    <s v="SW-100874"/>
    <d v="2024-05-24T00:00:00"/>
    <x v="0"/>
    <s v="Q2"/>
    <x v="4"/>
    <x v="0"/>
    <x v="3"/>
    <x v="1"/>
    <x v="5"/>
    <s v="Kids Puzzle"/>
    <n v="1"/>
    <n v="16.97"/>
    <n v="0"/>
    <x v="2"/>
    <n v="16.97"/>
    <n v="11.66"/>
    <n v="5.31"/>
    <n v="1"/>
    <n v="0"/>
    <n v="3"/>
    <n v="5"/>
  </r>
  <r>
    <s v="SW-100875"/>
    <d v="2024-05-25T00:00:00"/>
    <x v="0"/>
    <s v="Q2"/>
    <x v="4"/>
    <x v="2"/>
    <x v="2"/>
    <x v="1"/>
    <x v="2"/>
    <s v="Cookware Set"/>
    <n v="2"/>
    <n v="233.81"/>
    <n v="0"/>
    <x v="2"/>
    <n v="467.62"/>
    <n v="309.64"/>
    <n v="157.97999999999999"/>
    <n v="1"/>
    <n v="0"/>
    <n v="4"/>
    <n v="5"/>
  </r>
  <r>
    <s v="SW-100876"/>
    <d v="2024-05-25T00:00:00"/>
    <x v="0"/>
    <s v="Q2"/>
    <x v="4"/>
    <x v="2"/>
    <x v="2"/>
    <x v="1"/>
    <x v="4"/>
    <s v="4K Action Camera"/>
    <n v="1"/>
    <n v="636.09"/>
    <n v="0.15"/>
    <x v="1"/>
    <n v="540.67999999999995"/>
    <n v="510.55"/>
    <n v="30.13"/>
    <n v="1"/>
    <n v="0"/>
    <n v="3"/>
    <n v="5"/>
  </r>
  <r>
    <s v="SW-100877"/>
    <d v="2024-05-25T00:00:00"/>
    <x v="0"/>
    <s v="Q2"/>
    <x v="4"/>
    <x v="0"/>
    <x v="4"/>
    <x v="1"/>
    <x v="5"/>
    <s v="Board Game"/>
    <n v="1"/>
    <n v="57.92"/>
    <n v="0.1"/>
    <x v="0"/>
    <n v="52.13"/>
    <n v="43.65"/>
    <n v="8.48"/>
    <n v="1"/>
    <n v="0"/>
    <n v="6"/>
    <n v="4"/>
  </r>
  <r>
    <s v="SW-100878"/>
    <d v="2024-05-25T00:00:00"/>
    <x v="0"/>
    <s v="Q2"/>
    <x v="4"/>
    <x v="0"/>
    <x v="0"/>
    <x v="1"/>
    <x v="0"/>
    <s v="Leather Handbag"/>
    <n v="1"/>
    <n v="138.5"/>
    <n v="0"/>
    <x v="2"/>
    <n v="138.5"/>
    <n v="75.19"/>
    <n v="63.31"/>
    <n v="1"/>
    <n v="0"/>
    <n v="4"/>
    <n v="4"/>
  </r>
  <r>
    <s v="SW-100879"/>
    <d v="2024-05-25T00:00:00"/>
    <x v="0"/>
    <s v="Q2"/>
    <x v="4"/>
    <x v="1"/>
    <x v="2"/>
    <x v="0"/>
    <x v="2"/>
    <s v="Storage Boxes"/>
    <n v="1"/>
    <n v="154.66"/>
    <n v="0.1"/>
    <x v="0"/>
    <n v="139.19"/>
    <n v="99.78"/>
    <n v="39.409999999999997"/>
    <n v="1"/>
    <n v="1"/>
    <n v="6"/>
    <n v="3"/>
  </r>
  <r>
    <s v="SW-100880"/>
    <d v="2024-05-25T00:00:00"/>
    <x v="0"/>
    <s v="Q2"/>
    <x v="4"/>
    <x v="1"/>
    <x v="2"/>
    <x v="0"/>
    <x v="2"/>
    <s v="Air Fryer"/>
    <n v="2"/>
    <n v="68.349999999999994"/>
    <n v="0.05"/>
    <x v="0"/>
    <n v="129.86000000000001"/>
    <n v="87.28"/>
    <n v="42.58"/>
    <n v="1"/>
    <n v="0"/>
    <n v="4"/>
    <n v="4"/>
  </r>
  <r>
    <s v="SW-100881"/>
    <d v="2024-05-25T00:00:00"/>
    <x v="0"/>
    <s v="Q2"/>
    <x v="4"/>
    <x v="1"/>
    <x v="3"/>
    <x v="1"/>
    <x v="3"/>
    <s v="Fitness Tracker"/>
    <n v="1"/>
    <n v="74.459999999999994"/>
    <n v="0.15"/>
    <x v="1"/>
    <n v="63.29"/>
    <n v="50.02"/>
    <n v="13.27"/>
    <n v="1"/>
    <n v="0"/>
    <n v="4"/>
    <n v="4"/>
  </r>
  <r>
    <s v="SW-100882"/>
    <d v="2024-05-26T00:00:00"/>
    <x v="0"/>
    <s v="Q2"/>
    <x v="4"/>
    <x v="2"/>
    <x v="4"/>
    <x v="1"/>
    <x v="2"/>
    <s v="Cookware Set"/>
    <n v="1"/>
    <n v="233.81"/>
    <n v="0"/>
    <x v="2"/>
    <n v="233.81"/>
    <n v="152.07"/>
    <n v="81.739999999999995"/>
    <n v="1"/>
    <n v="0"/>
    <n v="8"/>
    <n v="3"/>
  </r>
  <r>
    <s v="SW-100883"/>
    <d v="2024-05-26T00:00:00"/>
    <x v="0"/>
    <s v="Q2"/>
    <x v="4"/>
    <x v="0"/>
    <x v="2"/>
    <x v="1"/>
    <x v="2"/>
    <s v="Desk Lamp"/>
    <n v="1"/>
    <n v="117.63"/>
    <n v="0.05"/>
    <x v="0"/>
    <n v="111.75"/>
    <n v="76.31"/>
    <n v="35.44"/>
    <n v="1"/>
    <n v="0"/>
    <n v="5"/>
    <n v="4"/>
  </r>
  <r>
    <s v="SW-100884"/>
    <d v="2024-05-26T00:00:00"/>
    <x v="0"/>
    <s v="Q2"/>
    <x v="4"/>
    <x v="0"/>
    <x v="3"/>
    <x v="1"/>
    <x v="0"/>
    <s v="Denim Jacket"/>
    <n v="1"/>
    <n v="78.510000000000005"/>
    <n v="0.05"/>
    <x v="0"/>
    <n v="74.58"/>
    <n v="41.32"/>
    <n v="33.26"/>
    <n v="1"/>
    <n v="1"/>
    <n v="5"/>
    <n v="4"/>
  </r>
  <r>
    <s v="SW-100885"/>
    <d v="2024-05-26T00:00:00"/>
    <x v="0"/>
    <s v="Q2"/>
    <x v="4"/>
    <x v="0"/>
    <x v="2"/>
    <x v="0"/>
    <x v="1"/>
    <s v="Makeup Kit"/>
    <n v="1"/>
    <n v="74.3"/>
    <n v="0.15"/>
    <x v="1"/>
    <n v="63.15"/>
    <n v="33.43"/>
    <n v="29.72"/>
    <n v="1"/>
    <n v="0"/>
    <n v="4"/>
    <n v="4"/>
  </r>
  <r>
    <s v="SW-100886"/>
    <d v="2024-05-27T00:00:00"/>
    <x v="0"/>
    <s v="Q2"/>
    <x v="4"/>
    <x v="1"/>
    <x v="3"/>
    <x v="1"/>
    <x v="4"/>
    <s v="Wireless Earbuds"/>
    <n v="2"/>
    <n v="588.41"/>
    <n v="0.1"/>
    <x v="0"/>
    <n v="1059.1400000000001"/>
    <n v="972.94"/>
    <n v="86.2"/>
    <n v="1"/>
    <n v="0"/>
    <n v="2"/>
    <n v="4"/>
  </r>
  <r>
    <s v="SW-100887"/>
    <d v="2024-05-27T00:00:00"/>
    <x v="0"/>
    <s v="Q2"/>
    <x v="4"/>
    <x v="1"/>
    <x v="0"/>
    <x v="0"/>
    <x v="0"/>
    <s v="Summer Dress"/>
    <n v="2"/>
    <n v="33.99"/>
    <n v="0"/>
    <x v="2"/>
    <n v="67.98"/>
    <n v="37.81"/>
    <n v="30.17"/>
    <n v="1"/>
    <n v="1"/>
    <n v="3"/>
    <n v="3"/>
  </r>
  <r>
    <s v="SW-100888"/>
    <d v="2024-05-27T00:00:00"/>
    <x v="0"/>
    <s v="Q2"/>
    <x v="4"/>
    <x v="0"/>
    <x v="1"/>
    <x v="1"/>
    <x v="0"/>
    <s v="Leather Handbag"/>
    <n v="3"/>
    <n v="138.5"/>
    <n v="0.05"/>
    <x v="0"/>
    <n v="394.72"/>
    <n v="222.09"/>
    <n v="172.63"/>
    <n v="1"/>
    <n v="0"/>
    <n v="7"/>
    <n v="2"/>
  </r>
  <r>
    <s v="SW-100889"/>
    <d v="2024-05-27T00:00:00"/>
    <x v="0"/>
    <s v="Q2"/>
    <x v="4"/>
    <x v="0"/>
    <x v="2"/>
    <x v="1"/>
    <x v="2"/>
    <s v="Coffee Maker"/>
    <n v="1"/>
    <n v="148.05000000000001"/>
    <n v="0"/>
    <x v="2"/>
    <n v="148.05000000000001"/>
    <n v="105.33"/>
    <n v="42.72"/>
    <n v="1"/>
    <n v="0"/>
    <n v="3"/>
    <n v="5"/>
  </r>
  <r>
    <s v="SW-100890"/>
    <d v="2024-05-27T00:00:00"/>
    <x v="0"/>
    <s v="Q2"/>
    <x v="4"/>
    <x v="1"/>
    <x v="4"/>
    <x v="0"/>
    <x v="2"/>
    <s v="Storage Boxes"/>
    <n v="3"/>
    <n v="154.66"/>
    <n v="0"/>
    <x v="2"/>
    <n v="463.98"/>
    <n v="330.18"/>
    <n v="133.80000000000001"/>
    <n v="1"/>
    <n v="0"/>
    <n v="5"/>
    <n v="5"/>
  </r>
  <r>
    <s v="SW-100891"/>
    <d v="2024-05-27T00:00:00"/>
    <x v="0"/>
    <s v="Q2"/>
    <x v="4"/>
    <x v="2"/>
    <x v="0"/>
    <x v="0"/>
    <x v="2"/>
    <s v="Storage Boxes"/>
    <n v="1"/>
    <n v="154.66"/>
    <n v="0"/>
    <x v="2"/>
    <n v="154.66"/>
    <n v="102.25"/>
    <n v="52.41"/>
    <n v="1"/>
    <n v="0"/>
    <n v="4"/>
    <n v="4"/>
  </r>
  <r>
    <s v="SW-100892"/>
    <d v="2024-05-27T00:00:00"/>
    <x v="0"/>
    <s v="Q2"/>
    <x v="4"/>
    <x v="2"/>
    <x v="2"/>
    <x v="0"/>
    <x v="2"/>
    <s v="Coffee Maker"/>
    <n v="1"/>
    <n v="148.05000000000001"/>
    <n v="0.1"/>
    <x v="0"/>
    <n v="133.24"/>
    <n v="95.63"/>
    <n v="37.61"/>
    <n v="1"/>
    <n v="0"/>
    <n v="3"/>
    <n v="4"/>
  </r>
  <r>
    <s v="SW-100893"/>
    <d v="2024-05-27T00:00:00"/>
    <x v="0"/>
    <s v="Q2"/>
    <x v="4"/>
    <x v="2"/>
    <x v="4"/>
    <x v="1"/>
    <x v="2"/>
    <s v="Storage Boxes"/>
    <n v="2"/>
    <n v="154.66"/>
    <n v="0.1"/>
    <x v="0"/>
    <n v="278.39"/>
    <n v="200.22"/>
    <n v="78.17"/>
    <n v="1"/>
    <n v="0"/>
    <n v="6"/>
    <n v="3"/>
  </r>
  <r>
    <s v="SW-100894"/>
    <d v="2024-05-28T00:00:00"/>
    <x v="0"/>
    <s v="Q2"/>
    <x v="4"/>
    <x v="1"/>
    <x v="3"/>
    <x v="0"/>
    <x v="0"/>
    <s v="Denim Jacket"/>
    <n v="1"/>
    <n v="78.510000000000005"/>
    <n v="0.1"/>
    <x v="0"/>
    <n v="70.66"/>
    <n v="43.26"/>
    <n v="27.4"/>
    <n v="1"/>
    <n v="0"/>
    <n v="5"/>
    <n v="4"/>
  </r>
  <r>
    <s v="SW-100895"/>
    <d v="2024-05-28T00:00:00"/>
    <x v="0"/>
    <s v="Q2"/>
    <x v="4"/>
    <x v="1"/>
    <x v="0"/>
    <x v="1"/>
    <x v="4"/>
    <s v="Power Bank"/>
    <n v="1"/>
    <n v="508.8"/>
    <n v="0.2"/>
    <x v="1"/>
    <n v="407.04"/>
    <n v="421.26"/>
    <n v="-14.22"/>
    <n v="1"/>
    <n v="0"/>
    <n v="4"/>
    <n v="4"/>
  </r>
  <r>
    <s v="SW-100896"/>
    <d v="2024-05-28T00:00:00"/>
    <x v="0"/>
    <s v="Q2"/>
    <x v="4"/>
    <x v="2"/>
    <x v="2"/>
    <x v="0"/>
    <x v="1"/>
    <s v="Perfume 100ml"/>
    <n v="1"/>
    <n v="54.56"/>
    <n v="0"/>
    <x v="2"/>
    <n v="54.56"/>
    <n v="25.11"/>
    <n v="29.45"/>
    <n v="1"/>
    <n v="0"/>
    <n v="4"/>
    <n v="5"/>
  </r>
  <r>
    <s v="SW-100897"/>
    <d v="2024-05-28T00:00:00"/>
    <x v="0"/>
    <s v="Q2"/>
    <x v="4"/>
    <x v="0"/>
    <x v="2"/>
    <x v="0"/>
    <x v="2"/>
    <s v="Cookware Set"/>
    <n v="1"/>
    <n v="233.81"/>
    <n v="0.1"/>
    <x v="0"/>
    <n v="210.43"/>
    <n v="155.94999999999999"/>
    <n v="54.48"/>
    <n v="1"/>
    <n v="0"/>
    <n v="4"/>
    <n v="4"/>
  </r>
  <r>
    <s v="SW-100898"/>
    <d v="2024-05-28T00:00:00"/>
    <x v="0"/>
    <s v="Q2"/>
    <x v="4"/>
    <x v="0"/>
    <x v="3"/>
    <x v="1"/>
    <x v="4"/>
    <s v="Wireless Earbuds"/>
    <n v="2"/>
    <n v="588.41"/>
    <n v="0"/>
    <x v="2"/>
    <n v="1176.82"/>
    <n v="930.23"/>
    <n v="246.59"/>
    <n v="1"/>
    <n v="0"/>
    <n v="2"/>
    <n v="5"/>
  </r>
  <r>
    <s v="SW-100899"/>
    <d v="2024-05-28T00:00:00"/>
    <x v="0"/>
    <s v="Q2"/>
    <x v="4"/>
    <x v="2"/>
    <x v="2"/>
    <x v="1"/>
    <x v="2"/>
    <s v="Bed Sheet Set"/>
    <n v="2"/>
    <n v="90.75"/>
    <n v="0.15"/>
    <x v="1"/>
    <n v="154.28"/>
    <n v="121.97"/>
    <n v="32.31"/>
    <n v="1"/>
    <n v="0"/>
    <n v="3"/>
    <n v="5"/>
  </r>
  <r>
    <s v="SW-100900"/>
    <d v="2024-05-28T00:00:00"/>
    <x v="0"/>
    <s v="Q2"/>
    <x v="4"/>
    <x v="1"/>
    <x v="0"/>
    <x v="0"/>
    <x v="1"/>
    <s v="Skin Care Bundle"/>
    <n v="1"/>
    <n v="92.54"/>
    <n v="0"/>
    <x v="2"/>
    <n v="92.54"/>
    <n v="44.81"/>
    <n v="47.73"/>
    <n v="1"/>
    <n v="0"/>
    <n v="3"/>
    <n v="5"/>
  </r>
  <r>
    <s v="SW-100901"/>
    <d v="2024-05-28T00:00:00"/>
    <x v="0"/>
    <s v="Q2"/>
    <x v="4"/>
    <x v="0"/>
    <x v="0"/>
    <x v="1"/>
    <x v="0"/>
    <s v="Leather Handbag"/>
    <n v="1"/>
    <n v="138.5"/>
    <n v="0.1"/>
    <x v="0"/>
    <n v="124.65"/>
    <n v="77.400000000000006"/>
    <n v="47.25"/>
    <n v="1"/>
    <n v="0"/>
    <n v="3"/>
    <n v="4"/>
  </r>
  <r>
    <s v="SW-100902"/>
    <d v="2024-05-28T00:00:00"/>
    <x v="0"/>
    <s v="Q2"/>
    <x v="4"/>
    <x v="0"/>
    <x v="0"/>
    <x v="1"/>
    <x v="4"/>
    <s v="Smart Watch"/>
    <n v="1"/>
    <n v="216.08"/>
    <n v="0.15"/>
    <x v="1"/>
    <n v="183.67"/>
    <n v="183.19"/>
    <n v="0.48"/>
    <n v="1"/>
    <n v="0"/>
    <n v="4"/>
    <n v="4"/>
  </r>
  <r>
    <s v="SW-100903"/>
    <d v="2024-05-28T00:00:00"/>
    <x v="0"/>
    <s v="Q2"/>
    <x v="4"/>
    <x v="1"/>
    <x v="1"/>
    <x v="0"/>
    <x v="4"/>
    <s v="Bluetooth Speaker"/>
    <n v="1"/>
    <n v="177.65"/>
    <n v="0.15"/>
    <x v="1"/>
    <n v="151"/>
    <n v="138.07"/>
    <n v="12.93"/>
    <n v="1"/>
    <n v="0"/>
    <n v="6"/>
    <n v="3"/>
  </r>
  <r>
    <s v="SW-100904"/>
    <d v="2024-05-28T00:00:00"/>
    <x v="0"/>
    <s v="Q2"/>
    <x v="4"/>
    <x v="0"/>
    <x v="3"/>
    <x v="0"/>
    <x v="5"/>
    <s v="Kids Puzzle"/>
    <n v="2"/>
    <n v="16.97"/>
    <n v="0.15"/>
    <x v="1"/>
    <n v="28.85"/>
    <n v="23.91"/>
    <n v="4.9400000000000004"/>
    <n v="1"/>
    <n v="0"/>
    <n v="4"/>
    <n v="4"/>
  </r>
  <r>
    <s v="SW-100905"/>
    <d v="2024-05-29T00:00:00"/>
    <x v="0"/>
    <s v="Q2"/>
    <x v="4"/>
    <x v="1"/>
    <x v="1"/>
    <x v="0"/>
    <x v="4"/>
    <s v="Bluetooth Speaker"/>
    <n v="2"/>
    <n v="177.65"/>
    <n v="0"/>
    <x v="2"/>
    <n v="355.3"/>
    <n v="276.95"/>
    <n v="78.349999999999994"/>
    <n v="1"/>
    <n v="0"/>
    <n v="5"/>
    <n v="5"/>
  </r>
  <r>
    <s v="SW-100906"/>
    <d v="2024-05-29T00:00:00"/>
    <x v="0"/>
    <s v="Q2"/>
    <x v="4"/>
    <x v="0"/>
    <x v="3"/>
    <x v="0"/>
    <x v="1"/>
    <s v="Face Serum"/>
    <n v="1"/>
    <n v="33.479999999999997"/>
    <n v="0.1"/>
    <x v="0"/>
    <n v="30.13"/>
    <n v="15.38"/>
    <n v="14.75"/>
    <n v="1"/>
    <n v="0"/>
    <n v="2"/>
    <n v="4"/>
  </r>
  <r>
    <s v="SW-100907"/>
    <d v="2024-05-29T00:00:00"/>
    <x v="0"/>
    <s v="Q2"/>
    <x v="4"/>
    <x v="0"/>
    <x v="3"/>
    <x v="0"/>
    <x v="0"/>
    <s v="Sunglasses"/>
    <n v="1"/>
    <n v="104.94"/>
    <n v="0.05"/>
    <x v="0"/>
    <n v="99.69"/>
    <n v="57.32"/>
    <n v="42.37"/>
    <n v="1"/>
    <n v="0"/>
    <n v="2"/>
    <n v="4"/>
  </r>
  <r>
    <s v="SW-100908"/>
    <d v="2024-05-29T00:00:00"/>
    <x v="0"/>
    <s v="Q2"/>
    <x v="4"/>
    <x v="2"/>
    <x v="3"/>
    <x v="1"/>
    <x v="3"/>
    <s v="Fitness Tracker"/>
    <n v="1"/>
    <n v="74.459999999999994"/>
    <n v="0"/>
    <x v="2"/>
    <n v="74.459999999999994"/>
    <n v="51.7"/>
    <n v="22.76"/>
    <n v="1"/>
    <n v="0"/>
    <n v="3"/>
    <n v="4"/>
  </r>
  <r>
    <s v="SW-100909"/>
    <d v="2024-05-29T00:00:00"/>
    <x v="0"/>
    <s v="Q2"/>
    <x v="4"/>
    <x v="1"/>
    <x v="3"/>
    <x v="0"/>
    <x v="3"/>
    <s v="Cycling Helmet"/>
    <n v="1"/>
    <n v="85.42"/>
    <n v="0"/>
    <x v="2"/>
    <n v="85.42"/>
    <n v="56.71"/>
    <n v="28.71"/>
    <n v="1"/>
    <n v="0"/>
    <n v="2"/>
    <n v="4"/>
  </r>
  <r>
    <s v="SW-100910"/>
    <d v="2024-05-29T00:00:00"/>
    <x v="0"/>
    <s v="Q2"/>
    <x v="4"/>
    <x v="0"/>
    <x v="2"/>
    <x v="0"/>
    <x v="0"/>
    <s v="Summer Dress"/>
    <n v="1"/>
    <n v="33.99"/>
    <n v="0"/>
    <x v="2"/>
    <n v="33.99"/>
    <n v="17.829999999999998"/>
    <n v="16.16"/>
    <n v="1"/>
    <n v="0"/>
    <n v="3"/>
    <n v="5"/>
  </r>
  <r>
    <s v="SW-100911"/>
    <d v="2024-05-29T00:00:00"/>
    <x v="0"/>
    <s v="Q2"/>
    <x v="4"/>
    <x v="0"/>
    <x v="3"/>
    <x v="1"/>
    <x v="5"/>
    <s v="Bestseller Novel"/>
    <n v="3"/>
    <n v="45.28"/>
    <n v="0.05"/>
    <x v="0"/>
    <n v="129.05000000000001"/>
    <n v="99.94"/>
    <n v="29.11"/>
    <n v="1"/>
    <n v="0"/>
    <n v="2"/>
    <n v="5"/>
  </r>
  <r>
    <s v="SW-100912"/>
    <d v="2024-05-30T00:00:00"/>
    <x v="0"/>
    <s v="Q2"/>
    <x v="4"/>
    <x v="0"/>
    <x v="3"/>
    <x v="1"/>
    <x v="4"/>
    <s v="4K Action Camera"/>
    <n v="3"/>
    <n v="636.09"/>
    <n v="0.1"/>
    <x v="0"/>
    <n v="1717.44"/>
    <n v="1513.43"/>
    <n v="204.01"/>
    <n v="1"/>
    <n v="0"/>
    <n v="3"/>
    <n v="5"/>
  </r>
  <r>
    <s v="SW-100913"/>
    <d v="2024-05-31T00:00:00"/>
    <x v="0"/>
    <s v="Q2"/>
    <x v="4"/>
    <x v="2"/>
    <x v="4"/>
    <x v="0"/>
    <x v="2"/>
    <s v="Cookware Set"/>
    <n v="1"/>
    <n v="233.81"/>
    <n v="0.3"/>
    <x v="3"/>
    <n v="163.66999999999999"/>
    <n v="165.69"/>
    <n v="-2.02"/>
    <n v="1"/>
    <n v="0"/>
    <n v="5"/>
    <n v="4"/>
  </r>
  <r>
    <s v="SW-100914"/>
    <d v="2024-05-31T00:00:00"/>
    <x v="0"/>
    <s v="Q2"/>
    <x v="4"/>
    <x v="1"/>
    <x v="4"/>
    <x v="1"/>
    <x v="3"/>
    <s v="Fitness Tracker"/>
    <n v="2"/>
    <n v="74.459999999999994"/>
    <n v="0"/>
    <x v="2"/>
    <n v="148.91999999999999"/>
    <n v="98.97"/>
    <n v="49.95"/>
    <n v="1"/>
    <n v="0"/>
    <n v="9"/>
    <n v="4"/>
  </r>
  <r>
    <s v="SW-100915"/>
    <d v="2024-05-31T00:00:00"/>
    <x v="0"/>
    <s v="Q2"/>
    <x v="4"/>
    <x v="1"/>
    <x v="4"/>
    <x v="1"/>
    <x v="1"/>
    <s v="Hair Dryer"/>
    <n v="2"/>
    <n v="33.18"/>
    <n v="0"/>
    <x v="2"/>
    <n v="66.36"/>
    <n v="30.24"/>
    <n v="36.119999999999997"/>
    <n v="1"/>
    <n v="0"/>
    <n v="6"/>
    <n v="4"/>
  </r>
  <r>
    <s v="SW-100916"/>
    <d v="2024-05-31T00:00:00"/>
    <x v="0"/>
    <s v="Q2"/>
    <x v="4"/>
    <x v="0"/>
    <x v="3"/>
    <x v="1"/>
    <x v="2"/>
    <s v="Bed Sheet Set"/>
    <n v="2"/>
    <n v="90.75"/>
    <n v="0.05"/>
    <x v="0"/>
    <n v="172.42"/>
    <n v="116.66"/>
    <n v="55.76"/>
    <n v="1"/>
    <n v="0"/>
    <n v="3"/>
    <n v="4"/>
  </r>
  <r>
    <s v="SW-100917"/>
    <d v="2024-05-31T00:00:00"/>
    <x v="0"/>
    <s v="Q2"/>
    <x v="4"/>
    <x v="2"/>
    <x v="1"/>
    <x v="0"/>
    <x v="1"/>
    <s v="Face Serum"/>
    <n v="2"/>
    <n v="33.479999999999997"/>
    <n v="0"/>
    <x v="2"/>
    <n v="66.959999999999994"/>
    <n v="32.01"/>
    <n v="34.950000000000003"/>
    <n v="1"/>
    <n v="0"/>
    <n v="6"/>
    <n v="4"/>
  </r>
  <r>
    <s v="SW-100918"/>
    <d v="2024-05-31T00:00:00"/>
    <x v="0"/>
    <s v="Q2"/>
    <x v="4"/>
    <x v="2"/>
    <x v="4"/>
    <x v="1"/>
    <x v="1"/>
    <s v="Perfume 100ml"/>
    <n v="1"/>
    <n v="54.56"/>
    <n v="0.15"/>
    <x v="1"/>
    <n v="46.38"/>
    <n v="26.35"/>
    <n v="20.03"/>
    <n v="1"/>
    <n v="0"/>
    <n v="5"/>
    <n v="4"/>
  </r>
  <r>
    <s v="SW-100919"/>
    <d v="2024-06-01T00:00:00"/>
    <x v="0"/>
    <s v="Q2"/>
    <x v="5"/>
    <x v="0"/>
    <x v="3"/>
    <x v="1"/>
    <x v="3"/>
    <s v="Yoga Mat"/>
    <n v="1"/>
    <n v="137.05000000000001"/>
    <n v="0.05"/>
    <x v="0"/>
    <n v="130.19999999999999"/>
    <n v="95.54"/>
    <n v="34.659999999999997"/>
    <n v="1"/>
    <n v="0"/>
    <n v="5"/>
    <n v="4"/>
  </r>
  <r>
    <s v="SW-100920"/>
    <d v="2024-06-01T00:00:00"/>
    <x v="0"/>
    <s v="Q2"/>
    <x v="5"/>
    <x v="1"/>
    <x v="2"/>
    <x v="1"/>
    <x v="0"/>
    <s v="Sunglasses"/>
    <n v="1"/>
    <n v="104.94"/>
    <n v="0.05"/>
    <x v="0"/>
    <n v="99.69"/>
    <n v="55.15"/>
    <n v="44.54"/>
    <n v="1"/>
    <n v="0"/>
    <n v="4"/>
    <n v="3"/>
  </r>
  <r>
    <s v="SW-100921"/>
    <d v="2024-06-01T00:00:00"/>
    <x v="0"/>
    <s v="Q2"/>
    <x v="5"/>
    <x v="0"/>
    <x v="3"/>
    <x v="1"/>
    <x v="0"/>
    <s v="Cotton T-Shirt"/>
    <n v="1"/>
    <n v="19.41"/>
    <n v="0.1"/>
    <x v="0"/>
    <n v="17.47"/>
    <n v="10.17"/>
    <n v="7.3"/>
    <n v="1"/>
    <n v="0"/>
    <n v="4"/>
    <n v="5"/>
  </r>
  <r>
    <s v="SW-100922"/>
    <d v="2024-06-01T00:00:00"/>
    <x v="0"/>
    <s v="Q2"/>
    <x v="5"/>
    <x v="1"/>
    <x v="1"/>
    <x v="1"/>
    <x v="3"/>
    <s v="Dumbbell Set"/>
    <n v="2"/>
    <n v="198.42"/>
    <n v="0.1"/>
    <x v="0"/>
    <n v="357.16"/>
    <n v="269.19"/>
    <n v="87.97"/>
    <n v="1"/>
    <n v="0"/>
    <n v="6"/>
    <n v="4"/>
  </r>
  <r>
    <s v="SW-100923"/>
    <d v="2024-06-01T00:00:00"/>
    <x v="0"/>
    <s v="Q2"/>
    <x v="5"/>
    <x v="0"/>
    <x v="0"/>
    <x v="0"/>
    <x v="5"/>
    <s v="Bestseller Novel"/>
    <n v="1"/>
    <n v="45.28"/>
    <n v="0"/>
    <x v="2"/>
    <n v="45.28"/>
    <n v="34.26"/>
    <n v="11.02"/>
    <n v="1"/>
    <n v="0"/>
    <n v="5"/>
    <n v="4"/>
  </r>
  <r>
    <s v="SW-100924"/>
    <d v="2024-06-02T00:00:00"/>
    <x v="0"/>
    <s v="Q2"/>
    <x v="5"/>
    <x v="0"/>
    <x v="0"/>
    <x v="0"/>
    <x v="3"/>
    <s v="Cycling Helmet"/>
    <n v="1"/>
    <n v="85.42"/>
    <n v="0"/>
    <x v="2"/>
    <n v="85.42"/>
    <n v="57.43"/>
    <n v="27.99"/>
    <n v="1"/>
    <n v="0"/>
    <n v="4"/>
    <n v="4"/>
  </r>
  <r>
    <s v="SW-100925"/>
    <d v="2024-06-02T00:00:00"/>
    <x v="0"/>
    <s v="Q2"/>
    <x v="5"/>
    <x v="0"/>
    <x v="0"/>
    <x v="1"/>
    <x v="2"/>
    <s v="Cookware Set"/>
    <n v="2"/>
    <n v="233.81"/>
    <n v="0.3"/>
    <x v="3"/>
    <n v="327.33"/>
    <n v="308.23"/>
    <n v="19.100000000000001"/>
    <n v="1"/>
    <n v="0"/>
    <n v="4"/>
    <n v="4"/>
  </r>
  <r>
    <s v="SW-100926"/>
    <d v="2024-06-02T00:00:00"/>
    <x v="0"/>
    <s v="Q2"/>
    <x v="5"/>
    <x v="0"/>
    <x v="0"/>
    <x v="1"/>
    <x v="5"/>
    <s v="Bestseller Novel"/>
    <n v="2"/>
    <n v="45.28"/>
    <n v="0.05"/>
    <x v="0"/>
    <n v="86.03"/>
    <n v="62.53"/>
    <n v="23.5"/>
    <n v="1"/>
    <n v="0"/>
    <n v="4"/>
    <n v="5"/>
  </r>
  <r>
    <s v="SW-100927"/>
    <d v="2024-06-02T00:00:00"/>
    <x v="0"/>
    <s v="Q2"/>
    <x v="5"/>
    <x v="1"/>
    <x v="2"/>
    <x v="0"/>
    <x v="2"/>
    <s v="Coffee Maker"/>
    <n v="3"/>
    <n v="148.05000000000001"/>
    <n v="0.1"/>
    <x v="0"/>
    <n v="399.74"/>
    <n v="278.36"/>
    <n v="121.38"/>
    <n v="1"/>
    <n v="0"/>
    <n v="3"/>
    <n v="4"/>
  </r>
  <r>
    <s v="SW-100928"/>
    <d v="2024-06-02T00:00:00"/>
    <x v="0"/>
    <s v="Q2"/>
    <x v="5"/>
    <x v="0"/>
    <x v="2"/>
    <x v="1"/>
    <x v="0"/>
    <s v="Summer Dress"/>
    <n v="2"/>
    <n v="33.99"/>
    <n v="0"/>
    <x v="2"/>
    <n v="67.98"/>
    <n v="37.299999999999997"/>
    <n v="30.68"/>
    <n v="1"/>
    <n v="1"/>
    <n v="4"/>
    <n v="2"/>
  </r>
  <r>
    <s v="SW-100929"/>
    <d v="2024-06-03T00:00:00"/>
    <x v="0"/>
    <s v="Q2"/>
    <x v="5"/>
    <x v="1"/>
    <x v="0"/>
    <x v="0"/>
    <x v="2"/>
    <s v="Bed Sheet Set"/>
    <n v="1"/>
    <n v="90.75"/>
    <n v="0"/>
    <x v="2"/>
    <n v="90.75"/>
    <n v="59.49"/>
    <n v="31.26"/>
    <n v="1"/>
    <n v="0"/>
    <n v="4"/>
    <n v="5"/>
  </r>
  <r>
    <s v="SW-100930"/>
    <d v="2024-06-03T00:00:00"/>
    <x v="0"/>
    <s v="Q2"/>
    <x v="5"/>
    <x v="0"/>
    <x v="3"/>
    <x v="0"/>
    <x v="3"/>
    <s v="Cycling Helmet"/>
    <n v="1"/>
    <n v="85.42"/>
    <n v="0.1"/>
    <x v="0"/>
    <n v="76.88"/>
    <n v="59.28"/>
    <n v="17.600000000000001"/>
    <n v="1"/>
    <n v="0"/>
    <n v="4"/>
    <n v="5"/>
  </r>
  <r>
    <s v="SW-100931"/>
    <d v="2024-06-03T00:00:00"/>
    <x v="0"/>
    <s v="Q2"/>
    <x v="5"/>
    <x v="0"/>
    <x v="0"/>
    <x v="1"/>
    <x v="5"/>
    <s v="Story Book Set"/>
    <n v="3"/>
    <n v="10.76"/>
    <n v="0.05"/>
    <x v="0"/>
    <n v="30.67"/>
    <n v="24.24"/>
    <n v="6.43"/>
    <n v="1"/>
    <n v="0"/>
    <n v="5"/>
    <n v="5"/>
  </r>
  <r>
    <s v="SW-100932"/>
    <d v="2024-06-03T00:00:00"/>
    <x v="0"/>
    <s v="Q2"/>
    <x v="5"/>
    <x v="0"/>
    <x v="3"/>
    <x v="1"/>
    <x v="2"/>
    <s v="Air Fryer"/>
    <n v="2"/>
    <n v="68.349999999999994"/>
    <n v="0.2"/>
    <x v="1"/>
    <n v="109.36"/>
    <n v="95.41"/>
    <n v="13.95"/>
    <n v="1"/>
    <n v="0"/>
    <n v="4"/>
    <n v="3"/>
  </r>
  <r>
    <s v="SW-100933"/>
    <d v="2024-06-03T00:00:00"/>
    <x v="0"/>
    <s v="Q2"/>
    <x v="5"/>
    <x v="0"/>
    <x v="3"/>
    <x v="1"/>
    <x v="2"/>
    <s v="Cookware Set"/>
    <n v="1"/>
    <n v="233.81"/>
    <n v="0.1"/>
    <x v="0"/>
    <n v="210.43"/>
    <n v="153.19999999999999"/>
    <n v="57.23"/>
    <n v="1"/>
    <n v="0"/>
    <n v="3"/>
    <n v="4"/>
  </r>
  <r>
    <s v="SW-100934"/>
    <d v="2024-06-04T00:00:00"/>
    <x v="0"/>
    <s v="Q2"/>
    <x v="5"/>
    <x v="1"/>
    <x v="3"/>
    <x v="0"/>
    <x v="0"/>
    <s v="Cotton T-Shirt"/>
    <n v="2"/>
    <n v="19.41"/>
    <n v="0.05"/>
    <x v="0"/>
    <n v="36.880000000000003"/>
    <n v="21.1"/>
    <n v="15.78"/>
    <n v="1"/>
    <n v="0"/>
    <n v="3"/>
    <n v="4"/>
  </r>
  <r>
    <s v="SW-100935"/>
    <d v="2024-06-04T00:00:00"/>
    <x v="0"/>
    <s v="Q2"/>
    <x v="5"/>
    <x v="2"/>
    <x v="3"/>
    <x v="1"/>
    <x v="0"/>
    <s v="Leather Handbag"/>
    <n v="1"/>
    <n v="138.5"/>
    <n v="0"/>
    <x v="2"/>
    <n v="138.5"/>
    <n v="72.95"/>
    <n v="65.55"/>
    <n v="1"/>
    <n v="0"/>
    <n v="5"/>
    <n v="5"/>
  </r>
  <r>
    <s v="SW-100936"/>
    <d v="2024-06-04T00:00:00"/>
    <x v="0"/>
    <s v="Q2"/>
    <x v="5"/>
    <x v="0"/>
    <x v="2"/>
    <x v="0"/>
    <x v="2"/>
    <s v="Bed Sheet Set"/>
    <n v="1"/>
    <n v="90.75"/>
    <n v="0.1"/>
    <x v="0"/>
    <n v="81.680000000000007"/>
    <n v="60.75"/>
    <n v="20.93"/>
    <n v="1"/>
    <n v="1"/>
    <n v="3"/>
    <n v="5"/>
  </r>
  <r>
    <s v="SW-100937"/>
    <d v="2024-06-04T00:00:00"/>
    <x v="0"/>
    <s v="Q2"/>
    <x v="5"/>
    <x v="2"/>
    <x v="4"/>
    <x v="0"/>
    <x v="0"/>
    <s v="Leather Handbag"/>
    <n v="1"/>
    <n v="138.5"/>
    <n v="0.1"/>
    <x v="0"/>
    <n v="124.65"/>
    <n v="70.180000000000007"/>
    <n v="54.47"/>
    <n v="1"/>
    <n v="0"/>
    <n v="6"/>
    <n v="3"/>
  </r>
  <r>
    <s v="SW-100938"/>
    <d v="2024-06-05T00:00:00"/>
    <x v="0"/>
    <s v="Q2"/>
    <x v="5"/>
    <x v="0"/>
    <x v="2"/>
    <x v="0"/>
    <x v="2"/>
    <s v="Air Fryer"/>
    <n v="1"/>
    <n v="68.349999999999994"/>
    <n v="0.25"/>
    <x v="3"/>
    <n v="51.26"/>
    <n v="44.28"/>
    <n v="6.98"/>
    <n v="1"/>
    <n v="0"/>
    <n v="3"/>
    <n v="4"/>
  </r>
  <r>
    <s v="SW-100939"/>
    <d v="2024-06-05T00:00:00"/>
    <x v="0"/>
    <s v="Q2"/>
    <x v="5"/>
    <x v="0"/>
    <x v="4"/>
    <x v="0"/>
    <x v="4"/>
    <s v="Bluetooth Speaker"/>
    <n v="1"/>
    <n v="177.65"/>
    <n v="0"/>
    <x v="2"/>
    <n v="177.65"/>
    <n v="141"/>
    <n v="36.65"/>
    <n v="1"/>
    <n v="0"/>
    <n v="7"/>
    <n v="4"/>
  </r>
  <r>
    <s v="SW-100940"/>
    <d v="2024-06-05T00:00:00"/>
    <x v="0"/>
    <s v="Q2"/>
    <x v="5"/>
    <x v="0"/>
    <x v="3"/>
    <x v="1"/>
    <x v="1"/>
    <s v="Skin Care Bundle"/>
    <n v="4"/>
    <n v="92.54"/>
    <n v="0.05"/>
    <x v="0"/>
    <n v="351.65"/>
    <n v="182.93"/>
    <n v="168.72"/>
    <n v="1"/>
    <n v="0"/>
    <n v="3"/>
    <n v="4"/>
  </r>
  <r>
    <s v="SW-100941"/>
    <d v="2024-06-05T00:00:00"/>
    <x v="0"/>
    <s v="Q2"/>
    <x v="5"/>
    <x v="0"/>
    <x v="3"/>
    <x v="1"/>
    <x v="0"/>
    <s v="Cotton T-Shirt"/>
    <n v="1"/>
    <n v="19.41"/>
    <n v="0"/>
    <x v="2"/>
    <n v="19.41"/>
    <n v="10.34"/>
    <n v="9.07"/>
    <n v="1"/>
    <n v="0"/>
    <n v="5"/>
    <n v="4"/>
  </r>
  <r>
    <s v="SW-100942"/>
    <d v="2024-06-05T00:00:00"/>
    <x v="0"/>
    <s v="Q2"/>
    <x v="5"/>
    <x v="2"/>
    <x v="0"/>
    <x v="1"/>
    <x v="0"/>
    <s v="Leather Handbag"/>
    <n v="1"/>
    <n v="138.5"/>
    <n v="0.2"/>
    <x v="1"/>
    <n v="110.8"/>
    <n v="75.959999999999994"/>
    <n v="34.840000000000003"/>
    <n v="1"/>
    <n v="0"/>
    <n v="10"/>
    <n v="4"/>
  </r>
  <r>
    <s v="SW-100943"/>
    <d v="2024-06-05T00:00:00"/>
    <x v="0"/>
    <s v="Q2"/>
    <x v="5"/>
    <x v="2"/>
    <x v="4"/>
    <x v="1"/>
    <x v="2"/>
    <s v="Storage Boxes"/>
    <n v="1"/>
    <n v="154.66"/>
    <n v="0.1"/>
    <x v="0"/>
    <n v="139.19"/>
    <n v="102.93"/>
    <n v="36.26"/>
    <n v="1"/>
    <n v="1"/>
    <n v="5"/>
    <n v="3"/>
  </r>
  <r>
    <s v="SW-100944"/>
    <d v="2024-06-06T00:00:00"/>
    <x v="0"/>
    <s v="Q2"/>
    <x v="5"/>
    <x v="1"/>
    <x v="0"/>
    <x v="1"/>
    <x v="1"/>
    <s v="Hair Dryer"/>
    <n v="1"/>
    <n v="33.18"/>
    <n v="0"/>
    <x v="2"/>
    <n v="33.18"/>
    <n v="15.66"/>
    <n v="17.52"/>
    <n v="1"/>
    <n v="0"/>
    <n v="5"/>
    <n v="4"/>
  </r>
  <r>
    <s v="SW-100945"/>
    <d v="2024-06-06T00:00:00"/>
    <x v="0"/>
    <s v="Q2"/>
    <x v="5"/>
    <x v="1"/>
    <x v="3"/>
    <x v="0"/>
    <x v="4"/>
    <s v="Smart Watch"/>
    <n v="1"/>
    <n v="216.08"/>
    <n v="0"/>
    <x v="2"/>
    <n v="216.08"/>
    <n v="161.88"/>
    <n v="54.2"/>
    <n v="1"/>
    <n v="0"/>
    <n v="2"/>
    <n v="3"/>
  </r>
  <r>
    <s v="SW-100946"/>
    <d v="2024-06-06T00:00:00"/>
    <x v="0"/>
    <s v="Q2"/>
    <x v="5"/>
    <x v="0"/>
    <x v="3"/>
    <x v="1"/>
    <x v="4"/>
    <s v="Tablet 10in"/>
    <n v="1"/>
    <n v="490.3"/>
    <n v="0.05"/>
    <x v="0"/>
    <n v="465.78"/>
    <n v="382.63"/>
    <n v="83.15"/>
    <n v="1"/>
    <n v="0"/>
    <n v="3"/>
    <n v="4"/>
  </r>
  <r>
    <s v="SW-100947"/>
    <d v="2024-06-06T00:00:00"/>
    <x v="0"/>
    <s v="Q2"/>
    <x v="5"/>
    <x v="0"/>
    <x v="3"/>
    <x v="1"/>
    <x v="4"/>
    <s v="4K Action Camera"/>
    <n v="1"/>
    <n v="636.09"/>
    <n v="0.2"/>
    <x v="1"/>
    <n v="508.87"/>
    <n v="505.15"/>
    <n v="3.72"/>
    <n v="1"/>
    <n v="0"/>
    <n v="3"/>
    <n v="5"/>
  </r>
  <r>
    <s v="SW-100948"/>
    <d v="2024-06-06T00:00:00"/>
    <x v="0"/>
    <s v="Q2"/>
    <x v="5"/>
    <x v="1"/>
    <x v="3"/>
    <x v="1"/>
    <x v="3"/>
    <s v="Camping Tent"/>
    <n v="1"/>
    <n v="83.06"/>
    <n v="0.25"/>
    <x v="3"/>
    <n v="62.3"/>
    <n v="55.85"/>
    <n v="6.45"/>
    <n v="1"/>
    <n v="0"/>
    <n v="2"/>
    <n v="5"/>
  </r>
  <r>
    <s v="SW-100949"/>
    <d v="2024-06-07T00:00:00"/>
    <x v="0"/>
    <s v="Q2"/>
    <x v="5"/>
    <x v="0"/>
    <x v="1"/>
    <x v="1"/>
    <x v="1"/>
    <s v="Hair Dryer"/>
    <n v="1"/>
    <n v="33.18"/>
    <n v="0.1"/>
    <x v="0"/>
    <n v="29.86"/>
    <n v="14.45"/>
    <n v="15.41"/>
    <n v="1"/>
    <n v="0"/>
    <n v="5"/>
    <n v="4"/>
  </r>
  <r>
    <s v="SW-100950"/>
    <d v="2024-06-07T00:00:00"/>
    <x v="0"/>
    <s v="Q2"/>
    <x v="5"/>
    <x v="0"/>
    <x v="3"/>
    <x v="0"/>
    <x v="5"/>
    <s v="Board Game"/>
    <n v="1"/>
    <n v="57.92"/>
    <n v="0.05"/>
    <x v="0"/>
    <n v="55.02"/>
    <n v="40.92"/>
    <n v="14.1"/>
    <n v="1"/>
    <n v="0"/>
    <n v="4"/>
    <n v="3"/>
  </r>
  <r>
    <s v="SW-100951"/>
    <d v="2024-06-07T00:00:00"/>
    <x v="0"/>
    <s v="Q2"/>
    <x v="5"/>
    <x v="0"/>
    <x v="0"/>
    <x v="0"/>
    <x v="1"/>
    <s v="Makeup Kit"/>
    <n v="1"/>
    <n v="74.3"/>
    <n v="0.15"/>
    <x v="1"/>
    <n v="63.15"/>
    <n v="37.229999999999997"/>
    <n v="25.92"/>
    <n v="1"/>
    <n v="0"/>
    <n v="4"/>
    <n v="5"/>
  </r>
  <r>
    <s v="SW-100952"/>
    <d v="2024-06-07T00:00:00"/>
    <x v="0"/>
    <s v="Q2"/>
    <x v="5"/>
    <x v="1"/>
    <x v="0"/>
    <x v="0"/>
    <x v="3"/>
    <s v="Camping Tent"/>
    <n v="1"/>
    <n v="83.06"/>
    <n v="0.05"/>
    <x v="0"/>
    <n v="78.91"/>
    <n v="53.92"/>
    <n v="24.99"/>
    <n v="1"/>
    <n v="0"/>
    <n v="3"/>
    <n v="4"/>
  </r>
  <r>
    <s v="SW-100953"/>
    <d v="2024-06-07T00:00:00"/>
    <x v="0"/>
    <s v="Q2"/>
    <x v="5"/>
    <x v="1"/>
    <x v="3"/>
    <x v="1"/>
    <x v="0"/>
    <s v="Running Sneakers"/>
    <n v="1"/>
    <n v="94.85"/>
    <n v="0"/>
    <x v="2"/>
    <n v="94.85"/>
    <n v="53.07"/>
    <n v="41.78"/>
    <n v="1"/>
    <n v="0"/>
    <n v="4"/>
    <n v="4"/>
  </r>
  <r>
    <s v="SW-100954"/>
    <d v="2024-06-07T00:00:00"/>
    <x v="0"/>
    <s v="Q2"/>
    <x v="5"/>
    <x v="2"/>
    <x v="2"/>
    <x v="1"/>
    <x v="3"/>
    <s v="Dumbbell Set"/>
    <n v="2"/>
    <n v="198.42"/>
    <n v="0.3"/>
    <x v="3"/>
    <n v="277.79000000000002"/>
    <n v="269.61"/>
    <n v="8.18"/>
    <n v="1"/>
    <n v="0"/>
    <n v="3"/>
    <n v="5"/>
  </r>
  <r>
    <s v="SW-100955"/>
    <d v="2024-06-07T00:00:00"/>
    <x v="0"/>
    <s v="Q2"/>
    <x v="5"/>
    <x v="2"/>
    <x v="0"/>
    <x v="1"/>
    <x v="0"/>
    <s v="Running Sneakers"/>
    <n v="2"/>
    <n v="94.85"/>
    <n v="0"/>
    <x v="2"/>
    <n v="189.7"/>
    <n v="106.99"/>
    <n v="82.71"/>
    <n v="1"/>
    <n v="0"/>
    <n v="3"/>
    <n v="4"/>
  </r>
  <r>
    <s v="SW-100956"/>
    <d v="2024-06-08T00:00:00"/>
    <x v="0"/>
    <s v="Q2"/>
    <x v="5"/>
    <x v="1"/>
    <x v="3"/>
    <x v="0"/>
    <x v="4"/>
    <s v="Power Bank"/>
    <n v="4"/>
    <n v="508.8"/>
    <n v="0.05"/>
    <x v="0"/>
    <n v="1933.44"/>
    <n v="1622.77"/>
    <n v="310.67"/>
    <n v="1"/>
    <n v="0"/>
    <n v="2"/>
    <n v="4"/>
  </r>
  <r>
    <s v="SW-100957"/>
    <d v="2024-06-08T00:00:00"/>
    <x v="0"/>
    <s v="Q2"/>
    <x v="5"/>
    <x v="0"/>
    <x v="2"/>
    <x v="0"/>
    <x v="0"/>
    <s v="Leather Handbag"/>
    <n v="1"/>
    <n v="138.5"/>
    <n v="0.2"/>
    <x v="1"/>
    <n v="110.8"/>
    <n v="71.36"/>
    <n v="39.44"/>
    <n v="1"/>
    <n v="0"/>
    <n v="4"/>
    <n v="5"/>
  </r>
  <r>
    <s v="SW-100958"/>
    <d v="2024-06-08T00:00:00"/>
    <x v="0"/>
    <s v="Q2"/>
    <x v="5"/>
    <x v="2"/>
    <x v="4"/>
    <x v="1"/>
    <x v="0"/>
    <s v="Running Sneakers"/>
    <n v="1"/>
    <n v="94.85"/>
    <n v="0"/>
    <x v="2"/>
    <n v="94.85"/>
    <n v="49.96"/>
    <n v="44.89"/>
    <n v="1"/>
    <n v="0"/>
    <n v="8"/>
    <n v="4"/>
  </r>
  <r>
    <s v="SW-100959"/>
    <d v="2024-06-08T00:00:00"/>
    <x v="0"/>
    <s v="Q2"/>
    <x v="5"/>
    <x v="0"/>
    <x v="3"/>
    <x v="1"/>
    <x v="2"/>
    <s v="Coffee Maker"/>
    <n v="2"/>
    <n v="148.05000000000001"/>
    <n v="0"/>
    <x v="2"/>
    <n v="296.10000000000002"/>
    <n v="187.18"/>
    <n v="108.92"/>
    <n v="1"/>
    <n v="0"/>
    <n v="2"/>
    <n v="5"/>
  </r>
  <r>
    <s v="SW-100960"/>
    <d v="2024-06-08T00:00:00"/>
    <x v="0"/>
    <s v="Q2"/>
    <x v="5"/>
    <x v="0"/>
    <x v="4"/>
    <x v="0"/>
    <x v="0"/>
    <s v="Denim Jacket"/>
    <n v="1"/>
    <n v="78.510000000000005"/>
    <n v="0.15"/>
    <x v="1"/>
    <n v="66.73"/>
    <n v="39.880000000000003"/>
    <n v="26.85"/>
    <n v="1"/>
    <n v="0"/>
    <n v="8"/>
    <n v="3"/>
  </r>
  <r>
    <s v="SW-100961"/>
    <d v="2024-06-08T00:00:00"/>
    <x v="0"/>
    <s v="Q2"/>
    <x v="5"/>
    <x v="1"/>
    <x v="0"/>
    <x v="0"/>
    <x v="4"/>
    <s v="4K Action Camera"/>
    <n v="1"/>
    <n v="636.09"/>
    <n v="0"/>
    <x v="2"/>
    <n v="636.09"/>
    <n v="514.63"/>
    <n v="121.46"/>
    <n v="1"/>
    <n v="0"/>
    <n v="4"/>
    <n v="4"/>
  </r>
  <r>
    <s v="SW-100962"/>
    <d v="2024-06-08T00:00:00"/>
    <x v="0"/>
    <s v="Q2"/>
    <x v="5"/>
    <x v="0"/>
    <x v="2"/>
    <x v="1"/>
    <x v="2"/>
    <s v="Cookware Set"/>
    <n v="2"/>
    <n v="233.81"/>
    <n v="0.15"/>
    <x v="1"/>
    <n v="397.48"/>
    <n v="319.31"/>
    <n v="78.17"/>
    <n v="1"/>
    <n v="0"/>
    <n v="4"/>
    <n v="3"/>
  </r>
  <r>
    <s v="SW-100963"/>
    <d v="2024-06-09T00:00:00"/>
    <x v="0"/>
    <s v="Q2"/>
    <x v="5"/>
    <x v="2"/>
    <x v="4"/>
    <x v="1"/>
    <x v="5"/>
    <s v="Building Blocks"/>
    <n v="1"/>
    <n v="48.86"/>
    <n v="0.1"/>
    <x v="0"/>
    <n v="43.97"/>
    <n v="32.520000000000003"/>
    <n v="11.45"/>
    <n v="1"/>
    <n v="0"/>
    <n v="5"/>
    <n v="3"/>
  </r>
  <r>
    <s v="SW-100964"/>
    <d v="2024-06-09T00:00:00"/>
    <x v="0"/>
    <s v="Q2"/>
    <x v="5"/>
    <x v="1"/>
    <x v="2"/>
    <x v="0"/>
    <x v="1"/>
    <s v="Face Serum"/>
    <n v="3"/>
    <n v="33.479999999999997"/>
    <n v="0.05"/>
    <x v="0"/>
    <n v="95.42"/>
    <n v="48.58"/>
    <n v="46.84"/>
    <n v="1"/>
    <n v="0"/>
    <n v="4"/>
    <n v="4"/>
  </r>
  <r>
    <s v="SW-100965"/>
    <d v="2024-06-09T00:00:00"/>
    <x v="0"/>
    <s v="Q2"/>
    <x v="5"/>
    <x v="0"/>
    <x v="3"/>
    <x v="0"/>
    <x v="2"/>
    <s v="Air Fryer"/>
    <n v="1"/>
    <n v="68.349999999999994"/>
    <n v="0.1"/>
    <x v="0"/>
    <n v="61.51"/>
    <n v="46.47"/>
    <n v="15.04"/>
    <n v="1"/>
    <n v="0"/>
    <n v="5"/>
    <n v="4"/>
  </r>
  <r>
    <s v="SW-100966"/>
    <d v="2024-06-09T00:00:00"/>
    <x v="0"/>
    <s v="Q2"/>
    <x v="5"/>
    <x v="1"/>
    <x v="3"/>
    <x v="1"/>
    <x v="2"/>
    <s v="Air Fryer"/>
    <n v="2"/>
    <n v="68.349999999999994"/>
    <n v="0"/>
    <x v="2"/>
    <n v="136.69999999999999"/>
    <n v="94.32"/>
    <n v="42.38"/>
    <n v="1"/>
    <n v="0"/>
    <n v="4"/>
    <n v="4"/>
  </r>
  <r>
    <s v="SW-100967"/>
    <d v="2024-06-09T00:00:00"/>
    <x v="0"/>
    <s v="Q2"/>
    <x v="5"/>
    <x v="0"/>
    <x v="3"/>
    <x v="1"/>
    <x v="1"/>
    <s v="Skin Care Bundle"/>
    <n v="1"/>
    <n v="92.54"/>
    <n v="0.2"/>
    <x v="1"/>
    <n v="74.03"/>
    <n v="46.78"/>
    <n v="27.25"/>
    <n v="1"/>
    <n v="0"/>
    <n v="2"/>
    <n v="4"/>
  </r>
  <r>
    <s v="SW-100968"/>
    <d v="2024-06-09T00:00:00"/>
    <x v="0"/>
    <s v="Q2"/>
    <x v="5"/>
    <x v="0"/>
    <x v="0"/>
    <x v="1"/>
    <x v="0"/>
    <s v="Running Sneakers"/>
    <n v="1"/>
    <n v="94.85"/>
    <n v="0"/>
    <x v="2"/>
    <n v="94.85"/>
    <n v="50.05"/>
    <n v="44.8"/>
    <n v="1"/>
    <n v="1"/>
    <n v="4"/>
    <n v="3"/>
  </r>
  <r>
    <s v="SW-100969"/>
    <d v="2024-06-10T00:00:00"/>
    <x v="0"/>
    <s v="Q2"/>
    <x v="5"/>
    <x v="2"/>
    <x v="1"/>
    <x v="1"/>
    <x v="1"/>
    <s v="Makeup Kit"/>
    <n v="4"/>
    <n v="74.3"/>
    <n v="0"/>
    <x v="2"/>
    <n v="297.2"/>
    <n v="145.75"/>
    <n v="151.44999999999999"/>
    <n v="1"/>
    <n v="0"/>
    <n v="7"/>
    <n v="3"/>
  </r>
  <r>
    <s v="SW-100970"/>
    <d v="2024-06-10T00:00:00"/>
    <x v="0"/>
    <s v="Q2"/>
    <x v="5"/>
    <x v="0"/>
    <x v="4"/>
    <x v="1"/>
    <x v="4"/>
    <s v="Smart Watch"/>
    <n v="3"/>
    <n v="216.08"/>
    <n v="0.1"/>
    <x v="0"/>
    <n v="583.41999999999996"/>
    <n v="516.24"/>
    <n v="67.180000000000007"/>
    <n v="1"/>
    <n v="0"/>
    <n v="7"/>
    <n v="3"/>
  </r>
  <r>
    <s v="SW-100971"/>
    <d v="2024-06-10T00:00:00"/>
    <x v="0"/>
    <s v="Q2"/>
    <x v="5"/>
    <x v="0"/>
    <x v="3"/>
    <x v="1"/>
    <x v="1"/>
    <s v="Makeup Kit"/>
    <n v="1"/>
    <n v="74.3"/>
    <n v="0.1"/>
    <x v="0"/>
    <n v="66.87"/>
    <n v="35.119999999999997"/>
    <n v="31.75"/>
    <n v="1"/>
    <n v="0"/>
    <n v="3"/>
    <n v="5"/>
  </r>
  <r>
    <s v="SW-100972"/>
    <d v="2024-06-10T00:00:00"/>
    <x v="0"/>
    <s v="Q2"/>
    <x v="5"/>
    <x v="0"/>
    <x v="0"/>
    <x v="1"/>
    <x v="4"/>
    <s v="Tablet 10in"/>
    <n v="2"/>
    <n v="490.3"/>
    <n v="0.1"/>
    <x v="0"/>
    <n v="882.54"/>
    <n v="776.45"/>
    <n v="106.09"/>
    <n v="1"/>
    <n v="1"/>
    <n v="4"/>
    <n v="3"/>
  </r>
  <r>
    <s v="SW-100973"/>
    <d v="2024-06-11T00:00:00"/>
    <x v="0"/>
    <s v="Q2"/>
    <x v="5"/>
    <x v="1"/>
    <x v="3"/>
    <x v="1"/>
    <x v="2"/>
    <s v="Coffee Maker"/>
    <n v="1"/>
    <n v="148.05000000000001"/>
    <n v="0"/>
    <x v="2"/>
    <n v="148.05000000000001"/>
    <n v="96.52"/>
    <n v="51.53"/>
    <n v="1"/>
    <n v="0"/>
    <n v="3"/>
    <n v="4"/>
  </r>
  <r>
    <s v="SW-100974"/>
    <d v="2024-06-11T00:00:00"/>
    <x v="0"/>
    <s v="Q2"/>
    <x v="5"/>
    <x v="1"/>
    <x v="4"/>
    <x v="0"/>
    <x v="2"/>
    <s v="Coffee Maker"/>
    <n v="2"/>
    <n v="148.05000000000001"/>
    <n v="0"/>
    <x v="2"/>
    <n v="296.10000000000002"/>
    <n v="200.92"/>
    <n v="95.18"/>
    <n v="1"/>
    <n v="0"/>
    <n v="5"/>
    <n v="5"/>
  </r>
  <r>
    <s v="SW-100975"/>
    <d v="2024-06-11T00:00:00"/>
    <x v="0"/>
    <s v="Q2"/>
    <x v="5"/>
    <x v="0"/>
    <x v="4"/>
    <x v="0"/>
    <x v="2"/>
    <s v="Storage Boxes"/>
    <n v="2"/>
    <n v="154.66"/>
    <n v="0.15"/>
    <x v="1"/>
    <n v="262.92"/>
    <n v="202.8"/>
    <n v="60.12"/>
    <n v="1"/>
    <n v="0"/>
    <n v="6"/>
    <n v="3"/>
  </r>
  <r>
    <s v="SW-100976"/>
    <d v="2024-06-11T00:00:00"/>
    <x v="0"/>
    <s v="Q2"/>
    <x v="5"/>
    <x v="2"/>
    <x v="3"/>
    <x v="1"/>
    <x v="2"/>
    <s v="Coffee Maker"/>
    <n v="1"/>
    <n v="148.05000000000001"/>
    <n v="0.15"/>
    <x v="1"/>
    <n v="125.84"/>
    <n v="100.09"/>
    <n v="25.75"/>
    <n v="1"/>
    <n v="0"/>
    <n v="2"/>
    <n v="4"/>
  </r>
  <r>
    <s v="SW-100977"/>
    <d v="2024-06-11T00:00:00"/>
    <x v="0"/>
    <s v="Q2"/>
    <x v="5"/>
    <x v="0"/>
    <x v="0"/>
    <x v="1"/>
    <x v="0"/>
    <s v="Sunglasses"/>
    <n v="3"/>
    <n v="104.94"/>
    <n v="0.15"/>
    <x v="1"/>
    <n v="267.60000000000002"/>
    <n v="164.2"/>
    <n v="103.4"/>
    <n v="1"/>
    <n v="0"/>
    <n v="6"/>
    <n v="4"/>
  </r>
  <r>
    <s v="SW-100978"/>
    <d v="2024-06-11T00:00:00"/>
    <x v="0"/>
    <s v="Q2"/>
    <x v="5"/>
    <x v="1"/>
    <x v="2"/>
    <x v="0"/>
    <x v="4"/>
    <s v="Tablet 10in"/>
    <n v="2"/>
    <n v="490.3"/>
    <n v="0.3"/>
    <x v="3"/>
    <n v="686.42"/>
    <n v="780.69"/>
    <n v="-94.27"/>
    <n v="1"/>
    <n v="0"/>
    <n v="4"/>
    <n v="4"/>
  </r>
  <r>
    <s v="SW-100979"/>
    <d v="2024-06-12T00:00:00"/>
    <x v="0"/>
    <s v="Q2"/>
    <x v="5"/>
    <x v="2"/>
    <x v="3"/>
    <x v="1"/>
    <x v="4"/>
    <s v="Wireless Earbuds"/>
    <n v="2"/>
    <n v="588.41"/>
    <n v="0.1"/>
    <x v="0"/>
    <n v="1059.1400000000001"/>
    <n v="954.63"/>
    <n v="104.51"/>
    <n v="1"/>
    <n v="0"/>
    <n v="2"/>
    <n v="4"/>
  </r>
  <r>
    <s v="SW-100980"/>
    <d v="2024-06-12T00:00:00"/>
    <x v="0"/>
    <s v="Q2"/>
    <x v="5"/>
    <x v="0"/>
    <x v="4"/>
    <x v="1"/>
    <x v="4"/>
    <s v="Power Bank"/>
    <n v="3"/>
    <n v="508.8"/>
    <n v="0.25"/>
    <x v="3"/>
    <n v="1144.8"/>
    <n v="1274.92"/>
    <n v="-130.12"/>
    <n v="1"/>
    <n v="0"/>
    <n v="6"/>
    <n v="3"/>
  </r>
  <r>
    <s v="SW-100981"/>
    <d v="2024-06-12T00:00:00"/>
    <x v="0"/>
    <s v="Q2"/>
    <x v="5"/>
    <x v="1"/>
    <x v="4"/>
    <x v="1"/>
    <x v="3"/>
    <s v="Dumbbell Set"/>
    <n v="2"/>
    <n v="198.42"/>
    <n v="0"/>
    <x v="2"/>
    <n v="396.84"/>
    <n v="273.97000000000003"/>
    <n v="122.87"/>
    <n v="1"/>
    <n v="0"/>
    <n v="7"/>
    <n v="4"/>
  </r>
  <r>
    <s v="SW-100982"/>
    <d v="2024-06-12T00:00:00"/>
    <x v="0"/>
    <s v="Q2"/>
    <x v="5"/>
    <x v="2"/>
    <x v="3"/>
    <x v="0"/>
    <x v="0"/>
    <s v="Cotton T-Shirt"/>
    <n v="1"/>
    <n v="19.41"/>
    <n v="0"/>
    <x v="2"/>
    <n v="19.41"/>
    <n v="10.49"/>
    <n v="8.92"/>
    <n v="1"/>
    <n v="0"/>
    <n v="4"/>
    <n v="5"/>
  </r>
  <r>
    <s v="SW-100983"/>
    <d v="2024-06-12T00:00:00"/>
    <x v="0"/>
    <s v="Q2"/>
    <x v="5"/>
    <x v="2"/>
    <x v="1"/>
    <x v="1"/>
    <x v="5"/>
    <s v="Kids Puzzle"/>
    <n v="1"/>
    <n v="16.97"/>
    <n v="0.2"/>
    <x v="1"/>
    <n v="13.58"/>
    <n v="11.92"/>
    <n v="1.66"/>
    <n v="1"/>
    <n v="0"/>
    <n v="7"/>
    <n v="2"/>
  </r>
  <r>
    <s v="SW-100984"/>
    <d v="2024-06-12T00:00:00"/>
    <x v="0"/>
    <s v="Q2"/>
    <x v="5"/>
    <x v="0"/>
    <x v="4"/>
    <x v="1"/>
    <x v="4"/>
    <s v="4K Action Camera"/>
    <n v="1"/>
    <n v="636.09"/>
    <n v="0"/>
    <x v="2"/>
    <n v="636.09"/>
    <n v="529.35"/>
    <n v="106.74"/>
    <n v="1"/>
    <n v="0"/>
    <n v="6"/>
    <n v="4"/>
  </r>
  <r>
    <s v="SW-100985"/>
    <d v="2024-06-12T00:00:00"/>
    <x v="0"/>
    <s v="Q2"/>
    <x v="5"/>
    <x v="1"/>
    <x v="3"/>
    <x v="1"/>
    <x v="4"/>
    <s v="4K Action Camera"/>
    <n v="1"/>
    <n v="636.09"/>
    <n v="0.25"/>
    <x v="3"/>
    <n v="477.07"/>
    <n v="525.33000000000004"/>
    <n v="-48.26"/>
    <n v="1"/>
    <n v="0"/>
    <n v="3"/>
    <n v="4"/>
  </r>
  <r>
    <s v="SW-100986"/>
    <d v="2024-06-12T00:00:00"/>
    <x v="0"/>
    <s v="Q2"/>
    <x v="5"/>
    <x v="0"/>
    <x v="2"/>
    <x v="0"/>
    <x v="2"/>
    <s v="Bed Sheet Set"/>
    <n v="1"/>
    <n v="90.75"/>
    <n v="0"/>
    <x v="2"/>
    <n v="90.75"/>
    <n v="59.62"/>
    <n v="31.13"/>
    <n v="1"/>
    <n v="0"/>
    <n v="5"/>
    <n v="5"/>
  </r>
  <r>
    <s v="SW-100987"/>
    <d v="2024-06-13T00:00:00"/>
    <x v="0"/>
    <s v="Q2"/>
    <x v="5"/>
    <x v="1"/>
    <x v="0"/>
    <x v="0"/>
    <x v="3"/>
    <s v="Fitness Tracker"/>
    <n v="1"/>
    <n v="74.459999999999994"/>
    <n v="0"/>
    <x v="2"/>
    <n v="74.459999999999994"/>
    <n v="49.47"/>
    <n v="24.99"/>
    <n v="1"/>
    <n v="0"/>
    <n v="3"/>
    <n v="4"/>
  </r>
  <r>
    <s v="SW-100988"/>
    <d v="2024-06-13T00:00:00"/>
    <x v="0"/>
    <s v="Q2"/>
    <x v="5"/>
    <x v="2"/>
    <x v="2"/>
    <x v="1"/>
    <x v="4"/>
    <s v="Smart Watch"/>
    <n v="1"/>
    <n v="216.08"/>
    <n v="0"/>
    <x v="2"/>
    <n v="216.08"/>
    <n v="171.41"/>
    <n v="44.67"/>
    <n v="1"/>
    <n v="0"/>
    <n v="3"/>
    <n v="3"/>
  </r>
  <r>
    <s v="SW-100989"/>
    <d v="2024-06-13T00:00:00"/>
    <x v="0"/>
    <s v="Q2"/>
    <x v="5"/>
    <x v="2"/>
    <x v="3"/>
    <x v="0"/>
    <x v="1"/>
    <s v="Skin Care Bundle"/>
    <n v="1"/>
    <n v="92.54"/>
    <n v="0.25"/>
    <x v="3"/>
    <n v="69.400000000000006"/>
    <n v="45.6"/>
    <n v="23.8"/>
    <n v="1"/>
    <n v="0"/>
    <n v="2"/>
    <n v="4"/>
  </r>
  <r>
    <s v="SW-100990"/>
    <d v="2024-06-13T00:00:00"/>
    <x v="0"/>
    <s v="Q2"/>
    <x v="5"/>
    <x v="1"/>
    <x v="4"/>
    <x v="0"/>
    <x v="2"/>
    <s v="Air Fryer"/>
    <n v="3"/>
    <n v="68.349999999999994"/>
    <n v="0.3"/>
    <x v="3"/>
    <n v="143.53"/>
    <n v="136.54"/>
    <n v="6.99"/>
    <n v="1"/>
    <n v="1"/>
    <n v="5"/>
    <n v="4"/>
  </r>
  <r>
    <s v="SW-100991"/>
    <d v="2024-06-13T00:00:00"/>
    <x v="0"/>
    <s v="Q2"/>
    <x v="5"/>
    <x v="0"/>
    <x v="0"/>
    <x v="1"/>
    <x v="5"/>
    <s v="Story Book Set"/>
    <n v="1"/>
    <n v="10.76"/>
    <n v="0"/>
    <x v="2"/>
    <n v="10.76"/>
    <n v="7.86"/>
    <n v="2.9"/>
    <n v="1"/>
    <n v="0"/>
    <n v="3"/>
    <n v="5"/>
  </r>
  <r>
    <s v="SW-100992"/>
    <d v="2024-06-14T00:00:00"/>
    <x v="0"/>
    <s v="Q2"/>
    <x v="5"/>
    <x v="0"/>
    <x v="4"/>
    <x v="1"/>
    <x v="4"/>
    <s v="4K Action Camera"/>
    <n v="4"/>
    <n v="636.09"/>
    <n v="0.1"/>
    <x v="0"/>
    <n v="2289.92"/>
    <n v="2032.92"/>
    <n v="257"/>
    <n v="1"/>
    <n v="0"/>
    <n v="6"/>
    <n v="3"/>
  </r>
  <r>
    <s v="SW-100993"/>
    <d v="2024-06-14T00:00:00"/>
    <x v="0"/>
    <s v="Q2"/>
    <x v="5"/>
    <x v="1"/>
    <x v="3"/>
    <x v="0"/>
    <x v="1"/>
    <s v="Perfume 100ml"/>
    <n v="3"/>
    <n v="54.56"/>
    <n v="0"/>
    <x v="2"/>
    <n v="163.68"/>
    <n v="76.83"/>
    <n v="86.85"/>
    <n v="1"/>
    <n v="0"/>
    <n v="4"/>
    <n v="5"/>
  </r>
  <r>
    <s v="SW-100994"/>
    <d v="2024-06-14T00:00:00"/>
    <x v="0"/>
    <s v="Q2"/>
    <x v="5"/>
    <x v="2"/>
    <x v="3"/>
    <x v="1"/>
    <x v="5"/>
    <s v="Building Blocks"/>
    <n v="2"/>
    <n v="48.86"/>
    <n v="0.05"/>
    <x v="0"/>
    <n v="92.83"/>
    <n v="70.260000000000005"/>
    <n v="22.57"/>
    <n v="1"/>
    <n v="0"/>
    <n v="4"/>
    <n v="4"/>
  </r>
  <r>
    <s v="SW-100995"/>
    <d v="2024-06-14T00:00:00"/>
    <x v="0"/>
    <s v="Q2"/>
    <x v="5"/>
    <x v="1"/>
    <x v="0"/>
    <x v="0"/>
    <x v="5"/>
    <s v="Building Blocks"/>
    <n v="2"/>
    <n v="48.86"/>
    <n v="0.1"/>
    <x v="0"/>
    <n v="87.95"/>
    <n v="72.040000000000006"/>
    <n v="15.91"/>
    <n v="1"/>
    <n v="0"/>
    <n v="4"/>
    <n v="5"/>
  </r>
  <r>
    <s v="SW-100996"/>
    <d v="2024-06-14T00:00:00"/>
    <x v="0"/>
    <s v="Q2"/>
    <x v="5"/>
    <x v="0"/>
    <x v="4"/>
    <x v="0"/>
    <x v="4"/>
    <s v="Smart Watch"/>
    <n v="1"/>
    <n v="216.08"/>
    <n v="0"/>
    <x v="2"/>
    <n v="216.08"/>
    <n v="176.45"/>
    <n v="39.630000000000003"/>
    <n v="1"/>
    <n v="0"/>
    <n v="6"/>
    <n v="4"/>
  </r>
  <r>
    <s v="SW-100997"/>
    <d v="2024-06-14T00:00:00"/>
    <x v="0"/>
    <s v="Q2"/>
    <x v="5"/>
    <x v="0"/>
    <x v="1"/>
    <x v="1"/>
    <x v="1"/>
    <s v="Face Serum"/>
    <n v="1"/>
    <n v="33.479999999999997"/>
    <n v="0.15"/>
    <x v="1"/>
    <n v="28.46"/>
    <n v="15.96"/>
    <n v="12.5"/>
    <n v="1"/>
    <n v="0"/>
    <n v="8"/>
    <n v="3"/>
  </r>
  <r>
    <s v="SW-100998"/>
    <d v="2024-06-14T00:00:00"/>
    <x v="0"/>
    <s v="Q2"/>
    <x v="5"/>
    <x v="0"/>
    <x v="0"/>
    <x v="0"/>
    <x v="1"/>
    <s v="Skin Care Bundle"/>
    <n v="3"/>
    <n v="92.54"/>
    <n v="0.05"/>
    <x v="0"/>
    <n v="263.74"/>
    <n v="129.02000000000001"/>
    <n v="134.72"/>
    <n v="1"/>
    <n v="0"/>
    <n v="4"/>
    <n v="4"/>
  </r>
  <r>
    <s v="SW-100999"/>
    <d v="2024-06-15T00:00:00"/>
    <x v="0"/>
    <s v="Q2"/>
    <x v="5"/>
    <x v="0"/>
    <x v="3"/>
    <x v="0"/>
    <x v="2"/>
    <s v="Desk Lamp"/>
    <n v="2"/>
    <n v="117.63"/>
    <n v="0.05"/>
    <x v="0"/>
    <n v="223.5"/>
    <n v="149.41999999999999"/>
    <n v="74.08"/>
    <n v="1"/>
    <n v="0"/>
    <n v="3"/>
    <n v="4"/>
  </r>
  <r>
    <s v="SW-101000"/>
    <d v="2024-06-15T00:00:00"/>
    <x v="0"/>
    <s v="Q2"/>
    <x v="5"/>
    <x v="0"/>
    <x v="0"/>
    <x v="1"/>
    <x v="1"/>
    <s v="Perfume 100ml"/>
    <n v="2"/>
    <n v="54.56"/>
    <n v="0"/>
    <x v="2"/>
    <n v="109.12"/>
    <n v="54.76"/>
    <n v="54.36"/>
    <n v="1"/>
    <n v="0"/>
    <n v="3"/>
    <n v="3"/>
  </r>
  <r>
    <s v="SW-101001"/>
    <d v="2024-06-15T00:00:00"/>
    <x v="0"/>
    <s v="Q2"/>
    <x v="5"/>
    <x v="0"/>
    <x v="4"/>
    <x v="0"/>
    <x v="3"/>
    <s v="Camping Tent"/>
    <n v="1"/>
    <n v="83.06"/>
    <n v="0"/>
    <x v="2"/>
    <n v="83.06"/>
    <n v="54.09"/>
    <n v="28.97"/>
    <n v="1"/>
    <n v="0"/>
    <n v="5"/>
    <n v="5"/>
  </r>
  <r>
    <s v="SW-101002"/>
    <d v="2024-06-15T00:00:00"/>
    <x v="0"/>
    <s v="Q2"/>
    <x v="5"/>
    <x v="1"/>
    <x v="0"/>
    <x v="1"/>
    <x v="4"/>
    <s v="Power Bank"/>
    <n v="4"/>
    <n v="508.8"/>
    <n v="0"/>
    <x v="2"/>
    <n v="2035.2"/>
    <n v="1667.49"/>
    <n v="367.71"/>
    <n v="1"/>
    <n v="0"/>
    <n v="5"/>
    <n v="3"/>
  </r>
  <r>
    <s v="SW-101003"/>
    <d v="2024-06-15T00:00:00"/>
    <x v="0"/>
    <s v="Q2"/>
    <x v="5"/>
    <x v="0"/>
    <x v="0"/>
    <x v="0"/>
    <x v="5"/>
    <s v="Bestseller Novel"/>
    <n v="1"/>
    <n v="45.28"/>
    <n v="0.1"/>
    <x v="0"/>
    <n v="40.75"/>
    <n v="32.520000000000003"/>
    <n v="8.23"/>
    <n v="1"/>
    <n v="0"/>
    <n v="4"/>
    <n v="5"/>
  </r>
  <r>
    <s v="SW-101004"/>
    <d v="2024-06-15T00:00:00"/>
    <x v="0"/>
    <s v="Q2"/>
    <x v="5"/>
    <x v="1"/>
    <x v="0"/>
    <x v="1"/>
    <x v="5"/>
    <s v="Kids Puzzle"/>
    <n v="1"/>
    <n v="16.97"/>
    <n v="0"/>
    <x v="2"/>
    <n v="16.97"/>
    <n v="12.77"/>
    <n v="4.2"/>
    <n v="1"/>
    <n v="0"/>
    <n v="4"/>
    <n v="4"/>
  </r>
  <r>
    <s v="SW-101005"/>
    <d v="2024-06-15T00:00:00"/>
    <x v="0"/>
    <s v="Q2"/>
    <x v="5"/>
    <x v="0"/>
    <x v="2"/>
    <x v="1"/>
    <x v="4"/>
    <s v="4K Action Camera"/>
    <n v="2"/>
    <n v="636.09"/>
    <n v="0.1"/>
    <x v="0"/>
    <n v="1144.96"/>
    <n v="1080.17"/>
    <n v="64.790000000000006"/>
    <n v="1"/>
    <n v="0"/>
    <n v="5"/>
    <n v="5"/>
  </r>
  <r>
    <s v="SW-101006"/>
    <d v="2024-06-15T00:00:00"/>
    <x v="0"/>
    <s v="Q2"/>
    <x v="5"/>
    <x v="1"/>
    <x v="3"/>
    <x v="0"/>
    <x v="2"/>
    <s v="Air Fryer"/>
    <n v="1"/>
    <n v="68.349999999999994"/>
    <n v="0.2"/>
    <x v="1"/>
    <n v="54.68"/>
    <n v="45.54"/>
    <n v="9.14"/>
    <n v="1"/>
    <n v="1"/>
    <n v="3"/>
    <n v="3"/>
  </r>
  <r>
    <s v="SW-101007"/>
    <d v="2024-06-15T00:00:00"/>
    <x v="0"/>
    <s v="Q2"/>
    <x v="5"/>
    <x v="0"/>
    <x v="3"/>
    <x v="1"/>
    <x v="0"/>
    <s v="Leather Handbag"/>
    <n v="1"/>
    <n v="138.5"/>
    <n v="0.25"/>
    <x v="3"/>
    <n v="103.88"/>
    <n v="72.930000000000007"/>
    <n v="30.95"/>
    <n v="1"/>
    <n v="1"/>
    <n v="2"/>
    <n v="3"/>
  </r>
  <r>
    <s v="SW-101008"/>
    <d v="2024-06-15T00:00:00"/>
    <x v="0"/>
    <s v="Q2"/>
    <x v="5"/>
    <x v="0"/>
    <x v="3"/>
    <x v="1"/>
    <x v="5"/>
    <s v="Story Book Set"/>
    <n v="1"/>
    <n v="10.76"/>
    <n v="0"/>
    <x v="2"/>
    <n v="10.76"/>
    <n v="7.89"/>
    <n v="2.87"/>
    <n v="1"/>
    <n v="0"/>
    <n v="3"/>
    <n v="4"/>
  </r>
  <r>
    <s v="SW-101009"/>
    <d v="2024-06-15T00:00:00"/>
    <x v="0"/>
    <s v="Q2"/>
    <x v="5"/>
    <x v="0"/>
    <x v="2"/>
    <x v="1"/>
    <x v="2"/>
    <s v="Bed Sheet Set"/>
    <n v="1"/>
    <n v="90.75"/>
    <n v="0.05"/>
    <x v="0"/>
    <n v="86.21"/>
    <n v="59.35"/>
    <n v="26.86"/>
    <n v="1"/>
    <n v="0"/>
    <n v="3"/>
    <n v="5"/>
  </r>
  <r>
    <s v="SW-101010"/>
    <d v="2024-06-15T00:00:00"/>
    <x v="0"/>
    <s v="Q2"/>
    <x v="5"/>
    <x v="0"/>
    <x v="3"/>
    <x v="0"/>
    <x v="0"/>
    <s v="Summer Dress"/>
    <n v="1"/>
    <n v="33.99"/>
    <n v="0"/>
    <x v="2"/>
    <n v="33.99"/>
    <n v="18.37"/>
    <n v="15.62"/>
    <n v="1"/>
    <n v="1"/>
    <n v="3"/>
    <n v="4"/>
  </r>
  <r>
    <s v="SW-101011"/>
    <d v="2024-06-16T00:00:00"/>
    <x v="0"/>
    <s v="Q2"/>
    <x v="5"/>
    <x v="0"/>
    <x v="2"/>
    <x v="1"/>
    <x v="4"/>
    <s v="Wireless Earbuds"/>
    <n v="1"/>
    <n v="588.41"/>
    <n v="0.1"/>
    <x v="0"/>
    <n v="529.57000000000005"/>
    <n v="474.01"/>
    <n v="55.56"/>
    <n v="1"/>
    <n v="0"/>
    <n v="3"/>
    <n v="4"/>
  </r>
  <r>
    <s v="SW-101012"/>
    <d v="2024-06-16T00:00:00"/>
    <x v="0"/>
    <s v="Q2"/>
    <x v="5"/>
    <x v="0"/>
    <x v="3"/>
    <x v="0"/>
    <x v="1"/>
    <s v="Face Serum"/>
    <n v="1"/>
    <n v="33.479999999999997"/>
    <n v="0.3"/>
    <x v="3"/>
    <n v="23.44"/>
    <n v="15.77"/>
    <n v="7.67"/>
    <n v="1"/>
    <n v="1"/>
    <n v="3"/>
    <n v="3"/>
  </r>
  <r>
    <s v="SW-101013"/>
    <d v="2024-06-16T00:00:00"/>
    <x v="0"/>
    <s v="Q2"/>
    <x v="5"/>
    <x v="2"/>
    <x v="0"/>
    <x v="1"/>
    <x v="0"/>
    <s v="Summer Dress"/>
    <n v="2"/>
    <n v="33.99"/>
    <n v="0.1"/>
    <x v="0"/>
    <n v="61.18"/>
    <n v="37.58"/>
    <n v="23.6"/>
    <n v="1"/>
    <n v="0"/>
    <n v="4"/>
    <n v="4"/>
  </r>
  <r>
    <s v="SW-101014"/>
    <d v="2024-06-16T00:00:00"/>
    <x v="0"/>
    <s v="Q2"/>
    <x v="5"/>
    <x v="0"/>
    <x v="3"/>
    <x v="0"/>
    <x v="1"/>
    <s v="Hair Dryer"/>
    <n v="1"/>
    <n v="33.18"/>
    <n v="0.05"/>
    <x v="0"/>
    <n v="31.52"/>
    <n v="16.670000000000002"/>
    <n v="14.85"/>
    <n v="1"/>
    <n v="0"/>
    <n v="2"/>
    <n v="4"/>
  </r>
  <r>
    <s v="SW-101015"/>
    <d v="2024-06-16T00:00:00"/>
    <x v="0"/>
    <s v="Q2"/>
    <x v="5"/>
    <x v="0"/>
    <x v="2"/>
    <x v="0"/>
    <x v="0"/>
    <s v="Running Sneakers"/>
    <n v="2"/>
    <n v="94.85"/>
    <n v="0"/>
    <x v="2"/>
    <n v="189.7"/>
    <n v="99.84"/>
    <n v="89.86"/>
    <n v="1"/>
    <n v="1"/>
    <n v="5"/>
    <n v="3"/>
  </r>
  <r>
    <s v="SW-101016"/>
    <d v="2024-06-16T00:00:00"/>
    <x v="0"/>
    <s v="Q2"/>
    <x v="5"/>
    <x v="0"/>
    <x v="3"/>
    <x v="0"/>
    <x v="2"/>
    <s v="Cookware Set"/>
    <n v="1"/>
    <n v="233.81"/>
    <n v="0.1"/>
    <x v="0"/>
    <n v="210.43"/>
    <n v="150.47999999999999"/>
    <n v="59.95"/>
    <n v="1"/>
    <n v="0"/>
    <n v="2"/>
    <n v="4"/>
  </r>
  <r>
    <s v="SW-101017"/>
    <d v="2024-06-16T00:00:00"/>
    <x v="0"/>
    <s v="Q2"/>
    <x v="5"/>
    <x v="0"/>
    <x v="3"/>
    <x v="0"/>
    <x v="2"/>
    <s v="Desk Lamp"/>
    <n v="1"/>
    <n v="117.63"/>
    <n v="0"/>
    <x v="2"/>
    <n v="117.63"/>
    <n v="72.58"/>
    <n v="45.05"/>
    <n v="1"/>
    <n v="0"/>
    <n v="2"/>
    <n v="5"/>
  </r>
  <r>
    <s v="SW-101018"/>
    <d v="2024-06-17T00:00:00"/>
    <x v="0"/>
    <s v="Q2"/>
    <x v="5"/>
    <x v="0"/>
    <x v="0"/>
    <x v="0"/>
    <x v="0"/>
    <s v="Running Sneakers"/>
    <n v="1"/>
    <n v="94.85"/>
    <n v="0"/>
    <x v="2"/>
    <n v="94.85"/>
    <n v="52.6"/>
    <n v="42.25"/>
    <n v="1"/>
    <n v="0"/>
    <n v="3"/>
    <n v="4"/>
  </r>
  <r>
    <s v="SW-101019"/>
    <d v="2024-06-17T00:00:00"/>
    <x v="0"/>
    <s v="Q2"/>
    <x v="5"/>
    <x v="2"/>
    <x v="3"/>
    <x v="0"/>
    <x v="2"/>
    <s v="Air Fryer"/>
    <n v="1"/>
    <n v="68.349999999999994"/>
    <n v="0.25"/>
    <x v="3"/>
    <n v="51.26"/>
    <n v="46.46"/>
    <n v="4.8"/>
    <n v="1"/>
    <n v="0"/>
    <n v="2"/>
    <n v="5"/>
  </r>
  <r>
    <s v="SW-101020"/>
    <d v="2024-06-17T00:00:00"/>
    <x v="0"/>
    <s v="Q2"/>
    <x v="5"/>
    <x v="2"/>
    <x v="2"/>
    <x v="1"/>
    <x v="3"/>
    <s v="Fitness Tracker"/>
    <n v="3"/>
    <n v="74.459999999999994"/>
    <n v="0.05"/>
    <x v="0"/>
    <n v="212.21"/>
    <n v="153.88"/>
    <n v="58.33"/>
    <n v="1"/>
    <n v="1"/>
    <n v="4"/>
    <n v="4"/>
  </r>
  <r>
    <s v="SW-101021"/>
    <d v="2024-06-17T00:00:00"/>
    <x v="0"/>
    <s v="Q2"/>
    <x v="5"/>
    <x v="0"/>
    <x v="0"/>
    <x v="0"/>
    <x v="4"/>
    <s v="Smart Watch"/>
    <n v="1"/>
    <n v="216.08"/>
    <n v="0.2"/>
    <x v="1"/>
    <n v="172.86"/>
    <n v="165.12"/>
    <n v="7.74"/>
    <n v="1"/>
    <n v="0"/>
    <n v="4"/>
    <n v="4"/>
  </r>
  <r>
    <s v="SW-101022"/>
    <d v="2024-06-17T00:00:00"/>
    <x v="0"/>
    <s v="Q2"/>
    <x v="5"/>
    <x v="1"/>
    <x v="2"/>
    <x v="0"/>
    <x v="1"/>
    <s v="Perfume 100ml"/>
    <n v="1"/>
    <n v="54.56"/>
    <n v="0.2"/>
    <x v="1"/>
    <n v="43.65"/>
    <n v="26.46"/>
    <n v="17.190000000000001"/>
    <n v="1"/>
    <n v="0"/>
    <n v="5"/>
    <n v="5"/>
  </r>
  <r>
    <s v="SW-101023"/>
    <d v="2024-06-17T00:00:00"/>
    <x v="0"/>
    <s v="Q2"/>
    <x v="5"/>
    <x v="2"/>
    <x v="3"/>
    <x v="1"/>
    <x v="0"/>
    <s v="Cotton T-Shirt"/>
    <n v="2"/>
    <n v="19.41"/>
    <n v="0.1"/>
    <x v="0"/>
    <n v="34.94"/>
    <n v="21.21"/>
    <n v="13.73"/>
    <n v="1"/>
    <n v="0"/>
    <n v="3"/>
    <n v="5"/>
  </r>
  <r>
    <s v="SW-101024"/>
    <d v="2024-06-18T00:00:00"/>
    <x v="0"/>
    <s v="Q2"/>
    <x v="5"/>
    <x v="0"/>
    <x v="2"/>
    <x v="1"/>
    <x v="1"/>
    <s v="Skin Care Bundle"/>
    <n v="2"/>
    <n v="92.54"/>
    <n v="0.1"/>
    <x v="0"/>
    <n v="166.57"/>
    <n v="88.3"/>
    <n v="78.27"/>
    <n v="1"/>
    <n v="0"/>
    <n v="4"/>
    <n v="5"/>
  </r>
  <r>
    <s v="SW-101025"/>
    <d v="2024-06-18T00:00:00"/>
    <x v="0"/>
    <s v="Q2"/>
    <x v="5"/>
    <x v="0"/>
    <x v="0"/>
    <x v="0"/>
    <x v="5"/>
    <s v="Bestseller Novel"/>
    <n v="1"/>
    <n v="45.28"/>
    <n v="0.15"/>
    <x v="1"/>
    <n v="38.49"/>
    <n v="32.450000000000003"/>
    <n v="6.04"/>
    <n v="1"/>
    <n v="0"/>
    <n v="6"/>
    <n v="4"/>
  </r>
  <r>
    <s v="SW-101026"/>
    <d v="2024-06-18T00:00:00"/>
    <x v="0"/>
    <s v="Q2"/>
    <x v="5"/>
    <x v="0"/>
    <x v="1"/>
    <x v="0"/>
    <x v="0"/>
    <s v="Summer Dress"/>
    <n v="1"/>
    <n v="33.99"/>
    <n v="0.1"/>
    <x v="0"/>
    <n v="30.59"/>
    <n v="17.989999999999998"/>
    <n v="12.6"/>
    <n v="1"/>
    <n v="1"/>
    <n v="5"/>
    <n v="3"/>
  </r>
  <r>
    <s v="SW-101027"/>
    <d v="2024-06-18T00:00:00"/>
    <x v="0"/>
    <s v="Q2"/>
    <x v="5"/>
    <x v="0"/>
    <x v="2"/>
    <x v="1"/>
    <x v="4"/>
    <s v="Power Bank"/>
    <n v="1"/>
    <n v="508.8"/>
    <n v="0.05"/>
    <x v="0"/>
    <n v="483.36"/>
    <n v="405.57"/>
    <n v="77.790000000000006"/>
    <n v="1"/>
    <n v="1"/>
    <n v="3"/>
    <n v="3"/>
  </r>
  <r>
    <s v="SW-101028"/>
    <d v="2024-06-18T00:00:00"/>
    <x v="0"/>
    <s v="Q2"/>
    <x v="5"/>
    <x v="0"/>
    <x v="0"/>
    <x v="0"/>
    <x v="4"/>
    <s v="Smart Watch"/>
    <n v="1"/>
    <n v="216.08"/>
    <n v="0"/>
    <x v="2"/>
    <n v="216.08"/>
    <n v="167.22"/>
    <n v="48.86"/>
    <n v="1"/>
    <n v="0"/>
    <n v="4"/>
    <n v="4"/>
  </r>
  <r>
    <s v="SW-101029"/>
    <d v="2024-06-18T00:00:00"/>
    <x v="0"/>
    <s v="Q2"/>
    <x v="5"/>
    <x v="0"/>
    <x v="3"/>
    <x v="1"/>
    <x v="4"/>
    <s v="Tablet 10in"/>
    <n v="1"/>
    <n v="490.3"/>
    <n v="0.15"/>
    <x v="1"/>
    <n v="416.76"/>
    <n v="374.46"/>
    <n v="42.3"/>
    <n v="1"/>
    <n v="1"/>
    <n v="3"/>
    <n v="3"/>
  </r>
  <r>
    <s v="SW-101030"/>
    <d v="2024-06-18T00:00:00"/>
    <x v="0"/>
    <s v="Q2"/>
    <x v="5"/>
    <x v="1"/>
    <x v="3"/>
    <x v="0"/>
    <x v="5"/>
    <s v="Bestseller Novel"/>
    <n v="1"/>
    <n v="45.28"/>
    <n v="0.2"/>
    <x v="1"/>
    <n v="36.22"/>
    <n v="32.81"/>
    <n v="3.41"/>
    <n v="1"/>
    <n v="0"/>
    <n v="4"/>
    <n v="4"/>
  </r>
  <r>
    <s v="SW-101031"/>
    <d v="2024-06-19T00:00:00"/>
    <x v="0"/>
    <s v="Q2"/>
    <x v="5"/>
    <x v="0"/>
    <x v="2"/>
    <x v="1"/>
    <x v="5"/>
    <s v="Board Game"/>
    <n v="1"/>
    <n v="57.92"/>
    <n v="0"/>
    <x v="2"/>
    <n v="57.92"/>
    <n v="41.01"/>
    <n v="16.91"/>
    <n v="1"/>
    <n v="0"/>
    <n v="4"/>
    <n v="4"/>
  </r>
  <r>
    <s v="SW-101032"/>
    <d v="2024-06-19T00:00:00"/>
    <x v="0"/>
    <s v="Q2"/>
    <x v="5"/>
    <x v="2"/>
    <x v="2"/>
    <x v="1"/>
    <x v="4"/>
    <s v="Tablet 10in"/>
    <n v="1"/>
    <n v="490.3"/>
    <n v="0"/>
    <x v="2"/>
    <n v="490.3"/>
    <n v="401.13"/>
    <n v="89.17"/>
    <n v="1"/>
    <n v="0"/>
    <n v="4"/>
    <n v="5"/>
  </r>
  <r>
    <s v="SW-101033"/>
    <d v="2024-06-20T00:00:00"/>
    <x v="0"/>
    <s v="Q2"/>
    <x v="5"/>
    <x v="0"/>
    <x v="2"/>
    <x v="0"/>
    <x v="3"/>
    <s v="Cycling Helmet"/>
    <n v="1"/>
    <n v="85.42"/>
    <n v="0.1"/>
    <x v="0"/>
    <n v="76.88"/>
    <n v="57.11"/>
    <n v="19.77"/>
    <n v="1"/>
    <n v="0"/>
    <n v="5"/>
    <n v="3"/>
  </r>
  <r>
    <s v="SW-101034"/>
    <d v="2024-06-20T00:00:00"/>
    <x v="0"/>
    <s v="Q2"/>
    <x v="5"/>
    <x v="2"/>
    <x v="3"/>
    <x v="1"/>
    <x v="0"/>
    <s v="Denim Jacket"/>
    <n v="1"/>
    <n v="78.510000000000005"/>
    <n v="0.15"/>
    <x v="1"/>
    <n v="66.73"/>
    <n v="43.91"/>
    <n v="22.82"/>
    <n v="1"/>
    <n v="0"/>
    <n v="4"/>
    <n v="4"/>
  </r>
  <r>
    <s v="SW-101035"/>
    <d v="2024-06-20T00:00:00"/>
    <x v="0"/>
    <s v="Q2"/>
    <x v="5"/>
    <x v="1"/>
    <x v="1"/>
    <x v="0"/>
    <x v="2"/>
    <s v="Storage Boxes"/>
    <n v="3"/>
    <n v="154.66"/>
    <n v="0.25"/>
    <x v="3"/>
    <n v="347.98"/>
    <n v="286.05"/>
    <n v="61.93"/>
    <n v="1"/>
    <n v="0"/>
    <n v="6"/>
    <n v="3"/>
  </r>
  <r>
    <s v="SW-101036"/>
    <d v="2024-06-20T00:00:00"/>
    <x v="0"/>
    <s v="Q2"/>
    <x v="5"/>
    <x v="0"/>
    <x v="2"/>
    <x v="1"/>
    <x v="4"/>
    <s v="Tablet 10in"/>
    <n v="3"/>
    <n v="490.3"/>
    <n v="0"/>
    <x v="2"/>
    <n v="1470.9"/>
    <n v="1178.49"/>
    <n v="292.41000000000003"/>
    <n v="1"/>
    <n v="0"/>
    <n v="3"/>
    <n v="4"/>
  </r>
  <r>
    <s v="SW-101037"/>
    <d v="2024-06-21T00:00:00"/>
    <x v="0"/>
    <s v="Q2"/>
    <x v="5"/>
    <x v="0"/>
    <x v="1"/>
    <x v="1"/>
    <x v="5"/>
    <s v="Building Blocks"/>
    <n v="1"/>
    <n v="48.86"/>
    <n v="0.2"/>
    <x v="1"/>
    <n v="39.090000000000003"/>
    <n v="35.409999999999997"/>
    <n v="3.68"/>
    <n v="1"/>
    <n v="0"/>
    <n v="5"/>
    <n v="4"/>
  </r>
  <r>
    <s v="SW-101038"/>
    <d v="2024-06-21T00:00:00"/>
    <x v="0"/>
    <s v="Q2"/>
    <x v="5"/>
    <x v="2"/>
    <x v="0"/>
    <x v="1"/>
    <x v="0"/>
    <s v="Running Sneakers"/>
    <n v="1"/>
    <n v="94.85"/>
    <n v="0.15"/>
    <x v="1"/>
    <n v="80.62"/>
    <n v="51.82"/>
    <n v="28.8"/>
    <n v="1"/>
    <n v="0"/>
    <n v="3"/>
    <n v="4"/>
  </r>
  <r>
    <s v="SW-101039"/>
    <d v="2024-06-21T00:00:00"/>
    <x v="0"/>
    <s v="Q2"/>
    <x v="5"/>
    <x v="2"/>
    <x v="0"/>
    <x v="0"/>
    <x v="2"/>
    <s v="Bed Sheet Set"/>
    <n v="2"/>
    <n v="90.75"/>
    <n v="0.15"/>
    <x v="1"/>
    <n v="154.28"/>
    <n v="117.04"/>
    <n v="37.24"/>
    <n v="1"/>
    <n v="0"/>
    <n v="4"/>
    <n v="4"/>
  </r>
  <r>
    <s v="SW-101040"/>
    <d v="2024-06-21T00:00:00"/>
    <x v="0"/>
    <s v="Q2"/>
    <x v="5"/>
    <x v="2"/>
    <x v="2"/>
    <x v="0"/>
    <x v="2"/>
    <s v="Coffee Maker"/>
    <n v="1"/>
    <n v="148.05000000000001"/>
    <n v="0"/>
    <x v="2"/>
    <n v="148.05000000000001"/>
    <n v="101.13"/>
    <n v="46.92"/>
    <n v="1"/>
    <n v="0"/>
    <n v="4"/>
    <n v="4"/>
  </r>
  <r>
    <s v="SW-101041"/>
    <d v="2024-06-21T00:00:00"/>
    <x v="0"/>
    <s v="Q2"/>
    <x v="5"/>
    <x v="0"/>
    <x v="0"/>
    <x v="1"/>
    <x v="2"/>
    <s v="Air Fryer"/>
    <n v="1"/>
    <n v="68.349999999999994"/>
    <n v="0"/>
    <x v="2"/>
    <n v="68.349999999999994"/>
    <n v="45.82"/>
    <n v="22.53"/>
    <n v="1"/>
    <n v="0"/>
    <n v="4"/>
    <n v="5"/>
  </r>
  <r>
    <s v="SW-101042"/>
    <d v="2024-06-22T00:00:00"/>
    <x v="0"/>
    <s v="Q2"/>
    <x v="5"/>
    <x v="2"/>
    <x v="3"/>
    <x v="0"/>
    <x v="0"/>
    <s v="Leather Handbag"/>
    <n v="3"/>
    <n v="138.5"/>
    <n v="0"/>
    <x v="2"/>
    <n v="415.5"/>
    <n v="227.32"/>
    <n v="188.18"/>
    <n v="1"/>
    <n v="0"/>
    <n v="4"/>
    <n v="5"/>
  </r>
  <r>
    <s v="SW-101043"/>
    <d v="2024-06-22T00:00:00"/>
    <x v="0"/>
    <s v="Q2"/>
    <x v="5"/>
    <x v="2"/>
    <x v="2"/>
    <x v="1"/>
    <x v="3"/>
    <s v="Yoga Mat"/>
    <n v="1"/>
    <n v="137.05000000000001"/>
    <n v="0"/>
    <x v="2"/>
    <n v="137.05000000000001"/>
    <n v="91.46"/>
    <n v="45.59"/>
    <n v="1"/>
    <n v="0"/>
    <n v="4"/>
    <n v="5"/>
  </r>
  <r>
    <s v="SW-101044"/>
    <d v="2024-06-22T00:00:00"/>
    <x v="0"/>
    <s v="Q2"/>
    <x v="5"/>
    <x v="1"/>
    <x v="0"/>
    <x v="0"/>
    <x v="2"/>
    <s v="Bed Sheet Set"/>
    <n v="2"/>
    <n v="90.75"/>
    <n v="0.05"/>
    <x v="0"/>
    <n v="172.42"/>
    <n v="119.68"/>
    <n v="52.74"/>
    <n v="1"/>
    <n v="0"/>
    <n v="3"/>
    <n v="4"/>
  </r>
  <r>
    <s v="SW-101045"/>
    <d v="2024-06-22T00:00:00"/>
    <x v="0"/>
    <s v="Q2"/>
    <x v="5"/>
    <x v="0"/>
    <x v="2"/>
    <x v="1"/>
    <x v="3"/>
    <s v="Dumbbell Set"/>
    <n v="2"/>
    <n v="198.42"/>
    <n v="0.05"/>
    <x v="0"/>
    <n v="377"/>
    <n v="265.63"/>
    <n v="111.37"/>
    <n v="1"/>
    <n v="0"/>
    <n v="3"/>
    <n v="5"/>
  </r>
  <r>
    <s v="SW-101046"/>
    <d v="2024-06-22T00:00:00"/>
    <x v="0"/>
    <s v="Q2"/>
    <x v="5"/>
    <x v="1"/>
    <x v="0"/>
    <x v="0"/>
    <x v="4"/>
    <s v="4K Action Camera"/>
    <n v="1"/>
    <n v="636.09"/>
    <n v="0.05"/>
    <x v="0"/>
    <n v="604.29"/>
    <n v="501.76"/>
    <n v="102.53"/>
    <n v="1"/>
    <n v="0"/>
    <n v="5"/>
    <n v="5"/>
  </r>
  <r>
    <s v="SW-101047"/>
    <d v="2024-06-22T00:00:00"/>
    <x v="0"/>
    <s v="Q2"/>
    <x v="5"/>
    <x v="2"/>
    <x v="3"/>
    <x v="1"/>
    <x v="0"/>
    <s v="Cotton T-Shirt"/>
    <n v="1"/>
    <n v="19.41"/>
    <n v="0.05"/>
    <x v="0"/>
    <n v="18.440000000000001"/>
    <n v="10.62"/>
    <n v="7.82"/>
    <n v="1"/>
    <n v="1"/>
    <n v="2"/>
    <n v="3"/>
  </r>
  <r>
    <s v="SW-101048"/>
    <d v="2024-06-22T00:00:00"/>
    <x v="0"/>
    <s v="Q2"/>
    <x v="5"/>
    <x v="2"/>
    <x v="3"/>
    <x v="0"/>
    <x v="2"/>
    <s v="Cookware Set"/>
    <n v="1"/>
    <n v="233.81"/>
    <n v="0.05"/>
    <x v="0"/>
    <n v="222.12"/>
    <n v="156.93"/>
    <n v="65.19"/>
    <n v="1"/>
    <n v="0"/>
    <n v="2"/>
    <n v="4"/>
  </r>
  <r>
    <s v="SW-101049"/>
    <d v="2024-06-23T00:00:00"/>
    <x v="0"/>
    <s v="Q2"/>
    <x v="5"/>
    <x v="0"/>
    <x v="1"/>
    <x v="1"/>
    <x v="0"/>
    <s v="Sunglasses"/>
    <n v="1"/>
    <n v="104.94"/>
    <n v="0.15"/>
    <x v="1"/>
    <n v="89.2"/>
    <n v="55.4"/>
    <n v="33.799999999999997"/>
    <n v="1"/>
    <n v="0"/>
    <n v="5"/>
    <n v="5"/>
  </r>
  <r>
    <s v="SW-101050"/>
    <d v="2024-06-23T00:00:00"/>
    <x v="0"/>
    <s v="Q2"/>
    <x v="5"/>
    <x v="0"/>
    <x v="3"/>
    <x v="0"/>
    <x v="2"/>
    <s v="Cookware Set"/>
    <n v="3"/>
    <n v="233.81"/>
    <n v="0.15"/>
    <x v="1"/>
    <n v="596.22"/>
    <n v="444.11"/>
    <n v="152.11000000000001"/>
    <n v="1"/>
    <n v="1"/>
    <n v="4"/>
    <n v="2"/>
  </r>
  <r>
    <s v="SW-101051"/>
    <d v="2024-06-23T00:00:00"/>
    <x v="0"/>
    <s v="Q2"/>
    <x v="5"/>
    <x v="0"/>
    <x v="4"/>
    <x v="1"/>
    <x v="4"/>
    <s v="Tablet 10in"/>
    <n v="2"/>
    <n v="490.3"/>
    <n v="0.05"/>
    <x v="0"/>
    <n v="931.57"/>
    <n v="776.84"/>
    <n v="154.72999999999999"/>
    <n v="1"/>
    <n v="0"/>
    <n v="5"/>
    <n v="4"/>
  </r>
  <r>
    <s v="SW-101052"/>
    <d v="2024-06-23T00:00:00"/>
    <x v="0"/>
    <s v="Q2"/>
    <x v="5"/>
    <x v="2"/>
    <x v="0"/>
    <x v="1"/>
    <x v="2"/>
    <s v="Storage Boxes"/>
    <n v="1"/>
    <n v="154.66"/>
    <n v="0.05"/>
    <x v="0"/>
    <n v="146.93"/>
    <n v="107.79"/>
    <n v="39.14"/>
    <n v="1"/>
    <n v="0"/>
    <n v="5"/>
    <n v="4"/>
  </r>
  <r>
    <s v="SW-101053"/>
    <d v="2024-06-23T00:00:00"/>
    <x v="0"/>
    <s v="Q2"/>
    <x v="5"/>
    <x v="0"/>
    <x v="3"/>
    <x v="0"/>
    <x v="4"/>
    <s v="Power Bank"/>
    <n v="1"/>
    <n v="508.8"/>
    <n v="0"/>
    <x v="2"/>
    <n v="508.8"/>
    <n v="394.14"/>
    <n v="114.66"/>
    <n v="1"/>
    <n v="0"/>
    <n v="4"/>
    <n v="4"/>
  </r>
  <r>
    <s v="SW-101054"/>
    <d v="2024-06-23T00:00:00"/>
    <x v="0"/>
    <s v="Q2"/>
    <x v="5"/>
    <x v="0"/>
    <x v="0"/>
    <x v="0"/>
    <x v="1"/>
    <s v="Skin Care Bundle"/>
    <n v="3"/>
    <n v="92.54"/>
    <n v="0.1"/>
    <x v="0"/>
    <n v="249.86"/>
    <n v="137.55000000000001"/>
    <n v="112.31"/>
    <n v="1"/>
    <n v="0"/>
    <n v="3"/>
    <n v="5"/>
  </r>
  <r>
    <s v="SW-101055"/>
    <d v="2024-06-23T00:00:00"/>
    <x v="0"/>
    <s v="Q2"/>
    <x v="5"/>
    <x v="0"/>
    <x v="0"/>
    <x v="0"/>
    <x v="4"/>
    <s v="Tablet 10in"/>
    <n v="1"/>
    <n v="490.3"/>
    <n v="0"/>
    <x v="2"/>
    <n v="490.3"/>
    <n v="397.33"/>
    <n v="92.97"/>
    <n v="1"/>
    <n v="0"/>
    <n v="8"/>
    <n v="3"/>
  </r>
  <r>
    <s v="SW-101056"/>
    <d v="2024-06-23T00:00:00"/>
    <x v="0"/>
    <s v="Q2"/>
    <x v="5"/>
    <x v="0"/>
    <x v="4"/>
    <x v="1"/>
    <x v="5"/>
    <s v="Board Game"/>
    <n v="1"/>
    <n v="57.92"/>
    <n v="0"/>
    <x v="2"/>
    <n v="57.92"/>
    <n v="42.76"/>
    <n v="15.16"/>
    <n v="1"/>
    <n v="0"/>
    <n v="5"/>
    <n v="4"/>
  </r>
  <r>
    <s v="SW-101057"/>
    <d v="2024-06-24T00:00:00"/>
    <x v="0"/>
    <s v="Q2"/>
    <x v="5"/>
    <x v="0"/>
    <x v="2"/>
    <x v="0"/>
    <x v="4"/>
    <s v="Power Bank"/>
    <n v="2"/>
    <n v="508.8"/>
    <n v="0.1"/>
    <x v="0"/>
    <n v="915.84"/>
    <n v="829.27"/>
    <n v="86.57"/>
    <n v="1"/>
    <n v="1"/>
    <n v="5"/>
    <n v="4"/>
  </r>
  <r>
    <s v="SW-101058"/>
    <d v="2024-06-24T00:00:00"/>
    <x v="0"/>
    <s v="Q2"/>
    <x v="5"/>
    <x v="0"/>
    <x v="3"/>
    <x v="1"/>
    <x v="5"/>
    <s v="Kids Puzzle"/>
    <n v="3"/>
    <n v="16.97"/>
    <n v="0"/>
    <x v="2"/>
    <n v="50.91"/>
    <n v="35.71"/>
    <n v="15.2"/>
    <n v="1"/>
    <n v="0"/>
    <n v="3"/>
    <n v="5"/>
  </r>
  <r>
    <s v="SW-101059"/>
    <d v="2024-06-24T00:00:00"/>
    <x v="0"/>
    <s v="Q2"/>
    <x v="5"/>
    <x v="2"/>
    <x v="2"/>
    <x v="0"/>
    <x v="2"/>
    <s v="Bed Sheet Set"/>
    <n v="1"/>
    <n v="90.75"/>
    <n v="0.1"/>
    <x v="0"/>
    <n v="81.680000000000007"/>
    <n v="61.06"/>
    <n v="20.62"/>
    <n v="1"/>
    <n v="0"/>
    <n v="4"/>
    <n v="5"/>
  </r>
  <r>
    <s v="SW-101060"/>
    <d v="2024-06-25T00:00:00"/>
    <x v="0"/>
    <s v="Q2"/>
    <x v="5"/>
    <x v="1"/>
    <x v="2"/>
    <x v="0"/>
    <x v="2"/>
    <s v="Storage Boxes"/>
    <n v="1"/>
    <n v="154.66"/>
    <n v="0.25"/>
    <x v="3"/>
    <n v="116"/>
    <n v="103.76"/>
    <n v="12.24"/>
    <n v="1"/>
    <n v="0"/>
    <n v="5"/>
    <n v="5"/>
  </r>
  <r>
    <s v="SW-101061"/>
    <d v="2024-06-25T00:00:00"/>
    <x v="0"/>
    <s v="Q2"/>
    <x v="5"/>
    <x v="1"/>
    <x v="2"/>
    <x v="0"/>
    <x v="2"/>
    <s v="Coffee Maker"/>
    <n v="1"/>
    <n v="148.05000000000001"/>
    <n v="0.25"/>
    <x v="3"/>
    <n v="111.04"/>
    <n v="98.58"/>
    <n v="12.46"/>
    <n v="1"/>
    <n v="0"/>
    <n v="4"/>
    <n v="4"/>
  </r>
  <r>
    <s v="SW-101062"/>
    <d v="2024-06-25T00:00:00"/>
    <x v="0"/>
    <s v="Q2"/>
    <x v="5"/>
    <x v="0"/>
    <x v="3"/>
    <x v="1"/>
    <x v="2"/>
    <s v="Coffee Maker"/>
    <n v="2"/>
    <n v="148.05000000000001"/>
    <n v="0.15"/>
    <x v="1"/>
    <n v="251.68"/>
    <n v="194.39"/>
    <n v="57.29"/>
    <n v="1"/>
    <n v="0"/>
    <n v="3"/>
    <n v="5"/>
  </r>
  <r>
    <s v="SW-101063"/>
    <d v="2024-06-25T00:00:00"/>
    <x v="0"/>
    <s v="Q2"/>
    <x v="5"/>
    <x v="1"/>
    <x v="2"/>
    <x v="1"/>
    <x v="4"/>
    <s v="Power Bank"/>
    <n v="1"/>
    <n v="508.8"/>
    <n v="0"/>
    <x v="2"/>
    <n v="508.8"/>
    <n v="398.59"/>
    <n v="110.21"/>
    <n v="1"/>
    <n v="0"/>
    <n v="5"/>
    <n v="4"/>
  </r>
  <r>
    <s v="SW-101064"/>
    <d v="2024-06-25T00:00:00"/>
    <x v="0"/>
    <s v="Q2"/>
    <x v="5"/>
    <x v="1"/>
    <x v="0"/>
    <x v="1"/>
    <x v="4"/>
    <s v="Smart Watch"/>
    <n v="1"/>
    <n v="216.08"/>
    <n v="0.1"/>
    <x v="0"/>
    <n v="194.47"/>
    <n v="168.04"/>
    <n v="26.43"/>
    <n v="1"/>
    <n v="0"/>
    <n v="3"/>
    <n v="4"/>
  </r>
  <r>
    <s v="SW-101065"/>
    <d v="2024-06-26T00:00:00"/>
    <x v="0"/>
    <s v="Q2"/>
    <x v="5"/>
    <x v="0"/>
    <x v="4"/>
    <x v="1"/>
    <x v="2"/>
    <s v="Air Fryer"/>
    <n v="1"/>
    <n v="68.349999999999994"/>
    <n v="0.05"/>
    <x v="0"/>
    <n v="64.930000000000007"/>
    <n v="44.72"/>
    <n v="20.21"/>
    <n v="1"/>
    <n v="0"/>
    <n v="10"/>
    <n v="4"/>
  </r>
  <r>
    <s v="SW-101066"/>
    <d v="2024-06-26T00:00:00"/>
    <x v="0"/>
    <s v="Q2"/>
    <x v="5"/>
    <x v="2"/>
    <x v="2"/>
    <x v="1"/>
    <x v="1"/>
    <s v="Perfume 100ml"/>
    <n v="2"/>
    <n v="54.56"/>
    <n v="0.05"/>
    <x v="0"/>
    <n v="103.66"/>
    <n v="52.32"/>
    <n v="51.34"/>
    <n v="1"/>
    <n v="0"/>
    <n v="4"/>
    <n v="3"/>
  </r>
  <r>
    <s v="SW-101067"/>
    <d v="2024-06-26T00:00:00"/>
    <x v="0"/>
    <s v="Q2"/>
    <x v="5"/>
    <x v="1"/>
    <x v="3"/>
    <x v="1"/>
    <x v="5"/>
    <s v="Kids Puzzle"/>
    <n v="2"/>
    <n v="16.97"/>
    <n v="0.25"/>
    <x v="3"/>
    <n v="25.46"/>
    <n v="23.74"/>
    <n v="1.72"/>
    <n v="1"/>
    <n v="0"/>
    <n v="3"/>
    <n v="5"/>
  </r>
  <r>
    <s v="SW-101068"/>
    <d v="2024-06-26T00:00:00"/>
    <x v="0"/>
    <s v="Q2"/>
    <x v="5"/>
    <x v="2"/>
    <x v="0"/>
    <x v="0"/>
    <x v="2"/>
    <s v="Air Fryer"/>
    <n v="1"/>
    <n v="68.349999999999994"/>
    <n v="0"/>
    <x v="2"/>
    <n v="68.349999999999994"/>
    <n v="43.71"/>
    <n v="24.64"/>
    <n v="1"/>
    <n v="0"/>
    <n v="4"/>
    <n v="4"/>
  </r>
  <r>
    <s v="SW-101069"/>
    <d v="2024-06-27T00:00:00"/>
    <x v="0"/>
    <s v="Q2"/>
    <x v="5"/>
    <x v="1"/>
    <x v="0"/>
    <x v="1"/>
    <x v="2"/>
    <s v="Storage Boxes"/>
    <n v="1"/>
    <n v="154.66"/>
    <n v="0.05"/>
    <x v="0"/>
    <n v="146.93"/>
    <n v="102.93"/>
    <n v="44"/>
    <n v="1"/>
    <n v="1"/>
    <n v="4"/>
    <n v="4"/>
  </r>
  <r>
    <s v="SW-101070"/>
    <d v="2024-06-27T00:00:00"/>
    <x v="0"/>
    <s v="Q2"/>
    <x v="5"/>
    <x v="0"/>
    <x v="3"/>
    <x v="1"/>
    <x v="0"/>
    <s v="Leather Handbag"/>
    <n v="1"/>
    <n v="138.5"/>
    <n v="0"/>
    <x v="2"/>
    <n v="138.5"/>
    <n v="76.94"/>
    <n v="61.56"/>
    <n v="1"/>
    <n v="0"/>
    <n v="3"/>
    <n v="4"/>
  </r>
  <r>
    <s v="SW-101071"/>
    <d v="2024-06-27T00:00:00"/>
    <x v="0"/>
    <s v="Q2"/>
    <x v="5"/>
    <x v="0"/>
    <x v="1"/>
    <x v="1"/>
    <x v="5"/>
    <s v="Board Game"/>
    <n v="2"/>
    <n v="57.92"/>
    <n v="0.1"/>
    <x v="0"/>
    <n v="104.26"/>
    <n v="86.51"/>
    <n v="17.75"/>
    <n v="1"/>
    <n v="0"/>
    <n v="6"/>
    <n v="5"/>
  </r>
  <r>
    <s v="SW-101072"/>
    <d v="2024-06-27T00:00:00"/>
    <x v="0"/>
    <s v="Q2"/>
    <x v="5"/>
    <x v="0"/>
    <x v="1"/>
    <x v="1"/>
    <x v="3"/>
    <s v="Fitness Tracker"/>
    <n v="1"/>
    <n v="74.459999999999994"/>
    <n v="0.05"/>
    <x v="0"/>
    <n v="70.739999999999995"/>
    <n v="49.36"/>
    <n v="21.38"/>
    <n v="1"/>
    <n v="0"/>
    <n v="5"/>
    <n v="5"/>
  </r>
  <r>
    <s v="SW-101073"/>
    <d v="2024-06-27T00:00:00"/>
    <x v="0"/>
    <s v="Q2"/>
    <x v="5"/>
    <x v="0"/>
    <x v="1"/>
    <x v="0"/>
    <x v="3"/>
    <s v="Camping Tent"/>
    <n v="2"/>
    <n v="83.06"/>
    <n v="0.1"/>
    <x v="0"/>
    <n v="149.51"/>
    <n v="102.95"/>
    <n v="46.56"/>
    <n v="1"/>
    <n v="0"/>
    <n v="5"/>
    <n v="4"/>
  </r>
  <r>
    <s v="SW-101074"/>
    <d v="2024-06-27T00:00:00"/>
    <x v="0"/>
    <s v="Q2"/>
    <x v="5"/>
    <x v="0"/>
    <x v="3"/>
    <x v="0"/>
    <x v="0"/>
    <s v="Cotton T-Shirt"/>
    <n v="1"/>
    <n v="19.41"/>
    <n v="0"/>
    <x v="2"/>
    <n v="19.41"/>
    <n v="10.52"/>
    <n v="8.89"/>
    <n v="1"/>
    <n v="0"/>
    <n v="2"/>
    <n v="4"/>
  </r>
  <r>
    <s v="SW-101075"/>
    <d v="2024-06-27T00:00:00"/>
    <x v="0"/>
    <s v="Q2"/>
    <x v="5"/>
    <x v="2"/>
    <x v="0"/>
    <x v="1"/>
    <x v="4"/>
    <s v="4K Action Camera"/>
    <n v="2"/>
    <n v="636.09"/>
    <n v="0"/>
    <x v="2"/>
    <n v="1272.18"/>
    <n v="1069.98"/>
    <n v="202.2"/>
    <n v="1"/>
    <n v="0"/>
    <n v="3"/>
    <n v="4"/>
  </r>
  <r>
    <s v="SW-101076"/>
    <d v="2024-06-28T00:00:00"/>
    <x v="0"/>
    <s v="Q2"/>
    <x v="5"/>
    <x v="2"/>
    <x v="2"/>
    <x v="1"/>
    <x v="3"/>
    <s v="Yoga Mat"/>
    <n v="2"/>
    <n v="137.05000000000001"/>
    <n v="0.15"/>
    <x v="1"/>
    <n v="232.98"/>
    <n v="177.58"/>
    <n v="55.4"/>
    <n v="1"/>
    <n v="0"/>
    <n v="3"/>
    <n v="4"/>
  </r>
  <r>
    <s v="SW-101077"/>
    <d v="2024-06-28T00:00:00"/>
    <x v="0"/>
    <s v="Q2"/>
    <x v="5"/>
    <x v="1"/>
    <x v="3"/>
    <x v="0"/>
    <x v="4"/>
    <s v="Wireless Earbuds"/>
    <n v="1"/>
    <n v="588.41"/>
    <n v="0"/>
    <x v="2"/>
    <n v="588.41"/>
    <n v="473.04"/>
    <n v="115.37"/>
    <n v="1"/>
    <n v="0"/>
    <n v="3"/>
    <n v="4"/>
  </r>
  <r>
    <s v="SW-101078"/>
    <d v="2024-06-28T00:00:00"/>
    <x v="0"/>
    <s v="Q2"/>
    <x v="5"/>
    <x v="1"/>
    <x v="1"/>
    <x v="1"/>
    <x v="1"/>
    <s v="Perfume 100ml"/>
    <n v="1"/>
    <n v="54.56"/>
    <n v="0"/>
    <x v="2"/>
    <n v="54.56"/>
    <n v="25.8"/>
    <n v="28.76"/>
    <n v="1"/>
    <n v="0"/>
    <n v="5"/>
    <n v="4"/>
  </r>
  <r>
    <s v="SW-101079"/>
    <d v="2024-06-28T00:00:00"/>
    <x v="0"/>
    <s v="Q2"/>
    <x v="5"/>
    <x v="1"/>
    <x v="1"/>
    <x v="1"/>
    <x v="0"/>
    <s v="Cotton T-Shirt"/>
    <n v="3"/>
    <n v="19.41"/>
    <n v="0"/>
    <x v="2"/>
    <n v="58.23"/>
    <n v="31.35"/>
    <n v="26.88"/>
    <n v="1"/>
    <n v="0"/>
    <n v="6"/>
    <n v="5"/>
  </r>
  <r>
    <s v="SW-101080"/>
    <d v="2024-06-28T00:00:00"/>
    <x v="0"/>
    <s v="Q2"/>
    <x v="5"/>
    <x v="1"/>
    <x v="4"/>
    <x v="1"/>
    <x v="2"/>
    <s v="Coffee Maker"/>
    <n v="1"/>
    <n v="148.05000000000001"/>
    <n v="0.1"/>
    <x v="0"/>
    <n v="133.24"/>
    <n v="97.73"/>
    <n v="35.51"/>
    <n v="1"/>
    <n v="0"/>
    <n v="5"/>
    <n v="4"/>
  </r>
  <r>
    <s v="SW-101081"/>
    <d v="2024-06-28T00:00:00"/>
    <x v="0"/>
    <s v="Q2"/>
    <x v="5"/>
    <x v="2"/>
    <x v="2"/>
    <x v="0"/>
    <x v="3"/>
    <s v="Fitness Tracker"/>
    <n v="1"/>
    <n v="74.459999999999994"/>
    <n v="0.1"/>
    <x v="0"/>
    <n v="67.010000000000005"/>
    <n v="49"/>
    <n v="18.010000000000002"/>
    <n v="1"/>
    <n v="0"/>
    <n v="6"/>
    <n v="4"/>
  </r>
  <r>
    <s v="SW-101082"/>
    <d v="2024-06-28T00:00:00"/>
    <x v="0"/>
    <s v="Q2"/>
    <x v="5"/>
    <x v="0"/>
    <x v="1"/>
    <x v="0"/>
    <x v="0"/>
    <s v="Summer Dress"/>
    <n v="1"/>
    <n v="33.99"/>
    <n v="0.15"/>
    <x v="1"/>
    <n v="28.89"/>
    <n v="18.41"/>
    <n v="10.48"/>
    <n v="1"/>
    <n v="0"/>
    <n v="6"/>
    <n v="4"/>
  </r>
  <r>
    <s v="SW-101083"/>
    <d v="2024-06-29T00:00:00"/>
    <x v="0"/>
    <s v="Q2"/>
    <x v="5"/>
    <x v="0"/>
    <x v="3"/>
    <x v="0"/>
    <x v="0"/>
    <s v="Denim Jacket"/>
    <n v="3"/>
    <n v="78.510000000000005"/>
    <n v="0"/>
    <x v="2"/>
    <n v="235.53"/>
    <n v="129.43"/>
    <n v="106.1"/>
    <n v="1"/>
    <n v="0"/>
    <n v="3"/>
    <n v="4"/>
  </r>
  <r>
    <s v="SW-101084"/>
    <d v="2024-06-29T00:00:00"/>
    <x v="0"/>
    <s v="Q2"/>
    <x v="5"/>
    <x v="0"/>
    <x v="2"/>
    <x v="1"/>
    <x v="1"/>
    <s v="Makeup Kit"/>
    <n v="1"/>
    <n v="74.3"/>
    <n v="0.15"/>
    <x v="1"/>
    <n v="63.15"/>
    <n v="34.89"/>
    <n v="28.26"/>
    <n v="1"/>
    <n v="0"/>
    <n v="4"/>
    <n v="4"/>
  </r>
  <r>
    <s v="SW-101085"/>
    <d v="2024-06-29T00:00:00"/>
    <x v="0"/>
    <s v="Q2"/>
    <x v="5"/>
    <x v="2"/>
    <x v="0"/>
    <x v="1"/>
    <x v="1"/>
    <s v="Skin Care Bundle"/>
    <n v="1"/>
    <n v="92.54"/>
    <n v="0.1"/>
    <x v="0"/>
    <n v="83.29"/>
    <n v="45.03"/>
    <n v="38.26"/>
    <n v="1"/>
    <n v="0"/>
    <n v="4"/>
    <n v="4"/>
  </r>
  <r>
    <s v="SW-101086"/>
    <d v="2024-06-29T00:00:00"/>
    <x v="0"/>
    <s v="Q2"/>
    <x v="5"/>
    <x v="0"/>
    <x v="3"/>
    <x v="1"/>
    <x v="5"/>
    <s v="Building Blocks"/>
    <n v="1"/>
    <n v="48.86"/>
    <n v="0.05"/>
    <x v="0"/>
    <n v="46.42"/>
    <n v="36.06"/>
    <n v="10.36"/>
    <n v="1"/>
    <n v="0"/>
    <n v="2"/>
    <n v="5"/>
  </r>
  <r>
    <s v="SW-101087"/>
    <d v="2024-06-29T00:00:00"/>
    <x v="0"/>
    <s v="Q2"/>
    <x v="5"/>
    <x v="2"/>
    <x v="0"/>
    <x v="1"/>
    <x v="1"/>
    <s v="Perfume 100ml"/>
    <n v="2"/>
    <n v="54.56"/>
    <n v="0.05"/>
    <x v="0"/>
    <n v="103.66"/>
    <n v="55.4"/>
    <n v="48.26"/>
    <n v="1"/>
    <n v="1"/>
    <n v="4"/>
    <n v="4"/>
  </r>
  <r>
    <s v="SW-101088"/>
    <d v="2024-06-29T00:00:00"/>
    <x v="0"/>
    <s v="Q2"/>
    <x v="5"/>
    <x v="1"/>
    <x v="2"/>
    <x v="0"/>
    <x v="5"/>
    <s v="Kids Puzzle"/>
    <n v="1"/>
    <n v="16.97"/>
    <n v="0.05"/>
    <x v="0"/>
    <n v="16.12"/>
    <n v="11.81"/>
    <n v="4.3099999999999996"/>
    <n v="1"/>
    <n v="0"/>
    <n v="3"/>
    <n v="4"/>
  </r>
  <r>
    <s v="SW-101089"/>
    <d v="2024-06-30T00:00:00"/>
    <x v="0"/>
    <s v="Q2"/>
    <x v="5"/>
    <x v="0"/>
    <x v="3"/>
    <x v="0"/>
    <x v="0"/>
    <s v="Cotton T-Shirt"/>
    <n v="1"/>
    <n v="19.41"/>
    <n v="0.1"/>
    <x v="0"/>
    <n v="17.47"/>
    <n v="10.8"/>
    <n v="6.67"/>
    <n v="1"/>
    <n v="1"/>
    <n v="4"/>
    <n v="3"/>
  </r>
  <r>
    <s v="SW-101090"/>
    <d v="2024-06-30T00:00:00"/>
    <x v="0"/>
    <s v="Q2"/>
    <x v="5"/>
    <x v="1"/>
    <x v="0"/>
    <x v="0"/>
    <x v="4"/>
    <s v="Tablet 10in"/>
    <n v="3"/>
    <n v="490.3"/>
    <n v="0.2"/>
    <x v="1"/>
    <n v="1176.72"/>
    <n v="1180.07"/>
    <n v="-3.35"/>
    <n v="1"/>
    <n v="0"/>
    <n v="3"/>
    <n v="4"/>
  </r>
  <r>
    <s v="SW-101091"/>
    <d v="2024-06-30T00:00:00"/>
    <x v="0"/>
    <s v="Q2"/>
    <x v="5"/>
    <x v="2"/>
    <x v="4"/>
    <x v="1"/>
    <x v="4"/>
    <s v="Smart Watch"/>
    <n v="1"/>
    <n v="216.08"/>
    <n v="0.15"/>
    <x v="1"/>
    <n v="183.67"/>
    <n v="178.98"/>
    <n v="4.6900000000000004"/>
    <n v="1"/>
    <n v="0"/>
    <n v="6"/>
    <n v="4"/>
  </r>
  <r>
    <s v="SW-101092"/>
    <d v="2024-06-30T00:00:00"/>
    <x v="0"/>
    <s v="Q2"/>
    <x v="5"/>
    <x v="0"/>
    <x v="0"/>
    <x v="0"/>
    <x v="4"/>
    <s v="Smart Watch"/>
    <n v="1"/>
    <n v="216.08"/>
    <n v="0.1"/>
    <x v="0"/>
    <n v="194.47"/>
    <n v="167.97"/>
    <n v="26.5"/>
    <n v="1"/>
    <n v="0"/>
    <n v="5"/>
    <n v="4"/>
  </r>
  <r>
    <s v="SW-101093"/>
    <d v="2024-06-30T00:00:00"/>
    <x v="0"/>
    <s v="Q2"/>
    <x v="5"/>
    <x v="2"/>
    <x v="2"/>
    <x v="1"/>
    <x v="0"/>
    <s v="Cotton T-Shirt"/>
    <n v="1"/>
    <n v="19.41"/>
    <n v="0"/>
    <x v="2"/>
    <n v="19.41"/>
    <n v="10.58"/>
    <n v="8.83"/>
    <n v="1"/>
    <n v="0"/>
    <n v="6"/>
    <n v="3"/>
  </r>
  <r>
    <s v="SW-101094"/>
    <d v="2024-06-30T00:00:00"/>
    <x v="0"/>
    <s v="Q2"/>
    <x v="5"/>
    <x v="1"/>
    <x v="3"/>
    <x v="0"/>
    <x v="0"/>
    <s v="Sunglasses"/>
    <n v="1"/>
    <n v="104.94"/>
    <n v="0.05"/>
    <x v="0"/>
    <n v="99.69"/>
    <n v="51.7"/>
    <n v="47.99"/>
    <n v="1"/>
    <n v="0"/>
    <n v="2"/>
    <n v="4"/>
  </r>
  <r>
    <s v="SW-101095"/>
    <d v="2024-06-30T00:00:00"/>
    <x v="0"/>
    <s v="Q2"/>
    <x v="5"/>
    <x v="0"/>
    <x v="3"/>
    <x v="1"/>
    <x v="4"/>
    <s v="Power Bank"/>
    <n v="2"/>
    <n v="508.8"/>
    <n v="0"/>
    <x v="2"/>
    <n v="1017.6"/>
    <n v="830.32"/>
    <n v="187.28"/>
    <n v="1"/>
    <n v="0"/>
    <n v="5"/>
    <n v="4"/>
  </r>
  <r>
    <s v="SW-101096"/>
    <d v="2024-06-30T00:00:00"/>
    <x v="0"/>
    <s v="Q2"/>
    <x v="5"/>
    <x v="2"/>
    <x v="2"/>
    <x v="1"/>
    <x v="5"/>
    <s v="Building Blocks"/>
    <n v="2"/>
    <n v="48.86"/>
    <n v="0.15"/>
    <x v="1"/>
    <n v="83.06"/>
    <n v="68.78"/>
    <n v="14.28"/>
    <n v="1"/>
    <n v="1"/>
    <n v="4"/>
    <n v="4"/>
  </r>
  <r>
    <s v="SW-101097"/>
    <d v="2024-06-30T00:00:00"/>
    <x v="0"/>
    <s v="Q2"/>
    <x v="5"/>
    <x v="0"/>
    <x v="2"/>
    <x v="1"/>
    <x v="5"/>
    <s v="Bestseller Novel"/>
    <n v="3"/>
    <n v="45.28"/>
    <n v="0.2"/>
    <x v="1"/>
    <n v="108.67"/>
    <n v="102.75"/>
    <n v="5.92"/>
    <n v="1"/>
    <n v="0"/>
    <n v="4"/>
    <n v="4"/>
  </r>
  <r>
    <s v="SW-101098"/>
    <d v="2024-06-30T00:00:00"/>
    <x v="0"/>
    <s v="Q2"/>
    <x v="5"/>
    <x v="2"/>
    <x v="3"/>
    <x v="0"/>
    <x v="0"/>
    <s v="Leather Handbag"/>
    <n v="1"/>
    <n v="138.5"/>
    <n v="0.05"/>
    <x v="0"/>
    <n v="131.57"/>
    <n v="71.650000000000006"/>
    <n v="59.92"/>
    <n v="1"/>
    <n v="0"/>
    <n v="4"/>
    <n v="5"/>
  </r>
  <r>
    <s v="SW-101099"/>
    <d v="2024-06-30T00:00:00"/>
    <x v="0"/>
    <s v="Q2"/>
    <x v="5"/>
    <x v="0"/>
    <x v="3"/>
    <x v="1"/>
    <x v="3"/>
    <s v="Yoga Mat"/>
    <n v="1"/>
    <n v="137.05000000000001"/>
    <n v="0"/>
    <x v="2"/>
    <n v="137.05000000000001"/>
    <n v="91.72"/>
    <n v="45.33"/>
    <n v="1"/>
    <n v="0"/>
    <n v="3"/>
    <n v="5"/>
  </r>
  <r>
    <s v="SW-101100"/>
    <d v="2024-06-30T00:00:00"/>
    <x v="0"/>
    <s v="Q2"/>
    <x v="5"/>
    <x v="0"/>
    <x v="4"/>
    <x v="0"/>
    <x v="2"/>
    <s v="Cookware Set"/>
    <n v="3"/>
    <n v="233.81"/>
    <n v="0"/>
    <x v="2"/>
    <n v="701.43"/>
    <n v="451.57"/>
    <n v="249.86"/>
    <n v="1"/>
    <n v="0"/>
    <n v="5"/>
    <n v="4"/>
  </r>
  <r>
    <s v="SW-101101"/>
    <d v="2024-06-30T00:00:00"/>
    <x v="0"/>
    <s v="Q2"/>
    <x v="5"/>
    <x v="0"/>
    <x v="2"/>
    <x v="1"/>
    <x v="2"/>
    <s v="Storage Boxes"/>
    <n v="1"/>
    <n v="154.66"/>
    <n v="0.1"/>
    <x v="0"/>
    <n v="139.19"/>
    <n v="100.05"/>
    <n v="39.14"/>
    <n v="1"/>
    <n v="0"/>
    <n v="3"/>
    <n v="4"/>
  </r>
  <r>
    <s v="SW-101102"/>
    <d v="2024-06-30T00:00:00"/>
    <x v="0"/>
    <s v="Q2"/>
    <x v="5"/>
    <x v="0"/>
    <x v="3"/>
    <x v="1"/>
    <x v="0"/>
    <s v="Summer Dress"/>
    <n v="3"/>
    <n v="33.99"/>
    <n v="0.05"/>
    <x v="0"/>
    <n v="96.87"/>
    <n v="58.22"/>
    <n v="38.65"/>
    <n v="1"/>
    <n v="0"/>
    <n v="2"/>
    <n v="5"/>
  </r>
  <r>
    <s v="SW-101103"/>
    <d v="2024-06-30T00:00:00"/>
    <x v="0"/>
    <s v="Q2"/>
    <x v="5"/>
    <x v="1"/>
    <x v="2"/>
    <x v="0"/>
    <x v="0"/>
    <s v="Cotton T-Shirt"/>
    <n v="1"/>
    <n v="19.41"/>
    <n v="0.1"/>
    <x v="0"/>
    <n v="17.47"/>
    <n v="10.42"/>
    <n v="7.05"/>
    <n v="1"/>
    <n v="0"/>
    <n v="4"/>
    <n v="5"/>
  </r>
  <r>
    <s v="SW-101104"/>
    <d v="2024-06-30T00:00:00"/>
    <x v="0"/>
    <s v="Q2"/>
    <x v="5"/>
    <x v="2"/>
    <x v="3"/>
    <x v="1"/>
    <x v="1"/>
    <s v="Makeup Kit"/>
    <n v="1"/>
    <n v="74.3"/>
    <n v="0.1"/>
    <x v="0"/>
    <n v="66.87"/>
    <n v="36.97"/>
    <n v="29.9"/>
    <n v="1"/>
    <n v="0"/>
    <n v="4"/>
    <n v="4"/>
  </r>
  <r>
    <s v="SW-101105"/>
    <d v="2024-07-01T00:00:00"/>
    <x v="0"/>
    <s v="Q3"/>
    <x v="6"/>
    <x v="0"/>
    <x v="2"/>
    <x v="0"/>
    <x v="2"/>
    <s v="Desk Lamp"/>
    <n v="4"/>
    <n v="117.63"/>
    <n v="0.2"/>
    <x v="1"/>
    <n v="376.42"/>
    <n v="301.22000000000003"/>
    <n v="75.2"/>
    <n v="1"/>
    <n v="0"/>
    <n v="4"/>
    <n v="4"/>
  </r>
  <r>
    <s v="SW-101106"/>
    <d v="2024-07-01T00:00:00"/>
    <x v="0"/>
    <s v="Q3"/>
    <x v="6"/>
    <x v="0"/>
    <x v="0"/>
    <x v="0"/>
    <x v="4"/>
    <s v="Tablet 10in"/>
    <n v="2"/>
    <n v="490.3"/>
    <n v="0.1"/>
    <x v="0"/>
    <n v="882.54"/>
    <n v="783.66"/>
    <n v="98.88"/>
    <n v="1"/>
    <n v="0"/>
    <n v="4"/>
    <n v="5"/>
  </r>
  <r>
    <s v="SW-101107"/>
    <d v="2024-07-01T00:00:00"/>
    <x v="0"/>
    <s v="Q3"/>
    <x v="6"/>
    <x v="0"/>
    <x v="3"/>
    <x v="1"/>
    <x v="2"/>
    <s v="Coffee Maker"/>
    <n v="1"/>
    <n v="148.05000000000001"/>
    <n v="0.1"/>
    <x v="0"/>
    <n v="133.24"/>
    <n v="100.23"/>
    <n v="33.01"/>
    <n v="1"/>
    <n v="0"/>
    <n v="2"/>
    <n v="5"/>
  </r>
  <r>
    <s v="SW-101108"/>
    <d v="2024-07-01T00:00:00"/>
    <x v="0"/>
    <s v="Q3"/>
    <x v="6"/>
    <x v="1"/>
    <x v="2"/>
    <x v="1"/>
    <x v="5"/>
    <s v="Building Blocks"/>
    <n v="2"/>
    <n v="48.86"/>
    <n v="0"/>
    <x v="2"/>
    <n v="97.72"/>
    <n v="67.75"/>
    <n v="29.97"/>
    <n v="1"/>
    <n v="0"/>
    <n v="3"/>
    <n v="4"/>
  </r>
  <r>
    <s v="SW-101109"/>
    <d v="2024-07-01T00:00:00"/>
    <x v="0"/>
    <s v="Q3"/>
    <x v="6"/>
    <x v="0"/>
    <x v="2"/>
    <x v="1"/>
    <x v="3"/>
    <s v="Cycling Helmet"/>
    <n v="1"/>
    <n v="85.42"/>
    <n v="0.05"/>
    <x v="0"/>
    <n v="81.150000000000006"/>
    <n v="54.51"/>
    <n v="26.64"/>
    <n v="1"/>
    <n v="0"/>
    <n v="3"/>
    <n v="4"/>
  </r>
  <r>
    <s v="SW-101110"/>
    <d v="2024-07-02T00:00:00"/>
    <x v="0"/>
    <s v="Q3"/>
    <x v="6"/>
    <x v="1"/>
    <x v="3"/>
    <x v="1"/>
    <x v="0"/>
    <s v="Denim Jacket"/>
    <n v="1"/>
    <n v="78.510000000000005"/>
    <n v="0.25"/>
    <x v="3"/>
    <n v="58.88"/>
    <n v="42.12"/>
    <n v="16.760000000000002"/>
    <n v="1"/>
    <n v="0"/>
    <n v="3"/>
    <n v="4"/>
  </r>
  <r>
    <s v="SW-101111"/>
    <d v="2024-07-02T00:00:00"/>
    <x v="0"/>
    <s v="Q3"/>
    <x v="6"/>
    <x v="0"/>
    <x v="0"/>
    <x v="1"/>
    <x v="5"/>
    <s v="Kids Puzzle"/>
    <n v="1"/>
    <n v="16.97"/>
    <n v="0"/>
    <x v="2"/>
    <n v="16.97"/>
    <n v="11.96"/>
    <n v="5.01"/>
    <n v="1"/>
    <n v="0"/>
    <n v="6"/>
    <n v="4"/>
  </r>
  <r>
    <s v="SW-101112"/>
    <d v="2024-07-02T00:00:00"/>
    <x v="0"/>
    <s v="Q3"/>
    <x v="6"/>
    <x v="2"/>
    <x v="2"/>
    <x v="1"/>
    <x v="3"/>
    <s v="Yoga Mat"/>
    <n v="3"/>
    <n v="137.05000000000001"/>
    <n v="0"/>
    <x v="2"/>
    <n v="411.15"/>
    <n v="280.2"/>
    <n v="130.94999999999999"/>
    <n v="1"/>
    <n v="0"/>
    <n v="3"/>
    <n v="4"/>
  </r>
  <r>
    <s v="SW-101113"/>
    <d v="2024-07-03T00:00:00"/>
    <x v="0"/>
    <s v="Q3"/>
    <x v="6"/>
    <x v="2"/>
    <x v="2"/>
    <x v="1"/>
    <x v="1"/>
    <s v="Perfume 100ml"/>
    <n v="1"/>
    <n v="54.56"/>
    <n v="0.1"/>
    <x v="0"/>
    <n v="49.1"/>
    <n v="27.16"/>
    <n v="21.94"/>
    <n v="1"/>
    <n v="0"/>
    <n v="4"/>
    <n v="4"/>
  </r>
  <r>
    <s v="SW-101114"/>
    <d v="2024-07-03T00:00:00"/>
    <x v="0"/>
    <s v="Q3"/>
    <x v="6"/>
    <x v="1"/>
    <x v="0"/>
    <x v="1"/>
    <x v="3"/>
    <s v="Yoga Mat"/>
    <n v="1"/>
    <n v="137.05000000000001"/>
    <n v="0"/>
    <x v="2"/>
    <n v="137.05000000000001"/>
    <n v="91.31"/>
    <n v="45.74"/>
    <n v="1"/>
    <n v="0"/>
    <n v="3"/>
    <n v="4"/>
  </r>
  <r>
    <s v="SW-101115"/>
    <d v="2024-07-03T00:00:00"/>
    <x v="0"/>
    <s v="Q3"/>
    <x v="6"/>
    <x v="0"/>
    <x v="0"/>
    <x v="0"/>
    <x v="0"/>
    <s v="Running Sneakers"/>
    <n v="2"/>
    <n v="94.85"/>
    <n v="0.1"/>
    <x v="0"/>
    <n v="170.73"/>
    <n v="103.91"/>
    <n v="66.819999999999993"/>
    <n v="1"/>
    <n v="0"/>
    <n v="3"/>
    <n v="4"/>
  </r>
  <r>
    <s v="SW-101116"/>
    <d v="2024-07-03T00:00:00"/>
    <x v="0"/>
    <s v="Q3"/>
    <x v="6"/>
    <x v="2"/>
    <x v="0"/>
    <x v="1"/>
    <x v="3"/>
    <s v="Camping Tent"/>
    <n v="1"/>
    <n v="83.06"/>
    <n v="0"/>
    <x v="2"/>
    <n v="83.06"/>
    <n v="54.42"/>
    <n v="28.64"/>
    <n v="1"/>
    <n v="1"/>
    <n v="3"/>
    <n v="3"/>
  </r>
  <r>
    <s v="SW-101117"/>
    <d v="2024-07-03T00:00:00"/>
    <x v="0"/>
    <s v="Q3"/>
    <x v="6"/>
    <x v="0"/>
    <x v="3"/>
    <x v="1"/>
    <x v="5"/>
    <s v="Board Game"/>
    <n v="1"/>
    <n v="57.92"/>
    <n v="0.15"/>
    <x v="1"/>
    <n v="49.23"/>
    <n v="42.35"/>
    <n v="6.88"/>
    <n v="1"/>
    <n v="0"/>
    <n v="2"/>
    <n v="5"/>
  </r>
  <r>
    <s v="SW-101118"/>
    <d v="2024-07-03T00:00:00"/>
    <x v="0"/>
    <s v="Q3"/>
    <x v="6"/>
    <x v="1"/>
    <x v="2"/>
    <x v="0"/>
    <x v="0"/>
    <s v="Sunglasses"/>
    <n v="2"/>
    <n v="104.94"/>
    <n v="0.2"/>
    <x v="1"/>
    <n v="167.9"/>
    <n v="113.34"/>
    <n v="54.56"/>
    <n v="1"/>
    <n v="0"/>
    <n v="3"/>
    <n v="5"/>
  </r>
  <r>
    <s v="SW-101119"/>
    <d v="2024-07-03T00:00:00"/>
    <x v="0"/>
    <s v="Q3"/>
    <x v="6"/>
    <x v="0"/>
    <x v="2"/>
    <x v="0"/>
    <x v="0"/>
    <s v="Denim Jacket"/>
    <n v="1"/>
    <n v="78.510000000000005"/>
    <n v="0.05"/>
    <x v="0"/>
    <n v="74.58"/>
    <n v="42.99"/>
    <n v="31.59"/>
    <n v="1"/>
    <n v="1"/>
    <n v="3"/>
    <n v="2"/>
  </r>
  <r>
    <s v="SW-101120"/>
    <d v="2024-07-04T00:00:00"/>
    <x v="0"/>
    <s v="Q3"/>
    <x v="6"/>
    <x v="1"/>
    <x v="3"/>
    <x v="0"/>
    <x v="4"/>
    <s v="Bluetooth Speaker"/>
    <n v="1"/>
    <n v="177.65"/>
    <n v="0"/>
    <x v="2"/>
    <n v="177.65"/>
    <n v="142.87"/>
    <n v="34.78"/>
    <n v="1"/>
    <n v="0"/>
    <n v="4"/>
    <n v="3"/>
  </r>
  <r>
    <s v="SW-101121"/>
    <d v="2024-07-04T00:00:00"/>
    <x v="0"/>
    <s v="Q3"/>
    <x v="6"/>
    <x v="0"/>
    <x v="2"/>
    <x v="0"/>
    <x v="4"/>
    <s v="Bluetooth Speaker"/>
    <n v="1"/>
    <n v="177.65"/>
    <n v="0"/>
    <x v="2"/>
    <n v="177.65"/>
    <n v="146.93"/>
    <n v="30.72"/>
    <n v="1"/>
    <n v="0"/>
    <n v="4"/>
    <n v="4"/>
  </r>
  <r>
    <s v="SW-101122"/>
    <d v="2024-07-04T00:00:00"/>
    <x v="0"/>
    <s v="Q3"/>
    <x v="6"/>
    <x v="2"/>
    <x v="2"/>
    <x v="1"/>
    <x v="4"/>
    <s v="Power Bank"/>
    <n v="1"/>
    <n v="508.8"/>
    <n v="0.3"/>
    <x v="3"/>
    <n v="356.16"/>
    <n v="409.91"/>
    <n v="-53.75"/>
    <n v="1"/>
    <n v="0"/>
    <n v="4"/>
    <n v="4"/>
  </r>
  <r>
    <s v="SW-101123"/>
    <d v="2024-07-04T00:00:00"/>
    <x v="0"/>
    <s v="Q3"/>
    <x v="6"/>
    <x v="0"/>
    <x v="3"/>
    <x v="1"/>
    <x v="1"/>
    <s v="Makeup Kit"/>
    <n v="2"/>
    <n v="74.3"/>
    <n v="0.1"/>
    <x v="0"/>
    <n v="133.74"/>
    <n v="75.14"/>
    <n v="58.6"/>
    <n v="1"/>
    <n v="0"/>
    <n v="3"/>
    <n v="4"/>
  </r>
  <r>
    <s v="SW-101124"/>
    <d v="2024-07-04T00:00:00"/>
    <x v="0"/>
    <s v="Q3"/>
    <x v="6"/>
    <x v="0"/>
    <x v="0"/>
    <x v="1"/>
    <x v="5"/>
    <s v="Kids Puzzle"/>
    <n v="1"/>
    <n v="16.97"/>
    <n v="0.05"/>
    <x v="0"/>
    <n v="16.12"/>
    <n v="12.1"/>
    <n v="4.0199999999999996"/>
    <n v="1"/>
    <n v="0"/>
    <n v="4"/>
    <n v="5"/>
  </r>
  <r>
    <s v="SW-101125"/>
    <d v="2024-07-04T00:00:00"/>
    <x v="0"/>
    <s v="Q3"/>
    <x v="6"/>
    <x v="2"/>
    <x v="3"/>
    <x v="0"/>
    <x v="0"/>
    <s v="Sunglasses"/>
    <n v="2"/>
    <n v="104.94"/>
    <n v="0.2"/>
    <x v="1"/>
    <n v="167.9"/>
    <n v="116.87"/>
    <n v="51.03"/>
    <n v="1"/>
    <n v="1"/>
    <n v="2"/>
    <n v="3"/>
  </r>
  <r>
    <s v="SW-101126"/>
    <d v="2024-07-05T00:00:00"/>
    <x v="0"/>
    <s v="Q3"/>
    <x v="6"/>
    <x v="2"/>
    <x v="2"/>
    <x v="0"/>
    <x v="1"/>
    <s v="Perfume 100ml"/>
    <n v="2"/>
    <n v="54.56"/>
    <n v="0.3"/>
    <x v="3"/>
    <n v="76.38"/>
    <n v="51.53"/>
    <n v="24.85"/>
    <n v="1"/>
    <n v="0"/>
    <n v="3"/>
    <n v="4"/>
  </r>
  <r>
    <s v="SW-101127"/>
    <d v="2024-07-05T00:00:00"/>
    <x v="0"/>
    <s v="Q3"/>
    <x v="6"/>
    <x v="0"/>
    <x v="0"/>
    <x v="1"/>
    <x v="4"/>
    <s v="4K Action Camera"/>
    <n v="1"/>
    <n v="636.09"/>
    <n v="0.3"/>
    <x v="3"/>
    <n v="445.26"/>
    <n v="493.02"/>
    <n v="-47.76"/>
    <n v="1"/>
    <n v="0"/>
    <n v="3"/>
    <n v="4"/>
  </r>
  <r>
    <s v="SW-101128"/>
    <d v="2024-07-05T00:00:00"/>
    <x v="0"/>
    <s v="Q3"/>
    <x v="6"/>
    <x v="0"/>
    <x v="2"/>
    <x v="0"/>
    <x v="4"/>
    <s v="Smart Watch"/>
    <n v="4"/>
    <n v="216.08"/>
    <n v="0.15"/>
    <x v="1"/>
    <n v="734.67"/>
    <n v="666.31"/>
    <n v="68.36"/>
    <n v="1"/>
    <n v="0"/>
    <n v="5"/>
    <n v="4"/>
  </r>
  <r>
    <s v="SW-101129"/>
    <d v="2024-07-06T00:00:00"/>
    <x v="0"/>
    <s v="Q3"/>
    <x v="6"/>
    <x v="2"/>
    <x v="4"/>
    <x v="0"/>
    <x v="5"/>
    <s v="Kids Puzzle"/>
    <n v="1"/>
    <n v="16.97"/>
    <n v="0.1"/>
    <x v="0"/>
    <n v="15.27"/>
    <n v="12.75"/>
    <n v="2.52"/>
    <n v="1"/>
    <n v="0"/>
    <n v="6"/>
    <n v="4"/>
  </r>
  <r>
    <s v="SW-101130"/>
    <d v="2024-07-06T00:00:00"/>
    <x v="0"/>
    <s v="Q3"/>
    <x v="6"/>
    <x v="0"/>
    <x v="0"/>
    <x v="1"/>
    <x v="4"/>
    <s v="Bluetooth Speaker"/>
    <n v="2"/>
    <n v="177.65"/>
    <n v="0.05"/>
    <x v="0"/>
    <n v="337.54"/>
    <n v="288.75"/>
    <n v="48.79"/>
    <n v="1"/>
    <n v="0"/>
    <n v="3"/>
    <n v="4"/>
  </r>
  <r>
    <s v="SW-101131"/>
    <d v="2024-07-06T00:00:00"/>
    <x v="0"/>
    <s v="Q3"/>
    <x v="6"/>
    <x v="1"/>
    <x v="0"/>
    <x v="0"/>
    <x v="4"/>
    <s v="Power Bank"/>
    <n v="1"/>
    <n v="508.8"/>
    <n v="0"/>
    <x v="2"/>
    <n v="508.8"/>
    <n v="378.81"/>
    <n v="129.99"/>
    <n v="1"/>
    <n v="1"/>
    <n v="3"/>
    <n v="4"/>
  </r>
  <r>
    <s v="SW-101132"/>
    <d v="2024-07-06T00:00:00"/>
    <x v="0"/>
    <s v="Q3"/>
    <x v="6"/>
    <x v="0"/>
    <x v="2"/>
    <x v="1"/>
    <x v="4"/>
    <s v="Bluetooth Speaker"/>
    <n v="3"/>
    <n v="177.65"/>
    <n v="0.15"/>
    <x v="1"/>
    <n v="453.01"/>
    <n v="437.85"/>
    <n v="15.16"/>
    <n v="1"/>
    <n v="0"/>
    <n v="6"/>
    <n v="3"/>
  </r>
  <r>
    <s v="SW-101133"/>
    <d v="2024-07-06T00:00:00"/>
    <x v="0"/>
    <s v="Q3"/>
    <x v="6"/>
    <x v="0"/>
    <x v="2"/>
    <x v="1"/>
    <x v="0"/>
    <s v="Running Sneakers"/>
    <n v="1"/>
    <n v="94.85"/>
    <n v="0"/>
    <x v="2"/>
    <n v="94.85"/>
    <n v="48.36"/>
    <n v="46.49"/>
    <n v="1"/>
    <n v="0"/>
    <n v="3"/>
    <n v="4"/>
  </r>
  <r>
    <s v="SW-101134"/>
    <d v="2024-07-06T00:00:00"/>
    <x v="0"/>
    <s v="Q3"/>
    <x v="6"/>
    <x v="1"/>
    <x v="0"/>
    <x v="1"/>
    <x v="0"/>
    <s v="Running Sneakers"/>
    <n v="4"/>
    <n v="94.85"/>
    <n v="0.1"/>
    <x v="0"/>
    <n v="341.46"/>
    <n v="207.54"/>
    <n v="133.91999999999999"/>
    <n v="1"/>
    <n v="0"/>
    <n v="4"/>
    <n v="4"/>
  </r>
  <r>
    <s v="SW-101135"/>
    <d v="2024-07-07T00:00:00"/>
    <x v="0"/>
    <s v="Q3"/>
    <x v="6"/>
    <x v="0"/>
    <x v="4"/>
    <x v="0"/>
    <x v="0"/>
    <s v="Cotton T-Shirt"/>
    <n v="1"/>
    <n v="19.41"/>
    <n v="0.1"/>
    <x v="0"/>
    <n v="17.47"/>
    <n v="9.83"/>
    <n v="7.64"/>
    <n v="1"/>
    <n v="0"/>
    <n v="7"/>
    <n v="4"/>
  </r>
  <r>
    <s v="SW-101136"/>
    <d v="2024-07-07T00:00:00"/>
    <x v="0"/>
    <s v="Q3"/>
    <x v="6"/>
    <x v="1"/>
    <x v="2"/>
    <x v="1"/>
    <x v="5"/>
    <s v="Bestseller Novel"/>
    <n v="1"/>
    <n v="45.28"/>
    <n v="0.15"/>
    <x v="1"/>
    <n v="38.49"/>
    <n v="33.340000000000003"/>
    <n v="5.15"/>
    <n v="1"/>
    <n v="0"/>
    <n v="3"/>
    <n v="4"/>
  </r>
  <r>
    <s v="SW-101137"/>
    <d v="2024-07-08T00:00:00"/>
    <x v="0"/>
    <s v="Q3"/>
    <x v="6"/>
    <x v="0"/>
    <x v="2"/>
    <x v="1"/>
    <x v="0"/>
    <s v="Summer Dress"/>
    <n v="1"/>
    <n v="33.99"/>
    <n v="0.15"/>
    <x v="1"/>
    <n v="28.89"/>
    <n v="18.07"/>
    <n v="10.82"/>
    <n v="1"/>
    <n v="0"/>
    <n v="3"/>
    <n v="5"/>
  </r>
  <r>
    <s v="SW-101138"/>
    <d v="2024-07-08T00:00:00"/>
    <x v="0"/>
    <s v="Q3"/>
    <x v="6"/>
    <x v="0"/>
    <x v="2"/>
    <x v="0"/>
    <x v="4"/>
    <s v="Bluetooth Speaker"/>
    <n v="1"/>
    <n v="177.65"/>
    <n v="0.2"/>
    <x v="1"/>
    <n v="142.12"/>
    <n v="148.77000000000001"/>
    <n v="-6.65"/>
    <n v="1"/>
    <n v="0"/>
    <n v="5"/>
    <n v="5"/>
  </r>
  <r>
    <s v="SW-101139"/>
    <d v="2024-07-08T00:00:00"/>
    <x v="0"/>
    <s v="Q3"/>
    <x v="6"/>
    <x v="0"/>
    <x v="2"/>
    <x v="0"/>
    <x v="0"/>
    <s v="Sunglasses"/>
    <n v="1"/>
    <n v="104.94"/>
    <n v="0.2"/>
    <x v="1"/>
    <n v="83.95"/>
    <n v="55.48"/>
    <n v="28.47"/>
    <n v="1"/>
    <n v="0"/>
    <n v="4"/>
    <n v="5"/>
  </r>
  <r>
    <s v="SW-101140"/>
    <d v="2024-07-08T00:00:00"/>
    <x v="0"/>
    <s v="Q3"/>
    <x v="6"/>
    <x v="1"/>
    <x v="4"/>
    <x v="1"/>
    <x v="0"/>
    <s v="Denim Jacket"/>
    <n v="1"/>
    <n v="78.510000000000005"/>
    <n v="0.1"/>
    <x v="0"/>
    <n v="70.66"/>
    <n v="43.72"/>
    <n v="26.94"/>
    <n v="1"/>
    <n v="0"/>
    <n v="6"/>
    <n v="5"/>
  </r>
  <r>
    <s v="SW-101141"/>
    <d v="2024-07-08T00:00:00"/>
    <x v="0"/>
    <s v="Q3"/>
    <x v="6"/>
    <x v="1"/>
    <x v="3"/>
    <x v="1"/>
    <x v="4"/>
    <s v="Bluetooth Speaker"/>
    <n v="2"/>
    <n v="177.65"/>
    <n v="0"/>
    <x v="2"/>
    <n v="355.3"/>
    <n v="289.32"/>
    <n v="65.98"/>
    <n v="1"/>
    <n v="0"/>
    <n v="3"/>
    <n v="5"/>
  </r>
  <r>
    <s v="SW-101142"/>
    <d v="2024-07-09T00:00:00"/>
    <x v="0"/>
    <s v="Q3"/>
    <x v="6"/>
    <x v="2"/>
    <x v="0"/>
    <x v="1"/>
    <x v="0"/>
    <s v="Leather Handbag"/>
    <n v="1"/>
    <n v="138.5"/>
    <n v="0.2"/>
    <x v="1"/>
    <n v="110.8"/>
    <n v="73.349999999999994"/>
    <n v="37.450000000000003"/>
    <n v="1"/>
    <n v="0"/>
    <n v="5"/>
    <n v="4"/>
  </r>
  <r>
    <s v="SW-101143"/>
    <d v="2024-07-09T00:00:00"/>
    <x v="0"/>
    <s v="Q3"/>
    <x v="6"/>
    <x v="1"/>
    <x v="3"/>
    <x v="1"/>
    <x v="0"/>
    <s v="Cotton T-Shirt"/>
    <n v="2"/>
    <n v="19.41"/>
    <n v="0.1"/>
    <x v="0"/>
    <n v="34.94"/>
    <n v="20.94"/>
    <n v="14"/>
    <n v="1"/>
    <n v="0"/>
    <n v="2"/>
    <n v="5"/>
  </r>
  <r>
    <s v="SW-101144"/>
    <d v="2024-07-09T00:00:00"/>
    <x v="0"/>
    <s v="Q3"/>
    <x v="6"/>
    <x v="1"/>
    <x v="2"/>
    <x v="1"/>
    <x v="0"/>
    <s v="Leather Handbag"/>
    <n v="1"/>
    <n v="138.5"/>
    <n v="0.1"/>
    <x v="0"/>
    <n v="124.65"/>
    <n v="72.45"/>
    <n v="52.2"/>
    <n v="1"/>
    <n v="0"/>
    <n v="4"/>
    <n v="5"/>
  </r>
  <r>
    <s v="SW-101145"/>
    <d v="2024-07-09T00:00:00"/>
    <x v="0"/>
    <s v="Q3"/>
    <x v="6"/>
    <x v="0"/>
    <x v="3"/>
    <x v="0"/>
    <x v="4"/>
    <s v="Power Bank"/>
    <n v="1"/>
    <n v="508.8"/>
    <n v="0.15"/>
    <x v="1"/>
    <n v="432.48"/>
    <n v="396.85"/>
    <n v="35.630000000000003"/>
    <n v="1"/>
    <n v="0"/>
    <n v="2"/>
    <n v="5"/>
  </r>
  <r>
    <s v="SW-101146"/>
    <d v="2024-07-09T00:00:00"/>
    <x v="0"/>
    <s v="Q3"/>
    <x v="6"/>
    <x v="0"/>
    <x v="0"/>
    <x v="0"/>
    <x v="4"/>
    <s v="Tablet 10in"/>
    <n v="1"/>
    <n v="490.3"/>
    <n v="0.2"/>
    <x v="1"/>
    <n v="392.24"/>
    <n v="387.37"/>
    <n v="4.87"/>
    <n v="1"/>
    <n v="0"/>
    <n v="5"/>
    <n v="5"/>
  </r>
  <r>
    <s v="SW-101147"/>
    <d v="2024-07-09T00:00:00"/>
    <x v="0"/>
    <s v="Q3"/>
    <x v="6"/>
    <x v="1"/>
    <x v="3"/>
    <x v="1"/>
    <x v="0"/>
    <s v="Denim Jacket"/>
    <n v="1"/>
    <n v="78.510000000000005"/>
    <n v="0.1"/>
    <x v="0"/>
    <n v="70.66"/>
    <n v="44.83"/>
    <n v="25.83"/>
    <n v="1"/>
    <n v="0"/>
    <n v="3"/>
    <n v="4"/>
  </r>
  <r>
    <s v="SW-101148"/>
    <d v="2024-07-09T00:00:00"/>
    <x v="0"/>
    <s v="Q3"/>
    <x v="6"/>
    <x v="0"/>
    <x v="0"/>
    <x v="1"/>
    <x v="2"/>
    <s v="Coffee Maker"/>
    <n v="1"/>
    <n v="148.05000000000001"/>
    <n v="0.05"/>
    <x v="0"/>
    <n v="140.65"/>
    <n v="98.61"/>
    <n v="42.04"/>
    <n v="1"/>
    <n v="0"/>
    <n v="4"/>
    <n v="5"/>
  </r>
  <r>
    <s v="SW-101149"/>
    <d v="2024-07-10T00:00:00"/>
    <x v="0"/>
    <s v="Q3"/>
    <x v="6"/>
    <x v="1"/>
    <x v="4"/>
    <x v="1"/>
    <x v="3"/>
    <s v="Cycling Helmet"/>
    <n v="4"/>
    <n v="85.42"/>
    <n v="0"/>
    <x v="2"/>
    <n v="341.68"/>
    <n v="229.04"/>
    <n v="112.64"/>
    <n v="1"/>
    <n v="0"/>
    <n v="6"/>
    <n v="4"/>
  </r>
  <r>
    <s v="SW-101150"/>
    <d v="2024-07-10T00:00:00"/>
    <x v="0"/>
    <s v="Q3"/>
    <x v="6"/>
    <x v="0"/>
    <x v="0"/>
    <x v="1"/>
    <x v="2"/>
    <s v="Coffee Maker"/>
    <n v="1"/>
    <n v="148.05000000000001"/>
    <n v="0"/>
    <x v="2"/>
    <n v="148.05000000000001"/>
    <n v="100.06"/>
    <n v="47.99"/>
    <n v="1"/>
    <n v="0"/>
    <n v="4"/>
    <n v="4"/>
  </r>
  <r>
    <s v="SW-101151"/>
    <d v="2024-07-10T00:00:00"/>
    <x v="0"/>
    <s v="Q3"/>
    <x v="6"/>
    <x v="1"/>
    <x v="0"/>
    <x v="1"/>
    <x v="2"/>
    <s v="Air Fryer"/>
    <n v="1"/>
    <n v="68.349999999999994"/>
    <n v="0.1"/>
    <x v="0"/>
    <n v="61.51"/>
    <n v="44.3"/>
    <n v="17.21"/>
    <n v="1"/>
    <n v="0"/>
    <n v="5"/>
    <n v="5"/>
  </r>
  <r>
    <s v="SW-101152"/>
    <d v="2024-07-10T00:00:00"/>
    <x v="0"/>
    <s v="Q3"/>
    <x v="6"/>
    <x v="2"/>
    <x v="4"/>
    <x v="0"/>
    <x v="3"/>
    <s v="Camping Tent"/>
    <n v="2"/>
    <n v="83.06"/>
    <n v="0.1"/>
    <x v="0"/>
    <n v="149.51"/>
    <n v="108.27"/>
    <n v="41.24"/>
    <n v="1"/>
    <n v="0"/>
    <n v="5"/>
    <n v="5"/>
  </r>
  <r>
    <s v="SW-101153"/>
    <d v="2024-07-10T00:00:00"/>
    <x v="0"/>
    <s v="Q3"/>
    <x v="6"/>
    <x v="0"/>
    <x v="2"/>
    <x v="1"/>
    <x v="0"/>
    <s v="Running Sneakers"/>
    <n v="2"/>
    <n v="94.85"/>
    <n v="0.05"/>
    <x v="0"/>
    <n v="180.21"/>
    <n v="102.64"/>
    <n v="77.569999999999993"/>
    <n v="1"/>
    <n v="0"/>
    <n v="5"/>
    <n v="4"/>
  </r>
  <r>
    <s v="SW-101154"/>
    <d v="2024-07-10T00:00:00"/>
    <x v="0"/>
    <s v="Q3"/>
    <x v="6"/>
    <x v="1"/>
    <x v="0"/>
    <x v="1"/>
    <x v="1"/>
    <s v="Makeup Kit"/>
    <n v="4"/>
    <n v="74.3"/>
    <n v="0"/>
    <x v="2"/>
    <n v="297.2"/>
    <n v="139.30000000000001"/>
    <n v="157.9"/>
    <n v="1"/>
    <n v="0"/>
    <n v="3"/>
    <n v="5"/>
  </r>
  <r>
    <s v="SW-101155"/>
    <d v="2024-07-11T00:00:00"/>
    <x v="0"/>
    <s v="Q3"/>
    <x v="6"/>
    <x v="1"/>
    <x v="0"/>
    <x v="1"/>
    <x v="3"/>
    <s v="Dumbbell Set"/>
    <n v="4"/>
    <n v="198.42"/>
    <n v="0.1"/>
    <x v="0"/>
    <n v="714.31"/>
    <n v="531.16999999999996"/>
    <n v="183.14"/>
    <n v="1"/>
    <n v="0"/>
    <n v="5"/>
    <n v="4"/>
  </r>
  <r>
    <s v="SW-101156"/>
    <d v="2024-07-11T00:00:00"/>
    <x v="0"/>
    <s v="Q3"/>
    <x v="6"/>
    <x v="0"/>
    <x v="2"/>
    <x v="1"/>
    <x v="0"/>
    <s v="Summer Dress"/>
    <n v="3"/>
    <n v="33.99"/>
    <n v="0.05"/>
    <x v="0"/>
    <n v="96.87"/>
    <n v="56.07"/>
    <n v="40.799999999999997"/>
    <n v="1"/>
    <n v="0"/>
    <n v="5"/>
    <n v="3"/>
  </r>
  <r>
    <s v="SW-101157"/>
    <d v="2024-07-11T00:00:00"/>
    <x v="0"/>
    <s v="Q3"/>
    <x v="6"/>
    <x v="0"/>
    <x v="0"/>
    <x v="0"/>
    <x v="0"/>
    <s v="Running Sneakers"/>
    <n v="2"/>
    <n v="94.85"/>
    <n v="0.1"/>
    <x v="0"/>
    <n v="170.73"/>
    <n v="99.37"/>
    <n v="71.36"/>
    <n v="1"/>
    <n v="1"/>
    <n v="4"/>
    <n v="3"/>
  </r>
  <r>
    <s v="SW-101158"/>
    <d v="2024-07-12T00:00:00"/>
    <x v="0"/>
    <s v="Q3"/>
    <x v="6"/>
    <x v="0"/>
    <x v="3"/>
    <x v="0"/>
    <x v="0"/>
    <s v="Leather Handbag"/>
    <n v="1"/>
    <n v="138.5"/>
    <n v="0.25"/>
    <x v="3"/>
    <n v="103.88"/>
    <n v="74.98"/>
    <n v="28.9"/>
    <n v="1"/>
    <n v="0"/>
    <n v="3"/>
    <n v="4"/>
  </r>
  <r>
    <s v="SW-101159"/>
    <d v="2024-07-12T00:00:00"/>
    <x v="0"/>
    <s v="Q3"/>
    <x v="6"/>
    <x v="1"/>
    <x v="1"/>
    <x v="1"/>
    <x v="5"/>
    <s v="Bestseller Novel"/>
    <n v="1"/>
    <n v="45.28"/>
    <n v="0.25"/>
    <x v="3"/>
    <n v="33.96"/>
    <n v="32.92"/>
    <n v="1.04"/>
    <n v="1"/>
    <n v="0"/>
    <n v="6"/>
    <n v="4"/>
  </r>
  <r>
    <s v="SW-101160"/>
    <d v="2024-07-12T00:00:00"/>
    <x v="0"/>
    <s v="Q3"/>
    <x v="6"/>
    <x v="2"/>
    <x v="4"/>
    <x v="1"/>
    <x v="2"/>
    <s v="Cookware Set"/>
    <n v="1"/>
    <n v="233.81"/>
    <n v="0"/>
    <x v="2"/>
    <n v="233.81"/>
    <n v="149.83000000000001"/>
    <n v="83.98"/>
    <n v="1"/>
    <n v="0"/>
    <n v="6"/>
    <n v="4"/>
  </r>
  <r>
    <s v="SW-101161"/>
    <d v="2024-07-12T00:00:00"/>
    <x v="0"/>
    <s v="Q3"/>
    <x v="6"/>
    <x v="0"/>
    <x v="0"/>
    <x v="0"/>
    <x v="4"/>
    <s v="Power Bank"/>
    <n v="1"/>
    <n v="508.8"/>
    <n v="0.15"/>
    <x v="1"/>
    <n v="432.48"/>
    <n v="423.82"/>
    <n v="8.66"/>
    <n v="1"/>
    <n v="0"/>
    <n v="3"/>
    <n v="5"/>
  </r>
  <r>
    <s v="SW-101162"/>
    <d v="2024-07-12T00:00:00"/>
    <x v="0"/>
    <s v="Q3"/>
    <x v="6"/>
    <x v="1"/>
    <x v="3"/>
    <x v="0"/>
    <x v="4"/>
    <s v="4K Action Camera"/>
    <n v="1"/>
    <n v="636.09"/>
    <n v="0"/>
    <x v="2"/>
    <n v="636.09"/>
    <n v="498.33"/>
    <n v="137.76"/>
    <n v="1"/>
    <n v="0"/>
    <n v="4"/>
    <n v="5"/>
  </r>
  <r>
    <s v="SW-101163"/>
    <d v="2024-07-12T00:00:00"/>
    <x v="0"/>
    <s v="Q3"/>
    <x v="6"/>
    <x v="1"/>
    <x v="4"/>
    <x v="1"/>
    <x v="4"/>
    <s v="Tablet 10in"/>
    <n v="1"/>
    <n v="490.3"/>
    <n v="0"/>
    <x v="2"/>
    <n v="490.3"/>
    <n v="402.89"/>
    <n v="87.41"/>
    <n v="1"/>
    <n v="0"/>
    <n v="6"/>
    <n v="4"/>
  </r>
  <r>
    <s v="SW-101164"/>
    <d v="2024-07-13T00:00:00"/>
    <x v="0"/>
    <s v="Q3"/>
    <x v="6"/>
    <x v="2"/>
    <x v="1"/>
    <x v="1"/>
    <x v="3"/>
    <s v="Camping Tent"/>
    <n v="1"/>
    <n v="83.06"/>
    <n v="0"/>
    <x v="2"/>
    <n v="83.06"/>
    <n v="58.37"/>
    <n v="24.69"/>
    <n v="1"/>
    <n v="0"/>
    <n v="5"/>
    <n v="5"/>
  </r>
  <r>
    <s v="SW-101165"/>
    <d v="2024-07-13T00:00:00"/>
    <x v="0"/>
    <s v="Q3"/>
    <x v="6"/>
    <x v="0"/>
    <x v="0"/>
    <x v="1"/>
    <x v="4"/>
    <s v="Wireless Earbuds"/>
    <n v="1"/>
    <n v="588.41"/>
    <n v="0"/>
    <x v="2"/>
    <n v="588.41"/>
    <n v="464.13"/>
    <n v="124.28"/>
    <n v="1"/>
    <n v="0"/>
    <n v="4"/>
    <n v="4"/>
  </r>
  <r>
    <s v="SW-101166"/>
    <d v="2024-07-13T00:00:00"/>
    <x v="0"/>
    <s v="Q3"/>
    <x v="6"/>
    <x v="1"/>
    <x v="0"/>
    <x v="0"/>
    <x v="0"/>
    <s v="Sunglasses"/>
    <n v="1"/>
    <n v="104.94"/>
    <n v="0"/>
    <x v="2"/>
    <n v="104.94"/>
    <n v="59.18"/>
    <n v="45.76"/>
    <n v="1"/>
    <n v="0"/>
    <n v="4"/>
    <n v="5"/>
  </r>
  <r>
    <s v="SW-101167"/>
    <d v="2024-07-13T00:00:00"/>
    <x v="0"/>
    <s v="Q3"/>
    <x v="6"/>
    <x v="2"/>
    <x v="4"/>
    <x v="0"/>
    <x v="3"/>
    <s v="Camping Tent"/>
    <n v="1"/>
    <n v="83.06"/>
    <n v="0"/>
    <x v="2"/>
    <n v="83.06"/>
    <n v="54.91"/>
    <n v="28.15"/>
    <n v="1"/>
    <n v="0"/>
    <n v="7"/>
    <n v="4"/>
  </r>
  <r>
    <s v="SW-101168"/>
    <d v="2024-07-13T00:00:00"/>
    <x v="0"/>
    <s v="Q3"/>
    <x v="6"/>
    <x v="0"/>
    <x v="3"/>
    <x v="0"/>
    <x v="2"/>
    <s v="Storage Boxes"/>
    <n v="2"/>
    <n v="154.66"/>
    <n v="0.05"/>
    <x v="0"/>
    <n v="293.85000000000002"/>
    <n v="208.88"/>
    <n v="84.97"/>
    <n v="1"/>
    <n v="0"/>
    <n v="3"/>
    <n v="5"/>
  </r>
  <r>
    <s v="SW-101169"/>
    <d v="2024-07-13T00:00:00"/>
    <x v="0"/>
    <s v="Q3"/>
    <x v="6"/>
    <x v="1"/>
    <x v="0"/>
    <x v="1"/>
    <x v="4"/>
    <s v="Tablet 10in"/>
    <n v="1"/>
    <n v="490.3"/>
    <n v="0.05"/>
    <x v="0"/>
    <n v="465.78"/>
    <n v="363.67"/>
    <n v="102.11"/>
    <n v="1"/>
    <n v="0"/>
    <n v="7"/>
    <n v="2"/>
  </r>
  <r>
    <s v="SW-101170"/>
    <d v="2024-07-13T00:00:00"/>
    <x v="0"/>
    <s v="Q3"/>
    <x v="6"/>
    <x v="0"/>
    <x v="3"/>
    <x v="1"/>
    <x v="4"/>
    <s v="Power Bank"/>
    <n v="1"/>
    <n v="508.8"/>
    <n v="0.1"/>
    <x v="0"/>
    <n v="457.92"/>
    <n v="385.66"/>
    <n v="72.260000000000005"/>
    <n v="1"/>
    <n v="0"/>
    <n v="3"/>
    <n v="4"/>
  </r>
  <r>
    <s v="SW-101171"/>
    <d v="2024-07-14T00:00:00"/>
    <x v="0"/>
    <s v="Q3"/>
    <x v="6"/>
    <x v="0"/>
    <x v="4"/>
    <x v="0"/>
    <x v="3"/>
    <s v="Fitness Tracker"/>
    <n v="1"/>
    <n v="74.459999999999994"/>
    <n v="0.05"/>
    <x v="0"/>
    <n v="70.739999999999995"/>
    <n v="51.75"/>
    <n v="18.989999999999998"/>
    <n v="1"/>
    <n v="0"/>
    <n v="7"/>
    <n v="4"/>
  </r>
  <r>
    <s v="SW-101172"/>
    <d v="2024-07-14T00:00:00"/>
    <x v="0"/>
    <s v="Q3"/>
    <x v="6"/>
    <x v="1"/>
    <x v="0"/>
    <x v="1"/>
    <x v="3"/>
    <s v="Camping Tent"/>
    <n v="2"/>
    <n v="83.06"/>
    <n v="0"/>
    <x v="2"/>
    <n v="166.12"/>
    <n v="108.09"/>
    <n v="58.03"/>
    <n v="1"/>
    <n v="0"/>
    <n v="3"/>
    <n v="4"/>
  </r>
  <r>
    <s v="SW-101173"/>
    <d v="2024-07-14T00:00:00"/>
    <x v="0"/>
    <s v="Q3"/>
    <x v="6"/>
    <x v="1"/>
    <x v="2"/>
    <x v="1"/>
    <x v="0"/>
    <s v="Cotton T-Shirt"/>
    <n v="3"/>
    <n v="19.41"/>
    <n v="0.05"/>
    <x v="0"/>
    <n v="55.32"/>
    <n v="30.69"/>
    <n v="24.63"/>
    <n v="1"/>
    <n v="0"/>
    <n v="6"/>
    <n v="4"/>
  </r>
  <r>
    <s v="SW-101174"/>
    <d v="2024-07-15T00:00:00"/>
    <x v="0"/>
    <s v="Q3"/>
    <x v="6"/>
    <x v="0"/>
    <x v="4"/>
    <x v="0"/>
    <x v="0"/>
    <s v="Cotton T-Shirt"/>
    <n v="1"/>
    <n v="19.41"/>
    <n v="0.2"/>
    <x v="1"/>
    <n v="15.53"/>
    <n v="10.43"/>
    <n v="5.0999999999999996"/>
    <n v="1"/>
    <n v="0"/>
    <n v="6"/>
    <n v="4"/>
  </r>
  <r>
    <s v="SW-101175"/>
    <d v="2024-07-15T00:00:00"/>
    <x v="0"/>
    <s v="Q3"/>
    <x v="6"/>
    <x v="0"/>
    <x v="0"/>
    <x v="0"/>
    <x v="2"/>
    <s v="Coffee Maker"/>
    <n v="2"/>
    <n v="148.05000000000001"/>
    <n v="0.1"/>
    <x v="0"/>
    <n v="266.49"/>
    <n v="200.76"/>
    <n v="65.73"/>
    <n v="1"/>
    <n v="0"/>
    <n v="5"/>
    <n v="5"/>
  </r>
  <r>
    <s v="SW-101176"/>
    <d v="2024-07-15T00:00:00"/>
    <x v="0"/>
    <s v="Q3"/>
    <x v="6"/>
    <x v="0"/>
    <x v="0"/>
    <x v="1"/>
    <x v="4"/>
    <s v="Tablet 10in"/>
    <n v="2"/>
    <n v="490.3"/>
    <n v="0"/>
    <x v="2"/>
    <n v="980.6"/>
    <n v="799.61"/>
    <n v="180.99"/>
    <n v="1"/>
    <n v="0"/>
    <n v="4"/>
    <n v="5"/>
  </r>
  <r>
    <s v="SW-101177"/>
    <d v="2024-07-16T00:00:00"/>
    <x v="0"/>
    <s v="Q3"/>
    <x v="6"/>
    <x v="1"/>
    <x v="2"/>
    <x v="1"/>
    <x v="4"/>
    <s v="Tablet 10in"/>
    <n v="1"/>
    <n v="490.3"/>
    <n v="0"/>
    <x v="2"/>
    <n v="490.3"/>
    <n v="382.02"/>
    <n v="108.28"/>
    <n v="1"/>
    <n v="0"/>
    <n v="3"/>
    <n v="5"/>
  </r>
  <r>
    <s v="SW-101178"/>
    <d v="2024-07-16T00:00:00"/>
    <x v="0"/>
    <s v="Q3"/>
    <x v="6"/>
    <x v="0"/>
    <x v="3"/>
    <x v="1"/>
    <x v="4"/>
    <s v="Tablet 10in"/>
    <n v="1"/>
    <n v="490.3"/>
    <n v="0.15"/>
    <x v="1"/>
    <n v="416.76"/>
    <n v="399.77"/>
    <n v="16.989999999999998"/>
    <n v="1"/>
    <n v="0"/>
    <n v="2"/>
    <n v="4"/>
  </r>
  <r>
    <s v="SW-101179"/>
    <d v="2024-07-16T00:00:00"/>
    <x v="0"/>
    <s v="Q3"/>
    <x v="6"/>
    <x v="0"/>
    <x v="3"/>
    <x v="1"/>
    <x v="2"/>
    <s v="Cookware Set"/>
    <n v="2"/>
    <n v="233.81"/>
    <n v="0"/>
    <x v="2"/>
    <n v="467.62"/>
    <n v="311.99"/>
    <n v="155.63"/>
    <n v="1"/>
    <n v="0"/>
    <n v="2"/>
    <n v="4"/>
  </r>
  <r>
    <s v="SW-101180"/>
    <d v="2024-07-16T00:00:00"/>
    <x v="0"/>
    <s v="Q3"/>
    <x v="6"/>
    <x v="2"/>
    <x v="2"/>
    <x v="0"/>
    <x v="1"/>
    <s v="Makeup Kit"/>
    <n v="1"/>
    <n v="74.3"/>
    <n v="0"/>
    <x v="2"/>
    <n v="74.3"/>
    <n v="34.03"/>
    <n v="40.270000000000003"/>
    <n v="1"/>
    <n v="0"/>
    <n v="5"/>
    <n v="5"/>
  </r>
  <r>
    <s v="SW-101181"/>
    <d v="2024-07-16T00:00:00"/>
    <x v="0"/>
    <s v="Q3"/>
    <x v="6"/>
    <x v="0"/>
    <x v="0"/>
    <x v="1"/>
    <x v="4"/>
    <s v="Power Bank"/>
    <n v="1"/>
    <n v="508.8"/>
    <n v="0"/>
    <x v="2"/>
    <n v="508.8"/>
    <n v="394.29"/>
    <n v="114.51"/>
    <n v="1"/>
    <n v="0"/>
    <n v="5"/>
    <n v="5"/>
  </r>
  <r>
    <s v="SW-101182"/>
    <d v="2024-07-16T00:00:00"/>
    <x v="0"/>
    <s v="Q3"/>
    <x v="6"/>
    <x v="0"/>
    <x v="0"/>
    <x v="0"/>
    <x v="2"/>
    <s v="Desk Lamp"/>
    <n v="1"/>
    <n v="117.63"/>
    <n v="0.1"/>
    <x v="0"/>
    <n v="105.87"/>
    <n v="77.92"/>
    <n v="27.95"/>
    <n v="1"/>
    <n v="0"/>
    <n v="5"/>
    <n v="5"/>
  </r>
  <r>
    <s v="SW-101183"/>
    <d v="2024-07-16T00:00:00"/>
    <x v="0"/>
    <s v="Q3"/>
    <x v="6"/>
    <x v="0"/>
    <x v="0"/>
    <x v="0"/>
    <x v="4"/>
    <s v="Tablet 10in"/>
    <n v="1"/>
    <n v="490.3"/>
    <n v="0"/>
    <x v="2"/>
    <n v="490.3"/>
    <n v="382.97"/>
    <n v="107.33"/>
    <n v="1"/>
    <n v="0"/>
    <n v="3"/>
    <n v="4"/>
  </r>
  <r>
    <s v="SW-101184"/>
    <d v="2024-07-16T00:00:00"/>
    <x v="0"/>
    <s v="Q3"/>
    <x v="6"/>
    <x v="0"/>
    <x v="4"/>
    <x v="1"/>
    <x v="3"/>
    <s v="Cycling Helmet"/>
    <n v="1"/>
    <n v="85.42"/>
    <n v="0"/>
    <x v="2"/>
    <n v="85.42"/>
    <n v="55.23"/>
    <n v="30.19"/>
    <n v="1"/>
    <n v="0"/>
    <n v="6"/>
    <n v="4"/>
  </r>
  <r>
    <s v="SW-101185"/>
    <d v="2024-07-17T00:00:00"/>
    <x v="0"/>
    <s v="Q3"/>
    <x v="6"/>
    <x v="0"/>
    <x v="3"/>
    <x v="0"/>
    <x v="0"/>
    <s v="Denim Jacket"/>
    <n v="1"/>
    <n v="78.510000000000005"/>
    <n v="0"/>
    <x v="2"/>
    <n v="78.510000000000005"/>
    <n v="39.6"/>
    <n v="38.909999999999997"/>
    <n v="1"/>
    <n v="0"/>
    <n v="5"/>
    <n v="5"/>
  </r>
  <r>
    <s v="SW-101186"/>
    <d v="2024-07-17T00:00:00"/>
    <x v="0"/>
    <s v="Q3"/>
    <x v="6"/>
    <x v="0"/>
    <x v="3"/>
    <x v="0"/>
    <x v="5"/>
    <s v="Story Book Set"/>
    <n v="1"/>
    <n v="10.76"/>
    <n v="0"/>
    <x v="2"/>
    <n v="10.76"/>
    <n v="7.43"/>
    <n v="3.33"/>
    <n v="1"/>
    <n v="1"/>
    <n v="4"/>
    <n v="3"/>
  </r>
  <r>
    <s v="SW-101187"/>
    <d v="2024-07-17T00:00:00"/>
    <x v="0"/>
    <s v="Q3"/>
    <x v="6"/>
    <x v="0"/>
    <x v="3"/>
    <x v="0"/>
    <x v="4"/>
    <s v="4K Action Camera"/>
    <n v="2"/>
    <n v="636.09"/>
    <n v="0.05"/>
    <x v="0"/>
    <n v="1208.57"/>
    <n v="1063.27"/>
    <n v="145.30000000000001"/>
    <n v="1"/>
    <n v="0"/>
    <n v="4"/>
    <n v="5"/>
  </r>
  <r>
    <s v="SW-101188"/>
    <d v="2024-07-17T00:00:00"/>
    <x v="0"/>
    <s v="Q3"/>
    <x v="6"/>
    <x v="0"/>
    <x v="4"/>
    <x v="1"/>
    <x v="2"/>
    <s v="Cookware Set"/>
    <n v="4"/>
    <n v="233.81"/>
    <n v="0"/>
    <x v="2"/>
    <n v="935.24"/>
    <n v="625.74"/>
    <n v="309.5"/>
    <n v="1"/>
    <n v="0"/>
    <n v="5"/>
    <n v="4"/>
  </r>
  <r>
    <s v="SW-101189"/>
    <d v="2024-07-17T00:00:00"/>
    <x v="0"/>
    <s v="Q3"/>
    <x v="6"/>
    <x v="0"/>
    <x v="3"/>
    <x v="1"/>
    <x v="1"/>
    <s v="Skin Care Bundle"/>
    <n v="2"/>
    <n v="92.54"/>
    <n v="0.2"/>
    <x v="1"/>
    <n v="148.06"/>
    <n v="90.33"/>
    <n v="57.73"/>
    <n v="1"/>
    <n v="0"/>
    <n v="2"/>
    <n v="4"/>
  </r>
  <r>
    <s v="SW-101190"/>
    <d v="2024-07-17T00:00:00"/>
    <x v="0"/>
    <s v="Q3"/>
    <x v="6"/>
    <x v="0"/>
    <x v="2"/>
    <x v="0"/>
    <x v="2"/>
    <s v="Desk Lamp"/>
    <n v="1"/>
    <n v="117.63"/>
    <n v="0"/>
    <x v="2"/>
    <n v="117.63"/>
    <n v="78.319999999999993"/>
    <n v="39.31"/>
    <n v="1"/>
    <n v="1"/>
    <n v="7"/>
    <n v="3"/>
  </r>
  <r>
    <s v="SW-101191"/>
    <d v="2024-07-17T00:00:00"/>
    <x v="0"/>
    <s v="Q3"/>
    <x v="6"/>
    <x v="1"/>
    <x v="0"/>
    <x v="0"/>
    <x v="0"/>
    <s v="Cotton T-Shirt"/>
    <n v="1"/>
    <n v="19.41"/>
    <n v="0.25"/>
    <x v="3"/>
    <n v="14.56"/>
    <n v="10.46"/>
    <n v="4.0999999999999996"/>
    <n v="1"/>
    <n v="0"/>
    <n v="4"/>
    <n v="3"/>
  </r>
  <r>
    <s v="SW-101192"/>
    <d v="2024-07-17T00:00:00"/>
    <x v="0"/>
    <s v="Q3"/>
    <x v="6"/>
    <x v="0"/>
    <x v="2"/>
    <x v="1"/>
    <x v="2"/>
    <s v="Storage Boxes"/>
    <n v="1"/>
    <n v="154.66"/>
    <n v="0.1"/>
    <x v="0"/>
    <n v="139.19"/>
    <n v="104.69"/>
    <n v="34.5"/>
    <n v="1"/>
    <n v="0"/>
    <n v="3"/>
    <n v="5"/>
  </r>
  <r>
    <s v="SW-101193"/>
    <d v="2024-07-18T00:00:00"/>
    <x v="0"/>
    <s v="Q3"/>
    <x v="6"/>
    <x v="2"/>
    <x v="0"/>
    <x v="1"/>
    <x v="5"/>
    <s v="Bestseller Novel"/>
    <n v="4"/>
    <n v="45.28"/>
    <n v="0"/>
    <x v="2"/>
    <n v="181.12"/>
    <n v="133.06"/>
    <n v="48.06"/>
    <n v="1"/>
    <n v="1"/>
    <n v="6"/>
    <n v="2"/>
  </r>
  <r>
    <s v="SW-101194"/>
    <d v="2024-07-18T00:00:00"/>
    <x v="0"/>
    <s v="Q3"/>
    <x v="6"/>
    <x v="0"/>
    <x v="4"/>
    <x v="1"/>
    <x v="0"/>
    <s v="Leather Handbag"/>
    <n v="1"/>
    <n v="138.5"/>
    <n v="0"/>
    <x v="2"/>
    <n v="138.5"/>
    <n v="74.22"/>
    <n v="64.28"/>
    <n v="1"/>
    <n v="0"/>
    <n v="7"/>
    <n v="2"/>
  </r>
  <r>
    <s v="SW-101195"/>
    <d v="2024-07-18T00:00:00"/>
    <x v="0"/>
    <s v="Q3"/>
    <x v="6"/>
    <x v="0"/>
    <x v="0"/>
    <x v="1"/>
    <x v="1"/>
    <s v="Perfume 100ml"/>
    <n v="2"/>
    <n v="54.56"/>
    <n v="0.15"/>
    <x v="1"/>
    <n v="92.75"/>
    <n v="52.61"/>
    <n v="40.14"/>
    <n v="1"/>
    <n v="0"/>
    <n v="5"/>
    <n v="5"/>
  </r>
  <r>
    <s v="SW-101196"/>
    <d v="2024-07-18T00:00:00"/>
    <x v="0"/>
    <s v="Q3"/>
    <x v="6"/>
    <x v="1"/>
    <x v="2"/>
    <x v="0"/>
    <x v="0"/>
    <s v="Running Sneakers"/>
    <n v="1"/>
    <n v="94.85"/>
    <n v="0.2"/>
    <x v="1"/>
    <n v="75.88"/>
    <n v="54"/>
    <n v="21.88"/>
    <n v="1"/>
    <n v="0"/>
    <n v="4"/>
    <n v="5"/>
  </r>
  <r>
    <s v="SW-101197"/>
    <d v="2024-07-18T00:00:00"/>
    <x v="0"/>
    <s v="Q3"/>
    <x v="6"/>
    <x v="1"/>
    <x v="3"/>
    <x v="1"/>
    <x v="0"/>
    <s v="Summer Dress"/>
    <n v="1"/>
    <n v="33.99"/>
    <n v="0.2"/>
    <x v="1"/>
    <n v="27.19"/>
    <n v="17.899999999999999"/>
    <n v="9.2899999999999991"/>
    <n v="1"/>
    <n v="0"/>
    <n v="2"/>
    <n v="5"/>
  </r>
  <r>
    <s v="SW-101198"/>
    <d v="2024-07-18T00:00:00"/>
    <x v="0"/>
    <s v="Q3"/>
    <x v="6"/>
    <x v="0"/>
    <x v="2"/>
    <x v="1"/>
    <x v="1"/>
    <s v="Perfume 100ml"/>
    <n v="1"/>
    <n v="54.56"/>
    <n v="0.1"/>
    <x v="0"/>
    <n v="49.1"/>
    <n v="24.49"/>
    <n v="24.61"/>
    <n v="1"/>
    <n v="0"/>
    <n v="4"/>
    <n v="5"/>
  </r>
  <r>
    <s v="SW-101199"/>
    <d v="2024-07-19T00:00:00"/>
    <x v="0"/>
    <s v="Q3"/>
    <x v="6"/>
    <x v="0"/>
    <x v="0"/>
    <x v="1"/>
    <x v="2"/>
    <s v="Coffee Maker"/>
    <n v="1"/>
    <n v="148.05000000000001"/>
    <n v="0.1"/>
    <x v="0"/>
    <n v="133.24"/>
    <n v="100.4"/>
    <n v="32.840000000000003"/>
    <n v="1"/>
    <n v="0"/>
    <n v="4"/>
    <n v="3"/>
  </r>
  <r>
    <s v="SW-101200"/>
    <d v="2024-07-19T00:00:00"/>
    <x v="0"/>
    <s v="Q3"/>
    <x v="6"/>
    <x v="0"/>
    <x v="0"/>
    <x v="0"/>
    <x v="4"/>
    <s v="4K Action Camera"/>
    <n v="1"/>
    <n v="636.09"/>
    <n v="0.3"/>
    <x v="3"/>
    <n v="445.26"/>
    <n v="491.47"/>
    <n v="-46.21"/>
    <n v="1"/>
    <n v="0"/>
    <n v="3"/>
    <n v="4"/>
  </r>
  <r>
    <s v="SW-101201"/>
    <d v="2024-07-19T00:00:00"/>
    <x v="0"/>
    <s v="Q3"/>
    <x v="6"/>
    <x v="0"/>
    <x v="0"/>
    <x v="1"/>
    <x v="5"/>
    <s v="Story Book Set"/>
    <n v="1"/>
    <n v="10.76"/>
    <n v="0"/>
    <x v="2"/>
    <n v="10.76"/>
    <n v="7.89"/>
    <n v="2.87"/>
    <n v="1"/>
    <n v="0"/>
    <n v="4"/>
    <n v="5"/>
  </r>
  <r>
    <s v="SW-101202"/>
    <d v="2024-07-19T00:00:00"/>
    <x v="0"/>
    <s v="Q3"/>
    <x v="6"/>
    <x v="1"/>
    <x v="3"/>
    <x v="1"/>
    <x v="4"/>
    <s v="4K Action Camera"/>
    <n v="3"/>
    <n v="636.09"/>
    <n v="0.05"/>
    <x v="0"/>
    <n v="1812.86"/>
    <n v="1622.86"/>
    <n v="190"/>
    <n v="1"/>
    <n v="0"/>
    <n v="3"/>
    <n v="5"/>
  </r>
  <r>
    <s v="SW-101203"/>
    <d v="2024-07-20T00:00:00"/>
    <x v="0"/>
    <s v="Q3"/>
    <x v="6"/>
    <x v="2"/>
    <x v="1"/>
    <x v="1"/>
    <x v="4"/>
    <s v="4K Action Camera"/>
    <n v="1"/>
    <n v="636.09"/>
    <n v="0.1"/>
    <x v="0"/>
    <n v="572.48"/>
    <n v="505.2"/>
    <n v="67.28"/>
    <n v="1"/>
    <n v="0"/>
    <n v="7"/>
    <n v="4"/>
  </r>
  <r>
    <s v="SW-101204"/>
    <d v="2024-07-20T00:00:00"/>
    <x v="0"/>
    <s v="Q3"/>
    <x v="6"/>
    <x v="1"/>
    <x v="0"/>
    <x v="1"/>
    <x v="4"/>
    <s v="Wireless Earbuds"/>
    <n v="1"/>
    <n v="588.41"/>
    <n v="0"/>
    <x v="2"/>
    <n v="588.41"/>
    <n v="469.18"/>
    <n v="119.23"/>
    <n v="1"/>
    <n v="0"/>
    <n v="4"/>
    <n v="5"/>
  </r>
  <r>
    <s v="SW-101205"/>
    <d v="2024-07-20T00:00:00"/>
    <x v="0"/>
    <s v="Q3"/>
    <x v="6"/>
    <x v="1"/>
    <x v="2"/>
    <x v="0"/>
    <x v="5"/>
    <s v="Building Blocks"/>
    <n v="1"/>
    <n v="48.86"/>
    <n v="0.15"/>
    <x v="1"/>
    <n v="41.53"/>
    <n v="35.200000000000003"/>
    <n v="6.33"/>
    <n v="1"/>
    <n v="0"/>
    <n v="4"/>
    <n v="4"/>
  </r>
  <r>
    <s v="SW-101206"/>
    <d v="2024-07-20T00:00:00"/>
    <x v="0"/>
    <s v="Q3"/>
    <x v="6"/>
    <x v="0"/>
    <x v="3"/>
    <x v="1"/>
    <x v="2"/>
    <s v="Coffee Maker"/>
    <n v="2"/>
    <n v="148.05000000000001"/>
    <n v="0.05"/>
    <x v="0"/>
    <n v="281.3"/>
    <n v="197.49"/>
    <n v="83.81"/>
    <n v="1"/>
    <n v="0"/>
    <n v="3"/>
    <n v="4"/>
  </r>
  <r>
    <s v="SW-101207"/>
    <d v="2024-07-20T00:00:00"/>
    <x v="0"/>
    <s v="Q3"/>
    <x v="6"/>
    <x v="0"/>
    <x v="3"/>
    <x v="0"/>
    <x v="4"/>
    <s v="Bluetooth Speaker"/>
    <n v="3"/>
    <n v="177.65"/>
    <n v="0.05"/>
    <x v="0"/>
    <n v="506.3"/>
    <n v="420.43"/>
    <n v="85.87"/>
    <n v="1"/>
    <n v="0"/>
    <n v="2"/>
    <n v="4"/>
  </r>
  <r>
    <s v="SW-101208"/>
    <d v="2024-07-21T00:00:00"/>
    <x v="0"/>
    <s v="Q3"/>
    <x v="6"/>
    <x v="0"/>
    <x v="3"/>
    <x v="1"/>
    <x v="1"/>
    <s v="Hair Dryer"/>
    <n v="1"/>
    <n v="33.18"/>
    <n v="0.1"/>
    <x v="0"/>
    <n v="29.86"/>
    <n v="15.99"/>
    <n v="13.87"/>
    <n v="1"/>
    <n v="0"/>
    <n v="2"/>
    <n v="4"/>
  </r>
  <r>
    <s v="SW-101209"/>
    <d v="2024-07-21T00:00:00"/>
    <x v="0"/>
    <s v="Q3"/>
    <x v="6"/>
    <x v="0"/>
    <x v="2"/>
    <x v="1"/>
    <x v="1"/>
    <s v="Hair Dryer"/>
    <n v="1"/>
    <n v="33.18"/>
    <n v="0"/>
    <x v="2"/>
    <n v="33.18"/>
    <n v="15.72"/>
    <n v="17.46"/>
    <n v="1"/>
    <n v="0"/>
    <n v="5"/>
    <n v="4"/>
  </r>
  <r>
    <s v="SW-101210"/>
    <d v="2024-07-21T00:00:00"/>
    <x v="0"/>
    <s v="Q3"/>
    <x v="6"/>
    <x v="2"/>
    <x v="0"/>
    <x v="1"/>
    <x v="0"/>
    <s v="Denim Jacket"/>
    <n v="1"/>
    <n v="78.510000000000005"/>
    <n v="0"/>
    <x v="2"/>
    <n v="78.510000000000005"/>
    <n v="43.44"/>
    <n v="35.07"/>
    <n v="1"/>
    <n v="1"/>
    <n v="3"/>
    <n v="4"/>
  </r>
  <r>
    <s v="SW-101211"/>
    <d v="2024-07-21T00:00:00"/>
    <x v="0"/>
    <s v="Q3"/>
    <x v="6"/>
    <x v="0"/>
    <x v="2"/>
    <x v="1"/>
    <x v="1"/>
    <s v="Face Serum"/>
    <n v="1"/>
    <n v="33.479999999999997"/>
    <n v="0"/>
    <x v="2"/>
    <n v="33.479999999999997"/>
    <n v="15.75"/>
    <n v="17.73"/>
    <n v="1"/>
    <n v="0"/>
    <n v="5"/>
    <n v="3"/>
  </r>
  <r>
    <s v="SW-101212"/>
    <d v="2024-07-21T00:00:00"/>
    <x v="0"/>
    <s v="Q3"/>
    <x v="6"/>
    <x v="2"/>
    <x v="4"/>
    <x v="0"/>
    <x v="2"/>
    <s v="Storage Boxes"/>
    <n v="1"/>
    <n v="154.66"/>
    <n v="0.05"/>
    <x v="0"/>
    <n v="146.93"/>
    <n v="105.9"/>
    <n v="41.03"/>
    <n v="1"/>
    <n v="0"/>
    <n v="5"/>
    <n v="4"/>
  </r>
  <r>
    <s v="SW-101213"/>
    <d v="2024-07-21T00:00:00"/>
    <x v="0"/>
    <s v="Q3"/>
    <x v="6"/>
    <x v="1"/>
    <x v="3"/>
    <x v="1"/>
    <x v="0"/>
    <s v="Running Sneakers"/>
    <n v="1"/>
    <n v="94.85"/>
    <n v="0.05"/>
    <x v="0"/>
    <n v="90.11"/>
    <n v="52.37"/>
    <n v="37.74"/>
    <n v="1"/>
    <n v="0"/>
    <n v="2"/>
    <n v="5"/>
  </r>
  <r>
    <s v="SW-101214"/>
    <d v="2024-07-22T00:00:00"/>
    <x v="0"/>
    <s v="Q3"/>
    <x v="6"/>
    <x v="0"/>
    <x v="4"/>
    <x v="1"/>
    <x v="5"/>
    <s v="Board Game"/>
    <n v="2"/>
    <n v="57.92"/>
    <n v="0.05"/>
    <x v="0"/>
    <n v="110.05"/>
    <n v="84.18"/>
    <n v="25.87"/>
    <n v="1"/>
    <n v="0"/>
    <n v="6"/>
    <n v="3"/>
  </r>
  <r>
    <s v="SW-101215"/>
    <d v="2024-07-22T00:00:00"/>
    <x v="0"/>
    <s v="Q3"/>
    <x v="6"/>
    <x v="0"/>
    <x v="2"/>
    <x v="1"/>
    <x v="1"/>
    <s v="Hair Dryer"/>
    <n v="1"/>
    <n v="33.18"/>
    <n v="0.2"/>
    <x v="1"/>
    <n v="26.54"/>
    <n v="15.34"/>
    <n v="11.2"/>
    <n v="1"/>
    <n v="0"/>
    <n v="3"/>
    <n v="5"/>
  </r>
  <r>
    <s v="SW-101216"/>
    <d v="2024-07-22T00:00:00"/>
    <x v="0"/>
    <s v="Q3"/>
    <x v="6"/>
    <x v="0"/>
    <x v="0"/>
    <x v="1"/>
    <x v="4"/>
    <s v="Smart Watch"/>
    <n v="2"/>
    <n v="216.08"/>
    <n v="0.05"/>
    <x v="0"/>
    <n v="410.55"/>
    <n v="348.43"/>
    <n v="62.12"/>
    <n v="1"/>
    <n v="0"/>
    <n v="5"/>
    <n v="5"/>
  </r>
  <r>
    <s v="SW-101217"/>
    <d v="2024-07-23T00:00:00"/>
    <x v="0"/>
    <s v="Q3"/>
    <x v="6"/>
    <x v="0"/>
    <x v="3"/>
    <x v="0"/>
    <x v="1"/>
    <s v="Face Serum"/>
    <n v="1"/>
    <n v="33.479999999999997"/>
    <n v="0"/>
    <x v="2"/>
    <n v="33.479999999999997"/>
    <n v="16.27"/>
    <n v="17.21"/>
    <n v="1"/>
    <n v="0"/>
    <n v="4"/>
    <n v="5"/>
  </r>
  <r>
    <s v="SW-101218"/>
    <d v="2024-07-23T00:00:00"/>
    <x v="0"/>
    <s v="Q3"/>
    <x v="6"/>
    <x v="1"/>
    <x v="2"/>
    <x v="0"/>
    <x v="1"/>
    <s v="Makeup Kit"/>
    <n v="1"/>
    <n v="74.3"/>
    <n v="0.2"/>
    <x v="1"/>
    <n v="59.44"/>
    <n v="36.729999999999997"/>
    <n v="22.71"/>
    <n v="1"/>
    <n v="0"/>
    <n v="4"/>
    <n v="3"/>
  </r>
  <r>
    <s v="SW-101219"/>
    <d v="2024-07-23T00:00:00"/>
    <x v="0"/>
    <s v="Q3"/>
    <x v="6"/>
    <x v="0"/>
    <x v="0"/>
    <x v="1"/>
    <x v="0"/>
    <s v="Running Sneakers"/>
    <n v="1"/>
    <n v="94.85"/>
    <n v="0.2"/>
    <x v="1"/>
    <n v="75.88"/>
    <n v="50.14"/>
    <n v="25.74"/>
    <n v="1"/>
    <n v="0"/>
    <n v="8"/>
    <n v="3"/>
  </r>
  <r>
    <s v="SW-101220"/>
    <d v="2024-07-23T00:00:00"/>
    <x v="0"/>
    <s v="Q3"/>
    <x v="6"/>
    <x v="1"/>
    <x v="0"/>
    <x v="0"/>
    <x v="0"/>
    <s v="Denim Jacket"/>
    <n v="1"/>
    <n v="78.510000000000005"/>
    <n v="0"/>
    <x v="2"/>
    <n v="78.510000000000005"/>
    <n v="42.45"/>
    <n v="36.06"/>
    <n v="1"/>
    <n v="1"/>
    <n v="3"/>
    <n v="3"/>
  </r>
  <r>
    <s v="SW-101221"/>
    <d v="2024-07-23T00:00:00"/>
    <x v="0"/>
    <s v="Q3"/>
    <x v="6"/>
    <x v="2"/>
    <x v="0"/>
    <x v="1"/>
    <x v="2"/>
    <s v="Air Fryer"/>
    <n v="1"/>
    <n v="68.349999999999994"/>
    <n v="0"/>
    <x v="2"/>
    <n v="68.349999999999994"/>
    <n v="44.33"/>
    <n v="24.02"/>
    <n v="1"/>
    <n v="0"/>
    <n v="3"/>
    <n v="5"/>
  </r>
  <r>
    <s v="SW-101222"/>
    <d v="2024-07-23T00:00:00"/>
    <x v="0"/>
    <s v="Q3"/>
    <x v="6"/>
    <x v="1"/>
    <x v="2"/>
    <x v="0"/>
    <x v="2"/>
    <s v="Bed Sheet Set"/>
    <n v="3"/>
    <n v="90.75"/>
    <n v="0.3"/>
    <x v="3"/>
    <n v="190.58"/>
    <n v="174"/>
    <n v="16.579999999999998"/>
    <n v="1"/>
    <n v="0"/>
    <n v="3"/>
    <n v="4"/>
  </r>
  <r>
    <s v="SW-101223"/>
    <d v="2024-07-24T00:00:00"/>
    <x v="0"/>
    <s v="Q3"/>
    <x v="6"/>
    <x v="1"/>
    <x v="0"/>
    <x v="1"/>
    <x v="4"/>
    <s v="Smart Watch"/>
    <n v="1"/>
    <n v="216.08"/>
    <n v="0.1"/>
    <x v="0"/>
    <n v="194.47"/>
    <n v="172.54"/>
    <n v="21.93"/>
    <n v="1"/>
    <n v="0"/>
    <n v="5"/>
    <n v="4"/>
  </r>
  <r>
    <s v="SW-101224"/>
    <d v="2024-07-24T00:00:00"/>
    <x v="0"/>
    <s v="Q3"/>
    <x v="6"/>
    <x v="0"/>
    <x v="1"/>
    <x v="0"/>
    <x v="1"/>
    <s v="Makeup Kit"/>
    <n v="1"/>
    <n v="74.3"/>
    <n v="0.15"/>
    <x v="1"/>
    <n v="63.15"/>
    <n v="34.630000000000003"/>
    <n v="28.52"/>
    <n v="1"/>
    <n v="1"/>
    <n v="6"/>
    <n v="2"/>
  </r>
  <r>
    <s v="SW-101225"/>
    <d v="2024-07-24T00:00:00"/>
    <x v="0"/>
    <s v="Q3"/>
    <x v="6"/>
    <x v="1"/>
    <x v="3"/>
    <x v="0"/>
    <x v="2"/>
    <s v="Desk Lamp"/>
    <n v="1"/>
    <n v="117.63"/>
    <n v="0.2"/>
    <x v="1"/>
    <n v="94.1"/>
    <n v="79.16"/>
    <n v="14.94"/>
    <n v="1"/>
    <n v="0"/>
    <n v="2"/>
    <n v="5"/>
  </r>
  <r>
    <s v="SW-101226"/>
    <d v="2024-07-25T00:00:00"/>
    <x v="0"/>
    <s v="Q3"/>
    <x v="6"/>
    <x v="0"/>
    <x v="2"/>
    <x v="1"/>
    <x v="5"/>
    <s v="Board Game"/>
    <n v="1"/>
    <n v="57.92"/>
    <n v="0.05"/>
    <x v="0"/>
    <n v="55.02"/>
    <n v="42.83"/>
    <n v="12.19"/>
    <n v="1"/>
    <n v="0"/>
    <n v="4"/>
    <n v="4"/>
  </r>
  <r>
    <s v="SW-101227"/>
    <d v="2024-07-25T00:00:00"/>
    <x v="0"/>
    <s v="Q3"/>
    <x v="6"/>
    <x v="0"/>
    <x v="3"/>
    <x v="1"/>
    <x v="0"/>
    <s v="Running Sneakers"/>
    <n v="1"/>
    <n v="94.85"/>
    <n v="0"/>
    <x v="2"/>
    <n v="94.85"/>
    <n v="52.64"/>
    <n v="42.21"/>
    <n v="1"/>
    <n v="0"/>
    <n v="3"/>
    <n v="5"/>
  </r>
  <r>
    <s v="SW-101228"/>
    <d v="2024-07-25T00:00:00"/>
    <x v="0"/>
    <s v="Q3"/>
    <x v="6"/>
    <x v="0"/>
    <x v="4"/>
    <x v="0"/>
    <x v="0"/>
    <s v="Leather Handbag"/>
    <n v="2"/>
    <n v="138.5"/>
    <n v="0"/>
    <x v="2"/>
    <n v="277"/>
    <n v="151.68"/>
    <n v="125.32"/>
    <n v="1"/>
    <n v="0"/>
    <n v="6"/>
    <n v="5"/>
  </r>
  <r>
    <s v="SW-101229"/>
    <d v="2024-07-25T00:00:00"/>
    <x v="0"/>
    <s v="Q3"/>
    <x v="6"/>
    <x v="0"/>
    <x v="1"/>
    <x v="0"/>
    <x v="0"/>
    <s v="Cotton T-Shirt"/>
    <n v="1"/>
    <n v="19.41"/>
    <n v="0.3"/>
    <x v="3"/>
    <n v="13.59"/>
    <n v="10.24"/>
    <n v="3.35"/>
    <n v="1"/>
    <n v="0"/>
    <n v="5"/>
    <n v="4"/>
  </r>
  <r>
    <s v="SW-101230"/>
    <d v="2024-07-25T00:00:00"/>
    <x v="0"/>
    <s v="Q3"/>
    <x v="6"/>
    <x v="0"/>
    <x v="0"/>
    <x v="0"/>
    <x v="4"/>
    <s v="Smart Watch"/>
    <n v="1"/>
    <n v="216.08"/>
    <n v="0.15"/>
    <x v="1"/>
    <n v="183.67"/>
    <n v="177.28"/>
    <n v="6.39"/>
    <n v="1"/>
    <n v="0"/>
    <n v="3"/>
    <n v="5"/>
  </r>
  <r>
    <s v="SW-101231"/>
    <d v="2024-07-25T00:00:00"/>
    <x v="0"/>
    <s v="Q3"/>
    <x v="6"/>
    <x v="2"/>
    <x v="0"/>
    <x v="0"/>
    <x v="0"/>
    <s v="Summer Dress"/>
    <n v="1"/>
    <n v="33.99"/>
    <n v="0"/>
    <x v="2"/>
    <n v="33.99"/>
    <n v="17.920000000000002"/>
    <n v="16.07"/>
    <n v="1"/>
    <n v="0"/>
    <n v="4"/>
    <n v="4"/>
  </r>
  <r>
    <s v="SW-101232"/>
    <d v="2024-07-25T00:00:00"/>
    <x v="0"/>
    <s v="Q3"/>
    <x v="6"/>
    <x v="1"/>
    <x v="3"/>
    <x v="1"/>
    <x v="4"/>
    <s v="Wireless Earbuds"/>
    <n v="1"/>
    <n v="588.41"/>
    <n v="0.25"/>
    <x v="3"/>
    <n v="441.31"/>
    <n v="489.52"/>
    <n v="-48.21"/>
    <n v="1"/>
    <n v="0"/>
    <n v="3"/>
    <n v="5"/>
  </r>
  <r>
    <s v="SW-101233"/>
    <d v="2024-07-25T00:00:00"/>
    <x v="0"/>
    <s v="Q3"/>
    <x v="6"/>
    <x v="1"/>
    <x v="2"/>
    <x v="0"/>
    <x v="5"/>
    <s v="Kids Puzzle"/>
    <n v="2"/>
    <n v="16.97"/>
    <n v="0"/>
    <x v="2"/>
    <n v="33.94"/>
    <n v="25.4"/>
    <n v="8.5399999999999991"/>
    <n v="1"/>
    <n v="0"/>
    <n v="4"/>
    <n v="4"/>
  </r>
  <r>
    <s v="SW-101234"/>
    <d v="2024-07-25T00:00:00"/>
    <x v="0"/>
    <s v="Q3"/>
    <x v="6"/>
    <x v="2"/>
    <x v="3"/>
    <x v="0"/>
    <x v="5"/>
    <s v="Board Game"/>
    <n v="2"/>
    <n v="57.92"/>
    <n v="0.15"/>
    <x v="1"/>
    <n v="98.46"/>
    <n v="85.78"/>
    <n v="12.68"/>
    <n v="1"/>
    <n v="0"/>
    <n v="2"/>
    <n v="5"/>
  </r>
  <r>
    <s v="SW-101235"/>
    <d v="2024-07-26T00:00:00"/>
    <x v="0"/>
    <s v="Q3"/>
    <x v="6"/>
    <x v="1"/>
    <x v="2"/>
    <x v="0"/>
    <x v="3"/>
    <s v="Fitness Tracker"/>
    <n v="3"/>
    <n v="74.459999999999994"/>
    <n v="0"/>
    <x v="2"/>
    <n v="223.38"/>
    <n v="152.63"/>
    <n v="70.75"/>
    <n v="1"/>
    <n v="0"/>
    <n v="3"/>
    <n v="4"/>
  </r>
  <r>
    <s v="SW-101236"/>
    <d v="2024-07-26T00:00:00"/>
    <x v="0"/>
    <s v="Q3"/>
    <x v="6"/>
    <x v="1"/>
    <x v="2"/>
    <x v="0"/>
    <x v="1"/>
    <s v="Face Serum"/>
    <n v="1"/>
    <n v="33.479999999999997"/>
    <n v="0.05"/>
    <x v="0"/>
    <n v="31.81"/>
    <n v="15.61"/>
    <n v="16.2"/>
    <n v="1"/>
    <n v="1"/>
    <n v="5"/>
    <n v="3"/>
  </r>
  <r>
    <s v="SW-101237"/>
    <d v="2024-07-26T00:00:00"/>
    <x v="0"/>
    <s v="Q3"/>
    <x v="6"/>
    <x v="0"/>
    <x v="2"/>
    <x v="0"/>
    <x v="0"/>
    <s v="Sunglasses"/>
    <n v="1"/>
    <n v="104.94"/>
    <n v="0.1"/>
    <x v="0"/>
    <n v="94.45"/>
    <n v="56.16"/>
    <n v="38.29"/>
    <n v="1"/>
    <n v="0"/>
    <n v="5"/>
    <n v="5"/>
  </r>
  <r>
    <s v="SW-101238"/>
    <d v="2024-07-26T00:00:00"/>
    <x v="0"/>
    <s v="Q3"/>
    <x v="6"/>
    <x v="0"/>
    <x v="2"/>
    <x v="0"/>
    <x v="4"/>
    <s v="Tablet 10in"/>
    <n v="2"/>
    <n v="490.3"/>
    <n v="0.15"/>
    <x v="1"/>
    <n v="833.51"/>
    <n v="756.84"/>
    <n v="76.67"/>
    <n v="1"/>
    <n v="0"/>
    <n v="5"/>
    <n v="5"/>
  </r>
  <r>
    <s v="SW-101239"/>
    <d v="2024-07-26T00:00:00"/>
    <x v="0"/>
    <s v="Q3"/>
    <x v="6"/>
    <x v="0"/>
    <x v="0"/>
    <x v="1"/>
    <x v="3"/>
    <s v="Fitness Tracker"/>
    <n v="1"/>
    <n v="74.459999999999994"/>
    <n v="0.05"/>
    <x v="0"/>
    <n v="70.739999999999995"/>
    <n v="50.42"/>
    <n v="20.32"/>
    <n v="1"/>
    <n v="0"/>
    <n v="3"/>
    <n v="4"/>
  </r>
  <r>
    <s v="SW-101240"/>
    <d v="2024-07-26T00:00:00"/>
    <x v="0"/>
    <s v="Q3"/>
    <x v="6"/>
    <x v="1"/>
    <x v="2"/>
    <x v="1"/>
    <x v="4"/>
    <s v="4K Action Camera"/>
    <n v="2"/>
    <n v="636.09"/>
    <n v="0.05"/>
    <x v="0"/>
    <n v="1208.57"/>
    <n v="1041.17"/>
    <n v="167.4"/>
    <n v="1"/>
    <n v="0"/>
    <n v="4"/>
    <n v="4"/>
  </r>
  <r>
    <s v="SW-101241"/>
    <d v="2024-07-26T00:00:00"/>
    <x v="0"/>
    <s v="Q3"/>
    <x v="6"/>
    <x v="1"/>
    <x v="1"/>
    <x v="1"/>
    <x v="3"/>
    <s v="Camping Tent"/>
    <n v="1"/>
    <n v="83.06"/>
    <n v="0"/>
    <x v="2"/>
    <n v="83.06"/>
    <n v="56.15"/>
    <n v="26.91"/>
    <n v="1"/>
    <n v="0"/>
    <n v="6"/>
    <n v="3"/>
  </r>
  <r>
    <s v="SW-101242"/>
    <d v="2024-07-26T00:00:00"/>
    <x v="0"/>
    <s v="Q3"/>
    <x v="6"/>
    <x v="1"/>
    <x v="3"/>
    <x v="1"/>
    <x v="0"/>
    <s v="Running Sneakers"/>
    <n v="1"/>
    <n v="94.85"/>
    <n v="0.2"/>
    <x v="1"/>
    <n v="75.88"/>
    <n v="50.89"/>
    <n v="24.99"/>
    <n v="1"/>
    <n v="0"/>
    <n v="5"/>
    <n v="5"/>
  </r>
  <r>
    <s v="SW-101243"/>
    <d v="2024-07-26T00:00:00"/>
    <x v="0"/>
    <s v="Q3"/>
    <x v="6"/>
    <x v="0"/>
    <x v="0"/>
    <x v="1"/>
    <x v="3"/>
    <s v="Fitness Tracker"/>
    <n v="2"/>
    <n v="74.459999999999994"/>
    <n v="0.15"/>
    <x v="1"/>
    <n v="126.58"/>
    <n v="98.09"/>
    <n v="28.49"/>
    <n v="1"/>
    <n v="0"/>
    <n v="4"/>
    <n v="4"/>
  </r>
  <r>
    <s v="SW-101244"/>
    <d v="2024-07-27T00:00:00"/>
    <x v="0"/>
    <s v="Q3"/>
    <x v="6"/>
    <x v="2"/>
    <x v="0"/>
    <x v="0"/>
    <x v="2"/>
    <s v="Desk Lamp"/>
    <n v="3"/>
    <n v="117.63"/>
    <n v="0.15"/>
    <x v="1"/>
    <n v="299.95999999999998"/>
    <n v="235.44"/>
    <n v="64.52"/>
    <n v="1"/>
    <n v="0"/>
    <n v="5"/>
    <n v="4"/>
  </r>
  <r>
    <s v="SW-101245"/>
    <d v="2024-07-27T00:00:00"/>
    <x v="0"/>
    <s v="Q3"/>
    <x v="6"/>
    <x v="0"/>
    <x v="0"/>
    <x v="0"/>
    <x v="2"/>
    <s v="Coffee Maker"/>
    <n v="1"/>
    <n v="148.05000000000001"/>
    <n v="0.05"/>
    <x v="0"/>
    <n v="140.65"/>
    <n v="99.61"/>
    <n v="41.04"/>
    <n v="1"/>
    <n v="0"/>
    <n v="5"/>
    <n v="4"/>
  </r>
  <r>
    <s v="SW-101246"/>
    <d v="2024-07-27T00:00:00"/>
    <x v="0"/>
    <s v="Q3"/>
    <x v="6"/>
    <x v="0"/>
    <x v="4"/>
    <x v="0"/>
    <x v="4"/>
    <s v="Wireless Earbuds"/>
    <n v="3"/>
    <n v="588.41"/>
    <n v="0.05"/>
    <x v="0"/>
    <n v="1676.97"/>
    <n v="1482.12"/>
    <n v="194.85"/>
    <n v="1"/>
    <n v="0"/>
    <n v="5"/>
    <n v="5"/>
  </r>
  <r>
    <s v="SW-101247"/>
    <d v="2024-07-27T00:00:00"/>
    <x v="0"/>
    <s v="Q3"/>
    <x v="6"/>
    <x v="1"/>
    <x v="2"/>
    <x v="1"/>
    <x v="2"/>
    <s v="Desk Lamp"/>
    <n v="1"/>
    <n v="117.63"/>
    <n v="0"/>
    <x v="2"/>
    <n v="117.63"/>
    <n v="78.61"/>
    <n v="39.020000000000003"/>
    <n v="1"/>
    <n v="0"/>
    <n v="4"/>
    <n v="5"/>
  </r>
  <r>
    <s v="SW-101248"/>
    <d v="2024-07-27T00:00:00"/>
    <x v="0"/>
    <s v="Q3"/>
    <x v="6"/>
    <x v="0"/>
    <x v="2"/>
    <x v="1"/>
    <x v="0"/>
    <s v="Cotton T-Shirt"/>
    <n v="1"/>
    <n v="19.41"/>
    <n v="0.2"/>
    <x v="1"/>
    <n v="15.53"/>
    <n v="10.26"/>
    <n v="5.27"/>
    <n v="1"/>
    <n v="0"/>
    <n v="5"/>
    <n v="4"/>
  </r>
  <r>
    <s v="SW-101249"/>
    <d v="2024-07-27T00:00:00"/>
    <x v="0"/>
    <s v="Q3"/>
    <x v="6"/>
    <x v="0"/>
    <x v="0"/>
    <x v="0"/>
    <x v="4"/>
    <s v="Wireless Earbuds"/>
    <n v="1"/>
    <n v="588.41"/>
    <n v="0"/>
    <x v="2"/>
    <n v="588.41"/>
    <n v="450.42"/>
    <n v="137.99"/>
    <n v="1"/>
    <n v="0"/>
    <n v="4"/>
    <n v="5"/>
  </r>
  <r>
    <s v="SW-101250"/>
    <d v="2024-07-28T00:00:00"/>
    <x v="0"/>
    <s v="Q3"/>
    <x v="6"/>
    <x v="1"/>
    <x v="0"/>
    <x v="1"/>
    <x v="0"/>
    <s v="Summer Dress"/>
    <n v="1"/>
    <n v="33.99"/>
    <n v="0.05"/>
    <x v="0"/>
    <n v="32.29"/>
    <n v="17.739999999999998"/>
    <n v="14.55"/>
    <n v="1"/>
    <n v="1"/>
    <n v="3"/>
    <n v="3"/>
  </r>
  <r>
    <s v="SW-101251"/>
    <d v="2024-07-28T00:00:00"/>
    <x v="0"/>
    <s v="Q3"/>
    <x v="6"/>
    <x v="2"/>
    <x v="0"/>
    <x v="1"/>
    <x v="2"/>
    <s v="Bed Sheet Set"/>
    <n v="1"/>
    <n v="90.75"/>
    <n v="0.1"/>
    <x v="0"/>
    <n v="81.680000000000007"/>
    <n v="60.07"/>
    <n v="21.61"/>
    <n v="1"/>
    <n v="0"/>
    <n v="6"/>
    <n v="3"/>
  </r>
  <r>
    <s v="SW-101252"/>
    <d v="2024-07-28T00:00:00"/>
    <x v="0"/>
    <s v="Q3"/>
    <x v="6"/>
    <x v="2"/>
    <x v="3"/>
    <x v="1"/>
    <x v="0"/>
    <s v="Sunglasses"/>
    <n v="3"/>
    <n v="104.94"/>
    <n v="0.05"/>
    <x v="0"/>
    <n v="299.08"/>
    <n v="172.81"/>
    <n v="126.27"/>
    <n v="1"/>
    <n v="0"/>
    <n v="6"/>
    <n v="5"/>
  </r>
  <r>
    <s v="SW-101253"/>
    <d v="2024-07-28T00:00:00"/>
    <x v="0"/>
    <s v="Q3"/>
    <x v="6"/>
    <x v="0"/>
    <x v="0"/>
    <x v="0"/>
    <x v="0"/>
    <s v="Denim Jacket"/>
    <n v="1"/>
    <n v="78.510000000000005"/>
    <n v="0.05"/>
    <x v="0"/>
    <n v="74.58"/>
    <n v="41.68"/>
    <n v="32.9"/>
    <n v="1"/>
    <n v="0"/>
    <n v="5"/>
    <n v="4"/>
  </r>
  <r>
    <s v="SW-101254"/>
    <d v="2024-07-28T00:00:00"/>
    <x v="0"/>
    <s v="Q3"/>
    <x v="6"/>
    <x v="0"/>
    <x v="1"/>
    <x v="0"/>
    <x v="1"/>
    <s v="Skin Care Bundle"/>
    <n v="1"/>
    <n v="92.54"/>
    <n v="0"/>
    <x v="2"/>
    <n v="92.54"/>
    <n v="43.1"/>
    <n v="49.44"/>
    <n v="1"/>
    <n v="0"/>
    <n v="7"/>
    <n v="4"/>
  </r>
  <r>
    <s v="SW-101255"/>
    <d v="2024-07-28T00:00:00"/>
    <x v="0"/>
    <s v="Q3"/>
    <x v="6"/>
    <x v="1"/>
    <x v="4"/>
    <x v="1"/>
    <x v="0"/>
    <s v="Leather Handbag"/>
    <n v="3"/>
    <n v="138.5"/>
    <n v="0.05"/>
    <x v="0"/>
    <n v="394.72"/>
    <n v="234.7"/>
    <n v="160.02000000000001"/>
    <n v="1"/>
    <n v="0"/>
    <n v="5"/>
    <n v="4"/>
  </r>
  <r>
    <s v="SW-101256"/>
    <d v="2024-07-28T00:00:00"/>
    <x v="0"/>
    <s v="Q3"/>
    <x v="6"/>
    <x v="1"/>
    <x v="3"/>
    <x v="1"/>
    <x v="5"/>
    <s v="Bestseller Novel"/>
    <n v="4"/>
    <n v="45.28"/>
    <n v="0"/>
    <x v="2"/>
    <n v="181.12"/>
    <n v="133.47999999999999"/>
    <n v="47.64"/>
    <n v="1"/>
    <n v="0"/>
    <n v="5"/>
    <n v="4"/>
  </r>
  <r>
    <s v="SW-101257"/>
    <d v="2024-07-29T00:00:00"/>
    <x v="0"/>
    <s v="Q3"/>
    <x v="6"/>
    <x v="0"/>
    <x v="3"/>
    <x v="1"/>
    <x v="2"/>
    <s v="Coffee Maker"/>
    <n v="1"/>
    <n v="148.05000000000001"/>
    <n v="0.05"/>
    <x v="0"/>
    <n v="140.65"/>
    <n v="99.72"/>
    <n v="40.93"/>
    <n v="1"/>
    <n v="0"/>
    <n v="2"/>
    <n v="4"/>
  </r>
  <r>
    <s v="SW-101258"/>
    <d v="2024-07-29T00:00:00"/>
    <x v="0"/>
    <s v="Q3"/>
    <x v="6"/>
    <x v="0"/>
    <x v="0"/>
    <x v="1"/>
    <x v="0"/>
    <s v="Cotton T-Shirt"/>
    <n v="2"/>
    <n v="19.41"/>
    <n v="0.2"/>
    <x v="1"/>
    <n v="31.06"/>
    <n v="20.43"/>
    <n v="10.63"/>
    <n v="1"/>
    <n v="0"/>
    <n v="5"/>
    <n v="5"/>
  </r>
  <r>
    <s v="SW-101259"/>
    <d v="2024-07-29T00:00:00"/>
    <x v="0"/>
    <s v="Q3"/>
    <x v="6"/>
    <x v="2"/>
    <x v="0"/>
    <x v="0"/>
    <x v="3"/>
    <s v="Camping Tent"/>
    <n v="1"/>
    <n v="83.06"/>
    <n v="0.05"/>
    <x v="0"/>
    <n v="78.91"/>
    <n v="54.25"/>
    <n v="24.66"/>
    <n v="1"/>
    <n v="0"/>
    <n v="4"/>
    <n v="5"/>
  </r>
  <r>
    <s v="SW-101260"/>
    <d v="2024-07-29T00:00:00"/>
    <x v="0"/>
    <s v="Q3"/>
    <x v="6"/>
    <x v="0"/>
    <x v="0"/>
    <x v="1"/>
    <x v="4"/>
    <s v="Power Bank"/>
    <n v="1"/>
    <n v="508.8"/>
    <n v="0"/>
    <x v="2"/>
    <n v="508.8"/>
    <n v="396.08"/>
    <n v="112.72"/>
    <n v="1"/>
    <n v="0"/>
    <n v="3"/>
    <n v="5"/>
  </r>
  <r>
    <s v="SW-101261"/>
    <d v="2024-07-29T00:00:00"/>
    <x v="0"/>
    <s v="Q3"/>
    <x v="6"/>
    <x v="0"/>
    <x v="2"/>
    <x v="1"/>
    <x v="2"/>
    <s v="Cookware Set"/>
    <n v="2"/>
    <n v="233.81"/>
    <n v="0.1"/>
    <x v="0"/>
    <n v="420.86"/>
    <n v="296.60000000000002"/>
    <n v="124.26"/>
    <n v="1"/>
    <n v="0"/>
    <n v="4"/>
    <n v="5"/>
  </r>
  <r>
    <s v="SW-101262"/>
    <d v="2024-07-29T00:00:00"/>
    <x v="0"/>
    <s v="Q3"/>
    <x v="6"/>
    <x v="1"/>
    <x v="3"/>
    <x v="1"/>
    <x v="0"/>
    <s v="Leather Handbag"/>
    <n v="1"/>
    <n v="138.5"/>
    <n v="0"/>
    <x v="2"/>
    <n v="138.5"/>
    <n v="75.09"/>
    <n v="63.41"/>
    <n v="1"/>
    <n v="0"/>
    <n v="3"/>
    <n v="5"/>
  </r>
  <r>
    <s v="SW-101263"/>
    <d v="2024-07-30T00:00:00"/>
    <x v="0"/>
    <s v="Q3"/>
    <x v="6"/>
    <x v="0"/>
    <x v="3"/>
    <x v="0"/>
    <x v="0"/>
    <s v="Denim Jacket"/>
    <n v="1"/>
    <n v="78.510000000000005"/>
    <n v="0.1"/>
    <x v="0"/>
    <n v="70.66"/>
    <n v="42.05"/>
    <n v="28.61"/>
    <n v="1"/>
    <n v="0"/>
    <n v="2"/>
    <n v="4"/>
  </r>
  <r>
    <s v="SW-101264"/>
    <d v="2024-07-30T00:00:00"/>
    <x v="0"/>
    <s v="Q3"/>
    <x v="6"/>
    <x v="0"/>
    <x v="4"/>
    <x v="1"/>
    <x v="2"/>
    <s v="Storage Boxes"/>
    <n v="1"/>
    <n v="154.66"/>
    <n v="0.3"/>
    <x v="3"/>
    <n v="108.26"/>
    <n v="99.75"/>
    <n v="8.51"/>
    <n v="1"/>
    <n v="0"/>
    <n v="5"/>
    <n v="4"/>
  </r>
  <r>
    <s v="SW-101265"/>
    <d v="2024-07-30T00:00:00"/>
    <x v="0"/>
    <s v="Q3"/>
    <x v="6"/>
    <x v="0"/>
    <x v="0"/>
    <x v="1"/>
    <x v="0"/>
    <s v="Cotton T-Shirt"/>
    <n v="1"/>
    <n v="19.41"/>
    <n v="0.05"/>
    <x v="0"/>
    <n v="18.440000000000001"/>
    <n v="10.72"/>
    <n v="7.72"/>
    <n v="1"/>
    <n v="0"/>
    <n v="3"/>
    <n v="5"/>
  </r>
  <r>
    <s v="SW-101266"/>
    <d v="2024-07-30T00:00:00"/>
    <x v="0"/>
    <s v="Q3"/>
    <x v="6"/>
    <x v="2"/>
    <x v="3"/>
    <x v="0"/>
    <x v="4"/>
    <s v="4K Action Camera"/>
    <n v="1"/>
    <n v="636.09"/>
    <n v="0"/>
    <x v="2"/>
    <n v="636.09"/>
    <n v="520.87"/>
    <n v="115.22"/>
    <n v="1"/>
    <n v="0"/>
    <n v="2"/>
    <n v="5"/>
  </r>
  <r>
    <s v="SW-101267"/>
    <d v="2024-07-30T00:00:00"/>
    <x v="0"/>
    <s v="Q3"/>
    <x v="6"/>
    <x v="2"/>
    <x v="3"/>
    <x v="1"/>
    <x v="4"/>
    <s v="Smart Watch"/>
    <n v="2"/>
    <n v="216.08"/>
    <n v="0.25"/>
    <x v="3"/>
    <n v="324.12"/>
    <n v="355.35"/>
    <n v="-31.23"/>
    <n v="1"/>
    <n v="0"/>
    <n v="3"/>
    <n v="3"/>
  </r>
  <r>
    <s v="SW-101268"/>
    <d v="2024-07-31T00:00:00"/>
    <x v="0"/>
    <s v="Q3"/>
    <x v="6"/>
    <x v="1"/>
    <x v="3"/>
    <x v="0"/>
    <x v="3"/>
    <s v="Yoga Mat"/>
    <n v="2"/>
    <n v="137.05000000000001"/>
    <n v="0"/>
    <x v="2"/>
    <n v="274.10000000000002"/>
    <n v="184.7"/>
    <n v="89.4"/>
    <n v="1"/>
    <n v="0"/>
    <n v="2"/>
    <n v="4"/>
  </r>
  <r>
    <s v="SW-101269"/>
    <d v="2024-07-31T00:00:00"/>
    <x v="0"/>
    <s v="Q3"/>
    <x v="6"/>
    <x v="0"/>
    <x v="1"/>
    <x v="1"/>
    <x v="4"/>
    <s v="Tablet 10in"/>
    <n v="1"/>
    <n v="490.3"/>
    <n v="0.1"/>
    <x v="0"/>
    <n v="441.27"/>
    <n v="395.97"/>
    <n v="45.3"/>
    <n v="1"/>
    <n v="0"/>
    <n v="5"/>
    <n v="4"/>
  </r>
  <r>
    <s v="SW-101270"/>
    <d v="2024-07-31T00:00:00"/>
    <x v="0"/>
    <s v="Q3"/>
    <x v="6"/>
    <x v="1"/>
    <x v="3"/>
    <x v="0"/>
    <x v="0"/>
    <s v="Denim Jacket"/>
    <n v="1"/>
    <n v="78.510000000000005"/>
    <n v="0.05"/>
    <x v="0"/>
    <n v="74.58"/>
    <n v="43.84"/>
    <n v="30.74"/>
    <n v="1"/>
    <n v="1"/>
    <n v="2"/>
    <n v="3"/>
  </r>
  <r>
    <s v="SW-101271"/>
    <d v="2024-07-31T00:00:00"/>
    <x v="0"/>
    <s v="Q3"/>
    <x v="6"/>
    <x v="0"/>
    <x v="2"/>
    <x v="0"/>
    <x v="0"/>
    <s v="Cotton T-Shirt"/>
    <n v="2"/>
    <n v="19.41"/>
    <n v="0.1"/>
    <x v="0"/>
    <n v="34.94"/>
    <n v="20.98"/>
    <n v="13.96"/>
    <n v="1"/>
    <n v="0"/>
    <n v="3"/>
    <n v="5"/>
  </r>
  <r>
    <s v="SW-101272"/>
    <d v="2024-08-01T00:00:00"/>
    <x v="0"/>
    <s v="Q3"/>
    <x v="7"/>
    <x v="2"/>
    <x v="0"/>
    <x v="1"/>
    <x v="4"/>
    <s v="Bluetooth Speaker"/>
    <n v="1"/>
    <n v="177.65"/>
    <n v="0.25"/>
    <x v="3"/>
    <n v="133.24"/>
    <n v="147.16"/>
    <n v="-13.92"/>
    <n v="1"/>
    <n v="0"/>
    <n v="3"/>
    <n v="5"/>
  </r>
  <r>
    <s v="SW-101273"/>
    <d v="2024-08-01T00:00:00"/>
    <x v="0"/>
    <s v="Q3"/>
    <x v="7"/>
    <x v="1"/>
    <x v="0"/>
    <x v="1"/>
    <x v="1"/>
    <s v="Skin Care Bundle"/>
    <n v="1"/>
    <n v="92.54"/>
    <n v="0.05"/>
    <x v="0"/>
    <n v="87.91"/>
    <n v="44.28"/>
    <n v="43.63"/>
    <n v="1"/>
    <n v="0"/>
    <n v="3"/>
    <n v="5"/>
  </r>
  <r>
    <s v="SW-101274"/>
    <d v="2024-08-01T00:00:00"/>
    <x v="0"/>
    <s v="Q3"/>
    <x v="7"/>
    <x v="0"/>
    <x v="0"/>
    <x v="1"/>
    <x v="2"/>
    <s v="Cookware Set"/>
    <n v="2"/>
    <n v="233.81"/>
    <n v="0.2"/>
    <x v="1"/>
    <n v="374.1"/>
    <n v="322.57"/>
    <n v="51.53"/>
    <n v="1"/>
    <n v="0"/>
    <n v="4"/>
    <n v="4"/>
  </r>
  <r>
    <s v="SW-101275"/>
    <d v="2024-08-01T00:00:00"/>
    <x v="0"/>
    <s v="Q3"/>
    <x v="7"/>
    <x v="2"/>
    <x v="4"/>
    <x v="1"/>
    <x v="0"/>
    <s v="Sunglasses"/>
    <n v="2"/>
    <n v="104.94"/>
    <n v="0.1"/>
    <x v="0"/>
    <n v="188.89"/>
    <n v="114.13"/>
    <n v="74.760000000000005"/>
    <n v="1"/>
    <n v="0"/>
    <n v="5"/>
    <n v="4"/>
  </r>
  <r>
    <s v="SW-101276"/>
    <d v="2024-08-01T00:00:00"/>
    <x v="0"/>
    <s v="Q3"/>
    <x v="7"/>
    <x v="1"/>
    <x v="0"/>
    <x v="1"/>
    <x v="1"/>
    <s v="Face Serum"/>
    <n v="1"/>
    <n v="33.479999999999997"/>
    <n v="0"/>
    <x v="2"/>
    <n v="33.479999999999997"/>
    <n v="16.079999999999998"/>
    <n v="17.399999999999999"/>
    <n v="1"/>
    <n v="0"/>
    <n v="4"/>
    <n v="5"/>
  </r>
  <r>
    <s v="SW-101277"/>
    <d v="2024-08-01T00:00:00"/>
    <x v="0"/>
    <s v="Q3"/>
    <x v="7"/>
    <x v="1"/>
    <x v="0"/>
    <x v="0"/>
    <x v="3"/>
    <s v="Yoga Mat"/>
    <n v="2"/>
    <n v="137.05000000000001"/>
    <n v="0.05"/>
    <x v="0"/>
    <n v="260.39999999999998"/>
    <n v="176.83"/>
    <n v="83.57"/>
    <n v="1"/>
    <n v="0"/>
    <n v="3"/>
    <n v="4"/>
  </r>
  <r>
    <s v="SW-101278"/>
    <d v="2024-08-02T00:00:00"/>
    <x v="0"/>
    <s v="Q3"/>
    <x v="7"/>
    <x v="2"/>
    <x v="2"/>
    <x v="1"/>
    <x v="5"/>
    <s v="Board Game"/>
    <n v="1"/>
    <n v="57.92"/>
    <n v="0.25"/>
    <x v="3"/>
    <n v="43.44"/>
    <n v="41.19"/>
    <n v="2.25"/>
    <n v="1"/>
    <n v="0"/>
    <n v="5"/>
    <n v="4"/>
  </r>
  <r>
    <s v="SW-101279"/>
    <d v="2024-08-02T00:00:00"/>
    <x v="0"/>
    <s v="Q3"/>
    <x v="7"/>
    <x v="1"/>
    <x v="1"/>
    <x v="1"/>
    <x v="2"/>
    <s v="Coffee Maker"/>
    <n v="1"/>
    <n v="148.05000000000001"/>
    <n v="0.1"/>
    <x v="0"/>
    <n v="133.24"/>
    <n v="96.76"/>
    <n v="36.479999999999997"/>
    <n v="1"/>
    <n v="0"/>
    <n v="6"/>
    <n v="4"/>
  </r>
  <r>
    <s v="SW-101280"/>
    <d v="2024-08-02T00:00:00"/>
    <x v="0"/>
    <s v="Q3"/>
    <x v="7"/>
    <x v="2"/>
    <x v="3"/>
    <x v="0"/>
    <x v="5"/>
    <s v="Building Blocks"/>
    <n v="2"/>
    <n v="48.86"/>
    <n v="0.1"/>
    <x v="0"/>
    <n v="87.95"/>
    <n v="70.180000000000007"/>
    <n v="17.77"/>
    <n v="1"/>
    <n v="0"/>
    <n v="2"/>
    <n v="5"/>
  </r>
  <r>
    <s v="SW-101281"/>
    <d v="2024-08-02T00:00:00"/>
    <x v="0"/>
    <s v="Q3"/>
    <x v="7"/>
    <x v="2"/>
    <x v="3"/>
    <x v="0"/>
    <x v="5"/>
    <s v="Kids Puzzle"/>
    <n v="1"/>
    <n v="16.97"/>
    <n v="0"/>
    <x v="2"/>
    <n v="16.97"/>
    <n v="12.27"/>
    <n v="4.7"/>
    <n v="1"/>
    <n v="1"/>
    <n v="2"/>
    <n v="2"/>
  </r>
  <r>
    <s v="SW-101282"/>
    <d v="2024-08-02T00:00:00"/>
    <x v="0"/>
    <s v="Q3"/>
    <x v="7"/>
    <x v="0"/>
    <x v="3"/>
    <x v="1"/>
    <x v="3"/>
    <s v="Yoga Mat"/>
    <n v="1"/>
    <n v="137.05000000000001"/>
    <n v="0.05"/>
    <x v="0"/>
    <n v="130.19999999999999"/>
    <n v="92.76"/>
    <n v="37.44"/>
    <n v="1"/>
    <n v="1"/>
    <n v="2"/>
    <n v="3"/>
  </r>
  <r>
    <s v="SW-101283"/>
    <d v="2024-08-02T00:00:00"/>
    <x v="0"/>
    <s v="Q3"/>
    <x v="7"/>
    <x v="0"/>
    <x v="3"/>
    <x v="1"/>
    <x v="0"/>
    <s v="Summer Dress"/>
    <n v="1"/>
    <n v="33.99"/>
    <n v="0"/>
    <x v="2"/>
    <n v="33.99"/>
    <n v="18.420000000000002"/>
    <n v="15.57"/>
    <n v="1"/>
    <n v="1"/>
    <n v="2"/>
    <n v="3"/>
  </r>
  <r>
    <s v="SW-101284"/>
    <d v="2024-08-02T00:00:00"/>
    <x v="0"/>
    <s v="Q3"/>
    <x v="7"/>
    <x v="1"/>
    <x v="2"/>
    <x v="1"/>
    <x v="0"/>
    <s v="Leather Handbag"/>
    <n v="1"/>
    <n v="138.5"/>
    <n v="0"/>
    <x v="2"/>
    <n v="138.5"/>
    <n v="76.8"/>
    <n v="61.7"/>
    <n v="1"/>
    <n v="1"/>
    <n v="4"/>
    <n v="3"/>
  </r>
  <r>
    <s v="SW-101285"/>
    <d v="2024-08-02T00:00:00"/>
    <x v="0"/>
    <s v="Q3"/>
    <x v="7"/>
    <x v="0"/>
    <x v="0"/>
    <x v="1"/>
    <x v="0"/>
    <s v="Denim Jacket"/>
    <n v="1"/>
    <n v="78.510000000000005"/>
    <n v="0.05"/>
    <x v="0"/>
    <n v="74.58"/>
    <n v="40.4"/>
    <n v="34.18"/>
    <n v="1"/>
    <n v="1"/>
    <n v="4"/>
    <n v="2"/>
  </r>
  <r>
    <s v="SW-101286"/>
    <d v="2024-08-02T00:00:00"/>
    <x v="0"/>
    <s v="Q3"/>
    <x v="7"/>
    <x v="2"/>
    <x v="0"/>
    <x v="0"/>
    <x v="1"/>
    <s v="Skin Care Bundle"/>
    <n v="4"/>
    <n v="92.54"/>
    <n v="0.05"/>
    <x v="0"/>
    <n v="351.65"/>
    <n v="174.42"/>
    <n v="177.23"/>
    <n v="1"/>
    <n v="0"/>
    <n v="3"/>
    <n v="4"/>
  </r>
  <r>
    <s v="SW-101287"/>
    <d v="2024-08-02T00:00:00"/>
    <x v="0"/>
    <s v="Q3"/>
    <x v="7"/>
    <x v="1"/>
    <x v="0"/>
    <x v="1"/>
    <x v="1"/>
    <s v="Makeup Kit"/>
    <n v="1"/>
    <n v="74.3"/>
    <n v="0.1"/>
    <x v="0"/>
    <n v="66.87"/>
    <n v="33.97"/>
    <n v="32.9"/>
    <n v="1"/>
    <n v="0"/>
    <n v="3"/>
    <n v="5"/>
  </r>
  <r>
    <s v="SW-101288"/>
    <d v="2024-08-03T00:00:00"/>
    <x v="0"/>
    <s v="Q3"/>
    <x v="7"/>
    <x v="0"/>
    <x v="0"/>
    <x v="1"/>
    <x v="3"/>
    <s v="Fitness Tracker"/>
    <n v="1"/>
    <n v="74.459999999999994"/>
    <n v="0.25"/>
    <x v="3"/>
    <n v="55.84"/>
    <n v="50.22"/>
    <n v="5.62"/>
    <n v="1"/>
    <n v="0"/>
    <n v="3"/>
    <n v="4"/>
  </r>
  <r>
    <s v="SW-101289"/>
    <d v="2024-08-03T00:00:00"/>
    <x v="0"/>
    <s v="Q3"/>
    <x v="7"/>
    <x v="0"/>
    <x v="2"/>
    <x v="1"/>
    <x v="2"/>
    <s v="Desk Lamp"/>
    <n v="2"/>
    <n v="117.63"/>
    <n v="0.1"/>
    <x v="0"/>
    <n v="211.73"/>
    <n v="152.97"/>
    <n v="58.76"/>
    <n v="1"/>
    <n v="0"/>
    <n v="5"/>
    <n v="4"/>
  </r>
  <r>
    <s v="SW-101290"/>
    <d v="2024-08-03T00:00:00"/>
    <x v="0"/>
    <s v="Q3"/>
    <x v="7"/>
    <x v="2"/>
    <x v="0"/>
    <x v="0"/>
    <x v="0"/>
    <s v="Leather Handbag"/>
    <n v="1"/>
    <n v="138.5"/>
    <n v="0.15"/>
    <x v="1"/>
    <n v="117.72"/>
    <n v="72.59"/>
    <n v="45.13"/>
    <n v="1"/>
    <n v="0"/>
    <n v="3"/>
    <n v="4"/>
  </r>
  <r>
    <s v="SW-101291"/>
    <d v="2024-08-03T00:00:00"/>
    <x v="0"/>
    <s v="Q3"/>
    <x v="7"/>
    <x v="2"/>
    <x v="2"/>
    <x v="0"/>
    <x v="5"/>
    <s v="Story Book Set"/>
    <n v="1"/>
    <n v="10.76"/>
    <n v="0.15"/>
    <x v="1"/>
    <n v="9.15"/>
    <n v="7.67"/>
    <n v="1.48"/>
    <n v="1"/>
    <n v="0"/>
    <n v="4"/>
    <n v="5"/>
  </r>
  <r>
    <s v="SW-101292"/>
    <d v="2024-08-03T00:00:00"/>
    <x v="0"/>
    <s v="Q3"/>
    <x v="7"/>
    <x v="0"/>
    <x v="3"/>
    <x v="1"/>
    <x v="2"/>
    <s v="Desk Lamp"/>
    <n v="1"/>
    <n v="117.63"/>
    <n v="0.1"/>
    <x v="0"/>
    <n v="105.87"/>
    <n v="74.84"/>
    <n v="31.03"/>
    <n v="1"/>
    <n v="0"/>
    <n v="3"/>
    <n v="5"/>
  </r>
  <r>
    <s v="SW-101293"/>
    <d v="2024-08-03T00:00:00"/>
    <x v="0"/>
    <s v="Q3"/>
    <x v="7"/>
    <x v="0"/>
    <x v="1"/>
    <x v="1"/>
    <x v="2"/>
    <s v="Bed Sheet Set"/>
    <n v="1"/>
    <n v="90.75"/>
    <n v="0"/>
    <x v="2"/>
    <n v="90.75"/>
    <n v="61.15"/>
    <n v="29.6"/>
    <n v="1"/>
    <n v="0"/>
    <n v="6"/>
    <n v="3"/>
  </r>
  <r>
    <s v="SW-101294"/>
    <d v="2024-08-03T00:00:00"/>
    <x v="0"/>
    <s v="Q3"/>
    <x v="7"/>
    <x v="2"/>
    <x v="3"/>
    <x v="0"/>
    <x v="4"/>
    <s v="4K Action Camera"/>
    <n v="1"/>
    <n v="636.09"/>
    <n v="0"/>
    <x v="2"/>
    <n v="636.09"/>
    <n v="511.49"/>
    <n v="124.6"/>
    <n v="1"/>
    <n v="1"/>
    <n v="3"/>
    <n v="3"/>
  </r>
  <r>
    <s v="SW-101295"/>
    <d v="2024-08-04T00:00:00"/>
    <x v="0"/>
    <s v="Q3"/>
    <x v="7"/>
    <x v="0"/>
    <x v="4"/>
    <x v="1"/>
    <x v="1"/>
    <s v="Face Serum"/>
    <n v="1"/>
    <n v="33.479999999999997"/>
    <n v="0"/>
    <x v="2"/>
    <n v="33.479999999999997"/>
    <n v="16.28"/>
    <n v="17.2"/>
    <n v="1"/>
    <n v="0"/>
    <n v="5"/>
    <n v="4"/>
  </r>
  <r>
    <s v="SW-101296"/>
    <d v="2024-08-04T00:00:00"/>
    <x v="0"/>
    <s v="Q3"/>
    <x v="7"/>
    <x v="0"/>
    <x v="1"/>
    <x v="1"/>
    <x v="0"/>
    <s v="Running Sneakers"/>
    <n v="1"/>
    <n v="94.85"/>
    <n v="0.15"/>
    <x v="1"/>
    <n v="80.62"/>
    <n v="52.54"/>
    <n v="28.08"/>
    <n v="1"/>
    <n v="1"/>
    <n v="5"/>
    <n v="3"/>
  </r>
  <r>
    <s v="SW-101297"/>
    <d v="2024-08-04T00:00:00"/>
    <x v="0"/>
    <s v="Q3"/>
    <x v="7"/>
    <x v="1"/>
    <x v="2"/>
    <x v="0"/>
    <x v="1"/>
    <s v="Hair Dryer"/>
    <n v="1"/>
    <n v="33.18"/>
    <n v="0.05"/>
    <x v="0"/>
    <n v="31.52"/>
    <n v="15.36"/>
    <n v="16.16"/>
    <n v="1"/>
    <n v="0"/>
    <n v="3"/>
    <n v="5"/>
  </r>
  <r>
    <s v="SW-101298"/>
    <d v="2024-08-04T00:00:00"/>
    <x v="0"/>
    <s v="Q3"/>
    <x v="7"/>
    <x v="0"/>
    <x v="0"/>
    <x v="0"/>
    <x v="4"/>
    <s v="Power Bank"/>
    <n v="1"/>
    <n v="508.8"/>
    <n v="0.1"/>
    <x v="0"/>
    <n v="457.92"/>
    <n v="395.04"/>
    <n v="62.88"/>
    <n v="1"/>
    <n v="0"/>
    <n v="4"/>
    <n v="5"/>
  </r>
  <r>
    <s v="SW-101299"/>
    <d v="2024-08-04T00:00:00"/>
    <x v="0"/>
    <s v="Q3"/>
    <x v="7"/>
    <x v="0"/>
    <x v="3"/>
    <x v="1"/>
    <x v="3"/>
    <s v="Cycling Helmet"/>
    <n v="2"/>
    <n v="85.42"/>
    <n v="0.15"/>
    <x v="1"/>
    <n v="145.21"/>
    <n v="117.95"/>
    <n v="27.26"/>
    <n v="1"/>
    <n v="1"/>
    <n v="2"/>
    <n v="4"/>
  </r>
  <r>
    <s v="SW-101300"/>
    <d v="2024-08-04T00:00:00"/>
    <x v="0"/>
    <s v="Q3"/>
    <x v="7"/>
    <x v="0"/>
    <x v="3"/>
    <x v="1"/>
    <x v="1"/>
    <s v="Makeup Kit"/>
    <n v="1"/>
    <n v="74.3"/>
    <n v="0.05"/>
    <x v="0"/>
    <n v="70.58"/>
    <n v="37.53"/>
    <n v="33.049999999999997"/>
    <n v="1"/>
    <n v="0"/>
    <n v="3"/>
    <n v="3"/>
  </r>
  <r>
    <s v="SW-101301"/>
    <d v="2024-08-05T00:00:00"/>
    <x v="0"/>
    <s v="Q3"/>
    <x v="7"/>
    <x v="1"/>
    <x v="3"/>
    <x v="1"/>
    <x v="4"/>
    <s v="4K Action Camera"/>
    <n v="1"/>
    <n v="636.09"/>
    <n v="0.15"/>
    <x v="1"/>
    <n v="540.67999999999995"/>
    <n v="509.05"/>
    <n v="31.63"/>
    <n v="1"/>
    <n v="0"/>
    <n v="5"/>
    <n v="3"/>
  </r>
  <r>
    <s v="SW-101302"/>
    <d v="2024-08-05T00:00:00"/>
    <x v="0"/>
    <s v="Q3"/>
    <x v="7"/>
    <x v="0"/>
    <x v="3"/>
    <x v="0"/>
    <x v="0"/>
    <s v="Cotton T-Shirt"/>
    <n v="1"/>
    <n v="19.41"/>
    <n v="0.15"/>
    <x v="1"/>
    <n v="16.5"/>
    <n v="10.79"/>
    <n v="5.71"/>
    <n v="1"/>
    <n v="0"/>
    <n v="3"/>
    <n v="5"/>
  </r>
  <r>
    <s v="SW-101303"/>
    <d v="2024-08-05T00:00:00"/>
    <x v="0"/>
    <s v="Q3"/>
    <x v="7"/>
    <x v="0"/>
    <x v="4"/>
    <x v="0"/>
    <x v="1"/>
    <s v="Makeup Kit"/>
    <n v="2"/>
    <n v="74.3"/>
    <n v="0.15"/>
    <x v="1"/>
    <n v="126.31"/>
    <n v="70.87"/>
    <n v="55.44"/>
    <n v="1"/>
    <n v="0"/>
    <n v="5"/>
    <n v="4"/>
  </r>
  <r>
    <s v="SW-101304"/>
    <d v="2024-08-05T00:00:00"/>
    <x v="0"/>
    <s v="Q3"/>
    <x v="7"/>
    <x v="1"/>
    <x v="0"/>
    <x v="1"/>
    <x v="4"/>
    <s v="Smart Watch"/>
    <n v="2"/>
    <n v="216.08"/>
    <n v="0"/>
    <x v="2"/>
    <n v="432.16"/>
    <n v="357.46"/>
    <n v="74.7"/>
    <n v="1"/>
    <n v="0"/>
    <n v="3"/>
    <n v="5"/>
  </r>
  <r>
    <s v="SW-101305"/>
    <d v="2024-08-05T00:00:00"/>
    <x v="0"/>
    <s v="Q3"/>
    <x v="7"/>
    <x v="0"/>
    <x v="0"/>
    <x v="1"/>
    <x v="4"/>
    <s v="Smart Watch"/>
    <n v="1"/>
    <n v="216.08"/>
    <n v="0.1"/>
    <x v="0"/>
    <n v="194.47"/>
    <n v="172.62"/>
    <n v="21.85"/>
    <n v="1"/>
    <n v="0"/>
    <n v="3"/>
    <n v="3"/>
  </r>
  <r>
    <s v="SW-101306"/>
    <d v="2024-08-05T00:00:00"/>
    <x v="0"/>
    <s v="Q3"/>
    <x v="7"/>
    <x v="2"/>
    <x v="3"/>
    <x v="1"/>
    <x v="1"/>
    <s v="Hair Dryer"/>
    <n v="1"/>
    <n v="33.18"/>
    <n v="0.1"/>
    <x v="0"/>
    <n v="29.86"/>
    <n v="15.36"/>
    <n v="14.5"/>
    <n v="1"/>
    <n v="0"/>
    <n v="4"/>
    <n v="4"/>
  </r>
  <r>
    <s v="SW-101307"/>
    <d v="2024-08-05T00:00:00"/>
    <x v="0"/>
    <s v="Q3"/>
    <x v="7"/>
    <x v="2"/>
    <x v="3"/>
    <x v="0"/>
    <x v="4"/>
    <s v="Wireless Earbuds"/>
    <n v="2"/>
    <n v="588.41"/>
    <n v="0.05"/>
    <x v="0"/>
    <n v="1117.98"/>
    <n v="927.82"/>
    <n v="190.16"/>
    <n v="1"/>
    <n v="0"/>
    <n v="4"/>
    <n v="5"/>
  </r>
  <r>
    <s v="SW-101308"/>
    <d v="2024-08-06T00:00:00"/>
    <x v="0"/>
    <s v="Q3"/>
    <x v="7"/>
    <x v="0"/>
    <x v="3"/>
    <x v="0"/>
    <x v="4"/>
    <s v="Bluetooth Speaker"/>
    <n v="1"/>
    <n v="177.65"/>
    <n v="0.1"/>
    <x v="0"/>
    <n v="159.88999999999999"/>
    <n v="137.93"/>
    <n v="21.96"/>
    <n v="1"/>
    <n v="0"/>
    <n v="3"/>
    <n v="5"/>
  </r>
  <r>
    <s v="SW-101309"/>
    <d v="2024-08-06T00:00:00"/>
    <x v="0"/>
    <s v="Q3"/>
    <x v="7"/>
    <x v="2"/>
    <x v="2"/>
    <x v="1"/>
    <x v="0"/>
    <s v="Leather Handbag"/>
    <n v="2"/>
    <n v="138.5"/>
    <n v="0.25"/>
    <x v="3"/>
    <n v="207.75"/>
    <n v="146.87"/>
    <n v="60.88"/>
    <n v="1"/>
    <n v="1"/>
    <n v="6"/>
    <n v="1"/>
  </r>
  <r>
    <s v="SW-101310"/>
    <d v="2024-08-06T00:00:00"/>
    <x v="0"/>
    <s v="Q3"/>
    <x v="7"/>
    <x v="1"/>
    <x v="3"/>
    <x v="0"/>
    <x v="0"/>
    <s v="Denim Jacket"/>
    <n v="1"/>
    <n v="78.510000000000005"/>
    <n v="0"/>
    <x v="2"/>
    <n v="78.510000000000005"/>
    <n v="44.26"/>
    <n v="34.25"/>
    <n v="1"/>
    <n v="0"/>
    <n v="2"/>
    <n v="5"/>
  </r>
  <r>
    <s v="SW-101311"/>
    <d v="2024-08-06T00:00:00"/>
    <x v="0"/>
    <s v="Q3"/>
    <x v="7"/>
    <x v="2"/>
    <x v="0"/>
    <x v="0"/>
    <x v="4"/>
    <s v="Wireless Earbuds"/>
    <n v="1"/>
    <n v="588.41"/>
    <n v="0"/>
    <x v="2"/>
    <n v="588.41"/>
    <n v="478.43"/>
    <n v="109.98"/>
    <n v="1"/>
    <n v="0"/>
    <n v="4"/>
    <n v="5"/>
  </r>
  <r>
    <s v="SW-101312"/>
    <d v="2024-08-06T00:00:00"/>
    <x v="0"/>
    <s v="Q3"/>
    <x v="7"/>
    <x v="1"/>
    <x v="3"/>
    <x v="1"/>
    <x v="4"/>
    <s v="Bluetooth Speaker"/>
    <n v="2"/>
    <n v="177.65"/>
    <n v="0.1"/>
    <x v="0"/>
    <n v="319.77"/>
    <n v="297.06"/>
    <n v="22.71"/>
    <n v="1"/>
    <n v="0"/>
    <n v="2"/>
    <n v="5"/>
  </r>
  <r>
    <s v="SW-101313"/>
    <d v="2024-08-06T00:00:00"/>
    <x v="0"/>
    <s v="Q3"/>
    <x v="7"/>
    <x v="0"/>
    <x v="0"/>
    <x v="1"/>
    <x v="4"/>
    <s v="Smart Watch"/>
    <n v="1"/>
    <n v="216.08"/>
    <n v="0.05"/>
    <x v="0"/>
    <n v="205.28"/>
    <n v="172.96"/>
    <n v="32.32"/>
    <n v="1"/>
    <n v="0"/>
    <n v="6"/>
    <n v="3"/>
  </r>
  <r>
    <s v="SW-101314"/>
    <d v="2024-08-06T00:00:00"/>
    <x v="0"/>
    <s v="Q3"/>
    <x v="7"/>
    <x v="2"/>
    <x v="3"/>
    <x v="1"/>
    <x v="0"/>
    <s v="Cotton T-Shirt"/>
    <n v="1"/>
    <n v="19.41"/>
    <n v="0.2"/>
    <x v="1"/>
    <n v="15.53"/>
    <n v="10.01"/>
    <n v="5.52"/>
    <n v="1"/>
    <n v="0"/>
    <n v="3"/>
    <n v="4"/>
  </r>
  <r>
    <s v="SW-101315"/>
    <d v="2024-08-07T00:00:00"/>
    <x v="0"/>
    <s v="Q3"/>
    <x v="7"/>
    <x v="2"/>
    <x v="0"/>
    <x v="0"/>
    <x v="2"/>
    <s v="Bed Sheet Set"/>
    <n v="1"/>
    <n v="90.75"/>
    <n v="0.1"/>
    <x v="0"/>
    <n v="81.680000000000007"/>
    <n v="59.2"/>
    <n v="22.48"/>
    <n v="1"/>
    <n v="0"/>
    <n v="3"/>
    <n v="4"/>
  </r>
  <r>
    <s v="SW-101316"/>
    <d v="2024-08-07T00:00:00"/>
    <x v="0"/>
    <s v="Q3"/>
    <x v="7"/>
    <x v="2"/>
    <x v="2"/>
    <x v="1"/>
    <x v="3"/>
    <s v="Camping Tent"/>
    <n v="1"/>
    <n v="83.06"/>
    <n v="0.05"/>
    <x v="0"/>
    <n v="78.91"/>
    <n v="55.5"/>
    <n v="23.41"/>
    <n v="1"/>
    <n v="0"/>
    <n v="3"/>
    <n v="4"/>
  </r>
  <r>
    <s v="SW-101317"/>
    <d v="2024-08-08T00:00:00"/>
    <x v="0"/>
    <s v="Q3"/>
    <x v="7"/>
    <x v="0"/>
    <x v="3"/>
    <x v="1"/>
    <x v="4"/>
    <s v="Smart Watch"/>
    <n v="1"/>
    <n v="216.08"/>
    <n v="0"/>
    <x v="2"/>
    <n v="216.08"/>
    <n v="171.39"/>
    <n v="44.69"/>
    <n v="1"/>
    <n v="0"/>
    <n v="3"/>
    <n v="4"/>
  </r>
  <r>
    <s v="SW-101318"/>
    <d v="2024-08-08T00:00:00"/>
    <x v="0"/>
    <s v="Q3"/>
    <x v="7"/>
    <x v="2"/>
    <x v="3"/>
    <x v="0"/>
    <x v="0"/>
    <s v="Running Sneakers"/>
    <n v="2"/>
    <n v="94.85"/>
    <n v="0"/>
    <x v="2"/>
    <n v="189.7"/>
    <n v="98.85"/>
    <n v="90.85"/>
    <n v="1"/>
    <n v="0"/>
    <n v="5"/>
    <n v="3"/>
  </r>
  <r>
    <s v="SW-101319"/>
    <d v="2024-08-08T00:00:00"/>
    <x v="0"/>
    <s v="Q3"/>
    <x v="7"/>
    <x v="0"/>
    <x v="3"/>
    <x v="1"/>
    <x v="4"/>
    <s v="4K Action Camera"/>
    <n v="1"/>
    <n v="636.09"/>
    <n v="0"/>
    <x v="2"/>
    <n v="636.09"/>
    <n v="500.09"/>
    <n v="136"/>
    <n v="1"/>
    <n v="0"/>
    <n v="2"/>
    <n v="4"/>
  </r>
  <r>
    <s v="SW-101320"/>
    <d v="2024-08-08T00:00:00"/>
    <x v="0"/>
    <s v="Q3"/>
    <x v="7"/>
    <x v="2"/>
    <x v="1"/>
    <x v="0"/>
    <x v="4"/>
    <s v="Smart Watch"/>
    <n v="1"/>
    <n v="216.08"/>
    <n v="0.05"/>
    <x v="0"/>
    <n v="205.28"/>
    <n v="172.19"/>
    <n v="33.090000000000003"/>
    <n v="1"/>
    <n v="0"/>
    <n v="7"/>
    <n v="4"/>
  </r>
  <r>
    <s v="SW-101321"/>
    <d v="2024-08-08T00:00:00"/>
    <x v="0"/>
    <s v="Q3"/>
    <x v="7"/>
    <x v="0"/>
    <x v="1"/>
    <x v="1"/>
    <x v="0"/>
    <s v="Leather Handbag"/>
    <n v="2"/>
    <n v="138.5"/>
    <n v="0.15"/>
    <x v="1"/>
    <n v="235.45"/>
    <n v="142.47"/>
    <n v="92.98"/>
    <n v="1"/>
    <n v="0"/>
    <n v="7"/>
    <n v="3"/>
  </r>
  <r>
    <s v="SW-101322"/>
    <d v="2024-08-09T00:00:00"/>
    <x v="0"/>
    <s v="Q3"/>
    <x v="7"/>
    <x v="1"/>
    <x v="3"/>
    <x v="0"/>
    <x v="0"/>
    <s v="Sunglasses"/>
    <n v="1"/>
    <n v="104.94"/>
    <n v="0.15"/>
    <x v="1"/>
    <n v="89.2"/>
    <n v="58.85"/>
    <n v="30.35"/>
    <n v="1"/>
    <n v="0"/>
    <n v="3"/>
    <n v="4"/>
  </r>
  <r>
    <s v="SW-101323"/>
    <d v="2024-08-09T00:00:00"/>
    <x v="0"/>
    <s v="Q3"/>
    <x v="7"/>
    <x v="0"/>
    <x v="1"/>
    <x v="1"/>
    <x v="3"/>
    <s v="Cycling Helmet"/>
    <n v="2"/>
    <n v="85.42"/>
    <n v="0.2"/>
    <x v="1"/>
    <n v="136.66999999999999"/>
    <n v="111.07"/>
    <n v="25.6"/>
    <n v="1"/>
    <n v="0"/>
    <n v="6"/>
    <n v="4"/>
  </r>
  <r>
    <s v="SW-101324"/>
    <d v="2024-08-09T00:00:00"/>
    <x v="0"/>
    <s v="Q3"/>
    <x v="7"/>
    <x v="2"/>
    <x v="4"/>
    <x v="0"/>
    <x v="0"/>
    <s v="Running Sneakers"/>
    <n v="2"/>
    <n v="94.85"/>
    <n v="0.15"/>
    <x v="1"/>
    <n v="161.24"/>
    <n v="106.15"/>
    <n v="55.09"/>
    <n v="1"/>
    <n v="1"/>
    <n v="6"/>
    <n v="2"/>
  </r>
  <r>
    <s v="SW-101325"/>
    <d v="2024-08-09T00:00:00"/>
    <x v="0"/>
    <s v="Q3"/>
    <x v="7"/>
    <x v="0"/>
    <x v="3"/>
    <x v="0"/>
    <x v="4"/>
    <s v="Power Bank"/>
    <n v="1"/>
    <n v="508.8"/>
    <n v="0.3"/>
    <x v="3"/>
    <n v="356.16"/>
    <n v="413.09"/>
    <n v="-56.93"/>
    <n v="1"/>
    <n v="0"/>
    <n v="3"/>
    <n v="4"/>
  </r>
  <r>
    <s v="SW-101326"/>
    <d v="2024-08-10T00:00:00"/>
    <x v="0"/>
    <s v="Q3"/>
    <x v="7"/>
    <x v="1"/>
    <x v="4"/>
    <x v="0"/>
    <x v="5"/>
    <s v="Bestseller Novel"/>
    <n v="2"/>
    <n v="45.28"/>
    <n v="0"/>
    <x v="2"/>
    <n v="90.56"/>
    <n v="64.69"/>
    <n v="25.87"/>
    <n v="1"/>
    <n v="0"/>
    <n v="5"/>
    <n v="4"/>
  </r>
  <r>
    <s v="SW-101327"/>
    <d v="2024-08-10T00:00:00"/>
    <x v="0"/>
    <s v="Q3"/>
    <x v="7"/>
    <x v="2"/>
    <x v="3"/>
    <x v="1"/>
    <x v="2"/>
    <s v="Storage Boxes"/>
    <n v="1"/>
    <n v="154.66"/>
    <n v="0.1"/>
    <x v="0"/>
    <n v="139.19"/>
    <n v="96.74"/>
    <n v="42.45"/>
    <n v="1"/>
    <n v="0"/>
    <n v="6"/>
    <n v="4"/>
  </r>
  <r>
    <s v="SW-101328"/>
    <d v="2024-08-10T00:00:00"/>
    <x v="0"/>
    <s v="Q3"/>
    <x v="7"/>
    <x v="1"/>
    <x v="2"/>
    <x v="0"/>
    <x v="2"/>
    <s v="Coffee Maker"/>
    <n v="1"/>
    <n v="148.05000000000001"/>
    <n v="0.1"/>
    <x v="0"/>
    <n v="133.24"/>
    <n v="97.82"/>
    <n v="35.42"/>
    <n v="1"/>
    <n v="0"/>
    <n v="3"/>
    <n v="5"/>
  </r>
  <r>
    <s v="SW-101329"/>
    <d v="2024-08-10T00:00:00"/>
    <x v="0"/>
    <s v="Q3"/>
    <x v="7"/>
    <x v="1"/>
    <x v="3"/>
    <x v="0"/>
    <x v="0"/>
    <s v="Cotton T-Shirt"/>
    <n v="2"/>
    <n v="19.41"/>
    <n v="0.2"/>
    <x v="1"/>
    <n v="31.06"/>
    <n v="20.88"/>
    <n v="10.18"/>
    <n v="1"/>
    <n v="0"/>
    <n v="4"/>
    <n v="4"/>
  </r>
  <r>
    <s v="SW-101330"/>
    <d v="2024-08-10T00:00:00"/>
    <x v="0"/>
    <s v="Q3"/>
    <x v="7"/>
    <x v="0"/>
    <x v="2"/>
    <x v="0"/>
    <x v="0"/>
    <s v="Leather Handbag"/>
    <n v="1"/>
    <n v="138.5"/>
    <n v="0"/>
    <x v="2"/>
    <n v="138.5"/>
    <n v="78.489999999999995"/>
    <n v="60.01"/>
    <n v="1"/>
    <n v="0"/>
    <n v="5"/>
    <n v="4"/>
  </r>
  <r>
    <s v="SW-101331"/>
    <d v="2024-08-11T00:00:00"/>
    <x v="0"/>
    <s v="Q3"/>
    <x v="7"/>
    <x v="1"/>
    <x v="2"/>
    <x v="0"/>
    <x v="4"/>
    <s v="Wireless Earbuds"/>
    <n v="2"/>
    <n v="588.41"/>
    <n v="0.25"/>
    <x v="3"/>
    <n v="882.62"/>
    <n v="939.79"/>
    <n v="-57.17"/>
    <n v="1"/>
    <n v="0"/>
    <n v="5"/>
    <n v="5"/>
  </r>
  <r>
    <s v="SW-101332"/>
    <d v="2024-08-11T00:00:00"/>
    <x v="0"/>
    <s v="Q3"/>
    <x v="7"/>
    <x v="0"/>
    <x v="3"/>
    <x v="0"/>
    <x v="3"/>
    <s v="Dumbbell Set"/>
    <n v="1"/>
    <n v="198.42"/>
    <n v="0"/>
    <x v="2"/>
    <n v="198.42"/>
    <n v="136.25"/>
    <n v="62.17"/>
    <n v="1"/>
    <n v="0"/>
    <n v="3"/>
    <n v="5"/>
  </r>
  <r>
    <s v="SW-101333"/>
    <d v="2024-08-11T00:00:00"/>
    <x v="0"/>
    <s v="Q3"/>
    <x v="7"/>
    <x v="0"/>
    <x v="2"/>
    <x v="0"/>
    <x v="4"/>
    <s v="Power Bank"/>
    <n v="1"/>
    <n v="508.8"/>
    <n v="0.1"/>
    <x v="0"/>
    <n v="457.92"/>
    <n v="412.68"/>
    <n v="45.24"/>
    <n v="1"/>
    <n v="0"/>
    <n v="3"/>
    <n v="4"/>
  </r>
  <r>
    <s v="SW-101334"/>
    <d v="2024-08-11T00:00:00"/>
    <x v="0"/>
    <s v="Q3"/>
    <x v="7"/>
    <x v="0"/>
    <x v="1"/>
    <x v="0"/>
    <x v="2"/>
    <s v="Desk Lamp"/>
    <n v="1"/>
    <n v="117.63"/>
    <n v="0.05"/>
    <x v="0"/>
    <n v="111.75"/>
    <n v="77.8"/>
    <n v="33.950000000000003"/>
    <n v="1"/>
    <n v="0"/>
    <n v="7"/>
    <n v="3"/>
  </r>
  <r>
    <s v="SW-101335"/>
    <d v="2024-08-11T00:00:00"/>
    <x v="0"/>
    <s v="Q3"/>
    <x v="7"/>
    <x v="1"/>
    <x v="3"/>
    <x v="0"/>
    <x v="3"/>
    <s v="Yoga Mat"/>
    <n v="1"/>
    <n v="137.05000000000001"/>
    <n v="0"/>
    <x v="2"/>
    <n v="137.05000000000001"/>
    <n v="94.96"/>
    <n v="42.09"/>
    <n v="1"/>
    <n v="0"/>
    <n v="3"/>
    <n v="5"/>
  </r>
  <r>
    <s v="SW-101336"/>
    <d v="2024-08-11T00:00:00"/>
    <x v="0"/>
    <s v="Q3"/>
    <x v="7"/>
    <x v="1"/>
    <x v="2"/>
    <x v="0"/>
    <x v="3"/>
    <s v="Camping Tent"/>
    <n v="2"/>
    <n v="83.06"/>
    <n v="0.15"/>
    <x v="1"/>
    <n v="141.19999999999999"/>
    <n v="110.66"/>
    <n v="30.54"/>
    <n v="1"/>
    <n v="0"/>
    <n v="3"/>
    <n v="4"/>
  </r>
  <r>
    <s v="SW-101337"/>
    <d v="2024-08-12T00:00:00"/>
    <x v="0"/>
    <s v="Q3"/>
    <x v="7"/>
    <x v="1"/>
    <x v="2"/>
    <x v="1"/>
    <x v="5"/>
    <s v="Kids Puzzle"/>
    <n v="2"/>
    <n v="16.97"/>
    <n v="0.2"/>
    <x v="1"/>
    <n v="27.15"/>
    <n v="23.02"/>
    <n v="4.13"/>
    <n v="1"/>
    <n v="0"/>
    <n v="4"/>
    <n v="5"/>
  </r>
  <r>
    <s v="SW-101338"/>
    <d v="2024-08-12T00:00:00"/>
    <x v="0"/>
    <s v="Q3"/>
    <x v="7"/>
    <x v="0"/>
    <x v="0"/>
    <x v="1"/>
    <x v="3"/>
    <s v="Dumbbell Set"/>
    <n v="2"/>
    <n v="198.42"/>
    <n v="0"/>
    <x v="2"/>
    <n v="396.84"/>
    <n v="253.55"/>
    <n v="143.29"/>
    <n v="1"/>
    <n v="0"/>
    <n v="4"/>
    <n v="4"/>
  </r>
  <r>
    <s v="SW-101339"/>
    <d v="2024-08-12T00:00:00"/>
    <x v="0"/>
    <s v="Q3"/>
    <x v="7"/>
    <x v="1"/>
    <x v="3"/>
    <x v="1"/>
    <x v="0"/>
    <s v="Cotton T-Shirt"/>
    <n v="1"/>
    <n v="19.41"/>
    <n v="0"/>
    <x v="2"/>
    <n v="19.41"/>
    <n v="10.42"/>
    <n v="8.99"/>
    <n v="1"/>
    <n v="0"/>
    <n v="4"/>
    <n v="4"/>
  </r>
  <r>
    <s v="SW-101340"/>
    <d v="2024-08-12T00:00:00"/>
    <x v="0"/>
    <s v="Q3"/>
    <x v="7"/>
    <x v="1"/>
    <x v="3"/>
    <x v="0"/>
    <x v="0"/>
    <s v="Denim Jacket"/>
    <n v="1"/>
    <n v="78.510000000000005"/>
    <n v="0.1"/>
    <x v="0"/>
    <n v="70.66"/>
    <n v="39.22"/>
    <n v="31.44"/>
    <n v="1"/>
    <n v="0"/>
    <n v="3"/>
    <n v="4"/>
  </r>
  <r>
    <s v="SW-101341"/>
    <d v="2024-08-12T00:00:00"/>
    <x v="0"/>
    <s v="Q3"/>
    <x v="7"/>
    <x v="0"/>
    <x v="0"/>
    <x v="0"/>
    <x v="2"/>
    <s v="Air Fryer"/>
    <n v="1"/>
    <n v="68.349999999999994"/>
    <n v="0.25"/>
    <x v="3"/>
    <n v="51.26"/>
    <n v="46.22"/>
    <n v="5.04"/>
    <n v="1"/>
    <n v="0"/>
    <n v="4"/>
    <n v="4"/>
  </r>
  <r>
    <s v="SW-101342"/>
    <d v="2024-08-12T00:00:00"/>
    <x v="0"/>
    <s v="Q3"/>
    <x v="7"/>
    <x v="1"/>
    <x v="1"/>
    <x v="0"/>
    <x v="5"/>
    <s v="Story Book Set"/>
    <n v="1"/>
    <n v="10.76"/>
    <n v="0.1"/>
    <x v="0"/>
    <n v="9.68"/>
    <n v="7.9"/>
    <n v="1.78"/>
    <n v="1"/>
    <n v="0"/>
    <n v="7"/>
    <n v="4"/>
  </r>
  <r>
    <s v="SW-101343"/>
    <d v="2024-08-12T00:00:00"/>
    <x v="0"/>
    <s v="Q3"/>
    <x v="7"/>
    <x v="0"/>
    <x v="3"/>
    <x v="1"/>
    <x v="4"/>
    <s v="Bluetooth Speaker"/>
    <n v="1"/>
    <n v="177.65"/>
    <n v="0"/>
    <x v="2"/>
    <n v="177.65"/>
    <n v="136.93"/>
    <n v="40.72"/>
    <n v="1"/>
    <n v="0"/>
    <n v="3"/>
    <n v="4"/>
  </r>
  <r>
    <s v="SW-101344"/>
    <d v="2024-08-12T00:00:00"/>
    <x v="0"/>
    <s v="Q3"/>
    <x v="7"/>
    <x v="1"/>
    <x v="3"/>
    <x v="1"/>
    <x v="0"/>
    <s v="Sunglasses"/>
    <n v="1"/>
    <n v="104.94"/>
    <n v="0"/>
    <x v="2"/>
    <n v="104.94"/>
    <n v="54.19"/>
    <n v="50.75"/>
    <n v="1"/>
    <n v="1"/>
    <n v="2"/>
    <n v="3"/>
  </r>
  <r>
    <s v="SW-101345"/>
    <d v="2024-08-12T00:00:00"/>
    <x v="0"/>
    <s v="Q3"/>
    <x v="7"/>
    <x v="1"/>
    <x v="3"/>
    <x v="0"/>
    <x v="0"/>
    <s v="Denim Jacket"/>
    <n v="1"/>
    <n v="78.510000000000005"/>
    <n v="0.1"/>
    <x v="0"/>
    <n v="70.66"/>
    <n v="44.01"/>
    <n v="26.65"/>
    <n v="1"/>
    <n v="0"/>
    <n v="2"/>
    <n v="5"/>
  </r>
  <r>
    <s v="SW-101346"/>
    <d v="2024-08-12T00:00:00"/>
    <x v="0"/>
    <s v="Q3"/>
    <x v="7"/>
    <x v="1"/>
    <x v="0"/>
    <x v="0"/>
    <x v="2"/>
    <s v="Desk Lamp"/>
    <n v="1"/>
    <n v="117.63"/>
    <n v="0.1"/>
    <x v="0"/>
    <n v="105.87"/>
    <n v="73.650000000000006"/>
    <n v="32.22"/>
    <n v="1"/>
    <n v="0"/>
    <n v="4"/>
    <n v="5"/>
  </r>
  <r>
    <s v="SW-101347"/>
    <d v="2024-08-12T00:00:00"/>
    <x v="0"/>
    <s v="Q3"/>
    <x v="7"/>
    <x v="1"/>
    <x v="0"/>
    <x v="0"/>
    <x v="0"/>
    <s v="Cotton T-Shirt"/>
    <n v="1"/>
    <n v="19.41"/>
    <n v="0.15"/>
    <x v="1"/>
    <n v="16.5"/>
    <n v="10.19"/>
    <n v="6.31"/>
    <n v="1"/>
    <n v="1"/>
    <n v="5"/>
    <n v="3"/>
  </r>
  <r>
    <s v="SW-101348"/>
    <d v="2024-08-12T00:00:00"/>
    <x v="0"/>
    <s v="Q3"/>
    <x v="7"/>
    <x v="0"/>
    <x v="3"/>
    <x v="1"/>
    <x v="3"/>
    <s v="Fitness Tracker"/>
    <n v="2"/>
    <n v="74.459999999999994"/>
    <n v="0.25"/>
    <x v="3"/>
    <n v="111.69"/>
    <n v="98.69"/>
    <n v="13"/>
    <n v="1"/>
    <n v="0"/>
    <n v="4"/>
    <n v="5"/>
  </r>
  <r>
    <s v="SW-101349"/>
    <d v="2024-08-13T00:00:00"/>
    <x v="0"/>
    <s v="Q3"/>
    <x v="7"/>
    <x v="1"/>
    <x v="3"/>
    <x v="0"/>
    <x v="5"/>
    <s v="Story Book Set"/>
    <n v="1"/>
    <n v="10.76"/>
    <n v="0.15"/>
    <x v="1"/>
    <n v="9.15"/>
    <n v="7.62"/>
    <n v="1.53"/>
    <n v="1"/>
    <n v="0"/>
    <n v="3"/>
    <n v="4"/>
  </r>
  <r>
    <s v="SW-101350"/>
    <d v="2024-08-13T00:00:00"/>
    <x v="0"/>
    <s v="Q3"/>
    <x v="7"/>
    <x v="2"/>
    <x v="0"/>
    <x v="0"/>
    <x v="3"/>
    <s v="Yoga Mat"/>
    <n v="1"/>
    <n v="137.05000000000001"/>
    <n v="0"/>
    <x v="2"/>
    <n v="137.05000000000001"/>
    <n v="88.42"/>
    <n v="48.63"/>
    <n v="1"/>
    <n v="0"/>
    <n v="4"/>
    <n v="4"/>
  </r>
  <r>
    <s v="SW-101351"/>
    <d v="2024-08-13T00:00:00"/>
    <x v="0"/>
    <s v="Q3"/>
    <x v="7"/>
    <x v="1"/>
    <x v="1"/>
    <x v="1"/>
    <x v="2"/>
    <s v="Bed Sheet Set"/>
    <n v="1"/>
    <n v="90.75"/>
    <n v="0.05"/>
    <x v="0"/>
    <n v="86.21"/>
    <n v="60.91"/>
    <n v="25.3"/>
    <n v="1"/>
    <n v="0"/>
    <n v="6"/>
    <n v="4"/>
  </r>
  <r>
    <s v="SW-101352"/>
    <d v="2024-08-13T00:00:00"/>
    <x v="0"/>
    <s v="Q3"/>
    <x v="7"/>
    <x v="0"/>
    <x v="1"/>
    <x v="1"/>
    <x v="0"/>
    <s v="Denim Jacket"/>
    <n v="1"/>
    <n v="78.510000000000005"/>
    <n v="0.15"/>
    <x v="1"/>
    <n v="66.73"/>
    <n v="41.49"/>
    <n v="25.24"/>
    <n v="1"/>
    <n v="1"/>
    <n v="6"/>
    <n v="2"/>
  </r>
  <r>
    <s v="SW-101353"/>
    <d v="2024-08-13T00:00:00"/>
    <x v="0"/>
    <s v="Q3"/>
    <x v="7"/>
    <x v="0"/>
    <x v="3"/>
    <x v="1"/>
    <x v="5"/>
    <s v="Building Blocks"/>
    <n v="1"/>
    <n v="48.86"/>
    <n v="0.05"/>
    <x v="0"/>
    <n v="46.42"/>
    <n v="34.630000000000003"/>
    <n v="11.79"/>
    <n v="1"/>
    <n v="1"/>
    <n v="3"/>
    <n v="3"/>
  </r>
  <r>
    <s v="SW-101354"/>
    <d v="2024-08-13T00:00:00"/>
    <x v="0"/>
    <s v="Q3"/>
    <x v="7"/>
    <x v="2"/>
    <x v="3"/>
    <x v="1"/>
    <x v="3"/>
    <s v="Camping Tent"/>
    <n v="1"/>
    <n v="83.06"/>
    <n v="0.05"/>
    <x v="0"/>
    <n v="78.91"/>
    <n v="54.81"/>
    <n v="24.1"/>
    <n v="1"/>
    <n v="0"/>
    <n v="3"/>
    <n v="4"/>
  </r>
  <r>
    <s v="SW-101355"/>
    <d v="2024-08-14T00:00:00"/>
    <x v="0"/>
    <s v="Q3"/>
    <x v="7"/>
    <x v="1"/>
    <x v="2"/>
    <x v="1"/>
    <x v="3"/>
    <s v="Dumbbell Set"/>
    <n v="2"/>
    <n v="198.42"/>
    <n v="0.2"/>
    <x v="1"/>
    <n v="317.47000000000003"/>
    <n v="268.72000000000003"/>
    <n v="48.75"/>
    <n v="1"/>
    <n v="1"/>
    <n v="3"/>
    <n v="3"/>
  </r>
  <r>
    <s v="SW-101356"/>
    <d v="2024-08-14T00:00:00"/>
    <x v="0"/>
    <s v="Q3"/>
    <x v="7"/>
    <x v="2"/>
    <x v="0"/>
    <x v="1"/>
    <x v="3"/>
    <s v="Fitness Tracker"/>
    <n v="1"/>
    <n v="74.459999999999994"/>
    <n v="0.15"/>
    <x v="1"/>
    <n v="63.29"/>
    <n v="48.65"/>
    <n v="14.64"/>
    <n v="1"/>
    <n v="0"/>
    <n v="4"/>
    <n v="4"/>
  </r>
  <r>
    <s v="SW-101357"/>
    <d v="2024-08-14T00:00:00"/>
    <x v="0"/>
    <s v="Q3"/>
    <x v="7"/>
    <x v="1"/>
    <x v="0"/>
    <x v="1"/>
    <x v="1"/>
    <s v="Hair Dryer"/>
    <n v="1"/>
    <n v="33.18"/>
    <n v="0.05"/>
    <x v="0"/>
    <n v="31.52"/>
    <n v="15.42"/>
    <n v="16.100000000000001"/>
    <n v="1"/>
    <n v="0"/>
    <n v="5"/>
    <n v="3"/>
  </r>
  <r>
    <s v="SW-101358"/>
    <d v="2024-08-14T00:00:00"/>
    <x v="0"/>
    <s v="Q3"/>
    <x v="7"/>
    <x v="1"/>
    <x v="0"/>
    <x v="1"/>
    <x v="5"/>
    <s v="Story Book Set"/>
    <n v="1"/>
    <n v="10.76"/>
    <n v="0.2"/>
    <x v="1"/>
    <n v="8.61"/>
    <n v="7.78"/>
    <n v="0.83"/>
    <n v="1"/>
    <n v="0"/>
    <n v="5"/>
    <n v="3"/>
  </r>
  <r>
    <s v="SW-101359"/>
    <d v="2024-08-14T00:00:00"/>
    <x v="0"/>
    <s v="Q3"/>
    <x v="7"/>
    <x v="2"/>
    <x v="3"/>
    <x v="1"/>
    <x v="5"/>
    <s v="Story Book Set"/>
    <n v="2"/>
    <n v="10.76"/>
    <n v="0"/>
    <x v="2"/>
    <n v="21.52"/>
    <n v="15.8"/>
    <n v="5.72"/>
    <n v="1"/>
    <n v="0"/>
    <n v="5"/>
    <n v="5"/>
  </r>
  <r>
    <s v="SW-101360"/>
    <d v="2024-08-15T00:00:00"/>
    <x v="0"/>
    <s v="Q3"/>
    <x v="7"/>
    <x v="1"/>
    <x v="3"/>
    <x v="1"/>
    <x v="4"/>
    <s v="Bluetooth Speaker"/>
    <n v="1"/>
    <n v="177.65"/>
    <n v="0.15"/>
    <x v="1"/>
    <n v="151"/>
    <n v="141.82"/>
    <n v="9.18"/>
    <n v="1"/>
    <n v="0"/>
    <n v="3"/>
    <n v="5"/>
  </r>
  <r>
    <s v="SW-101361"/>
    <d v="2024-08-15T00:00:00"/>
    <x v="0"/>
    <s v="Q3"/>
    <x v="7"/>
    <x v="2"/>
    <x v="3"/>
    <x v="1"/>
    <x v="0"/>
    <s v="Cotton T-Shirt"/>
    <n v="1"/>
    <n v="19.41"/>
    <n v="0.25"/>
    <x v="3"/>
    <n v="14.56"/>
    <n v="10.39"/>
    <n v="4.17"/>
    <n v="1"/>
    <n v="0"/>
    <n v="4"/>
    <n v="4"/>
  </r>
  <r>
    <s v="SW-101362"/>
    <d v="2024-08-15T00:00:00"/>
    <x v="0"/>
    <s v="Q3"/>
    <x v="7"/>
    <x v="2"/>
    <x v="2"/>
    <x v="0"/>
    <x v="5"/>
    <s v="Bestseller Novel"/>
    <n v="1"/>
    <n v="45.28"/>
    <n v="0.1"/>
    <x v="0"/>
    <n v="40.75"/>
    <n v="32.659999999999997"/>
    <n v="8.09"/>
    <n v="1"/>
    <n v="0"/>
    <n v="3"/>
    <n v="5"/>
  </r>
  <r>
    <s v="SW-101363"/>
    <d v="2024-08-15T00:00:00"/>
    <x v="0"/>
    <s v="Q3"/>
    <x v="7"/>
    <x v="0"/>
    <x v="0"/>
    <x v="1"/>
    <x v="0"/>
    <s v="Leather Handbag"/>
    <n v="2"/>
    <n v="138.5"/>
    <n v="0.05"/>
    <x v="0"/>
    <n v="263.14999999999998"/>
    <n v="154.62"/>
    <n v="108.53"/>
    <n v="1"/>
    <n v="0"/>
    <n v="4"/>
    <n v="5"/>
  </r>
  <r>
    <s v="SW-101364"/>
    <d v="2024-08-15T00:00:00"/>
    <x v="0"/>
    <s v="Q3"/>
    <x v="7"/>
    <x v="1"/>
    <x v="3"/>
    <x v="0"/>
    <x v="1"/>
    <s v="Makeup Kit"/>
    <n v="1"/>
    <n v="74.3"/>
    <n v="0.05"/>
    <x v="0"/>
    <n v="70.58"/>
    <n v="36.450000000000003"/>
    <n v="34.130000000000003"/>
    <n v="1"/>
    <n v="0"/>
    <n v="5"/>
    <n v="5"/>
  </r>
  <r>
    <s v="SW-101365"/>
    <d v="2024-08-16T00:00:00"/>
    <x v="0"/>
    <s v="Q3"/>
    <x v="7"/>
    <x v="1"/>
    <x v="2"/>
    <x v="0"/>
    <x v="3"/>
    <s v="Cycling Helmet"/>
    <n v="1"/>
    <n v="85.42"/>
    <n v="0"/>
    <x v="2"/>
    <n v="85.42"/>
    <n v="57.38"/>
    <n v="28.04"/>
    <n v="1"/>
    <n v="0"/>
    <n v="3"/>
    <n v="4"/>
  </r>
  <r>
    <s v="SW-101366"/>
    <d v="2024-08-16T00:00:00"/>
    <x v="0"/>
    <s v="Q3"/>
    <x v="7"/>
    <x v="0"/>
    <x v="3"/>
    <x v="1"/>
    <x v="0"/>
    <s v="Sunglasses"/>
    <n v="1"/>
    <n v="104.94"/>
    <n v="0.05"/>
    <x v="0"/>
    <n v="99.69"/>
    <n v="59.39"/>
    <n v="40.299999999999997"/>
    <n v="1"/>
    <n v="0"/>
    <n v="3"/>
    <n v="4"/>
  </r>
  <r>
    <s v="SW-101367"/>
    <d v="2024-08-16T00:00:00"/>
    <x v="0"/>
    <s v="Q3"/>
    <x v="7"/>
    <x v="0"/>
    <x v="2"/>
    <x v="0"/>
    <x v="1"/>
    <s v="Hair Dryer"/>
    <n v="1"/>
    <n v="33.18"/>
    <n v="0"/>
    <x v="2"/>
    <n v="33.18"/>
    <n v="16.54"/>
    <n v="16.64"/>
    <n v="1"/>
    <n v="0"/>
    <n v="3"/>
    <n v="5"/>
  </r>
  <r>
    <s v="SW-101368"/>
    <d v="2024-08-16T00:00:00"/>
    <x v="0"/>
    <s v="Q3"/>
    <x v="7"/>
    <x v="0"/>
    <x v="2"/>
    <x v="0"/>
    <x v="5"/>
    <s v="Kids Puzzle"/>
    <n v="1"/>
    <n v="16.97"/>
    <n v="0.05"/>
    <x v="0"/>
    <n v="16.12"/>
    <n v="11.82"/>
    <n v="4.3"/>
    <n v="1"/>
    <n v="1"/>
    <n v="3"/>
    <n v="4"/>
  </r>
  <r>
    <s v="SW-101369"/>
    <d v="2024-08-17T00:00:00"/>
    <x v="0"/>
    <s v="Q3"/>
    <x v="7"/>
    <x v="2"/>
    <x v="0"/>
    <x v="1"/>
    <x v="5"/>
    <s v="Building Blocks"/>
    <n v="2"/>
    <n v="48.86"/>
    <n v="0.25"/>
    <x v="3"/>
    <n v="73.290000000000006"/>
    <n v="67.92"/>
    <n v="5.37"/>
    <n v="1"/>
    <n v="0"/>
    <n v="3"/>
    <n v="4"/>
  </r>
  <r>
    <s v="SW-101370"/>
    <d v="2024-08-17T00:00:00"/>
    <x v="0"/>
    <s v="Q3"/>
    <x v="7"/>
    <x v="2"/>
    <x v="3"/>
    <x v="1"/>
    <x v="1"/>
    <s v="Makeup Kit"/>
    <n v="1"/>
    <n v="74.3"/>
    <n v="0.05"/>
    <x v="0"/>
    <n v="70.58"/>
    <n v="35.47"/>
    <n v="35.11"/>
    <n v="1"/>
    <n v="0"/>
    <n v="5"/>
    <n v="4"/>
  </r>
  <r>
    <s v="SW-101371"/>
    <d v="2024-08-17T00:00:00"/>
    <x v="0"/>
    <s v="Q3"/>
    <x v="7"/>
    <x v="0"/>
    <x v="3"/>
    <x v="1"/>
    <x v="5"/>
    <s v="Board Game"/>
    <n v="1"/>
    <n v="57.92"/>
    <n v="0.2"/>
    <x v="1"/>
    <n v="46.34"/>
    <n v="41.14"/>
    <n v="5.2"/>
    <n v="1"/>
    <n v="0"/>
    <n v="3"/>
    <n v="4"/>
  </r>
  <r>
    <s v="SW-101372"/>
    <d v="2024-08-17T00:00:00"/>
    <x v="0"/>
    <s v="Q3"/>
    <x v="7"/>
    <x v="0"/>
    <x v="3"/>
    <x v="1"/>
    <x v="1"/>
    <s v="Makeup Kit"/>
    <n v="4"/>
    <n v="74.3"/>
    <n v="0"/>
    <x v="2"/>
    <n v="297.2"/>
    <n v="138.94"/>
    <n v="158.26"/>
    <n v="1"/>
    <n v="0"/>
    <n v="2"/>
    <n v="5"/>
  </r>
  <r>
    <s v="SW-101373"/>
    <d v="2024-08-17T00:00:00"/>
    <x v="0"/>
    <s v="Q3"/>
    <x v="7"/>
    <x v="0"/>
    <x v="2"/>
    <x v="1"/>
    <x v="1"/>
    <s v="Hair Dryer"/>
    <n v="1"/>
    <n v="33.18"/>
    <n v="0.15"/>
    <x v="1"/>
    <n v="28.2"/>
    <n v="15.72"/>
    <n v="12.48"/>
    <n v="1"/>
    <n v="0"/>
    <n v="3"/>
    <n v="5"/>
  </r>
  <r>
    <s v="SW-101374"/>
    <d v="2024-08-17T00:00:00"/>
    <x v="0"/>
    <s v="Q3"/>
    <x v="7"/>
    <x v="2"/>
    <x v="2"/>
    <x v="0"/>
    <x v="1"/>
    <s v="Hair Dryer"/>
    <n v="1"/>
    <n v="33.18"/>
    <n v="0.3"/>
    <x v="3"/>
    <n v="23.23"/>
    <n v="15.39"/>
    <n v="7.84"/>
    <n v="1"/>
    <n v="0"/>
    <n v="4"/>
    <n v="3"/>
  </r>
  <r>
    <s v="SW-101375"/>
    <d v="2024-08-17T00:00:00"/>
    <x v="0"/>
    <s v="Q3"/>
    <x v="7"/>
    <x v="1"/>
    <x v="1"/>
    <x v="0"/>
    <x v="0"/>
    <s v="Summer Dress"/>
    <n v="1"/>
    <n v="33.99"/>
    <n v="0"/>
    <x v="2"/>
    <n v="33.99"/>
    <n v="18.420000000000002"/>
    <n v="15.57"/>
    <n v="1"/>
    <n v="0"/>
    <n v="6"/>
    <n v="4"/>
  </r>
  <r>
    <s v="SW-101376"/>
    <d v="2024-08-17T00:00:00"/>
    <x v="0"/>
    <s v="Q3"/>
    <x v="7"/>
    <x v="2"/>
    <x v="2"/>
    <x v="1"/>
    <x v="4"/>
    <s v="Bluetooth Speaker"/>
    <n v="1"/>
    <n v="177.65"/>
    <n v="0.2"/>
    <x v="1"/>
    <n v="142.12"/>
    <n v="141.97"/>
    <n v="0.15"/>
    <n v="1"/>
    <n v="0"/>
    <n v="5"/>
    <n v="5"/>
  </r>
  <r>
    <s v="SW-101377"/>
    <d v="2024-08-17T00:00:00"/>
    <x v="0"/>
    <s v="Q3"/>
    <x v="7"/>
    <x v="0"/>
    <x v="2"/>
    <x v="1"/>
    <x v="3"/>
    <s v="Yoga Mat"/>
    <n v="1"/>
    <n v="137.05000000000001"/>
    <n v="0"/>
    <x v="2"/>
    <n v="137.05000000000001"/>
    <n v="94.24"/>
    <n v="42.81"/>
    <n v="1"/>
    <n v="0"/>
    <n v="4"/>
    <n v="4"/>
  </r>
  <r>
    <s v="SW-101378"/>
    <d v="2024-08-17T00:00:00"/>
    <x v="0"/>
    <s v="Q3"/>
    <x v="7"/>
    <x v="1"/>
    <x v="3"/>
    <x v="0"/>
    <x v="2"/>
    <s v="Coffee Maker"/>
    <n v="1"/>
    <n v="148.05000000000001"/>
    <n v="0"/>
    <x v="2"/>
    <n v="148.05000000000001"/>
    <n v="97.65"/>
    <n v="50.4"/>
    <n v="1"/>
    <n v="0"/>
    <n v="2"/>
    <n v="5"/>
  </r>
  <r>
    <s v="SW-101379"/>
    <d v="2024-08-17T00:00:00"/>
    <x v="0"/>
    <s v="Q3"/>
    <x v="7"/>
    <x v="2"/>
    <x v="2"/>
    <x v="1"/>
    <x v="4"/>
    <s v="4K Action Camera"/>
    <n v="1"/>
    <n v="636.09"/>
    <n v="0.05"/>
    <x v="0"/>
    <n v="604.29"/>
    <n v="525.66999999999996"/>
    <n v="78.62"/>
    <n v="1"/>
    <n v="0"/>
    <n v="4"/>
    <n v="4"/>
  </r>
  <r>
    <s v="SW-101380"/>
    <d v="2024-08-18T00:00:00"/>
    <x v="0"/>
    <s v="Q3"/>
    <x v="7"/>
    <x v="0"/>
    <x v="0"/>
    <x v="0"/>
    <x v="4"/>
    <s v="Tablet 10in"/>
    <n v="1"/>
    <n v="490.3"/>
    <n v="0.05"/>
    <x v="0"/>
    <n v="465.78"/>
    <n v="395.68"/>
    <n v="70.099999999999994"/>
    <n v="1"/>
    <n v="0"/>
    <n v="4"/>
    <n v="5"/>
  </r>
  <r>
    <s v="SW-101381"/>
    <d v="2024-08-18T00:00:00"/>
    <x v="0"/>
    <s v="Q3"/>
    <x v="7"/>
    <x v="0"/>
    <x v="2"/>
    <x v="1"/>
    <x v="2"/>
    <s v="Desk Lamp"/>
    <n v="1"/>
    <n v="117.63"/>
    <n v="0.1"/>
    <x v="0"/>
    <n v="105.87"/>
    <n v="78.83"/>
    <n v="27.04"/>
    <n v="1"/>
    <n v="0"/>
    <n v="3"/>
    <n v="3"/>
  </r>
  <r>
    <s v="SW-101382"/>
    <d v="2024-08-18T00:00:00"/>
    <x v="0"/>
    <s v="Q3"/>
    <x v="7"/>
    <x v="0"/>
    <x v="3"/>
    <x v="0"/>
    <x v="2"/>
    <s v="Storage Boxes"/>
    <n v="4"/>
    <n v="154.66"/>
    <n v="0.05"/>
    <x v="0"/>
    <n v="587.71"/>
    <n v="423.32"/>
    <n v="164.39"/>
    <n v="1"/>
    <n v="0"/>
    <n v="4"/>
    <n v="4"/>
  </r>
  <r>
    <s v="SW-101383"/>
    <d v="2024-08-18T00:00:00"/>
    <x v="0"/>
    <s v="Q3"/>
    <x v="7"/>
    <x v="0"/>
    <x v="0"/>
    <x v="0"/>
    <x v="3"/>
    <s v="Cycling Helmet"/>
    <n v="2"/>
    <n v="85.42"/>
    <n v="0.05"/>
    <x v="0"/>
    <n v="162.30000000000001"/>
    <n v="113.04"/>
    <n v="49.26"/>
    <n v="1"/>
    <n v="0"/>
    <n v="4"/>
    <n v="5"/>
  </r>
  <r>
    <s v="SW-101384"/>
    <d v="2024-08-18T00:00:00"/>
    <x v="0"/>
    <s v="Q3"/>
    <x v="7"/>
    <x v="0"/>
    <x v="3"/>
    <x v="1"/>
    <x v="5"/>
    <s v="Story Book Set"/>
    <n v="1"/>
    <n v="10.76"/>
    <n v="0"/>
    <x v="2"/>
    <n v="10.76"/>
    <n v="7.94"/>
    <n v="2.82"/>
    <n v="1"/>
    <n v="0"/>
    <n v="6"/>
    <n v="3"/>
  </r>
  <r>
    <s v="SW-101385"/>
    <d v="2024-08-18T00:00:00"/>
    <x v="0"/>
    <s v="Q3"/>
    <x v="7"/>
    <x v="1"/>
    <x v="4"/>
    <x v="1"/>
    <x v="0"/>
    <s v="Sunglasses"/>
    <n v="1"/>
    <n v="104.94"/>
    <n v="0"/>
    <x v="2"/>
    <n v="104.94"/>
    <n v="55.88"/>
    <n v="49.06"/>
    <n v="1"/>
    <n v="0"/>
    <n v="5"/>
    <n v="5"/>
  </r>
  <r>
    <s v="SW-101386"/>
    <d v="2024-08-18T00:00:00"/>
    <x v="0"/>
    <s v="Q3"/>
    <x v="7"/>
    <x v="0"/>
    <x v="2"/>
    <x v="0"/>
    <x v="4"/>
    <s v="Tablet 10in"/>
    <n v="1"/>
    <n v="490.3"/>
    <n v="0.25"/>
    <x v="3"/>
    <n v="367.72"/>
    <n v="398.76"/>
    <n v="-31.04"/>
    <n v="1"/>
    <n v="0"/>
    <n v="5"/>
    <n v="5"/>
  </r>
  <r>
    <s v="SW-101387"/>
    <d v="2024-08-18T00:00:00"/>
    <x v="0"/>
    <s v="Q3"/>
    <x v="7"/>
    <x v="0"/>
    <x v="3"/>
    <x v="0"/>
    <x v="1"/>
    <s v="Makeup Kit"/>
    <n v="2"/>
    <n v="74.3"/>
    <n v="0.15"/>
    <x v="1"/>
    <n v="126.31"/>
    <n v="72.760000000000005"/>
    <n v="53.55"/>
    <n v="1"/>
    <n v="0"/>
    <n v="5"/>
    <n v="4"/>
  </r>
  <r>
    <s v="SW-101388"/>
    <d v="2024-08-19T00:00:00"/>
    <x v="0"/>
    <s v="Q3"/>
    <x v="7"/>
    <x v="1"/>
    <x v="2"/>
    <x v="1"/>
    <x v="1"/>
    <s v="Skin Care Bundle"/>
    <n v="3"/>
    <n v="92.54"/>
    <n v="0"/>
    <x v="2"/>
    <n v="277.62"/>
    <n v="128.03"/>
    <n v="149.59"/>
    <n v="1"/>
    <n v="0"/>
    <n v="8"/>
    <n v="4"/>
  </r>
  <r>
    <s v="SW-101389"/>
    <d v="2024-08-19T00:00:00"/>
    <x v="0"/>
    <s v="Q3"/>
    <x v="7"/>
    <x v="1"/>
    <x v="3"/>
    <x v="0"/>
    <x v="2"/>
    <s v="Storage Boxes"/>
    <n v="1"/>
    <n v="154.66"/>
    <n v="0.1"/>
    <x v="0"/>
    <n v="139.19"/>
    <n v="96.99"/>
    <n v="42.2"/>
    <n v="1"/>
    <n v="0"/>
    <n v="3"/>
    <n v="5"/>
  </r>
  <r>
    <s v="SW-101390"/>
    <d v="2024-08-20T00:00:00"/>
    <x v="0"/>
    <s v="Q3"/>
    <x v="7"/>
    <x v="0"/>
    <x v="3"/>
    <x v="0"/>
    <x v="4"/>
    <s v="Smart Watch"/>
    <n v="1"/>
    <n v="216.08"/>
    <n v="0"/>
    <x v="2"/>
    <n v="216.08"/>
    <n v="173.69"/>
    <n v="42.39"/>
    <n v="1"/>
    <n v="0"/>
    <n v="3"/>
    <n v="4"/>
  </r>
  <r>
    <s v="SW-101391"/>
    <d v="2024-08-20T00:00:00"/>
    <x v="0"/>
    <s v="Q3"/>
    <x v="7"/>
    <x v="2"/>
    <x v="2"/>
    <x v="0"/>
    <x v="0"/>
    <s v="Cotton T-Shirt"/>
    <n v="1"/>
    <n v="19.41"/>
    <n v="0.1"/>
    <x v="0"/>
    <n v="17.47"/>
    <n v="10.25"/>
    <n v="7.22"/>
    <n v="1"/>
    <n v="0"/>
    <n v="3"/>
    <n v="4"/>
  </r>
  <r>
    <s v="SW-101392"/>
    <d v="2024-08-20T00:00:00"/>
    <x v="0"/>
    <s v="Q3"/>
    <x v="7"/>
    <x v="0"/>
    <x v="4"/>
    <x v="1"/>
    <x v="0"/>
    <s v="Running Sneakers"/>
    <n v="1"/>
    <n v="94.85"/>
    <n v="0.15"/>
    <x v="1"/>
    <n v="80.62"/>
    <n v="50.14"/>
    <n v="30.48"/>
    <n v="1"/>
    <n v="0"/>
    <n v="6"/>
    <n v="3"/>
  </r>
  <r>
    <s v="SW-101393"/>
    <d v="2024-08-20T00:00:00"/>
    <x v="0"/>
    <s v="Q3"/>
    <x v="7"/>
    <x v="0"/>
    <x v="3"/>
    <x v="1"/>
    <x v="4"/>
    <s v="Tablet 10in"/>
    <n v="2"/>
    <n v="490.3"/>
    <n v="0"/>
    <x v="2"/>
    <n v="980.6"/>
    <n v="824.19"/>
    <n v="156.41"/>
    <n v="1"/>
    <n v="0"/>
    <n v="3"/>
    <n v="4"/>
  </r>
  <r>
    <s v="SW-101394"/>
    <d v="2024-08-20T00:00:00"/>
    <x v="0"/>
    <s v="Q3"/>
    <x v="7"/>
    <x v="1"/>
    <x v="4"/>
    <x v="1"/>
    <x v="2"/>
    <s v="Coffee Maker"/>
    <n v="1"/>
    <n v="148.05000000000001"/>
    <n v="0.05"/>
    <x v="0"/>
    <n v="140.65"/>
    <n v="97.08"/>
    <n v="43.57"/>
    <n v="1"/>
    <n v="0"/>
    <n v="7"/>
    <n v="5"/>
  </r>
  <r>
    <s v="SW-101395"/>
    <d v="2024-08-20T00:00:00"/>
    <x v="0"/>
    <s v="Q3"/>
    <x v="7"/>
    <x v="0"/>
    <x v="3"/>
    <x v="1"/>
    <x v="5"/>
    <s v="Board Game"/>
    <n v="2"/>
    <n v="57.92"/>
    <n v="0.05"/>
    <x v="0"/>
    <n v="110.05"/>
    <n v="83.67"/>
    <n v="26.38"/>
    <n v="1"/>
    <n v="0"/>
    <n v="3"/>
    <n v="5"/>
  </r>
  <r>
    <s v="SW-101396"/>
    <d v="2024-08-21T00:00:00"/>
    <x v="0"/>
    <s v="Q3"/>
    <x v="7"/>
    <x v="1"/>
    <x v="2"/>
    <x v="1"/>
    <x v="4"/>
    <s v="4K Action Camera"/>
    <n v="1"/>
    <n v="636.09"/>
    <n v="0.15"/>
    <x v="1"/>
    <n v="540.67999999999995"/>
    <n v="503.23"/>
    <n v="37.450000000000003"/>
    <n v="1"/>
    <n v="0"/>
    <n v="3"/>
    <n v="3"/>
  </r>
  <r>
    <s v="SW-101397"/>
    <d v="2024-08-21T00:00:00"/>
    <x v="0"/>
    <s v="Q3"/>
    <x v="7"/>
    <x v="0"/>
    <x v="0"/>
    <x v="0"/>
    <x v="5"/>
    <s v="Story Book Set"/>
    <n v="1"/>
    <n v="10.76"/>
    <n v="0"/>
    <x v="2"/>
    <n v="10.76"/>
    <n v="7.81"/>
    <n v="2.95"/>
    <n v="1"/>
    <n v="0"/>
    <n v="4"/>
    <n v="5"/>
  </r>
  <r>
    <s v="SW-101398"/>
    <d v="2024-08-21T00:00:00"/>
    <x v="0"/>
    <s v="Q3"/>
    <x v="7"/>
    <x v="2"/>
    <x v="3"/>
    <x v="0"/>
    <x v="0"/>
    <s v="Leather Handbag"/>
    <n v="2"/>
    <n v="138.5"/>
    <n v="0"/>
    <x v="2"/>
    <n v="277"/>
    <n v="149.24"/>
    <n v="127.76"/>
    <n v="1"/>
    <n v="0"/>
    <n v="4"/>
    <n v="4"/>
  </r>
  <r>
    <s v="SW-101399"/>
    <d v="2024-08-21T00:00:00"/>
    <x v="0"/>
    <s v="Q3"/>
    <x v="7"/>
    <x v="0"/>
    <x v="1"/>
    <x v="1"/>
    <x v="0"/>
    <s v="Running Sneakers"/>
    <n v="1"/>
    <n v="94.85"/>
    <n v="0"/>
    <x v="2"/>
    <n v="94.85"/>
    <n v="49.78"/>
    <n v="45.07"/>
    <n v="1"/>
    <n v="1"/>
    <n v="5"/>
    <n v="3"/>
  </r>
  <r>
    <s v="SW-101400"/>
    <d v="2024-08-21T00:00:00"/>
    <x v="0"/>
    <s v="Q3"/>
    <x v="7"/>
    <x v="0"/>
    <x v="4"/>
    <x v="0"/>
    <x v="2"/>
    <s v="Desk Lamp"/>
    <n v="2"/>
    <n v="117.63"/>
    <n v="0.3"/>
    <x v="3"/>
    <n v="164.68"/>
    <n v="161.87"/>
    <n v="2.81"/>
    <n v="1"/>
    <n v="1"/>
    <n v="6"/>
    <n v="4"/>
  </r>
  <r>
    <s v="SW-101401"/>
    <d v="2024-08-21T00:00:00"/>
    <x v="0"/>
    <s v="Q3"/>
    <x v="7"/>
    <x v="0"/>
    <x v="4"/>
    <x v="0"/>
    <x v="5"/>
    <s v="Story Book Set"/>
    <n v="1"/>
    <n v="10.76"/>
    <n v="0.1"/>
    <x v="0"/>
    <n v="9.68"/>
    <n v="7.97"/>
    <n v="1.71"/>
    <n v="1"/>
    <n v="0"/>
    <n v="5"/>
    <n v="4"/>
  </r>
  <r>
    <s v="SW-101402"/>
    <d v="2024-08-22T00:00:00"/>
    <x v="0"/>
    <s v="Q3"/>
    <x v="7"/>
    <x v="0"/>
    <x v="0"/>
    <x v="1"/>
    <x v="0"/>
    <s v="Denim Jacket"/>
    <n v="1"/>
    <n v="78.510000000000005"/>
    <n v="0"/>
    <x v="2"/>
    <n v="78.510000000000005"/>
    <n v="41.91"/>
    <n v="36.6"/>
    <n v="1"/>
    <n v="1"/>
    <n v="4"/>
    <n v="2"/>
  </r>
  <r>
    <s v="SW-101403"/>
    <d v="2024-08-22T00:00:00"/>
    <x v="0"/>
    <s v="Q3"/>
    <x v="7"/>
    <x v="0"/>
    <x v="3"/>
    <x v="0"/>
    <x v="2"/>
    <s v="Bed Sheet Set"/>
    <n v="2"/>
    <n v="90.75"/>
    <n v="0"/>
    <x v="2"/>
    <n v="181.5"/>
    <n v="117.38"/>
    <n v="64.12"/>
    <n v="1"/>
    <n v="0"/>
    <n v="4"/>
    <n v="3"/>
  </r>
  <r>
    <s v="SW-101404"/>
    <d v="2024-08-22T00:00:00"/>
    <x v="0"/>
    <s v="Q3"/>
    <x v="7"/>
    <x v="0"/>
    <x v="3"/>
    <x v="1"/>
    <x v="4"/>
    <s v="Power Bank"/>
    <n v="4"/>
    <n v="508.8"/>
    <n v="0.15"/>
    <x v="1"/>
    <n v="1729.92"/>
    <n v="1643.77"/>
    <n v="86.15"/>
    <n v="1"/>
    <n v="0"/>
    <n v="3"/>
    <n v="4"/>
  </r>
  <r>
    <s v="SW-101405"/>
    <d v="2024-08-22T00:00:00"/>
    <x v="0"/>
    <s v="Q3"/>
    <x v="7"/>
    <x v="2"/>
    <x v="0"/>
    <x v="1"/>
    <x v="3"/>
    <s v="Fitness Tracker"/>
    <n v="1"/>
    <n v="74.459999999999994"/>
    <n v="0.15"/>
    <x v="1"/>
    <n v="63.29"/>
    <n v="48.24"/>
    <n v="15.05"/>
    <n v="1"/>
    <n v="0"/>
    <n v="4"/>
    <n v="5"/>
  </r>
  <r>
    <s v="SW-101406"/>
    <d v="2024-08-23T00:00:00"/>
    <x v="0"/>
    <s v="Q3"/>
    <x v="7"/>
    <x v="1"/>
    <x v="2"/>
    <x v="1"/>
    <x v="0"/>
    <s v="Running Sneakers"/>
    <n v="3"/>
    <n v="94.85"/>
    <n v="0.25"/>
    <x v="3"/>
    <n v="213.41"/>
    <n v="161.13999999999999"/>
    <n v="52.27"/>
    <n v="1"/>
    <n v="0"/>
    <n v="6"/>
    <n v="4"/>
  </r>
  <r>
    <s v="SW-101407"/>
    <d v="2024-08-23T00:00:00"/>
    <x v="0"/>
    <s v="Q3"/>
    <x v="7"/>
    <x v="2"/>
    <x v="1"/>
    <x v="1"/>
    <x v="2"/>
    <s v="Cookware Set"/>
    <n v="1"/>
    <n v="233.81"/>
    <n v="0"/>
    <x v="2"/>
    <n v="233.81"/>
    <n v="157.75"/>
    <n v="76.06"/>
    <n v="1"/>
    <n v="1"/>
    <n v="6"/>
    <n v="3"/>
  </r>
  <r>
    <s v="SW-101408"/>
    <d v="2024-08-23T00:00:00"/>
    <x v="0"/>
    <s v="Q3"/>
    <x v="7"/>
    <x v="0"/>
    <x v="0"/>
    <x v="1"/>
    <x v="0"/>
    <s v="Running Sneakers"/>
    <n v="1"/>
    <n v="94.85"/>
    <n v="0.2"/>
    <x v="1"/>
    <n v="75.88"/>
    <n v="49.68"/>
    <n v="26.2"/>
    <n v="1"/>
    <n v="0"/>
    <n v="3"/>
    <n v="5"/>
  </r>
  <r>
    <s v="SW-101409"/>
    <d v="2024-08-23T00:00:00"/>
    <x v="0"/>
    <s v="Q3"/>
    <x v="7"/>
    <x v="0"/>
    <x v="3"/>
    <x v="1"/>
    <x v="2"/>
    <s v="Air Fryer"/>
    <n v="2"/>
    <n v="68.349999999999994"/>
    <n v="0.1"/>
    <x v="0"/>
    <n v="123.03"/>
    <n v="91.9"/>
    <n v="31.13"/>
    <n v="1"/>
    <n v="0"/>
    <n v="3"/>
    <n v="5"/>
  </r>
  <r>
    <s v="SW-101410"/>
    <d v="2024-08-23T00:00:00"/>
    <x v="0"/>
    <s v="Q3"/>
    <x v="7"/>
    <x v="0"/>
    <x v="0"/>
    <x v="1"/>
    <x v="4"/>
    <s v="Power Bank"/>
    <n v="2"/>
    <n v="508.8"/>
    <n v="0.05"/>
    <x v="0"/>
    <n v="966.72"/>
    <n v="805.48"/>
    <n v="161.24"/>
    <n v="1"/>
    <n v="0"/>
    <n v="3"/>
    <n v="4"/>
  </r>
  <r>
    <s v="SW-101411"/>
    <d v="2024-08-23T00:00:00"/>
    <x v="0"/>
    <s v="Q3"/>
    <x v="7"/>
    <x v="2"/>
    <x v="4"/>
    <x v="1"/>
    <x v="4"/>
    <s v="Smart Watch"/>
    <n v="1"/>
    <n v="216.08"/>
    <n v="0.25"/>
    <x v="3"/>
    <n v="162.06"/>
    <n v="170.39"/>
    <n v="-8.33"/>
    <n v="1"/>
    <n v="0"/>
    <n v="6"/>
    <n v="4"/>
  </r>
  <r>
    <s v="SW-101412"/>
    <d v="2024-08-23T00:00:00"/>
    <x v="0"/>
    <s v="Q3"/>
    <x v="7"/>
    <x v="2"/>
    <x v="3"/>
    <x v="1"/>
    <x v="2"/>
    <s v="Coffee Maker"/>
    <n v="1"/>
    <n v="148.05000000000001"/>
    <n v="0.1"/>
    <x v="0"/>
    <n v="133.24"/>
    <n v="98.61"/>
    <n v="34.630000000000003"/>
    <n v="1"/>
    <n v="0"/>
    <n v="4"/>
    <n v="3"/>
  </r>
  <r>
    <s v="SW-101413"/>
    <d v="2024-08-24T00:00:00"/>
    <x v="0"/>
    <s v="Q3"/>
    <x v="7"/>
    <x v="1"/>
    <x v="2"/>
    <x v="1"/>
    <x v="0"/>
    <s v="Denim Jacket"/>
    <n v="1"/>
    <n v="78.510000000000005"/>
    <n v="0"/>
    <x v="2"/>
    <n v="78.510000000000005"/>
    <n v="43.2"/>
    <n v="35.31"/>
    <n v="1"/>
    <n v="0"/>
    <n v="5"/>
    <n v="4"/>
  </r>
  <r>
    <s v="SW-101414"/>
    <d v="2024-08-24T00:00:00"/>
    <x v="0"/>
    <s v="Q3"/>
    <x v="7"/>
    <x v="0"/>
    <x v="3"/>
    <x v="1"/>
    <x v="4"/>
    <s v="Bluetooth Speaker"/>
    <n v="2"/>
    <n v="177.65"/>
    <n v="0"/>
    <x v="2"/>
    <n v="355.3"/>
    <n v="282.98"/>
    <n v="72.319999999999993"/>
    <n v="1"/>
    <n v="1"/>
    <n v="3"/>
    <n v="3"/>
  </r>
  <r>
    <s v="SW-101415"/>
    <d v="2024-08-24T00:00:00"/>
    <x v="0"/>
    <s v="Q3"/>
    <x v="7"/>
    <x v="0"/>
    <x v="3"/>
    <x v="1"/>
    <x v="0"/>
    <s v="Sunglasses"/>
    <n v="1"/>
    <n v="104.94"/>
    <n v="0"/>
    <x v="2"/>
    <n v="104.94"/>
    <n v="54.28"/>
    <n v="50.66"/>
    <n v="1"/>
    <n v="0"/>
    <n v="2"/>
    <n v="5"/>
  </r>
  <r>
    <s v="SW-101416"/>
    <d v="2024-08-24T00:00:00"/>
    <x v="0"/>
    <s v="Q3"/>
    <x v="7"/>
    <x v="1"/>
    <x v="3"/>
    <x v="1"/>
    <x v="0"/>
    <s v="Cotton T-Shirt"/>
    <n v="1"/>
    <n v="19.41"/>
    <n v="0"/>
    <x v="2"/>
    <n v="19.41"/>
    <n v="10.36"/>
    <n v="9.0500000000000007"/>
    <n v="1"/>
    <n v="0"/>
    <n v="2"/>
    <n v="4"/>
  </r>
  <r>
    <s v="SW-101417"/>
    <d v="2024-08-25T00:00:00"/>
    <x v="0"/>
    <s v="Q3"/>
    <x v="7"/>
    <x v="1"/>
    <x v="3"/>
    <x v="1"/>
    <x v="1"/>
    <s v="Makeup Kit"/>
    <n v="1"/>
    <n v="74.3"/>
    <n v="0.05"/>
    <x v="0"/>
    <n v="70.58"/>
    <n v="37.590000000000003"/>
    <n v="32.99"/>
    <n v="1"/>
    <n v="0"/>
    <n v="4"/>
    <n v="5"/>
  </r>
  <r>
    <s v="SW-101418"/>
    <d v="2024-08-25T00:00:00"/>
    <x v="0"/>
    <s v="Q3"/>
    <x v="7"/>
    <x v="1"/>
    <x v="3"/>
    <x v="0"/>
    <x v="2"/>
    <s v="Desk Lamp"/>
    <n v="1"/>
    <n v="117.63"/>
    <n v="0.1"/>
    <x v="0"/>
    <n v="105.87"/>
    <n v="82.55"/>
    <n v="23.32"/>
    <n v="1"/>
    <n v="0"/>
    <n v="3"/>
    <n v="4"/>
  </r>
  <r>
    <s v="SW-101419"/>
    <d v="2024-08-25T00:00:00"/>
    <x v="0"/>
    <s v="Q3"/>
    <x v="7"/>
    <x v="0"/>
    <x v="2"/>
    <x v="0"/>
    <x v="0"/>
    <s v="Running Sneakers"/>
    <n v="1"/>
    <n v="94.85"/>
    <n v="0.1"/>
    <x v="0"/>
    <n v="85.36"/>
    <n v="49.55"/>
    <n v="35.81"/>
    <n v="1"/>
    <n v="0"/>
    <n v="3"/>
    <n v="3"/>
  </r>
  <r>
    <s v="SW-101420"/>
    <d v="2024-08-25T00:00:00"/>
    <x v="0"/>
    <s v="Q3"/>
    <x v="7"/>
    <x v="2"/>
    <x v="0"/>
    <x v="0"/>
    <x v="1"/>
    <s v="Face Serum"/>
    <n v="1"/>
    <n v="33.479999999999997"/>
    <n v="0.05"/>
    <x v="0"/>
    <n v="31.81"/>
    <n v="16.489999999999998"/>
    <n v="15.32"/>
    <n v="1"/>
    <n v="0"/>
    <n v="4"/>
    <n v="5"/>
  </r>
  <r>
    <s v="SW-101421"/>
    <d v="2024-08-26T00:00:00"/>
    <x v="0"/>
    <s v="Q3"/>
    <x v="7"/>
    <x v="0"/>
    <x v="2"/>
    <x v="1"/>
    <x v="1"/>
    <s v="Perfume 100ml"/>
    <n v="1"/>
    <n v="54.56"/>
    <n v="0"/>
    <x v="2"/>
    <n v="54.56"/>
    <n v="25.92"/>
    <n v="28.64"/>
    <n v="1"/>
    <n v="0"/>
    <n v="4"/>
    <n v="4"/>
  </r>
  <r>
    <s v="SW-101422"/>
    <d v="2024-08-26T00:00:00"/>
    <x v="0"/>
    <s v="Q3"/>
    <x v="7"/>
    <x v="0"/>
    <x v="3"/>
    <x v="0"/>
    <x v="0"/>
    <s v="Cotton T-Shirt"/>
    <n v="1"/>
    <n v="19.41"/>
    <n v="0.1"/>
    <x v="0"/>
    <n v="17.47"/>
    <n v="10.79"/>
    <n v="6.68"/>
    <n v="1"/>
    <n v="0"/>
    <n v="3"/>
    <n v="5"/>
  </r>
  <r>
    <s v="SW-101423"/>
    <d v="2024-08-26T00:00:00"/>
    <x v="0"/>
    <s v="Q3"/>
    <x v="7"/>
    <x v="0"/>
    <x v="3"/>
    <x v="1"/>
    <x v="0"/>
    <s v="Running Sneakers"/>
    <n v="1"/>
    <n v="94.85"/>
    <n v="0"/>
    <x v="2"/>
    <n v="94.85"/>
    <n v="50.78"/>
    <n v="44.07"/>
    <n v="1"/>
    <n v="0"/>
    <n v="4"/>
    <n v="5"/>
  </r>
  <r>
    <s v="SW-101424"/>
    <d v="2024-08-26T00:00:00"/>
    <x v="0"/>
    <s v="Q3"/>
    <x v="7"/>
    <x v="0"/>
    <x v="2"/>
    <x v="0"/>
    <x v="3"/>
    <s v="Dumbbell Set"/>
    <n v="2"/>
    <n v="198.42"/>
    <n v="0.1"/>
    <x v="0"/>
    <n v="357.16"/>
    <n v="250.66"/>
    <n v="106.5"/>
    <n v="1"/>
    <n v="0"/>
    <n v="3"/>
    <n v="5"/>
  </r>
  <r>
    <s v="SW-101425"/>
    <d v="2024-08-26T00:00:00"/>
    <x v="0"/>
    <s v="Q3"/>
    <x v="7"/>
    <x v="0"/>
    <x v="3"/>
    <x v="0"/>
    <x v="4"/>
    <s v="Bluetooth Speaker"/>
    <n v="1"/>
    <n v="177.65"/>
    <n v="0.2"/>
    <x v="1"/>
    <n v="142.12"/>
    <n v="133.96"/>
    <n v="8.16"/>
    <n v="1"/>
    <n v="0"/>
    <n v="4"/>
    <n v="4"/>
  </r>
  <r>
    <s v="SW-101426"/>
    <d v="2024-08-26T00:00:00"/>
    <x v="0"/>
    <s v="Q3"/>
    <x v="7"/>
    <x v="0"/>
    <x v="3"/>
    <x v="0"/>
    <x v="5"/>
    <s v="Board Game"/>
    <n v="1"/>
    <n v="57.92"/>
    <n v="0.2"/>
    <x v="1"/>
    <n v="46.34"/>
    <n v="39.72"/>
    <n v="6.62"/>
    <n v="1"/>
    <n v="0"/>
    <n v="5"/>
    <n v="4"/>
  </r>
  <r>
    <s v="SW-101427"/>
    <d v="2024-08-27T00:00:00"/>
    <x v="0"/>
    <s v="Q3"/>
    <x v="7"/>
    <x v="1"/>
    <x v="4"/>
    <x v="1"/>
    <x v="4"/>
    <s v="Power Bank"/>
    <n v="1"/>
    <n v="508.8"/>
    <n v="0.05"/>
    <x v="0"/>
    <n v="483.36"/>
    <n v="438"/>
    <n v="45.36"/>
    <n v="1"/>
    <n v="0"/>
    <n v="6"/>
    <n v="4"/>
  </r>
  <r>
    <s v="SW-101428"/>
    <d v="2024-08-27T00:00:00"/>
    <x v="0"/>
    <s v="Q3"/>
    <x v="7"/>
    <x v="1"/>
    <x v="3"/>
    <x v="0"/>
    <x v="0"/>
    <s v="Sunglasses"/>
    <n v="1"/>
    <n v="104.94"/>
    <n v="0.15"/>
    <x v="1"/>
    <n v="89.2"/>
    <n v="56.27"/>
    <n v="32.93"/>
    <n v="1"/>
    <n v="0"/>
    <n v="6"/>
    <n v="5"/>
  </r>
  <r>
    <s v="SW-101429"/>
    <d v="2024-08-27T00:00:00"/>
    <x v="0"/>
    <s v="Q3"/>
    <x v="7"/>
    <x v="0"/>
    <x v="2"/>
    <x v="1"/>
    <x v="3"/>
    <s v="Cycling Helmet"/>
    <n v="1"/>
    <n v="85.42"/>
    <n v="0.1"/>
    <x v="0"/>
    <n v="76.88"/>
    <n v="56.26"/>
    <n v="20.62"/>
    <n v="1"/>
    <n v="0"/>
    <n v="3"/>
    <n v="5"/>
  </r>
  <r>
    <s v="SW-101430"/>
    <d v="2024-08-27T00:00:00"/>
    <x v="0"/>
    <s v="Q3"/>
    <x v="7"/>
    <x v="2"/>
    <x v="0"/>
    <x v="0"/>
    <x v="3"/>
    <s v="Yoga Mat"/>
    <n v="1"/>
    <n v="137.05000000000001"/>
    <n v="0"/>
    <x v="2"/>
    <n v="137.05000000000001"/>
    <n v="94.28"/>
    <n v="42.77"/>
    <n v="1"/>
    <n v="0"/>
    <n v="4"/>
    <n v="4"/>
  </r>
  <r>
    <s v="SW-101431"/>
    <d v="2024-08-27T00:00:00"/>
    <x v="0"/>
    <s v="Q3"/>
    <x v="7"/>
    <x v="0"/>
    <x v="1"/>
    <x v="1"/>
    <x v="5"/>
    <s v="Building Blocks"/>
    <n v="1"/>
    <n v="48.86"/>
    <n v="0"/>
    <x v="2"/>
    <n v="48.86"/>
    <n v="34.92"/>
    <n v="13.94"/>
    <n v="1"/>
    <n v="0"/>
    <n v="5"/>
    <n v="4"/>
  </r>
  <r>
    <s v="SW-101432"/>
    <d v="2024-08-27T00:00:00"/>
    <x v="0"/>
    <s v="Q3"/>
    <x v="7"/>
    <x v="0"/>
    <x v="2"/>
    <x v="0"/>
    <x v="0"/>
    <s v="Leather Handbag"/>
    <n v="1"/>
    <n v="138.5"/>
    <n v="0"/>
    <x v="2"/>
    <n v="138.5"/>
    <n v="78.180000000000007"/>
    <n v="60.32"/>
    <n v="1"/>
    <n v="0"/>
    <n v="6"/>
    <n v="4"/>
  </r>
  <r>
    <s v="SW-101433"/>
    <d v="2024-08-27T00:00:00"/>
    <x v="0"/>
    <s v="Q3"/>
    <x v="7"/>
    <x v="1"/>
    <x v="2"/>
    <x v="1"/>
    <x v="3"/>
    <s v="Fitness Tracker"/>
    <n v="1"/>
    <n v="74.459999999999994"/>
    <n v="0.05"/>
    <x v="0"/>
    <n v="70.739999999999995"/>
    <n v="48.65"/>
    <n v="22.09"/>
    <n v="1"/>
    <n v="0"/>
    <n v="3"/>
    <n v="5"/>
  </r>
  <r>
    <s v="SW-101434"/>
    <d v="2024-08-27T00:00:00"/>
    <x v="0"/>
    <s v="Q3"/>
    <x v="7"/>
    <x v="2"/>
    <x v="2"/>
    <x v="0"/>
    <x v="4"/>
    <s v="Power Bank"/>
    <n v="1"/>
    <n v="508.8"/>
    <n v="0.2"/>
    <x v="1"/>
    <n v="407.04"/>
    <n v="403.9"/>
    <n v="3.14"/>
    <n v="1"/>
    <n v="0"/>
    <n v="4"/>
    <n v="5"/>
  </r>
  <r>
    <s v="SW-101435"/>
    <d v="2024-08-27T00:00:00"/>
    <x v="0"/>
    <s v="Q3"/>
    <x v="7"/>
    <x v="2"/>
    <x v="0"/>
    <x v="1"/>
    <x v="0"/>
    <s v="Cotton T-Shirt"/>
    <n v="1"/>
    <n v="19.41"/>
    <n v="0.1"/>
    <x v="0"/>
    <n v="17.47"/>
    <n v="10.49"/>
    <n v="6.98"/>
    <n v="1"/>
    <n v="0"/>
    <n v="3"/>
    <n v="4"/>
  </r>
  <r>
    <s v="SW-101436"/>
    <d v="2024-08-28T00:00:00"/>
    <x v="0"/>
    <s v="Q3"/>
    <x v="7"/>
    <x v="0"/>
    <x v="3"/>
    <x v="1"/>
    <x v="4"/>
    <s v="Tablet 10in"/>
    <n v="2"/>
    <n v="490.3"/>
    <n v="0.05"/>
    <x v="0"/>
    <n v="931.57"/>
    <n v="730.3"/>
    <n v="201.27"/>
    <n v="1"/>
    <n v="0"/>
    <n v="4"/>
    <n v="5"/>
  </r>
  <r>
    <s v="SW-101437"/>
    <d v="2024-08-28T00:00:00"/>
    <x v="0"/>
    <s v="Q3"/>
    <x v="7"/>
    <x v="1"/>
    <x v="2"/>
    <x v="1"/>
    <x v="0"/>
    <s v="Sunglasses"/>
    <n v="1"/>
    <n v="104.94"/>
    <n v="0"/>
    <x v="2"/>
    <n v="104.94"/>
    <n v="59.58"/>
    <n v="45.36"/>
    <n v="1"/>
    <n v="0"/>
    <n v="5"/>
    <n v="4"/>
  </r>
  <r>
    <s v="SW-101438"/>
    <d v="2024-08-28T00:00:00"/>
    <x v="0"/>
    <s v="Q3"/>
    <x v="7"/>
    <x v="0"/>
    <x v="1"/>
    <x v="1"/>
    <x v="2"/>
    <s v="Bed Sheet Set"/>
    <n v="2"/>
    <n v="90.75"/>
    <n v="0"/>
    <x v="2"/>
    <n v="181.5"/>
    <n v="118.92"/>
    <n v="62.58"/>
    <n v="1"/>
    <n v="0"/>
    <n v="5"/>
    <n v="5"/>
  </r>
  <r>
    <s v="SW-101439"/>
    <d v="2024-08-28T00:00:00"/>
    <x v="0"/>
    <s v="Q3"/>
    <x v="7"/>
    <x v="1"/>
    <x v="3"/>
    <x v="0"/>
    <x v="3"/>
    <s v="Camping Tent"/>
    <n v="1"/>
    <n v="83.06"/>
    <n v="0.05"/>
    <x v="0"/>
    <n v="78.91"/>
    <n v="55.13"/>
    <n v="23.78"/>
    <n v="1"/>
    <n v="0"/>
    <n v="4"/>
    <n v="5"/>
  </r>
  <r>
    <s v="SW-101440"/>
    <d v="2024-08-29T00:00:00"/>
    <x v="0"/>
    <s v="Q3"/>
    <x v="7"/>
    <x v="2"/>
    <x v="1"/>
    <x v="0"/>
    <x v="4"/>
    <s v="Tablet 10in"/>
    <n v="2"/>
    <n v="490.3"/>
    <n v="0"/>
    <x v="2"/>
    <n v="980.6"/>
    <n v="791.64"/>
    <n v="188.96"/>
    <n v="1"/>
    <n v="0"/>
    <n v="7"/>
    <n v="4"/>
  </r>
  <r>
    <s v="SW-101441"/>
    <d v="2024-08-29T00:00:00"/>
    <x v="0"/>
    <s v="Q3"/>
    <x v="7"/>
    <x v="1"/>
    <x v="0"/>
    <x v="1"/>
    <x v="2"/>
    <s v="Coffee Maker"/>
    <n v="2"/>
    <n v="148.05000000000001"/>
    <n v="0"/>
    <x v="2"/>
    <n v="296.10000000000002"/>
    <n v="199.05"/>
    <n v="97.05"/>
    <n v="1"/>
    <n v="1"/>
    <n v="4"/>
    <n v="3"/>
  </r>
  <r>
    <s v="SW-101442"/>
    <d v="2024-08-29T00:00:00"/>
    <x v="0"/>
    <s v="Q3"/>
    <x v="7"/>
    <x v="2"/>
    <x v="3"/>
    <x v="1"/>
    <x v="1"/>
    <s v="Face Serum"/>
    <n v="1"/>
    <n v="33.479999999999997"/>
    <n v="0"/>
    <x v="2"/>
    <n v="33.479999999999997"/>
    <n v="16.489999999999998"/>
    <n v="16.989999999999998"/>
    <n v="1"/>
    <n v="0"/>
    <n v="2"/>
    <n v="4"/>
  </r>
  <r>
    <s v="SW-101443"/>
    <d v="2024-08-29T00:00:00"/>
    <x v="0"/>
    <s v="Q3"/>
    <x v="7"/>
    <x v="1"/>
    <x v="2"/>
    <x v="0"/>
    <x v="4"/>
    <s v="Tablet 10in"/>
    <n v="1"/>
    <n v="490.3"/>
    <n v="0.1"/>
    <x v="0"/>
    <n v="441.27"/>
    <n v="381.42"/>
    <n v="59.85"/>
    <n v="1"/>
    <n v="0"/>
    <n v="3"/>
    <n v="5"/>
  </r>
  <r>
    <s v="SW-101444"/>
    <d v="2024-08-29T00:00:00"/>
    <x v="0"/>
    <s v="Q3"/>
    <x v="7"/>
    <x v="1"/>
    <x v="3"/>
    <x v="1"/>
    <x v="5"/>
    <s v="Story Book Set"/>
    <n v="1"/>
    <n v="10.76"/>
    <n v="0.1"/>
    <x v="0"/>
    <n v="9.68"/>
    <n v="7.72"/>
    <n v="1.96"/>
    <n v="1"/>
    <n v="0"/>
    <n v="3"/>
    <n v="5"/>
  </r>
  <r>
    <s v="SW-101445"/>
    <d v="2024-08-29T00:00:00"/>
    <x v="0"/>
    <s v="Q3"/>
    <x v="7"/>
    <x v="2"/>
    <x v="3"/>
    <x v="1"/>
    <x v="3"/>
    <s v="Yoga Mat"/>
    <n v="1"/>
    <n v="137.05000000000001"/>
    <n v="0.1"/>
    <x v="0"/>
    <n v="123.35"/>
    <n v="93.78"/>
    <n v="29.57"/>
    <n v="1"/>
    <n v="0"/>
    <n v="5"/>
    <n v="5"/>
  </r>
  <r>
    <s v="SW-101446"/>
    <d v="2024-08-29T00:00:00"/>
    <x v="0"/>
    <s v="Q3"/>
    <x v="7"/>
    <x v="0"/>
    <x v="1"/>
    <x v="1"/>
    <x v="5"/>
    <s v="Board Game"/>
    <n v="1"/>
    <n v="57.92"/>
    <n v="0.25"/>
    <x v="3"/>
    <n v="43.44"/>
    <n v="41.51"/>
    <n v="1.93"/>
    <n v="1"/>
    <n v="0"/>
    <n v="5"/>
    <n v="4"/>
  </r>
  <r>
    <s v="SW-101447"/>
    <d v="2024-08-30T00:00:00"/>
    <x v="0"/>
    <s v="Q3"/>
    <x v="7"/>
    <x v="0"/>
    <x v="0"/>
    <x v="0"/>
    <x v="5"/>
    <s v="Story Book Set"/>
    <n v="3"/>
    <n v="10.76"/>
    <n v="0"/>
    <x v="2"/>
    <n v="32.28"/>
    <n v="23.14"/>
    <n v="9.14"/>
    <n v="1"/>
    <n v="0"/>
    <n v="3"/>
    <n v="4"/>
  </r>
  <r>
    <s v="SW-101448"/>
    <d v="2024-08-30T00:00:00"/>
    <x v="0"/>
    <s v="Q3"/>
    <x v="7"/>
    <x v="1"/>
    <x v="4"/>
    <x v="1"/>
    <x v="0"/>
    <s v="Sunglasses"/>
    <n v="3"/>
    <n v="104.94"/>
    <n v="0.05"/>
    <x v="0"/>
    <n v="299.08"/>
    <n v="165.78"/>
    <n v="133.30000000000001"/>
    <n v="1"/>
    <n v="0"/>
    <n v="6"/>
    <n v="3"/>
  </r>
  <r>
    <s v="SW-101449"/>
    <d v="2024-08-30T00:00:00"/>
    <x v="0"/>
    <s v="Q3"/>
    <x v="7"/>
    <x v="0"/>
    <x v="0"/>
    <x v="0"/>
    <x v="0"/>
    <s v="Summer Dress"/>
    <n v="4"/>
    <n v="33.99"/>
    <n v="0.15"/>
    <x v="1"/>
    <n v="115.57"/>
    <n v="70.599999999999994"/>
    <n v="44.97"/>
    <n v="1"/>
    <n v="1"/>
    <n v="5"/>
    <n v="3"/>
  </r>
  <r>
    <s v="SW-101450"/>
    <d v="2024-08-30T00:00:00"/>
    <x v="0"/>
    <s v="Q3"/>
    <x v="7"/>
    <x v="0"/>
    <x v="3"/>
    <x v="1"/>
    <x v="4"/>
    <s v="Smart Watch"/>
    <n v="1"/>
    <n v="216.08"/>
    <n v="0.25"/>
    <x v="3"/>
    <n v="162.06"/>
    <n v="181.35"/>
    <n v="-19.29"/>
    <n v="1"/>
    <n v="0"/>
    <n v="4"/>
    <n v="5"/>
  </r>
  <r>
    <s v="SW-101451"/>
    <d v="2024-08-30T00:00:00"/>
    <x v="0"/>
    <s v="Q3"/>
    <x v="7"/>
    <x v="0"/>
    <x v="3"/>
    <x v="1"/>
    <x v="0"/>
    <s v="Leather Handbag"/>
    <n v="1"/>
    <n v="138.5"/>
    <n v="0"/>
    <x v="2"/>
    <n v="138.5"/>
    <n v="73.78"/>
    <n v="64.72"/>
    <n v="1"/>
    <n v="0"/>
    <n v="2"/>
    <n v="5"/>
  </r>
  <r>
    <s v="SW-101452"/>
    <d v="2024-08-30T00:00:00"/>
    <x v="0"/>
    <s v="Q3"/>
    <x v="7"/>
    <x v="1"/>
    <x v="0"/>
    <x v="0"/>
    <x v="2"/>
    <s v="Cookware Set"/>
    <n v="1"/>
    <n v="233.81"/>
    <n v="0.05"/>
    <x v="0"/>
    <n v="222.12"/>
    <n v="157.15"/>
    <n v="64.97"/>
    <n v="1"/>
    <n v="0"/>
    <n v="3"/>
    <n v="5"/>
  </r>
  <r>
    <s v="SW-101453"/>
    <d v="2024-08-30T00:00:00"/>
    <x v="0"/>
    <s v="Q3"/>
    <x v="7"/>
    <x v="1"/>
    <x v="2"/>
    <x v="0"/>
    <x v="4"/>
    <s v="Wireless Earbuds"/>
    <n v="1"/>
    <n v="588.41"/>
    <n v="0.1"/>
    <x v="0"/>
    <n v="529.57000000000005"/>
    <n v="457.72"/>
    <n v="71.849999999999994"/>
    <n v="1"/>
    <n v="0"/>
    <n v="3"/>
    <n v="4"/>
  </r>
  <r>
    <s v="SW-101454"/>
    <d v="2024-08-30T00:00:00"/>
    <x v="0"/>
    <s v="Q3"/>
    <x v="7"/>
    <x v="1"/>
    <x v="0"/>
    <x v="1"/>
    <x v="5"/>
    <s v="Bestseller Novel"/>
    <n v="2"/>
    <n v="45.28"/>
    <n v="0.05"/>
    <x v="0"/>
    <n v="86.03"/>
    <n v="62.9"/>
    <n v="23.13"/>
    <n v="1"/>
    <n v="1"/>
    <n v="3"/>
    <n v="4"/>
  </r>
  <r>
    <s v="SW-101455"/>
    <d v="2024-08-31T00:00:00"/>
    <x v="0"/>
    <s v="Q3"/>
    <x v="7"/>
    <x v="0"/>
    <x v="0"/>
    <x v="0"/>
    <x v="2"/>
    <s v="Air Fryer"/>
    <n v="1"/>
    <n v="68.349999999999994"/>
    <n v="0"/>
    <x v="2"/>
    <n v="68.349999999999994"/>
    <n v="45.45"/>
    <n v="22.9"/>
    <n v="1"/>
    <n v="0"/>
    <n v="5"/>
    <n v="5"/>
  </r>
  <r>
    <s v="SW-101456"/>
    <d v="2024-08-31T00:00:00"/>
    <x v="0"/>
    <s v="Q3"/>
    <x v="7"/>
    <x v="0"/>
    <x v="3"/>
    <x v="1"/>
    <x v="2"/>
    <s v="Cookware Set"/>
    <n v="1"/>
    <n v="233.81"/>
    <n v="0"/>
    <x v="2"/>
    <n v="233.81"/>
    <n v="145.53"/>
    <n v="88.28"/>
    <n v="1"/>
    <n v="0"/>
    <n v="3"/>
    <n v="5"/>
  </r>
  <r>
    <s v="SW-101457"/>
    <d v="2024-08-31T00:00:00"/>
    <x v="0"/>
    <s v="Q3"/>
    <x v="7"/>
    <x v="0"/>
    <x v="3"/>
    <x v="0"/>
    <x v="5"/>
    <s v="Building Blocks"/>
    <n v="2"/>
    <n v="48.86"/>
    <n v="0"/>
    <x v="2"/>
    <n v="97.72"/>
    <n v="65.69"/>
    <n v="32.03"/>
    <n v="1"/>
    <n v="0"/>
    <n v="4"/>
    <n v="4"/>
  </r>
  <r>
    <s v="SW-101458"/>
    <d v="2024-09-01T00:00:00"/>
    <x v="0"/>
    <s v="Q3"/>
    <x v="8"/>
    <x v="0"/>
    <x v="3"/>
    <x v="0"/>
    <x v="3"/>
    <s v="Cycling Helmet"/>
    <n v="1"/>
    <n v="85.42"/>
    <n v="0"/>
    <x v="2"/>
    <n v="85.42"/>
    <n v="58.21"/>
    <n v="27.21"/>
    <n v="1"/>
    <n v="0"/>
    <n v="3"/>
    <n v="5"/>
  </r>
  <r>
    <s v="SW-101459"/>
    <d v="2024-09-01T00:00:00"/>
    <x v="0"/>
    <s v="Q3"/>
    <x v="8"/>
    <x v="1"/>
    <x v="3"/>
    <x v="0"/>
    <x v="5"/>
    <s v="Bestseller Novel"/>
    <n v="1"/>
    <n v="45.28"/>
    <n v="0.1"/>
    <x v="0"/>
    <n v="40.75"/>
    <n v="32.43"/>
    <n v="8.32"/>
    <n v="1"/>
    <n v="0"/>
    <n v="2"/>
    <n v="5"/>
  </r>
  <r>
    <s v="SW-101460"/>
    <d v="2024-09-01T00:00:00"/>
    <x v="0"/>
    <s v="Q3"/>
    <x v="8"/>
    <x v="0"/>
    <x v="3"/>
    <x v="0"/>
    <x v="4"/>
    <s v="Power Bank"/>
    <n v="2"/>
    <n v="508.8"/>
    <n v="0.1"/>
    <x v="0"/>
    <n v="915.84"/>
    <n v="861.24"/>
    <n v="54.6"/>
    <n v="1"/>
    <n v="0"/>
    <n v="2"/>
    <n v="4"/>
  </r>
  <r>
    <s v="SW-101461"/>
    <d v="2024-09-02T00:00:00"/>
    <x v="0"/>
    <s v="Q3"/>
    <x v="8"/>
    <x v="0"/>
    <x v="0"/>
    <x v="0"/>
    <x v="2"/>
    <s v="Desk Lamp"/>
    <n v="1"/>
    <n v="117.63"/>
    <n v="0"/>
    <x v="2"/>
    <n v="117.63"/>
    <n v="77.599999999999994"/>
    <n v="40.03"/>
    <n v="1"/>
    <n v="0"/>
    <n v="5"/>
    <n v="4"/>
  </r>
  <r>
    <s v="SW-101462"/>
    <d v="2024-09-02T00:00:00"/>
    <x v="0"/>
    <s v="Q3"/>
    <x v="8"/>
    <x v="2"/>
    <x v="2"/>
    <x v="1"/>
    <x v="4"/>
    <s v="4K Action Camera"/>
    <n v="2"/>
    <n v="636.09"/>
    <n v="0.1"/>
    <x v="0"/>
    <n v="1144.96"/>
    <n v="987.25"/>
    <n v="157.71"/>
    <n v="1"/>
    <n v="0"/>
    <n v="3"/>
    <n v="5"/>
  </r>
  <r>
    <s v="SW-101463"/>
    <d v="2024-09-02T00:00:00"/>
    <x v="0"/>
    <s v="Q3"/>
    <x v="8"/>
    <x v="1"/>
    <x v="0"/>
    <x v="1"/>
    <x v="4"/>
    <s v="4K Action Camera"/>
    <n v="1"/>
    <n v="636.09"/>
    <n v="0.2"/>
    <x v="1"/>
    <n v="508.87"/>
    <n v="515.79"/>
    <n v="-6.92"/>
    <n v="1"/>
    <n v="0"/>
    <n v="3"/>
    <n v="5"/>
  </r>
  <r>
    <s v="SW-101464"/>
    <d v="2024-09-02T00:00:00"/>
    <x v="0"/>
    <s v="Q3"/>
    <x v="8"/>
    <x v="0"/>
    <x v="3"/>
    <x v="1"/>
    <x v="0"/>
    <s v="Leather Handbag"/>
    <n v="1"/>
    <n v="138.5"/>
    <n v="0.1"/>
    <x v="0"/>
    <n v="124.65"/>
    <n v="77.86"/>
    <n v="46.79"/>
    <n v="1"/>
    <n v="0"/>
    <n v="2"/>
    <n v="4"/>
  </r>
  <r>
    <s v="SW-101465"/>
    <d v="2024-09-02T00:00:00"/>
    <x v="0"/>
    <s v="Q3"/>
    <x v="8"/>
    <x v="0"/>
    <x v="0"/>
    <x v="1"/>
    <x v="2"/>
    <s v="Desk Lamp"/>
    <n v="3"/>
    <n v="117.63"/>
    <n v="0.2"/>
    <x v="1"/>
    <n v="282.31"/>
    <n v="235.45"/>
    <n v="46.86"/>
    <n v="1"/>
    <n v="0"/>
    <n v="7"/>
    <n v="3"/>
  </r>
  <r>
    <s v="SW-101466"/>
    <d v="2024-09-02T00:00:00"/>
    <x v="0"/>
    <s v="Q3"/>
    <x v="8"/>
    <x v="1"/>
    <x v="4"/>
    <x v="0"/>
    <x v="3"/>
    <s v="Fitness Tracker"/>
    <n v="1"/>
    <n v="74.459999999999994"/>
    <n v="0.3"/>
    <x v="3"/>
    <n v="52.12"/>
    <n v="49.23"/>
    <n v="2.89"/>
    <n v="1"/>
    <n v="0"/>
    <n v="5"/>
    <n v="4"/>
  </r>
  <r>
    <s v="SW-101467"/>
    <d v="2024-09-03T00:00:00"/>
    <x v="0"/>
    <s v="Q3"/>
    <x v="8"/>
    <x v="0"/>
    <x v="0"/>
    <x v="1"/>
    <x v="4"/>
    <s v="Tablet 10in"/>
    <n v="2"/>
    <n v="490.3"/>
    <n v="0.05"/>
    <x v="0"/>
    <n v="931.57"/>
    <n v="801.68"/>
    <n v="129.88999999999999"/>
    <n v="1"/>
    <n v="0"/>
    <n v="3"/>
    <n v="5"/>
  </r>
  <r>
    <s v="SW-101468"/>
    <d v="2024-09-03T00:00:00"/>
    <x v="0"/>
    <s v="Q3"/>
    <x v="8"/>
    <x v="0"/>
    <x v="1"/>
    <x v="0"/>
    <x v="5"/>
    <s v="Building Blocks"/>
    <n v="1"/>
    <n v="48.86"/>
    <n v="0.1"/>
    <x v="0"/>
    <n v="43.97"/>
    <n v="34.46"/>
    <n v="9.51"/>
    <n v="1"/>
    <n v="0"/>
    <n v="8"/>
    <n v="4"/>
  </r>
  <r>
    <s v="SW-101469"/>
    <d v="2024-09-03T00:00:00"/>
    <x v="0"/>
    <s v="Q3"/>
    <x v="8"/>
    <x v="0"/>
    <x v="0"/>
    <x v="1"/>
    <x v="0"/>
    <s v="Running Sneakers"/>
    <n v="3"/>
    <n v="94.85"/>
    <n v="0.1"/>
    <x v="0"/>
    <n v="256.08999999999997"/>
    <n v="153.97"/>
    <n v="102.12"/>
    <n v="1"/>
    <n v="0"/>
    <n v="3"/>
    <n v="5"/>
  </r>
  <r>
    <s v="SW-101470"/>
    <d v="2024-09-03T00:00:00"/>
    <x v="0"/>
    <s v="Q3"/>
    <x v="8"/>
    <x v="0"/>
    <x v="2"/>
    <x v="0"/>
    <x v="3"/>
    <s v="Yoga Mat"/>
    <n v="4"/>
    <n v="137.05000000000001"/>
    <n v="0"/>
    <x v="2"/>
    <n v="548.20000000000005"/>
    <n v="364.5"/>
    <n v="183.7"/>
    <n v="1"/>
    <n v="0"/>
    <n v="3"/>
    <n v="5"/>
  </r>
  <r>
    <s v="SW-101471"/>
    <d v="2024-09-03T00:00:00"/>
    <x v="0"/>
    <s v="Q3"/>
    <x v="8"/>
    <x v="0"/>
    <x v="0"/>
    <x v="1"/>
    <x v="3"/>
    <s v="Fitness Tracker"/>
    <n v="1"/>
    <n v="74.459999999999994"/>
    <n v="0.1"/>
    <x v="0"/>
    <n v="67.010000000000005"/>
    <n v="51.4"/>
    <n v="15.61"/>
    <n v="1"/>
    <n v="0"/>
    <n v="4"/>
    <n v="4"/>
  </r>
  <r>
    <s v="SW-101472"/>
    <d v="2024-09-03T00:00:00"/>
    <x v="0"/>
    <s v="Q3"/>
    <x v="8"/>
    <x v="2"/>
    <x v="0"/>
    <x v="1"/>
    <x v="1"/>
    <s v="Face Serum"/>
    <n v="1"/>
    <n v="33.479999999999997"/>
    <n v="0.1"/>
    <x v="0"/>
    <n v="30.13"/>
    <n v="16.13"/>
    <n v="14"/>
    <n v="1"/>
    <n v="0"/>
    <n v="3"/>
    <n v="5"/>
  </r>
  <r>
    <s v="SW-101473"/>
    <d v="2024-09-03T00:00:00"/>
    <x v="0"/>
    <s v="Q3"/>
    <x v="8"/>
    <x v="1"/>
    <x v="1"/>
    <x v="1"/>
    <x v="0"/>
    <s v="Cotton T-Shirt"/>
    <n v="1"/>
    <n v="19.41"/>
    <n v="0"/>
    <x v="2"/>
    <n v="19.41"/>
    <n v="9.82"/>
    <n v="9.59"/>
    <n v="1"/>
    <n v="0"/>
    <n v="5"/>
    <n v="5"/>
  </r>
  <r>
    <s v="SW-101474"/>
    <d v="2024-09-04T00:00:00"/>
    <x v="0"/>
    <s v="Q3"/>
    <x v="8"/>
    <x v="2"/>
    <x v="0"/>
    <x v="0"/>
    <x v="4"/>
    <s v="Power Bank"/>
    <n v="2"/>
    <n v="508.8"/>
    <n v="0.05"/>
    <x v="0"/>
    <n v="966.72"/>
    <n v="803.07"/>
    <n v="163.65"/>
    <n v="1"/>
    <n v="0"/>
    <n v="5"/>
    <n v="5"/>
  </r>
  <r>
    <s v="SW-101475"/>
    <d v="2024-09-04T00:00:00"/>
    <x v="0"/>
    <s v="Q3"/>
    <x v="8"/>
    <x v="0"/>
    <x v="1"/>
    <x v="0"/>
    <x v="5"/>
    <s v="Kids Puzzle"/>
    <n v="2"/>
    <n v="16.97"/>
    <n v="0"/>
    <x v="2"/>
    <n v="33.94"/>
    <n v="23.47"/>
    <n v="10.47"/>
    <n v="1"/>
    <n v="0"/>
    <n v="6"/>
    <n v="4"/>
  </r>
  <r>
    <s v="SW-101476"/>
    <d v="2024-09-04T00:00:00"/>
    <x v="0"/>
    <s v="Q3"/>
    <x v="8"/>
    <x v="2"/>
    <x v="2"/>
    <x v="1"/>
    <x v="1"/>
    <s v="Face Serum"/>
    <n v="1"/>
    <n v="33.479999999999997"/>
    <n v="0.15"/>
    <x v="1"/>
    <n v="28.46"/>
    <n v="16.57"/>
    <n v="11.89"/>
    <n v="1"/>
    <n v="0"/>
    <n v="3"/>
    <n v="5"/>
  </r>
  <r>
    <s v="SW-101477"/>
    <d v="2024-09-04T00:00:00"/>
    <x v="0"/>
    <s v="Q3"/>
    <x v="8"/>
    <x v="2"/>
    <x v="2"/>
    <x v="1"/>
    <x v="3"/>
    <s v="Yoga Mat"/>
    <n v="1"/>
    <n v="137.05000000000001"/>
    <n v="0"/>
    <x v="2"/>
    <n v="137.05000000000001"/>
    <n v="90.3"/>
    <n v="46.75"/>
    <n v="1"/>
    <n v="0"/>
    <n v="4"/>
    <n v="5"/>
  </r>
  <r>
    <s v="SW-101478"/>
    <d v="2024-09-04T00:00:00"/>
    <x v="0"/>
    <s v="Q3"/>
    <x v="8"/>
    <x v="1"/>
    <x v="2"/>
    <x v="0"/>
    <x v="2"/>
    <s v="Desk Lamp"/>
    <n v="1"/>
    <n v="117.63"/>
    <n v="0"/>
    <x v="2"/>
    <n v="117.63"/>
    <n v="80.3"/>
    <n v="37.33"/>
    <n v="1"/>
    <n v="0"/>
    <n v="5"/>
    <n v="3"/>
  </r>
  <r>
    <s v="SW-101479"/>
    <d v="2024-09-04T00:00:00"/>
    <x v="0"/>
    <s v="Q3"/>
    <x v="8"/>
    <x v="1"/>
    <x v="3"/>
    <x v="1"/>
    <x v="2"/>
    <s v="Cookware Set"/>
    <n v="1"/>
    <n v="233.81"/>
    <n v="0.15"/>
    <x v="1"/>
    <n v="198.74"/>
    <n v="153.79"/>
    <n v="44.95"/>
    <n v="1"/>
    <n v="0"/>
    <n v="3"/>
    <n v="4"/>
  </r>
  <r>
    <s v="SW-101480"/>
    <d v="2024-09-04T00:00:00"/>
    <x v="0"/>
    <s v="Q3"/>
    <x v="8"/>
    <x v="0"/>
    <x v="0"/>
    <x v="0"/>
    <x v="0"/>
    <s v="Sunglasses"/>
    <n v="1"/>
    <n v="104.94"/>
    <n v="0"/>
    <x v="2"/>
    <n v="104.94"/>
    <n v="55.53"/>
    <n v="49.41"/>
    <n v="1"/>
    <n v="0"/>
    <n v="4"/>
    <n v="4"/>
  </r>
  <r>
    <s v="SW-101481"/>
    <d v="2024-09-05T00:00:00"/>
    <x v="0"/>
    <s v="Q3"/>
    <x v="8"/>
    <x v="1"/>
    <x v="0"/>
    <x v="1"/>
    <x v="5"/>
    <s v="Bestseller Novel"/>
    <n v="1"/>
    <n v="45.28"/>
    <n v="0.2"/>
    <x v="1"/>
    <n v="36.22"/>
    <n v="32.53"/>
    <n v="3.69"/>
    <n v="1"/>
    <n v="0"/>
    <n v="3"/>
    <n v="4"/>
  </r>
  <r>
    <s v="SW-101482"/>
    <d v="2024-09-05T00:00:00"/>
    <x v="0"/>
    <s v="Q3"/>
    <x v="8"/>
    <x v="1"/>
    <x v="0"/>
    <x v="0"/>
    <x v="1"/>
    <s v="Perfume 100ml"/>
    <n v="1"/>
    <n v="54.56"/>
    <n v="0"/>
    <x v="2"/>
    <n v="54.56"/>
    <n v="25.78"/>
    <n v="28.78"/>
    <n v="1"/>
    <n v="0"/>
    <n v="6"/>
    <n v="3"/>
  </r>
  <r>
    <s v="SW-101483"/>
    <d v="2024-09-05T00:00:00"/>
    <x v="0"/>
    <s v="Q3"/>
    <x v="8"/>
    <x v="0"/>
    <x v="0"/>
    <x v="0"/>
    <x v="4"/>
    <s v="Smart Watch"/>
    <n v="1"/>
    <n v="216.08"/>
    <n v="0.2"/>
    <x v="1"/>
    <n v="172.86"/>
    <n v="172.54"/>
    <n v="0.32"/>
    <n v="1"/>
    <n v="0"/>
    <n v="5"/>
    <n v="5"/>
  </r>
  <r>
    <s v="SW-101484"/>
    <d v="2024-09-05T00:00:00"/>
    <x v="0"/>
    <s v="Q3"/>
    <x v="8"/>
    <x v="2"/>
    <x v="0"/>
    <x v="1"/>
    <x v="5"/>
    <s v="Board Game"/>
    <n v="1"/>
    <n v="57.92"/>
    <n v="0.2"/>
    <x v="1"/>
    <n v="46.34"/>
    <n v="42.53"/>
    <n v="3.81"/>
    <n v="1"/>
    <n v="0"/>
    <n v="4"/>
    <n v="4"/>
  </r>
  <r>
    <s v="SW-101485"/>
    <d v="2024-09-05T00:00:00"/>
    <x v="0"/>
    <s v="Q3"/>
    <x v="8"/>
    <x v="1"/>
    <x v="0"/>
    <x v="0"/>
    <x v="5"/>
    <s v="Building Blocks"/>
    <n v="2"/>
    <n v="48.86"/>
    <n v="0.05"/>
    <x v="0"/>
    <n v="92.83"/>
    <n v="70.38"/>
    <n v="22.45"/>
    <n v="1"/>
    <n v="0"/>
    <n v="4"/>
    <n v="3"/>
  </r>
  <r>
    <s v="SW-101486"/>
    <d v="2024-09-06T00:00:00"/>
    <x v="0"/>
    <s v="Q3"/>
    <x v="8"/>
    <x v="1"/>
    <x v="0"/>
    <x v="1"/>
    <x v="5"/>
    <s v="Building Blocks"/>
    <n v="1"/>
    <n v="48.86"/>
    <n v="0.05"/>
    <x v="0"/>
    <n v="46.42"/>
    <n v="34.78"/>
    <n v="11.64"/>
    <n v="1"/>
    <n v="0"/>
    <n v="3"/>
    <n v="4"/>
  </r>
  <r>
    <s v="SW-101487"/>
    <d v="2024-09-06T00:00:00"/>
    <x v="0"/>
    <s v="Q3"/>
    <x v="8"/>
    <x v="1"/>
    <x v="1"/>
    <x v="0"/>
    <x v="0"/>
    <s v="Denim Jacket"/>
    <n v="4"/>
    <n v="78.510000000000005"/>
    <n v="0.1"/>
    <x v="0"/>
    <n v="282.64"/>
    <n v="162.19999999999999"/>
    <n v="120.44"/>
    <n v="1"/>
    <n v="0"/>
    <n v="5"/>
    <n v="4"/>
  </r>
  <r>
    <s v="SW-101488"/>
    <d v="2024-09-06T00:00:00"/>
    <x v="0"/>
    <s v="Q3"/>
    <x v="8"/>
    <x v="2"/>
    <x v="2"/>
    <x v="1"/>
    <x v="1"/>
    <s v="Perfume 100ml"/>
    <n v="1"/>
    <n v="54.56"/>
    <n v="0.05"/>
    <x v="0"/>
    <n v="51.83"/>
    <n v="27.43"/>
    <n v="24.4"/>
    <n v="1"/>
    <n v="0"/>
    <n v="5"/>
    <n v="4"/>
  </r>
  <r>
    <s v="SW-101489"/>
    <d v="2024-09-06T00:00:00"/>
    <x v="0"/>
    <s v="Q3"/>
    <x v="8"/>
    <x v="1"/>
    <x v="2"/>
    <x v="1"/>
    <x v="0"/>
    <s v="Denim Jacket"/>
    <n v="2"/>
    <n v="78.510000000000005"/>
    <n v="0.1"/>
    <x v="0"/>
    <n v="141.32"/>
    <n v="86.64"/>
    <n v="54.68"/>
    <n v="1"/>
    <n v="0"/>
    <n v="3"/>
    <n v="5"/>
  </r>
  <r>
    <s v="SW-101490"/>
    <d v="2024-09-06T00:00:00"/>
    <x v="0"/>
    <s v="Q3"/>
    <x v="8"/>
    <x v="1"/>
    <x v="0"/>
    <x v="0"/>
    <x v="5"/>
    <s v="Bestseller Novel"/>
    <n v="3"/>
    <n v="45.28"/>
    <n v="0.05"/>
    <x v="0"/>
    <n v="129.05000000000001"/>
    <n v="95.8"/>
    <n v="33.25"/>
    <n v="1"/>
    <n v="0"/>
    <n v="4"/>
    <n v="5"/>
  </r>
  <r>
    <s v="SW-101491"/>
    <d v="2024-09-06T00:00:00"/>
    <x v="0"/>
    <s v="Q3"/>
    <x v="8"/>
    <x v="0"/>
    <x v="2"/>
    <x v="1"/>
    <x v="1"/>
    <s v="Face Serum"/>
    <n v="2"/>
    <n v="33.479999999999997"/>
    <n v="0"/>
    <x v="2"/>
    <n v="66.959999999999994"/>
    <n v="31.96"/>
    <n v="35"/>
    <n v="1"/>
    <n v="0"/>
    <n v="4"/>
    <n v="4"/>
  </r>
  <r>
    <s v="SW-101492"/>
    <d v="2024-09-06T00:00:00"/>
    <x v="0"/>
    <s v="Q3"/>
    <x v="8"/>
    <x v="0"/>
    <x v="0"/>
    <x v="1"/>
    <x v="5"/>
    <s v="Kids Puzzle"/>
    <n v="4"/>
    <n v="16.97"/>
    <n v="0.25"/>
    <x v="3"/>
    <n v="50.91"/>
    <n v="47.73"/>
    <n v="3.18"/>
    <n v="1"/>
    <n v="0"/>
    <n v="5"/>
    <n v="5"/>
  </r>
  <r>
    <s v="SW-101493"/>
    <d v="2024-09-07T00:00:00"/>
    <x v="0"/>
    <s v="Q3"/>
    <x v="8"/>
    <x v="2"/>
    <x v="3"/>
    <x v="1"/>
    <x v="0"/>
    <s v="Running Sneakers"/>
    <n v="1"/>
    <n v="94.85"/>
    <n v="0.25"/>
    <x v="3"/>
    <n v="71.14"/>
    <n v="50.32"/>
    <n v="20.82"/>
    <n v="1"/>
    <n v="0"/>
    <n v="2"/>
    <n v="4"/>
  </r>
  <r>
    <s v="SW-101494"/>
    <d v="2024-09-07T00:00:00"/>
    <x v="0"/>
    <s v="Q3"/>
    <x v="8"/>
    <x v="1"/>
    <x v="3"/>
    <x v="0"/>
    <x v="0"/>
    <s v="Denim Jacket"/>
    <n v="3"/>
    <n v="78.510000000000005"/>
    <n v="0"/>
    <x v="2"/>
    <n v="235.53"/>
    <n v="120.26"/>
    <n v="115.27"/>
    <n v="1"/>
    <n v="0"/>
    <n v="2"/>
    <n v="4"/>
  </r>
  <r>
    <s v="SW-101495"/>
    <d v="2024-09-07T00:00:00"/>
    <x v="0"/>
    <s v="Q3"/>
    <x v="8"/>
    <x v="0"/>
    <x v="3"/>
    <x v="0"/>
    <x v="4"/>
    <s v="Power Bank"/>
    <n v="4"/>
    <n v="508.8"/>
    <n v="0"/>
    <x v="2"/>
    <n v="2035.2"/>
    <n v="1647.49"/>
    <n v="387.71"/>
    <n v="1"/>
    <n v="0"/>
    <n v="4"/>
    <n v="4"/>
  </r>
  <r>
    <s v="SW-101496"/>
    <d v="2024-09-07T00:00:00"/>
    <x v="0"/>
    <s v="Q3"/>
    <x v="8"/>
    <x v="2"/>
    <x v="3"/>
    <x v="1"/>
    <x v="0"/>
    <s v="Denim Jacket"/>
    <n v="1"/>
    <n v="78.510000000000005"/>
    <n v="0"/>
    <x v="2"/>
    <n v="78.510000000000005"/>
    <n v="41.64"/>
    <n v="36.869999999999997"/>
    <n v="1"/>
    <n v="0"/>
    <n v="3"/>
    <n v="5"/>
  </r>
  <r>
    <s v="SW-101497"/>
    <d v="2024-09-08T00:00:00"/>
    <x v="0"/>
    <s v="Q3"/>
    <x v="8"/>
    <x v="0"/>
    <x v="4"/>
    <x v="1"/>
    <x v="0"/>
    <s v="Summer Dress"/>
    <n v="1"/>
    <n v="33.99"/>
    <n v="0"/>
    <x v="2"/>
    <n v="33.99"/>
    <n v="18.38"/>
    <n v="15.61"/>
    <n v="1"/>
    <n v="0"/>
    <n v="7"/>
    <n v="3"/>
  </r>
  <r>
    <s v="SW-101498"/>
    <d v="2024-09-08T00:00:00"/>
    <x v="0"/>
    <s v="Q3"/>
    <x v="8"/>
    <x v="1"/>
    <x v="3"/>
    <x v="0"/>
    <x v="0"/>
    <s v="Summer Dress"/>
    <n v="3"/>
    <n v="33.99"/>
    <n v="0.05"/>
    <x v="0"/>
    <n v="96.87"/>
    <n v="52.42"/>
    <n v="44.45"/>
    <n v="1"/>
    <n v="0"/>
    <n v="3"/>
    <n v="4"/>
  </r>
  <r>
    <s v="SW-101499"/>
    <d v="2024-09-08T00:00:00"/>
    <x v="0"/>
    <s v="Q3"/>
    <x v="8"/>
    <x v="1"/>
    <x v="2"/>
    <x v="1"/>
    <x v="0"/>
    <s v="Leather Handbag"/>
    <n v="1"/>
    <n v="138.5"/>
    <n v="0.15"/>
    <x v="1"/>
    <n v="117.72"/>
    <n v="72.62"/>
    <n v="45.1"/>
    <n v="1"/>
    <n v="0"/>
    <n v="3"/>
    <n v="5"/>
  </r>
  <r>
    <s v="SW-101500"/>
    <d v="2024-09-08T00:00:00"/>
    <x v="0"/>
    <s v="Q3"/>
    <x v="8"/>
    <x v="2"/>
    <x v="2"/>
    <x v="0"/>
    <x v="4"/>
    <s v="Power Bank"/>
    <n v="1"/>
    <n v="508.8"/>
    <n v="0.15"/>
    <x v="1"/>
    <n v="432.48"/>
    <n v="416.11"/>
    <n v="16.37"/>
    <n v="1"/>
    <n v="0"/>
    <n v="5"/>
    <n v="4"/>
  </r>
  <r>
    <s v="SW-101501"/>
    <d v="2024-09-08T00:00:00"/>
    <x v="0"/>
    <s v="Q3"/>
    <x v="8"/>
    <x v="0"/>
    <x v="3"/>
    <x v="1"/>
    <x v="4"/>
    <s v="Bluetooth Speaker"/>
    <n v="1"/>
    <n v="177.65"/>
    <n v="0"/>
    <x v="2"/>
    <n v="177.65"/>
    <n v="142.18"/>
    <n v="35.47"/>
    <n v="1"/>
    <n v="0"/>
    <n v="2"/>
    <n v="4"/>
  </r>
  <r>
    <s v="SW-101502"/>
    <d v="2024-09-08T00:00:00"/>
    <x v="0"/>
    <s v="Q3"/>
    <x v="8"/>
    <x v="1"/>
    <x v="0"/>
    <x v="1"/>
    <x v="1"/>
    <s v="Face Serum"/>
    <n v="1"/>
    <n v="33.479999999999997"/>
    <n v="0.3"/>
    <x v="3"/>
    <n v="23.44"/>
    <n v="16.84"/>
    <n v="6.6"/>
    <n v="1"/>
    <n v="0"/>
    <n v="4"/>
    <n v="4"/>
  </r>
  <r>
    <s v="SW-101503"/>
    <d v="2024-09-08T00:00:00"/>
    <x v="0"/>
    <s v="Q3"/>
    <x v="8"/>
    <x v="2"/>
    <x v="2"/>
    <x v="1"/>
    <x v="4"/>
    <s v="4K Action Camera"/>
    <n v="2"/>
    <n v="636.09"/>
    <n v="0"/>
    <x v="2"/>
    <n v="1272.18"/>
    <n v="992.91"/>
    <n v="279.27"/>
    <n v="1"/>
    <n v="0"/>
    <n v="3"/>
    <n v="5"/>
  </r>
  <r>
    <s v="SW-101504"/>
    <d v="2024-09-08T00:00:00"/>
    <x v="0"/>
    <s v="Q3"/>
    <x v="8"/>
    <x v="0"/>
    <x v="2"/>
    <x v="0"/>
    <x v="0"/>
    <s v="Sunglasses"/>
    <n v="3"/>
    <n v="104.94"/>
    <n v="0.1"/>
    <x v="0"/>
    <n v="283.33999999999997"/>
    <n v="177.96"/>
    <n v="105.38"/>
    <n v="1"/>
    <n v="0"/>
    <n v="4"/>
    <n v="4"/>
  </r>
  <r>
    <s v="SW-101505"/>
    <d v="2024-09-08T00:00:00"/>
    <x v="0"/>
    <s v="Q3"/>
    <x v="8"/>
    <x v="0"/>
    <x v="2"/>
    <x v="1"/>
    <x v="3"/>
    <s v="Yoga Mat"/>
    <n v="1"/>
    <n v="137.05000000000001"/>
    <n v="0.1"/>
    <x v="0"/>
    <n v="123.35"/>
    <n v="94.34"/>
    <n v="29.01"/>
    <n v="1"/>
    <n v="0"/>
    <n v="4"/>
    <n v="5"/>
  </r>
  <r>
    <s v="SW-101506"/>
    <d v="2024-09-09T00:00:00"/>
    <x v="0"/>
    <s v="Q3"/>
    <x v="8"/>
    <x v="0"/>
    <x v="4"/>
    <x v="0"/>
    <x v="0"/>
    <s v="Running Sneakers"/>
    <n v="2"/>
    <n v="94.85"/>
    <n v="0.15"/>
    <x v="1"/>
    <n v="161.24"/>
    <n v="104.87"/>
    <n v="56.37"/>
    <n v="1"/>
    <n v="0"/>
    <n v="8"/>
    <n v="4"/>
  </r>
  <r>
    <s v="SW-101507"/>
    <d v="2024-09-09T00:00:00"/>
    <x v="0"/>
    <s v="Q3"/>
    <x v="8"/>
    <x v="1"/>
    <x v="0"/>
    <x v="1"/>
    <x v="3"/>
    <s v="Camping Tent"/>
    <n v="1"/>
    <n v="83.06"/>
    <n v="0.05"/>
    <x v="0"/>
    <n v="78.91"/>
    <n v="58.16"/>
    <n v="20.75"/>
    <n v="1"/>
    <n v="0"/>
    <n v="3"/>
    <n v="3"/>
  </r>
  <r>
    <s v="SW-101508"/>
    <d v="2024-09-09T00:00:00"/>
    <x v="0"/>
    <s v="Q3"/>
    <x v="8"/>
    <x v="0"/>
    <x v="2"/>
    <x v="1"/>
    <x v="4"/>
    <s v="Power Bank"/>
    <n v="1"/>
    <n v="508.8"/>
    <n v="0.3"/>
    <x v="3"/>
    <n v="356.16"/>
    <n v="405.04"/>
    <n v="-48.88"/>
    <n v="1"/>
    <n v="0"/>
    <n v="3"/>
    <n v="4"/>
  </r>
  <r>
    <s v="SW-101509"/>
    <d v="2024-09-09T00:00:00"/>
    <x v="0"/>
    <s v="Q3"/>
    <x v="8"/>
    <x v="0"/>
    <x v="3"/>
    <x v="0"/>
    <x v="2"/>
    <s v="Cookware Set"/>
    <n v="1"/>
    <n v="233.81"/>
    <n v="0.1"/>
    <x v="0"/>
    <n v="210.43"/>
    <n v="147.69999999999999"/>
    <n v="62.73"/>
    <n v="1"/>
    <n v="0"/>
    <n v="3"/>
    <n v="4"/>
  </r>
  <r>
    <s v="SW-101510"/>
    <d v="2024-09-09T00:00:00"/>
    <x v="0"/>
    <s v="Q3"/>
    <x v="8"/>
    <x v="0"/>
    <x v="3"/>
    <x v="1"/>
    <x v="0"/>
    <s v="Running Sneakers"/>
    <n v="1"/>
    <n v="94.85"/>
    <n v="0.15"/>
    <x v="1"/>
    <n v="80.62"/>
    <n v="50.05"/>
    <n v="30.57"/>
    <n v="1"/>
    <n v="0"/>
    <n v="4"/>
    <n v="5"/>
  </r>
  <r>
    <s v="SW-101511"/>
    <d v="2024-09-10T00:00:00"/>
    <x v="0"/>
    <s v="Q3"/>
    <x v="8"/>
    <x v="2"/>
    <x v="2"/>
    <x v="1"/>
    <x v="0"/>
    <s v="Running Sneakers"/>
    <n v="1"/>
    <n v="94.85"/>
    <n v="0.25"/>
    <x v="3"/>
    <n v="71.14"/>
    <n v="50.16"/>
    <n v="20.98"/>
    <n v="1"/>
    <n v="0"/>
    <n v="5"/>
    <n v="4"/>
  </r>
  <r>
    <s v="SW-101512"/>
    <d v="2024-09-11T00:00:00"/>
    <x v="0"/>
    <s v="Q3"/>
    <x v="8"/>
    <x v="0"/>
    <x v="2"/>
    <x v="1"/>
    <x v="0"/>
    <s v="Summer Dress"/>
    <n v="1"/>
    <n v="33.99"/>
    <n v="0.25"/>
    <x v="3"/>
    <n v="25.49"/>
    <n v="18.190000000000001"/>
    <n v="7.3"/>
    <n v="1"/>
    <n v="0"/>
    <n v="4"/>
    <n v="4"/>
  </r>
  <r>
    <s v="SW-101513"/>
    <d v="2024-09-11T00:00:00"/>
    <x v="0"/>
    <s v="Q3"/>
    <x v="8"/>
    <x v="2"/>
    <x v="3"/>
    <x v="0"/>
    <x v="5"/>
    <s v="Story Book Set"/>
    <n v="4"/>
    <n v="10.76"/>
    <n v="0.25"/>
    <x v="3"/>
    <n v="32.28"/>
    <n v="29.94"/>
    <n v="2.34"/>
    <n v="1"/>
    <n v="0"/>
    <n v="2"/>
    <n v="4"/>
  </r>
  <r>
    <s v="SW-101514"/>
    <d v="2024-09-11T00:00:00"/>
    <x v="0"/>
    <s v="Q3"/>
    <x v="8"/>
    <x v="2"/>
    <x v="1"/>
    <x v="1"/>
    <x v="5"/>
    <s v="Bestseller Novel"/>
    <n v="2"/>
    <n v="45.28"/>
    <n v="0"/>
    <x v="2"/>
    <n v="90.56"/>
    <n v="64.209999999999994"/>
    <n v="26.35"/>
    <n v="1"/>
    <n v="0"/>
    <n v="10"/>
    <n v="4"/>
  </r>
  <r>
    <s v="SW-101515"/>
    <d v="2024-09-11T00:00:00"/>
    <x v="0"/>
    <s v="Q3"/>
    <x v="8"/>
    <x v="1"/>
    <x v="2"/>
    <x v="0"/>
    <x v="1"/>
    <s v="Perfume 100ml"/>
    <n v="1"/>
    <n v="54.56"/>
    <n v="0"/>
    <x v="2"/>
    <n v="54.56"/>
    <n v="26.74"/>
    <n v="27.82"/>
    <n v="1"/>
    <n v="0"/>
    <n v="3"/>
    <n v="4"/>
  </r>
  <r>
    <s v="SW-101516"/>
    <d v="2024-09-11T00:00:00"/>
    <x v="0"/>
    <s v="Q3"/>
    <x v="8"/>
    <x v="2"/>
    <x v="3"/>
    <x v="1"/>
    <x v="0"/>
    <s v="Summer Dress"/>
    <n v="1"/>
    <n v="33.99"/>
    <n v="0.25"/>
    <x v="3"/>
    <n v="25.49"/>
    <n v="18.190000000000001"/>
    <n v="7.3"/>
    <n v="1"/>
    <n v="0"/>
    <n v="3"/>
    <n v="4"/>
  </r>
  <r>
    <s v="SW-101517"/>
    <d v="2024-09-12T00:00:00"/>
    <x v="0"/>
    <s v="Q3"/>
    <x v="8"/>
    <x v="0"/>
    <x v="2"/>
    <x v="1"/>
    <x v="2"/>
    <s v="Bed Sheet Set"/>
    <n v="2"/>
    <n v="90.75"/>
    <n v="0.05"/>
    <x v="0"/>
    <n v="172.42"/>
    <n v="126.57"/>
    <n v="45.85"/>
    <n v="1"/>
    <n v="0"/>
    <n v="3"/>
    <n v="4"/>
  </r>
  <r>
    <s v="SW-101518"/>
    <d v="2024-09-12T00:00:00"/>
    <x v="0"/>
    <s v="Q3"/>
    <x v="8"/>
    <x v="2"/>
    <x v="2"/>
    <x v="0"/>
    <x v="4"/>
    <s v="Power Bank"/>
    <n v="1"/>
    <n v="508.8"/>
    <n v="0"/>
    <x v="2"/>
    <n v="508.8"/>
    <n v="398.67"/>
    <n v="110.13"/>
    <n v="1"/>
    <n v="0"/>
    <n v="5"/>
    <n v="5"/>
  </r>
  <r>
    <s v="SW-101519"/>
    <d v="2024-09-12T00:00:00"/>
    <x v="0"/>
    <s v="Q3"/>
    <x v="8"/>
    <x v="1"/>
    <x v="0"/>
    <x v="1"/>
    <x v="0"/>
    <s v="Summer Dress"/>
    <n v="2"/>
    <n v="33.99"/>
    <n v="0"/>
    <x v="2"/>
    <n v="67.98"/>
    <n v="36.409999999999997"/>
    <n v="31.57"/>
    <n v="1"/>
    <n v="0"/>
    <n v="5"/>
    <n v="5"/>
  </r>
  <r>
    <s v="SW-101520"/>
    <d v="2024-09-12T00:00:00"/>
    <x v="0"/>
    <s v="Q3"/>
    <x v="8"/>
    <x v="1"/>
    <x v="0"/>
    <x v="0"/>
    <x v="5"/>
    <s v="Kids Puzzle"/>
    <n v="2"/>
    <n v="16.97"/>
    <n v="0"/>
    <x v="2"/>
    <n v="33.94"/>
    <n v="22.68"/>
    <n v="11.26"/>
    <n v="1"/>
    <n v="0"/>
    <n v="4"/>
    <n v="5"/>
  </r>
  <r>
    <s v="SW-101521"/>
    <d v="2024-09-13T00:00:00"/>
    <x v="0"/>
    <s v="Q3"/>
    <x v="8"/>
    <x v="1"/>
    <x v="1"/>
    <x v="1"/>
    <x v="2"/>
    <s v="Bed Sheet Set"/>
    <n v="1"/>
    <n v="90.75"/>
    <n v="0.05"/>
    <x v="0"/>
    <n v="86.21"/>
    <n v="60.96"/>
    <n v="25.25"/>
    <n v="1"/>
    <n v="0"/>
    <n v="6"/>
    <n v="4"/>
  </r>
  <r>
    <s v="SW-101522"/>
    <d v="2024-09-13T00:00:00"/>
    <x v="0"/>
    <s v="Q3"/>
    <x v="8"/>
    <x v="2"/>
    <x v="2"/>
    <x v="0"/>
    <x v="2"/>
    <s v="Air Fryer"/>
    <n v="2"/>
    <n v="68.349999999999994"/>
    <n v="0"/>
    <x v="2"/>
    <n v="136.69999999999999"/>
    <n v="89.09"/>
    <n v="47.61"/>
    <n v="1"/>
    <n v="0"/>
    <n v="6"/>
    <n v="4"/>
  </r>
  <r>
    <s v="SW-101523"/>
    <d v="2024-09-13T00:00:00"/>
    <x v="0"/>
    <s v="Q3"/>
    <x v="8"/>
    <x v="0"/>
    <x v="1"/>
    <x v="0"/>
    <x v="3"/>
    <s v="Camping Tent"/>
    <n v="2"/>
    <n v="83.06"/>
    <n v="0.1"/>
    <x v="0"/>
    <n v="149.51"/>
    <n v="113.16"/>
    <n v="36.35"/>
    <n v="1"/>
    <n v="0"/>
    <n v="6"/>
    <n v="4"/>
  </r>
  <r>
    <s v="SW-101524"/>
    <d v="2024-09-13T00:00:00"/>
    <x v="0"/>
    <s v="Q3"/>
    <x v="8"/>
    <x v="1"/>
    <x v="4"/>
    <x v="1"/>
    <x v="0"/>
    <s v="Leather Handbag"/>
    <n v="1"/>
    <n v="138.5"/>
    <n v="0.05"/>
    <x v="0"/>
    <n v="131.57"/>
    <n v="75.38"/>
    <n v="56.19"/>
    <n v="1"/>
    <n v="1"/>
    <n v="7"/>
    <n v="3"/>
  </r>
  <r>
    <s v="SW-101525"/>
    <d v="2024-09-13T00:00:00"/>
    <x v="0"/>
    <s v="Q3"/>
    <x v="8"/>
    <x v="1"/>
    <x v="0"/>
    <x v="0"/>
    <x v="2"/>
    <s v="Bed Sheet Set"/>
    <n v="1"/>
    <n v="90.75"/>
    <n v="0.25"/>
    <x v="3"/>
    <n v="68.06"/>
    <n v="57.08"/>
    <n v="10.98"/>
    <n v="1"/>
    <n v="0"/>
    <n v="5"/>
    <n v="4"/>
  </r>
  <r>
    <s v="SW-101526"/>
    <d v="2024-09-13T00:00:00"/>
    <x v="0"/>
    <s v="Q3"/>
    <x v="8"/>
    <x v="0"/>
    <x v="2"/>
    <x v="1"/>
    <x v="3"/>
    <s v="Cycling Helmet"/>
    <n v="2"/>
    <n v="85.42"/>
    <n v="0"/>
    <x v="2"/>
    <n v="170.84"/>
    <n v="118.56"/>
    <n v="52.28"/>
    <n v="1"/>
    <n v="0"/>
    <n v="3"/>
    <n v="4"/>
  </r>
  <r>
    <s v="SW-101527"/>
    <d v="2024-09-13T00:00:00"/>
    <x v="0"/>
    <s v="Q3"/>
    <x v="8"/>
    <x v="0"/>
    <x v="2"/>
    <x v="1"/>
    <x v="0"/>
    <s v="Denim Jacket"/>
    <n v="1"/>
    <n v="78.510000000000005"/>
    <n v="0.1"/>
    <x v="0"/>
    <n v="70.66"/>
    <n v="41.92"/>
    <n v="28.74"/>
    <n v="1"/>
    <n v="0"/>
    <n v="3"/>
    <n v="5"/>
  </r>
  <r>
    <s v="SW-101528"/>
    <d v="2024-09-13T00:00:00"/>
    <x v="0"/>
    <s v="Q3"/>
    <x v="8"/>
    <x v="0"/>
    <x v="0"/>
    <x v="0"/>
    <x v="0"/>
    <s v="Summer Dress"/>
    <n v="1"/>
    <n v="33.99"/>
    <n v="0.1"/>
    <x v="0"/>
    <n v="30.59"/>
    <n v="17.95"/>
    <n v="12.64"/>
    <n v="1"/>
    <n v="0"/>
    <n v="3"/>
    <n v="4"/>
  </r>
  <r>
    <s v="SW-101529"/>
    <d v="2024-09-14T00:00:00"/>
    <x v="0"/>
    <s v="Q3"/>
    <x v="8"/>
    <x v="0"/>
    <x v="2"/>
    <x v="1"/>
    <x v="3"/>
    <s v="Fitness Tracker"/>
    <n v="2"/>
    <n v="74.459999999999994"/>
    <n v="0"/>
    <x v="2"/>
    <n v="148.91999999999999"/>
    <n v="98.71"/>
    <n v="50.21"/>
    <n v="1"/>
    <n v="0"/>
    <n v="3"/>
    <n v="4"/>
  </r>
  <r>
    <s v="SW-101530"/>
    <d v="2024-09-14T00:00:00"/>
    <x v="0"/>
    <s v="Q3"/>
    <x v="8"/>
    <x v="2"/>
    <x v="4"/>
    <x v="0"/>
    <x v="4"/>
    <s v="Bluetooth Speaker"/>
    <n v="2"/>
    <n v="177.65"/>
    <n v="0"/>
    <x v="2"/>
    <n v="355.3"/>
    <n v="288.52999999999997"/>
    <n v="66.77"/>
    <n v="1"/>
    <n v="0"/>
    <n v="5"/>
    <n v="5"/>
  </r>
  <r>
    <s v="SW-101531"/>
    <d v="2024-09-14T00:00:00"/>
    <x v="0"/>
    <s v="Q3"/>
    <x v="8"/>
    <x v="1"/>
    <x v="3"/>
    <x v="1"/>
    <x v="3"/>
    <s v="Fitness Tracker"/>
    <n v="4"/>
    <n v="74.459999999999994"/>
    <n v="0.1"/>
    <x v="0"/>
    <n v="268.06"/>
    <n v="197.21"/>
    <n v="70.849999999999994"/>
    <n v="1"/>
    <n v="0"/>
    <n v="2"/>
    <n v="5"/>
  </r>
  <r>
    <s v="SW-101532"/>
    <d v="2024-09-14T00:00:00"/>
    <x v="0"/>
    <s v="Q3"/>
    <x v="8"/>
    <x v="1"/>
    <x v="3"/>
    <x v="1"/>
    <x v="1"/>
    <s v="Perfume 100ml"/>
    <n v="1"/>
    <n v="54.56"/>
    <n v="0.05"/>
    <x v="0"/>
    <n v="51.83"/>
    <n v="27.3"/>
    <n v="24.53"/>
    <n v="1"/>
    <n v="0"/>
    <n v="3"/>
    <n v="4"/>
  </r>
  <r>
    <s v="SW-101533"/>
    <d v="2024-09-14T00:00:00"/>
    <x v="0"/>
    <s v="Q3"/>
    <x v="8"/>
    <x v="0"/>
    <x v="2"/>
    <x v="0"/>
    <x v="2"/>
    <s v="Coffee Maker"/>
    <n v="4"/>
    <n v="148.05000000000001"/>
    <n v="0.25"/>
    <x v="3"/>
    <n v="444.15"/>
    <n v="377.28"/>
    <n v="66.87"/>
    <n v="1"/>
    <n v="0"/>
    <n v="5"/>
    <n v="5"/>
  </r>
  <r>
    <s v="SW-101534"/>
    <d v="2024-09-14T00:00:00"/>
    <x v="0"/>
    <s v="Q3"/>
    <x v="8"/>
    <x v="0"/>
    <x v="3"/>
    <x v="1"/>
    <x v="4"/>
    <s v="Bluetooth Speaker"/>
    <n v="1"/>
    <n v="177.65"/>
    <n v="0.3"/>
    <x v="3"/>
    <n v="124.35"/>
    <n v="145.44"/>
    <n v="-21.09"/>
    <n v="1"/>
    <n v="0"/>
    <n v="3"/>
    <n v="5"/>
  </r>
  <r>
    <s v="SW-101535"/>
    <d v="2024-09-14T00:00:00"/>
    <x v="0"/>
    <s v="Q3"/>
    <x v="8"/>
    <x v="0"/>
    <x v="4"/>
    <x v="1"/>
    <x v="3"/>
    <s v="Cycling Helmet"/>
    <n v="1"/>
    <n v="85.42"/>
    <n v="0.05"/>
    <x v="0"/>
    <n v="81.150000000000006"/>
    <n v="58.07"/>
    <n v="23.08"/>
    <n v="1"/>
    <n v="0"/>
    <n v="6"/>
    <n v="4"/>
  </r>
  <r>
    <s v="SW-101536"/>
    <d v="2024-09-14T00:00:00"/>
    <x v="0"/>
    <s v="Q3"/>
    <x v="8"/>
    <x v="1"/>
    <x v="2"/>
    <x v="1"/>
    <x v="4"/>
    <s v="Tablet 10in"/>
    <n v="2"/>
    <n v="490.3"/>
    <n v="0"/>
    <x v="2"/>
    <n v="980.6"/>
    <n v="812.32"/>
    <n v="168.28"/>
    <n v="1"/>
    <n v="0"/>
    <n v="3"/>
    <n v="5"/>
  </r>
  <r>
    <s v="SW-101537"/>
    <d v="2024-09-14T00:00:00"/>
    <x v="0"/>
    <s v="Q3"/>
    <x v="8"/>
    <x v="0"/>
    <x v="2"/>
    <x v="1"/>
    <x v="0"/>
    <s v="Cotton T-Shirt"/>
    <n v="1"/>
    <n v="19.41"/>
    <n v="0"/>
    <x v="2"/>
    <n v="19.41"/>
    <n v="10.59"/>
    <n v="8.82"/>
    <n v="1"/>
    <n v="0"/>
    <n v="5"/>
    <n v="4"/>
  </r>
  <r>
    <s v="SW-101538"/>
    <d v="2024-09-14T00:00:00"/>
    <x v="0"/>
    <s v="Q3"/>
    <x v="8"/>
    <x v="0"/>
    <x v="0"/>
    <x v="1"/>
    <x v="0"/>
    <s v="Leather Handbag"/>
    <n v="1"/>
    <n v="138.5"/>
    <n v="0"/>
    <x v="2"/>
    <n v="138.5"/>
    <n v="73.39"/>
    <n v="65.11"/>
    <n v="1"/>
    <n v="0"/>
    <n v="4"/>
    <n v="4"/>
  </r>
  <r>
    <s v="SW-101539"/>
    <d v="2024-09-15T00:00:00"/>
    <x v="0"/>
    <s v="Q3"/>
    <x v="8"/>
    <x v="0"/>
    <x v="2"/>
    <x v="1"/>
    <x v="3"/>
    <s v="Dumbbell Set"/>
    <n v="1"/>
    <n v="198.42"/>
    <n v="0"/>
    <x v="2"/>
    <n v="198.42"/>
    <n v="137.59"/>
    <n v="60.83"/>
    <n v="1"/>
    <n v="0"/>
    <n v="5"/>
    <n v="4"/>
  </r>
  <r>
    <s v="SW-101540"/>
    <d v="2024-09-15T00:00:00"/>
    <x v="0"/>
    <s v="Q3"/>
    <x v="8"/>
    <x v="1"/>
    <x v="0"/>
    <x v="0"/>
    <x v="0"/>
    <s v="Summer Dress"/>
    <n v="2"/>
    <n v="33.99"/>
    <n v="0"/>
    <x v="2"/>
    <n v="67.98"/>
    <n v="36.43"/>
    <n v="31.55"/>
    <n v="1"/>
    <n v="0"/>
    <n v="5"/>
    <n v="4"/>
  </r>
  <r>
    <s v="SW-101541"/>
    <d v="2024-09-15T00:00:00"/>
    <x v="0"/>
    <s v="Q3"/>
    <x v="8"/>
    <x v="2"/>
    <x v="0"/>
    <x v="1"/>
    <x v="0"/>
    <s v="Leather Handbag"/>
    <n v="2"/>
    <n v="138.5"/>
    <n v="0.15"/>
    <x v="1"/>
    <n v="235.45"/>
    <n v="148.13"/>
    <n v="87.32"/>
    <n v="1"/>
    <n v="0"/>
    <n v="3"/>
    <n v="5"/>
  </r>
  <r>
    <s v="SW-101542"/>
    <d v="2024-09-15T00:00:00"/>
    <x v="0"/>
    <s v="Q3"/>
    <x v="8"/>
    <x v="0"/>
    <x v="2"/>
    <x v="0"/>
    <x v="3"/>
    <s v="Cycling Helmet"/>
    <n v="2"/>
    <n v="85.42"/>
    <n v="0"/>
    <x v="2"/>
    <n v="170.84"/>
    <n v="112.33"/>
    <n v="58.51"/>
    <n v="1"/>
    <n v="0"/>
    <n v="3"/>
    <n v="4"/>
  </r>
  <r>
    <s v="SW-101543"/>
    <d v="2024-09-15T00:00:00"/>
    <x v="0"/>
    <s v="Q3"/>
    <x v="8"/>
    <x v="0"/>
    <x v="1"/>
    <x v="1"/>
    <x v="2"/>
    <s v="Bed Sheet Set"/>
    <n v="1"/>
    <n v="90.75"/>
    <n v="0"/>
    <x v="2"/>
    <n v="90.75"/>
    <n v="59.93"/>
    <n v="30.82"/>
    <n v="1"/>
    <n v="0"/>
    <n v="5"/>
    <n v="4"/>
  </r>
  <r>
    <s v="SW-101544"/>
    <d v="2024-09-15T00:00:00"/>
    <x v="0"/>
    <s v="Q3"/>
    <x v="8"/>
    <x v="0"/>
    <x v="3"/>
    <x v="0"/>
    <x v="1"/>
    <s v="Skin Care Bundle"/>
    <n v="1"/>
    <n v="92.54"/>
    <n v="0.1"/>
    <x v="0"/>
    <n v="83.29"/>
    <n v="43.2"/>
    <n v="40.090000000000003"/>
    <n v="1"/>
    <n v="0"/>
    <n v="3"/>
    <n v="4"/>
  </r>
  <r>
    <s v="SW-101545"/>
    <d v="2024-09-16T00:00:00"/>
    <x v="0"/>
    <s v="Q3"/>
    <x v="8"/>
    <x v="1"/>
    <x v="3"/>
    <x v="1"/>
    <x v="0"/>
    <s v="Sunglasses"/>
    <n v="1"/>
    <n v="104.94"/>
    <n v="0"/>
    <x v="2"/>
    <n v="104.94"/>
    <n v="55.11"/>
    <n v="49.83"/>
    <n v="1"/>
    <n v="0"/>
    <n v="2"/>
    <n v="4"/>
  </r>
  <r>
    <s v="SW-101546"/>
    <d v="2024-09-16T00:00:00"/>
    <x v="0"/>
    <s v="Q3"/>
    <x v="8"/>
    <x v="2"/>
    <x v="3"/>
    <x v="1"/>
    <x v="4"/>
    <s v="Wireless Earbuds"/>
    <n v="4"/>
    <n v="588.41"/>
    <n v="0"/>
    <x v="2"/>
    <n v="2353.64"/>
    <n v="1909.06"/>
    <n v="444.58"/>
    <n v="1"/>
    <n v="0"/>
    <n v="3"/>
    <n v="5"/>
  </r>
  <r>
    <s v="SW-101547"/>
    <d v="2024-09-16T00:00:00"/>
    <x v="0"/>
    <s v="Q3"/>
    <x v="8"/>
    <x v="0"/>
    <x v="2"/>
    <x v="0"/>
    <x v="2"/>
    <s v="Air Fryer"/>
    <n v="2"/>
    <n v="68.349999999999994"/>
    <n v="0"/>
    <x v="2"/>
    <n v="136.69999999999999"/>
    <n v="93.08"/>
    <n v="43.62"/>
    <n v="1"/>
    <n v="0"/>
    <n v="6"/>
    <n v="5"/>
  </r>
  <r>
    <s v="SW-101548"/>
    <d v="2024-09-16T00:00:00"/>
    <x v="0"/>
    <s v="Q3"/>
    <x v="8"/>
    <x v="1"/>
    <x v="1"/>
    <x v="1"/>
    <x v="0"/>
    <s v="Cotton T-Shirt"/>
    <n v="2"/>
    <n v="19.41"/>
    <n v="0.05"/>
    <x v="0"/>
    <n v="36.880000000000003"/>
    <n v="21.25"/>
    <n v="15.63"/>
    <n v="1"/>
    <n v="0"/>
    <n v="6"/>
    <n v="3"/>
  </r>
  <r>
    <s v="SW-101549"/>
    <d v="2024-09-16T00:00:00"/>
    <x v="0"/>
    <s v="Q3"/>
    <x v="8"/>
    <x v="1"/>
    <x v="2"/>
    <x v="1"/>
    <x v="2"/>
    <s v="Bed Sheet Set"/>
    <n v="1"/>
    <n v="90.75"/>
    <n v="0"/>
    <x v="2"/>
    <n v="90.75"/>
    <n v="58.96"/>
    <n v="31.79"/>
    <n v="1"/>
    <n v="0"/>
    <n v="6"/>
    <n v="4"/>
  </r>
  <r>
    <s v="SW-101550"/>
    <d v="2024-09-16T00:00:00"/>
    <x v="0"/>
    <s v="Q3"/>
    <x v="8"/>
    <x v="1"/>
    <x v="3"/>
    <x v="1"/>
    <x v="4"/>
    <s v="Tablet 10in"/>
    <n v="1"/>
    <n v="490.3"/>
    <n v="0.25"/>
    <x v="3"/>
    <n v="367.72"/>
    <n v="397.56"/>
    <n v="-29.84"/>
    <n v="1"/>
    <n v="0"/>
    <n v="2"/>
    <n v="5"/>
  </r>
  <r>
    <s v="SW-101551"/>
    <d v="2024-09-17T00:00:00"/>
    <x v="0"/>
    <s v="Q3"/>
    <x v="8"/>
    <x v="0"/>
    <x v="2"/>
    <x v="0"/>
    <x v="4"/>
    <s v="Wireless Earbuds"/>
    <n v="2"/>
    <n v="588.41"/>
    <n v="0"/>
    <x v="2"/>
    <n v="1176.82"/>
    <n v="947.02"/>
    <n v="229.8"/>
    <n v="1"/>
    <n v="1"/>
    <n v="4"/>
    <n v="4"/>
  </r>
  <r>
    <s v="SW-101552"/>
    <d v="2024-09-17T00:00:00"/>
    <x v="0"/>
    <s v="Q3"/>
    <x v="8"/>
    <x v="1"/>
    <x v="2"/>
    <x v="1"/>
    <x v="0"/>
    <s v="Summer Dress"/>
    <n v="2"/>
    <n v="33.99"/>
    <n v="0.15"/>
    <x v="1"/>
    <n v="57.78"/>
    <n v="37.270000000000003"/>
    <n v="20.51"/>
    <n v="1"/>
    <n v="0"/>
    <n v="5"/>
    <n v="4"/>
  </r>
  <r>
    <s v="SW-101553"/>
    <d v="2024-09-17T00:00:00"/>
    <x v="0"/>
    <s v="Q3"/>
    <x v="8"/>
    <x v="0"/>
    <x v="3"/>
    <x v="1"/>
    <x v="0"/>
    <s v="Leather Handbag"/>
    <n v="1"/>
    <n v="138.5"/>
    <n v="0.1"/>
    <x v="0"/>
    <n v="124.65"/>
    <n v="74.27"/>
    <n v="50.38"/>
    <n v="1"/>
    <n v="1"/>
    <n v="5"/>
    <n v="2"/>
  </r>
  <r>
    <s v="SW-101554"/>
    <d v="2024-09-17T00:00:00"/>
    <x v="0"/>
    <s v="Q3"/>
    <x v="8"/>
    <x v="1"/>
    <x v="3"/>
    <x v="1"/>
    <x v="0"/>
    <s v="Summer Dress"/>
    <n v="1"/>
    <n v="33.99"/>
    <n v="0"/>
    <x v="2"/>
    <n v="33.99"/>
    <n v="17.89"/>
    <n v="16.100000000000001"/>
    <n v="1"/>
    <n v="0"/>
    <n v="3"/>
    <n v="5"/>
  </r>
  <r>
    <s v="SW-101555"/>
    <d v="2024-09-17T00:00:00"/>
    <x v="0"/>
    <s v="Q3"/>
    <x v="8"/>
    <x v="0"/>
    <x v="3"/>
    <x v="0"/>
    <x v="1"/>
    <s v="Skin Care Bundle"/>
    <n v="3"/>
    <n v="92.54"/>
    <n v="0"/>
    <x v="2"/>
    <n v="277.62"/>
    <n v="131.54"/>
    <n v="146.08000000000001"/>
    <n v="1"/>
    <n v="0"/>
    <n v="2"/>
    <n v="3"/>
  </r>
  <r>
    <s v="SW-101556"/>
    <d v="2024-09-17T00:00:00"/>
    <x v="0"/>
    <s v="Q3"/>
    <x v="8"/>
    <x v="0"/>
    <x v="3"/>
    <x v="0"/>
    <x v="0"/>
    <s v="Denim Jacket"/>
    <n v="1"/>
    <n v="78.510000000000005"/>
    <n v="0.1"/>
    <x v="0"/>
    <n v="70.66"/>
    <n v="44.41"/>
    <n v="26.25"/>
    <n v="1"/>
    <n v="1"/>
    <n v="3"/>
    <n v="4"/>
  </r>
  <r>
    <s v="SW-101557"/>
    <d v="2024-09-17T00:00:00"/>
    <x v="0"/>
    <s v="Q3"/>
    <x v="8"/>
    <x v="0"/>
    <x v="4"/>
    <x v="1"/>
    <x v="0"/>
    <s v="Cotton T-Shirt"/>
    <n v="1"/>
    <n v="19.41"/>
    <n v="0.1"/>
    <x v="0"/>
    <n v="17.47"/>
    <n v="10.77"/>
    <n v="6.7"/>
    <n v="1"/>
    <n v="0"/>
    <n v="6"/>
    <n v="4"/>
  </r>
  <r>
    <s v="SW-101558"/>
    <d v="2024-09-17T00:00:00"/>
    <x v="0"/>
    <s v="Q3"/>
    <x v="8"/>
    <x v="0"/>
    <x v="4"/>
    <x v="1"/>
    <x v="2"/>
    <s v="Coffee Maker"/>
    <n v="1"/>
    <n v="148.05000000000001"/>
    <n v="0"/>
    <x v="2"/>
    <n v="148.05000000000001"/>
    <n v="101.25"/>
    <n v="46.8"/>
    <n v="1"/>
    <n v="0"/>
    <n v="7"/>
    <n v="3"/>
  </r>
  <r>
    <s v="SW-101559"/>
    <d v="2024-09-17T00:00:00"/>
    <x v="0"/>
    <s v="Q3"/>
    <x v="8"/>
    <x v="0"/>
    <x v="0"/>
    <x v="1"/>
    <x v="0"/>
    <s v="Denim Jacket"/>
    <n v="1"/>
    <n v="78.510000000000005"/>
    <n v="0"/>
    <x v="2"/>
    <n v="78.510000000000005"/>
    <n v="43.29"/>
    <n v="35.22"/>
    <n v="1"/>
    <n v="0"/>
    <n v="3"/>
    <n v="5"/>
  </r>
  <r>
    <s v="SW-101560"/>
    <d v="2024-09-17T00:00:00"/>
    <x v="0"/>
    <s v="Q3"/>
    <x v="8"/>
    <x v="2"/>
    <x v="0"/>
    <x v="1"/>
    <x v="0"/>
    <s v="Summer Dress"/>
    <n v="2"/>
    <n v="33.99"/>
    <n v="0.05"/>
    <x v="0"/>
    <n v="64.58"/>
    <n v="36.97"/>
    <n v="27.61"/>
    <n v="1"/>
    <n v="0"/>
    <n v="3"/>
    <n v="5"/>
  </r>
  <r>
    <s v="SW-101561"/>
    <d v="2024-09-17T00:00:00"/>
    <x v="0"/>
    <s v="Q3"/>
    <x v="8"/>
    <x v="1"/>
    <x v="3"/>
    <x v="1"/>
    <x v="1"/>
    <s v="Makeup Kit"/>
    <n v="1"/>
    <n v="74.3"/>
    <n v="0.1"/>
    <x v="0"/>
    <n v="66.87"/>
    <n v="35.380000000000003"/>
    <n v="31.49"/>
    <n v="1"/>
    <n v="0"/>
    <n v="3"/>
    <n v="5"/>
  </r>
  <r>
    <s v="SW-101562"/>
    <d v="2024-09-17T00:00:00"/>
    <x v="0"/>
    <s v="Q3"/>
    <x v="8"/>
    <x v="0"/>
    <x v="3"/>
    <x v="0"/>
    <x v="0"/>
    <s v="Cotton T-Shirt"/>
    <n v="1"/>
    <n v="19.41"/>
    <n v="0.25"/>
    <x v="3"/>
    <n v="14.56"/>
    <n v="11.05"/>
    <n v="3.51"/>
    <n v="1"/>
    <n v="0"/>
    <n v="2"/>
    <n v="4"/>
  </r>
  <r>
    <s v="SW-101563"/>
    <d v="2024-09-18T00:00:00"/>
    <x v="0"/>
    <s v="Q3"/>
    <x v="8"/>
    <x v="1"/>
    <x v="1"/>
    <x v="0"/>
    <x v="1"/>
    <s v="Skin Care Bundle"/>
    <n v="1"/>
    <n v="92.54"/>
    <n v="0.05"/>
    <x v="0"/>
    <n v="87.91"/>
    <n v="45.47"/>
    <n v="42.44"/>
    <n v="1"/>
    <n v="0"/>
    <n v="7"/>
    <n v="3"/>
  </r>
  <r>
    <s v="SW-101564"/>
    <d v="2024-09-18T00:00:00"/>
    <x v="0"/>
    <s v="Q3"/>
    <x v="8"/>
    <x v="1"/>
    <x v="0"/>
    <x v="1"/>
    <x v="4"/>
    <s v="Tablet 10in"/>
    <n v="2"/>
    <n v="490.3"/>
    <n v="0.2"/>
    <x v="1"/>
    <n v="784.48"/>
    <n v="752.74"/>
    <n v="31.74"/>
    <n v="1"/>
    <n v="0"/>
    <n v="3"/>
    <n v="5"/>
  </r>
  <r>
    <s v="SW-101565"/>
    <d v="2024-09-18T00:00:00"/>
    <x v="0"/>
    <s v="Q3"/>
    <x v="8"/>
    <x v="0"/>
    <x v="2"/>
    <x v="0"/>
    <x v="3"/>
    <s v="Cycling Helmet"/>
    <n v="1"/>
    <n v="85.42"/>
    <n v="0"/>
    <x v="2"/>
    <n v="85.42"/>
    <n v="56.18"/>
    <n v="29.24"/>
    <n v="1"/>
    <n v="0"/>
    <n v="5"/>
    <n v="4"/>
  </r>
  <r>
    <s v="SW-101566"/>
    <d v="2024-09-18T00:00:00"/>
    <x v="0"/>
    <s v="Q3"/>
    <x v="8"/>
    <x v="0"/>
    <x v="3"/>
    <x v="1"/>
    <x v="0"/>
    <s v="Summer Dress"/>
    <n v="4"/>
    <n v="33.99"/>
    <n v="0.3"/>
    <x v="3"/>
    <n v="95.17"/>
    <n v="70.62"/>
    <n v="24.55"/>
    <n v="1"/>
    <n v="0"/>
    <n v="3"/>
    <n v="4"/>
  </r>
  <r>
    <s v="SW-101567"/>
    <d v="2024-09-18T00:00:00"/>
    <x v="0"/>
    <s v="Q3"/>
    <x v="8"/>
    <x v="2"/>
    <x v="0"/>
    <x v="0"/>
    <x v="4"/>
    <s v="Bluetooth Speaker"/>
    <n v="1"/>
    <n v="177.65"/>
    <n v="0"/>
    <x v="2"/>
    <n v="177.65"/>
    <n v="137.16"/>
    <n v="40.49"/>
    <n v="1"/>
    <n v="0"/>
    <n v="4"/>
    <n v="5"/>
  </r>
  <r>
    <s v="SW-101568"/>
    <d v="2024-09-19T00:00:00"/>
    <x v="0"/>
    <s v="Q3"/>
    <x v="8"/>
    <x v="0"/>
    <x v="3"/>
    <x v="1"/>
    <x v="4"/>
    <s v="Power Bank"/>
    <n v="1"/>
    <n v="508.8"/>
    <n v="0"/>
    <x v="2"/>
    <n v="508.8"/>
    <n v="412.61"/>
    <n v="96.19"/>
    <n v="1"/>
    <n v="0"/>
    <n v="3"/>
    <n v="5"/>
  </r>
  <r>
    <s v="SW-101569"/>
    <d v="2024-09-19T00:00:00"/>
    <x v="0"/>
    <s v="Q3"/>
    <x v="8"/>
    <x v="0"/>
    <x v="0"/>
    <x v="1"/>
    <x v="1"/>
    <s v="Face Serum"/>
    <n v="2"/>
    <n v="33.479999999999997"/>
    <n v="0.1"/>
    <x v="0"/>
    <n v="60.26"/>
    <n v="31.12"/>
    <n v="29.14"/>
    <n v="1"/>
    <n v="0"/>
    <n v="3"/>
    <n v="5"/>
  </r>
  <r>
    <s v="SW-101570"/>
    <d v="2024-09-19T00:00:00"/>
    <x v="0"/>
    <s v="Q3"/>
    <x v="8"/>
    <x v="0"/>
    <x v="0"/>
    <x v="1"/>
    <x v="4"/>
    <s v="Wireless Earbuds"/>
    <n v="1"/>
    <n v="588.41"/>
    <n v="0.15"/>
    <x v="1"/>
    <n v="500.15"/>
    <n v="501.43"/>
    <n v="-1.28"/>
    <n v="1"/>
    <n v="0"/>
    <n v="4"/>
    <n v="4"/>
  </r>
  <r>
    <s v="SW-101571"/>
    <d v="2024-09-19T00:00:00"/>
    <x v="0"/>
    <s v="Q3"/>
    <x v="8"/>
    <x v="1"/>
    <x v="1"/>
    <x v="0"/>
    <x v="2"/>
    <s v="Storage Boxes"/>
    <n v="2"/>
    <n v="154.66"/>
    <n v="0"/>
    <x v="2"/>
    <n v="309.32"/>
    <n v="211.84"/>
    <n v="97.48"/>
    <n v="1"/>
    <n v="0"/>
    <n v="5"/>
    <n v="4"/>
  </r>
  <r>
    <s v="SW-101572"/>
    <d v="2024-09-20T00:00:00"/>
    <x v="0"/>
    <s v="Q3"/>
    <x v="8"/>
    <x v="0"/>
    <x v="0"/>
    <x v="1"/>
    <x v="2"/>
    <s v="Cookware Set"/>
    <n v="1"/>
    <n v="233.81"/>
    <n v="0.2"/>
    <x v="1"/>
    <n v="187.05"/>
    <n v="145.38"/>
    <n v="41.67"/>
    <n v="1"/>
    <n v="0"/>
    <n v="3"/>
    <n v="4"/>
  </r>
  <r>
    <s v="SW-101573"/>
    <d v="2024-09-20T00:00:00"/>
    <x v="0"/>
    <s v="Q3"/>
    <x v="8"/>
    <x v="1"/>
    <x v="3"/>
    <x v="1"/>
    <x v="3"/>
    <s v="Yoga Mat"/>
    <n v="1"/>
    <n v="137.05000000000001"/>
    <n v="0.1"/>
    <x v="0"/>
    <n v="123.35"/>
    <n v="90.17"/>
    <n v="33.18"/>
    <n v="1"/>
    <n v="0"/>
    <n v="2"/>
    <n v="4"/>
  </r>
  <r>
    <s v="SW-101574"/>
    <d v="2024-09-20T00:00:00"/>
    <x v="0"/>
    <s v="Q3"/>
    <x v="8"/>
    <x v="0"/>
    <x v="2"/>
    <x v="1"/>
    <x v="0"/>
    <s v="Summer Dress"/>
    <n v="4"/>
    <n v="33.99"/>
    <n v="0"/>
    <x v="2"/>
    <n v="135.96"/>
    <n v="74.13"/>
    <n v="61.83"/>
    <n v="1"/>
    <n v="0"/>
    <n v="3"/>
    <n v="5"/>
  </r>
  <r>
    <s v="SW-101575"/>
    <d v="2024-09-20T00:00:00"/>
    <x v="0"/>
    <s v="Q3"/>
    <x v="8"/>
    <x v="2"/>
    <x v="2"/>
    <x v="1"/>
    <x v="5"/>
    <s v="Building Blocks"/>
    <n v="1"/>
    <n v="48.86"/>
    <n v="0.15"/>
    <x v="1"/>
    <n v="41.53"/>
    <n v="34.380000000000003"/>
    <n v="7.15"/>
    <n v="1"/>
    <n v="0"/>
    <n v="5"/>
    <n v="5"/>
  </r>
  <r>
    <s v="SW-101576"/>
    <d v="2024-09-20T00:00:00"/>
    <x v="0"/>
    <s v="Q3"/>
    <x v="8"/>
    <x v="2"/>
    <x v="2"/>
    <x v="0"/>
    <x v="1"/>
    <s v="Skin Care Bundle"/>
    <n v="1"/>
    <n v="92.54"/>
    <n v="0"/>
    <x v="2"/>
    <n v="92.54"/>
    <n v="44"/>
    <n v="48.54"/>
    <n v="1"/>
    <n v="0"/>
    <n v="4"/>
    <n v="5"/>
  </r>
  <r>
    <s v="SW-101577"/>
    <d v="2024-09-20T00:00:00"/>
    <x v="0"/>
    <s v="Q3"/>
    <x v="8"/>
    <x v="0"/>
    <x v="0"/>
    <x v="0"/>
    <x v="2"/>
    <s v="Desk Lamp"/>
    <n v="2"/>
    <n v="117.63"/>
    <n v="0.1"/>
    <x v="0"/>
    <n v="211.73"/>
    <n v="155.76"/>
    <n v="55.97"/>
    <n v="1"/>
    <n v="0"/>
    <n v="3"/>
    <n v="4"/>
  </r>
  <r>
    <s v="SW-101578"/>
    <d v="2024-09-20T00:00:00"/>
    <x v="0"/>
    <s v="Q3"/>
    <x v="8"/>
    <x v="0"/>
    <x v="3"/>
    <x v="1"/>
    <x v="1"/>
    <s v="Face Serum"/>
    <n v="2"/>
    <n v="33.479999999999997"/>
    <n v="0.1"/>
    <x v="0"/>
    <n v="60.26"/>
    <n v="32.950000000000003"/>
    <n v="27.31"/>
    <n v="1"/>
    <n v="0"/>
    <n v="2"/>
    <n v="4"/>
  </r>
  <r>
    <s v="SW-101579"/>
    <d v="2024-09-20T00:00:00"/>
    <x v="0"/>
    <s v="Q3"/>
    <x v="8"/>
    <x v="0"/>
    <x v="3"/>
    <x v="1"/>
    <x v="0"/>
    <s v="Summer Dress"/>
    <n v="1"/>
    <n v="33.99"/>
    <n v="0.1"/>
    <x v="0"/>
    <n v="30.59"/>
    <n v="17.87"/>
    <n v="12.72"/>
    <n v="1"/>
    <n v="0"/>
    <n v="4"/>
    <n v="4"/>
  </r>
  <r>
    <s v="SW-101580"/>
    <d v="2024-09-20T00:00:00"/>
    <x v="0"/>
    <s v="Q3"/>
    <x v="8"/>
    <x v="0"/>
    <x v="0"/>
    <x v="0"/>
    <x v="1"/>
    <s v="Makeup Kit"/>
    <n v="3"/>
    <n v="74.3"/>
    <n v="0.05"/>
    <x v="0"/>
    <n v="211.75"/>
    <n v="106.42"/>
    <n v="105.33"/>
    <n v="1"/>
    <n v="0"/>
    <n v="5"/>
    <n v="5"/>
  </r>
  <r>
    <s v="SW-101581"/>
    <d v="2024-09-20T00:00:00"/>
    <x v="0"/>
    <s v="Q3"/>
    <x v="8"/>
    <x v="0"/>
    <x v="4"/>
    <x v="1"/>
    <x v="2"/>
    <s v="Desk Lamp"/>
    <n v="1"/>
    <n v="117.63"/>
    <n v="0.15"/>
    <x v="1"/>
    <n v="99.99"/>
    <n v="78.61"/>
    <n v="21.38"/>
    <n v="1"/>
    <n v="0"/>
    <n v="6"/>
    <n v="4"/>
  </r>
  <r>
    <s v="SW-101582"/>
    <d v="2024-09-20T00:00:00"/>
    <x v="0"/>
    <s v="Q3"/>
    <x v="8"/>
    <x v="2"/>
    <x v="0"/>
    <x v="1"/>
    <x v="4"/>
    <s v="Smart Watch"/>
    <n v="3"/>
    <n v="216.08"/>
    <n v="0.05"/>
    <x v="0"/>
    <n v="615.83000000000004"/>
    <n v="519.46"/>
    <n v="96.37"/>
    <n v="1"/>
    <n v="0"/>
    <n v="4"/>
    <n v="4"/>
  </r>
  <r>
    <s v="SW-101583"/>
    <d v="2024-09-20T00:00:00"/>
    <x v="0"/>
    <s v="Q3"/>
    <x v="8"/>
    <x v="2"/>
    <x v="2"/>
    <x v="0"/>
    <x v="4"/>
    <s v="Wireless Earbuds"/>
    <n v="1"/>
    <n v="588.41"/>
    <n v="0.1"/>
    <x v="0"/>
    <n v="529.57000000000005"/>
    <n v="452.43"/>
    <n v="77.14"/>
    <n v="1"/>
    <n v="1"/>
    <n v="5"/>
    <n v="3"/>
  </r>
  <r>
    <s v="SW-101584"/>
    <d v="2024-09-21T00:00:00"/>
    <x v="0"/>
    <s v="Q3"/>
    <x v="8"/>
    <x v="1"/>
    <x v="0"/>
    <x v="0"/>
    <x v="4"/>
    <s v="Wireless Earbuds"/>
    <n v="1"/>
    <n v="588.41"/>
    <n v="0.15"/>
    <x v="1"/>
    <n v="500.15"/>
    <n v="451.18"/>
    <n v="48.97"/>
    <n v="1"/>
    <n v="0"/>
    <n v="3"/>
    <n v="5"/>
  </r>
  <r>
    <s v="SW-101585"/>
    <d v="2024-09-21T00:00:00"/>
    <x v="0"/>
    <s v="Q3"/>
    <x v="8"/>
    <x v="2"/>
    <x v="4"/>
    <x v="1"/>
    <x v="2"/>
    <s v="Coffee Maker"/>
    <n v="1"/>
    <n v="148.05000000000001"/>
    <n v="0.1"/>
    <x v="0"/>
    <n v="133.24"/>
    <n v="95.39"/>
    <n v="37.85"/>
    <n v="1"/>
    <n v="0"/>
    <n v="6"/>
    <n v="4"/>
  </r>
  <r>
    <s v="SW-101586"/>
    <d v="2024-09-21T00:00:00"/>
    <x v="0"/>
    <s v="Q3"/>
    <x v="8"/>
    <x v="0"/>
    <x v="4"/>
    <x v="1"/>
    <x v="2"/>
    <s v="Storage Boxes"/>
    <n v="1"/>
    <n v="154.66"/>
    <n v="0"/>
    <x v="2"/>
    <n v="154.66"/>
    <n v="102.71"/>
    <n v="51.95"/>
    <n v="1"/>
    <n v="0"/>
    <n v="9"/>
    <n v="3"/>
  </r>
  <r>
    <s v="SW-101587"/>
    <d v="2024-09-21T00:00:00"/>
    <x v="0"/>
    <s v="Q3"/>
    <x v="8"/>
    <x v="2"/>
    <x v="3"/>
    <x v="1"/>
    <x v="1"/>
    <s v="Makeup Kit"/>
    <n v="2"/>
    <n v="74.3"/>
    <n v="0.2"/>
    <x v="1"/>
    <n v="118.88"/>
    <n v="67.05"/>
    <n v="51.83"/>
    <n v="1"/>
    <n v="0"/>
    <n v="3"/>
    <n v="4"/>
  </r>
  <r>
    <s v="SW-101588"/>
    <d v="2024-09-21T00:00:00"/>
    <x v="0"/>
    <s v="Q3"/>
    <x v="8"/>
    <x v="1"/>
    <x v="0"/>
    <x v="0"/>
    <x v="4"/>
    <s v="4K Action Camera"/>
    <n v="1"/>
    <n v="636.09"/>
    <n v="0.1"/>
    <x v="0"/>
    <n v="572.48"/>
    <n v="535.47"/>
    <n v="37.01"/>
    <n v="1"/>
    <n v="0"/>
    <n v="3"/>
    <n v="5"/>
  </r>
  <r>
    <s v="SW-101589"/>
    <d v="2024-09-21T00:00:00"/>
    <x v="0"/>
    <s v="Q3"/>
    <x v="8"/>
    <x v="2"/>
    <x v="1"/>
    <x v="1"/>
    <x v="0"/>
    <s v="Sunglasses"/>
    <n v="1"/>
    <n v="104.94"/>
    <n v="0"/>
    <x v="2"/>
    <n v="104.94"/>
    <n v="58"/>
    <n v="46.94"/>
    <n v="1"/>
    <n v="0"/>
    <n v="6"/>
    <n v="4"/>
  </r>
  <r>
    <s v="SW-101590"/>
    <d v="2024-09-21T00:00:00"/>
    <x v="0"/>
    <s v="Q3"/>
    <x v="8"/>
    <x v="0"/>
    <x v="1"/>
    <x v="1"/>
    <x v="5"/>
    <s v="Building Blocks"/>
    <n v="1"/>
    <n v="48.86"/>
    <n v="0.05"/>
    <x v="0"/>
    <n v="46.42"/>
    <n v="33.729999999999997"/>
    <n v="12.69"/>
    <n v="1"/>
    <n v="0"/>
    <n v="6"/>
    <n v="4"/>
  </r>
  <r>
    <s v="SW-101591"/>
    <d v="2024-09-21T00:00:00"/>
    <x v="0"/>
    <s v="Q3"/>
    <x v="8"/>
    <x v="2"/>
    <x v="2"/>
    <x v="1"/>
    <x v="1"/>
    <s v="Skin Care Bundle"/>
    <n v="1"/>
    <n v="92.54"/>
    <n v="0.1"/>
    <x v="0"/>
    <n v="83.29"/>
    <n v="42.35"/>
    <n v="40.94"/>
    <n v="1"/>
    <n v="0"/>
    <n v="4"/>
    <n v="5"/>
  </r>
  <r>
    <s v="SW-101592"/>
    <d v="2024-09-21T00:00:00"/>
    <x v="0"/>
    <s v="Q3"/>
    <x v="8"/>
    <x v="0"/>
    <x v="2"/>
    <x v="0"/>
    <x v="3"/>
    <s v="Camping Tent"/>
    <n v="1"/>
    <n v="83.06"/>
    <n v="0"/>
    <x v="2"/>
    <n v="83.06"/>
    <n v="56.49"/>
    <n v="26.57"/>
    <n v="1"/>
    <n v="0"/>
    <n v="4"/>
    <n v="4"/>
  </r>
  <r>
    <s v="SW-101593"/>
    <d v="2024-09-21T00:00:00"/>
    <x v="0"/>
    <s v="Q3"/>
    <x v="8"/>
    <x v="1"/>
    <x v="0"/>
    <x v="1"/>
    <x v="3"/>
    <s v="Cycling Helmet"/>
    <n v="1"/>
    <n v="85.42"/>
    <n v="0.1"/>
    <x v="0"/>
    <n v="76.88"/>
    <n v="57.44"/>
    <n v="19.440000000000001"/>
    <n v="1"/>
    <n v="0"/>
    <n v="4"/>
    <n v="5"/>
  </r>
  <r>
    <s v="SW-101594"/>
    <d v="2024-09-21T00:00:00"/>
    <x v="0"/>
    <s v="Q3"/>
    <x v="8"/>
    <x v="1"/>
    <x v="0"/>
    <x v="1"/>
    <x v="0"/>
    <s v="Summer Dress"/>
    <n v="1"/>
    <n v="33.99"/>
    <n v="0.15"/>
    <x v="1"/>
    <n v="28.89"/>
    <n v="17.989999999999998"/>
    <n v="10.9"/>
    <n v="1"/>
    <n v="0"/>
    <n v="5"/>
    <n v="5"/>
  </r>
  <r>
    <s v="SW-101595"/>
    <d v="2024-09-22T00:00:00"/>
    <x v="0"/>
    <s v="Q3"/>
    <x v="8"/>
    <x v="1"/>
    <x v="2"/>
    <x v="0"/>
    <x v="2"/>
    <s v="Coffee Maker"/>
    <n v="1"/>
    <n v="148.05000000000001"/>
    <n v="0"/>
    <x v="2"/>
    <n v="148.05000000000001"/>
    <n v="98.78"/>
    <n v="49.27"/>
    <n v="1"/>
    <n v="1"/>
    <n v="4"/>
    <n v="4"/>
  </r>
  <r>
    <s v="SW-101596"/>
    <d v="2024-09-22T00:00:00"/>
    <x v="0"/>
    <s v="Q3"/>
    <x v="8"/>
    <x v="0"/>
    <x v="0"/>
    <x v="0"/>
    <x v="2"/>
    <s v="Storage Boxes"/>
    <n v="3"/>
    <n v="154.66"/>
    <n v="0"/>
    <x v="2"/>
    <n v="463.98"/>
    <n v="310.68"/>
    <n v="153.30000000000001"/>
    <n v="1"/>
    <n v="1"/>
    <n v="4"/>
    <n v="4"/>
  </r>
  <r>
    <s v="SW-101597"/>
    <d v="2024-09-22T00:00:00"/>
    <x v="0"/>
    <s v="Q3"/>
    <x v="8"/>
    <x v="1"/>
    <x v="2"/>
    <x v="1"/>
    <x v="0"/>
    <s v="Sunglasses"/>
    <n v="1"/>
    <n v="104.94"/>
    <n v="0.15"/>
    <x v="1"/>
    <n v="89.2"/>
    <n v="57.41"/>
    <n v="31.79"/>
    <n v="1"/>
    <n v="0"/>
    <n v="3"/>
    <n v="4"/>
  </r>
  <r>
    <s v="SW-101598"/>
    <d v="2024-09-22T00:00:00"/>
    <x v="0"/>
    <s v="Q3"/>
    <x v="8"/>
    <x v="2"/>
    <x v="0"/>
    <x v="1"/>
    <x v="5"/>
    <s v="Building Blocks"/>
    <n v="1"/>
    <n v="48.86"/>
    <n v="0.1"/>
    <x v="0"/>
    <n v="43.97"/>
    <n v="37.450000000000003"/>
    <n v="6.52"/>
    <n v="1"/>
    <n v="0"/>
    <n v="4"/>
    <n v="4"/>
  </r>
  <r>
    <s v="SW-101599"/>
    <d v="2024-09-22T00:00:00"/>
    <x v="0"/>
    <s v="Q3"/>
    <x v="8"/>
    <x v="1"/>
    <x v="0"/>
    <x v="0"/>
    <x v="4"/>
    <s v="Power Bank"/>
    <n v="2"/>
    <n v="508.8"/>
    <n v="0"/>
    <x v="2"/>
    <n v="1017.6"/>
    <n v="834.03"/>
    <n v="183.57"/>
    <n v="1"/>
    <n v="0"/>
    <n v="3"/>
    <n v="5"/>
  </r>
  <r>
    <s v="SW-101600"/>
    <d v="2024-09-23T00:00:00"/>
    <x v="0"/>
    <s v="Q3"/>
    <x v="8"/>
    <x v="0"/>
    <x v="3"/>
    <x v="1"/>
    <x v="0"/>
    <s v="Running Sneakers"/>
    <n v="2"/>
    <n v="94.85"/>
    <n v="0.1"/>
    <x v="0"/>
    <n v="170.73"/>
    <n v="98.65"/>
    <n v="72.08"/>
    <n v="1"/>
    <n v="0"/>
    <n v="3"/>
    <n v="5"/>
  </r>
  <r>
    <s v="SW-101601"/>
    <d v="2024-09-23T00:00:00"/>
    <x v="0"/>
    <s v="Q3"/>
    <x v="8"/>
    <x v="2"/>
    <x v="4"/>
    <x v="0"/>
    <x v="4"/>
    <s v="Smart Watch"/>
    <n v="1"/>
    <n v="216.08"/>
    <n v="0.05"/>
    <x v="0"/>
    <n v="205.28"/>
    <n v="170.72"/>
    <n v="34.56"/>
    <n v="1"/>
    <n v="0"/>
    <n v="6"/>
    <n v="3"/>
  </r>
  <r>
    <s v="SW-101602"/>
    <d v="2024-09-23T00:00:00"/>
    <x v="0"/>
    <s v="Q3"/>
    <x v="8"/>
    <x v="0"/>
    <x v="3"/>
    <x v="1"/>
    <x v="0"/>
    <s v="Running Sneakers"/>
    <n v="1"/>
    <n v="94.85"/>
    <n v="0.1"/>
    <x v="0"/>
    <n v="85.36"/>
    <n v="49.54"/>
    <n v="35.82"/>
    <n v="1"/>
    <n v="0"/>
    <n v="5"/>
    <n v="4"/>
  </r>
  <r>
    <s v="SW-101603"/>
    <d v="2024-09-23T00:00:00"/>
    <x v="0"/>
    <s v="Q3"/>
    <x v="8"/>
    <x v="2"/>
    <x v="3"/>
    <x v="1"/>
    <x v="4"/>
    <s v="Smart Watch"/>
    <n v="2"/>
    <n v="216.08"/>
    <n v="0"/>
    <x v="2"/>
    <n v="432.16"/>
    <n v="317.63"/>
    <n v="114.53"/>
    <n v="1"/>
    <n v="0"/>
    <n v="3"/>
    <n v="4"/>
  </r>
  <r>
    <s v="SW-101604"/>
    <d v="2024-09-23T00:00:00"/>
    <x v="0"/>
    <s v="Q3"/>
    <x v="8"/>
    <x v="0"/>
    <x v="2"/>
    <x v="1"/>
    <x v="0"/>
    <s v="Summer Dress"/>
    <n v="1"/>
    <n v="33.99"/>
    <n v="0"/>
    <x v="2"/>
    <n v="33.99"/>
    <n v="17.420000000000002"/>
    <n v="16.57"/>
    <n v="1"/>
    <n v="1"/>
    <n v="5"/>
    <n v="3"/>
  </r>
  <r>
    <s v="SW-101605"/>
    <d v="2024-09-23T00:00:00"/>
    <x v="0"/>
    <s v="Q3"/>
    <x v="8"/>
    <x v="1"/>
    <x v="2"/>
    <x v="1"/>
    <x v="2"/>
    <s v="Coffee Maker"/>
    <n v="2"/>
    <n v="148.05000000000001"/>
    <n v="0.2"/>
    <x v="1"/>
    <n v="236.88"/>
    <n v="199.13"/>
    <n v="37.75"/>
    <n v="1"/>
    <n v="1"/>
    <n v="3"/>
    <n v="2"/>
  </r>
  <r>
    <s v="SW-101606"/>
    <d v="2024-09-23T00:00:00"/>
    <x v="0"/>
    <s v="Q3"/>
    <x v="8"/>
    <x v="2"/>
    <x v="3"/>
    <x v="1"/>
    <x v="2"/>
    <s v="Air Fryer"/>
    <n v="1"/>
    <n v="68.349999999999994"/>
    <n v="0.1"/>
    <x v="0"/>
    <n v="61.51"/>
    <n v="44.3"/>
    <n v="17.21"/>
    <n v="1"/>
    <n v="0"/>
    <n v="2"/>
    <n v="4"/>
  </r>
  <r>
    <s v="SW-101607"/>
    <d v="2024-09-24T00:00:00"/>
    <x v="0"/>
    <s v="Q3"/>
    <x v="8"/>
    <x v="1"/>
    <x v="0"/>
    <x v="1"/>
    <x v="5"/>
    <s v="Building Blocks"/>
    <n v="1"/>
    <n v="48.86"/>
    <n v="0.15"/>
    <x v="1"/>
    <n v="41.53"/>
    <n v="34.79"/>
    <n v="6.74"/>
    <n v="1"/>
    <n v="0"/>
    <n v="3"/>
    <n v="5"/>
  </r>
  <r>
    <s v="SW-101608"/>
    <d v="2024-09-24T00:00:00"/>
    <x v="0"/>
    <s v="Q3"/>
    <x v="8"/>
    <x v="1"/>
    <x v="2"/>
    <x v="1"/>
    <x v="0"/>
    <s v="Denim Jacket"/>
    <n v="1"/>
    <n v="78.510000000000005"/>
    <n v="0.15"/>
    <x v="1"/>
    <n v="66.73"/>
    <n v="43.68"/>
    <n v="23.05"/>
    <n v="1"/>
    <n v="0"/>
    <n v="3"/>
    <n v="5"/>
  </r>
  <r>
    <s v="SW-101609"/>
    <d v="2024-09-24T00:00:00"/>
    <x v="0"/>
    <s v="Q3"/>
    <x v="8"/>
    <x v="1"/>
    <x v="3"/>
    <x v="1"/>
    <x v="3"/>
    <s v="Fitness Tracker"/>
    <n v="2"/>
    <n v="74.459999999999994"/>
    <n v="0.15"/>
    <x v="1"/>
    <n v="126.58"/>
    <n v="104.87"/>
    <n v="21.71"/>
    <n v="1"/>
    <n v="0"/>
    <n v="2"/>
    <n v="4"/>
  </r>
  <r>
    <s v="SW-101610"/>
    <d v="2024-09-24T00:00:00"/>
    <x v="0"/>
    <s v="Q3"/>
    <x v="8"/>
    <x v="2"/>
    <x v="2"/>
    <x v="1"/>
    <x v="3"/>
    <s v="Fitness Tracker"/>
    <n v="1"/>
    <n v="74.459999999999994"/>
    <n v="0.2"/>
    <x v="1"/>
    <n v="59.57"/>
    <n v="47.97"/>
    <n v="11.6"/>
    <n v="1"/>
    <n v="0"/>
    <n v="6"/>
    <n v="3"/>
  </r>
  <r>
    <s v="SW-101611"/>
    <d v="2024-09-24T00:00:00"/>
    <x v="0"/>
    <s v="Q3"/>
    <x v="8"/>
    <x v="0"/>
    <x v="0"/>
    <x v="1"/>
    <x v="4"/>
    <s v="Smart Watch"/>
    <n v="1"/>
    <n v="216.08"/>
    <n v="0.05"/>
    <x v="0"/>
    <n v="205.28"/>
    <n v="174.44"/>
    <n v="30.84"/>
    <n v="1"/>
    <n v="0"/>
    <n v="4"/>
    <n v="4"/>
  </r>
  <r>
    <s v="SW-101612"/>
    <d v="2024-09-24T00:00:00"/>
    <x v="0"/>
    <s v="Q3"/>
    <x v="8"/>
    <x v="0"/>
    <x v="0"/>
    <x v="0"/>
    <x v="4"/>
    <s v="Wireless Earbuds"/>
    <n v="1"/>
    <n v="588.41"/>
    <n v="0.2"/>
    <x v="1"/>
    <n v="470.73"/>
    <n v="487.2"/>
    <n v="-16.47"/>
    <n v="1"/>
    <n v="0"/>
    <n v="6"/>
    <n v="3"/>
  </r>
  <r>
    <s v="SW-101613"/>
    <d v="2024-09-24T00:00:00"/>
    <x v="0"/>
    <s v="Q3"/>
    <x v="8"/>
    <x v="0"/>
    <x v="0"/>
    <x v="0"/>
    <x v="3"/>
    <s v="Dumbbell Set"/>
    <n v="3"/>
    <n v="198.42"/>
    <n v="0.25"/>
    <x v="3"/>
    <n v="446.44"/>
    <n v="431.54"/>
    <n v="14.9"/>
    <n v="1"/>
    <n v="0"/>
    <n v="5"/>
    <n v="5"/>
  </r>
  <r>
    <s v="SW-101614"/>
    <d v="2024-09-24T00:00:00"/>
    <x v="0"/>
    <s v="Q3"/>
    <x v="8"/>
    <x v="0"/>
    <x v="4"/>
    <x v="0"/>
    <x v="3"/>
    <s v="Camping Tent"/>
    <n v="4"/>
    <n v="83.06"/>
    <n v="0"/>
    <x v="2"/>
    <n v="332.24"/>
    <n v="238.02"/>
    <n v="94.22"/>
    <n v="1"/>
    <n v="1"/>
    <n v="6"/>
    <n v="4"/>
  </r>
  <r>
    <s v="SW-101615"/>
    <d v="2024-09-25T00:00:00"/>
    <x v="0"/>
    <s v="Q3"/>
    <x v="8"/>
    <x v="0"/>
    <x v="2"/>
    <x v="0"/>
    <x v="4"/>
    <s v="Power Bank"/>
    <n v="2"/>
    <n v="508.8"/>
    <n v="0.05"/>
    <x v="0"/>
    <n v="966.72"/>
    <n v="830.94"/>
    <n v="135.78"/>
    <n v="1"/>
    <n v="0"/>
    <n v="4"/>
    <n v="4"/>
  </r>
  <r>
    <s v="SW-101616"/>
    <d v="2024-09-25T00:00:00"/>
    <x v="0"/>
    <s v="Q3"/>
    <x v="8"/>
    <x v="0"/>
    <x v="4"/>
    <x v="1"/>
    <x v="2"/>
    <s v="Coffee Maker"/>
    <n v="1"/>
    <n v="148.05000000000001"/>
    <n v="0"/>
    <x v="2"/>
    <n v="148.05000000000001"/>
    <n v="96.32"/>
    <n v="51.73"/>
    <n v="1"/>
    <n v="0"/>
    <n v="5"/>
    <n v="5"/>
  </r>
  <r>
    <s v="SW-101617"/>
    <d v="2024-09-25T00:00:00"/>
    <x v="0"/>
    <s v="Q3"/>
    <x v="8"/>
    <x v="0"/>
    <x v="2"/>
    <x v="1"/>
    <x v="2"/>
    <s v="Storage Boxes"/>
    <n v="2"/>
    <n v="154.66"/>
    <n v="0.1"/>
    <x v="0"/>
    <n v="278.39"/>
    <n v="199.96"/>
    <n v="78.430000000000007"/>
    <n v="1"/>
    <n v="0"/>
    <n v="3"/>
    <n v="4"/>
  </r>
  <r>
    <s v="SW-101618"/>
    <d v="2024-09-25T00:00:00"/>
    <x v="0"/>
    <s v="Q3"/>
    <x v="8"/>
    <x v="1"/>
    <x v="3"/>
    <x v="0"/>
    <x v="4"/>
    <s v="Smart Watch"/>
    <n v="1"/>
    <n v="216.08"/>
    <n v="0.05"/>
    <x v="0"/>
    <n v="205.28"/>
    <n v="161.77000000000001"/>
    <n v="43.51"/>
    <n v="1"/>
    <n v="0"/>
    <n v="2"/>
    <n v="5"/>
  </r>
  <r>
    <s v="SW-101619"/>
    <d v="2024-09-25T00:00:00"/>
    <x v="0"/>
    <s v="Q3"/>
    <x v="8"/>
    <x v="0"/>
    <x v="3"/>
    <x v="1"/>
    <x v="4"/>
    <s v="Bluetooth Speaker"/>
    <n v="1"/>
    <n v="177.65"/>
    <n v="0.05"/>
    <x v="0"/>
    <n v="168.77"/>
    <n v="146.16999999999999"/>
    <n v="22.6"/>
    <n v="1"/>
    <n v="0"/>
    <n v="2"/>
    <n v="4"/>
  </r>
  <r>
    <s v="SW-101620"/>
    <d v="2024-09-25T00:00:00"/>
    <x v="0"/>
    <s v="Q3"/>
    <x v="8"/>
    <x v="1"/>
    <x v="3"/>
    <x v="1"/>
    <x v="2"/>
    <s v="Desk Lamp"/>
    <n v="1"/>
    <n v="117.63"/>
    <n v="0.1"/>
    <x v="0"/>
    <n v="105.87"/>
    <n v="78.56"/>
    <n v="27.31"/>
    <n v="1"/>
    <n v="0"/>
    <n v="2"/>
    <n v="5"/>
  </r>
  <r>
    <s v="SW-101621"/>
    <d v="2024-09-25T00:00:00"/>
    <x v="0"/>
    <s v="Q3"/>
    <x v="8"/>
    <x v="0"/>
    <x v="0"/>
    <x v="0"/>
    <x v="3"/>
    <s v="Camping Tent"/>
    <n v="1"/>
    <n v="83.06"/>
    <n v="0.05"/>
    <x v="0"/>
    <n v="78.91"/>
    <n v="55.87"/>
    <n v="23.04"/>
    <n v="1"/>
    <n v="0"/>
    <n v="4"/>
    <n v="4"/>
  </r>
  <r>
    <s v="SW-101622"/>
    <d v="2024-09-25T00:00:00"/>
    <x v="0"/>
    <s v="Q3"/>
    <x v="8"/>
    <x v="0"/>
    <x v="3"/>
    <x v="0"/>
    <x v="2"/>
    <s v="Cookware Set"/>
    <n v="1"/>
    <n v="233.81"/>
    <n v="0"/>
    <x v="2"/>
    <n v="233.81"/>
    <n v="150.55000000000001"/>
    <n v="83.26"/>
    <n v="1"/>
    <n v="0"/>
    <n v="3"/>
    <n v="4"/>
  </r>
  <r>
    <s v="SW-101623"/>
    <d v="2024-09-25T00:00:00"/>
    <x v="0"/>
    <s v="Q3"/>
    <x v="8"/>
    <x v="0"/>
    <x v="0"/>
    <x v="0"/>
    <x v="0"/>
    <s v="Sunglasses"/>
    <n v="1"/>
    <n v="104.94"/>
    <n v="0.05"/>
    <x v="0"/>
    <n v="99.69"/>
    <n v="56.54"/>
    <n v="43.15"/>
    <n v="1"/>
    <n v="0"/>
    <n v="3"/>
    <n v="5"/>
  </r>
  <r>
    <s v="SW-101624"/>
    <d v="2024-09-25T00:00:00"/>
    <x v="0"/>
    <s v="Q3"/>
    <x v="8"/>
    <x v="1"/>
    <x v="4"/>
    <x v="1"/>
    <x v="3"/>
    <s v="Yoga Mat"/>
    <n v="2"/>
    <n v="137.05000000000001"/>
    <n v="0.2"/>
    <x v="1"/>
    <n v="219.28"/>
    <n v="186.29"/>
    <n v="32.99"/>
    <n v="1"/>
    <n v="0"/>
    <n v="8"/>
    <n v="5"/>
  </r>
  <r>
    <s v="SW-101625"/>
    <d v="2024-09-25T00:00:00"/>
    <x v="0"/>
    <s v="Q3"/>
    <x v="8"/>
    <x v="1"/>
    <x v="0"/>
    <x v="1"/>
    <x v="5"/>
    <s v="Board Game"/>
    <n v="2"/>
    <n v="57.92"/>
    <n v="0"/>
    <x v="2"/>
    <n v="115.84"/>
    <n v="78.75"/>
    <n v="37.090000000000003"/>
    <n v="1"/>
    <n v="0"/>
    <n v="6"/>
    <n v="3"/>
  </r>
  <r>
    <s v="SW-101626"/>
    <d v="2024-09-26T00:00:00"/>
    <x v="0"/>
    <s v="Q3"/>
    <x v="8"/>
    <x v="0"/>
    <x v="3"/>
    <x v="1"/>
    <x v="4"/>
    <s v="Smart Watch"/>
    <n v="1"/>
    <n v="216.08"/>
    <n v="0"/>
    <x v="2"/>
    <n v="216.08"/>
    <n v="174.45"/>
    <n v="41.63"/>
    <n v="1"/>
    <n v="0"/>
    <n v="2"/>
    <n v="4"/>
  </r>
  <r>
    <s v="SW-101627"/>
    <d v="2024-09-26T00:00:00"/>
    <x v="0"/>
    <s v="Q3"/>
    <x v="8"/>
    <x v="2"/>
    <x v="3"/>
    <x v="1"/>
    <x v="0"/>
    <s v="Cotton T-Shirt"/>
    <n v="1"/>
    <n v="19.41"/>
    <n v="0.05"/>
    <x v="0"/>
    <n v="18.440000000000001"/>
    <n v="10.47"/>
    <n v="7.97"/>
    <n v="1"/>
    <n v="1"/>
    <n v="3"/>
    <n v="2"/>
  </r>
  <r>
    <s v="SW-101628"/>
    <d v="2024-09-26T00:00:00"/>
    <x v="0"/>
    <s v="Q3"/>
    <x v="8"/>
    <x v="0"/>
    <x v="2"/>
    <x v="0"/>
    <x v="5"/>
    <s v="Kids Puzzle"/>
    <n v="1"/>
    <n v="16.97"/>
    <n v="0.1"/>
    <x v="0"/>
    <n v="15.27"/>
    <n v="12.03"/>
    <n v="3.24"/>
    <n v="1"/>
    <n v="0"/>
    <n v="4"/>
    <n v="4"/>
  </r>
  <r>
    <s v="SW-101629"/>
    <d v="2024-09-26T00:00:00"/>
    <x v="0"/>
    <s v="Q3"/>
    <x v="8"/>
    <x v="0"/>
    <x v="0"/>
    <x v="0"/>
    <x v="0"/>
    <s v="Leather Handbag"/>
    <n v="2"/>
    <n v="138.5"/>
    <n v="0.05"/>
    <x v="0"/>
    <n v="263.14999999999998"/>
    <n v="144.28"/>
    <n v="118.87"/>
    <n v="1"/>
    <n v="1"/>
    <n v="3"/>
    <n v="3"/>
  </r>
  <r>
    <s v="SW-101630"/>
    <d v="2024-09-26T00:00:00"/>
    <x v="0"/>
    <s v="Q3"/>
    <x v="8"/>
    <x v="0"/>
    <x v="0"/>
    <x v="1"/>
    <x v="0"/>
    <s v="Cotton T-Shirt"/>
    <n v="1"/>
    <n v="19.41"/>
    <n v="0"/>
    <x v="2"/>
    <n v="19.41"/>
    <n v="10.56"/>
    <n v="8.85"/>
    <n v="1"/>
    <n v="0"/>
    <n v="3"/>
    <n v="4"/>
  </r>
  <r>
    <s v="SW-101631"/>
    <d v="2024-09-27T00:00:00"/>
    <x v="0"/>
    <s v="Q3"/>
    <x v="8"/>
    <x v="0"/>
    <x v="2"/>
    <x v="0"/>
    <x v="4"/>
    <s v="Smart Watch"/>
    <n v="1"/>
    <n v="216.08"/>
    <n v="0"/>
    <x v="2"/>
    <n v="216.08"/>
    <n v="173.7"/>
    <n v="42.38"/>
    <n v="1"/>
    <n v="1"/>
    <n v="5"/>
    <n v="4"/>
  </r>
  <r>
    <s v="SW-101632"/>
    <d v="2024-09-27T00:00:00"/>
    <x v="0"/>
    <s v="Q3"/>
    <x v="8"/>
    <x v="0"/>
    <x v="2"/>
    <x v="1"/>
    <x v="4"/>
    <s v="Bluetooth Speaker"/>
    <n v="2"/>
    <n v="177.65"/>
    <n v="0.25"/>
    <x v="3"/>
    <n v="266.48"/>
    <n v="294.89999999999998"/>
    <n v="-28.42"/>
    <n v="1"/>
    <n v="0"/>
    <n v="4"/>
    <n v="4"/>
  </r>
  <r>
    <s v="SW-101633"/>
    <d v="2024-09-27T00:00:00"/>
    <x v="0"/>
    <s v="Q3"/>
    <x v="8"/>
    <x v="0"/>
    <x v="4"/>
    <x v="0"/>
    <x v="0"/>
    <s v="Denim Jacket"/>
    <n v="1"/>
    <n v="78.510000000000005"/>
    <n v="0.05"/>
    <x v="0"/>
    <n v="74.58"/>
    <n v="44.39"/>
    <n v="30.19"/>
    <n v="1"/>
    <n v="1"/>
    <n v="8"/>
    <n v="1"/>
  </r>
  <r>
    <s v="SW-101634"/>
    <d v="2024-09-27T00:00:00"/>
    <x v="0"/>
    <s v="Q3"/>
    <x v="8"/>
    <x v="0"/>
    <x v="0"/>
    <x v="1"/>
    <x v="5"/>
    <s v="Building Blocks"/>
    <n v="1"/>
    <n v="48.86"/>
    <n v="0.05"/>
    <x v="0"/>
    <n v="46.42"/>
    <n v="35.67"/>
    <n v="10.75"/>
    <n v="1"/>
    <n v="0"/>
    <n v="5"/>
    <n v="4"/>
  </r>
  <r>
    <s v="SW-101635"/>
    <d v="2024-09-27T00:00:00"/>
    <x v="0"/>
    <s v="Q3"/>
    <x v="8"/>
    <x v="0"/>
    <x v="1"/>
    <x v="0"/>
    <x v="4"/>
    <s v="Power Bank"/>
    <n v="1"/>
    <n v="508.8"/>
    <n v="0"/>
    <x v="2"/>
    <n v="508.8"/>
    <n v="405.93"/>
    <n v="102.87"/>
    <n v="1"/>
    <n v="0"/>
    <n v="5"/>
    <n v="5"/>
  </r>
  <r>
    <s v="SW-101636"/>
    <d v="2024-09-27T00:00:00"/>
    <x v="0"/>
    <s v="Q3"/>
    <x v="8"/>
    <x v="1"/>
    <x v="2"/>
    <x v="1"/>
    <x v="3"/>
    <s v="Cycling Helmet"/>
    <n v="2"/>
    <n v="85.42"/>
    <n v="0.1"/>
    <x v="0"/>
    <n v="153.76"/>
    <n v="112.22"/>
    <n v="41.54"/>
    <n v="1"/>
    <n v="0"/>
    <n v="4"/>
    <n v="5"/>
  </r>
  <r>
    <s v="SW-101637"/>
    <d v="2024-09-28T00:00:00"/>
    <x v="0"/>
    <s v="Q3"/>
    <x v="8"/>
    <x v="0"/>
    <x v="3"/>
    <x v="1"/>
    <x v="4"/>
    <s v="Smart Watch"/>
    <n v="1"/>
    <n v="216.08"/>
    <n v="0.1"/>
    <x v="0"/>
    <n v="194.47"/>
    <n v="154.59"/>
    <n v="39.880000000000003"/>
    <n v="1"/>
    <n v="0"/>
    <n v="2"/>
    <n v="4"/>
  </r>
  <r>
    <s v="SW-101638"/>
    <d v="2024-09-28T00:00:00"/>
    <x v="0"/>
    <s v="Q3"/>
    <x v="8"/>
    <x v="0"/>
    <x v="3"/>
    <x v="0"/>
    <x v="2"/>
    <s v="Coffee Maker"/>
    <n v="1"/>
    <n v="148.05000000000001"/>
    <n v="0.15"/>
    <x v="1"/>
    <n v="125.84"/>
    <n v="98.3"/>
    <n v="27.54"/>
    <n v="1"/>
    <n v="0"/>
    <n v="4"/>
    <n v="5"/>
  </r>
  <r>
    <s v="SW-101639"/>
    <d v="2024-09-28T00:00:00"/>
    <x v="0"/>
    <s v="Q3"/>
    <x v="8"/>
    <x v="1"/>
    <x v="4"/>
    <x v="0"/>
    <x v="5"/>
    <s v="Board Game"/>
    <n v="1"/>
    <n v="57.92"/>
    <n v="0.05"/>
    <x v="0"/>
    <n v="55.02"/>
    <n v="42.22"/>
    <n v="12.8"/>
    <n v="1"/>
    <n v="0"/>
    <n v="6"/>
    <n v="3"/>
  </r>
  <r>
    <s v="SW-101640"/>
    <d v="2024-09-28T00:00:00"/>
    <x v="0"/>
    <s v="Q3"/>
    <x v="8"/>
    <x v="2"/>
    <x v="0"/>
    <x v="1"/>
    <x v="1"/>
    <s v="Hair Dryer"/>
    <n v="2"/>
    <n v="33.18"/>
    <n v="0.25"/>
    <x v="3"/>
    <n v="49.77"/>
    <n v="32.130000000000003"/>
    <n v="17.64"/>
    <n v="1"/>
    <n v="0"/>
    <n v="3"/>
    <n v="3"/>
  </r>
  <r>
    <s v="SW-101641"/>
    <d v="2024-09-28T00:00:00"/>
    <x v="0"/>
    <s v="Q3"/>
    <x v="8"/>
    <x v="1"/>
    <x v="0"/>
    <x v="1"/>
    <x v="1"/>
    <s v="Hair Dryer"/>
    <n v="1"/>
    <n v="33.18"/>
    <n v="0"/>
    <x v="2"/>
    <n v="33.18"/>
    <n v="16.579999999999998"/>
    <n v="16.600000000000001"/>
    <n v="1"/>
    <n v="0"/>
    <n v="4"/>
    <n v="4"/>
  </r>
  <r>
    <s v="SW-101642"/>
    <d v="2024-09-28T00:00:00"/>
    <x v="0"/>
    <s v="Q3"/>
    <x v="8"/>
    <x v="0"/>
    <x v="3"/>
    <x v="1"/>
    <x v="4"/>
    <s v="Smart Watch"/>
    <n v="1"/>
    <n v="216.08"/>
    <n v="0"/>
    <x v="2"/>
    <n v="216.08"/>
    <n v="173.69"/>
    <n v="42.39"/>
    <n v="1"/>
    <n v="0"/>
    <n v="3"/>
    <n v="4"/>
  </r>
  <r>
    <s v="SW-101643"/>
    <d v="2024-09-28T00:00:00"/>
    <x v="0"/>
    <s v="Q3"/>
    <x v="8"/>
    <x v="0"/>
    <x v="2"/>
    <x v="1"/>
    <x v="3"/>
    <s v="Cycling Helmet"/>
    <n v="2"/>
    <n v="85.42"/>
    <n v="0"/>
    <x v="2"/>
    <n v="170.84"/>
    <n v="117.11"/>
    <n v="53.73"/>
    <n v="1"/>
    <n v="0"/>
    <n v="5"/>
    <n v="4"/>
  </r>
  <r>
    <s v="SW-101644"/>
    <d v="2024-09-28T00:00:00"/>
    <x v="0"/>
    <s v="Q3"/>
    <x v="8"/>
    <x v="0"/>
    <x v="2"/>
    <x v="1"/>
    <x v="0"/>
    <s v="Leather Handbag"/>
    <n v="2"/>
    <n v="138.5"/>
    <n v="0.05"/>
    <x v="0"/>
    <n v="263.14999999999998"/>
    <n v="153.38999999999999"/>
    <n v="109.76"/>
    <n v="1"/>
    <n v="0"/>
    <n v="3"/>
    <n v="4"/>
  </r>
  <r>
    <s v="SW-101645"/>
    <d v="2024-09-29T00:00:00"/>
    <x v="0"/>
    <s v="Q3"/>
    <x v="8"/>
    <x v="0"/>
    <x v="2"/>
    <x v="1"/>
    <x v="1"/>
    <s v="Makeup Kit"/>
    <n v="3"/>
    <n v="74.3"/>
    <n v="0.1"/>
    <x v="0"/>
    <n v="200.61"/>
    <n v="101.89"/>
    <n v="98.72"/>
    <n v="1"/>
    <n v="0"/>
    <n v="5"/>
    <n v="5"/>
  </r>
  <r>
    <s v="SW-101646"/>
    <d v="2024-09-29T00:00:00"/>
    <x v="0"/>
    <s v="Q3"/>
    <x v="8"/>
    <x v="2"/>
    <x v="0"/>
    <x v="0"/>
    <x v="1"/>
    <s v="Perfume 100ml"/>
    <n v="1"/>
    <n v="54.56"/>
    <n v="0.05"/>
    <x v="0"/>
    <n v="51.83"/>
    <n v="26.84"/>
    <n v="24.99"/>
    <n v="1"/>
    <n v="0"/>
    <n v="3"/>
    <n v="5"/>
  </r>
  <r>
    <s v="SW-101647"/>
    <d v="2024-09-29T00:00:00"/>
    <x v="0"/>
    <s v="Q3"/>
    <x v="8"/>
    <x v="0"/>
    <x v="2"/>
    <x v="1"/>
    <x v="0"/>
    <s v="Summer Dress"/>
    <n v="1"/>
    <n v="33.99"/>
    <n v="0"/>
    <x v="2"/>
    <n v="33.99"/>
    <n v="17.95"/>
    <n v="16.04"/>
    <n v="1"/>
    <n v="0"/>
    <n v="5"/>
    <n v="5"/>
  </r>
  <r>
    <s v="SW-101648"/>
    <d v="2024-09-29T00:00:00"/>
    <x v="0"/>
    <s v="Q3"/>
    <x v="8"/>
    <x v="0"/>
    <x v="3"/>
    <x v="1"/>
    <x v="5"/>
    <s v="Bestseller Novel"/>
    <n v="2"/>
    <n v="45.28"/>
    <n v="0.25"/>
    <x v="3"/>
    <n v="67.92"/>
    <n v="64.739999999999995"/>
    <n v="3.18"/>
    <n v="1"/>
    <n v="0"/>
    <n v="4"/>
    <n v="4"/>
  </r>
  <r>
    <s v="SW-101649"/>
    <d v="2024-09-30T00:00:00"/>
    <x v="0"/>
    <s v="Q3"/>
    <x v="8"/>
    <x v="0"/>
    <x v="2"/>
    <x v="1"/>
    <x v="3"/>
    <s v="Cycling Helmet"/>
    <n v="3"/>
    <n v="85.42"/>
    <n v="0"/>
    <x v="2"/>
    <n v="256.26"/>
    <n v="166.51"/>
    <n v="89.75"/>
    <n v="1"/>
    <n v="0"/>
    <n v="3"/>
    <n v="4"/>
  </r>
  <r>
    <s v="SW-101650"/>
    <d v="2024-09-30T00:00:00"/>
    <x v="0"/>
    <s v="Q3"/>
    <x v="8"/>
    <x v="0"/>
    <x v="4"/>
    <x v="1"/>
    <x v="4"/>
    <s v="Smart Watch"/>
    <n v="1"/>
    <n v="216.08"/>
    <n v="0"/>
    <x v="2"/>
    <n v="216.08"/>
    <n v="177.76"/>
    <n v="38.32"/>
    <n v="1"/>
    <n v="0"/>
    <n v="6"/>
    <n v="4"/>
  </r>
  <r>
    <s v="SW-101651"/>
    <d v="2024-09-30T00:00:00"/>
    <x v="0"/>
    <s v="Q3"/>
    <x v="8"/>
    <x v="1"/>
    <x v="1"/>
    <x v="0"/>
    <x v="2"/>
    <s v="Bed Sheet Set"/>
    <n v="2"/>
    <n v="90.75"/>
    <n v="0"/>
    <x v="2"/>
    <n v="181.5"/>
    <n v="116.62"/>
    <n v="64.88"/>
    <n v="1"/>
    <n v="0"/>
    <n v="6"/>
    <n v="3"/>
  </r>
  <r>
    <s v="SW-101652"/>
    <d v="2024-10-01T00:00:00"/>
    <x v="0"/>
    <s v="Q4"/>
    <x v="9"/>
    <x v="2"/>
    <x v="0"/>
    <x v="1"/>
    <x v="0"/>
    <s v="Running Sneakers"/>
    <n v="1"/>
    <n v="94.85"/>
    <n v="0"/>
    <x v="2"/>
    <n v="94.85"/>
    <n v="52.12"/>
    <n v="42.73"/>
    <n v="1"/>
    <n v="0"/>
    <n v="5"/>
    <n v="4"/>
  </r>
  <r>
    <s v="SW-101653"/>
    <d v="2024-10-02T00:00:00"/>
    <x v="0"/>
    <s v="Q4"/>
    <x v="9"/>
    <x v="0"/>
    <x v="4"/>
    <x v="1"/>
    <x v="4"/>
    <s v="Wireless Earbuds"/>
    <n v="1"/>
    <n v="588.41"/>
    <n v="0.1"/>
    <x v="0"/>
    <n v="529.57000000000005"/>
    <n v="469.78"/>
    <n v="59.79"/>
    <n v="1"/>
    <n v="0"/>
    <n v="6"/>
    <n v="4"/>
  </r>
  <r>
    <s v="SW-101654"/>
    <d v="2024-10-02T00:00:00"/>
    <x v="0"/>
    <s v="Q4"/>
    <x v="9"/>
    <x v="0"/>
    <x v="2"/>
    <x v="1"/>
    <x v="4"/>
    <s v="4K Action Camera"/>
    <n v="1"/>
    <n v="636.09"/>
    <n v="0.15"/>
    <x v="1"/>
    <n v="540.67999999999995"/>
    <n v="511.57"/>
    <n v="29.11"/>
    <n v="1"/>
    <n v="0"/>
    <n v="4"/>
    <n v="4"/>
  </r>
  <r>
    <s v="SW-101655"/>
    <d v="2024-10-02T00:00:00"/>
    <x v="0"/>
    <s v="Q4"/>
    <x v="9"/>
    <x v="0"/>
    <x v="0"/>
    <x v="0"/>
    <x v="2"/>
    <s v="Bed Sheet Set"/>
    <n v="1"/>
    <n v="90.75"/>
    <n v="0"/>
    <x v="2"/>
    <n v="90.75"/>
    <n v="59.15"/>
    <n v="31.6"/>
    <n v="1"/>
    <n v="0"/>
    <n v="3"/>
    <n v="5"/>
  </r>
  <r>
    <s v="SW-101656"/>
    <d v="2024-10-02T00:00:00"/>
    <x v="0"/>
    <s v="Q4"/>
    <x v="9"/>
    <x v="2"/>
    <x v="2"/>
    <x v="0"/>
    <x v="1"/>
    <s v="Perfume 100ml"/>
    <n v="1"/>
    <n v="54.56"/>
    <n v="0"/>
    <x v="2"/>
    <n v="54.56"/>
    <n v="26.5"/>
    <n v="28.06"/>
    <n v="1"/>
    <n v="0"/>
    <n v="3"/>
    <n v="4"/>
  </r>
  <r>
    <s v="SW-101657"/>
    <d v="2024-10-02T00:00:00"/>
    <x v="0"/>
    <s v="Q4"/>
    <x v="9"/>
    <x v="0"/>
    <x v="2"/>
    <x v="1"/>
    <x v="2"/>
    <s v="Coffee Maker"/>
    <n v="2"/>
    <n v="148.05000000000001"/>
    <n v="0"/>
    <x v="2"/>
    <n v="296.10000000000002"/>
    <n v="202.3"/>
    <n v="93.8"/>
    <n v="1"/>
    <n v="1"/>
    <n v="4"/>
    <n v="3"/>
  </r>
  <r>
    <s v="SW-101658"/>
    <d v="2024-10-02T00:00:00"/>
    <x v="0"/>
    <s v="Q4"/>
    <x v="9"/>
    <x v="0"/>
    <x v="2"/>
    <x v="1"/>
    <x v="0"/>
    <s v="Summer Dress"/>
    <n v="1"/>
    <n v="33.99"/>
    <n v="0.1"/>
    <x v="0"/>
    <n v="30.59"/>
    <n v="17.670000000000002"/>
    <n v="12.92"/>
    <n v="1"/>
    <n v="1"/>
    <n v="3"/>
    <n v="4"/>
  </r>
  <r>
    <s v="SW-101659"/>
    <d v="2024-10-02T00:00:00"/>
    <x v="0"/>
    <s v="Q4"/>
    <x v="9"/>
    <x v="0"/>
    <x v="0"/>
    <x v="0"/>
    <x v="0"/>
    <s v="Denim Jacket"/>
    <n v="1"/>
    <n v="78.510000000000005"/>
    <n v="0.1"/>
    <x v="0"/>
    <n v="70.66"/>
    <n v="40.74"/>
    <n v="29.92"/>
    <n v="1"/>
    <n v="0"/>
    <n v="4"/>
    <n v="5"/>
  </r>
  <r>
    <s v="SW-101660"/>
    <d v="2024-10-03T00:00:00"/>
    <x v="0"/>
    <s v="Q4"/>
    <x v="9"/>
    <x v="2"/>
    <x v="4"/>
    <x v="1"/>
    <x v="2"/>
    <s v="Coffee Maker"/>
    <n v="1"/>
    <n v="148.05000000000001"/>
    <n v="0.25"/>
    <x v="3"/>
    <n v="111.04"/>
    <n v="104.75"/>
    <n v="6.29"/>
    <n v="1"/>
    <n v="0"/>
    <n v="6"/>
    <n v="3"/>
  </r>
  <r>
    <s v="SW-101661"/>
    <d v="2024-10-03T00:00:00"/>
    <x v="0"/>
    <s v="Q4"/>
    <x v="9"/>
    <x v="1"/>
    <x v="3"/>
    <x v="0"/>
    <x v="4"/>
    <s v="Power Bank"/>
    <n v="3"/>
    <n v="508.8"/>
    <n v="0.2"/>
    <x v="1"/>
    <n v="1221.1199999999999"/>
    <n v="1204.3499999999999"/>
    <n v="16.77"/>
    <n v="1"/>
    <n v="0"/>
    <n v="2"/>
    <n v="5"/>
  </r>
  <r>
    <s v="SW-101662"/>
    <d v="2024-10-03T00:00:00"/>
    <x v="0"/>
    <s v="Q4"/>
    <x v="9"/>
    <x v="0"/>
    <x v="0"/>
    <x v="1"/>
    <x v="2"/>
    <s v="Desk Lamp"/>
    <n v="1"/>
    <n v="117.63"/>
    <n v="0.05"/>
    <x v="0"/>
    <n v="111.75"/>
    <n v="80.099999999999994"/>
    <n v="31.65"/>
    <n v="1"/>
    <n v="0"/>
    <n v="4"/>
    <n v="5"/>
  </r>
  <r>
    <s v="SW-101663"/>
    <d v="2024-10-03T00:00:00"/>
    <x v="0"/>
    <s v="Q4"/>
    <x v="9"/>
    <x v="0"/>
    <x v="0"/>
    <x v="0"/>
    <x v="4"/>
    <s v="4K Action Camera"/>
    <n v="1"/>
    <n v="636.09"/>
    <n v="0.1"/>
    <x v="0"/>
    <n v="572.48"/>
    <n v="508.99"/>
    <n v="63.49"/>
    <n v="1"/>
    <n v="0"/>
    <n v="3"/>
    <n v="3"/>
  </r>
  <r>
    <s v="SW-101664"/>
    <d v="2024-10-03T00:00:00"/>
    <x v="0"/>
    <s v="Q4"/>
    <x v="9"/>
    <x v="1"/>
    <x v="2"/>
    <x v="1"/>
    <x v="1"/>
    <s v="Hair Dryer"/>
    <n v="1"/>
    <n v="33.18"/>
    <n v="0.05"/>
    <x v="0"/>
    <n v="31.52"/>
    <n v="15.4"/>
    <n v="16.12"/>
    <n v="1"/>
    <n v="1"/>
    <n v="4"/>
    <n v="3"/>
  </r>
  <r>
    <s v="SW-101665"/>
    <d v="2024-10-03T00:00:00"/>
    <x v="0"/>
    <s v="Q4"/>
    <x v="9"/>
    <x v="1"/>
    <x v="2"/>
    <x v="1"/>
    <x v="3"/>
    <s v="Dumbbell Set"/>
    <n v="1"/>
    <n v="198.42"/>
    <n v="0.1"/>
    <x v="0"/>
    <n v="178.58"/>
    <n v="138.66"/>
    <n v="39.92"/>
    <n v="1"/>
    <n v="0"/>
    <n v="3"/>
    <n v="4"/>
  </r>
  <r>
    <s v="SW-101666"/>
    <d v="2024-10-03T00:00:00"/>
    <x v="0"/>
    <s v="Q4"/>
    <x v="9"/>
    <x v="1"/>
    <x v="2"/>
    <x v="1"/>
    <x v="5"/>
    <s v="Kids Puzzle"/>
    <n v="3"/>
    <n v="16.97"/>
    <n v="0"/>
    <x v="2"/>
    <n v="50.91"/>
    <n v="39.21"/>
    <n v="11.7"/>
    <n v="1"/>
    <n v="0"/>
    <n v="4"/>
    <n v="4"/>
  </r>
  <r>
    <s v="SW-101667"/>
    <d v="2024-10-03T00:00:00"/>
    <x v="0"/>
    <s v="Q4"/>
    <x v="9"/>
    <x v="2"/>
    <x v="2"/>
    <x v="0"/>
    <x v="4"/>
    <s v="Power Bank"/>
    <n v="2"/>
    <n v="508.8"/>
    <n v="0.1"/>
    <x v="0"/>
    <n v="915.84"/>
    <n v="817.98"/>
    <n v="97.86"/>
    <n v="1"/>
    <n v="0"/>
    <n v="4"/>
    <n v="4"/>
  </r>
  <r>
    <s v="SW-101668"/>
    <d v="2024-10-03T00:00:00"/>
    <x v="0"/>
    <s v="Q4"/>
    <x v="9"/>
    <x v="0"/>
    <x v="3"/>
    <x v="0"/>
    <x v="3"/>
    <s v="Yoga Mat"/>
    <n v="1"/>
    <n v="137.05000000000001"/>
    <n v="0.1"/>
    <x v="0"/>
    <n v="123.35"/>
    <n v="97.91"/>
    <n v="25.44"/>
    <n v="1"/>
    <n v="0"/>
    <n v="2"/>
    <n v="4"/>
  </r>
  <r>
    <s v="SW-101669"/>
    <d v="2024-10-04T00:00:00"/>
    <x v="0"/>
    <s v="Q4"/>
    <x v="9"/>
    <x v="1"/>
    <x v="2"/>
    <x v="0"/>
    <x v="3"/>
    <s v="Cycling Helmet"/>
    <n v="1"/>
    <n v="85.42"/>
    <n v="0.3"/>
    <x v="3"/>
    <n v="59.79"/>
    <n v="57.58"/>
    <n v="2.21"/>
    <n v="1"/>
    <n v="0"/>
    <n v="3"/>
    <n v="3"/>
  </r>
  <r>
    <s v="SW-101670"/>
    <d v="2024-10-04T00:00:00"/>
    <x v="0"/>
    <s v="Q4"/>
    <x v="9"/>
    <x v="2"/>
    <x v="3"/>
    <x v="0"/>
    <x v="0"/>
    <s v="Leather Handbag"/>
    <n v="1"/>
    <n v="138.5"/>
    <n v="0.3"/>
    <x v="3"/>
    <n v="96.95"/>
    <n v="76.14"/>
    <n v="20.81"/>
    <n v="1"/>
    <n v="0"/>
    <n v="3"/>
    <n v="5"/>
  </r>
  <r>
    <s v="SW-101671"/>
    <d v="2024-10-04T00:00:00"/>
    <x v="0"/>
    <s v="Q4"/>
    <x v="9"/>
    <x v="1"/>
    <x v="0"/>
    <x v="0"/>
    <x v="2"/>
    <s v="Air Fryer"/>
    <n v="1"/>
    <n v="68.349999999999994"/>
    <n v="0.25"/>
    <x v="3"/>
    <n v="51.26"/>
    <n v="46.01"/>
    <n v="5.25"/>
    <n v="1"/>
    <n v="0"/>
    <n v="3"/>
    <n v="5"/>
  </r>
  <r>
    <s v="SW-101672"/>
    <d v="2024-10-04T00:00:00"/>
    <x v="0"/>
    <s v="Q4"/>
    <x v="9"/>
    <x v="1"/>
    <x v="1"/>
    <x v="0"/>
    <x v="5"/>
    <s v="Kids Puzzle"/>
    <n v="1"/>
    <n v="16.97"/>
    <n v="0"/>
    <x v="2"/>
    <n v="16.97"/>
    <n v="11.83"/>
    <n v="5.14"/>
    <n v="1"/>
    <n v="0"/>
    <n v="5"/>
    <n v="5"/>
  </r>
  <r>
    <s v="SW-101673"/>
    <d v="2024-10-04T00:00:00"/>
    <x v="0"/>
    <s v="Q4"/>
    <x v="9"/>
    <x v="2"/>
    <x v="2"/>
    <x v="1"/>
    <x v="3"/>
    <s v="Camping Tent"/>
    <n v="2"/>
    <n v="83.06"/>
    <n v="0.1"/>
    <x v="0"/>
    <n v="149.51"/>
    <n v="107.89"/>
    <n v="41.62"/>
    <n v="1"/>
    <n v="0"/>
    <n v="3"/>
    <n v="5"/>
  </r>
  <r>
    <s v="SW-101674"/>
    <d v="2024-10-05T00:00:00"/>
    <x v="0"/>
    <s v="Q4"/>
    <x v="9"/>
    <x v="0"/>
    <x v="2"/>
    <x v="1"/>
    <x v="4"/>
    <s v="Bluetooth Speaker"/>
    <n v="2"/>
    <n v="177.65"/>
    <n v="0.2"/>
    <x v="1"/>
    <n v="284.24"/>
    <n v="291.16000000000003"/>
    <n v="-6.92"/>
    <n v="1"/>
    <n v="1"/>
    <n v="4"/>
    <n v="4"/>
  </r>
  <r>
    <s v="SW-101675"/>
    <d v="2024-10-05T00:00:00"/>
    <x v="0"/>
    <s v="Q4"/>
    <x v="9"/>
    <x v="0"/>
    <x v="0"/>
    <x v="1"/>
    <x v="0"/>
    <s v="Cotton T-Shirt"/>
    <n v="2"/>
    <n v="19.41"/>
    <n v="0.05"/>
    <x v="0"/>
    <n v="36.880000000000003"/>
    <n v="20.190000000000001"/>
    <n v="16.690000000000001"/>
    <n v="1"/>
    <n v="1"/>
    <n v="3"/>
    <n v="3"/>
  </r>
  <r>
    <s v="SW-101676"/>
    <d v="2024-10-05T00:00:00"/>
    <x v="0"/>
    <s v="Q4"/>
    <x v="9"/>
    <x v="2"/>
    <x v="0"/>
    <x v="1"/>
    <x v="0"/>
    <s v="Cotton T-Shirt"/>
    <n v="2"/>
    <n v="19.41"/>
    <n v="0"/>
    <x v="2"/>
    <n v="38.82"/>
    <n v="21.1"/>
    <n v="17.72"/>
    <n v="1"/>
    <n v="0"/>
    <n v="3"/>
    <n v="4"/>
  </r>
  <r>
    <s v="SW-101677"/>
    <d v="2024-10-05T00:00:00"/>
    <x v="0"/>
    <s v="Q4"/>
    <x v="9"/>
    <x v="2"/>
    <x v="3"/>
    <x v="1"/>
    <x v="2"/>
    <s v="Bed Sheet Set"/>
    <n v="1"/>
    <n v="90.75"/>
    <n v="0"/>
    <x v="2"/>
    <n v="90.75"/>
    <n v="57.44"/>
    <n v="33.31"/>
    <n v="1"/>
    <n v="0"/>
    <n v="2"/>
    <n v="3"/>
  </r>
  <r>
    <s v="SW-101678"/>
    <d v="2024-10-05T00:00:00"/>
    <x v="0"/>
    <s v="Q4"/>
    <x v="9"/>
    <x v="2"/>
    <x v="2"/>
    <x v="0"/>
    <x v="0"/>
    <s v="Leather Handbag"/>
    <n v="1"/>
    <n v="138.5"/>
    <n v="0.2"/>
    <x v="1"/>
    <n v="110.8"/>
    <n v="72.55"/>
    <n v="38.25"/>
    <n v="1"/>
    <n v="1"/>
    <n v="5"/>
    <n v="3"/>
  </r>
  <r>
    <s v="SW-101679"/>
    <d v="2024-10-05T00:00:00"/>
    <x v="0"/>
    <s v="Q4"/>
    <x v="9"/>
    <x v="0"/>
    <x v="0"/>
    <x v="1"/>
    <x v="1"/>
    <s v="Makeup Kit"/>
    <n v="2"/>
    <n v="74.3"/>
    <n v="0"/>
    <x v="2"/>
    <n v="148.6"/>
    <n v="71.83"/>
    <n v="76.77"/>
    <n v="1"/>
    <n v="0"/>
    <n v="3"/>
    <n v="5"/>
  </r>
  <r>
    <s v="SW-101680"/>
    <d v="2024-10-05T00:00:00"/>
    <x v="0"/>
    <s v="Q4"/>
    <x v="9"/>
    <x v="1"/>
    <x v="3"/>
    <x v="1"/>
    <x v="1"/>
    <s v="Hair Dryer"/>
    <n v="1"/>
    <n v="33.18"/>
    <n v="0.2"/>
    <x v="1"/>
    <n v="26.54"/>
    <n v="15.64"/>
    <n v="10.9"/>
    <n v="1"/>
    <n v="0"/>
    <n v="3"/>
    <n v="5"/>
  </r>
  <r>
    <s v="SW-101681"/>
    <d v="2024-10-05T00:00:00"/>
    <x v="0"/>
    <s v="Q4"/>
    <x v="9"/>
    <x v="2"/>
    <x v="0"/>
    <x v="0"/>
    <x v="4"/>
    <s v="Wireless Earbuds"/>
    <n v="1"/>
    <n v="588.41"/>
    <n v="0.1"/>
    <x v="0"/>
    <n v="529.57000000000005"/>
    <n v="494.93"/>
    <n v="34.64"/>
    <n v="1"/>
    <n v="0"/>
    <n v="3"/>
    <n v="5"/>
  </r>
  <r>
    <s v="SW-101682"/>
    <d v="2024-10-05T00:00:00"/>
    <x v="0"/>
    <s v="Q4"/>
    <x v="9"/>
    <x v="0"/>
    <x v="4"/>
    <x v="0"/>
    <x v="0"/>
    <s v="Denim Jacket"/>
    <n v="1"/>
    <n v="78.510000000000005"/>
    <n v="0.05"/>
    <x v="0"/>
    <n v="74.58"/>
    <n v="41.46"/>
    <n v="33.119999999999997"/>
    <n v="1"/>
    <n v="0"/>
    <n v="6"/>
    <n v="3"/>
  </r>
  <r>
    <s v="SW-101683"/>
    <d v="2024-10-05T00:00:00"/>
    <x v="0"/>
    <s v="Q4"/>
    <x v="9"/>
    <x v="0"/>
    <x v="1"/>
    <x v="1"/>
    <x v="0"/>
    <s v="Running Sneakers"/>
    <n v="1"/>
    <n v="94.85"/>
    <n v="0.15"/>
    <x v="1"/>
    <n v="80.62"/>
    <n v="51.63"/>
    <n v="28.99"/>
    <n v="1"/>
    <n v="0"/>
    <n v="6"/>
    <n v="2"/>
  </r>
  <r>
    <s v="SW-101684"/>
    <d v="2024-10-06T00:00:00"/>
    <x v="0"/>
    <s v="Q4"/>
    <x v="9"/>
    <x v="0"/>
    <x v="0"/>
    <x v="1"/>
    <x v="3"/>
    <s v="Fitness Tracker"/>
    <n v="1"/>
    <n v="74.459999999999994"/>
    <n v="0.15"/>
    <x v="1"/>
    <n v="63.29"/>
    <n v="50.96"/>
    <n v="12.33"/>
    <n v="1"/>
    <n v="0"/>
    <n v="6"/>
    <n v="3"/>
  </r>
  <r>
    <s v="SW-101685"/>
    <d v="2024-10-06T00:00:00"/>
    <x v="0"/>
    <s v="Q4"/>
    <x v="9"/>
    <x v="1"/>
    <x v="2"/>
    <x v="1"/>
    <x v="4"/>
    <s v="Power Bank"/>
    <n v="1"/>
    <n v="508.8"/>
    <n v="0.15"/>
    <x v="1"/>
    <n v="432.48"/>
    <n v="405.29"/>
    <n v="27.19"/>
    <n v="1"/>
    <n v="0"/>
    <n v="4"/>
    <n v="5"/>
  </r>
  <r>
    <s v="SW-101686"/>
    <d v="2024-10-06T00:00:00"/>
    <x v="0"/>
    <s v="Q4"/>
    <x v="9"/>
    <x v="0"/>
    <x v="0"/>
    <x v="1"/>
    <x v="3"/>
    <s v="Dumbbell Set"/>
    <n v="3"/>
    <n v="198.42"/>
    <n v="0.15"/>
    <x v="1"/>
    <n v="505.97"/>
    <n v="413.44"/>
    <n v="92.53"/>
    <n v="1"/>
    <n v="1"/>
    <n v="5"/>
    <n v="3"/>
  </r>
  <r>
    <s v="SW-101687"/>
    <d v="2024-10-06T00:00:00"/>
    <x v="0"/>
    <s v="Q4"/>
    <x v="9"/>
    <x v="0"/>
    <x v="2"/>
    <x v="0"/>
    <x v="4"/>
    <s v="Wireless Earbuds"/>
    <n v="1"/>
    <n v="588.41"/>
    <n v="0"/>
    <x v="2"/>
    <n v="588.41"/>
    <n v="490.76"/>
    <n v="97.65"/>
    <n v="1"/>
    <n v="0"/>
    <n v="3"/>
    <n v="4"/>
  </r>
  <r>
    <s v="SW-101688"/>
    <d v="2024-10-06T00:00:00"/>
    <x v="0"/>
    <s v="Q4"/>
    <x v="9"/>
    <x v="1"/>
    <x v="0"/>
    <x v="1"/>
    <x v="4"/>
    <s v="Wireless Earbuds"/>
    <n v="1"/>
    <n v="588.41"/>
    <n v="0.25"/>
    <x v="3"/>
    <n v="441.31"/>
    <n v="472.25"/>
    <n v="-30.94"/>
    <n v="1"/>
    <n v="0"/>
    <n v="3"/>
    <n v="4"/>
  </r>
  <r>
    <s v="SW-101689"/>
    <d v="2024-10-06T00:00:00"/>
    <x v="0"/>
    <s v="Q4"/>
    <x v="9"/>
    <x v="0"/>
    <x v="2"/>
    <x v="0"/>
    <x v="0"/>
    <s v="Summer Dress"/>
    <n v="1"/>
    <n v="33.99"/>
    <n v="0.2"/>
    <x v="1"/>
    <n v="27.19"/>
    <n v="17.78"/>
    <n v="9.41"/>
    <n v="1"/>
    <n v="0"/>
    <n v="5"/>
    <n v="5"/>
  </r>
  <r>
    <s v="SW-101690"/>
    <d v="2024-10-06T00:00:00"/>
    <x v="0"/>
    <s v="Q4"/>
    <x v="9"/>
    <x v="2"/>
    <x v="0"/>
    <x v="0"/>
    <x v="1"/>
    <s v="Skin Care Bundle"/>
    <n v="1"/>
    <n v="92.54"/>
    <n v="0.05"/>
    <x v="0"/>
    <n v="87.91"/>
    <n v="43.17"/>
    <n v="44.74"/>
    <n v="1"/>
    <n v="0"/>
    <n v="3"/>
    <n v="4"/>
  </r>
  <r>
    <s v="SW-101691"/>
    <d v="2024-10-06T00:00:00"/>
    <x v="0"/>
    <s v="Q4"/>
    <x v="9"/>
    <x v="0"/>
    <x v="0"/>
    <x v="1"/>
    <x v="2"/>
    <s v="Bed Sheet Set"/>
    <n v="2"/>
    <n v="90.75"/>
    <n v="0.1"/>
    <x v="0"/>
    <n v="163.35"/>
    <n v="124.08"/>
    <n v="39.270000000000003"/>
    <n v="1"/>
    <n v="0"/>
    <n v="5"/>
    <n v="4"/>
  </r>
  <r>
    <s v="SW-101692"/>
    <d v="2024-10-07T00:00:00"/>
    <x v="0"/>
    <s v="Q4"/>
    <x v="9"/>
    <x v="2"/>
    <x v="2"/>
    <x v="0"/>
    <x v="2"/>
    <s v="Coffee Maker"/>
    <n v="3"/>
    <n v="148.05000000000001"/>
    <n v="0.1"/>
    <x v="0"/>
    <n v="399.74"/>
    <n v="292.27999999999997"/>
    <n v="107.46"/>
    <n v="1"/>
    <n v="0"/>
    <n v="6"/>
    <n v="3"/>
  </r>
  <r>
    <s v="SW-101693"/>
    <d v="2024-10-07T00:00:00"/>
    <x v="0"/>
    <s v="Q4"/>
    <x v="9"/>
    <x v="0"/>
    <x v="0"/>
    <x v="1"/>
    <x v="2"/>
    <s v="Air Fryer"/>
    <n v="1"/>
    <n v="68.349999999999994"/>
    <n v="0.05"/>
    <x v="0"/>
    <n v="64.930000000000007"/>
    <n v="46.51"/>
    <n v="18.420000000000002"/>
    <n v="1"/>
    <n v="0"/>
    <n v="3"/>
    <n v="5"/>
  </r>
  <r>
    <s v="SW-101694"/>
    <d v="2024-10-07T00:00:00"/>
    <x v="0"/>
    <s v="Q4"/>
    <x v="9"/>
    <x v="2"/>
    <x v="3"/>
    <x v="1"/>
    <x v="0"/>
    <s v="Denim Jacket"/>
    <n v="2"/>
    <n v="78.510000000000005"/>
    <n v="0.05"/>
    <x v="0"/>
    <n v="149.16999999999999"/>
    <n v="84.74"/>
    <n v="64.430000000000007"/>
    <n v="1"/>
    <n v="0"/>
    <n v="2"/>
    <n v="5"/>
  </r>
  <r>
    <s v="SW-101695"/>
    <d v="2024-10-07T00:00:00"/>
    <x v="0"/>
    <s v="Q4"/>
    <x v="9"/>
    <x v="2"/>
    <x v="2"/>
    <x v="1"/>
    <x v="4"/>
    <s v="Power Bank"/>
    <n v="1"/>
    <n v="508.8"/>
    <n v="0.25"/>
    <x v="3"/>
    <n v="381.6"/>
    <n v="405.34"/>
    <n v="-23.74"/>
    <n v="1"/>
    <n v="0"/>
    <n v="5"/>
    <n v="3"/>
  </r>
  <r>
    <s v="SW-101696"/>
    <d v="2024-10-07T00:00:00"/>
    <x v="0"/>
    <s v="Q4"/>
    <x v="9"/>
    <x v="2"/>
    <x v="3"/>
    <x v="1"/>
    <x v="5"/>
    <s v="Story Book Set"/>
    <n v="2"/>
    <n v="10.76"/>
    <n v="0"/>
    <x v="2"/>
    <n v="21.52"/>
    <n v="15.58"/>
    <n v="5.94"/>
    <n v="1"/>
    <n v="0"/>
    <n v="2"/>
    <n v="5"/>
  </r>
  <r>
    <s v="SW-101697"/>
    <d v="2024-10-07T00:00:00"/>
    <x v="0"/>
    <s v="Q4"/>
    <x v="9"/>
    <x v="0"/>
    <x v="0"/>
    <x v="0"/>
    <x v="2"/>
    <s v="Air Fryer"/>
    <n v="1"/>
    <n v="68.349999999999994"/>
    <n v="0.2"/>
    <x v="1"/>
    <n v="54.68"/>
    <n v="45.85"/>
    <n v="8.83"/>
    <n v="1"/>
    <n v="0"/>
    <n v="3"/>
    <n v="5"/>
  </r>
  <r>
    <s v="SW-101698"/>
    <d v="2024-10-08T00:00:00"/>
    <x v="0"/>
    <s v="Q4"/>
    <x v="9"/>
    <x v="0"/>
    <x v="4"/>
    <x v="1"/>
    <x v="2"/>
    <s v="Storage Boxes"/>
    <n v="1"/>
    <n v="154.66"/>
    <n v="0"/>
    <x v="2"/>
    <n v="154.66"/>
    <n v="97.92"/>
    <n v="56.74"/>
    <n v="1"/>
    <n v="0"/>
    <n v="5"/>
    <n v="5"/>
  </r>
  <r>
    <s v="SW-101699"/>
    <d v="2024-10-08T00:00:00"/>
    <x v="0"/>
    <s v="Q4"/>
    <x v="9"/>
    <x v="0"/>
    <x v="3"/>
    <x v="1"/>
    <x v="0"/>
    <s v="Cotton T-Shirt"/>
    <n v="1"/>
    <n v="19.41"/>
    <n v="0"/>
    <x v="2"/>
    <n v="19.41"/>
    <n v="10.32"/>
    <n v="9.09"/>
    <n v="1"/>
    <n v="0"/>
    <n v="4"/>
    <n v="4"/>
  </r>
  <r>
    <s v="SW-101700"/>
    <d v="2024-10-08T00:00:00"/>
    <x v="0"/>
    <s v="Q4"/>
    <x v="9"/>
    <x v="0"/>
    <x v="3"/>
    <x v="0"/>
    <x v="1"/>
    <s v="Skin Care Bundle"/>
    <n v="2"/>
    <n v="92.54"/>
    <n v="0.2"/>
    <x v="1"/>
    <n v="148.06"/>
    <n v="85.86"/>
    <n v="62.2"/>
    <n v="1"/>
    <n v="0"/>
    <n v="2"/>
    <n v="5"/>
  </r>
  <r>
    <s v="SW-101701"/>
    <d v="2024-10-08T00:00:00"/>
    <x v="0"/>
    <s v="Q4"/>
    <x v="9"/>
    <x v="1"/>
    <x v="3"/>
    <x v="1"/>
    <x v="1"/>
    <s v="Face Serum"/>
    <n v="3"/>
    <n v="33.479999999999997"/>
    <n v="0.05"/>
    <x v="0"/>
    <n v="95.42"/>
    <n v="48.48"/>
    <n v="46.94"/>
    <n v="1"/>
    <n v="0"/>
    <n v="4"/>
    <n v="5"/>
  </r>
  <r>
    <s v="SW-101702"/>
    <d v="2024-10-08T00:00:00"/>
    <x v="0"/>
    <s v="Q4"/>
    <x v="9"/>
    <x v="0"/>
    <x v="2"/>
    <x v="1"/>
    <x v="0"/>
    <s v="Sunglasses"/>
    <n v="1"/>
    <n v="104.94"/>
    <n v="0.2"/>
    <x v="1"/>
    <n v="83.95"/>
    <n v="56.45"/>
    <n v="27.5"/>
    <n v="1"/>
    <n v="0"/>
    <n v="4"/>
    <n v="5"/>
  </r>
  <r>
    <s v="SW-101703"/>
    <d v="2024-10-09T00:00:00"/>
    <x v="0"/>
    <s v="Q4"/>
    <x v="9"/>
    <x v="1"/>
    <x v="1"/>
    <x v="0"/>
    <x v="5"/>
    <s v="Story Book Set"/>
    <n v="1"/>
    <n v="10.76"/>
    <n v="0.05"/>
    <x v="0"/>
    <n v="10.220000000000001"/>
    <n v="7.34"/>
    <n v="2.88"/>
    <n v="1"/>
    <n v="0"/>
    <n v="7"/>
    <n v="3"/>
  </r>
  <r>
    <s v="SW-101704"/>
    <d v="2024-10-09T00:00:00"/>
    <x v="0"/>
    <s v="Q4"/>
    <x v="9"/>
    <x v="0"/>
    <x v="1"/>
    <x v="0"/>
    <x v="3"/>
    <s v="Fitness Tracker"/>
    <n v="1"/>
    <n v="74.459999999999994"/>
    <n v="0.1"/>
    <x v="0"/>
    <n v="67.010000000000005"/>
    <n v="47.9"/>
    <n v="19.11"/>
    <n v="1"/>
    <n v="0"/>
    <n v="6"/>
    <n v="3"/>
  </r>
  <r>
    <s v="SW-101705"/>
    <d v="2024-10-09T00:00:00"/>
    <x v="0"/>
    <s v="Q4"/>
    <x v="9"/>
    <x v="2"/>
    <x v="3"/>
    <x v="1"/>
    <x v="4"/>
    <s v="Smart Watch"/>
    <n v="1"/>
    <n v="216.08"/>
    <n v="0"/>
    <x v="2"/>
    <n v="216.08"/>
    <n v="162.63"/>
    <n v="53.45"/>
    <n v="1"/>
    <n v="0"/>
    <n v="2"/>
    <n v="5"/>
  </r>
  <r>
    <s v="SW-101706"/>
    <d v="2024-10-09T00:00:00"/>
    <x v="0"/>
    <s v="Q4"/>
    <x v="9"/>
    <x v="2"/>
    <x v="2"/>
    <x v="1"/>
    <x v="1"/>
    <s v="Face Serum"/>
    <n v="1"/>
    <n v="33.479999999999997"/>
    <n v="0.05"/>
    <x v="0"/>
    <n v="31.81"/>
    <n v="15.87"/>
    <n v="15.94"/>
    <n v="1"/>
    <n v="0"/>
    <n v="5"/>
    <n v="4"/>
  </r>
  <r>
    <s v="SW-101707"/>
    <d v="2024-10-09T00:00:00"/>
    <x v="0"/>
    <s v="Q4"/>
    <x v="9"/>
    <x v="0"/>
    <x v="0"/>
    <x v="0"/>
    <x v="0"/>
    <s v="Sunglasses"/>
    <n v="1"/>
    <n v="104.94"/>
    <n v="0.05"/>
    <x v="0"/>
    <n v="99.69"/>
    <n v="56.4"/>
    <n v="43.29"/>
    <n v="1"/>
    <n v="0"/>
    <n v="3"/>
    <n v="4"/>
  </r>
  <r>
    <s v="SW-101708"/>
    <d v="2024-10-09T00:00:00"/>
    <x v="0"/>
    <s v="Q4"/>
    <x v="9"/>
    <x v="0"/>
    <x v="2"/>
    <x v="1"/>
    <x v="3"/>
    <s v="Camping Tent"/>
    <n v="1"/>
    <n v="83.06"/>
    <n v="0.05"/>
    <x v="0"/>
    <n v="78.91"/>
    <n v="55.97"/>
    <n v="22.94"/>
    <n v="1"/>
    <n v="0"/>
    <n v="3"/>
    <n v="4"/>
  </r>
  <r>
    <s v="SW-101709"/>
    <d v="2024-10-10T00:00:00"/>
    <x v="0"/>
    <s v="Q4"/>
    <x v="9"/>
    <x v="1"/>
    <x v="0"/>
    <x v="1"/>
    <x v="1"/>
    <s v="Makeup Kit"/>
    <n v="1"/>
    <n v="74.3"/>
    <n v="0.05"/>
    <x v="0"/>
    <n v="70.58"/>
    <n v="34.119999999999997"/>
    <n v="36.46"/>
    <n v="1"/>
    <n v="0"/>
    <n v="4"/>
    <n v="4"/>
  </r>
  <r>
    <s v="SW-101710"/>
    <d v="2024-10-10T00:00:00"/>
    <x v="0"/>
    <s v="Q4"/>
    <x v="9"/>
    <x v="1"/>
    <x v="2"/>
    <x v="0"/>
    <x v="1"/>
    <s v="Skin Care Bundle"/>
    <n v="2"/>
    <n v="92.54"/>
    <n v="0"/>
    <x v="2"/>
    <n v="185.08"/>
    <n v="86.96"/>
    <n v="98.12"/>
    <n v="1"/>
    <n v="0"/>
    <n v="3"/>
    <n v="4"/>
  </r>
  <r>
    <s v="SW-101711"/>
    <d v="2024-10-10T00:00:00"/>
    <x v="0"/>
    <s v="Q4"/>
    <x v="9"/>
    <x v="0"/>
    <x v="2"/>
    <x v="1"/>
    <x v="3"/>
    <s v="Yoga Mat"/>
    <n v="2"/>
    <n v="137.05000000000001"/>
    <n v="0.1"/>
    <x v="0"/>
    <n v="246.69"/>
    <n v="184.1"/>
    <n v="62.59"/>
    <n v="1"/>
    <n v="0"/>
    <n v="3"/>
    <n v="4"/>
  </r>
  <r>
    <s v="SW-101712"/>
    <d v="2024-10-10T00:00:00"/>
    <x v="0"/>
    <s v="Q4"/>
    <x v="9"/>
    <x v="2"/>
    <x v="0"/>
    <x v="0"/>
    <x v="3"/>
    <s v="Yoga Mat"/>
    <n v="1"/>
    <n v="137.05000000000001"/>
    <n v="0"/>
    <x v="2"/>
    <n v="137.05000000000001"/>
    <n v="95.32"/>
    <n v="41.73"/>
    <n v="1"/>
    <n v="0"/>
    <n v="3"/>
    <n v="4"/>
  </r>
  <r>
    <s v="SW-101713"/>
    <d v="2024-10-10T00:00:00"/>
    <x v="0"/>
    <s v="Q4"/>
    <x v="9"/>
    <x v="1"/>
    <x v="3"/>
    <x v="1"/>
    <x v="2"/>
    <s v="Cookware Set"/>
    <n v="1"/>
    <n v="233.81"/>
    <n v="0.05"/>
    <x v="0"/>
    <n v="222.12"/>
    <n v="156.37"/>
    <n v="65.75"/>
    <n v="1"/>
    <n v="0"/>
    <n v="3"/>
    <n v="5"/>
  </r>
  <r>
    <s v="SW-101714"/>
    <d v="2024-10-10T00:00:00"/>
    <x v="0"/>
    <s v="Q4"/>
    <x v="9"/>
    <x v="1"/>
    <x v="0"/>
    <x v="1"/>
    <x v="3"/>
    <s v="Camping Tent"/>
    <n v="1"/>
    <n v="83.06"/>
    <n v="0"/>
    <x v="2"/>
    <n v="83.06"/>
    <n v="53.94"/>
    <n v="29.12"/>
    <n v="1"/>
    <n v="0"/>
    <n v="4"/>
    <n v="5"/>
  </r>
  <r>
    <s v="SW-101715"/>
    <d v="2024-10-10T00:00:00"/>
    <x v="0"/>
    <s v="Q4"/>
    <x v="9"/>
    <x v="1"/>
    <x v="3"/>
    <x v="1"/>
    <x v="2"/>
    <s v="Bed Sheet Set"/>
    <n v="1"/>
    <n v="90.75"/>
    <n v="0"/>
    <x v="2"/>
    <n v="90.75"/>
    <n v="57.6"/>
    <n v="33.15"/>
    <n v="1"/>
    <n v="0"/>
    <n v="2"/>
    <n v="4"/>
  </r>
  <r>
    <s v="SW-101716"/>
    <d v="2024-10-10T00:00:00"/>
    <x v="0"/>
    <s v="Q4"/>
    <x v="9"/>
    <x v="0"/>
    <x v="0"/>
    <x v="1"/>
    <x v="2"/>
    <s v="Desk Lamp"/>
    <n v="1"/>
    <n v="117.63"/>
    <n v="0"/>
    <x v="2"/>
    <n v="117.63"/>
    <n v="79.63"/>
    <n v="38"/>
    <n v="1"/>
    <n v="1"/>
    <n v="3"/>
    <n v="3"/>
  </r>
  <r>
    <s v="SW-101717"/>
    <d v="2024-10-10T00:00:00"/>
    <x v="0"/>
    <s v="Q4"/>
    <x v="9"/>
    <x v="1"/>
    <x v="4"/>
    <x v="0"/>
    <x v="3"/>
    <s v="Fitness Tracker"/>
    <n v="1"/>
    <n v="74.459999999999994"/>
    <n v="0.1"/>
    <x v="0"/>
    <n v="67.010000000000005"/>
    <n v="51.68"/>
    <n v="15.33"/>
    <n v="1"/>
    <n v="0"/>
    <n v="7"/>
    <n v="5"/>
  </r>
  <r>
    <s v="SW-101718"/>
    <d v="2024-10-10T00:00:00"/>
    <x v="0"/>
    <s v="Q4"/>
    <x v="9"/>
    <x v="0"/>
    <x v="2"/>
    <x v="1"/>
    <x v="1"/>
    <s v="Face Serum"/>
    <n v="1"/>
    <n v="33.479999999999997"/>
    <n v="0.25"/>
    <x v="3"/>
    <n v="25.11"/>
    <n v="15.74"/>
    <n v="9.3699999999999992"/>
    <n v="1"/>
    <n v="0"/>
    <n v="4"/>
    <n v="4"/>
  </r>
  <r>
    <s v="SW-101719"/>
    <d v="2024-10-11T00:00:00"/>
    <x v="0"/>
    <s v="Q4"/>
    <x v="9"/>
    <x v="2"/>
    <x v="3"/>
    <x v="1"/>
    <x v="0"/>
    <s v="Denim Jacket"/>
    <n v="1"/>
    <n v="78.510000000000005"/>
    <n v="0.3"/>
    <x v="3"/>
    <n v="54.96"/>
    <n v="43.78"/>
    <n v="11.18"/>
    <n v="1"/>
    <n v="0"/>
    <n v="3"/>
    <n v="5"/>
  </r>
  <r>
    <s v="SW-101720"/>
    <d v="2024-10-11T00:00:00"/>
    <x v="0"/>
    <s v="Q4"/>
    <x v="9"/>
    <x v="1"/>
    <x v="3"/>
    <x v="0"/>
    <x v="1"/>
    <s v="Face Serum"/>
    <n v="1"/>
    <n v="33.479999999999997"/>
    <n v="0.25"/>
    <x v="3"/>
    <n v="25.11"/>
    <n v="15.31"/>
    <n v="9.8000000000000007"/>
    <n v="1"/>
    <n v="0"/>
    <n v="5"/>
    <n v="4"/>
  </r>
  <r>
    <s v="SW-101721"/>
    <d v="2024-10-11T00:00:00"/>
    <x v="0"/>
    <s v="Q4"/>
    <x v="9"/>
    <x v="1"/>
    <x v="0"/>
    <x v="1"/>
    <x v="0"/>
    <s v="Sunglasses"/>
    <n v="1"/>
    <n v="104.94"/>
    <n v="0.1"/>
    <x v="0"/>
    <n v="94.45"/>
    <n v="58.74"/>
    <n v="35.71"/>
    <n v="1"/>
    <n v="0"/>
    <n v="4"/>
    <n v="5"/>
  </r>
  <r>
    <s v="SW-101722"/>
    <d v="2024-10-11T00:00:00"/>
    <x v="0"/>
    <s v="Q4"/>
    <x v="9"/>
    <x v="0"/>
    <x v="0"/>
    <x v="1"/>
    <x v="4"/>
    <s v="Smart Watch"/>
    <n v="1"/>
    <n v="216.08"/>
    <n v="0.05"/>
    <x v="0"/>
    <n v="205.28"/>
    <n v="172.94"/>
    <n v="32.340000000000003"/>
    <n v="1"/>
    <n v="0"/>
    <n v="4"/>
    <n v="5"/>
  </r>
  <r>
    <s v="SW-101723"/>
    <d v="2024-10-11T00:00:00"/>
    <x v="0"/>
    <s v="Q4"/>
    <x v="9"/>
    <x v="0"/>
    <x v="3"/>
    <x v="0"/>
    <x v="4"/>
    <s v="Bluetooth Speaker"/>
    <n v="3"/>
    <n v="177.65"/>
    <n v="0.15"/>
    <x v="1"/>
    <n v="453.01"/>
    <n v="442.31"/>
    <n v="10.7"/>
    <n v="1"/>
    <n v="0"/>
    <n v="2"/>
    <n v="4"/>
  </r>
  <r>
    <s v="SW-101724"/>
    <d v="2024-10-11T00:00:00"/>
    <x v="0"/>
    <s v="Q4"/>
    <x v="9"/>
    <x v="0"/>
    <x v="4"/>
    <x v="0"/>
    <x v="4"/>
    <s v="4K Action Camera"/>
    <n v="1"/>
    <n v="636.09"/>
    <n v="0.05"/>
    <x v="0"/>
    <n v="604.29"/>
    <n v="510.4"/>
    <n v="93.89"/>
    <n v="1"/>
    <n v="0"/>
    <n v="6"/>
    <n v="4"/>
  </r>
  <r>
    <s v="SW-101725"/>
    <d v="2024-10-12T00:00:00"/>
    <x v="0"/>
    <s v="Q4"/>
    <x v="9"/>
    <x v="2"/>
    <x v="0"/>
    <x v="1"/>
    <x v="0"/>
    <s v="Sunglasses"/>
    <n v="1"/>
    <n v="104.94"/>
    <n v="0"/>
    <x v="2"/>
    <n v="104.94"/>
    <n v="55.82"/>
    <n v="49.12"/>
    <n v="1"/>
    <n v="0"/>
    <n v="3"/>
    <n v="4"/>
  </r>
  <r>
    <s v="SW-101726"/>
    <d v="2024-10-12T00:00:00"/>
    <x v="0"/>
    <s v="Q4"/>
    <x v="9"/>
    <x v="2"/>
    <x v="1"/>
    <x v="1"/>
    <x v="0"/>
    <s v="Sunglasses"/>
    <n v="2"/>
    <n v="104.94"/>
    <n v="0.05"/>
    <x v="0"/>
    <n v="199.39"/>
    <n v="112.94"/>
    <n v="86.45"/>
    <n v="1"/>
    <n v="0"/>
    <n v="5"/>
    <n v="4"/>
  </r>
  <r>
    <s v="SW-101727"/>
    <d v="2024-10-12T00:00:00"/>
    <x v="0"/>
    <s v="Q4"/>
    <x v="9"/>
    <x v="1"/>
    <x v="4"/>
    <x v="0"/>
    <x v="3"/>
    <s v="Cycling Helmet"/>
    <n v="1"/>
    <n v="85.42"/>
    <n v="0.3"/>
    <x v="3"/>
    <n v="59.79"/>
    <n v="62.31"/>
    <n v="-2.52"/>
    <n v="1"/>
    <n v="1"/>
    <n v="7"/>
    <n v="2"/>
  </r>
  <r>
    <s v="SW-101728"/>
    <d v="2024-10-12T00:00:00"/>
    <x v="0"/>
    <s v="Q4"/>
    <x v="9"/>
    <x v="2"/>
    <x v="0"/>
    <x v="0"/>
    <x v="2"/>
    <s v="Bed Sheet Set"/>
    <n v="1"/>
    <n v="90.75"/>
    <n v="0.05"/>
    <x v="0"/>
    <n v="86.21"/>
    <n v="62.06"/>
    <n v="24.15"/>
    <n v="1"/>
    <n v="0"/>
    <n v="3"/>
    <n v="5"/>
  </r>
  <r>
    <s v="SW-101729"/>
    <d v="2024-10-13T00:00:00"/>
    <x v="0"/>
    <s v="Q4"/>
    <x v="9"/>
    <x v="0"/>
    <x v="0"/>
    <x v="0"/>
    <x v="1"/>
    <s v="Skin Care Bundle"/>
    <n v="1"/>
    <n v="92.54"/>
    <n v="0.15"/>
    <x v="1"/>
    <n v="78.66"/>
    <n v="43.53"/>
    <n v="35.130000000000003"/>
    <n v="1"/>
    <n v="0"/>
    <n v="3"/>
    <n v="4"/>
  </r>
  <r>
    <s v="SW-101730"/>
    <d v="2024-10-13T00:00:00"/>
    <x v="0"/>
    <s v="Q4"/>
    <x v="9"/>
    <x v="0"/>
    <x v="3"/>
    <x v="0"/>
    <x v="4"/>
    <s v="Power Bank"/>
    <n v="1"/>
    <n v="508.8"/>
    <n v="0"/>
    <x v="2"/>
    <n v="508.8"/>
    <n v="417.36"/>
    <n v="91.44"/>
    <n v="1"/>
    <n v="0"/>
    <n v="2"/>
    <n v="4"/>
  </r>
  <r>
    <s v="SW-101731"/>
    <d v="2024-10-13T00:00:00"/>
    <x v="0"/>
    <s v="Q4"/>
    <x v="9"/>
    <x v="0"/>
    <x v="0"/>
    <x v="0"/>
    <x v="3"/>
    <s v="Fitness Tracker"/>
    <n v="2"/>
    <n v="74.459999999999994"/>
    <n v="0.15"/>
    <x v="1"/>
    <n v="126.58"/>
    <n v="98.57"/>
    <n v="28.01"/>
    <n v="1"/>
    <n v="1"/>
    <n v="3"/>
    <n v="3"/>
  </r>
  <r>
    <s v="SW-101732"/>
    <d v="2024-10-13T00:00:00"/>
    <x v="0"/>
    <s v="Q4"/>
    <x v="9"/>
    <x v="0"/>
    <x v="3"/>
    <x v="1"/>
    <x v="3"/>
    <s v="Cycling Helmet"/>
    <n v="1"/>
    <n v="85.42"/>
    <n v="0.25"/>
    <x v="3"/>
    <n v="64.06"/>
    <n v="58.27"/>
    <n v="5.79"/>
    <n v="1"/>
    <n v="0"/>
    <n v="2"/>
    <n v="4"/>
  </r>
  <r>
    <s v="SW-101733"/>
    <d v="2024-10-13T00:00:00"/>
    <x v="0"/>
    <s v="Q4"/>
    <x v="9"/>
    <x v="2"/>
    <x v="0"/>
    <x v="1"/>
    <x v="0"/>
    <s v="Summer Dress"/>
    <n v="4"/>
    <n v="33.99"/>
    <n v="0.3"/>
    <x v="3"/>
    <n v="95.17"/>
    <n v="74.650000000000006"/>
    <n v="20.52"/>
    <n v="1"/>
    <n v="1"/>
    <n v="4"/>
    <n v="3"/>
  </r>
  <r>
    <s v="SW-101734"/>
    <d v="2024-10-13T00:00:00"/>
    <x v="0"/>
    <s v="Q4"/>
    <x v="9"/>
    <x v="1"/>
    <x v="0"/>
    <x v="0"/>
    <x v="1"/>
    <s v="Makeup Kit"/>
    <n v="1"/>
    <n v="74.3"/>
    <n v="0"/>
    <x v="2"/>
    <n v="74.3"/>
    <n v="34.44"/>
    <n v="39.86"/>
    <n v="1"/>
    <n v="0"/>
    <n v="4"/>
    <n v="4"/>
  </r>
  <r>
    <s v="SW-101735"/>
    <d v="2024-10-13T00:00:00"/>
    <x v="0"/>
    <s v="Q4"/>
    <x v="9"/>
    <x v="1"/>
    <x v="3"/>
    <x v="1"/>
    <x v="3"/>
    <s v="Cycling Helmet"/>
    <n v="1"/>
    <n v="85.42"/>
    <n v="0.3"/>
    <x v="3"/>
    <n v="59.79"/>
    <n v="56.53"/>
    <n v="3.26"/>
    <n v="1"/>
    <n v="0"/>
    <n v="3"/>
    <n v="3"/>
  </r>
  <r>
    <s v="SW-101736"/>
    <d v="2024-10-13T00:00:00"/>
    <x v="0"/>
    <s v="Q4"/>
    <x v="9"/>
    <x v="2"/>
    <x v="4"/>
    <x v="1"/>
    <x v="0"/>
    <s v="Sunglasses"/>
    <n v="1"/>
    <n v="104.94"/>
    <n v="0.1"/>
    <x v="0"/>
    <n v="94.45"/>
    <n v="53.9"/>
    <n v="40.549999999999997"/>
    <n v="1"/>
    <n v="0"/>
    <n v="6"/>
    <n v="4"/>
  </r>
  <r>
    <s v="SW-101737"/>
    <d v="2024-10-13T00:00:00"/>
    <x v="0"/>
    <s v="Q4"/>
    <x v="9"/>
    <x v="2"/>
    <x v="2"/>
    <x v="1"/>
    <x v="0"/>
    <s v="Running Sneakers"/>
    <n v="3"/>
    <n v="94.85"/>
    <n v="0"/>
    <x v="2"/>
    <n v="284.55"/>
    <n v="150.1"/>
    <n v="134.44999999999999"/>
    <n v="1"/>
    <n v="0"/>
    <n v="4"/>
    <n v="5"/>
  </r>
  <r>
    <s v="SW-101738"/>
    <d v="2024-10-13T00:00:00"/>
    <x v="0"/>
    <s v="Q4"/>
    <x v="9"/>
    <x v="0"/>
    <x v="1"/>
    <x v="1"/>
    <x v="0"/>
    <s v="Running Sneakers"/>
    <n v="1"/>
    <n v="94.85"/>
    <n v="0.05"/>
    <x v="0"/>
    <n v="90.11"/>
    <n v="50.48"/>
    <n v="39.630000000000003"/>
    <n v="1"/>
    <n v="0"/>
    <n v="6"/>
    <n v="4"/>
  </r>
  <r>
    <s v="SW-101739"/>
    <d v="2024-10-14T00:00:00"/>
    <x v="0"/>
    <s v="Q4"/>
    <x v="9"/>
    <x v="0"/>
    <x v="3"/>
    <x v="1"/>
    <x v="0"/>
    <s v="Leather Handbag"/>
    <n v="1"/>
    <n v="138.5"/>
    <n v="0.05"/>
    <x v="0"/>
    <n v="131.57"/>
    <n v="74.86"/>
    <n v="56.71"/>
    <n v="1"/>
    <n v="0"/>
    <n v="3"/>
    <n v="4"/>
  </r>
  <r>
    <s v="SW-101740"/>
    <d v="2024-10-14T00:00:00"/>
    <x v="0"/>
    <s v="Q4"/>
    <x v="9"/>
    <x v="1"/>
    <x v="4"/>
    <x v="0"/>
    <x v="4"/>
    <s v="Tablet 10in"/>
    <n v="2"/>
    <n v="490.3"/>
    <n v="0.15"/>
    <x v="1"/>
    <n v="833.51"/>
    <n v="763.1"/>
    <n v="70.41"/>
    <n v="1"/>
    <n v="0"/>
    <n v="6"/>
    <n v="3"/>
  </r>
  <r>
    <s v="SW-101741"/>
    <d v="2024-10-14T00:00:00"/>
    <x v="0"/>
    <s v="Q4"/>
    <x v="9"/>
    <x v="2"/>
    <x v="3"/>
    <x v="1"/>
    <x v="0"/>
    <s v="Summer Dress"/>
    <n v="1"/>
    <n v="33.99"/>
    <n v="0.05"/>
    <x v="0"/>
    <n v="32.29"/>
    <n v="18.14"/>
    <n v="14.15"/>
    <n v="1"/>
    <n v="0"/>
    <n v="3"/>
    <n v="5"/>
  </r>
  <r>
    <s v="SW-101742"/>
    <d v="2024-10-14T00:00:00"/>
    <x v="0"/>
    <s v="Q4"/>
    <x v="9"/>
    <x v="2"/>
    <x v="3"/>
    <x v="1"/>
    <x v="1"/>
    <s v="Skin Care Bundle"/>
    <n v="2"/>
    <n v="92.54"/>
    <n v="0.05"/>
    <x v="0"/>
    <n v="175.83"/>
    <n v="91.08"/>
    <n v="84.75"/>
    <n v="1"/>
    <n v="0"/>
    <n v="3"/>
    <n v="4"/>
  </r>
  <r>
    <s v="SW-101743"/>
    <d v="2024-10-14T00:00:00"/>
    <x v="0"/>
    <s v="Q4"/>
    <x v="9"/>
    <x v="1"/>
    <x v="2"/>
    <x v="0"/>
    <x v="0"/>
    <s v="Running Sneakers"/>
    <n v="1"/>
    <n v="94.85"/>
    <n v="0"/>
    <x v="2"/>
    <n v="94.85"/>
    <n v="51.71"/>
    <n v="43.14"/>
    <n v="1"/>
    <n v="0"/>
    <n v="3"/>
    <n v="4"/>
  </r>
  <r>
    <s v="SW-101744"/>
    <d v="2024-10-14T00:00:00"/>
    <x v="0"/>
    <s v="Q4"/>
    <x v="9"/>
    <x v="2"/>
    <x v="4"/>
    <x v="0"/>
    <x v="4"/>
    <s v="Tablet 10in"/>
    <n v="1"/>
    <n v="490.3"/>
    <n v="0"/>
    <x v="2"/>
    <n v="490.3"/>
    <n v="412.49"/>
    <n v="77.81"/>
    <n v="1"/>
    <n v="0"/>
    <n v="8"/>
    <n v="3"/>
  </r>
  <r>
    <s v="SW-101745"/>
    <d v="2024-10-15T00:00:00"/>
    <x v="0"/>
    <s v="Q4"/>
    <x v="9"/>
    <x v="2"/>
    <x v="0"/>
    <x v="1"/>
    <x v="0"/>
    <s v="Running Sneakers"/>
    <n v="1"/>
    <n v="94.85"/>
    <n v="0"/>
    <x v="2"/>
    <n v="94.85"/>
    <n v="50.47"/>
    <n v="44.38"/>
    <n v="1"/>
    <n v="0"/>
    <n v="3"/>
    <n v="4"/>
  </r>
  <r>
    <s v="SW-101746"/>
    <d v="2024-10-15T00:00:00"/>
    <x v="0"/>
    <s v="Q4"/>
    <x v="9"/>
    <x v="0"/>
    <x v="2"/>
    <x v="1"/>
    <x v="5"/>
    <s v="Kids Puzzle"/>
    <n v="2"/>
    <n v="16.97"/>
    <n v="0"/>
    <x v="2"/>
    <n v="33.94"/>
    <n v="23.25"/>
    <n v="10.69"/>
    <n v="1"/>
    <n v="0"/>
    <n v="4"/>
    <n v="5"/>
  </r>
  <r>
    <s v="SW-101747"/>
    <d v="2024-10-15T00:00:00"/>
    <x v="0"/>
    <s v="Q4"/>
    <x v="9"/>
    <x v="0"/>
    <x v="4"/>
    <x v="1"/>
    <x v="0"/>
    <s v="Cotton T-Shirt"/>
    <n v="2"/>
    <n v="19.41"/>
    <n v="0.05"/>
    <x v="0"/>
    <n v="36.880000000000003"/>
    <n v="20.64"/>
    <n v="16.239999999999998"/>
    <n v="1"/>
    <n v="0"/>
    <n v="5"/>
    <n v="4"/>
  </r>
  <r>
    <s v="SW-101748"/>
    <d v="2024-10-15T00:00:00"/>
    <x v="0"/>
    <s v="Q4"/>
    <x v="9"/>
    <x v="1"/>
    <x v="1"/>
    <x v="1"/>
    <x v="1"/>
    <s v="Hair Dryer"/>
    <n v="1"/>
    <n v="33.18"/>
    <n v="0"/>
    <x v="2"/>
    <n v="33.18"/>
    <n v="15.64"/>
    <n v="17.54"/>
    <n v="1"/>
    <n v="0"/>
    <n v="6"/>
    <n v="3"/>
  </r>
  <r>
    <s v="SW-101749"/>
    <d v="2024-10-15T00:00:00"/>
    <x v="0"/>
    <s v="Q4"/>
    <x v="9"/>
    <x v="1"/>
    <x v="2"/>
    <x v="0"/>
    <x v="1"/>
    <s v="Face Serum"/>
    <n v="1"/>
    <n v="33.479999999999997"/>
    <n v="0.05"/>
    <x v="0"/>
    <n v="31.81"/>
    <n v="16.670000000000002"/>
    <n v="15.14"/>
    <n v="1"/>
    <n v="0"/>
    <n v="4"/>
    <n v="5"/>
  </r>
  <r>
    <s v="SW-101750"/>
    <d v="2024-10-15T00:00:00"/>
    <x v="0"/>
    <s v="Q4"/>
    <x v="9"/>
    <x v="2"/>
    <x v="1"/>
    <x v="0"/>
    <x v="4"/>
    <s v="Bluetooth Speaker"/>
    <n v="1"/>
    <n v="177.65"/>
    <n v="0.1"/>
    <x v="0"/>
    <n v="159.88999999999999"/>
    <n v="142.41"/>
    <n v="17.48"/>
    <n v="1"/>
    <n v="0"/>
    <n v="6"/>
    <n v="4"/>
  </r>
  <r>
    <s v="SW-101751"/>
    <d v="2024-10-15T00:00:00"/>
    <x v="0"/>
    <s v="Q4"/>
    <x v="9"/>
    <x v="1"/>
    <x v="2"/>
    <x v="0"/>
    <x v="4"/>
    <s v="Bluetooth Speaker"/>
    <n v="1"/>
    <n v="177.65"/>
    <n v="0.25"/>
    <x v="3"/>
    <n v="133.24"/>
    <n v="146.88"/>
    <n v="-13.64"/>
    <n v="1"/>
    <n v="0"/>
    <n v="5"/>
    <n v="4"/>
  </r>
  <r>
    <s v="SW-101752"/>
    <d v="2024-10-15T00:00:00"/>
    <x v="0"/>
    <s v="Q4"/>
    <x v="9"/>
    <x v="1"/>
    <x v="3"/>
    <x v="0"/>
    <x v="0"/>
    <s v="Running Sneakers"/>
    <n v="4"/>
    <n v="94.85"/>
    <n v="0"/>
    <x v="2"/>
    <n v="379.4"/>
    <n v="210.27"/>
    <n v="169.13"/>
    <n v="1"/>
    <n v="1"/>
    <n v="2"/>
    <n v="4"/>
  </r>
  <r>
    <s v="SW-101753"/>
    <d v="2024-10-16T00:00:00"/>
    <x v="0"/>
    <s v="Q4"/>
    <x v="9"/>
    <x v="0"/>
    <x v="3"/>
    <x v="1"/>
    <x v="4"/>
    <s v="Smart Watch"/>
    <n v="1"/>
    <n v="216.08"/>
    <n v="0.05"/>
    <x v="0"/>
    <n v="205.28"/>
    <n v="169.27"/>
    <n v="36.01"/>
    <n v="1"/>
    <n v="0"/>
    <n v="3"/>
    <n v="5"/>
  </r>
  <r>
    <s v="SW-101754"/>
    <d v="2024-10-16T00:00:00"/>
    <x v="0"/>
    <s v="Q4"/>
    <x v="9"/>
    <x v="1"/>
    <x v="3"/>
    <x v="0"/>
    <x v="0"/>
    <s v="Cotton T-Shirt"/>
    <n v="1"/>
    <n v="19.41"/>
    <n v="0.15"/>
    <x v="1"/>
    <n v="16.5"/>
    <n v="10.28"/>
    <n v="6.22"/>
    <n v="1"/>
    <n v="0"/>
    <n v="3"/>
    <n v="4"/>
  </r>
  <r>
    <s v="SW-101755"/>
    <d v="2024-10-16T00:00:00"/>
    <x v="0"/>
    <s v="Q4"/>
    <x v="9"/>
    <x v="0"/>
    <x v="3"/>
    <x v="1"/>
    <x v="0"/>
    <s v="Leather Handbag"/>
    <n v="2"/>
    <n v="138.5"/>
    <n v="0"/>
    <x v="2"/>
    <n v="277"/>
    <n v="148.25"/>
    <n v="128.75"/>
    <n v="1"/>
    <n v="1"/>
    <n v="2"/>
    <n v="3"/>
  </r>
  <r>
    <s v="SW-101756"/>
    <d v="2024-10-16T00:00:00"/>
    <x v="0"/>
    <s v="Q4"/>
    <x v="9"/>
    <x v="0"/>
    <x v="0"/>
    <x v="1"/>
    <x v="0"/>
    <s v="Sunglasses"/>
    <n v="3"/>
    <n v="104.94"/>
    <n v="0.3"/>
    <x v="3"/>
    <n v="220.37"/>
    <n v="161.54"/>
    <n v="58.83"/>
    <n v="1"/>
    <n v="0"/>
    <n v="3"/>
    <n v="5"/>
  </r>
  <r>
    <s v="SW-101757"/>
    <d v="2024-10-16T00:00:00"/>
    <x v="0"/>
    <s v="Q4"/>
    <x v="9"/>
    <x v="0"/>
    <x v="0"/>
    <x v="1"/>
    <x v="3"/>
    <s v="Dumbbell Set"/>
    <n v="4"/>
    <n v="198.42"/>
    <n v="0.3"/>
    <x v="3"/>
    <n v="555.58000000000004"/>
    <n v="531.44000000000005"/>
    <n v="24.14"/>
    <n v="1"/>
    <n v="0"/>
    <n v="5"/>
    <n v="3"/>
  </r>
  <r>
    <s v="SW-101758"/>
    <d v="2024-10-16T00:00:00"/>
    <x v="0"/>
    <s v="Q4"/>
    <x v="9"/>
    <x v="0"/>
    <x v="2"/>
    <x v="0"/>
    <x v="3"/>
    <s v="Dumbbell Set"/>
    <n v="2"/>
    <n v="198.42"/>
    <n v="0"/>
    <x v="2"/>
    <n v="396.84"/>
    <n v="271.89"/>
    <n v="124.95"/>
    <n v="1"/>
    <n v="0"/>
    <n v="5"/>
    <n v="4"/>
  </r>
  <r>
    <s v="SW-101759"/>
    <d v="2024-10-16T00:00:00"/>
    <x v="0"/>
    <s v="Q4"/>
    <x v="9"/>
    <x v="2"/>
    <x v="4"/>
    <x v="1"/>
    <x v="2"/>
    <s v="Bed Sheet Set"/>
    <n v="1"/>
    <n v="90.75"/>
    <n v="0"/>
    <x v="2"/>
    <n v="90.75"/>
    <n v="60.23"/>
    <n v="30.52"/>
    <n v="1"/>
    <n v="0"/>
    <n v="5"/>
    <n v="5"/>
  </r>
  <r>
    <s v="SW-101760"/>
    <d v="2024-10-16T00:00:00"/>
    <x v="0"/>
    <s v="Q4"/>
    <x v="9"/>
    <x v="2"/>
    <x v="4"/>
    <x v="0"/>
    <x v="1"/>
    <s v="Hair Dryer"/>
    <n v="3"/>
    <n v="33.18"/>
    <n v="0"/>
    <x v="2"/>
    <n v="99.54"/>
    <n v="47.02"/>
    <n v="52.52"/>
    <n v="1"/>
    <n v="0"/>
    <n v="6"/>
    <n v="4"/>
  </r>
  <r>
    <s v="SW-101761"/>
    <d v="2024-10-17T00:00:00"/>
    <x v="0"/>
    <s v="Q4"/>
    <x v="9"/>
    <x v="2"/>
    <x v="2"/>
    <x v="1"/>
    <x v="3"/>
    <s v="Fitness Tracker"/>
    <n v="2"/>
    <n v="74.459999999999994"/>
    <n v="0.05"/>
    <x v="0"/>
    <n v="141.47"/>
    <n v="103.88"/>
    <n v="37.590000000000003"/>
    <n v="1"/>
    <n v="0"/>
    <n v="3"/>
    <n v="4"/>
  </r>
  <r>
    <s v="SW-101762"/>
    <d v="2024-10-17T00:00:00"/>
    <x v="0"/>
    <s v="Q4"/>
    <x v="9"/>
    <x v="1"/>
    <x v="0"/>
    <x v="1"/>
    <x v="5"/>
    <s v="Board Game"/>
    <n v="1"/>
    <n v="57.92"/>
    <n v="0.05"/>
    <x v="0"/>
    <n v="55.02"/>
    <n v="41.66"/>
    <n v="13.36"/>
    <n v="1"/>
    <n v="0"/>
    <n v="3"/>
    <n v="3"/>
  </r>
  <r>
    <s v="SW-101763"/>
    <d v="2024-10-17T00:00:00"/>
    <x v="0"/>
    <s v="Q4"/>
    <x v="9"/>
    <x v="0"/>
    <x v="0"/>
    <x v="1"/>
    <x v="4"/>
    <s v="Power Bank"/>
    <n v="2"/>
    <n v="508.8"/>
    <n v="0.1"/>
    <x v="0"/>
    <n v="915.84"/>
    <n v="844.4"/>
    <n v="71.44"/>
    <n v="1"/>
    <n v="0"/>
    <n v="4"/>
    <n v="3"/>
  </r>
  <r>
    <s v="SW-101764"/>
    <d v="2024-10-17T00:00:00"/>
    <x v="0"/>
    <s v="Q4"/>
    <x v="9"/>
    <x v="1"/>
    <x v="0"/>
    <x v="1"/>
    <x v="4"/>
    <s v="Bluetooth Speaker"/>
    <n v="3"/>
    <n v="177.65"/>
    <n v="0"/>
    <x v="2"/>
    <n v="532.95000000000005"/>
    <n v="416.2"/>
    <n v="116.75"/>
    <n v="1"/>
    <n v="0"/>
    <n v="4"/>
    <n v="5"/>
  </r>
  <r>
    <s v="SW-101765"/>
    <d v="2024-10-17T00:00:00"/>
    <x v="0"/>
    <s v="Q4"/>
    <x v="9"/>
    <x v="2"/>
    <x v="2"/>
    <x v="0"/>
    <x v="1"/>
    <s v="Face Serum"/>
    <n v="2"/>
    <n v="33.479999999999997"/>
    <n v="0.05"/>
    <x v="0"/>
    <n v="63.61"/>
    <n v="32.659999999999997"/>
    <n v="30.95"/>
    <n v="1"/>
    <n v="0"/>
    <n v="4"/>
    <n v="4"/>
  </r>
  <r>
    <s v="SW-101766"/>
    <d v="2024-10-17T00:00:00"/>
    <x v="0"/>
    <s v="Q4"/>
    <x v="9"/>
    <x v="0"/>
    <x v="0"/>
    <x v="1"/>
    <x v="3"/>
    <s v="Yoga Mat"/>
    <n v="2"/>
    <n v="137.05000000000001"/>
    <n v="0.15"/>
    <x v="1"/>
    <n v="232.98"/>
    <n v="184.81"/>
    <n v="48.17"/>
    <n v="1"/>
    <n v="0"/>
    <n v="4"/>
    <n v="4"/>
  </r>
  <r>
    <s v="SW-101767"/>
    <d v="2024-10-18T00:00:00"/>
    <x v="0"/>
    <s v="Q4"/>
    <x v="9"/>
    <x v="2"/>
    <x v="0"/>
    <x v="0"/>
    <x v="5"/>
    <s v="Story Book Set"/>
    <n v="1"/>
    <n v="10.76"/>
    <n v="0"/>
    <x v="2"/>
    <n v="10.76"/>
    <n v="7.52"/>
    <n v="3.24"/>
    <n v="1"/>
    <n v="0"/>
    <n v="5"/>
    <n v="5"/>
  </r>
  <r>
    <s v="SW-101768"/>
    <d v="2024-10-18T00:00:00"/>
    <x v="0"/>
    <s v="Q4"/>
    <x v="9"/>
    <x v="0"/>
    <x v="0"/>
    <x v="1"/>
    <x v="4"/>
    <s v="Wireless Earbuds"/>
    <n v="2"/>
    <n v="588.41"/>
    <n v="0.05"/>
    <x v="0"/>
    <n v="1117.98"/>
    <n v="902.43"/>
    <n v="215.55"/>
    <n v="1"/>
    <n v="1"/>
    <n v="3"/>
    <n v="2"/>
  </r>
  <r>
    <s v="SW-101769"/>
    <d v="2024-10-18T00:00:00"/>
    <x v="0"/>
    <s v="Q4"/>
    <x v="9"/>
    <x v="0"/>
    <x v="0"/>
    <x v="1"/>
    <x v="4"/>
    <s v="Power Bank"/>
    <n v="1"/>
    <n v="508.8"/>
    <n v="0.05"/>
    <x v="0"/>
    <n v="483.36"/>
    <n v="421.79"/>
    <n v="61.57"/>
    <n v="1"/>
    <n v="1"/>
    <n v="4"/>
    <n v="3"/>
  </r>
  <r>
    <s v="SW-101770"/>
    <d v="2024-10-19T00:00:00"/>
    <x v="0"/>
    <s v="Q4"/>
    <x v="9"/>
    <x v="1"/>
    <x v="0"/>
    <x v="1"/>
    <x v="1"/>
    <s v="Skin Care Bundle"/>
    <n v="2"/>
    <n v="92.54"/>
    <n v="0.05"/>
    <x v="0"/>
    <n v="175.83"/>
    <n v="86.32"/>
    <n v="89.51"/>
    <n v="1"/>
    <n v="0"/>
    <n v="5"/>
    <n v="5"/>
  </r>
  <r>
    <s v="SW-101771"/>
    <d v="2024-10-19T00:00:00"/>
    <x v="0"/>
    <s v="Q4"/>
    <x v="9"/>
    <x v="0"/>
    <x v="4"/>
    <x v="0"/>
    <x v="5"/>
    <s v="Building Blocks"/>
    <n v="1"/>
    <n v="48.86"/>
    <n v="0"/>
    <x v="2"/>
    <n v="48.86"/>
    <n v="33.94"/>
    <n v="14.92"/>
    <n v="1"/>
    <n v="0"/>
    <n v="6"/>
    <n v="5"/>
  </r>
  <r>
    <s v="SW-101772"/>
    <d v="2024-10-19T00:00:00"/>
    <x v="0"/>
    <s v="Q4"/>
    <x v="9"/>
    <x v="0"/>
    <x v="2"/>
    <x v="1"/>
    <x v="4"/>
    <s v="Smart Watch"/>
    <n v="3"/>
    <n v="216.08"/>
    <n v="0.1"/>
    <x v="0"/>
    <n v="583.41999999999996"/>
    <n v="515.75"/>
    <n v="67.67"/>
    <n v="1"/>
    <n v="0"/>
    <n v="4"/>
    <n v="5"/>
  </r>
  <r>
    <s v="SW-101773"/>
    <d v="2024-10-19T00:00:00"/>
    <x v="0"/>
    <s v="Q4"/>
    <x v="9"/>
    <x v="0"/>
    <x v="0"/>
    <x v="0"/>
    <x v="4"/>
    <s v="4K Action Camera"/>
    <n v="1"/>
    <n v="636.09"/>
    <n v="0.05"/>
    <x v="0"/>
    <n v="604.29"/>
    <n v="519.64"/>
    <n v="84.65"/>
    <n v="1"/>
    <n v="0"/>
    <n v="3"/>
    <n v="4"/>
  </r>
  <r>
    <s v="SW-101774"/>
    <d v="2024-10-19T00:00:00"/>
    <x v="0"/>
    <s v="Q4"/>
    <x v="9"/>
    <x v="0"/>
    <x v="0"/>
    <x v="1"/>
    <x v="5"/>
    <s v="Story Book Set"/>
    <n v="1"/>
    <n v="10.76"/>
    <n v="0.25"/>
    <x v="3"/>
    <n v="8.07"/>
    <n v="7.65"/>
    <n v="0.42"/>
    <n v="1"/>
    <n v="0"/>
    <n v="4"/>
    <n v="4"/>
  </r>
  <r>
    <s v="SW-101775"/>
    <d v="2024-10-19T00:00:00"/>
    <x v="0"/>
    <s v="Q4"/>
    <x v="9"/>
    <x v="0"/>
    <x v="3"/>
    <x v="1"/>
    <x v="0"/>
    <s v="Denim Jacket"/>
    <n v="1"/>
    <n v="78.510000000000005"/>
    <n v="0"/>
    <x v="2"/>
    <n v="78.510000000000005"/>
    <n v="44.23"/>
    <n v="34.28"/>
    <n v="1"/>
    <n v="0"/>
    <n v="2"/>
    <n v="4"/>
  </r>
  <r>
    <s v="SW-101776"/>
    <d v="2024-10-19T00:00:00"/>
    <x v="0"/>
    <s v="Q4"/>
    <x v="9"/>
    <x v="1"/>
    <x v="0"/>
    <x v="0"/>
    <x v="2"/>
    <s v="Bed Sheet Set"/>
    <n v="1"/>
    <n v="90.75"/>
    <n v="0.15"/>
    <x v="1"/>
    <n v="77.14"/>
    <n v="60.34"/>
    <n v="16.8"/>
    <n v="1"/>
    <n v="0"/>
    <n v="5"/>
    <n v="4"/>
  </r>
  <r>
    <s v="SW-101777"/>
    <d v="2024-10-19T00:00:00"/>
    <x v="0"/>
    <s v="Q4"/>
    <x v="9"/>
    <x v="0"/>
    <x v="4"/>
    <x v="1"/>
    <x v="2"/>
    <s v="Storage Boxes"/>
    <n v="1"/>
    <n v="154.66"/>
    <n v="0.2"/>
    <x v="1"/>
    <n v="123.73"/>
    <n v="101.53"/>
    <n v="22.2"/>
    <n v="1"/>
    <n v="0"/>
    <n v="6"/>
    <n v="4"/>
  </r>
  <r>
    <s v="SW-101778"/>
    <d v="2024-10-19T00:00:00"/>
    <x v="0"/>
    <s v="Q4"/>
    <x v="9"/>
    <x v="0"/>
    <x v="3"/>
    <x v="1"/>
    <x v="4"/>
    <s v="Smart Watch"/>
    <n v="1"/>
    <n v="216.08"/>
    <n v="0.15"/>
    <x v="1"/>
    <n v="183.67"/>
    <n v="171.18"/>
    <n v="12.49"/>
    <n v="1"/>
    <n v="0"/>
    <n v="2"/>
    <n v="4"/>
  </r>
  <r>
    <s v="SW-101779"/>
    <d v="2024-10-19T00:00:00"/>
    <x v="0"/>
    <s v="Q4"/>
    <x v="9"/>
    <x v="0"/>
    <x v="3"/>
    <x v="0"/>
    <x v="0"/>
    <s v="Sunglasses"/>
    <n v="1"/>
    <n v="104.94"/>
    <n v="0.2"/>
    <x v="1"/>
    <n v="83.95"/>
    <n v="56.6"/>
    <n v="27.35"/>
    <n v="1"/>
    <n v="0"/>
    <n v="3"/>
    <n v="4"/>
  </r>
  <r>
    <s v="SW-101780"/>
    <d v="2024-10-19T00:00:00"/>
    <x v="0"/>
    <s v="Q4"/>
    <x v="9"/>
    <x v="0"/>
    <x v="3"/>
    <x v="1"/>
    <x v="4"/>
    <s v="Bluetooth Speaker"/>
    <n v="1"/>
    <n v="177.65"/>
    <n v="0.05"/>
    <x v="0"/>
    <n v="168.77"/>
    <n v="145.33000000000001"/>
    <n v="23.44"/>
    <n v="1"/>
    <n v="0"/>
    <n v="3"/>
    <n v="4"/>
  </r>
  <r>
    <s v="SW-101781"/>
    <d v="2024-10-20T00:00:00"/>
    <x v="0"/>
    <s v="Q4"/>
    <x v="9"/>
    <x v="0"/>
    <x v="2"/>
    <x v="1"/>
    <x v="2"/>
    <s v="Desk Lamp"/>
    <n v="1"/>
    <n v="117.63"/>
    <n v="0"/>
    <x v="2"/>
    <n v="117.63"/>
    <n v="77.5"/>
    <n v="40.130000000000003"/>
    <n v="1"/>
    <n v="0"/>
    <n v="3"/>
    <n v="4"/>
  </r>
  <r>
    <s v="SW-101782"/>
    <d v="2024-10-20T00:00:00"/>
    <x v="0"/>
    <s v="Q4"/>
    <x v="9"/>
    <x v="0"/>
    <x v="3"/>
    <x v="1"/>
    <x v="3"/>
    <s v="Cycling Helmet"/>
    <n v="2"/>
    <n v="85.42"/>
    <n v="0"/>
    <x v="2"/>
    <n v="170.84"/>
    <n v="114.81"/>
    <n v="56.03"/>
    <n v="1"/>
    <n v="0"/>
    <n v="3"/>
    <n v="4"/>
  </r>
  <r>
    <s v="SW-101783"/>
    <d v="2024-10-20T00:00:00"/>
    <x v="0"/>
    <s v="Q4"/>
    <x v="9"/>
    <x v="1"/>
    <x v="3"/>
    <x v="1"/>
    <x v="5"/>
    <s v="Board Game"/>
    <n v="1"/>
    <n v="57.92"/>
    <n v="0"/>
    <x v="2"/>
    <n v="57.92"/>
    <n v="41.53"/>
    <n v="16.39"/>
    <n v="1"/>
    <n v="0"/>
    <n v="3"/>
    <n v="5"/>
  </r>
  <r>
    <s v="SW-101784"/>
    <d v="2024-10-20T00:00:00"/>
    <x v="0"/>
    <s v="Q4"/>
    <x v="9"/>
    <x v="0"/>
    <x v="2"/>
    <x v="0"/>
    <x v="2"/>
    <s v="Storage Boxes"/>
    <n v="1"/>
    <n v="154.66"/>
    <n v="0"/>
    <x v="2"/>
    <n v="154.66"/>
    <n v="100.8"/>
    <n v="53.86"/>
    <n v="1"/>
    <n v="0"/>
    <n v="4"/>
    <n v="4"/>
  </r>
  <r>
    <s v="SW-101785"/>
    <d v="2024-10-20T00:00:00"/>
    <x v="0"/>
    <s v="Q4"/>
    <x v="9"/>
    <x v="0"/>
    <x v="2"/>
    <x v="0"/>
    <x v="0"/>
    <s v="Sunglasses"/>
    <n v="1"/>
    <n v="104.94"/>
    <n v="0.15"/>
    <x v="1"/>
    <n v="89.2"/>
    <n v="59.22"/>
    <n v="29.98"/>
    <n v="1"/>
    <n v="0"/>
    <n v="6"/>
    <n v="4"/>
  </r>
  <r>
    <s v="SW-101786"/>
    <d v="2024-10-20T00:00:00"/>
    <x v="0"/>
    <s v="Q4"/>
    <x v="9"/>
    <x v="2"/>
    <x v="3"/>
    <x v="0"/>
    <x v="0"/>
    <s v="Leather Handbag"/>
    <n v="1"/>
    <n v="138.5"/>
    <n v="0.05"/>
    <x v="0"/>
    <n v="131.57"/>
    <n v="71.95"/>
    <n v="59.62"/>
    <n v="1"/>
    <n v="0"/>
    <n v="3"/>
    <n v="4"/>
  </r>
  <r>
    <s v="SW-101787"/>
    <d v="2024-10-20T00:00:00"/>
    <x v="0"/>
    <s v="Q4"/>
    <x v="9"/>
    <x v="0"/>
    <x v="3"/>
    <x v="1"/>
    <x v="0"/>
    <s v="Running Sneakers"/>
    <n v="1"/>
    <n v="94.85"/>
    <n v="0.1"/>
    <x v="0"/>
    <n v="85.36"/>
    <n v="53.14"/>
    <n v="32.22"/>
    <n v="1"/>
    <n v="0"/>
    <n v="2"/>
    <n v="4"/>
  </r>
  <r>
    <s v="SW-101788"/>
    <d v="2024-10-21T00:00:00"/>
    <x v="0"/>
    <s v="Q4"/>
    <x v="9"/>
    <x v="1"/>
    <x v="2"/>
    <x v="1"/>
    <x v="0"/>
    <s v="Denim Jacket"/>
    <n v="3"/>
    <n v="78.510000000000005"/>
    <n v="0"/>
    <x v="2"/>
    <n v="235.53"/>
    <n v="123.02"/>
    <n v="112.51"/>
    <n v="1"/>
    <n v="0"/>
    <n v="4"/>
    <n v="5"/>
  </r>
  <r>
    <s v="SW-101789"/>
    <d v="2024-10-21T00:00:00"/>
    <x v="0"/>
    <s v="Q4"/>
    <x v="9"/>
    <x v="2"/>
    <x v="3"/>
    <x v="0"/>
    <x v="1"/>
    <s v="Hair Dryer"/>
    <n v="4"/>
    <n v="33.18"/>
    <n v="0"/>
    <x v="2"/>
    <n v="132.72"/>
    <n v="63.75"/>
    <n v="68.97"/>
    <n v="1"/>
    <n v="0"/>
    <n v="2"/>
    <n v="4"/>
  </r>
  <r>
    <s v="SW-101790"/>
    <d v="2024-10-21T00:00:00"/>
    <x v="0"/>
    <s v="Q4"/>
    <x v="9"/>
    <x v="0"/>
    <x v="0"/>
    <x v="1"/>
    <x v="0"/>
    <s v="Cotton T-Shirt"/>
    <n v="4"/>
    <n v="19.41"/>
    <n v="0"/>
    <x v="2"/>
    <n v="77.64"/>
    <n v="38.68"/>
    <n v="38.96"/>
    <n v="1"/>
    <n v="0"/>
    <n v="5"/>
    <n v="4"/>
  </r>
  <r>
    <s v="SW-101791"/>
    <d v="2024-10-21T00:00:00"/>
    <x v="0"/>
    <s v="Q4"/>
    <x v="9"/>
    <x v="0"/>
    <x v="2"/>
    <x v="1"/>
    <x v="2"/>
    <s v="Cookware Set"/>
    <n v="4"/>
    <n v="233.81"/>
    <n v="0.2"/>
    <x v="1"/>
    <n v="748.19"/>
    <n v="605.66"/>
    <n v="142.53"/>
    <n v="1"/>
    <n v="0"/>
    <n v="5"/>
    <n v="4"/>
  </r>
  <r>
    <s v="SW-101792"/>
    <d v="2024-10-22T00:00:00"/>
    <x v="0"/>
    <s v="Q4"/>
    <x v="9"/>
    <x v="1"/>
    <x v="3"/>
    <x v="1"/>
    <x v="2"/>
    <s v="Cookware Set"/>
    <n v="1"/>
    <n v="233.81"/>
    <n v="0.05"/>
    <x v="0"/>
    <n v="222.12"/>
    <n v="160.12"/>
    <n v="62"/>
    <n v="1"/>
    <n v="0"/>
    <n v="2"/>
    <n v="4"/>
  </r>
  <r>
    <s v="SW-101793"/>
    <d v="2024-10-22T00:00:00"/>
    <x v="0"/>
    <s v="Q4"/>
    <x v="9"/>
    <x v="2"/>
    <x v="2"/>
    <x v="1"/>
    <x v="0"/>
    <s v="Leather Handbag"/>
    <n v="2"/>
    <n v="138.5"/>
    <n v="0.05"/>
    <x v="0"/>
    <n v="263.14999999999998"/>
    <n v="145.88"/>
    <n v="117.27"/>
    <n v="1"/>
    <n v="0"/>
    <n v="5"/>
    <n v="4"/>
  </r>
  <r>
    <s v="SW-101794"/>
    <d v="2024-10-22T00:00:00"/>
    <x v="0"/>
    <s v="Q4"/>
    <x v="9"/>
    <x v="2"/>
    <x v="1"/>
    <x v="0"/>
    <x v="1"/>
    <s v="Face Serum"/>
    <n v="1"/>
    <n v="33.479999999999997"/>
    <n v="0.05"/>
    <x v="0"/>
    <n v="31.81"/>
    <n v="16.260000000000002"/>
    <n v="15.55"/>
    <n v="1"/>
    <n v="0"/>
    <n v="7"/>
    <n v="4"/>
  </r>
  <r>
    <s v="SW-101795"/>
    <d v="2024-10-22T00:00:00"/>
    <x v="0"/>
    <s v="Q4"/>
    <x v="9"/>
    <x v="0"/>
    <x v="0"/>
    <x v="1"/>
    <x v="5"/>
    <s v="Board Game"/>
    <n v="1"/>
    <n v="57.92"/>
    <n v="0"/>
    <x v="2"/>
    <n v="57.92"/>
    <n v="40.11"/>
    <n v="17.809999999999999"/>
    <n v="1"/>
    <n v="0"/>
    <n v="4"/>
    <n v="5"/>
  </r>
  <r>
    <s v="SW-101796"/>
    <d v="2024-10-22T00:00:00"/>
    <x v="0"/>
    <s v="Q4"/>
    <x v="9"/>
    <x v="0"/>
    <x v="2"/>
    <x v="0"/>
    <x v="0"/>
    <s v="Denim Jacket"/>
    <n v="1"/>
    <n v="78.510000000000005"/>
    <n v="0.05"/>
    <x v="0"/>
    <n v="74.58"/>
    <n v="42.85"/>
    <n v="31.73"/>
    <n v="1"/>
    <n v="0"/>
    <n v="4"/>
    <n v="5"/>
  </r>
  <r>
    <s v="SW-101797"/>
    <d v="2024-10-22T00:00:00"/>
    <x v="0"/>
    <s v="Q4"/>
    <x v="9"/>
    <x v="1"/>
    <x v="0"/>
    <x v="1"/>
    <x v="0"/>
    <s v="Denim Jacket"/>
    <n v="2"/>
    <n v="78.510000000000005"/>
    <n v="0"/>
    <x v="2"/>
    <n v="157.02000000000001"/>
    <n v="89.81"/>
    <n v="67.209999999999994"/>
    <n v="1"/>
    <n v="0"/>
    <n v="4"/>
    <n v="4"/>
  </r>
  <r>
    <s v="SW-101798"/>
    <d v="2024-10-22T00:00:00"/>
    <x v="0"/>
    <s v="Q4"/>
    <x v="9"/>
    <x v="1"/>
    <x v="3"/>
    <x v="1"/>
    <x v="2"/>
    <s v="Storage Boxes"/>
    <n v="1"/>
    <n v="154.66"/>
    <n v="0.05"/>
    <x v="0"/>
    <n v="146.93"/>
    <n v="102.97"/>
    <n v="43.96"/>
    <n v="1"/>
    <n v="0"/>
    <n v="2"/>
    <n v="4"/>
  </r>
  <r>
    <s v="SW-101799"/>
    <d v="2024-10-22T00:00:00"/>
    <x v="0"/>
    <s v="Q4"/>
    <x v="9"/>
    <x v="0"/>
    <x v="4"/>
    <x v="1"/>
    <x v="3"/>
    <s v="Cycling Helmet"/>
    <n v="1"/>
    <n v="85.42"/>
    <n v="0.1"/>
    <x v="0"/>
    <n v="76.88"/>
    <n v="54.55"/>
    <n v="22.33"/>
    <n v="1"/>
    <n v="1"/>
    <n v="6"/>
    <n v="2"/>
  </r>
  <r>
    <s v="SW-101800"/>
    <d v="2024-10-22T00:00:00"/>
    <x v="0"/>
    <s v="Q4"/>
    <x v="9"/>
    <x v="0"/>
    <x v="4"/>
    <x v="1"/>
    <x v="2"/>
    <s v="Desk Lamp"/>
    <n v="3"/>
    <n v="117.63"/>
    <n v="0"/>
    <x v="2"/>
    <n v="352.89"/>
    <n v="242.84"/>
    <n v="110.05"/>
    <n v="1"/>
    <n v="0"/>
    <n v="7"/>
    <n v="1"/>
  </r>
  <r>
    <s v="SW-101801"/>
    <d v="2024-10-22T00:00:00"/>
    <x v="0"/>
    <s v="Q4"/>
    <x v="9"/>
    <x v="1"/>
    <x v="0"/>
    <x v="0"/>
    <x v="0"/>
    <s v="Leather Handbag"/>
    <n v="1"/>
    <n v="138.5"/>
    <n v="0.1"/>
    <x v="0"/>
    <n v="124.65"/>
    <n v="78.66"/>
    <n v="45.99"/>
    <n v="1"/>
    <n v="0"/>
    <n v="3"/>
    <n v="5"/>
  </r>
  <r>
    <s v="SW-101802"/>
    <d v="2024-10-23T00:00:00"/>
    <x v="0"/>
    <s v="Q4"/>
    <x v="9"/>
    <x v="0"/>
    <x v="0"/>
    <x v="1"/>
    <x v="2"/>
    <s v="Desk Lamp"/>
    <n v="1"/>
    <n v="117.63"/>
    <n v="0.25"/>
    <x v="3"/>
    <n v="88.22"/>
    <n v="77.94"/>
    <n v="10.28"/>
    <n v="1"/>
    <n v="0"/>
    <n v="5"/>
    <n v="5"/>
  </r>
  <r>
    <s v="SW-101803"/>
    <d v="2024-10-23T00:00:00"/>
    <x v="0"/>
    <s v="Q4"/>
    <x v="9"/>
    <x v="0"/>
    <x v="1"/>
    <x v="0"/>
    <x v="5"/>
    <s v="Bestseller Novel"/>
    <n v="1"/>
    <n v="45.28"/>
    <n v="0.05"/>
    <x v="0"/>
    <n v="43.02"/>
    <n v="32.58"/>
    <n v="10.44"/>
    <n v="1"/>
    <n v="0"/>
    <n v="8"/>
    <n v="4"/>
  </r>
  <r>
    <s v="SW-101804"/>
    <d v="2024-10-23T00:00:00"/>
    <x v="0"/>
    <s v="Q4"/>
    <x v="9"/>
    <x v="1"/>
    <x v="0"/>
    <x v="1"/>
    <x v="2"/>
    <s v="Air Fryer"/>
    <n v="1"/>
    <n v="68.349999999999994"/>
    <n v="0.2"/>
    <x v="1"/>
    <n v="54.68"/>
    <n v="47.22"/>
    <n v="7.46"/>
    <n v="1"/>
    <n v="0"/>
    <n v="4"/>
    <n v="5"/>
  </r>
  <r>
    <s v="SW-101805"/>
    <d v="2024-10-23T00:00:00"/>
    <x v="0"/>
    <s v="Q4"/>
    <x v="9"/>
    <x v="1"/>
    <x v="0"/>
    <x v="1"/>
    <x v="5"/>
    <s v="Board Game"/>
    <n v="2"/>
    <n v="57.92"/>
    <n v="0.1"/>
    <x v="0"/>
    <n v="104.26"/>
    <n v="82.43"/>
    <n v="21.83"/>
    <n v="1"/>
    <n v="0"/>
    <n v="4"/>
    <n v="4"/>
  </r>
  <r>
    <s v="SW-101806"/>
    <d v="2024-10-23T00:00:00"/>
    <x v="0"/>
    <s v="Q4"/>
    <x v="9"/>
    <x v="0"/>
    <x v="1"/>
    <x v="1"/>
    <x v="3"/>
    <s v="Dumbbell Set"/>
    <n v="2"/>
    <n v="198.42"/>
    <n v="0.15"/>
    <x v="1"/>
    <n v="337.31"/>
    <n v="285.07"/>
    <n v="52.24"/>
    <n v="1"/>
    <n v="1"/>
    <n v="6"/>
    <n v="2"/>
  </r>
  <r>
    <s v="SW-101807"/>
    <d v="2024-10-23T00:00:00"/>
    <x v="0"/>
    <s v="Q4"/>
    <x v="9"/>
    <x v="2"/>
    <x v="0"/>
    <x v="1"/>
    <x v="2"/>
    <s v="Air Fryer"/>
    <n v="1"/>
    <n v="68.349999999999994"/>
    <n v="0"/>
    <x v="2"/>
    <n v="68.349999999999994"/>
    <n v="46.28"/>
    <n v="22.07"/>
    <n v="1"/>
    <n v="0"/>
    <n v="3"/>
    <n v="3"/>
  </r>
  <r>
    <s v="SW-101808"/>
    <d v="2024-10-23T00:00:00"/>
    <x v="0"/>
    <s v="Q4"/>
    <x v="9"/>
    <x v="1"/>
    <x v="3"/>
    <x v="1"/>
    <x v="1"/>
    <s v="Skin Care Bundle"/>
    <n v="1"/>
    <n v="92.54"/>
    <n v="0.2"/>
    <x v="1"/>
    <n v="74.03"/>
    <n v="43.98"/>
    <n v="30.05"/>
    <n v="1"/>
    <n v="0"/>
    <n v="3"/>
    <n v="3"/>
  </r>
  <r>
    <s v="SW-101809"/>
    <d v="2024-10-23T00:00:00"/>
    <x v="0"/>
    <s v="Q4"/>
    <x v="9"/>
    <x v="0"/>
    <x v="0"/>
    <x v="1"/>
    <x v="0"/>
    <s v="Denim Jacket"/>
    <n v="2"/>
    <n v="78.510000000000005"/>
    <n v="0.05"/>
    <x v="0"/>
    <n v="149.16999999999999"/>
    <n v="83.05"/>
    <n v="66.12"/>
    <n v="1"/>
    <n v="0"/>
    <n v="4"/>
    <n v="5"/>
  </r>
  <r>
    <s v="SW-101810"/>
    <d v="2024-10-23T00:00:00"/>
    <x v="0"/>
    <s v="Q4"/>
    <x v="9"/>
    <x v="1"/>
    <x v="4"/>
    <x v="1"/>
    <x v="4"/>
    <s v="Smart Watch"/>
    <n v="1"/>
    <n v="216.08"/>
    <n v="0"/>
    <x v="2"/>
    <n v="216.08"/>
    <n v="164.6"/>
    <n v="51.48"/>
    <n v="1"/>
    <n v="0"/>
    <n v="5"/>
    <n v="4"/>
  </r>
  <r>
    <s v="SW-101811"/>
    <d v="2024-10-24T00:00:00"/>
    <x v="0"/>
    <s v="Q4"/>
    <x v="9"/>
    <x v="0"/>
    <x v="0"/>
    <x v="0"/>
    <x v="5"/>
    <s v="Bestseller Novel"/>
    <n v="1"/>
    <n v="45.28"/>
    <n v="0"/>
    <x v="2"/>
    <n v="45.28"/>
    <n v="32.090000000000003"/>
    <n v="13.19"/>
    <n v="1"/>
    <n v="0"/>
    <n v="3"/>
    <n v="4"/>
  </r>
  <r>
    <s v="SW-101812"/>
    <d v="2024-10-24T00:00:00"/>
    <x v="0"/>
    <s v="Q4"/>
    <x v="9"/>
    <x v="2"/>
    <x v="3"/>
    <x v="1"/>
    <x v="4"/>
    <s v="Smart Watch"/>
    <n v="2"/>
    <n v="216.08"/>
    <n v="0.1"/>
    <x v="0"/>
    <n v="388.94"/>
    <n v="341.03"/>
    <n v="47.91"/>
    <n v="1"/>
    <n v="0"/>
    <n v="3"/>
    <n v="4"/>
  </r>
  <r>
    <s v="SW-101813"/>
    <d v="2024-10-24T00:00:00"/>
    <x v="0"/>
    <s v="Q4"/>
    <x v="9"/>
    <x v="2"/>
    <x v="4"/>
    <x v="1"/>
    <x v="4"/>
    <s v="Power Bank"/>
    <n v="1"/>
    <n v="508.8"/>
    <n v="0"/>
    <x v="2"/>
    <n v="508.8"/>
    <n v="395.52"/>
    <n v="113.28"/>
    <n v="1"/>
    <n v="0"/>
    <n v="6"/>
    <n v="4"/>
  </r>
  <r>
    <s v="SW-101814"/>
    <d v="2024-10-24T00:00:00"/>
    <x v="0"/>
    <s v="Q4"/>
    <x v="9"/>
    <x v="0"/>
    <x v="2"/>
    <x v="1"/>
    <x v="3"/>
    <s v="Dumbbell Set"/>
    <n v="1"/>
    <n v="198.42"/>
    <n v="0.1"/>
    <x v="0"/>
    <n v="178.58"/>
    <n v="136.61000000000001"/>
    <n v="41.97"/>
    <n v="1"/>
    <n v="0"/>
    <n v="3"/>
    <n v="4"/>
  </r>
  <r>
    <s v="SW-101815"/>
    <d v="2024-10-24T00:00:00"/>
    <x v="0"/>
    <s v="Q4"/>
    <x v="9"/>
    <x v="1"/>
    <x v="2"/>
    <x v="0"/>
    <x v="4"/>
    <s v="Bluetooth Speaker"/>
    <n v="1"/>
    <n v="177.65"/>
    <n v="0.05"/>
    <x v="0"/>
    <n v="168.77"/>
    <n v="138.59"/>
    <n v="30.18"/>
    <n v="1"/>
    <n v="0"/>
    <n v="3"/>
    <n v="4"/>
  </r>
  <r>
    <s v="SW-101816"/>
    <d v="2024-10-24T00:00:00"/>
    <x v="0"/>
    <s v="Q4"/>
    <x v="9"/>
    <x v="0"/>
    <x v="1"/>
    <x v="0"/>
    <x v="2"/>
    <s v="Air Fryer"/>
    <n v="1"/>
    <n v="68.349999999999994"/>
    <n v="0.05"/>
    <x v="0"/>
    <n v="64.930000000000007"/>
    <n v="47.8"/>
    <n v="17.13"/>
    <n v="1"/>
    <n v="0"/>
    <n v="5"/>
    <n v="5"/>
  </r>
  <r>
    <s v="SW-101817"/>
    <d v="2024-10-24T00:00:00"/>
    <x v="0"/>
    <s v="Q4"/>
    <x v="9"/>
    <x v="0"/>
    <x v="1"/>
    <x v="0"/>
    <x v="3"/>
    <s v="Dumbbell Set"/>
    <n v="1"/>
    <n v="198.42"/>
    <n v="0"/>
    <x v="2"/>
    <n v="198.42"/>
    <n v="131.77000000000001"/>
    <n v="66.650000000000006"/>
    <n v="1"/>
    <n v="0"/>
    <n v="6"/>
    <n v="3"/>
  </r>
  <r>
    <s v="SW-101818"/>
    <d v="2024-10-24T00:00:00"/>
    <x v="0"/>
    <s v="Q4"/>
    <x v="9"/>
    <x v="1"/>
    <x v="2"/>
    <x v="1"/>
    <x v="2"/>
    <s v="Desk Lamp"/>
    <n v="1"/>
    <n v="117.63"/>
    <n v="0.1"/>
    <x v="0"/>
    <n v="105.87"/>
    <n v="80.97"/>
    <n v="24.9"/>
    <n v="1"/>
    <n v="0"/>
    <n v="3"/>
    <n v="4"/>
  </r>
  <r>
    <s v="SW-101819"/>
    <d v="2024-10-25T00:00:00"/>
    <x v="0"/>
    <s v="Q4"/>
    <x v="9"/>
    <x v="0"/>
    <x v="3"/>
    <x v="1"/>
    <x v="4"/>
    <s v="Tablet 10in"/>
    <n v="1"/>
    <n v="490.3"/>
    <n v="0.05"/>
    <x v="0"/>
    <n v="465.78"/>
    <n v="381.1"/>
    <n v="84.68"/>
    <n v="1"/>
    <n v="0"/>
    <n v="4"/>
    <n v="4"/>
  </r>
  <r>
    <s v="SW-101820"/>
    <d v="2024-10-25T00:00:00"/>
    <x v="0"/>
    <s v="Q4"/>
    <x v="9"/>
    <x v="0"/>
    <x v="2"/>
    <x v="0"/>
    <x v="5"/>
    <s v="Building Blocks"/>
    <n v="1"/>
    <n v="48.86"/>
    <n v="0.2"/>
    <x v="1"/>
    <n v="39.090000000000003"/>
    <n v="35.39"/>
    <n v="3.7"/>
    <n v="1"/>
    <n v="0"/>
    <n v="4"/>
    <n v="5"/>
  </r>
  <r>
    <s v="SW-101821"/>
    <d v="2024-10-25T00:00:00"/>
    <x v="0"/>
    <s v="Q4"/>
    <x v="9"/>
    <x v="1"/>
    <x v="1"/>
    <x v="1"/>
    <x v="0"/>
    <s v="Cotton T-Shirt"/>
    <n v="1"/>
    <n v="19.41"/>
    <n v="0"/>
    <x v="2"/>
    <n v="19.41"/>
    <n v="10.31"/>
    <n v="9.1"/>
    <n v="1"/>
    <n v="0"/>
    <n v="6"/>
    <n v="4"/>
  </r>
  <r>
    <s v="SW-101822"/>
    <d v="2024-10-25T00:00:00"/>
    <x v="0"/>
    <s v="Q4"/>
    <x v="9"/>
    <x v="0"/>
    <x v="3"/>
    <x v="0"/>
    <x v="4"/>
    <s v="4K Action Camera"/>
    <n v="4"/>
    <n v="636.09"/>
    <n v="0"/>
    <x v="2"/>
    <n v="2544.36"/>
    <n v="2127.38"/>
    <n v="416.98"/>
    <n v="1"/>
    <n v="0"/>
    <n v="3"/>
    <n v="5"/>
  </r>
  <r>
    <s v="SW-101823"/>
    <d v="2024-10-25T00:00:00"/>
    <x v="0"/>
    <s v="Q4"/>
    <x v="9"/>
    <x v="0"/>
    <x v="0"/>
    <x v="1"/>
    <x v="0"/>
    <s v="Denim Jacket"/>
    <n v="1"/>
    <n v="78.510000000000005"/>
    <n v="0.25"/>
    <x v="3"/>
    <n v="58.88"/>
    <n v="40.549999999999997"/>
    <n v="18.329999999999998"/>
    <n v="1"/>
    <n v="1"/>
    <n v="3"/>
    <n v="3"/>
  </r>
  <r>
    <s v="SW-101824"/>
    <d v="2024-10-25T00:00:00"/>
    <x v="0"/>
    <s v="Q4"/>
    <x v="9"/>
    <x v="0"/>
    <x v="1"/>
    <x v="1"/>
    <x v="4"/>
    <s v="Power Bank"/>
    <n v="1"/>
    <n v="508.8"/>
    <n v="0.3"/>
    <x v="3"/>
    <n v="356.16"/>
    <n v="410.54"/>
    <n v="-54.38"/>
    <n v="1"/>
    <n v="0"/>
    <n v="5"/>
    <n v="4"/>
  </r>
  <r>
    <s v="SW-101825"/>
    <d v="2024-10-25T00:00:00"/>
    <x v="0"/>
    <s v="Q4"/>
    <x v="9"/>
    <x v="0"/>
    <x v="2"/>
    <x v="0"/>
    <x v="2"/>
    <s v="Cookware Set"/>
    <n v="1"/>
    <n v="233.81"/>
    <n v="0"/>
    <x v="2"/>
    <n v="233.81"/>
    <n v="156.80000000000001"/>
    <n v="77.010000000000005"/>
    <n v="1"/>
    <n v="0"/>
    <n v="4"/>
    <n v="4"/>
  </r>
  <r>
    <s v="SW-101826"/>
    <d v="2024-10-25T00:00:00"/>
    <x v="0"/>
    <s v="Q4"/>
    <x v="9"/>
    <x v="0"/>
    <x v="0"/>
    <x v="1"/>
    <x v="1"/>
    <s v="Perfume 100ml"/>
    <n v="1"/>
    <n v="54.56"/>
    <n v="0"/>
    <x v="2"/>
    <n v="54.56"/>
    <n v="27"/>
    <n v="27.56"/>
    <n v="1"/>
    <n v="0"/>
    <n v="3"/>
    <n v="5"/>
  </r>
  <r>
    <s v="SW-101827"/>
    <d v="2024-10-26T00:00:00"/>
    <x v="0"/>
    <s v="Q4"/>
    <x v="9"/>
    <x v="0"/>
    <x v="2"/>
    <x v="1"/>
    <x v="0"/>
    <s v="Running Sneakers"/>
    <n v="1"/>
    <n v="94.85"/>
    <n v="0.05"/>
    <x v="0"/>
    <n v="90.11"/>
    <n v="51.05"/>
    <n v="39.06"/>
    <n v="1"/>
    <n v="0"/>
    <n v="4"/>
    <n v="4"/>
  </r>
  <r>
    <s v="SW-101828"/>
    <d v="2024-10-26T00:00:00"/>
    <x v="0"/>
    <s v="Q4"/>
    <x v="9"/>
    <x v="0"/>
    <x v="1"/>
    <x v="1"/>
    <x v="3"/>
    <s v="Yoga Mat"/>
    <n v="2"/>
    <n v="137.05000000000001"/>
    <n v="0"/>
    <x v="2"/>
    <n v="274.10000000000002"/>
    <n v="195.01"/>
    <n v="79.09"/>
    <n v="1"/>
    <n v="0"/>
    <n v="5"/>
    <n v="5"/>
  </r>
  <r>
    <s v="SW-101829"/>
    <d v="2024-10-26T00:00:00"/>
    <x v="0"/>
    <s v="Q4"/>
    <x v="9"/>
    <x v="0"/>
    <x v="0"/>
    <x v="1"/>
    <x v="3"/>
    <s v="Yoga Mat"/>
    <n v="1"/>
    <n v="137.05000000000001"/>
    <n v="0.15"/>
    <x v="1"/>
    <n v="116.49"/>
    <n v="92.36"/>
    <n v="24.13"/>
    <n v="1"/>
    <n v="0"/>
    <n v="4"/>
    <n v="5"/>
  </r>
  <r>
    <s v="SW-101830"/>
    <d v="2024-10-26T00:00:00"/>
    <x v="0"/>
    <s v="Q4"/>
    <x v="9"/>
    <x v="1"/>
    <x v="2"/>
    <x v="0"/>
    <x v="2"/>
    <s v="Storage Boxes"/>
    <n v="1"/>
    <n v="154.66"/>
    <n v="0.05"/>
    <x v="0"/>
    <n v="146.93"/>
    <n v="101.99"/>
    <n v="44.94"/>
    <n v="1"/>
    <n v="0"/>
    <n v="3"/>
    <n v="4"/>
  </r>
  <r>
    <s v="SW-101831"/>
    <d v="2024-10-26T00:00:00"/>
    <x v="0"/>
    <s v="Q4"/>
    <x v="9"/>
    <x v="0"/>
    <x v="4"/>
    <x v="0"/>
    <x v="5"/>
    <s v="Bestseller Novel"/>
    <n v="1"/>
    <n v="45.28"/>
    <n v="0.15"/>
    <x v="1"/>
    <n v="38.49"/>
    <n v="33.01"/>
    <n v="5.48"/>
    <n v="1"/>
    <n v="0"/>
    <n v="6"/>
    <n v="4"/>
  </r>
  <r>
    <s v="SW-101832"/>
    <d v="2024-10-26T00:00:00"/>
    <x v="0"/>
    <s v="Q4"/>
    <x v="9"/>
    <x v="0"/>
    <x v="0"/>
    <x v="1"/>
    <x v="0"/>
    <s v="Running Sneakers"/>
    <n v="2"/>
    <n v="94.85"/>
    <n v="0.05"/>
    <x v="0"/>
    <n v="180.21"/>
    <n v="100.11"/>
    <n v="80.099999999999994"/>
    <n v="1"/>
    <n v="0"/>
    <n v="6"/>
    <n v="3"/>
  </r>
  <r>
    <s v="SW-101833"/>
    <d v="2024-10-26T00:00:00"/>
    <x v="0"/>
    <s v="Q4"/>
    <x v="9"/>
    <x v="0"/>
    <x v="2"/>
    <x v="0"/>
    <x v="0"/>
    <s v="Cotton T-Shirt"/>
    <n v="2"/>
    <n v="19.41"/>
    <n v="0.3"/>
    <x v="3"/>
    <n v="27.17"/>
    <n v="21.35"/>
    <n v="5.82"/>
    <n v="1"/>
    <n v="0"/>
    <n v="3"/>
    <n v="5"/>
  </r>
  <r>
    <s v="SW-101834"/>
    <d v="2024-10-26T00:00:00"/>
    <x v="0"/>
    <s v="Q4"/>
    <x v="9"/>
    <x v="2"/>
    <x v="3"/>
    <x v="1"/>
    <x v="2"/>
    <s v="Storage Boxes"/>
    <n v="1"/>
    <n v="154.66"/>
    <n v="0.15"/>
    <x v="1"/>
    <n v="131.46"/>
    <n v="98.44"/>
    <n v="33.020000000000003"/>
    <n v="1"/>
    <n v="0"/>
    <n v="4"/>
    <n v="4"/>
  </r>
  <r>
    <s v="SW-101835"/>
    <d v="2024-10-26T00:00:00"/>
    <x v="0"/>
    <s v="Q4"/>
    <x v="9"/>
    <x v="1"/>
    <x v="2"/>
    <x v="1"/>
    <x v="5"/>
    <s v="Story Book Set"/>
    <n v="1"/>
    <n v="10.76"/>
    <n v="0"/>
    <x v="2"/>
    <n v="10.76"/>
    <n v="7.6"/>
    <n v="3.16"/>
    <n v="1"/>
    <n v="0"/>
    <n v="4"/>
    <n v="5"/>
  </r>
  <r>
    <s v="SW-101836"/>
    <d v="2024-10-27T00:00:00"/>
    <x v="0"/>
    <s v="Q4"/>
    <x v="9"/>
    <x v="2"/>
    <x v="2"/>
    <x v="1"/>
    <x v="2"/>
    <s v="Bed Sheet Set"/>
    <n v="4"/>
    <n v="90.75"/>
    <n v="0"/>
    <x v="2"/>
    <n v="363"/>
    <n v="231.48"/>
    <n v="131.52000000000001"/>
    <n v="1"/>
    <n v="0"/>
    <n v="4"/>
    <n v="5"/>
  </r>
  <r>
    <s v="SW-101837"/>
    <d v="2024-10-27T00:00:00"/>
    <x v="0"/>
    <s v="Q4"/>
    <x v="9"/>
    <x v="0"/>
    <x v="0"/>
    <x v="1"/>
    <x v="1"/>
    <s v="Skin Care Bundle"/>
    <n v="4"/>
    <n v="92.54"/>
    <n v="0.15"/>
    <x v="1"/>
    <n v="314.64"/>
    <n v="166.96"/>
    <n v="147.68"/>
    <n v="1"/>
    <n v="0"/>
    <n v="6"/>
    <n v="3"/>
  </r>
  <r>
    <s v="SW-101838"/>
    <d v="2024-10-27T00:00:00"/>
    <x v="0"/>
    <s v="Q4"/>
    <x v="9"/>
    <x v="0"/>
    <x v="2"/>
    <x v="1"/>
    <x v="2"/>
    <s v="Desk Lamp"/>
    <n v="4"/>
    <n v="117.63"/>
    <n v="0.05"/>
    <x v="0"/>
    <n v="446.99"/>
    <n v="321.83"/>
    <n v="125.16"/>
    <n v="1"/>
    <n v="0"/>
    <n v="4"/>
    <n v="5"/>
  </r>
  <r>
    <s v="SW-101839"/>
    <d v="2024-10-27T00:00:00"/>
    <x v="0"/>
    <s v="Q4"/>
    <x v="9"/>
    <x v="2"/>
    <x v="2"/>
    <x v="0"/>
    <x v="5"/>
    <s v="Building Blocks"/>
    <n v="1"/>
    <n v="48.86"/>
    <n v="0.05"/>
    <x v="0"/>
    <n v="46.42"/>
    <n v="34.43"/>
    <n v="11.99"/>
    <n v="1"/>
    <n v="0"/>
    <n v="4"/>
    <n v="4"/>
  </r>
  <r>
    <s v="SW-101840"/>
    <d v="2024-10-27T00:00:00"/>
    <x v="0"/>
    <s v="Q4"/>
    <x v="9"/>
    <x v="0"/>
    <x v="3"/>
    <x v="1"/>
    <x v="3"/>
    <s v="Fitness Tracker"/>
    <n v="1"/>
    <n v="74.459999999999994"/>
    <n v="0"/>
    <x v="2"/>
    <n v="74.459999999999994"/>
    <n v="49.74"/>
    <n v="24.72"/>
    <n v="1"/>
    <n v="0"/>
    <n v="4"/>
    <n v="4"/>
  </r>
  <r>
    <s v="SW-101841"/>
    <d v="2024-10-27T00:00:00"/>
    <x v="0"/>
    <s v="Q4"/>
    <x v="9"/>
    <x v="2"/>
    <x v="3"/>
    <x v="1"/>
    <x v="4"/>
    <s v="Tablet 10in"/>
    <n v="1"/>
    <n v="490.3"/>
    <n v="0.2"/>
    <x v="1"/>
    <n v="392.24"/>
    <n v="384.98"/>
    <n v="7.26"/>
    <n v="1"/>
    <n v="1"/>
    <n v="2"/>
    <n v="2"/>
  </r>
  <r>
    <s v="SW-101842"/>
    <d v="2024-10-27T00:00:00"/>
    <x v="0"/>
    <s v="Q4"/>
    <x v="9"/>
    <x v="1"/>
    <x v="1"/>
    <x v="1"/>
    <x v="1"/>
    <s v="Skin Care Bundle"/>
    <n v="4"/>
    <n v="92.54"/>
    <n v="0"/>
    <x v="2"/>
    <n v="370.16"/>
    <n v="176.08"/>
    <n v="194.08"/>
    <n v="1"/>
    <n v="0"/>
    <n v="7"/>
    <n v="2"/>
  </r>
  <r>
    <s v="SW-101843"/>
    <d v="2024-10-28T00:00:00"/>
    <x v="0"/>
    <s v="Q4"/>
    <x v="9"/>
    <x v="2"/>
    <x v="4"/>
    <x v="1"/>
    <x v="2"/>
    <s v="Cookware Set"/>
    <n v="1"/>
    <n v="233.81"/>
    <n v="0"/>
    <x v="2"/>
    <n v="233.81"/>
    <n v="157.6"/>
    <n v="76.209999999999994"/>
    <n v="1"/>
    <n v="0"/>
    <n v="6"/>
    <n v="4"/>
  </r>
  <r>
    <s v="SW-101844"/>
    <d v="2024-10-28T00:00:00"/>
    <x v="0"/>
    <s v="Q4"/>
    <x v="9"/>
    <x v="1"/>
    <x v="4"/>
    <x v="1"/>
    <x v="0"/>
    <s v="Running Sneakers"/>
    <n v="1"/>
    <n v="94.85"/>
    <n v="0.2"/>
    <x v="1"/>
    <n v="75.88"/>
    <n v="49.29"/>
    <n v="26.59"/>
    <n v="1"/>
    <n v="1"/>
    <n v="6"/>
    <n v="2"/>
  </r>
  <r>
    <s v="SW-101845"/>
    <d v="2024-10-28T00:00:00"/>
    <x v="0"/>
    <s v="Q4"/>
    <x v="9"/>
    <x v="1"/>
    <x v="3"/>
    <x v="1"/>
    <x v="2"/>
    <s v="Cookware Set"/>
    <n v="1"/>
    <n v="233.81"/>
    <n v="0.1"/>
    <x v="0"/>
    <n v="210.43"/>
    <n v="161.91"/>
    <n v="48.52"/>
    <n v="1"/>
    <n v="0"/>
    <n v="3"/>
    <n v="4"/>
  </r>
  <r>
    <s v="SW-101846"/>
    <d v="2024-10-28T00:00:00"/>
    <x v="0"/>
    <s v="Q4"/>
    <x v="9"/>
    <x v="2"/>
    <x v="4"/>
    <x v="1"/>
    <x v="5"/>
    <s v="Kids Puzzle"/>
    <n v="1"/>
    <n v="16.97"/>
    <n v="0"/>
    <x v="2"/>
    <n v="16.97"/>
    <n v="12.45"/>
    <n v="4.5199999999999996"/>
    <n v="1"/>
    <n v="0"/>
    <n v="6"/>
    <n v="3"/>
  </r>
  <r>
    <s v="SW-101847"/>
    <d v="2024-10-28T00:00:00"/>
    <x v="0"/>
    <s v="Q4"/>
    <x v="9"/>
    <x v="2"/>
    <x v="0"/>
    <x v="1"/>
    <x v="2"/>
    <s v="Bed Sheet Set"/>
    <n v="1"/>
    <n v="90.75"/>
    <n v="0.15"/>
    <x v="1"/>
    <n v="77.14"/>
    <n v="58.12"/>
    <n v="19.02"/>
    <n v="1"/>
    <n v="0"/>
    <n v="4"/>
    <n v="5"/>
  </r>
  <r>
    <s v="SW-101848"/>
    <d v="2024-10-28T00:00:00"/>
    <x v="0"/>
    <s v="Q4"/>
    <x v="9"/>
    <x v="2"/>
    <x v="0"/>
    <x v="0"/>
    <x v="1"/>
    <s v="Face Serum"/>
    <n v="1"/>
    <n v="33.479999999999997"/>
    <n v="0.25"/>
    <x v="3"/>
    <n v="25.11"/>
    <n v="15.89"/>
    <n v="9.2200000000000006"/>
    <n v="1"/>
    <n v="1"/>
    <n v="3"/>
    <n v="3"/>
  </r>
  <r>
    <s v="SW-101849"/>
    <d v="2024-10-28T00:00:00"/>
    <x v="0"/>
    <s v="Q4"/>
    <x v="9"/>
    <x v="1"/>
    <x v="3"/>
    <x v="1"/>
    <x v="0"/>
    <s v="Summer Dress"/>
    <n v="1"/>
    <n v="33.99"/>
    <n v="0.25"/>
    <x v="3"/>
    <n v="25.49"/>
    <n v="18.399999999999999"/>
    <n v="7.09"/>
    <n v="1"/>
    <n v="0"/>
    <n v="3"/>
    <n v="4"/>
  </r>
  <r>
    <s v="SW-101850"/>
    <d v="2024-10-29T00:00:00"/>
    <x v="0"/>
    <s v="Q4"/>
    <x v="9"/>
    <x v="1"/>
    <x v="3"/>
    <x v="1"/>
    <x v="3"/>
    <s v="Yoga Mat"/>
    <n v="2"/>
    <n v="137.05000000000001"/>
    <n v="0"/>
    <x v="2"/>
    <n v="274.10000000000002"/>
    <n v="191.28"/>
    <n v="82.82"/>
    <n v="1"/>
    <n v="0"/>
    <n v="3"/>
    <n v="4"/>
  </r>
  <r>
    <s v="SW-101851"/>
    <d v="2024-10-29T00:00:00"/>
    <x v="0"/>
    <s v="Q4"/>
    <x v="9"/>
    <x v="1"/>
    <x v="0"/>
    <x v="1"/>
    <x v="4"/>
    <s v="Smart Watch"/>
    <n v="2"/>
    <n v="216.08"/>
    <n v="0"/>
    <x v="2"/>
    <n v="432.16"/>
    <n v="348.75"/>
    <n v="83.41"/>
    <n v="1"/>
    <n v="1"/>
    <n v="4"/>
    <n v="4"/>
  </r>
  <r>
    <s v="SW-101852"/>
    <d v="2024-10-29T00:00:00"/>
    <x v="0"/>
    <s v="Q4"/>
    <x v="9"/>
    <x v="1"/>
    <x v="0"/>
    <x v="1"/>
    <x v="0"/>
    <s v="Sunglasses"/>
    <n v="3"/>
    <n v="104.94"/>
    <n v="0.2"/>
    <x v="1"/>
    <n v="251.86"/>
    <n v="169.99"/>
    <n v="81.87"/>
    <n v="1"/>
    <n v="0"/>
    <n v="5"/>
    <n v="5"/>
  </r>
  <r>
    <s v="SW-101853"/>
    <d v="2024-10-29T00:00:00"/>
    <x v="0"/>
    <s v="Q4"/>
    <x v="9"/>
    <x v="1"/>
    <x v="2"/>
    <x v="0"/>
    <x v="4"/>
    <s v="Smart Watch"/>
    <n v="3"/>
    <n v="216.08"/>
    <n v="0.2"/>
    <x v="1"/>
    <n v="518.59"/>
    <n v="513.57000000000005"/>
    <n v="5.0199999999999996"/>
    <n v="1"/>
    <n v="0"/>
    <n v="4"/>
    <n v="3"/>
  </r>
  <r>
    <s v="SW-101854"/>
    <d v="2024-10-29T00:00:00"/>
    <x v="0"/>
    <s v="Q4"/>
    <x v="9"/>
    <x v="0"/>
    <x v="0"/>
    <x v="0"/>
    <x v="5"/>
    <s v="Board Game"/>
    <n v="4"/>
    <n v="57.92"/>
    <n v="0"/>
    <x v="2"/>
    <n v="231.68"/>
    <n v="179.87"/>
    <n v="51.81"/>
    <n v="1"/>
    <n v="0"/>
    <n v="3"/>
    <n v="3"/>
  </r>
  <r>
    <s v="SW-101855"/>
    <d v="2024-10-30T00:00:00"/>
    <x v="0"/>
    <s v="Q4"/>
    <x v="9"/>
    <x v="0"/>
    <x v="3"/>
    <x v="0"/>
    <x v="4"/>
    <s v="Power Bank"/>
    <n v="1"/>
    <n v="508.8"/>
    <n v="0.1"/>
    <x v="0"/>
    <n v="457.92"/>
    <n v="391.45"/>
    <n v="66.47"/>
    <n v="1"/>
    <n v="0"/>
    <n v="2"/>
    <n v="5"/>
  </r>
  <r>
    <s v="SW-101856"/>
    <d v="2024-10-30T00:00:00"/>
    <x v="0"/>
    <s v="Q4"/>
    <x v="9"/>
    <x v="0"/>
    <x v="0"/>
    <x v="0"/>
    <x v="2"/>
    <s v="Coffee Maker"/>
    <n v="1"/>
    <n v="148.05000000000001"/>
    <n v="0.05"/>
    <x v="0"/>
    <n v="140.65"/>
    <n v="94.36"/>
    <n v="46.29"/>
    <n v="1"/>
    <n v="0"/>
    <n v="5"/>
    <n v="4"/>
  </r>
  <r>
    <s v="SW-101857"/>
    <d v="2024-10-30T00:00:00"/>
    <x v="0"/>
    <s v="Q4"/>
    <x v="9"/>
    <x v="0"/>
    <x v="2"/>
    <x v="1"/>
    <x v="4"/>
    <s v="Wireless Earbuds"/>
    <n v="3"/>
    <n v="588.41"/>
    <n v="0"/>
    <x v="2"/>
    <n v="1765.23"/>
    <n v="1440.52"/>
    <n v="324.70999999999998"/>
    <n v="1"/>
    <n v="0"/>
    <n v="3"/>
    <n v="4"/>
  </r>
  <r>
    <s v="SW-101858"/>
    <d v="2024-10-30T00:00:00"/>
    <x v="0"/>
    <s v="Q4"/>
    <x v="9"/>
    <x v="0"/>
    <x v="2"/>
    <x v="1"/>
    <x v="5"/>
    <s v="Board Game"/>
    <n v="2"/>
    <n v="57.92"/>
    <n v="0"/>
    <x v="2"/>
    <n v="115.84"/>
    <n v="79.86"/>
    <n v="35.979999999999997"/>
    <n v="1"/>
    <n v="0"/>
    <n v="4"/>
    <n v="4"/>
  </r>
  <r>
    <s v="SW-101859"/>
    <d v="2024-10-30T00:00:00"/>
    <x v="0"/>
    <s v="Q4"/>
    <x v="9"/>
    <x v="1"/>
    <x v="3"/>
    <x v="0"/>
    <x v="2"/>
    <s v="Coffee Maker"/>
    <n v="1"/>
    <n v="148.05000000000001"/>
    <n v="0.1"/>
    <x v="0"/>
    <n v="133.24"/>
    <n v="98.59"/>
    <n v="34.65"/>
    <n v="1"/>
    <n v="0"/>
    <n v="3"/>
    <n v="5"/>
  </r>
  <r>
    <s v="SW-101860"/>
    <d v="2024-10-30T00:00:00"/>
    <x v="0"/>
    <s v="Q4"/>
    <x v="9"/>
    <x v="0"/>
    <x v="3"/>
    <x v="1"/>
    <x v="3"/>
    <s v="Dumbbell Set"/>
    <n v="4"/>
    <n v="198.42"/>
    <n v="0"/>
    <x v="2"/>
    <n v="793.68"/>
    <n v="524.15"/>
    <n v="269.52999999999997"/>
    <n v="1"/>
    <n v="0"/>
    <n v="6"/>
    <n v="2"/>
  </r>
  <r>
    <s v="SW-101861"/>
    <d v="2024-10-30T00:00:00"/>
    <x v="0"/>
    <s v="Q4"/>
    <x v="9"/>
    <x v="0"/>
    <x v="3"/>
    <x v="1"/>
    <x v="3"/>
    <s v="Fitness Tracker"/>
    <n v="1"/>
    <n v="74.459999999999994"/>
    <n v="0"/>
    <x v="2"/>
    <n v="74.459999999999994"/>
    <n v="50.63"/>
    <n v="23.83"/>
    <n v="1"/>
    <n v="0"/>
    <n v="3"/>
    <n v="5"/>
  </r>
  <r>
    <s v="SW-101862"/>
    <d v="2024-10-30T00:00:00"/>
    <x v="0"/>
    <s v="Q4"/>
    <x v="9"/>
    <x v="1"/>
    <x v="4"/>
    <x v="1"/>
    <x v="3"/>
    <s v="Camping Tent"/>
    <n v="4"/>
    <n v="83.06"/>
    <n v="0.15"/>
    <x v="1"/>
    <n v="282.39999999999998"/>
    <n v="213.02"/>
    <n v="69.38"/>
    <n v="1"/>
    <n v="1"/>
    <n v="6"/>
    <n v="2"/>
  </r>
  <r>
    <s v="SW-101863"/>
    <d v="2024-10-30T00:00:00"/>
    <x v="0"/>
    <s v="Q4"/>
    <x v="9"/>
    <x v="0"/>
    <x v="3"/>
    <x v="1"/>
    <x v="0"/>
    <s v="Running Sneakers"/>
    <n v="1"/>
    <n v="94.85"/>
    <n v="0"/>
    <x v="2"/>
    <n v="94.85"/>
    <n v="48.92"/>
    <n v="45.93"/>
    <n v="1"/>
    <n v="0"/>
    <n v="2"/>
    <n v="4"/>
  </r>
  <r>
    <s v="SW-101864"/>
    <d v="2024-10-31T00:00:00"/>
    <x v="0"/>
    <s v="Q4"/>
    <x v="9"/>
    <x v="1"/>
    <x v="0"/>
    <x v="0"/>
    <x v="0"/>
    <s v="Denim Jacket"/>
    <n v="1"/>
    <n v="78.510000000000005"/>
    <n v="0"/>
    <x v="2"/>
    <n v="78.510000000000005"/>
    <n v="43.76"/>
    <n v="34.75"/>
    <n v="1"/>
    <n v="0"/>
    <n v="3"/>
    <n v="5"/>
  </r>
  <r>
    <s v="SW-101865"/>
    <d v="2024-10-31T00:00:00"/>
    <x v="0"/>
    <s v="Q4"/>
    <x v="9"/>
    <x v="0"/>
    <x v="2"/>
    <x v="0"/>
    <x v="0"/>
    <s v="Leather Handbag"/>
    <n v="1"/>
    <n v="138.5"/>
    <n v="0.05"/>
    <x v="0"/>
    <n v="131.57"/>
    <n v="73.95"/>
    <n v="57.62"/>
    <n v="1"/>
    <n v="0"/>
    <n v="3"/>
    <n v="5"/>
  </r>
  <r>
    <s v="SW-101866"/>
    <d v="2024-10-31T00:00:00"/>
    <x v="0"/>
    <s v="Q4"/>
    <x v="9"/>
    <x v="0"/>
    <x v="0"/>
    <x v="1"/>
    <x v="4"/>
    <s v="Tablet 10in"/>
    <n v="1"/>
    <n v="490.3"/>
    <n v="0.05"/>
    <x v="0"/>
    <n v="465.78"/>
    <n v="388.07"/>
    <n v="77.709999999999994"/>
    <n v="1"/>
    <n v="0"/>
    <n v="6"/>
    <n v="3"/>
  </r>
  <r>
    <s v="SW-101867"/>
    <d v="2024-10-31T00:00:00"/>
    <x v="0"/>
    <s v="Q4"/>
    <x v="9"/>
    <x v="2"/>
    <x v="0"/>
    <x v="0"/>
    <x v="0"/>
    <s v="Running Sneakers"/>
    <n v="1"/>
    <n v="94.85"/>
    <n v="0.05"/>
    <x v="0"/>
    <n v="90.11"/>
    <n v="49.77"/>
    <n v="40.340000000000003"/>
    <n v="1"/>
    <n v="0"/>
    <n v="4"/>
    <n v="4"/>
  </r>
  <r>
    <s v="SW-101868"/>
    <d v="2024-10-31T00:00:00"/>
    <x v="0"/>
    <s v="Q4"/>
    <x v="9"/>
    <x v="2"/>
    <x v="0"/>
    <x v="0"/>
    <x v="0"/>
    <s v="Cotton T-Shirt"/>
    <n v="1"/>
    <n v="19.41"/>
    <n v="0.1"/>
    <x v="0"/>
    <n v="17.47"/>
    <n v="11.16"/>
    <n v="6.31"/>
    <n v="1"/>
    <n v="1"/>
    <n v="4"/>
    <n v="3"/>
  </r>
  <r>
    <s v="SW-101869"/>
    <d v="2024-10-31T00:00:00"/>
    <x v="0"/>
    <s v="Q4"/>
    <x v="9"/>
    <x v="1"/>
    <x v="1"/>
    <x v="0"/>
    <x v="5"/>
    <s v="Story Book Set"/>
    <n v="1"/>
    <n v="10.76"/>
    <n v="0.25"/>
    <x v="3"/>
    <n v="8.07"/>
    <n v="7.61"/>
    <n v="0.46"/>
    <n v="1"/>
    <n v="0"/>
    <n v="6"/>
    <n v="3"/>
  </r>
  <r>
    <s v="SW-101870"/>
    <d v="2024-10-31T00:00:00"/>
    <x v="0"/>
    <s v="Q4"/>
    <x v="9"/>
    <x v="2"/>
    <x v="0"/>
    <x v="0"/>
    <x v="4"/>
    <s v="Tablet 10in"/>
    <n v="3"/>
    <n v="490.3"/>
    <n v="0.05"/>
    <x v="0"/>
    <n v="1397.36"/>
    <n v="1138.56"/>
    <n v="258.8"/>
    <n v="1"/>
    <n v="0"/>
    <n v="7"/>
    <n v="3"/>
  </r>
  <r>
    <s v="SW-101871"/>
    <d v="2024-11-01T00:00:00"/>
    <x v="0"/>
    <s v="Q4"/>
    <x v="10"/>
    <x v="1"/>
    <x v="2"/>
    <x v="1"/>
    <x v="0"/>
    <s v="Cotton T-Shirt"/>
    <n v="2"/>
    <n v="19.41"/>
    <n v="0.05"/>
    <x v="0"/>
    <n v="36.880000000000003"/>
    <n v="20.059999999999999"/>
    <n v="16.82"/>
    <n v="1"/>
    <n v="0"/>
    <n v="5"/>
    <n v="5"/>
  </r>
  <r>
    <s v="SW-101872"/>
    <d v="2024-11-01T00:00:00"/>
    <x v="0"/>
    <s v="Q4"/>
    <x v="10"/>
    <x v="0"/>
    <x v="3"/>
    <x v="1"/>
    <x v="4"/>
    <s v="Bluetooth Speaker"/>
    <n v="2"/>
    <n v="177.65"/>
    <n v="0.1"/>
    <x v="0"/>
    <n v="319.77"/>
    <n v="282.95"/>
    <n v="36.82"/>
    <n v="1"/>
    <n v="0"/>
    <n v="3"/>
    <n v="4"/>
  </r>
  <r>
    <s v="SW-101873"/>
    <d v="2024-11-01T00:00:00"/>
    <x v="0"/>
    <s v="Q4"/>
    <x v="10"/>
    <x v="0"/>
    <x v="3"/>
    <x v="0"/>
    <x v="4"/>
    <s v="Smart Watch"/>
    <n v="1"/>
    <n v="216.08"/>
    <n v="0.15"/>
    <x v="1"/>
    <n v="183.67"/>
    <n v="178.87"/>
    <n v="4.8"/>
    <n v="1"/>
    <n v="1"/>
    <n v="3"/>
    <n v="3"/>
  </r>
  <r>
    <s v="SW-101874"/>
    <d v="2024-11-01T00:00:00"/>
    <x v="0"/>
    <s v="Q4"/>
    <x v="10"/>
    <x v="0"/>
    <x v="0"/>
    <x v="1"/>
    <x v="4"/>
    <s v="Wireless Earbuds"/>
    <n v="1"/>
    <n v="588.41"/>
    <n v="0.25"/>
    <x v="3"/>
    <n v="441.31"/>
    <n v="486.21"/>
    <n v="-44.9"/>
    <n v="1"/>
    <n v="0"/>
    <n v="5"/>
    <n v="4"/>
  </r>
  <r>
    <s v="SW-101875"/>
    <d v="2024-11-01T00:00:00"/>
    <x v="0"/>
    <s v="Q4"/>
    <x v="10"/>
    <x v="2"/>
    <x v="3"/>
    <x v="0"/>
    <x v="2"/>
    <s v="Desk Lamp"/>
    <n v="2"/>
    <n v="117.63"/>
    <n v="0.3"/>
    <x v="3"/>
    <n v="164.68"/>
    <n v="152.22"/>
    <n v="12.46"/>
    <n v="1"/>
    <n v="0"/>
    <n v="3"/>
    <n v="5"/>
  </r>
  <r>
    <s v="SW-101876"/>
    <d v="2024-11-01T00:00:00"/>
    <x v="0"/>
    <s v="Q4"/>
    <x v="10"/>
    <x v="0"/>
    <x v="3"/>
    <x v="1"/>
    <x v="1"/>
    <s v="Skin Care Bundle"/>
    <n v="1"/>
    <n v="92.54"/>
    <n v="0.2"/>
    <x v="1"/>
    <n v="74.03"/>
    <n v="45.62"/>
    <n v="28.41"/>
    <n v="1"/>
    <n v="1"/>
    <n v="3"/>
    <n v="3"/>
  </r>
  <r>
    <s v="SW-101877"/>
    <d v="2024-11-01T00:00:00"/>
    <x v="0"/>
    <s v="Q4"/>
    <x v="10"/>
    <x v="1"/>
    <x v="0"/>
    <x v="1"/>
    <x v="4"/>
    <s v="Smart Watch"/>
    <n v="1"/>
    <n v="216.08"/>
    <n v="0.3"/>
    <x v="3"/>
    <n v="151.26"/>
    <n v="167.2"/>
    <n v="-15.94"/>
    <n v="1"/>
    <n v="0"/>
    <n v="4"/>
    <n v="5"/>
  </r>
  <r>
    <s v="SW-101878"/>
    <d v="2024-11-01T00:00:00"/>
    <x v="0"/>
    <s v="Q4"/>
    <x v="10"/>
    <x v="2"/>
    <x v="0"/>
    <x v="0"/>
    <x v="0"/>
    <s v="Running Sneakers"/>
    <n v="1"/>
    <n v="94.85"/>
    <n v="0.15"/>
    <x v="1"/>
    <n v="80.62"/>
    <n v="51.09"/>
    <n v="29.53"/>
    <n v="1"/>
    <n v="1"/>
    <n v="7"/>
    <n v="2"/>
  </r>
  <r>
    <s v="SW-101879"/>
    <d v="2024-11-01T00:00:00"/>
    <x v="0"/>
    <s v="Q4"/>
    <x v="10"/>
    <x v="0"/>
    <x v="4"/>
    <x v="0"/>
    <x v="4"/>
    <s v="Wireless Earbuds"/>
    <n v="2"/>
    <n v="588.41"/>
    <n v="0"/>
    <x v="2"/>
    <n v="1176.82"/>
    <n v="970.32"/>
    <n v="206.5"/>
    <n v="1"/>
    <n v="0"/>
    <n v="8"/>
    <n v="3"/>
  </r>
  <r>
    <s v="SW-101880"/>
    <d v="2024-11-01T00:00:00"/>
    <x v="0"/>
    <s v="Q4"/>
    <x v="10"/>
    <x v="1"/>
    <x v="0"/>
    <x v="1"/>
    <x v="2"/>
    <s v="Bed Sheet Set"/>
    <n v="1"/>
    <n v="90.75"/>
    <n v="0.25"/>
    <x v="3"/>
    <n v="68.06"/>
    <n v="59.99"/>
    <n v="8.07"/>
    <n v="1"/>
    <n v="0"/>
    <n v="7"/>
    <n v="2"/>
  </r>
  <r>
    <s v="SW-101881"/>
    <d v="2024-11-01T00:00:00"/>
    <x v="0"/>
    <s v="Q4"/>
    <x v="10"/>
    <x v="1"/>
    <x v="4"/>
    <x v="1"/>
    <x v="2"/>
    <s v="Storage Boxes"/>
    <n v="1"/>
    <n v="154.66"/>
    <n v="0.2"/>
    <x v="1"/>
    <n v="123.73"/>
    <n v="102.9"/>
    <n v="20.83"/>
    <n v="1"/>
    <n v="0"/>
    <n v="6"/>
    <n v="4"/>
  </r>
  <r>
    <s v="SW-101882"/>
    <d v="2024-11-01T00:00:00"/>
    <x v="0"/>
    <s v="Q4"/>
    <x v="10"/>
    <x v="1"/>
    <x v="4"/>
    <x v="1"/>
    <x v="3"/>
    <s v="Dumbbell Set"/>
    <n v="1"/>
    <n v="198.42"/>
    <n v="0.2"/>
    <x v="1"/>
    <n v="158.74"/>
    <n v="142.30000000000001"/>
    <n v="16.440000000000001"/>
    <n v="1"/>
    <n v="0"/>
    <n v="6"/>
    <n v="3"/>
  </r>
  <r>
    <s v="SW-101883"/>
    <d v="2024-11-01T00:00:00"/>
    <x v="0"/>
    <s v="Q4"/>
    <x v="10"/>
    <x v="0"/>
    <x v="3"/>
    <x v="0"/>
    <x v="0"/>
    <s v="Leather Handbag"/>
    <n v="1"/>
    <n v="138.5"/>
    <n v="0.2"/>
    <x v="1"/>
    <n v="110.8"/>
    <n v="73.88"/>
    <n v="36.92"/>
    <n v="1"/>
    <n v="0"/>
    <n v="3"/>
    <n v="5"/>
  </r>
  <r>
    <s v="SW-101884"/>
    <d v="2024-11-01T00:00:00"/>
    <x v="0"/>
    <s v="Q4"/>
    <x v="10"/>
    <x v="0"/>
    <x v="4"/>
    <x v="1"/>
    <x v="4"/>
    <s v="Power Bank"/>
    <n v="1"/>
    <n v="508.8"/>
    <n v="0.15"/>
    <x v="1"/>
    <n v="432.48"/>
    <n v="400.24"/>
    <n v="32.24"/>
    <n v="1"/>
    <n v="0"/>
    <n v="6"/>
    <n v="2"/>
  </r>
  <r>
    <s v="SW-101885"/>
    <d v="2024-11-01T00:00:00"/>
    <x v="0"/>
    <s v="Q4"/>
    <x v="10"/>
    <x v="2"/>
    <x v="3"/>
    <x v="0"/>
    <x v="0"/>
    <s v="Running Sneakers"/>
    <n v="1"/>
    <n v="94.85"/>
    <n v="0.25"/>
    <x v="3"/>
    <n v="71.14"/>
    <n v="50.34"/>
    <n v="20.8"/>
    <n v="1"/>
    <n v="0"/>
    <n v="4"/>
    <n v="4"/>
  </r>
  <r>
    <s v="SW-101886"/>
    <d v="2024-11-01T00:00:00"/>
    <x v="0"/>
    <s v="Q4"/>
    <x v="10"/>
    <x v="2"/>
    <x v="2"/>
    <x v="1"/>
    <x v="1"/>
    <s v="Makeup Kit"/>
    <n v="1"/>
    <n v="74.3"/>
    <n v="0.15"/>
    <x v="1"/>
    <n v="63.15"/>
    <n v="34.39"/>
    <n v="28.76"/>
    <n v="1"/>
    <n v="0"/>
    <n v="4"/>
    <n v="5"/>
  </r>
  <r>
    <s v="SW-101887"/>
    <d v="2024-11-02T00:00:00"/>
    <x v="0"/>
    <s v="Q4"/>
    <x v="10"/>
    <x v="1"/>
    <x v="0"/>
    <x v="1"/>
    <x v="1"/>
    <s v="Perfume 100ml"/>
    <n v="1"/>
    <n v="54.56"/>
    <n v="0.25"/>
    <x v="3"/>
    <n v="40.92"/>
    <n v="26.28"/>
    <n v="14.64"/>
    <n v="1"/>
    <n v="0"/>
    <n v="4"/>
    <n v="5"/>
  </r>
  <r>
    <s v="SW-101888"/>
    <d v="2024-11-02T00:00:00"/>
    <x v="0"/>
    <s v="Q4"/>
    <x v="10"/>
    <x v="0"/>
    <x v="4"/>
    <x v="1"/>
    <x v="1"/>
    <s v="Hair Dryer"/>
    <n v="1"/>
    <n v="33.18"/>
    <n v="0"/>
    <x v="2"/>
    <n v="33.18"/>
    <n v="15.27"/>
    <n v="17.91"/>
    <n v="1"/>
    <n v="0"/>
    <n v="7"/>
    <n v="3"/>
  </r>
  <r>
    <s v="SW-101889"/>
    <d v="2024-11-02T00:00:00"/>
    <x v="0"/>
    <s v="Q4"/>
    <x v="10"/>
    <x v="0"/>
    <x v="3"/>
    <x v="0"/>
    <x v="4"/>
    <s v="Power Bank"/>
    <n v="1"/>
    <n v="508.8"/>
    <n v="0.15"/>
    <x v="1"/>
    <n v="432.48"/>
    <n v="413.4"/>
    <n v="19.079999999999998"/>
    <n v="1"/>
    <n v="0"/>
    <n v="3"/>
    <n v="4"/>
  </r>
  <r>
    <s v="SW-101890"/>
    <d v="2024-11-02T00:00:00"/>
    <x v="0"/>
    <s v="Q4"/>
    <x v="10"/>
    <x v="1"/>
    <x v="3"/>
    <x v="1"/>
    <x v="1"/>
    <s v="Skin Care Bundle"/>
    <n v="2"/>
    <n v="92.54"/>
    <n v="0.2"/>
    <x v="1"/>
    <n v="148.06"/>
    <n v="86.8"/>
    <n v="61.26"/>
    <n v="1"/>
    <n v="0"/>
    <n v="3"/>
    <n v="4"/>
  </r>
  <r>
    <s v="SW-101891"/>
    <d v="2024-11-02T00:00:00"/>
    <x v="0"/>
    <s v="Q4"/>
    <x v="10"/>
    <x v="1"/>
    <x v="3"/>
    <x v="0"/>
    <x v="4"/>
    <s v="Wireless Earbuds"/>
    <n v="1"/>
    <n v="588.41"/>
    <n v="0.1"/>
    <x v="0"/>
    <n v="529.57000000000005"/>
    <n v="468.87"/>
    <n v="60.7"/>
    <n v="1"/>
    <n v="0"/>
    <n v="4"/>
    <n v="4"/>
  </r>
  <r>
    <s v="SW-101892"/>
    <d v="2024-11-02T00:00:00"/>
    <x v="0"/>
    <s v="Q4"/>
    <x v="10"/>
    <x v="1"/>
    <x v="4"/>
    <x v="1"/>
    <x v="2"/>
    <s v="Desk Lamp"/>
    <n v="1"/>
    <n v="117.63"/>
    <n v="0.2"/>
    <x v="1"/>
    <n v="94.1"/>
    <n v="80.44"/>
    <n v="13.66"/>
    <n v="1"/>
    <n v="0"/>
    <n v="8"/>
    <n v="3"/>
  </r>
  <r>
    <s v="SW-101893"/>
    <d v="2024-11-02T00:00:00"/>
    <x v="0"/>
    <s v="Q4"/>
    <x v="10"/>
    <x v="0"/>
    <x v="2"/>
    <x v="1"/>
    <x v="4"/>
    <s v="Smart Watch"/>
    <n v="2"/>
    <n v="216.08"/>
    <n v="0.2"/>
    <x v="1"/>
    <n v="345.73"/>
    <n v="369.35"/>
    <n v="-23.62"/>
    <n v="1"/>
    <n v="0"/>
    <n v="5"/>
    <n v="4"/>
  </r>
  <r>
    <s v="SW-101894"/>
    <d v="2024-11-02T00:00:00"/>
    <x v="0"/>
    <s v="Q4"/>
    <x v="10"/>
    <x v="1"/>
    <x v="2"/>
    <x v="0"/>
    <x v="0"/>
    <s v="Sunglasses"/>
    <n v="1"/>
    <n v="104.94"/>
    <n v="0.2"/>
    <x v="1"/>
    <n v="83.95"/>
    <n v="58.65"/>
    <n v="25.3"/>
    <n v="1"/>
    <n v="1"/>
    <n v="5"/>
    <n v="2"/>
  </r>
  <r>
    <s v="SW-101895"/>
    <d v="2024-11-02T00:00:00"/>
    <x v="0"/>
    <s v="Q4"/>
    <x v="10"/>
    <x v="2"/>
    <x v="4"/>
    <x v="1"/>
    <x v="0"/>
    <s v="Summer Dress"/>
    <n v="3"/>
    <n v="33.99"/>
    <n v="0.3"/>
    <x v="3"/>
    <n v="71.38"/>
    <n v="54.51"/>
    <n v="16.87"/>
    <n v="1"/>
    <n v="0"/>
    <n v="6"/>
    <n v="3"/>
  </r>
  <r>
    <s v="SW-101896"/>
    <d v="2024-11-02T00:00:00"/>
    <x v="0"/>
    <s v="Q4"/>
    <x v="10"/>
    <x v="0"/>
    <x v="0"/>
    <x v="0"/>
    <x v="4"/>
    <s v="4K Action Camera"/>
    <n v="1"/>
    <n v="636.09"/>
    <n v="0.3"/>
    <x v="3"/>
    <n v="445.26"/>
    <n v="515.48"/>
    <n v="-70.22"/>
    <n v="1"/>
    <n v="0"/>
    <n v="4"/>
    <n v="4"/>
  </r>
  <r>
    <s v="SW-101897"/>
    <d v="2024-11-02T00:00:00"/>
    <x v="0"/>
    <s v="Q4"/>
    <x v="10"/>
    <x v="0"/>
    <x v="2"/>
    <x v="1"/>
    <x v="5"/>
    <s v="Board Game"/>
    <n v="1"/>
    <n v="57.92"/>
    <n v="0.25"/>
    <x v="3"/>
    <n v="43.44"/>
    <n v="39.33"/>
    <n v="4.1100000000000003"/>
    <n v="1"/>
    <n v="0"/>
    <n v="5"/>
    <n v="4"/>
  </r>
  <r>
    <s v="SW-101898"/>
    <d v="2024-11-02T00:00:00"/>
    <x v="0"/>
    <s v="Q4"/>
    <x v="10"/>
    <x v="0"/>
    <x v="3"/>
    <x v="0"/>
    <x v="0"/>
    <s v="Denim Jacket"/>
    <n v="3"/>
    <n v="78.510000000000005"/>
    <n v="0.15"/>
    <x v="1"/>
    <n v="200.2"/>
    <n v="125.15"/>
    <n v="75.05"/>
    <n v="1"/>
    <n v="0"/>
    <n v="6"/>
    <n v="4"/>
  </r>
  <r>
    <s v="SW-101899"/>
    <d v="2024-11-02T00:00:00"/>
    <x v="0"/>
    <s v="Q4"/>
    <x v="10"/>
    <x v="0"/>
    <x v="0"/>
    <x v="0"/>
    <x v="3"/>
    <s v="Cycling Helmet"/>
    <n v="1"/>
    <n v="85.42"/>
    <n v="0.15"/>
    <x v="1"/>
    <n v="72.61"/>
    <n v="55.31"/>
    <n v="17.3"/>
    <n v="1"/>
    <n v="0"/>
    <n v="5"/>
    <n v="4"/>
  </r>
  <r>
    <s v="SW-101900"/>
    <d v="2024-11-02T00:00:00"/>
    <x v="0"/>
    <s v="Q4"/>
    <x v="10"/>
    <x v="2"/>
    <x v="3"/>
    <x v="1"/>
    <x v="1"/>
    <s v="Makeup Kit"/>
    <n v="3"/>
    <n v="74.3"/>
    <n v="0.05"/>
    <x v="0"/>
    <n v="211.75"/>
    <n v="106.54"/>
    <n v="105.21"/>
    <n v="1"/>
    <n v="0"/>
    <n v="4"/>
    <n v="5"/>
  </r>
  <r>
    <s v="SW-101901"/>
    <d v="2024-11-02T00:00:00"/>
    <x v="0"/>
    <s v="Q4"/>
    <x v="10"/>
    <x v="2"/>
    <x v="2"/>
    <x v="0"/>
    <x v="5"/>
    <s v="Board Game"/>
    <n v="1"/>
    <n v="57.92"/>
    <n v="0.3"/>
    <x v="3"/>
    <n v="40.54"/>
    <n v="41.73"/>
    <n v="-1.19"/>
    <n v="1"/>
    <n v="0"/>
    <n v="5"/>
    <n v="4"/>
  </r>
  <r>
    <s v="SW-101902"/>
    <d v="2024-11-03T00:00:00"/>
    <x v="0"/>
    <s v="Q4"/>
    <x v="10"/>
    <x v="2"/>
    <x v="3"/>
    <x v="1"/>
    <x v="4"/>
    <s v="Tablet 10in"/>
    <n v="2"/>
    <n v="490.3"/>
    <n v="0.15"/>
    <x v="1"/>
    <n v="833.51"/>
    <n v="769.24"/>
    <n v="64.27"/>
    <n v="1"/>
    <n v="0"/>
    <n v="3"/>
    <n v="5"/>
  </r>
  <r>
    <s v="SW-101903"/>
    <d v="2024-11-03T00:00:00"/>
    <x v="0"/>
    <s v="Q4"/>
    <x v="10"/>
    <x v="1"/>
    <x v="3"/>
    <x v="0"/>
    <x v="0"/>
    <s v="Sunglasses"/>
    <n v="1"/>
    <n v="104.94"/>
    <n v="0.1"/>
    <x v="0"/>
    <n v="94.45"/>
    <n v="54.72"/>
    <n v="39.729999999999997"/>
    <n v="1"/>
    <n v="0"/>
    <n v="4"/>
    <n v="4"/>
  </r>
  <r>
    <s v="SW-101904"/>
    <d v="2024-11-03T00:00:00"/>
    <x v="0"/>
    <s v="Q4"/>
    <x v="10"/>
    <x v="0"/>
    <x v="1"/>
    <x v="1"/>
    <x v="1"/>
    <s v="Perfume 100ml"/>
    <n v="1"/>
    <n v="54.56"/>
    <n v="0.3"/>
    <x v="3"/>
    <n v="38.19"/>
    <n v="25.82"/>
    <n v="12.37"/>
    <n v="1"/>
    <n v="0"/>
    <n v="8"/>
    <n v="4"/>
  </r>
  <r>
    <s v="SW-101905"/>
    <d v="2024-11-03T00:00:00"/>
    <x v="0"/>
    <s v="Q4"/>
    <x v="10"/>
    <x v="0"/>
    <x v="1"/>
    <x v="0"/>
    <x v="5"/>
    <s v="Board Game"/>
    <n v="2"/>
    <n v="57.92"/>
    <n v="0.15"/>
    <x v="1"/>
    <n v="98.46"/>
    <n v="82.05"/>
    <n v="16.41"/>
    <n v="1"/>
    <n v="0"/>
    <n v="6"/>
    <n v="3"/>
  </r>
  <r>
    <s v="SW-101906"/>
    <d v="2024-11-03T00:00:00"/>
    <x v="0"/>
    <s v="Q4"/>
    <x v="10"/>
    <x v="2"/>
    <x v="0"/>
    <x v="1"/>
    <x v="4"/>
    <s v="Wireless Earbuds"/>
    <n v="1"/>
    <n v="588.41"/>
    <n v="0"/>
    <x v="2"/>
    <n v="588.41"/>
    <n v="472.36"/>
    <n v="116.05"/>
    <n v="1"/>
    <n v="0"/>
    <n v="4"/>
    <n v="5"/>
  </r>
  <r>
    <s v="SW-101907"/>
    <d v="2024-11-03T00:00:00"/>
    <x v="0"/>
    <s v="Q4"/>
    <x v="10"/>
    <x v="0"/>
    <x v="2"/>
    <x v="0"/>
    <x v="0"/>
    <s v="Leather Handbag"/>
    <n v="2"/>
    <n v="138.5"/>
    <n v="0.2"/>
    <x v="1"/>
    <n v="221.6"/>
    <n v="148.16"/>
    <n v="73.44"/>
    <n v="1"/>
    <n v="0"/>
    <n v="4"/>
    <n v="4"/>
  </r>
  <r>
    <s v="SW-101908"/>
    <d v="2024-11-03T00:00:00"/>
    <x v="0"/>
    <s v="Q4"/>
    <x v="10"/>
    <x v="1"/>
    <x v="2"/>
    <x v="1"/>
    <x v="2"/>
    <s v="Bed Sheet Set"/>
    <n v="1"/>
    <n v="90.75"/>
    <n v="0.05"/>
    <x v="0"/>
    <n v="86.21"/>
    <n v="61.4"/>
    <n v="24.81"/>
    <n v="1"/>
    <n v="0"/>
    <n v="4"/>
    <n v="5"/>
  </r>
  <r>
    <s v="SW-101909"/>
    <d v="2024-11-03T00:00:00"/>
    <x v="0"/>
    <s v="Q4"/>
    <x v="10"/>
    <x v="2"/>
    <x v="2"/>
    <x v="0"/>
    <x v="0"/>
    <s v="Leather Handbag"/>
    <n v="1"/>
    <n v="138.5"/>
    <n v="0"/>
    <x v="2"/>
    <n v="138.5"/>
    <n v="71.930000000000007"/>
    <n v="66.569999999999993"/>
    <n v="1"/>
    <n v="1"/>
    <n v="4"/>
    <n v="4"/>
  </r>
  <r>
    <s v="SW-101910"/>
    <d v="2024-11-03T00:00:00"/>
    <x v="0"/>
    <s v="Q4"/>
    <x v="10"/>
    <x v="0"/>
    <x v="3"/>
    <x v="1"/>
    <x v="1"/>
    <s v="Face Serum"/>
    <n v="1"/>
    <n v="33.479999999999997"/>
    <n v="0.15"/>
    <x v="1"/>
    <n v="28.46"/>
    <n v="15.94"/>
    <n v="12.52"/>
    <n v="1"/>
    <n v="0"/>
    <n v="4"/>
    <n v="4"/>
  </r>
  <r>
    <s v="SW-101911"/>
    <d v="2024-11-03T00:00:00"/>
    <x v="0"/>
    <s v="Q4"/>
    <x v="10"/>
    <x v="2"/>
    <x v="0"/>
    <x v="0"/>
    <x v="4"/>
    <s v="Power Bank"/>
    <n v="1"/>
    <n v="508.8"/>
    <n v="0.1"/>
    <x v="0"/>
    <n v="457.92"/>
    <n v="415.21"/>
    <n v="42.71"/>
    <n v="1"/>
    <n v="0"/>
    <n v="5"/>
    <n v="5"/>
  </r>
  <r>
    <s v="SW-101912"/>
    <d v="2024-11-03T00:00:00"/>
    <x v="0"/>
    <s v="Q4"/>
    <x v="10"/>
    <x v="1"/>
    <x v="0"/>
    <x v="1"/>
    <x v="4"/>
    <s v="Wireless Earbuds"/>
    <n v="2"/>
    <n v="588.41"/>
    <n v="0.15"/>
    <x v="1"/>
    <n v="1000.3"/>
    <n v="963.7"/>
    <n v="36.6"/>
    <n v="1"/>
    <n v="0"/>
    <n v="4"/>
    <n v="4"/>
  </r>
  <r>
    <s v="SW-101913"/>
    <d v="2024-11-03T00:00:00"/>
    <x v="0"/>
    <s v="Q4"/>
    <x v="10"/>
    <x v="0"/>
    <x v="2"/>
    <x v="1"/>
    <x v="5"/>
    <s v="Kids Puzzle"/>
    <n v="2"/>
    <n v="16.97"/>
    <n v="0.2"/>
    <x v="1"/>
    <n v="27.15"/>
    <n v="24.49"/>
    <n v="2.66"/>
    <n v="1"/>
    <n v="0"/>
    <n v="5"/>
    <n v="4"/>
  </r>
  <r>
    <s v="SW-101914"/>
    <d v="2024-11-03T00:00:00"/>
    <x v="0"/>
    <s v="Q4"/>
    <x v="10"/>
    <x v="1"/>
    <x v="4"/>
    <x v="1"/>
    <x v="3"/>
    <s v="Cycling Helmet"/>
    <n v="1"/>
    <n v="85.42"/>
    <n v="0.15"/>
    <x v="1"/>
    <n v="72.61"/>
    <n v="57.36"/>
    <n v="15.25"/>
    <n v="1"/>
    <n v="0"/>
    <n v="8"/>
    <n v="4"/>
  </r>
  <r>
    <s v="SW-101915"/>
    <d v="2024-11-04T00:00:00"/>
    <x v="0"/>
    <s v="Q4"/>
    <x v="10"/>
    <x v="1"/>
    <x v="0"/>
    <x v="1"/>
    <x v="0"/>
    <s v="Running Sneakers"/>
    <n v="1"/>
    <n v="94.85"/>
    <n v="0.05"/>
    <x v="0"/>
    <n v="90.11"/>
    <n v="47.6"/>
    <n v="42.51"/>
    <n v="1"/>
    <n v="0"/>
    <n v="5"/>
    <n v="4"/>
  </r>
  <r>
    <s v="SW-101916"/>
    <d v="2024-11-04T00:00:00"/>
    <x v="0"/>
    <s v="Q4"/>
    <x v="10"/>
    <x v="1"/>
    <x v="1"/>
    <x v="0"/>
    <x v="5"/>
    <s v="Board Game"/>
    <n v="1"/>
    <n v="57.92"/>
    <n v="0.2"/>
    <x v="1"/>
    <n v="46.34"/>
    <n v="40.840000000000003"/>
    <n v="5.5"/>
    <n v="1"/>
    <n v="0"/>
    <n v="6"/>
    <n v="3"/>
  </r>
  <r>
    <s v="SW-101917"/>
    <d v="2024-11-04T00:00:00"/>
    <x v="0"/>
    <s v="Q4"/>
    <x v="10"/>
    <x v="0"/>
    <x v="2"/>
    <x v="1"/>
    <x v="4"/>
    <s v="4K Action Camera"/>
    <n v="1"/>
    <n v="636.09"/>
    <n v="0.25"/>
    <x v="3"/>
    <n v="477.07"/>
    <n v="499.48"/>
    <n v="-22.41"/>
    <n v="1"/>
    <n v="0"/>
    <n v="5"/>
    <n v="4"/>
  </r>
  <r>
    <s v="SW-101918"/>
    <d v="2024-11-04T00:00:00"/>
    <x v="0"/>
    <s v="Q4"/>
    <x v="10"/>
    <x v="0"/>
    <x v="4"/>
    <x v="0"/>
    <x v="2"/>
    <s v="Cookware Set"/>
    <n v="1"/>
    <n v="233.81"/>
    <n v="0.2"/>
    <x v="1"/>
    <n v="187.05"/>
    <n v="154.74"/>
    <n v="32.31"/>
    <n v="1"/>
    <n v="0"/>
    <n v="7"/>
    <n v="4"/>
  </r>
  <r>
    <s v="SW-101919"/>
    <d v="2024-11-04T00:00:00"/>
    <x v="0"/>
    <s v="Q4"/>
    <x v="10"/>
    <x v="0"/>
    <x v="2"/>
    <x v="0"/>
    <x v="4"/>
    <s v="Power Bank"/>
    <n v="1"/>
    <n v="508.8"/>
    <n v="0.2"/>
    <x v="1"/>
    <n v="407.04"/>
    <n v="413.26"/>
    <n v="-6.22"/>
    <n v="1"/>
    <n v="0"/>
    <n v="4"/>
    <n v="4"/>
  </r>
  <r>
    <s v="SW-101920"/>
    <d v="2024-11-04T00:00:00"/>
    <x v="0"/>
    <s v="Q4"/>
    <x v="10"/>
    <x v="0"/>
    <x v="0"/>
    <x v="0"/>
    <x v="4"/>
    <s v="4K Action Camera"/>
    <n v="1"/>
    <n v="636.09"/>
    <n v="0.2"/>
    <x v="1"/>
    <n v="508.87"/>
    <n v="531.13"/>
    <n v="-22.26"/>
    <n v="1"/>
    <n v="0"/>
    <n v="5"/>
    <n v="4"/>
  </r>
  <r>
    <s v="SW-101921"/>
    <d v="2024-11-04T00:00:00"/>
    <x v="0"/>
    <s v="Q4"/>
    <x v="10"/>
    <x v="2"/>
    <x v="0"/>
    <x v="0"/>
    <x v="4"/>
    <s v="Tablet 10in"/>
    <n v="2"/>
    <n v="490.3"/>
    <n v="0.25"/>
    <x v="3"/>
    <n v="735.45"/>
    <n v="763.47"/>
    <n v="-28.02"/>
    <n v="1"/>
    <n v="0"/>
    <n v="5"/>
    <n v="4"/>
  </r>
  <r>
    <s v="SW-101922"/>
    <d v="2024-11-04T00:00:00"/>
    <x v="0"/>
    <s v="Q4"/>
    <x v="10"/>
    <x v="0"/>
    <x v="3"/>
    <x v="1"/>
    <x v="4"/>
    <s v="Wireless Earbuds"/>
    <n v="3"/>
    <n v="588.41"/>
    <n v="0.2"/>
    <x v="1"/>
    <n v="1412.18"/>
    <n v="1367.5"/>
    <n v="44.68"/>
    <n v="1"/>
    <n v="0"/>
    <n v="5"/>
    <n v="4"/>
  </r>
  <r>
    <s v="SW-101923"/>
    <d v="2024-11-04T00:00:00"/>
    <x v="0"/>
    <s v="Q4"/>
    <x v="10"/>
    <x v="1"/>
    <x v="3"/>
    <x v="0"/>
    <x v="2"/>
    <s v="Storage Boxes"/>
    <n v="1"/>
    <n v="154.66"/>
    <n v="0.2"/>
    <x v="1"/>
    <n v="123.73"/>
    <n v="96.99"/>
    <n v="26.74"/>
    <n v="1"/>
    <n v="0"/>
    <n v="4"/>
    <n v="4"/>
  </r>
  <r>
    <s v="SW-101924"/>
    <d v="2024-11-04T00:00:00"/>
    <x v="0"/>
    <s v="Q4"/>
    <x v="10"/>
    <x v="0"/>
    <x v="3"/>
    <x v="0"/>
    <x v="1"/>
    <s v="Face Serum"/>
    <n v="1"/>
    <n v="33.479999999999997"/>
    <n v="0.25"/>
    <x v="3"/>
    <n v="25.11"/>
    <n v="16.73"/>
    <n v="8.3800000000000008"/>
    <n v="1"/>
    <n v="0"/>
    <n v="5"/>
    <n v="4"/>
  </r>
  <r>
    <s v="SW-101925"/>
    <d v="2024-11-04T00:00:00"/>
    <x v="0"/>
    <s v="Q4"/>
    <x v="10"/>
    <x v="1"/>
    <x v="4"/>
    <x v="1"/>
    <x v="4"/>
    <s v="Tablet 10in"/>
    <n v="1"/>
    <n v="490.3"/>
    <n v="0.1"/>
    <x v="0"/>
    <n v="441.27"/>
    <n v="381"/>
    <n v="60.27"/>
    <n v="1"/>
    <n v="0"/>
    <n v="9"/>
    <n v="3"/>
  </r>
  <r>
    <s v="SW-101926"/>
    <d v="2024-11-04T00:00:00"/>
    <x v="0"/>
    <s v="Q4"/>
    <x v="10"/>
    <x v="0"/>
    <x v="0"/>
    <x v="1"/>
    <x v="3"/>
    <s v="Yoga Mat"/>
    <n v="2"/>
    <n v="137.05000000000001"/>
    <n v="0.05"/>
    <x v="0"/>
    <n v="260.39999999999998"/>
    <n v="186.56"/>
    <n v="73.84"/>
    <n v="1"/>
    <n v="0"/>
    <n v="5"/>
    <n v="5"/>
  </r>
  <r>
    <s v="SW-101927"/>
    <d v="2024-11-05T00:00:00"/>
    <x v="0"/>
    <s v="Q4"/>
    <x v="10"/>
    <x v="1"/>
    <x v="4"/>
    <x v="0"/>
    <x v="4"/>
    <s v="Tablet 10in"/>
    <n v="1"/>
    <n v="490.3"/>
    <n v="0"/>
    <x v="2"/>
    <n v="490.3"/>
    <n v="409.31"/>
    <n v="80.989999999999995"/>
    <n v="1"/>
    <n v="0"/>
    <n v="7"/>
    <n v="4"/>
  </r>
  <r>
    <s v="SW-101928"/>
    <d v="2024-11-05T00:00:00"/>
    <x v="0"/>
    <s v="Q4"/>
    <x v="10"/>
    <x v="1"/>
    <x v="3"/>
    <x v="0"/>
    <x v="5"/>
    <s v="Story Book Set"/>
    <n v="1"/>
    <n v="10.76"/>
    <n v="0.05"/>
    <x v="0"/>
    <n v="10.220000000000001"/>
    <n v="7.81"/>
    <n v="2.41"/>
    <n v="1"/>
    <n v="0"/>
    <n v="4"/>
    <n v="4"/>
  </r>
  <r>
    <s v="SW-101929"/>
    <d v="2024-11-05T00:00:00"/>
    <x v="0"/>
    <s v="Q4"/>
    <x v="10"/>
    <x v="0"/>
    <x v="2"/>
    <x v="1"/>
    <x v="2"/>
    <s v="Air Fryer"/>
    <n v="2"/>
    <n v="68.349999999999994"/>
    <n v="0.25"/>
    <x v="3"/>
    <n v="102.52"/>
    <n v="88.29"/>
    <n v="14.23"/>
    <n v="1"/>
    <n v="0"/>
    <n v="5"/>
    <n v="5"/>
  </r>
  <r>
    <s v="SW-101930"/>
    <d v="2024-11-05T00:00:00"/>
    <x v="0"/>
    <s v="Q4"/>
    <x v="10"/>
    <x v="2"/>
    <x v="3"/>
    <x v="0"/>
    <x v="4"/>
    <s v="Tablet 10in"/>
    <n v="1"/>
    <n v="490.3"/>
    <n v="0.15"/>
    <x v="1"/>
    <n v="416.76"/>
    <n v="401.91"/>
    <n v="14.85"/>
    <n v="1"/>
    <n v="0"/>
    <n v="5"/>
    <n v="4"/>
  </r>
  <r>
    <s v="SW-101931"/>
    <d v="2024-11-05T00:00:00"/>
    <x v="0"/>
    <s v="Q4"/>
    <x v="10"/>
    <x v="2"/>
    <x v="4"/>
    <x v="1"/>
    <x v="4"/>
    <s v="Smart Watch"/>
    <n v="2"/>
    <n v="216.08"/>
    <n v="0.15"/>
    <x v="1"/>
    <n v="367.34"/>
    <n v="350.7"/>
    <n v="16.64"/>
    <n v="1"/>
    <n v="0"/>
    <n v="9"/>
    <n v="3"/>
  </r>
  <r>
    <s v="SW-101932"/>
    <d v="2024-11-05T00:00:00"/>
    <x v="0"/>
    <s v="Q4"/>
    <x v="10"/>
    <x v="1"/>
    <x v="1"/>
    <x v="1"/>
    <x v="4"/>
    <s v="Wireless Earbuds"/>
    <n v="1"/>
    <n v="588.41"/>
    <n v="0.25"/>
    <x v="3"/>
    <n v="441.31"/>
    <n v="462.79"/>
    <n v="-21.48"/>
    <n v="1"/>
    <n v="0"/>
    <n v="8"/>
    <n v="4"/>
  </r>
  <r>
    <s v="SW-101933"/>
    <d v="2024-11-05T00:00:00"/>
    <x v="0"/>
    <s v="Q4"/>
    <x v="10"/>
    <x v="2"/>
    <x v="2"/>
    <x v="1"/>
    <x v="0"/>
    <s v="Running Sneakers"/>
    <n v="2"/>
    <n v="94.85"/>
    <n v="0.2"/>
    <x v="1"/>
    <n v="151.76"/>
    <n v="97.14"/>
    <n v="54.62"/>
    <n v="1"/>
    <n v="0"/>
    <n v="4"/>
    <n v="4"/>
  </r>
  <r>
    <s v="SW-101934"/>
    <d v="2024-11-05T00:00:00"/>
    <x v="0"/>
    <s v="Q4"/>
    <x v="10"/>
    <x v="0"/>
    <x v="4"/>
    <x v="0"/>
    <x v="4"/>
    <s v="Smart Watch"/>
    <n v="1"/>
    <n v="216.08"/>
    <n v="0.15"/>
    <x v="1"/>
    <n v="183.67"/>
    <n v="178.04"/>
    <n v="5.63"/>
    <n v="1"/>
    <n v="0"/>
    <n v="8"/>
    <n v="4"/>
  </r>
  <r>
    <s v="SW-101935"/>
    <d v="2024-11-05T00:00:00"/>
    <x v="0"/>
    <s v="Q4"/>
    <x v="10"/>
    <x v="0"/>
    <x v="3"/>
    <x v="0"/>
    <x v="5"/>
    <s v="Building Blocks"/>
    <n v="3"/>
    <n v="48.86"/>
    <n v="0.15"/>
    <x v="1"/>
    <n v="124.59"/>
    <n v="103.41"/>
    <n v="21.18"/>
    <n v="1"/>
    <n v="0"/>
    <n v="4"/>
    <n v="4"/>
  </r>
  <r>
    <s v="SW-101936"/>
    <d v="2024-11-05T00:00:00"/>
    <x v="0"/>
    <s v="Q4"/>
    <x v="10"/>
    <x v="1"/>
    <x v="0"/>
    <x v="1"/>
    <x v="0"/>
    <s v="Cotton T-Shirt"/>
    <n v="1"/>
    <n v="19.41"/>
    <n v="0.25"/>
    <x v="3"/>
    <n v="14.56"/>
    <n v="10.4"/>
    <n v="4.16"/>
    <n v="1"/>
    <n v="0"/>
    <n v="5"/>
    <n v="5"/>
  </r>
  <r>
    <s v="SW-101937"/>
    <d v="2024-11-06T00:00:00"/>
    <x v="0"/>
    <s v="Q4"/>
    <x v="10"/>
    <x v="0"/>
    <x v="2"/>
    <x v="1"/>
    <x v="5"/>
    <s v="Building Blocks"/>
    <n v="1"/>
    <n v="48.86"/>
    <n v="0.05"/>
    <x v="0"/>
    <n v="46.42"/>
    <n v="34.979999999999997"/>
    <n v="11.44"/>
    <n v="1"/>
    <n v="0"/>
    <n v="4"/>
    <n v="4"/>
  </r>
  <r>
    <s v="SW-101938"/>
    <d v="2024-11-06T00:00:00"/>
    <x v="0"/>
    <s v="Q4"/>
    <x v="10"/>
    <x v="0"/>
    <x v="1"/>
    <x v="1"/>
    <x v="0"/>
    <s v="Denim Jacket"/>
    <n v="2"/>
    <n v="78.510000000000005"/>
    <n v="0.15"/>
    <x v="1"/>
    <n v="133.47"/>
    <n v="81.97"/>
    <n v="51.5"/>
    <n v="1"/>
    <n v="1"/>
    <n v="7"/>
    <n v="3"/>
  </r>
  <r>
    <s v="SW-101939"/>
    <d v="2024-11-06T00:00:00"/>
    <x v="0"/>
    <s v="Q4"/>
    <x v="10"/>
    <x v="0"/>
    <x v="2"/>
    <x v="0"/>
    <x v="5"/>
    <s v="Bestseller Novel"/>
    <n v="1"/>
    <n v="45.28"/>
    <n v="0.25"/>
    <x v="3"/>
    <n v="33.96"/>
    <n v="32.729999999999997"/>
    <n v="1.23"/>
    <n v="1"/>
    <n v="0"/>
    <n v="4"/>
    <n v="4"/>
  </r>
  <r>
    <s v="SW-101940"/>
    <d v="2024-11-06T00:00:00"/>
    <x v="0"/>
    <s v="Q4"/>
    <x v="10"/>
    <x v="0"/>
    <x v="0"/>
    <x v="1"/>
    <x v="0"/>
    <s v="Summer Dress"/>
    <n v="1"/>
    <n v="33.99"/>
    <n v="0.2"/>
    <x v="1"/>
    <n v="27.19"/>
    <n v="17.420000000000002"/>
    <n v="9.77"/>
    <n v="1"/>
    <n v="0"/>
    <n v="4"/>
    <n v="5"/>
  </r>
  <r>
    <s v="SW-101941"/>
    <d v="2024-11-06T00:00:00"/>
    <x v="0"/>
    <s v="Q4"/>
    <x v="10"/>
    <x v="0"/>
    <x v="0"/>
    <x v="0"/>
    <x v="4"/>
    <s v="Power Bank"/>
    <n v="1"/>
    <n v="508.8"/>
    <n v="0.3"/>
    <x v="3"/>
    <n v="356.16"/>
    <n v="394.32"/>
    <n v="-38.159999999999997"/>
    <n v="1"/>
    <n v="0"/>
    <n v="6"/>
    <n v="3"/>
  </r>
  <r>
    <s v="SW-101942"/>
    <d v="2024-11-06T00:00:00"/>
    <x v="0"/>
    <s v="Q4"/>
    <x v="10"/>
    <x v="0"/>
    <x v="0"/>
    <x v="1"/>
    <x v="5"/>
    <s v="Board Game"/>
    <n v="1"/>
    <n v="57.92"/>
    <n v="0.15"/>
    <x v="1"/>
    <n v="49.23"/>
    <n v="41"/>
    <n v="8.23"/>
    <n v="1"/>
    <n v="0"/>
    <n v="4"/>
    <n v="4"/>
  </r>
  <r>
    <s v="SW-101943"/>
    <d v="2024-11-06T00:00:00"/>
    <x v="0"/>
    <s v="Q4"/>
    <x v="10"/>
    <x v="0"/>
    <x v="2"/>
    <x v="1"/>
    <x v="4"/>
    <s v="Wireless Earbuds"/>
    <n v="1"/>
    <n v="588.41"/>
    <n v="0.1"/>
    <x v="0"/>
    <n v="529.57000000000005"/>
    <n v="472.72"/>
    <n v="56.85"/>
    <n v="1"/>
    <n v="0"/>
    <n v="4"/>
    <n v="4"/>
  </r>
  <r>
    <s v="SW-101944"/>
    <d v="2024-11-06T00:00:00"/>
    <x v="0"/>
    <s v="Q4"/>
    <x v="10"/>
    <x v="1"/>
    <x v="4"/>
    <x v="1"/>
    <x v="0"/>
    <s v="Cotton T-Shirt"/>
    <n v="1"/>
    <n v="19.41"/>
    <n v="0.2"/>
    <x v="1"/>
    <n v="15.53"/>
    <n v="10.85"/>
    <n v="4.68"/>
    <n v="1"/>
    <n v="0"/>
    <n v="7"/>
    <n v="3"/>
  </r>
  <r>
    <s v="SW-101945"/>
    <d v="2024-11-06T00:00:00"/>
    <x v="0"/>
    <s v="Q4"/>
    <x v="10"/>
    <x v="0"/>
    <x v="2"/>
    <x v="1"/>
    <x v="3"/>
    <s v="Fitness Tracker"/>
    <n v="1"/>
    <n v="74.459999999999994"/>
    <n v="0.15"/>
    <x v="1"/>
    <n v="63.29"/>
    <n v="49.29"/>
    <n v="14"/>
    <n v="1"/>
    <n v="0"/>
    <n v="5"/>
    <n v="4"/>
  </r>
  <r>
    <s v="SW-101946"/>
    <d v="2024-11-06T00:00:00"/>
    <x v="0"/>
    <s v="Q4"/>
    <x v="10"/>
    <x v="0"/>
    <x v="0"/>
    <x v="1"/>
    <x v="4"/>
    <s v="Bluetooth Speaker"/>
    <n v="2"/>
    <n v="177.65"/>
    <n v="0.2"/>
    <x v="1"/>
    <n v="284.24"/>
    <n v="286.85000000000002"/>
    <n v="-2.61"/>
    <n v="1"/>
    <n v="0"/>
    <n v="6"/>
    <n v="3"/>
  </r>
  <r>
    <s v="SW-101947"/>
    <d v="2024-11-06T00:00:00"/>
    <x v="0"/>
    <s v="Q4"/>
    <x v="10"/>
    <x v="0"/>
    <x v="2"/>
    <x v="1"/>
    <x v="3"/>
    <s v="Camping Tent"/>
    <n v="1"/>
    <n v="83.06"/>
    <n v="0.15"/>
    <x v="1"/>
    <n v="70.599999999999994"/>
    <n v="54.45"/>
    <n v="16.149999999999999"/>
    <n v="1"/>
    <n v="1"/>
    <n v="6"/>
    <n v="2"/>
  </r>
  <r>
    <s v="SW-101948"/>
    <d v="2024-11-07T00:00:00"/>
    <x v="0"/>
    <s v="Q4"/>
    <x v="10"/>
    <x v="0"/>
    <x v="3"/>
    <x v="0"/>
    <x v="5"/>
    <s v="Bestseller Novel"/>
    <n v="1"/>
    <n v="45.28"/>
    <n v="0.2"/>
    <x v="1"/>
    <n v="36.22"/>
    <n v="34.700000000000003"/>
    <n v="1.52"/>
    <n v="1"/>
    <n v="0"/>
    <n v="4"/>
    <n v="5"/>
  </r>
  <r>
    <s v="SW-101949"/>
    <d v="2024-11-07T00:00:00"/>
    <x v="0"/>
    <s v="Q4"/>
    <x v="10"/>
    <x v="1"/>
    <x v="0"/>
    <x v="0"/>
    <x v="2"/>
    <s v="Bed Sheet Set"/>
    <n v="1"/>
    <n v="90.75"/>
    <n v="0.25"/>
    <x v="3"/>
    <n v="68.06"/>
    <n v="58.52"/>
    <n v="9.5399999999999991"/>
    <n v="1"/>
    <n v="0"/>
    <n v="4"/>
    <n v="5"/>
  </r>
  <r>
    <s v="SW-101950"/>
    <d v="2024-11-07T00:00:00"/>
    <x v="0"/>
    <s v="Q4"/>
    <x v="10"/>
    <x v="0"/>
    <x v="2"/>
    <x v="0"/>
    <x v="2"/>
    <s v="Air Fryer"/>
    <n v="4"/>
    <n v="68.349999999999994"/>
    <n v="0.2"/>
    <x v="1"/>
    <n v="218.72"/>
    <n v="182.19"/>
    <n v="36.53"/>
    <n v="1"/>
    <n v="0"/>
    <n v="4"/>
    <n v="4"/>
  </r>
  <r>
    <s v="SW-101951"/>
    <d v="2024-11-07T00:00:00"/>
    <x v="0"/>
    <s v="Q4"/>
    <x v="10"/>
    <x v="0"/>
    <x v="3"/>
    <x v="0"/>
    <x v="5"/>
    <s v="Building Blocks"/>
    <n v="2"/>
    <n v="48.86"/>
    <n v="0.15"/>
    <x v="1"/>
    <n v="83.06"/>
    <n v="67.69"/>
    <n v="15.37"/>
    <n v="1"/>
    <n v="0"/>
    <n v="5"/>
    <n v="3"/>
  </r>
  <r>
    <s v="SW-101952"/>
    <d v="2024-11-07T00:00:00"/>
    <x v="0"/>
    <s v="Q4"/>
    <x v="10"/>
    <x v="0"/>
    <x v="2"/>
    <x v="0"/>
    <x v="1"/>
    <s v="Perfume 100ml"/>
    <n v="1"/>
    <n v="54.56"/>
    <n v="0.1"/>
    <x v="0"/>
    <n v="49.1"/>
    <n v="27.01"/>
    <n v="22.09"/>
    <n v="1"/>
    <n v="0"/>
    <n v="6"/>
    <n v="3"/>
  </r>
  <r>
    <s v="SW-101953"/>
    <d v="2024-11-07T00:00:00"/>
    <x v="0"/>
    <s v="Q4"/>
    <x v="10"/>
    <x v="0"/>
    <x v="0"/>
    <x v="0"/>
    <x v="4"/>
    <s v="Wireless Earbuds"/>
    <n v="1"/>
    <n v="588.41"/>
    <n v="0"/>
    <x v="2"/>
    <n v="588.41"/>
    <n v="461.83"/>
    <n v="126.58"/>
    <n v="1"/>
    <n v="0"/>
    <n v="4"/>
    <n v="3"/>
  </r>
  <r>
    <s v="SW-101954"/>
    <d v="2024-11-07T00:00:00"/>
    <x v="0"/>
    <s v="Q4"/>
    <x v="10"/>
    <x v="0"/>
    <x v="4"/>
    <x v="0"/>
    <x v="5"/>
    <s v="Bestseller Novel"/>
    <n v="1"/>
    <n v="45.28"/>
    <n v="0.15"/>
    <x v="1"/>
    <n v="38.49"/>
    <n v="32.75"/>
    <n v="5.74"/>
    <n v="1"/>
    <n v="0"/>
    <n v="14"/>
    <n v="3"/>
  </r>
  <r>
    <s v="SW-101955"/>
    <d v="2024-11-08T00:00:00"/>
    <x v="0"/>
    <s v="Q4"/>
    <x v="10"/>
    <x v="0"/>
    <x v="4"/>
    <x v="1"/>
    <x v="0"/>
    <s v="Sunglasses"/>
    <n v="1"/>
    <n v="104.94"/>
    <n v="0.15"/>
    <x v="1"/>
    <n v="89.2"/>
    <n v="56.02"/>
    <n v="33.18"/>
    <n v="1"/>
    <n v="0"/>
    <n v="8"/>
    <n v="3"/>
  </r>
  <r>
    <s v="SW-101956"/>
    <d v="2024-11-08T00:00:00"/>
    <x v="0"/>
    <s v="Q4"/>
    <x v="10"/>
    <x v="2"/>
    <x v="1"/>
    <x v="0"/>
    <x v="1"/>
    <s v="Perfume 100ml"/>
    <n v="3"/>
    <n v="54.56"/>
    <n v="0.2"/>
    <x v="1"/>
    <n v="130.94"/>
    <n v="77.97"/>
    <n v="52.97"/>
    <n v="1"/>
    <n v="0"/>
    <n v="6"/>
    <n v="3"/>
  </r>
  <r>
    <s v="SW-101957"/>
    <d v="2024-11-08T00:00:00"/>
    <x v="0"/>
    <s v="Q4"/>
    <x v="10"/>
    <x v="0"/>
    <x v="4"/>
    <x v="0"/>
    <x v="2"/>
    <s v="Air Fryer"/>
    <n v="3"/>
    <n v="68.349999999999994"/>
    <n v="0.15"/>
    <x v="1"/>
    <n v="174.29"/>
    <n v="136.44"/>
    <n v="37.85"/>
    <n v="1"/>
    <n v="0"/>
    <n v="7"/>
    <n v="2"/>
  </r>
  <r>
    <s v="SW-101958"/>
    <d v="2024-11-08T00:00:00"/>
    <x v="0"/>
    <s v="Q4"/>
    <x v="10"/>
    <x v="1"/>
    <x v="2"/>
    <x v="1"/>
    <x v="0"/>
    <s v="Cotton T-Shirt"/>
    <n v="1"/>
    <n v="19.41"/>
    <n v="0.2"/>
    <x v="1"/>
    <n v="15.53"/>
    <n v="10.01"/>
    <n v="5.52"/>
    <n v="1"/>
    <n v="1"/>
    <n v="4"/>
    <n v="3"/>
  </r>
  <r>
    <s v="SW-101959"/>
    <d v="2024-11-08T00:00:00"/>
    <x v="0"/>
    <s v="Q4"/>
    <x v="10"/>
    <x v="0"/>
    <x v="3"/>
    <x v="1"/>
    <x v="2"/>
    <s v="Bed Sheet Set"/>
    <n v="1"/>
    <n v="90.75"/>
    <n v="0.2"/>
    <x v="1"/>
    <n v="72.599999999999994"/>
    <n v="57.63"/>
    <n v="14.97"/>
    <n v="1"/>
    <n v="0"/>
    <n v="3"/>
    <n v="4"/>
  </r>
  <r>
    <s v="SW-101960"/>
    <d v="2024-11-08T00:00:00"/>
    <x v="0"/>
    <s v="Q4"/>
    <x v="10"/>
    <x v="0"/>
    <x v="2"/>
    <x v="0"/>
    <x v="0"/>
    <s v="Cotton T-Shirt"/>
    <n v="1"/>
    <n v="19.41"/>
    <n v="0.05"/>
    <x v="0"/>
    <n v="18.440000000000001"/>
    <n v="10.95"/>
    <n v="7.49"/>
    <n v="1"/>
    <n v="1"/>
    <n v="5"/>
    <n v="3"/>
  </r>
  <r>
    <s v="SW-101961"/>
    <d v="2024-11-08T00:00:00"/>
    <x v="0"/>
    <s v="Q4"/>
    <x v="10"/>
    <x v="1"/>
    <x v="3"/>
    <x v="1"/>
    <x v="4"/>
    <s v="Wireless Earbuds"/>
    <n v="1"/>
    <n v="588.41"/>
    <n v="0.05"/>
    <x v="0"/>
    <n v="558.99"/>
    <n v="469.01"/>
    <n v="89.98"/>
    <n v="1"/>
    <n v="0"/>
    <n v="4"/>
    <n v="4"/>
  </r>
  <r>
    <s v="SW-101962"/>
    <d v="2024-11-08T00:00:00"/>
    <x v="0"/>
    <s v="Q4"/>
    <x v="10"/>
    <x v="1"/>
    <x v="1"/>
    <x v="1"/>
    <x v="2"/>
    <s v="Desk Lamp"/>
    <n v="2"/>
    <n v="117.63"/>
    <n v="0.15"/>
    <x v="1"/>
    <n v="199.97"/>
    <n v="158.19"/>
    <n v="41.78"/>
    <n v="1"/>
    <n v="0"/>
    <n v="7"/>
    <n v="4"/>
  </r>
  <r>
    <s v="SW-101963"/>
    <d v="2024-11-08T00:00:00"/>
    <x v="0"/>
    <s v="Q4"/>
    <x v="10"/>
    <x v="0"/>
    <x v="1"/>
    <x v="0"/>
    <x v="0"/>
    <s v="Summer Dress"/>
    <n v="1"/>
    <n v="33.99"/>
    <n v="0.1"/>
    <x v="0"/>
    <n v="30.59"/>
    <n v="17.68"/>
    <n v="12.91"/>
    <n v="1"/>
    <n v="0"/>
    <n v="7"/>
    <n v="3"/>
  </r>
  <r>
    <s v="SW-101964"/>
    <d v="2024-11-08T00:00:00"/>
    <x v="0"/>
    <s v="Q4"/>
    <x v="10"/>
    <x v="1"/>
    <x v="0"/>
    <x v="1"/>
    <x v="2"/>
    <s v="Air Fryer"/>
    <n v="1"/>
    <n v="68.349999999999994"/>
    <n v="0.3"/>
    <x v="3"/>
    <n v="47.84"/>
    <n v="46.48"/>
    <n v="1.36"/>
    <n v="1"/>
    <n v="0"/>
    <n v="4"/>
    <n v="4"/>
  </r>
  <r>
    <s v="SW-101965"/>
    <d v="2024-11-08T00:00:00"/>
    <x v="0"/>
    <s v="Q4"/>
    <x v="10"/>
    <x v="0"/>
    <x v="4"/>
    <x v="0"/>
    <x v="5"/>
    <s v="Board Game"/>
    <n v="3"/>
    <n v="57.92"/>
    <n v="0.3"/>
    <x v="3"/>
    <n v="121.63"/>
    <n v="126.61"/>
    <n v="-4.9800000000000004"/>
    <n v="1"/>
    <n v="0"/>
    <n v="6"/>
    <n v="4"/>
  </r>
  <r>
    <s v="SW-101966"/>
    <d v="2024-11-08T00:00:00"/>
    <x v="0"/>
    <s v="Q4"/>
    <x v="10"/>
    <x v="0"/>
    <x v="2"/>
    <x v="1"/>
    <x v="0"/>
    <s v="Running Sneakers"/>
    <n v="2"/>
    <n v="94.85"/>
    <n v="0.25"/>
    <x v="3"/>
    <n v="142.27000000000001"/>
    <n v="96.67"/>
    <n v="45.6"/>
    <n v="1"/>
    <n v="0"/>
    <n v="4"/>
    <n v="4"/>
  </r>
  <r>
    <s v="SW-101967"/>
    <d v="2024-11-08T00:00:00"/>
    <x v="0"/>
    <s v="Q4"/>
    <x v="10"/>
    <x v="0"/>
    <x v="3"/>
    <x v="0"/>
    <x v="2"/>
    <s v="Storage Boxes"/>
    <n v="2"/>
    <n v="154.66"/>
    <n v="0.15"/>
    <x v="1"/>
    <n v="262.92"/>
    <n v="211.63"/>
    <n v="51.29"/>
    <n v="1"/>
    <n v="0"/>
    <n v="3"/>
    <n v="3"/>
  </r>
  <r>
    <s v="SW-101968"/>
    <d v="2024-11-08T00:00:00"/>
    <x v="0"/>
    <s v="Q4"/>
    <x v="10"/>
    <x v="0"/>
    <x v="3"/>
    <x v="0"/>
    <x v="0"/>
    <s v="Cotton T-Shirt"/>
    <n v="4"/>
    <n v="19.41"/>
    <n v="0.2"/>
    <x v="1"/>
    <n v="62.11"/>
    <n v="42.75"/>
    <n v="19.36"/>
    <n v="1"/>
    <n v="0"/>
    <n v="5"/>
    <n v="5"/>
  </r>
  <r>
    <s v="SW-101969"/>
    <d v="2024-11-09T00:00:00"/>
    <x v="0"/>
    <s v="Q4"/>
    <x v="10"/>
    <x v="2"/>
    <x v="3"/>
    <x v="1"/>
    <x v="2"/>
    <s v="Air Fryer"/>
    <n v="1"/>
    <n v="68.349999999999994"/>
    <n v="0.15"/>
    <x v="1"/>
    <n v="58.1"/>
    <n v="44.22"/>
    <n v="13.88"/>
    <n v="1"/>
    <n v="1"/>
    <n v="3"/>
    <n v="2"/>
  </r>
  <r>
    <s v="SW-101970"/>
    <d v="2024-11-09T00:00:00"/>
    <x v="0"/>
    <s v="Q4"/>
    <x v="10"/>
    <x v="1"/>
    <x v="4"/>
    <x v="0"/>
    <x v="2"/>
    <s v="Desk Lamp"/>
    <n v="1"/>
    <n v="117.63"/>
    <n v="0.1"/>
    <x v="0"/>
    <n v="105.87"/>
    <n v="77.819999999999993"/>
    <n v="28.05"/>
    <n v="1"/>
    <n v="0"/>
    <n v="8"/>
    <n v="4"/>
  </r>
  <r>
    <s v="SW-101971"/>
    <d v="2024-11-09T00:00:00"/>
    <x v="0"/>
    <s v="Q4"/>
    <x v="10"/>
    <x v="0"/>
    <x v="1"/>
    <x v="1"/>
    <x v="1"/>
    <s v="Makeup Kit"/>
    <n v="2"/>
    <n v="74.3"/>
    <n v="0.2"/>
    <x v="1"/>
    <n v="118.88"/>
    <n v="67.03"/>
    <n v="51.85"/>
    <n v="1"/>
    <n v="0"/>
    <n v="7"/>
    <n v="3"/>
  </r>
  <r>
    <s v="SW-101972"/>
    <d v="2024-11-09T00:00:00"/>
    <x v="0"/>
    <s v="Q4"/>
    <x v="10"/>
    <x v="2"/>
    <x v="3"/>
    <x v="1"/>
    <x v="0"/>
    <s v="Sunglasses"/>
    <n v="2"/>
    <n v="104.94"/>
    <n v="0.3"/>
    <x v="3"/>
    <n v="146.91999999999999"/>
    <n v="111.26"/>
    <n v="35.659999999999997"/>
    <n v="1"/>
    <n v="0"/>
    <n v="4"/>
    <n v="5"/>
  </r>
  <r>
    <s v="SW-101973"/>
    <d v="2024-11-09T00:00:00"/>
    <x v="0"/>
    <s v="Q4"/>
    <x v="10"/>
    <x v="1"/>
    <x v="3"/>
    <x v="0"/>
    <x v="2"/>
    <s v="Bed Sheet Set"/>
    <n v="1"/>
    <n v="90.75"/>
    <n v="0.2"/>
    <x v="1"/>
    <n v="72.599999999999994"/>
    <n v="57.85"/>
    <n v="14.75"/>
    <n v="1"/>
    <n v="0"/>
    <n v="6"/>
    <n v="3"/>
  </r>
  <r>
    <s v="SW-101974"/>
    <d v="2024-11-09T00:00:00"/>
    <x v="0"/>
    <s v="Q4"/>
    <x v="10"/>
    <x v="2"/>
    <x v="3"/>
    <x v="1"/>
    <x v="1"/>
    <s v="Hair Dryer"/>
    <n v="1"/>
    <n v="33.18"/>
    <n v="0.2"/>
    <x v="1"/>
    <n v="26.54"/>
    <n v="16.07"/>
    <n v="10.47"/>
    <n v="1"/>
    <n v="0"/>
    <n v="5"/>
    <n v="4"/>
  </r>
  <r>
    <s v="SW-101975"/>
    <d v="2024-11-09T00:00:00"/>
    <x v="0"/>
    <s v="Q4"/>
    <x v="10"/>
    <x v="2"/>
    <x v="3"/>
    <x v="1"/>
    <x v="1"/>
    <s v="Face Serum"/>
    <n v="1"/>
    <n v="33.479999999999997"/>
    <n v="0.1"/>
    <x v="0"/>
    <n v="30.13"/>
    <n v="16.489999999999998"/>
    <n v="13.64"/>
    <n v="1"/>
    <n v="0"/>
    <n v="3"/>
    <n v="5"/>
  </r>
  <r>
    <s v="SW-101976"/>
    <d v="2024-11-09T00:00:00"/>
    <x v="0"/>
    <s v="Q4"/>
    <x v="10"/>
    <x v="0"/>
    <x v="4"/>
    <x v="0"/>
    <x v="4"/>
    <s v="Bluetooth Speaker"/>
    <n v="1"/>
    <n v="177.65"/>
    <n v="0.1"/>
    <x v="0"/>
    <n v="159.88999999999999"/>
    <n v="133.72"/>
    <n v="26.17"/>
    <n v="1"/>
    <n v="0"/>
    <n v="10"/>
    <n v="4"/>
  </r>
  <r>
    <s v="SW-101977"/>
    <d v="2024-11-09T00:00:00"/>
    <x v="0"/>
    <s v="Q4"/>
    <x v="10"/>
    <x v="1"/>
    <x v="0"/>
    <x v="1"/>
    <x v="0"/>
    <s v="Running Sneakers"/>
    <n v="1"/>
    <n v="94.85"/>
    <n v="0.3"/>
    <x v="3"/>
    <n v="66.400000000000006"/>
    <n v="52.06"/>
    <n v="14.34"/>
    <n v="1"/>
    <n v="0"/>
    <n v="5"/>
    <n v="4"/>
  </r>
  <r>
    <s v="SW-101978"/>
    <d v="2024-11-09T00:00:00"/>
    <x v="0"/>
    <s v="Q4"/>
    <x v="10"/>
    <x v="1"/>
    <x v="0"/>
    <x v="1"/>
    <x v="5"/>
    <s v="Bestseller Novel"/>
    <n v="2"/>
    <n v="45.28"/>
    <n v="0.25"/>
    <x v="3"/>
    <n v="67.92"/>
    <n v="66.58"/>
    <n v="1.34"/>
    <n v="1"/>
    <n v="0"/>
    <n v="5"/>
    <n v="4"/>
  </r>
  <r>
    <s v="SW-101979"/>
    <d v="2024-11-09T00:00:00"/>
    <x v="0"/>
    <s v="Q4"/>
    <x v="10"/>
    <x v="0"/>
    <x v="0"/>
    <x v="1"/>
    <x v="0"/>
    <s v="Summer Dress"/>
    <n v="1"/>
    <n v="33.99"/>
    <n v="0.15"/>
    <x v="1"/>
    <n v="28.89"/>
    <n v="18.7"/>
    <n v="10.19"/>
    <n v="1"/>
    <n v="0"/>
    <n v="6"/>
    <n v="4"/>
  </r>
  <r>
    <s v="SW-101980"/>
    <d v="2024-11-09T00:00:00"/>
    <x v="0"/>
    <s v="Q4"/>
    <x v="10"/>
    <x v="0"/>
    <x v="1"/>
    <x v="0"/>
    <x v="4"/>
    <s v="Smart Watch"/>
    <n v="2"/>
    <n v="216.08"/>
    <n v="0.2"/>
    <x v="1"/>
    <n v="345.73"/>
    <n v="362.41"/>
    <n v="-16.68"/>
    <n v="1"/>
    <n v="0"/>
    <n v="9"/>
    <n v="4"/>
  </r>
  <r>
    <s v="SW-101981"/>
    <d v="2024-11-09T00:00:00"/>
    <x v="0"/>
    <s v="Q4"/>
    <x v="10"/>
    <x v="0"/>
    <x v="2"/>
    <x v="1"/>
    <x v="0"/>
    <s v="Denim Jacket"/>
    <n v="1"/>
    <n v="78.510000000000005"/>
    <n v="0.25"/>
    <x v="3"/>
    <n v="58.88"/>
    <n v="44.54"/>
    <n v="14.34"/>
    <n v="1"/>
    <n v="0"/>
    <n v="4"/>
    <n v="5"/>
  </r>
  <r>
    <s v="SW-101982"/>
    <d v="2024-11-09T00:00:00"/>
    <x v="0"/>
    <s v="Q4"/>
    <x v="10"/>
    <x v="0"/>
    <x v="2"/>
    <x v="0"/>
    <x v="1"/>
    <s v="Hair Dryer"/>
    <n v="1"/>
    <n v="33.18"/>
    <n v="0.2"/>
    <x v="1"/>
    <n v="26.54"/>
    <n v="16.04"/>
    <n v="10.5"/>
    <n v="1"/>
    <n v="0"/>
    <n v="4"/>
    <n v="5"/>
  </r>
  <r>
    <s v="SW-101983"/>
    <d v="2024-11-09T00:00:00"/>
    <x v="0"/>
    <s v="Q4"/>
    <x v="10"/>
    <x v="2"/>
    <x v="4"/>
    <x v="1"/>
    <x v="1"/>
    <s v="Perfume 100ml"/>
    <n v="2"/>
    <n v="54.56"/>
    <n v="0.15"/>
    <x v="1"/>
    <n v="92.75"/>
    <n v="51.75"/>
    <n v="41"/>
    <n v="1"/>
    <n v="0"/>
    <n v="6"/>
    <n v="3"/>
  </r>
  <r>
    <s v="SW-101984"/>
    <d v="2024-11-09T00:00:00"/>
    <x v="0"/>
    <s v="Q4"/>
    <x v="10"/>
    <x v="0"/>
    <x v="1"/>
    <x v="0"/>
    <x v="3"/>
    <s v="Camping Tent"/>
    <n v="1"/>
    <n v="83.06"/>
    <n v="0.2"/>
    <x v="1"/>
    <n v="66.45"/>
    <n v="56.76"/>
    <n v="9.69"/>
    <n v="1"/>
    <n v="0"/>
    <n v="7"/>
    <n v="4"/>
  </r>
  <r>
    <s v="SW-101985"/>
    <d v="2024-11-09T00:00:00"/>
    <x v="0"/>
    <s v="Q4"/>
    <x v="10"/>
    <x v="1"/>
    <x v="2"/>
    <x v="1"/>
    <x v="4"/>
    <s v="Tablet 10in"/>
    <n v="1"/>
    <n v="490.3"/>
    <n v="0.15"/>
    <x v="1"/>
    <n v="416.76"/>
    <n v="383.42"/>
    <n v="33.340000000000003"/>
    <n v="1"/>
    <n v="0"/>
    <n v="4"/>
    <n v="4"/>
  </r>
  <r>
    <s v="SW-101986"/>
    <d v="2024-11-09T00:00:00"/>
    <x v="0"/>
    <s v="Q4"/>
    <x v="10"/>
    <x v="0"/>
    <x v="3"/>
    <x v="1"/>
    <x v="0"/>
    <s v="Running Sneakers"/>
    <n v="1"/>
    <n v="94.85"/>
    <n v="0.3"/>
    <x v="3"/>
    <n v="66.400000000000006"/>
    <n v="51.69"/>
    <n v="14.71"/>
    <n v="1"/>
    <n v="1"/>
    <n v="5"/>
    <n v="3"/>
  </r>
  <r>
    <s v="SW-101987"/>
    <d v="2024-11-09T00:00:00"/>
    <x v="0"/>
    <s v="Q4"/>
    <x v="10"/>
    <x v="2"/>
    <x v="3"/>
    <x v="1"/>
    <x v="4"/>
    <s v="Smart Watch"/>
    <n v="4"/>
    <n v="216.08"/>
    <n v="0.3"/>
    <x v="3"/>
    <n v="605.02"/>
    <n v="688.23"/>
    <n v="-83.21"/>
    <n v="1"/>
    <n v="0"/>
    <n v="4"/>
    <n v="5"/>
  </r>
  <r>
    <s v="SW-101988"/>
    <d v="2024-11-09T00:00:00"/>
    <x v="0"/>
    <s v="Q4"/>
    <x v="10"/>
    <x v="1"/>
    <x v="4"/>
    <x v="0"/>
    <x v="3"/>
    <s v="Dumbbell Set"/>
    <n v="1"/>
    <n v="198.42"/>
    <n v="0.3"/>
    <x v="3"/>
    <n v="138.88999999999999"/>
    <n v="132.34"/>
    <n v="6.55"/>
    <n v="1"/>
    <n v="0"/>
    <n v="8"/>
    <n v="4"/>
  </r>
  <r>
    <s v="SW-101989"/>
    <d v="2024-11-09T00:00:00"/>
    <x v="0"/>
    <s v="Q4"/>
    <x v="10"/>
    <x v="2"/>
    <x v="0"/>
    <x v="1"/>
    <x v="4"/>
    <s v="Tablet 10in"/>
    <n v="1"/>
    <n v="490.3"/>
    <n v="0.25"/>
    <x v="3"/>
    <n v="367.72"/>
    <n v="391.36"/>
    <n v="-23.64"/>
    <n v="1"/>
    <n v="0"/>
    <n v="4"/>
    <n v="3"/>
  </r>
  <r>
    <s v="SW-101990"/>
    <d v="2024-11-09T00:00:00"/>
    <x v="0"/>
    <s v="Q4"/>
    <x v="10"/>
    <x v="2"/>
    <x v="2"/>
    <x v="1"/>
    <x v="4"/>
    <s v="4K Action Camera"/>
    <n v="1"/>
    <n v="636.09"/>
    <n v="0.1"/>
    <x v="0"/>
    <n v="572.48"/>
    <n v="513.47"/>
    <n v="59.01"/>
    <n v="1"/>
    <n v="1"/>
    <n v="5"/>
    <n v="4"/>
  </r>
  <r>
    <s v="SW-101991"/>
    <d v="2024-11-10T00:00:00"/>
    <x v="0"/>
    <s v="Q4"/>
    <x v="10"/>
    <x v="2"/>
    <x v="2"/>
    <x v="0"/>
    <x v="4"/>
    <s v="Tablet 10in"/>
    <n v="3"/>
    <n v="490.3"/>
    <n v="0.15"/>
    <x v="1"/>
    <n v="1250.27"/>
    <n v="1209.3800000000001"/>
    <n v="40.89"/>
    <n v="1"/>
    <n v="0"/>
    <n v="7"/>
    <n v="3"/>
  </r>
  <r>
    <s v="SW-101992"/>
    <d v="2024-11-10T00:00:00"/>
    <x v="0"/>
    <s v="Q4"/>
    <x v="10"/>
    <x v="0"/>
    <x v="2"/>
    <x v="1"/>
    <x v="0"/>
    <s v="Denim Jacket"/>
    <n v="2"/>
    <n v="78.510000000000005"/>
    <n v="0.2"/>
    <x v="1"/>
    <n v="125.62"/>
    <n v="84.49"/>
    <n v="41.13"/>
    <n v="1"/>
    <n v="0"/>
    <n v="5"/>
    <n v="4"/>
  </r>
  <r>
    <s v="SW-101993"/>
    <d v="2024-11-10T00:00:00"/>
    <x v="0"/>
    <s v="Q4"/>
    <x v="10"/>
    <x v="0"/>
    <x v="0"/>
    <x v="1"/>
    <x v="4"/>
    <s v="Power Bank"/>
    <n v="1"/>
    <n v="508.8"/>
    <n v="0.25"/>
    <x v="3"/>
    <n v="381.6"/>
    <n v="400.86"/>
    <n v="-19.260000000000002"/>
    <n v="1"/>
    <n v="0"/>
    <n v="6"/>
    <n v="4"/>
  </r>
  <r>
    <s v="SW-101994"/>
    <d v="2024-11-10T00:00:00"/>
    <x v="0"/>
    <s v="Q4"/>
    <x v="10"/>
    <x v="0"/>
    <x v="0"/>
    <x v="0"/>
    <x v="0"/>
    <s v="Sunglasses"/>
    <n v="1"/>
    <n v="104.94"/>
    <n v="0.05"/>
    <x v="0"/>
    <n v="99.69"/>
    <n v="57.83"/>
    <n v="41.86"/>
    <n v="1"/>
    <n v="0"/>
    <n v="5"/>
    <n v="5"/>
  </r>
  <r>
    <s v="SW-101995"/>
    <d v="2024-11-10T00:00:00"/>
    <x v="0"/>
    <s v="Q4"/>
    <x v="10"/>
    <x v="1"/>
    <x v="3"/>
    <x v="0"/>
    <x v="1"/>
    <s v="Skin Care Bundle"/>
    <n v="1"/>
    <n v="92.54"/>
    <n v="0.1"/>
    <x v="0"/>
    <n v="83.29"/>
    <n v="46.35"/>
    <n v="36.94"/>
    <n v="1"/>
    <n v="0"/>
    <n v="3"/>
    <n v="4"/>
  </r>
  <r>
    <s v="SW-101996"/>
    <d v="2024-11-10T00:00:00"/>
    <x v="0"/>
    <s v="Q4"/>
    <x v="10"/>
    <x v="2"/>
    <x v="4"/>
    <x v="0"/>
    <x v="2"/>
    <s v="Air Fryer"/>
    <n v="1"/>
    <n v="68.349999999999994"/>
    <n v="0.2"/>
    <x v="1"/>
    <n v="54.68"/>
    <n v="44.28"/>
    <n v="10.4"/>
    <n v="1"/>
    <n v="1"/>
    <n v="6"/>
    <n v="2"/>
  </r>
  <r>
    <s v="SW-101997"/>
    <d v="2024-11-10T00:00:00"/>
    <x v="0"/>
    <s v="Q4"/>
    <x v="10"/>
    <x v="1"/>
    <x v="2"/>
    <x v="1"/>
    <x v="0"/>
    <s v="Summer Dress"/>
    <n v="1"/>
    <n v="33.99"/>
    <n v="0.3"/>
    <x v="3"/>
    <n v="23.79"/>
    <n v="18.350000000000001"/>
    <n v="5.44"/>
    <n v="1"/>
    <n v="0"/>
    <n v="6"/>
    <n v="3"/>
  </r>
  <r>
    <s v="SW-101998"/>
    <d v="2024-11-10T00:00:00"/>
    <x v="0"/>
    <s v="Q4"/>
    <x v="10"/>
    <x v="2"/>
    <x v="4"/>
    <x v="1"/>
    <x v="5"/>
    <s v="Building Blocks"/>
    <n v="1"/>
    <n v="48.86"/>
    <n v="0.2"/>
    <x v="1"/>
    <n v="39.090000000000003"/>
    <n v="33.68"/>
    <n v="5.41"/>
    <n v="1"/>
    <n v="0"/>
    <n v="6"/>
    <n v="3"/>
  </r>
  <r>
    <s v="SW-101999"/>
    <d v="2024-11-10T00:00:00"/>
    <x v="0"/>
    <s v="Q4"/>
    <x v="10"/>
    <x v="2"/>
    <x v="2"/>
    <x v="1"/>
    <x v="4"/>
    <s v="Bluetooth Speaker"/>
    <n v="1"/>
    <n v="177.65"/>
    <n v="0.05"/>
    <x v="0"/>
    <n v="168.77"/>
    <n v="139.81"/>
    <n v="28.96"/>
    <n v="1"/>
    <n v="0"/>
    <n v="4"/>
    <n v="4"/>
  </r>
  <r>
    <s v="SW-102000"/>
    <d v="2024-11-10T00:00:00"/>
    <x v="0"/>
    <s v="Q4"/>
    <x v="10"/>
    <x v="0"/>
    <x v="4"/>
    <x v="1"/>
    <x v="2"/>
    <s v="Cookware Set"/>
    <n v="1"/>
    <n v="233.81"/>
    <n v="0.15"/>
    <x v="1"/>
    <n v="198.74"/>
    <n v="153.13999999999999"/>
    <n v="45.6"/>
    <n v="1"/>
    <n v="0"/>
    <n v="6"/>
    <n v="3"/>
  </r>
  <r>
    <s v="SW-102001"/>
    <d v="2024-11-10T00:00:00"/>
    <x v="0"/>
    <s v="Q4"/>
    <x v="10"/>
    <x v="0"/>
    <x v="2"/>
    <x v="1"/>
    <x v="2"/>
    <s v="Bed Sheet Set"/>
    <n v="1"/>
    <n v="90.75"/>
    <n v="0.15"/>
    <x v="1"/>
    <n v="77.14"/>
    <n v="61.77"/>
    <n v="15.37"/>
    <n v="1"/>
    <n v="0"/>
    <n v="5"/>
    <n v="5"/>
  </r>
  <r>
    <s v="SW-102002"/>
    <d v="2024-11-10T00:00:00"/>
    <x v="0"/>
    <s v="Q4"/>
    <x v="10"/>
    <x v="0"/>
    <x v="2"/>
    <x v="1"/>
    <x v="5"/>
    <s v="Kids Puzzle"/>
    <n v="2"/>
    <n v="16.97"/>
    <n v="0.2"/>
    <x v="1"/>
    <n v="27.15"/>
    <n v="25.6"/>
    <n v="1.55"/>
    <n v="1"/>
    <n v="0"/>
    <n v="6"/>
    <n v="3"/>
  </r>
  <r>
    <s v="SW-102003"/>
    <d v="2024-11-11T00:00:00"/>
    <x v="0"/>
    <s v="Q4"/>
    <x v="10"/>
    <x v="2"/>
    <x v="2"/>
    <x v="1"/>
    <x v="1"/>
    <s v="Hair Dryer"/>
    <n v="1"/>
    <n v="33.18"/>
    <n v="0.3"/>
    <x v="3"/>
    <n v="23.23"/>
    <n v="16.579999999999998"/>
    <n v="6.65"/>
    <n v="1"/>
    <n v="0"/>
    <n v="7"/>
    <n v="4"/>
  </r>
  <r>
    <s v="SW-102004"/>
    <d v="2024-11-11T00:00:00"/>
    <x v="0"/>
    <s v="Q4"/>
    <x v="10"/>
    <x v="0"/>
    <x v="3"/>
    <x v="1"/>
    <x v="0"/>
    <s v="Denim Jacket"/>
    <n v="1"/>
    <n v="78.510000000000005"/>
    <n v="0.25"/>
    <x v="3"/>
    <n v="58.88"/>
    <n v="42.65"/>
    <n v="16.23"/>
    <n v="1"/>
    <n v="0"/>
    <n v="3"/>
    <n v="5"/>
  </r>
  <r>
    <s v="SW-102005"/>
    <d v="2024-11-11T00:00:00"/>
    <x v="0"/>
    <s v="Q4"/>
    <x v="10"/>
    <x v="1"/>
    <x v="3"/>
    <x v="0"/>
    <x v="0"/>
    <s v="Running Sneakers"/>
    <n v="1"/>
    <n v="94.85"/>
    <n v="0.2"/>
    <x v="1"/>
    <n v="75.88"/>
    <n v="52"/>
    <n v="23.88"/>
    <n v="1"/>
    <n v="0"/>
    <n v="4"/>
    <n v="4"/>
  </r>
  <r>
    <s v="SW-102006"/>
    <d v="2024-11-11T00:00:00"/>
    <x v="0"/>
    <s v="Q4"/>
    <x v="10"/>
    <x v="0"/>
    <x v="3"/>
    <x v="1"/>
    <x v="3"/>
    <s v="Dumbbell Set"/>
    <n v="1"/>
    <n v="198.42"/>
    <n v="0"/>
    <x v="2"/>
    <n v="198.42"/>
    <n v="130.80000000000001"/>
    <n v="67.62"/>
    <n v="1"/>
    <n v="0"/>
    <n v="4"/>
    <n v="5"/>
  </r>
  <r>
    <s v="SW-102007"/>
    <d v="2024-11-11T00:00:00"/>
    <x v="0"/>
    <s v="Q4"/>
    <x v="10"/>
    <x v="2"/>
    <x v="3"/>
    <x v="0"/>
    <x v="4"/>
    <s v="Wireless Earbuds"/>
    <n v="1"/>
    <n v="588.41"/>
    <n v="0.1"/>
    <x v="0"/>
    <n v="529.57000000000005"/>
    <n v="491.08"/>
    <n v="38.49"/>
    <n v="1"/>
    <n v="0"/>
    <n v="6"/>
    <n v="3"/>
  </r>
  <r>
    <s v="SW-102008"/>
    <d v="2024-11-11T00:00:00"/>
    <x v="0"/>
    <s v="Q4"/>
    <x v="10"/>
    <x v="0"/>
    <x v="3"/>
    <x v="0"/>
    <x v="2"/>
    <s v="Bed Sheet Set"/>
    <n v="2"/>
    <n v="90.75"/>
    <n v="0.05"/>
    <x v="0"/>
    <n v="172.42"/>
    <n v="122.24"/>
    <n v="50.18"/>
    <n v="1"/>
    <n v="0"/>
    <n v="3"/>
    <n v="4"/>
  </r>
  <r>
    <s v="SW-102009"/>
    <d v="2024-11-12T00:00:00"/>
    <x v="0"/>
    <s v="Q4"/>
    <x v="10"/>
    <x v="1"/>
    <x v="2"/>
    <x v="1"/>
    <x v="4"/>
    <s v="Power Bank"/>
    <n v="2"/>
    <n v="508.8"/>
    <n v="0.25"/>
    <x v="3"/>
    <n v="763.2"/>
    <n v="829.68"/>
    <n v="-66.48"/>
    <n v="1"/>
    <n v="0"/>
    <n v="6"/>
    <n v="3"/>
  </r>
  <r>
    <s v="SW-102010"/>
    <d v="2024-11-12T00:00:00"/>
    <x v="0"/>
    <s v="Q4"/>
    <x v="10"/>
    <x v="0"/>
    <x v="0"/>
    <x v="0"/>
    <x v="3"/>
    <s v="Yoga Mat"/>
    <n v="1"/>
    <n v="137.05000000000001"/>
    <n v="0.05"/>
    <x v="0"/>
    <n v="130.19999999999999"/>
    <n v="90.89"/>
    <n v="39.31"/>
    <n v="1"/>
    <n v="0"/>
    <n v="4"/>
    <n v="4"/>
  </r>
  <r>
    <s v="SW-102011"/>
    <d v="2024-11-12T00:00:00"/>
    <x v="0"/>
    <s v="Q4"/>
    <x v="10"/>
    <x v="2"/>
    <x v="3"/>
    <x v="1"/>
    <x v="4"/>
    <s v="Tablet 10in"/>
    <n v="1"/>
    <n v="490.3"/>
    <n v="0.2"/>
    <x v="1"/>
    <n v="392.24"/>
    <n v="382.59"/>
    <n v="9.65"/>
    <n v="1"/>
    <n v="0"/>
    <n v="3"/>
    <n v="5"/>
  </r>
  <r>
    <s v="SW-102012"/>
    <d v="2024-11-12T00:00:00"/>
    <x v="0"/>
    <s v="Q4"/>
    <x v="10"/>
    <x v="2"/>
    <x v="3"/>
    <x v="0"/>
    <x v="1"/>
    <s v="Hair Dryer"/>
    <n v="1"/>
    <n v="33.18"/>
    <n v="0.3"/>
    <x v="3"/>
    <n v="23.23"/>
    <n v="15.46"/>
    <n v="7.77"/>
    <n v="1"/>
    <n v="0"/>
    <n v="3"/>
    <n v="5"/>
  </r>
  <r>
    <s v="SW-102013"/>
    <d v="2024-11-12T00:00:00"/>
    <x v="0"/>
    <s v="Q4"/>
    <x v="10"/>
    <x v="1"/>
    <x v="3"/>
    <x v="1"/>
    <x v="3"/>
    <s v="Yoga Mat"/>
    <n v="2"/>
    <n v="137.05000000000001"/>
    <n v="0.05"/>
    <x v="0"/>
    <n v="260.39999999999998"/>
    <n v="174.77"/>
    <n v="85.63"/>
    <n v="1"/>
    <n v="0"/>
    <n v="5"/>
    <n v="4"/>
  </r>
  <r>
    <s v="SW-102014"/>
    <d v="2024-11-12T00:00:00"/>
    <x v="0"/>
    <s v="Q4"/>
    <x v="10"/>
    <x v="1"/>
    <x v="2"/>
    <x v="0"/>
    <x v="4"/>
    <s v="Power Bank"/>
    <n v="1"/>
    <n v="508.8"/>
    <n v="0.2"/>
    <x v="1"/>
    <n v="407.04"/>
    <n v="419.25"/>
    <n v="-12.21"/>
    <n v="1"/>
    <n v="0"/>
    <n v="4"/>
    <n v="5"/>
  </r>
  <r>
    <s v="SW-102015"/>
    <d v="2024-11-12T00:00:00"/>
    <x v="0"/>
    <s v="Q4"/>
    <x v="10"/>
    <x v="0"/>
    <x v="3"/>
    <x v="1"/>
    <x v="3"/>
    <s v="Camping Tent"/>
    <n v="1"/>
    <n v="83.06"/>
    <n v="0.15"/>
    <x v="1"/>
    <n v="70.599999999999994"/>
    <n v="54.73"/>
    <n v="15.87"/>
    <n v="1"/>
    <n v="0"/>
    <n v="5"/>
    <n v="4"/>
  </r>
  <r>
    <s v="SW-102016"/>
    <d v="2024-11-12T00:00:00"/>
    <x v="0"/>
    <s v="Q4"/>
    <x v="10"/>
    <x v="0"/>
    <x v="0"/>
    <x v="1"/>
    <x v="3"/>
    <s v="Fitness Tracker"/>
    <n v="1"/>
    <n v="74.459999999999994"/>
    <n v="0.2"/>
    <x v="1"/>
    <n v="59.57"/>
    <n v="51.26"/>
    <n v="8.31"/>
    <n v="1"/>
    <n v="0"/>
    <n v="4"/>
    <n v="5"/>
  </r>
  <r>
    <s v="SW-102017"/>
    <d v="2024-11-13T00:00:00"/>
    <x v="0"/>
    <s v="Q4"/>
    <x v="10"/>
    <x v="2"/>
    <x v="0"/>
    <x v="1"/>
    <x v="2"/>
    <s v="Air Fryer"/>
    <n v="2"/>
    <n v="68.349999999999994"/>
    <n v="0.15"/>
    <x v="1"/>
    <n v="116.2"/>
    <n v="89.51"/>
    <n v="26.69"/>
    <n v="1"/>
    <n v="0"/>
    <n v="5"/>
    <n v="4"/>
  </r>
  <r>
    <s v="SW-102018"/>
    <d v="2024-11-13T00:00:00"/>
    <x v="0"/>
    <s v="Q4"/>
    <x v="10"/>
    <x v="1"/>
    <x v="3"/>
    <x v="1"/>
    <x v="5"/>
    <s v="Building Blocks"/>
    <n v="1"/>
    <n v="48.86"/>
    <n v="0"/>
    <x v="2"/>
    <n v="48.86"/>
    <n v="35.04"/>
    <n v="13.82"/>
    <n v="1"/>
    <n v="0"/>
    <n v="3"/>
    <n v="4"/>
  </r>
  <r>
    <s v="SW-102019"/>
    <d v="2024-11-13T00:00:00"/>
    <x v="0"/>
    <s v="Q4"/>
    <x v="10"/>
    <x v="1"/>
    <x v="1"/>
    <x v="1"/>
    <x v="2"/>
    <s v="Desk Lamp"/>
    <n v="1"/>
    <n v="117.63"/>
    <n v="0.25"/>
    <x v="3"/>
    <n v="88.22"/>
    <n v="77"/>
    <n v="11.22"/>
    <n v="1"/>
    <n v="0"/>
    <n v="8"/>
    <n v="3"/>
  </r>
  <r>
    <s v="SW-102020"/>
    <d v="2024-11-13T00:00:00"/>
    <x v="0"/>
    <s v="Q4"/>
    <x v="10"/>
    <x v="0"/>
    <x v="0"/>
    <x v="0"/>
    <x v="5"/>
    <s v="Story Book Set"/>
    <n v="1"/>
    <n v="10.76"/>
    <n v="0.2"/>
    <x v="1"/>
    <n v="8.61"/>
    <n v="7.62"/>
    <n v="0.99"/>
    <n v="1"/>
    <n v="0"/>
    <n v="5"/>
    <n v="5"/>
  </r>
  <r>
    <s v="SW-102021"/>
    <d v="2024-11-13T00:00:00"/>
    <x v="0"/>
    <s v="Q4"/>
    <x v="10"/>
    <x v="1"/>
    <x v="1"/>
    <x v="1"/>
    <x v="0"/>
    <s v="Sunglasses"/>
    <n v="1"/>
    <n v="104.94"/>
    <n v="0.25"/>
    <x v="3"/>
    <n v="78.7"/>
    <n v="56.38"/>
    <n v="22.32"/>
    <n v="1"/>
    <n v="0"/>
    <n v="6"/>
    <n v="4"/>
  </r>
  <r>
    <s v="SW-102022"/>
    <d v="2024-11-13T00:00:00"/>
    <x v="0"/>
    <s v="Q4"/>
    <x v="10"/>
    <x v="2"/>
    <x v="2"/>
    <x v="0"/>
    <x v="5"/>
    <s v="Building Blocks"/>
    <n v="3"/>
    <n v="48.86"/>
    <n v="0.3"/>
    <x v="3"/>
    <n v="102.61"/>
    <n v="102.25"/>
    <n v="0.36"/>
    <n v="1"/>
    <n v="0"/>
    <n v="4"/>
    <n v="4"/>
  </r>
  <r>
    <s v="SW-102023"/>
    <d v="2024-11-13T00:00:00"/>
    <x v="0"/>
    <s v="Q4"/>
    <x v="10"/>
    <x v="0"/>
    <x v="4"/>
    <x v="0"/>
    <x v="1"/>
    <s v="Makeup Kit"/>
    <n v="1"/>
    <n v="74.3"/>
    <n v="0.3"/>
    <x v="3"/>
    <n v="52.01"/>
    <n v="35.14"/>
    <n v="16.87"/>
    <n v="1"/>
    <n v="0"/>
    <n v="8"/>
    <n v="3"/>
  </r>
  <r>
    <s v="SW-102024"/>
    <d v="2024-11-13T00:00:00"/>
    <x v="0"/>
    <s v="Q4"/>
    <x v="10"/>
    <x v="1"/>
    <x v="3"/>
    <x v="1"/>
    <x v="2"/>
    <s v="Storage Boxes"/>
    <n v="1"/>
    <n v="154.66"/>
    <n v="0.3"/>
    <x v="3"/>
    <n v="108.26"/>
    <n v="107.61"/>
    <n v="0.65"/>
    <n v="1"/>
    <n v="1"/>
    <n v="5"/>
    <n v="3"/>
  </r>
  <r>
    <s v="SW-102025"/>
    <d v="2024-11-13T00:00:00"/>
    <x v="0"/>
    <s v="Q4"/>
    <x v="10"/>
    <x v="0"/>
    <x v="3"/>
    <x v="1"/>
    <x v="2"/>
    <s v="Cookware Set"/>
    <n v="1"/>
    <n v="233.81"/>
    <n v="0.1"/>
    <x v="0"/>
    <n v="210.43"/>
    <n v="150.1"/>
    <n v="60.33"/>
    <n v="1"/>
    <n v="0"/>
    <n v="4"/>
    <n v="5"/>
  </r>
  <r>
    <s v="SW-102026"/>
    <d v="2024-11-13T00:00:00"/>
    <x v="0"/>
    <s v="Q4"/>
    <x v="10"/>
    <x v="1"/>
    <x v="0"/>
    <x v="0"/>
    <x v="3"/>
    <s v="Yoga Mat"/>
    <n v="1"/>
    <n v="137.05000000000001"/>
    <n v="0.3"/>
    <x v="3"/>
    <n v="95.94"/>
    <n v="88.71"/>
    <n v="7.23"/>
    <n v="1"/>
    <n v="1"/>
    <n v="4"/>
    <n v="3"/>
  </r>
  <r>
    <s v="SW-102027"/>
    <d v="2024-11-14T00:00:00"/>
    <x v="0"/>
    <s v="Q4"/>
    <x v="10"/>
    <x v="0"/>
    <x v="0"/>
    <x v="0"/>
    <x v="1"/>
    <s v="Hair Dryer"/>
    <n v="1"/>
    <n v="33.18"/>
    <n v="0.3"/>
    <x v="3"/>
    <n v="23.23"/>
    <n v="16.170000000000002"/>
    <n v="7.06"/>
    <n v="1"/>
    <n v="0"/>
    <n v="5"/>
    <n v="5"/>
  </r>
  <r>
    <s v="SW-102028"/>
    <d v="2024-11-14T00:00:00"/>
    <x v="0"/>
    <s v="Q4"/>
    <x v="10"/>
    <x v="1"/>
    <x v="3"/>
    <x v="1"/>
    <x v="5"/>
    <s v="Story Book Set"/>
    <n v="1"/>
    <n v="10.76"/>
    <n v="0.3"/>
    <x v="3"/>
    <n v="7.53"/>
    <n v="7.8"/>
    <n v="-0.27"/>
    <n v="1"/>
    <n v="0"/>
    <n v="3"/>
    <n v="4"/>
  </r>
  <r>
    <s v="SW-102029"/>
    <d v="2024-11-14T00:00:00"/>
    <x v="0"/>
    <s v="Q4"/>
    <x v="10"/>
    <x v="1"/>
    <x v="3"/>
    <x v="0"/>
    <x v="0"/>
    <s v="Running Sneakers"/>
    <n v="1"/>
    <n v="94.85"/>
    <n v="0.2"/>
    <x v="1"/>
    <n v="75.88"/>
    <n v="52.77"/>
    <n v="23.11"/>
    <n v="1"/>
    <n v="0"/>
    <n v="5"/>
    <n v="5"/>
  </r>
  <r>
    <s v="SW-102030"/>
    <d v="2024-11-14T00:00:00"/>
    <x v="0"/>
    <s v="Q4"/>
    <x v="10"/>
    <x v="1"/>
    <x v="1"/>
    <x v="1"/>
    <x v="1"/>
    <s v="Makeup Kit"/>
    <n v="2"/>
    <n v="74.3"/>
    <n v="0.3"/>
    <x v="3"/>
    <n v="104.02"/>
    <n v="72.180000000000007"/>
    <n v="31.84"/>
    <n v="1"/>
    <n v="0"/>
    <n v="6"/>
    <n v="3"/>
  </r>
  <r>
    <s v="SW-102031"/>
    <d v="2024-11-14T00:00:00"/>
    <x v="0"/>
    <s v="Q4"/>
    <x v="10"/>
    <x v="0"/>
    <x v="2"/>
    <x v="1"/>
    <x v="0"/>
    <s v="Denim Jacket"/>
    <n v="3"/>
    <n v="78.510000000000005"/>
    <n v="0.1"/>
    <x v="0"/>
    <n v="211.98"/>
    <n v="124.03"/>
    <n v="87.95"/>
    <n v="1"/>
    <n v="0"/>
    <n v="6"/>
    <n v="4"/>
  </r>
  <r>
    <s v="SW-102032"/>
    <d v="2024-11-14T00:00:00"/>
    <x v="0"/>
    <s v="Q4"/>
    <x v="10"/>
    <x v="0"/>
    <x v="2"/>
    <x v="1"/>
    <x v="4"/>
    <s v="Bluetooth Speaker"/>
    <n v="3"/>
    <n v="177.65"/>
    <n v="0.15"/>
    <x v="1"/>
    <n v="453.01"/>
    <n v="413.87"/>
    <n v="39.14"/>
    <n v="1"/>
    <n v="0"/>
    <n v="5"/>
    <n v="4"/>
  </r>
  <r>
    <s v="SW-102033"/>
    <d v="2024-11-14T00:00:00"/>
    <x v="0"/>
    <s v="Q4"/>
    <x v="10"/>
    <x v="0"/>
    <x v="0"/>
    <x v="1"/>
    <x v="4"/>
    <s v="Power Bank"/>
    <n v="2"/>
    <n v="508.8"/>
    <n v="0.15"/>
    <x v="1"/>
    <n v="864.96"/>
    <n v="812.08"/>
    <n v="52.88"/>
    <n v="1"/>
    <n v="0"/>
    <n v="5"/>
    <n v="5"/>
  </r>
  <r>
    <s v="SW-102034"/>
    <d v="2024-11-14T00:00:00"/>
    <x v="0"/>
    <s v="Q4"/>
    <x v="10"/>
    <x v="0"/>
    <x v="2"/>
    <x v="0"/>
    <x v="1"/>
    <s v="Perfume 100ml"/>
    <n v="1"/>
    <n v="54.56"/>
    <n v="0.05"/>
    <x v="0"/>
    <n v="51.83"/>
    <n v="26.72"/>
    <n v="25.11"/>
    <n v="1"/>
    <n v="0"/>
    <n v="5"/>
    <n v="4"/>
  </r>
  <r>
    <s v="SW-102035"/>
    <d v="2024-11-14T00:00:00"/>
    <x v="0"/>
    <s v="Q4"/>
    <x v="10"/>
    <x v="1"/>
    <x v="0"/>
    <x v="0"/>
    <x v="1"/>
    <s v="Face Serum"/>
    <n v="4"/>
    <n v="33.479999999999997"/>
    <n v="0.05"/>
    <x v="0"/>
    <n v="127.22"/>
    <n v="64.930000000000007"/>
    <n v="62.29"/>
    <n v="1"/>
    <n v="1"/>
    <n v="5"/>
    <n v="3"/>
  </r>
  <r>
    <s v="SW-102036"/>
    <d v="2024-11-14T00:00:00"/>
    <x v="0"/>
    <s v="Q4"/>
    <x v="10"/>
    <x v="0"/>
    <x v="0"/>
    <x v="0"/>
    <x v="0"/>
    <s v="Leather Handbag"/>
    <n v="2"/>
    <n v="138.5"/>
    <n v="0.1"/>
    <x v="0"/>
    <n v="249.3"/>
    <n v="149.37"/>
    <n v="99.93"/>
    <n v="1"/>
    <n v="0"/>
    <n v="4"/>
    <n v="5"/>
  </r>
  <r>
    <s v="SW-102037"/>
    <d v="2024-11-14T00:00:00"/>
    <x v="0"/>
    <s v="Q4"/>
    <x v="10"/>
    <x v="1"/>
    <x v="0"/>
    <x v="1"/>
    <x v="2"/>
    <s v="Coffee Maker"/>
    <n v="1"/>
    <n v="148.05000000000001"/>
    <n v="0.3"/>
    <x v="3"/>
    <n v="103.64"/>
    <n v="99.06"/>
    <n v="4.58"/>
    <n v="1"/>
    <n v="0"/>
    <n v="4"/>
    <n v="4"/>
  </r>
  <r>
    <s v="SW-102038"/>
    <d v="2024-11-15T00:00:00"/>
    <x v="0"/>
    <s v="Q4"/>
    <x v="10"/>
    <x v="1"/>
    <x v="3"/>
    <x v="1"/>
    <x v="4"/>
    <s v="Wireless Earbuds"/>
    <n v="2"/>
    <n v="588.41"/>
    <n v="0.1"/>
    <x v="0"/>
    <n v="1059.1400000000001"/>
    <n v="932.31"/>
    <n v="126.83"/>
    <n v="1"/>
    <n v="0"/>
    <n v="3"/>
    <n v="4"/>
  </r>
  <r>
    <s v="SW-102039"/>
    <d v="2024-11-15T00:00:00"/>
    <x v="0"/>
    <s v="Q4"/>
    <x v="10"/>
    <x v="2"/>
    <x v="3"/>
    <x v="1"/>
    <x v="0"/>
    <s v="Sunglasses"/>
    <n v="1"/>
    <n v="104.94"/>
    <n v="0"/>
    <x v="2"/>
    <n v="104.94"/>
    <n v="56.35"/>
    <n v="48.59"/>
    <n v="1"/>
    <n v="1"/>
    <n v="3"/>
    <n v="3"/>
  </r>
  <r>
    <s v="SW-102040"/>
    <d v="2024-11-15T00:00:00"/>
    <x v="0"/>
    <s v="Q4"/>
    <x v="10"/>
    <x v="0"/>
    <x v="3"/>
    <x v="1"/>
    <x v="2"/>
    <s v="Coffee Maker"/>
    <n v="1"/>
    <n v="148.05000000000001"/>
    <n v="0.15"/>
    <x v="1"/>
    <n v="125.84"/>
    <n v="100.85"/>
    <n v="24.99"/>
    <n v="1"/>
    <n v="0"/>
    <n v="3"/>
    <n v="5"/>
  </r>
  <r>
    <s v="SW-102041"/>
    <d v="2024-11-15T00:00:00"/>
    <x v="0"/>
    <s v="Q4"/>
    <x v="10"/>
    <x v="2"/>
    <x v="3"/>
    <x v="0"/>
    <x v="1"/>
    <s v="Face Serum"/>
    <n v="1"/>
    <n v="33.479999999999997"/>
    <n v="0.2"/>
    <x v="1"/>
    <n v="26.78"/>
    <n v="16.190000000000001"/>
    <n v="10.59"/>
    <n v="1"/>
    <n v="0"/>
    <n v="4"/>
    <n v="4"/>
  </r>
  <r>
    <s v="SW-102042"/>
    <d v="2024-11-15T00:00:00"/>
    <x v="0"/>
    <s v="Q4"/>
    <x v="10"/>
    <x v="0"/>
    <x v="2"/>
    <x v="1"/>
    <x v="4"/>
    <s v="4K Action Camera"/>
    <n v="1"/>
    <n v="636.09"/>
    <n v="0"/>
    <x v="2"/>
    <n v="636.09"/>
    <n v="525.52"/>
    <n v="110.57"/>
    <n v="1"/>
    <n v="0"/>
    <n v="5"/>
    <n v="5"/>
  </r>
  <r>
    <s v="SW-102043"/>
    <d v="2024-11-15T00:00:00"/>
    <x v="0"/>
    <s v="Q4"/>
    <x v="10"/>
    <x v="1"/>
    <x v="0"/>
    <x v="0"/>
    <x v="0"/>
    <s v="Running Sneakers"/>
    <n v="1"/>
    <n v="94.85"/>
    <n v="0.2"/>
    <x v="1"/>
    <n v="75.88"/>
    <n v="49.03"/>
    <n v="26.85"/>
    <n v="1"/>
    <n v="0"/>
    <n v="6"/>
    <n v="3"/>
  </r>
  <r>
    <s v="SW-102044"/>
    <d v="2024-11-15T00:00:00"/>
    <x v="0"/>
    <s v="Q4"/>
    <x v="10"/>
    <x v="2"/>
    <x v="3"/>
    <x v="1"/>
    <x v="4"/>
    <s v="Power Bank"/>
    <n v="1"/>
    <n v="508.8"/>
    <n v="0.2"/>
    <x v="1"/>
    <n v="407.04"/>
    <n v="403.32"/>
    <n v="3.72"/>
    <n v="1"/>
    <n v="0"/>
    <n v="3"/>
    <n v="4"/>
  </r>
  <r>
    <s v="SW-102045"/>
    <d v="2024-11-15T00:00:00"/>
    <x v="0"/>
    <s v="Q4"/>
    <x v="10"/>
    <x v="0"/>
    <x v="4"/>
    <x v="0"/>
    <x v="4"/>
    <s v="4K Action Camera"/>
    <n v="1"/>
    <n v="636.09"/>
    <n v="0.2"/>
    <x v="1"/>
    <n v="508.87"/>
    <n v="523.25"/>
    <n v="-14.38"/>
    <n v="1"/>
    <n v="0"/>
    <n v="6"/>
    <n v="4"/>
  </r>
  <r>
    <s v="SW-102046"/>
    <d v="2024-11-15T00:00:00"/>
    <x v="0"/>
    <s v="Q4"/>
    <x v="10"/>
    <x v="0"/>
    <x v="1"/>
    <x v="0"/>
    <x v="4"/>
    <s v="Power Bank"/>
    <n v="2"/>
    <n v="508.8"/>
    <n v="0.15"/>
    <x v="1"/>
    <n v="864.96"/>
    <n v="805.64"/>
    <n v="59.32"/>
    <n v="1"/>
    <n v="0"/>
    <n v="6"/>
    <n v="4"/>
  </r>
  <r>
    <s v="SW-102047"/>
    <d v="2024-11-15T00:00:00"/>
    <x v="0"/>
    <s v="Q4"/>
    <x v="10"/>
    <x v="0"/>
    <x v="0"/>
    <x v="0"/>
    <x v="0"/>
    <s v="Cotton T-Shirt"/>
    <n v="1"/>
    <n v="19.41"/>
    <n v="0.2"/>
    <x v="1"/>
    <n v="15.53"/>
    <n v="9.82"/>
    <n v="5.71"/>
    <n v="1"/>
    <n v="1"/>
    <n v="5"/>
    <n v="3"/>
  </r>
  <r>
    <s v="SW-102048"/>
    <d v="2024-11-15T00:00:00"/>
    <x v="0"/>
    <s v="Q4"/>
    <x v="10"/>
    <x v="1"/>
    <x v="0"/>
    <x v="1"/>
    <x v="5"/>
    <s v="Building Blocks"/>
    <n v="1"/>
    <n v="48.86"/>
    <n v="0.3"/>
    <x v="3"/>
    <n v="34.200000000000003"/>
    <n v="35.5"/>
    <n v="-1.3"/>
    <n v="1"/>
    <n v="0"/>
    <n v="4"/>
    <n v="4"/>
  </r>
  <r>
    <s v="SW-102049"/>
    <d v="2024-11-15T00:00:00"/>
    <x v="0"/>
    <s v="Q4"/>
    <x v="10"/>
    <x v="1"/>
    <x v="2"/>
    <x v="0"/>
    <x v="2"/>
    <s v="Coffee Maker"/>
    <n v="1"/>
    <n v="148.05000000000001"/>
    <n v="0.3"/>
    <x v="3"/>
    <n v="103.64"/>
    <n v="101.98"/>
    <n v="1.66"/>
    <n v="1"/>
    <n v="0"/>
    <n v="5"/>
    <n v="5"/>
  </r>
  <r>
    <s v="SW-102050"/>
    <d v="2024-11-15T00:00:00"/>
    <x v="0"/>
    <s v="Q4"/>
    <x v="10"/>
    <x v="0"/>
    <x v="3"/>
    <x v="0"/>
    <x v="3"/>
    <s v="Dumbbell Set"/>
    <n v="1"/>
    <n v="198.42"/>
    <n v="0.1"/>
    <x v="0"/>
    <n v="178.58"/>
    <n v="129.38"/>
    <n v="49.2"/>
    <n v="1"/>
    <n v="0"/>
    <n v="6"/>
    <n v="4"/>
  </r>
  <r>
    <s v="SW-102051"/>
    <d v="2024-11-16T00:00:00"/>
    <x v="0"/>
    <s v="Q4"/>
    <x v="10"/>
    <x v="0"/>
    <x v="3"/>
    <x v="0"/>
    <x v="2"/>
    <s v="Air Fryer"/>
    <n v="4"/>
    <n v="68.349999999999994"/>
    <n v="0.1"/>
    <x v="0"/>
    <n v="246.06"/>
    <n v="182.92"/>
    <n v="63.14"/>
    <n v="1"/>
    <n v="0"/>
    <n v="3"/>
    <n v="4"/>
  </r>
  <r>
    <s v="SW-102052"/>
    <d v="2024-11-16T00:00:00"/>
    <x v="0"/>
    <s v="Q4"/>
    <x v="10"/>
    <x v="2"/>
    <x v="2"/>
    <x v="1"/>
    <x v="1"/>
    <s v="Skin Care Bundle"/>
    <n v="1"/>
    <n v="92.54"/>
    <n v="0"/>
    <x v="2"/>
    <n v="92.54"/>
    <n v="44.93"/>
    <n v="47.61"/>
    <n v="1"/>
    <n v="0"/>
    <n v="4"/>
    <n v="5"/>
  </r>
  <r>
    <s v="SW-102053"/>
    <d v="2024-11-16T00:00:00"/>
    <x v="0"/>
    <s v="Q4"/>
    <x v="10"/>
    <x v="2"/>
    <x v="3"/>
    <x v="1"/>
    <x v="4"/>
    <s v="Tablet 10in"/>
    <n v="4"/>
    <n v="490.3"/>
    <n v="0.15"/>
    <x v="1"/>
    <n v="1667.02"/>
    <n v="1560.68"/>
    <n v="106.34"/>
    <n v="1"/>
    <n v="0"/>
    <n v="3"/>
    <n v="5"/>
  </r>
  <r>
    <s v="SW-102054"/>
    <d v="2024-11-16T00:00:00"/>
    <x v="0"/>
    <s v="Q4"/>
    <x v="10"/>
    <x v="1"/>
    <x v="1"/>
    <x v="0"/>
    <x v="2"/>
    <s v="Desk Lamp"/>
    <n v="1"/>
    <n v="117.63"/>
    <n v="0.25"/>
    <x v="3"/>
    <n v="88.22"/>
    <n v="78.819999999999993"/>
    <n v="9.4"/>
    <n v="1"/>
    <n v="0"/>
    <n v="7"/>
    <n v="4"/>
  </r>
  <r>
    <s v="SW-102055"/>
    <d v="2024-11-16T00:00:00"/>
    <x v="0"/>
    <s v="Q4"/>
    <x v="10"/>
    <x v="1"/>
    <x v="2"/>
    <x v="0"/>
    <x v="0"/>
    <s v="Running Sneakers"/>
    <n v="1"/>
    <n v="94.85"/>
    <n v="0.2"/>
    <x v="1"/>
    <n v="75.88"/>
    <n v="52.22"/>
    <n v="23.66"/>
    <n v="1"/>
    <n v="1"/>
    <n v="4"/>
    <n v="2"/>
  </r>
  <r>
    <s v="SW-102056"/>
    <d v="2024-11-16T00:00:00"/>
    <x v="0"/>
    <s v="Q4"/>
    <x v="10"/>
    <x v="1"/>
    <x v="0"/>
    <x v="0"/>
    <x v="4"/>
    <s v="Power Bank"/>
    <n v="1"/>
    <n v="508.8"/>
    <n v="0.1"/>
    <x v="0"/>
    <n v="457.92"/>
    <n v="430.38"/>
    <n v="27.54"/>
    <n v="1"/>
    <n v="0"/>
    <n v="5"/>
    <n v="4"/>
  </r>
  <r>
    <s v="SW-102057"/>
    <d v="2024-11-16T00:00:00"/>
    <x v="0"/>
    <s v="Q4"/>
    <x v="10"/>
    <x v="0"/>
    <x v="1"/>
    <x v="1"/>
    <x v="2"/>
    <s v="Storage Boxes"/>
    <n v="1"/>
    <n v="154.66"/>
    <n v="0.05"/>
    <x v="0"/>
    <n v="146.93"/>
    <n v="102.19"/>
    <n v="44.74"/>
    <n v="1"/>
    <n v="0"/>
    <n v="7"/>
    <n v="3"/>
  </r>
  <r>
    <s v="SW-102058"/>
    <d v="2024-11-16T00:00:00"/>
    <x v="0"/>
    <s v="Q4"/>
    <x v="10"/>
    <x v="2"/>
    <x v="0"/>
    <x v="1"/>
    <x v="0"/>
    <s v="Summer Dress"/>
    <n v="1"/>
    <n v="33.99"/>
    <n v="0.3"/>
    <x v="3"/>
    <n v="23.79"/>
    <n v="19"/>
    <n v="4.79"/>
    <n v="1"/>
    <n v="0"/>
    <n v="5"/>
    <n v="5"/>
  </r>
  <r>
    <s v="SW-102059"/>
    <d v="2024-11-16T00:00:00"/>
    <x v="0"/>
    <s v="Q4"/>
    <x v="10"/>
    <x v="1"/>
    <x v="0"/>
    <x v="1"/>
    <x v="1"/>
    <s v="Face Serum"/>
    <n v="1"/>
    <n v="33.479999999999997"/>
    <n v="0.15"/>
    <x v="1"/>
    <n v="28.46"/>
    <n v="16.16"/>
    <n v="12.3"/>
    <n v="1"/>
    <n v="0"/>
    <n v="4"/>
    <n v="5"/>
  </r>
  <r>
    <s v="SW-102060"/>
    <d v="2024-11-17T00:00:00"/>
    <x v="0"/>
    <s v="Q4"/>
    <x v="10"/>
    <x v="1"/>
    <x v="2"/>
    <x v="1"/>
    <x v="4"/>
    <s v="Smart Watch"/>
    <n v="2"/>
    <n v="216.08"/>
    <n v="0.25"/>
    <x v="3"/>
    <n v="324.12"/>
    <n v="328.02"/>
    <n v="-3.9"/>
    <n v="1"/>
    <n v="1"/>
    <n v="6"/>
    <n v="3"/>
  </r>
  <r>
    <s v="SW-102061"/>
    <d v="2024-11-17T00:00:00"/>
    <x v="0"/>
    <s v="Q4"/>
    <x v="10"/>
    <x v="2"/>
    <x v="0"/>
    <x v="0"/>
    <x v="0"/>
    <s v="Running Sneakers"/>
    <n v="1"/>
    <n v="94.85"/>
    <n v="0.2"/>
    <x v="1"/>
    <n v="75.88"/>
    <n v="52.8"/>
    <n v="23.08"/>
    <n v="1"/>
    <n v="0"/>
    <n v="5"/>
    <n v="4"/>
  </r>
  <r>
    <s v="SW-102062"/>
    <d v="2024-11-17T00:00:00"/>
    <x v="0"/>
    <s v="Q4"/>
    <x v="10"/>
    <x v="1"/>
    <x v="3"/>
    <x v="1"/>
    <x v="0"/>
    <s v="Denim Jacket"/>
    <n v="2"/>
    <n v="78.510000000000005"/>
    <n v="0.15"/>
    <x v="1"/>
    <n v="133.47"/>
    <n v="82.79"/>
    <n v="50.68"/>
    <n v="1"/>
    <n v="0"/>
    <n v="4"/>
    <n v="5"/>
  </r>
  <r>
    <s v="SW-102063"/>
    <d v="2024-11-17T00:00:00"/>
    <x v="0"/>
    <s v="Q4"/>
    <x v="10"/>
    <x v="1"/>
    <x v="2"/>
    <x v="0"/>
    <x v="3"/>
    <s v="Cycling Helmet"/>
    <n v="1"/>
    <n v="85.42"/>
    <n v="0.15"/>
    <x v="1"/>
    <n v="72.61"/>
    <n v="58.91"/>
    <n v="13.7"/>
    <n v="1"/>
    <n v="1"/>
    <n v="5"/>
    <n v="4"/>
  </r>
  <r>
    <s v="SW-102064"/>
    <d v="2024-11-17T00:00:00"/>
    <x v="0"/>
    <s v="Q4"/>
    <x v="10"/>
    <x v="2"/>
    <x v="1"/>
    <x v="0"/>
    <x v="1"/>
    <s v="Face Serum"/>
    <n v="1"/>
    <n v="33.479999999999997"/>
    <n v="0.05"/>
    <x v="0"/>
    <n v="31.81"/>
    <n v="15.87"/>
    <n v="15.94"/>
    <n v="1"/>
    <n v="0"/>
    <n v="8"/>
    <n v="3"/>
  </r>
  <r>
    <s v="SW-102065"/>
    <d v="2024-11-17T00:00:00"/>
    <x v="0"/>
    <s v="Q4"/>
    <x v="10"/>
    <x v="0"/>
    <x v="3"/>
    <x v="1"/>
    <x v="2"/>
    <s v="Bed Sheet Set"/>
    <n v="1"/>
    <n v="90.75"/>
    <n v="0.25"/>
    <x v="3"/>
    <n v="68.06"/>
    <n v="61.57"/>
    <n v="6.49"/>
    <n v="1"/>
    <n v="0"/>
    <n v="4"/>
    <n v="5"/>
  </r>
  <r>
    <s v="SW-102066"/>
    <d v="2024-11-17T00:00:00"/>
    <x v="0"/>
    <s v="Q4"/>
    <x v="10"/>
    <x v="1"/>
    <x v="2"/>
    <x v="1"/>
    <x v="0"/>
    <s v="Leather Handbag"/>
    <n v="3"/>
    <n v="138.5"/>
    <n v="0.05"/>
    <x v="0"/>
    <n v="394.72"/>
    <n v="227.08"/>
    <n v="167.64"/>
    <n v="1"/>
    <n v="0"/>
    <n v="4"/>
    <n v="5"/>
  </r>
  <r>
    <s v="SW-102067"/>
    <d v="2024-11-17T00:00:00"/>
    <x v="0"/>
    <s v="Q4"/>
    <x v="10"/>
    <x v="2"/>
    <x v="1"/>
    <x v="0"/>
    <x v="1"/>
    <s v="Hair Dryer"/>
    <n v="2"/>
    <n v="33.18"/>
    <n v="0.15"/>
    <x v="1"/>
    <n v="56.41"/>
    <n v="31.17"/>
    <n v="25.24"/>
    <n v="1"/>
    <n v="0"/>
    <n v="8"/>
    <n v="3"/>
  </r>
  <r>
    <s v="SW-102068"/>
    <d v="2024-11-17T00:00:00"/>
    <x v="0"/>
    <s v="Q4"/>
    <x v="10"/>
    <x v="1"/>
    <x v="3"/>
    <x v="1"/>
    <x v="4"/>
    <s v="Smart Watch"/>
    <n v="1"/>
    <n v="216.08"/>
    <n v="0.15"/>
    <x v="1"/>
    <n v="183.67"/>
    <n v="173.26"/>
    <n v="10.41"/>
    <n v="1"/>
    <n v="0"/>
    <n v="3"/>
    <n v="4"/>
  </r>
  <r>
    <s v="SW-102069"/>
    <d v="2024-11-17T00:00:00"/>
    <x v="0"/>
    <s v="Q4"/>
    <x v="10"/>
    <x v="0"/>
    <x v="4"/>
    <x v="0"/>
    <x v="0"/>
    <s v="Sunglasses"/>
    <n v="1"/>
    <n v="104.94"/>
    <n v="0.25"/>
    <x v="3"/>
    <n v="78.7"/>
    <n v="55.5"/>
    <n v="23.2"/>
    <n v="1"/>
    <n v="0"/>
    <n v="6"/>
    <n v="3"/>
  </r>
  <r>
    <s v="SW-102070"/>
    <d v="2024-11-17T00:00:00"/>
    <x v="0"/>
    <s v="Q4"/>
    <x v="10"/>
    <x v="1"/>
    <x v="3"/>
    <x v="0"/>
    <x v="0"/>
    <s v="Cotton T-Shirt"/>
    <n v="1"/>
    <n v="19.41"/>
    <n v="0.15"/>
    <x v="1"/>
    <n v="16.5"/>
    <n v="10.75"/>
    <n v="5.75"/>
    <n v="1"/>
    <n v="0"/>
    <n v="6"/>
    <n v="3"/>
  </r>
  <r>
    <s v="SW-102071"/>
    <d v="2024-11-17T00:00:00"/>
    <x v="0"/>
    <s v="Q4"/>
    <x v="10"/>
    <x v="2"/>
    <x v="2"/>
    <x v="1"/>
    <x v="5"/>
    <s v="Story Book Set"/>
    <n v="1"/>
    <n v="10.76"/>
    <n v="0.2"/>
    <x v="1"/>
    <n v="8.61"/>
    <n v="7.93"/>
    <n v="0.68"/>
    <n v="1"/>
    <n v="0"/>
    <n v="5"/>
    <n v="5"/>
  </r>
  <r>
    <s v="SW-102072"/>
    <d v="2024-11-17T00:00:00"/>
    <x v="0"/>
    <s v="Q4"/>
    <x v="10"/>
    <x v="2"/>
    <x v="0"/>
    <x v="1"/>
    <x v="3"/>
    <s v="Yoga Mat"/>
    <n v="1"/>
    <n v="137.05000000000001"/>
    <n v="0.15"/>
    <x v="1"/>
    <n v="116.49"/>
    <n v="98.15"/>
    <n v="18.34"/>
    <n v="1"/>
    <n v="0"/>
    <n v="4"/>
    <n v="5"/>
  </r>
  <r>
    <s v="SW-102073"/>
    <d v="2024-11-18T00:00:00"/>
    <x v="0"/>
    <s v="Q4"/>
    <x v="10"/>
    <x v="1"/>
    <x v="0"/>
    <x v="1"/>
    <x v="0"/>
    <s v="Denim Jacket"/>
    <n v="2"/>
    <n v="78.510000000000005"/>
    <n v="0.25"/>
    <x v="3"/>
    <n v="117.77"/>
    <n v="82.01"/>
    <n v="35.76"/>
    <n v="1"/>
    <n v="1"/>
    <n v="8"/>
    <n v="4"/>
  </r>
  <r>
    <s v="SW-102074"/>
    <d v="2024-11-18T00:00:00"/>
    <x v="0"/>
    <s v="Q4"/>
    <x v="10"/>
    <x v="2"/>
    <x v="1"/>
    <x v="1"/>
    <x v="3"/>
    <s v="Cycling Helmet"/>
    <n v="1"/>
    <n v="85.42"/>
    <n v="0.05"/>
    <x v="0"/>
    <n v="81.150000000000006"/>
    <n v="56.5"/>
    <n v="24.65"/>
    <n v="1"/>
    <n v="0"/>
    <n v="6"/>
    <n v="3"/>
  </r>
  <r>
    <s v="SW-102075"/>
    <d v="2024-11-18T00:00:00"/>
    <x v="0"/>
    <s v="Q4"/>
    <x v="10"/>
    <x v="0"/>
    <x v="2"/>
    <x v="1"/>
    <x v="0"/>
    <s v="Cotton T-Shirt"/>
    <n v="1"/>
    <n v="19.41"/>
    <n v="0.15"/>
    <x v="1"/>
    <n v="16.5"/>
    <n v="10.53"/>
    <n v="5.97"/>
    <n v="1"/>
    <n v="0"/>
    <n v="4"/>
    <n v="5"/>
  </r>
  <r>
    <s v="SW-102076"/>
    <d v="2024-11-18T00:00:00"/>
    <x v="0"/>
    <s v="Q4"/>
    <x v="10"/>
    <x v="0"/>
    <x v="4"/>
    <x v="0"/>
    <x v="0"/>
    <s v="Leather Handbag"/>
    <n v="2"/>
    <n v="138.5"/>
    <n v="0"/>
    <x v="2"/>
    <n v="277"/>
    <n v="149"/>
    <n v="128"/>
    <n v="1"/>
    <n v="0"/>
    <n v="7"/>
    <n v="3"/>
  </r>
  <r>
    <s v="SW-102077"/>
    <d v="2024-11-18T00:00:00"/>
    <x v="0"/>
    <s v="Q4"/>
    <x v="10"/>
    <x v="0"/>
    <x v="4"/>
    <x v="1"/>
    <x v="4"/>
    <s v="Power Bank"/>
    <n v="1"/>
    <n v="508.8"/>
    <n v="0.2"/>
    <x v="1"/>
    <n v="407.04"/>
    <n v="419.41"/>
    <n v="-12.37"/>
    <n v="1"/>
    <n v="0"/>
    <n v="6"/>
    <n v="3"/>
  </r>
  <r>
    <s v="SW-102078"/>
    <d v="2024-11-18T00:00:00"/>
    <x v="0"/>
    <s v="Q4"/>
    <x v="10"/>
    <x v="1"/>
    <x v="0"/>
    <x v="1"/>
    <x v="1"/>
    <s v="Hair Dryer"/>
    <n v="1"/>
    <n v="33.18"/>
    <n v="0.2"/>
    <x v="1"/>
    <n v="26.54"/>
    <n v="16.3"/>
    <n v="10.24"/>
    <n v="1"/>
    <n v="0"/>
    <n v="4"/>
    <n v="4"/>
  </r>
  <r>
    <s v="SW-102079"/>
    <d v="2024-11-18T00:00:00"/>
    <x v="0"/>
    <s v="Q4"/>
    <x v="10"/>
    <x v="0"/>
    <x v="3"/>
    <x v="0"/>
    <x v="1"/>
    <s v="Makeup Kit"/>
    <n v="2"/>
    <n v="74.3"/>
    <n v="0.05"/>
    <x v="0"/>
    <n v="141.16999999999999"/>
    <n v="71.900000000000006"/>
    <n v="69.27"/>
    <n v="1"/>
    <n v="0"/>
    <n v="3"/>
    <n v="5"/>
  </r>
  <r>
    <s v="SW-102080"/>
    <d v="2024-11-18T00:00:00"/>
    <x v="0"/>
    <s v="Q4"/>
    <x v="10"/>
    <x v="0"/>
    <x v="2"/>
    <x v="1"/>
    <x v="5"/>
    <s v="Story Book Set"/>
    <n v="1"/>
    <n v="10.76"/>
    <n v="0.2"/>
    <x v="1"/>
    <n v="8.61"/>
    <n v="8.0500000000000007"/>
    <n v="0.56000000000000005"/>
    <n v="1"/>
    <n v="0"/>
    <n v="4"/>
    <n v="4"/>
  </r>
  <r>
    <s v="SW-102081"/>
    <d v="2024-11-18T00:00:00"/>
    <x v="0"/>
    <s v="Q4"/>
    <x v="10"/>
    <x v="0"/>
    <x v="0"/>
    <x v="0"/>
    <x v="4"/>
    <s v="4K Action Camera"/>
    <n v="2"/>
    <n v="636.09"/>
    <n v="0.25"/>
    <x v="3"/>
    <n v="954.14"/>
    <n v="1046.8399999999999"/>
    <n v="-92.7"/>
    <n v="1"/>
    <n v="0"/>
    <n v="5"/>
    <n v="5"/>
  </r>
  <r>
    <s v="SW-102082"/>
    <d v="2024-11-18T00:00:00"/>
    <x v="0"/>
    <s v="Q4"/>
    <x v="10"/>
    <x v="1"/>
    <x v="3"/>
    <x v="0"/>
    <x v="4"/>
    <s v="Tablet 10in"/>
    <n v="1"/>
    <n v="490.3"/>
    <n v="0.3"/>
    <x v="3"/>
    <n v="343.21"/>
    <n v="391.77"/>
    <n v="-48.56"/>
    <n v="1"/>
    <n v="0"/>
    <n v="3"/>
    <n v="4"/>
  </r>
  <r>
    <s v="SW-102083"/>
    <d v="2024-11-18T00:00:00"/>
    <x v="0"/>
    <s v="Q4"/>
    <x v="10"/>
    <x v="1"/>
    <x v="0"/>
    <x v="0"/>
    <x v="3"/>
    <s v="Dumbbell Set"/>
    <n v="3"/>
    <n v="198.42"/>
    <n v="0.1"/>
    <x v="0"/>
    <n v="535.73"/>
    <n v="397.74"/>
    <n v="137.99"/>
    <n v="1"/>
    <n v="1"/>
    <n v="4"/>
    <n v="3"/>
  </r>
  <r>
    <s v="SW-102084"/>
    <d v="2024-11-19T00:00:00"/>
    <x v="0"/>
    <s v="Q4"/>
    <x v="10"/>
    <x v="2"/>
    <x v="0"/>
    <x v="1"/>
    <x v="4"/>
    <s v="Wireless Earbuds"/>
    <n v="1"/>
    <n v="588.41"/>
    <n v="0.3"/>
    <x v="3"/>
    <n v="411.89"/>
    <n v="456.77"/>
    <n v="-44.88"/>
    <n v="1"/>
    <n v="0"/>
    <n v="5"/>
    <n v="4"/>
  </r>
  <r>
    <s v="SW-102085"/>
    <d v="2024-11-19T00:00:00"/>
    <x v="0"/>
    <s v="Q4"/>
    <x v="10"/>
    <x v="0"/>
    <x v="1"/>
    <x v="0"/>
    <x v="5"/>
    <s v="Board Game"/>
    <n v="4"/>
    <n v="57.92"/>
    <n v="0.3"/>
    <x v="3"/>
    <n v="162.18"/>
    <n v="161.55000000000001"/>
    <n v="0.63"/>
    <n v="1"/>
    <n v="0"/>
    <n v="6"/>
    <n v="4"/>
  </r>
  <r>
    <s v="SW-102086"/>
    <d v="2024-11-19T00:00:00"/>
    <x v="0"/>
    <s v="Q4"/>
    <x v="10"/>
    <x v="2"/>
    <x v="2"/>
    <x v="1"/>
    <x v="0"/>
    <s v="Sunglasses"/>
    <n v="1"/>
    <n v="104.94"/>
    <n v="0.1"/>
    <x v="0"/>
    <n v="94.45"/>
    <n v="55.61"/>
    <n v="38.840000000000003"/>
    <n v="1"/>
    <n v="0"/>
    <n v="6"/>
    <n v="4"/>
  </r>
  <r>
    <s v="SW-102087"/>
    <d v="2024-11-19T00:00:00"/>
    <x v="0"/>
    <s v="Q4"/>
    <x v="10"/>
    <x v="2"/>
    <x v="3"/>
    <x v="0"/>
    <x v="4"/>
    <s v="Wireless Earbuds"/>
    <n v="1"/>
    <n v="588.41"/>
    <n v="0.25"/>
    <x v="3"/>
    <n v="441.31"/>
    <n v="456.91"/>
    <n v="-15.6"/>
    <n v="1"/>
    <n v="0"/>
    <n v="6"/>
    <n v="3"/>
  </r>
  <r>
    <s v="SW-102088"/>
    <d v="2024-11-19T00:00:00"/>
    <x v="0"/>
    <s v="Q4"/>
    <x v="10"/>
    <x v="0"/>
    <x v="2"/>
    <x v="1"/>
    <x v="2"/>
    <s v="Desk Lamp"/>
    <n v="1"/>
    <n v="117.63"/>
    <n v="0.25"/>
    <x v="3"/>
    <n v="88.22"/>
    <n v="76.099999999999994"/>
    <n v="12.12"/>
    <n v="1"/>
    <n v="0"/>
    <n v="6"/>
    <n v="3"/>
  </r>
  <r>
    <s v="SW-102089"/>
    <d v="2024-11-19T00:00:00"/>
    <x v="0"/>
    <s v="Q4"/>
    <x v="10"/>
    <x v="2"/>
    <x v="2"/>
    <x v="1"/>
    <x v="0"/>
    <s v="Sunglasses"/>
    <n v="1"/>
    <n v="104.94"/>
    <n v="0.25"/>
    <x v="3"/>
    <n v="78.7"/>
    <n v="57.36"/>
    <n v="21.34"/>
    <n v="1"/>
    <n v="0"/>
    <n v="4"/>
    <n v="5"/>
  </r>
  <r>
    <s v="SW-102090"/>
    <d v="2024-11-19T00:00:00"/>
    <x v="0"/>
    <s v="Q4"/>
    <x v="10"/>
    <x v="0"/>
    <x v="3"/>
    <x v="1"/>
    <x v="1"/>
    <s v="Face Serum"/>
    <n v="1"/>
    <n v="33.479999999999997"/>
    <n v="0.2"/>
    <x v="1"/>
    <n v="26.78"/>
    <n v="16.02"/>
    <n v="10.76"/>
    <n v="1"/>
    <n v="0"/>
    <n v="4"/>
    <n v="5"/>
  </r>
  <r>
    <s v="SW-102091"/>
    <d v="2024-11-19T00:00:00"/>
    <x v="0"/>
    <s v="Q4"/>
    <x v="10"/>
    <x v="0"/>
    <x v="2"/>
    <x v="1"/>
    <x v="3"/>
    <s v="Dumbbell Set"/>
    <n v="3"/>
    <n v="198.42"/>
    <n v="0.25"/>
    <x v="3"/>
    <n v="446.44"/>
    <n v="404.72"/>
    <n v="41.72"/>
    <n v="1"/>
    <n v="0"/>
    <n v="4"/>
    <n v="5"/>
  </r>
  <r>
    <s v="SW-102092"/>
    <d v="2024-11-19T00:00:00"/>
    <x v="0"/>
    <s v="Q4"/>
    <x v="10"/>
    <x v="0"/>
    <x v="3"/>
    <x v="0"/>
    <x v="5"/>
    <s v="Board Game"/>
    <n v="1"/>
    <n v="57.92"/>
    <n v="0.2"/>
    <x v="1"/>
    <n v="46.34"/>
    <n v="40.61"/>
    <n v="5.73"/>
    <n v="1"/>
    <n v="0"/>
    <n v="3"/>
    <n v="5"/>
  </r>
  <r>
    <s v="SW-102093"/>
    <d v="2024-11-19T00:00:00"/>
    <x v="0"/>
    <s v="Q4"/>
    <x v="10"/>
    <x v="2"/>
    <x v="3"/>
    <x v="1"/>
    <x v="4"/>
    <s v="Bluetooth Speaker"/>
    <n v="1"/>
    <n v="177.65"/>
    <n v="0"/>
    <x v="2"/>
    <n v="177.65"/>
    <n v="140.97999999999999"/>
    <n v="36.67"/>
    <n v="1"/>
    <n v="0"/>
    <n v="4"/>
    <n v="5"/>
  </r>
  <r>
    <s v="SW-102094"/>
    <d v="2024-11-19T00:00:00"/>
    <x v="0"/>
    <s v="Q4"/>
    <x v="10"/>
    <x v="0"/>
    <x v="0"/>
    <x v="1"/>
    <x v="1"/>
    <s v="Skin Care Bundle"/>
    <n v="1"/>
    <n v="92.54"/>
    <n v="0.2"/>
    <x v="1"/>
    <n v="74.03"/>
    <n v="43.56"/>
    <n v="30.47"/>
    <n v="1"/>
    <n v="0"/>
    <n v="5"/>
    <n v="5"/>
  </r>
  <r>
    <s v="SW-102095"/>
    <d v="2024-11-19T00:00:00"/>
    <x v="0"/>
    <s v="Q4"/>
    <x v="10"/>
    <x v="2"/>
    <x v="2"/>
    <x v="1"/>
    <x v="0"/>
    <s v="Sunglasses"/>
    <n v="1"/>
    <n v="104.94"/>
    <n v="0.05"/>
    <x v="0"/>
    <n v="99.69"/>
    <n v="53.94"/>
    <n v="45.75"/>
    <n v="1"/>
    <n v="0"/>
    <n v="4"/>
    <n v="5"/>
  </r>
  <r>
    <s v="SW-102096"/>
    <d v="2024-11-19T00:00:00"/>
    <x v="0"/>
    <s v="Q4"/>
    <x v="10"/>
    <x v="0"/>
    <x v="0"/>
    <x v="1"/>
    <x v="0"/>
    <s v="Leather Handbag"/>
    <n v="1"/>
    <n v="138.5"/>
    <n v="0.05"/>
    <x v="0"/>
    <n v="131.57"/>
    <n v="74.75"/>
    <n v="56.82"/>
    <n v="1"/>
    <n v="0"/>
    <n v="6"/>
    <n v="4"/>
  </r>
  <r>
    <s v="SW-102097"/>
    <d v="2024-11-20T00:00:00"/>
    <x v="0"/>
    <s v="Q4"/>
    <x v="10"/>
    <x v="1"/>
    <x v="4"/>
    <x v="1"/>
    <x v="2"/>
    <s v="Desk Lamp"/>
    <n v="1"/>
    <n v="117.63"/>
    <n v="0.1"/>
    <x v="0"/>
    <n v="105.87"/>
    <n v="73.8"/>
    <n v="32.07"/>
    <n v="1"/>
    <n v="1"/>
    <n v="7"/>
    <n v="2"/>
  </r>
  <r>
    <s v="SW-102098"/>
    <d v="2024-11-20T00:00:00"/>
    <x v="0"/>
    <s v="Q4"/>
    <x v="10"/>
    <x v="1"/>
    <x v="0"/>
    <x v="1"/>
    <x v="3"/>
    <s v="Fitness Tracker"/>
    <n v="2"/>
    <n v="74.459999999999994"/>
    <n v="0.25"/>
    <x v="3"/>
    <n v="111.69"/>
    <n v="105.32"/>
    <n v="6.37"/>
    <n v="1"/>
    <n v="1"/>
    <n v="4"/>
    <n v="3"/>
  </r>
  <r>
    <s v="SW-102099"/>
    <d v="2024-11-20T00:00:00"/>
    <x v="0"/>
    <s v="Q4"/>
    <x v="10"/>
    <x v="0"/>
    <x v="3"/>
    <x v="1"/>
    <x v="0"/>
    <s v="Summer Dress"/>
    <n v="1"/>
    <n v="33.99"/>
    <n v="0.2"/>
    <x v="1"/>
    <n v="27.19"/>
    <n v="18.739999999999998"/>
    <n v="8.4499999999999993"/>
    <n v="1"/>
    <n v="0"/>
    <n v="3"/>
    <n v="4"/>
  </r>
  <r>
    <s v="SW-102100"/>
    <d v="2024-11-20T00:00:00"/>
    <x v="0"/>
    <s v="Q4"/>
    <x v="10"/>
    <x v="1"/>
    <x v="3"/>
    <x v="1"/>
    <x v="3"/>
    <s v="Fitness Tracker"/>
    <n v="1"/>
    <n v="74.459999999999994"/>
    <n v="0.2"/>
    <x v="1"/>
    <n v="59.57"/>
    <n v="54.45"/>
    <n v="5.12"/>
    <n v="1"/>
    <n v="0"/>
    <n v="4"/>
    <n v="3"/>
  </r>
  <r>
    <s v="SW-102101"/>
    <d v="2024-11-20T00:00:00"/>
    <x v="0"/>
    <s v="Q4"/>
    <x v="10"/>
    <x v="0"/>
    <x v="4"/>
    <x v="1"/>
    <x v="2"/>
    <s v="Air Fryer"/>
    <n v="1"/>
    <n v="68.349999999999994"/>
    <n v="0.2"/>
    <x v="1"/>
    <n v="54.68"/>
    <n v="46.09"/>
    <n v="8.59"/>
    <n v="1"/>
    <n v="0"/>
    <n v="6"/>
    <n v="5"/>
  </r>
  <r>
    <s v="SW-102102"/>
    <d v="2024-11-20T00:00:00"/>
    <x v="0"/>
    <s v="Q4"/>
    <x v="10"/>
    <x v="1"/>
    <x v="3"/>
    <x v="0"/>
    <x v="0"/>
    <s v="Running Sneakers"/>
    <n v="1"/>
    <n v="94.85"/>
    <n v="0"/>
    <x v="2"/>
    <n v="94.85"/>
    <n v="52.81"/>
    <n v="42.04"/>
    <n v="1"/>
    <n v="0"/>
    <n v="6"/>
    <n v="4"/>
  </r>
  <r>
    <s v="SW-102103"/>
    <d v="2024-11-20T00:00:00"/>
    <x v="0"/>
    <s v="Q4"/>
    <x v="10"/>
    <x v="1"/>
    <x v="3"/>
    <x v="1"/>
    <x v="0"/>
    <s v="Denim Jacket"/>
    <n v="1"/>
    <n v="78.510000000000005"/>
    <n v="0.05"/>
    <x v="0"/>
    <n v="74.58"/>
    <n v="44.53"/>
    <n v="30.05"/>
    <n v="1"/>
    <n v="0"/>
    <n v="4"/>
    <n v="5"/>
  </r>
  <r>
    <s v="SW-102104"/>
    <d v="2024-11-20T00:00:00"/>
    <x v="0"/>
    <s v="Q4"/>
    <x v="10"/>
    <x v="1"/>
    <x v="3"/>
    <x v="0"/>
    <x v="5"/>
    <s v="Kids Puzzle"/>
    <n v="1"/>
    <n v="16.97"/>
    <n v="0.2"/>
    <x v="1"/>
    <n v="13.58"/>
    <n v="11.25"/>
    <n v="2.33"/>
    <n v="1"/>
    <n v="0"/>
    <n v="4"/>
    <n v="4"/>
  </r>
  <r>
    <s v="SW-102105"/>
    <d v="2024-11-20T00:00:00"/>
    <x v="0"/>
    <s v="Q4"/>
    <x v="10"/>
    <x v="0"/>
    <x v="1"/>
    <x v="1"/>
    <x v="2"/>
    <s v="Coffee Maker"/>
    <n v="3"/>
    <n v="148.05000000000001"/>
    <n v="0.3"/>
    <x v="3"/>
    <n v="310.91000000000003"/>
    <n v="271.77"/>
    <n v="39.14"/>
    <n v="1"/>
    <n v="0"/>
    <n v="7"/>
    <n v="4"/>
  </r>
  <r>
    <s v="SW-102106"/>
    <d v="2024-11-20T00:00:00"/>
    <x v="0"/>
    <s v="Q4"/>
    <x v="10"/>
    <x v="0"/>
    <x v="2"/>
    <x v="1"/>
    <x v="0"/>
    <s v="Running Sneakers"/>
    <n v="1"/>
    <n v="94.85"/>
    <n v="0.2"/>
    <x v="1"/>
    <n v="75.88"/>
    <n v="53.2"/>
    <n v="22.68"/>
    <n v="1"/>
    <n v="0"/>
    <n v="4"/>
    <n v="5"/>
  </r>
  <r>
    <s v="SW-102107"/>
    <d v="2024-11-20T00:00:00"/>
    <x v="0"/>
    <s v="Q4"/>
    <x v="10"/>
    <x v="0"/>
    <x v="3"/>
    <x v="1"/>
    <x v="3"/>
    <s v="Cycling Helmet"/>
    <n v="2"/>
    <n v="85.42"/>
    <n v="0.25"/>
    <x v="3"/>
    <n v="128.13"/>
    <n v="113.73"/>
    <n v="14.4"/>
    <n v="1"/>
    <n v="0"/>
    <n v="4"/>
    <n v="5"/>
  </r>
  <r>
    <s v="SW-102108"/>
    <d v="2024-11-21T00:00:00"/>
    <x v="0"/>
    <s v="Q4"/>
    <x v="10"/>
    <x v="1"/>
    <x v="1"/>
    <x v="1"/>
    <x v="2"/>
    <s v="Storage Boxes"/>
    <n v="1"/>
    <n v="154.66"/>
    <n v="0.1"/>
    <x v="0"/>
    <n v="139.19"/>
    <n v="104.17"/>
    <n v="35.020000000000003"/>
    <n v="1"/>
    <n v="1"/>
    <n v="9"/>
    <n v="2"/>
  </r>
  <r>
    <s v="SW-102109"/>
    <d v="2024-11-21T00:00:00"/>
    <x v="0"/>
    <s v="Q4"/>
    <x v="10"/>
    <x v="0"/>
    <x v="1"/>
    <x v="1"/>
    <x v="5"/>
    <s v="Building Blocks"/>
    <n v="3"/>
    <n v="48.86"/>
    <n v="0.3"/>
    <x v="3"/>
    <n v="102.61"/>
    <n v="108.58"/>
    <n v="-5.97"/>
    <n v="1"/>
    <n v="0"/>
    <n v="8"/>
    <n v="3"/>
  </r>
  <r>
    <s v="SW-102110"/>
    <d v="2024-11-21T00:00:00"/>
    <x v="0"/>
    <s v="Q4"/>
    <x v="10"/>
    <x v="2"/>
    <x v="2"/>
    <x v="1"/>
    <x v="0"/>
    <s v="Sunglasses"/>
    <n v="1"/>
    <n v="104.94"/>
    <n v="0.05"/>
    <x v="0"/>
    <n v="99.69"/>
    <n v="58.37"/>
    <n v="41.32"/>
    <n v="1"/>
    <n v="0"/>
    <n v="6"/>
    <n v="4"/>
  </r>
  <r>
    <s v="SW-102111"/>
    <d v="2024-11-21T00:00:00"/>
    <x v="0"/>
    <s v="Q4"/>
    <x v="10"/>
    <x v="2"/>
    <x v="2"/>
    <x v="1"/>
    <x v="4"/>
    <s v="Power Bank"/>
    <n v="3"/>
    <n v="508.8"/>
    <n v="0.3"/>
    <x v="3"/>
    <n v="1068.48"/>
    <n v="1233.8900000000001"/>
    <n v="-165.41"/>
    <n v="1"/>
    <n v="0"/>
    <n v="7"/>
    <n v="3"/>
  </r>
  <r>
    <s v="SW-102112"/>
    <d v="2024-11-21T00:00:00"/>
    <x v="0"/>
    <s v="Q4"/>
    <x v="10"/>
    <x v="0"/>
    <x v="2"/>
    <x v="0"/>
    <x v="5"/>
    <s v="Bestseller Novel"/>
    <n v="2"/>
    <n v="45.28"/>
    <n v="0.2"/>
    <x v="1"/>
    <n v="72.45"/>
    <n v="67.97"/>
    <n v="4.4800000000000004"/>
    <n v="1"/>
    <n v="0"/>
    <n v="6"/>
    <n v="3"/>
  </r>
  <r>
    <s v="SW-102113"/>
    <d v="2024-11-21T00:00:00"/>
    <x v="0"/>
    <s v="Q4"/>
    <x v="10"/>
    <x v="2"/>
    <x v="3"/>
    <x v="1"/>
    <x v="2"/>
    <s v="Desk Lamp"/>
    <n v="1"/>
    <n v="117.63"/>
    <n v="0.25"/>
    <x v="3"/>
    <n v="88.22"/>
    <n v="78.930000000000007"/>
    <n v="9.2899999999999991"/>
    <n v="1"/>
    <n v="1"/>
    <n v="5"/>
    <n v="4"/>
  </r>
  <r>
    <s v="SW-102114"/>
    <d v="2024-11-21T00:00:00"/>
    <x v="0"/>
    <s v="Q4"/>
    <x v="10"/>
    <x v="0"/>
    <x v="2"/>
    <x v="0"/>
    <x v="3"/>
    <s v="Camping Tent"/>
    <n v="3"/>
    <n v="83.06"/>
    <n v="0.1"/>
    <x v="0"/>
    <n v="224.26"/>
    <n v="163.05000000000001"/>
    <n v="61.21"/>
    <n v="1"/>
    <n v="0"/>
    <n v="5"/>
    <n v="4"/>
  </r>
  <r>
    <s v="SW-102115"/>
    <d v="2024-11-21T00:00:00"/>
    <x v="0"/>
    <s v="Q4"/>
    <x v="10"/>
    <x v="0"/>
    <x v="2"/>
    <x v="0"/>
    <x v="0"/>
    <s v="Leather Handbag"/>
    <n v="1"/>
    <n v="138.5"/>
    <n v="0.15"/>
    <x v="1"/>
    <n v="117.72"/>
    <n v="73.489999999999995"/>
    <n v="44.23"/>
    <n v="1"/>
    <n v="0"/>
    <n v="5"/>
    <n v="5"/>
  </r>
  <r>
    <s v="SW-102116"/>
    <d v="2024-11-21T00:00:00"/>
    <x v="0"/>
    <s v="Q4"/>
    <x v="10"/>
    <x v="2"/>
    <x v="0"/>
    <x v="1"/>
    <x v="0"/>
    <s v="Summer Dress"/>
    <n v="2"/>
    <n v="33.99"/>
    <n v="0.1"/>
    <x v="0"/>
    <n v="61.18"/>
    <n v="36.24"/>
    <n v="24.94"/>
    <n v="1"/>
    <n v="0"/>
    <n v="6"/>
    <n v="3"/>
  </r>
  <r>
    <s v="SW-102117"/>
    <d v="2024-11-21T00:00:00"/>
    <x v="0"/>
    <s v="Q4"/>
    <x v="10"/>
    <x v="1"/>
    <x v="2"/>
    <x v="0"/>
    <x v="4"/>
    <s v="Smart Watch"/>
    <n v="2"/>
    <n v="216.08"/>
    <n v="0.3"/>
    <x v="3"/>
    <n v="302.51"/>
    <n v="355.64"/>
    <n v="-53.13"/>
    <n v="1"/>
    <n v="0"/>
    <n v="6"/>
    <n v="2"/>
  </r>
  <r>
    <s v="SW-102118"/>
    <d v="2024-11-21T00:00:00"/>
    <x v="0"/>
    <s v="Q4"/>
    <x v="10"/>
    <x v="0"/>
    <x v="4"/>
    <x v="0"/>
    <x v="4"/>
    <s v="Tablet 10in"/>
    <n v="1"/>
    <n v="490.3"/>
    <n v="0.15"/>
    <x v="1"/>
    <n v="416.76"/>
    <n v="389.32"/>
    <n v="27.44"/>
    <n v="1"/>
    <n v="1"/>
    <n v="7"/>
    <n v="3"/>
  </r>
  <r>
    <s v="SW-102119"/>
    <d v="2024-11-21T00:00:00"/>
    <x v="0"/>
    <s v="Q4"/>
    <x v="10"/>
    <x v="0"/>
    <x v="3"/>
    <x v="1"/>
    <x v="1"/>
    <s v="Skin Care Bundle"/>
    <n v="2"/>
    <n v="92.54"/>
    <n v="0.05"/>
    <x v="0"/>
    <n v="175.83"/>
    <n v="88.46"/>
    <n v="87.37"/>
    <n v="1"/>
    <n v="0"/>
    <n v="3"/>
    <n v="5"/>
  </r>
  <r>
    <s v="SW-102120"/>
    <d v="2024-11-21T00:00:00"/>
    <x v="0"/>
    <s v="Q4"/>
    <x v="10"/>
    <x v="2"/>
    <x v="1"/>
    <x v="1"/>
    <x v="3"/>
    <s v="Dumbbell Set"/>
    <n v="1"/>
    <n v="198.42"/>
    <n v="0.25"/>
    <x v="3"/>
    <n v="148.82"/>
    <n v="138.26"/>
    <n v="10.56"/>
    <n v="1"/>
    <n v="0"/>
    <n v="8"/>
    <n v="4"/>
  </r>
  <r>
    <s v="SW-102121"/>
    <d v="2024-11-21T00:00:00"/>
    <x v="0"/>
    <s v="Q4"/>
    <x v="10"/>
    <x v="2"/>
    <x v="3"/>
    <x v="0"/>
    <x v="0"/>
    <s v="Leather Handbag"/>
    <n v="1"/>
    <n v="138.5"/>
    <n v="0.05"/>
    <x v="0"/>
    <n v="131.57"/>
    <n v="77.42"/>
    <n v="54.15"/>
    <n v="1"/>
    <n v="1"/>
    <n v="3"/>
    <n v="3"/>
  </r>
  <r>
    <s v="SW-102122"/>
    <d v="2024-11-21T00:00:00"/>
    <x v="0"/>
    <s v="Q4"/>
    <x v="10"/>
    <x v="0"/>
    <x v="3"/>
    <x v="1"/>
    <x v="3"/>
    <s v="Dumbbell Set"/>
    <n v="2"/>
    <n v="198.42"/>
    <n v="0.2"/>
    <x v="1"/>
    <n v="317.47000000000003"/>
    <n v="269.17"/>
    <n v="48.3"/>
    <n v="1"/>
    <n v="0"/>
    <n v="3"/>
    <n v="4"/>
  </r>
  <r>
    <s v="SW-102123"/>
    <d v="2024-11-22T00:00:00"/>
    <x v="0"/>
    <s v="Q4"/>
    <x v="10"/>
    <x v="1"/>
    <x v="3"/>
    <x v="1"/>
    <x v="4"/>
    <s v="4K Action Camera"/>
    <n v="2"/>
    <n v="636.09"/>
    <n v="0.25"/>
    <x v="3"/>
    <n v="954.14"/>
    <n v="1031.8599999999999"/>
    <n v="-77.72"/>
    <n v="1"/>
    <n v="0"/>
    <n v="3"/>
    <n v="5"/>
  </r>
  <r>
    <s v="SW-102124"/>
    <d v="2024-11-22T00:00:00"/>
    <x v="0"/>
    <s v="Q4"/>
    <x v="10"/>
    <x v="0"/>
    <x v="4"/>
    <x v="0"/>
    <x v="2"/>
    <s v="Storage Boxes"/>
    <n v="1"/>
    <n v="154.66"/>
    <n v="0.2"/>
    <x v="1"/>
    <n v="123.73"/>
    <n v="106.42"/>
    <n v="17.309999999999999"/>
    <n v="1"/>
    <n v="0"/>
    <n v="8"/>
    <n v="3"/>
  </r>
  <r>
    <s v="SW-102125"/>
    <d v="2024-11-22T00:00:00"/>
    <x v="0"/>
    <s v="Q4"/>
    <x v="10"/>
    <x v="1"/>
    <x v="1"/>
    <x v="1"/>
    <x v="2"/>
    <s v="Air Fryer"/>
    <n v="1"/>
    <n v="68.349999999999994"/>
    <n v="0.25"/>
    <x v="3"/>
    <n v="51.26"/>
    <n v="45.49"/>
    <n v="5.77"/>
    <n v="1"/>
    <n v="0"/>
    <n v="6"/>
    <n v="4"/>
  </r>
  <r>
    <s v="SW-102126"/>
    <d v="2024-11-22T00:00:00"/>
    <x v="0"/>
    <s v="Q4"/>
    <x v="10"/>
    <x v="0"/>
    <x v="3"/>
    <x v="0"/>
    <x v="4"/>
    <s v="Power Bank"/>
    <n v="1"/>
    <n v="508.8"/>
    <n v="0.2"/>
    <x v="1"/>
    <n v="407.04"/>
    <n v="402.92"/>
    <n v="4.12"/>
    <n v="1"/>
    <n v="0"/>
    <n v="3"/>
    <n v="5"/>
  </r>
  <r>
    <s v="SW-102127"/>
    <d v="2024-11-22T00:00:00"/>
    <x v="0"/>
    <s v="Q4"/>
    <x v="10"/>
    <x v="0"/>
    <x v="0"/>
    <x v="1"/>
    <x v="0"/>
    <s v="Running Sneakers"/>
    <n v="3"/>
    <n v="94.85"/>
    <n v="0.1"/>
    <x v="0"/>
    <n v="256.08999999999997"/>
    <n v="154.55000000000001"/>
    <n v="101.54"/>
    <n v="1"/>
    <n v="0"/>
    <n v="4"/>
    <n v="4"/>
  </r>
  <r>
    <s v="SW-102128"/>
    <d v="2024-11-22T00:00:00"/>
    <x v="0"/>
    <s v="Q4"/>
    <x v="10"/>
    <x v="1"/>
    <x v="1"/>
    <x v="0"/>
    <x v="4"/>
    <s v="Power Bank"/>
    <n v="3"/>
    <n v="508.8"/>
    <n v="0.3"/>
    <x v="3"/>
    <n v="1068.48"/>
    <n v="1186.8800000000001"/>
    <n v="-118.4"/>
    <n v="1"/>
    <n v="0"/>
    <n v="6"/>
    <n v="4"/>
  </r>
  <r>
    <s v="SW-102129"/>
    <d v="2024-11-22T00:00:00"/>
    <x v="0"/>
    <s v="Q4"/>
    <x v="10"/>
    <x v="0"/>
    <x v="4"/>
    <x v="1"/>
    <x v="2"/>
    <s v="Storage Boxes"/>
    <n v="2"/>
    <n v="154.66"/>
    <n v="0.05"/>
    <x v="0"/>
    <n v="293.85000000000002"/>
    <n v="210.25"/>
    <n v="83.6"/>
    <n v="1"/>
    <n v="1"/>
    <n v="8"/>
    <n v="3"/>
  </r>
  <r>
    <s v="SW-102130"/>
    <d v="2024-11-23T00:00:00"/>
    <x v="0"/>
    <s v="Q4"/>
    <x v="10"/>
    <x v="0"/>
    <x v="2"/>
    <x v="1"/>
    <x v="1"/>
    <s v="Hair Dryer"/>
    <n v="2"/>
    <n v="33.18"/>
    <n v="0.1"/>
    <x v="0"/>
    <n v="59.72"/>
    <n v="31.27"/>
    <n v="28.45"/>
    <n v="1"/>
    <n v="0"/>
    <n v="4"/>
    <n v="4"/>
  </r>
  <r>
    <s v="SW-102131"/>
    <d v="2024-11-23T00:00:00"/>
    <x v="0"/>
    <s v="Q4"/>
    <x v="10"/>
    <x v="0"/>
    <x v="2"/>
    <x v="0"/>
    <x v="3"/>
    <s v="Cycling Helmet"/>
    <n v="1"/>
    <n v="85.42"/>
    <n v="0.2"/>
    <x v="1"/>
    <n v="68.34"/>
    <n v="58.95"/>
    <n v="9.39"/>
    <n v="1"/>
    <n v="0"/>
    <n v="4"/>
    <n v="5"/>
  </r>
  <r>
    <s v="SW-102132"/>
    <d v="2024-11-23T00:00:00"/>
    <x v="0"/>
    <s v="Q4"/>
    <x v="10"/>
    <x v="0"/>
    <x v="2"/>
    <x v="1"/>
    <x v="0"/>
    <s v="Cotton T-Shirt"/>
    <n v="1"/>
    <n v="19.41"/>
    <n v="0.1"/>
    <x v="0"/>
    <n v="17.47"/>
    <n v="10.96"/>
    <n v="6.51"/>
    <n v="1"/>
    <n v="0"/>
    <n v="4"/>
    <n v="5"/>
  </r>
  <r>
    <s v="SW-102133"/>
    <d v="2024-11-23T00:00:00"/>
    <x v="0"/>
    <s v="Q4"/>
    <x v="10"/>
    <x v="0"/>
    <x v="3"/>
    <x v="1"/>
    <x v="2"/>
    <s v="Coffee Maker"/>
    <n v="2"/>
    <n v="148.05000000000001"/>
    <n v="0.2"/>
    <x v="1"/>
    <n v="236.88"/>
    <n v="199.43"/>
    <n v="37.450000000000003"/>
    <n v="1"/>
    <n v="0"/>
    <n v="4"/>
    <n v="5"/>
  </r>
  <r>
    <s v="SW-102134"/>
    <d v="2024-11-23T00:00:00"/>
    <x v="0"/>
    <s v="Q4"/>
    <x v="10"/>
    <x v="0"/>
    <x v="1"/>
    <x v="1"/>
    <x v="3"/>
    <s v="Camping Tent"/>
    <n v="1"/>
    <n v="83.06"/>
    <n v="0.3"/>
    <x v="3"/>
    <n v="58.14"/>
    <n v="53.66"/>
    <n v="4.4800000000000004"/>
    <n v="1"/>
    <n v="0"/>
    <n v="7"/>
    <n v="4"/>
  </r>
  <r>
    <s v="SW-102135"/>
    <d v="2024-11-23T00:00:00"/>
    <x v="0"/>
    <s v="Q4"/>
    <x v="10"/>
    <x v="1"/>
    <x v="3"/>
    <x v="1"/>
    <x v="0"/>
    <s v="Summer Dress"/>
    <n v="1"/>
    <n v="33.99"/>
    <n v="0.3"/>
    <x v="3"/>
    <n v="23.79"/>
    <n v="17.66"/>
    <n v="6.13"/>
    <n v="1"/>
    <n v="0"/>
    <n v="3"/>
    <n v="4"/>
  </r>
  <r>
    <s v="SW-102136"/>
    <d v="2024-11-23T00:00:00"/>
    <x v="0"/>
    <s v="Q4"/>
    <x v="10"/>
    <x v="0"/>
    <x v="1"/>
    <x v="1"/>
    <x v="3"/>
    <s v="Camping Tent"/>
    <n v="1"/>
    <n v="83.06"/>
    <n v="0.25"/>
    <x v="3"/>
    <n v="62.3"/>
    <n v="55.16"/>
    <n v="7.14"/>
    <n v="1"/>
    <n v="0"/>
    <n v="6"/>
    <n v="3"/>
  </r>
  <r>
    <s v="SW-102137"/>
    <d v="2024-11-23T00:00:00"/>
    <x v="0"/>
    <s v="Q4"/>
    <x v="10"/>
    <x v="0"/>
    <x v="0"/>
    <x v="1"/>
    <x v="3"/>
    <s v="Cycling Helmet"/>
    <n v="1"/>
    <n v="85.42"/>
    <n v="0.1"/>
    <x v="0"/>
    <n v="76.88"/>
    <n v="58.07"/>
    <n v="18.809999999999999"/>
    <n v="1"/>
    <n v="0"/>
    <n v="7"/>
    <n v="4"/>
  </r>
  <r>
    <s v="SW-102138"/>
    <d v="2024-11-23T00:00:00"/>
    <x v="0"/>
    <s v="Q4"/>
    <x v="10"/>
    <x v="1"/>
    <x v="1"/>
    <x v="1"/>
    <x v="2"/>
    <s v="Desk Lamp"/>
    <n v="1"/>
    <n v="117.63"/>
    <n v="0.2"/>
    <x v="1"/>
    <n v="94.1"/>
    <n v="75.22"/>
    <n v="18.88"/>
    <n v="1"/>
    <n v="0"/>
    <n v="7"/>
    <n v="3"/>
  </r>
  <r>
    <s v="SW-102139"/>
    <d v="2024-11-23T00:00:00"/>
    <x v="0"/>
    <s v="Q4"/>
    <x v="10"/>
    <x v="0"/>
    <x v="0"/>
    <x v="1"/>
    <x v="0"/>
    <s v="Leather Handbag"/>
    <n v="2"/>
    <n v="138.5"/>
    <n v="0.2"/>
    <x v="1"/>
    <n v="221.6"/>
    <n v="151.56"/>
    <n v="70.040000000000006"/>
    <n v="1"/>
    <n v="0"/>
    <n v="4"/>
    <n v="5"/>
  </r>
  <r>
    <s v="SW-102140"/>
    <d v="2024-11-23T00:00:00"/>
    <x v="0"/>
    <s v="Q4"/>
    <x v="10"/>
    <x v="1"/>
    <x v="3"/>
    <x v="1"/>
    <x v="1"/>
    <s v="Skin Care Bundle"/>
    <n v="2"/>
    <n v="92.54"/>
    <n v="0.15"/>
    <x v="1"/>
    <n v="157.32"/>
    <n v="88.8"/>
    <n v="68.52"/>
    <n v="1"/>
    <n v="0"/>
    <n v="4"/>
    <n v="4"/>
  </r>
  <r>
    <s v="SW-102141"/>
    <d v="2024-11-23T00:00:00"/>
    <x v="0"/>
    <s v="Q4"/>
    <x v="10"/>
    <x v="2"/>
    <x v="2"/>
    <x v="0"/>
    <x v="1"/>
    <s v="Face Serum"/>
    <n v="1"/>
    <n v="33.479999999999997"/>
    <n v="0.25"/>
    <x v="3"/>
    <n v="25.11"/>
    <n v="15.93"/>
    <n v="9.18"/>
    <n v="1"/>
    <n v="0"/>
    <n v="5"/>
    <n v="4"/>
  </r>
  <r>
    <s v="SW-102142"/>
    <d v="2024-11-23T00:00:00"/>
    <x v="0"/>
    <s v="Q4"/>
    <x v="10"/>
    <x v="0"/>
    <x v="0"/>
    <x v="1"/>
    <x v="4"/>
    <s v="Power Bank"/>
    <n v="1"/>
    <n v="508.8"/>
    <n v="0"/>
    <x v="2"/>
    <n v="508.8"/>
    <n v="380.27"/>
    <n v="128.53"/>
    <n v="1"/>
    <n v="0"/>
    <n v="5"/>
    <n v="4"/>
  </r>
  <r>
    <s v="SW-102143"/>
    <d v="2024-11-23T00:00:00"/>
    <x v="0"/>
    <s v="Q4"/>
    <x v="10"/>
    <x v="0"/>
    <x v="3"/>
    <x v="0"/>
    <x v="3"/>
    <s v="Dumbbell Set"/>
    <n v="1"/>
    <n v="198.42"/>
    <n v="0.25"/>
    <x v="3"/>
    <n v="148.82"/>
    <n v="134.82"/>
    <n v="14"/>
    <n v="1"/>
    <n v="0"/>
    <n v="4"/>
    <n v="5"/>
  </r>
  <r>
    <s v="SW-102144"/>
    <d v="2024-11-23T00:00:00"/>
    <x v="0"/>
    <s v="Q4"/>
    <x v="10"/>
    <x v="0"/>
    <x v="2"/>
    <x v="1"/>
    <x v="2"/>
    <s v="Cookware Set"/>
    <n v="2"/>
    <n v="233.81"/>
    <n v="0.05"/>
    <x v="0"/>
    <n v="444.24"/>
    <n v="330.87"/>
    <n v="113.37"/>
    <n v="1"/>
    <n v="0"/>
    <n v="4"/>
    <n v="4"/>
  </r>
  <r>
    <s v="SW-102145"/>
    <d v="2024-11-24T00:00:00"/>
    <x v="0"/>
    <s v="Q4"/>
    <x v="10"/>
    <x v="0"/>
    <x v="3"/>
    <x v="0"/>
    <x v="4"/>
    <s v="Smart Watch"/>
    <n v="1"/>
    <n v="216.08"/>
    <n v="0.3"/>
    <x v="3"/>
    <n v="151.26"/>
    <n v="165.94"/>
    <n v="-14.68"/>
    <n v="1"/>
    <n v="1"/>
    <n v="4"/>
    <n v="3"/>
  </r>
  <r>
    <s v="SW-102146"/>
    <d v="2024-11-24T00:00:00"/>
    <x v="0"/>
    <s v="Q4"/>
    <x v="10"/>
    <x v="2"/>
    <x v="4"/>
    <x v="1"/>
    <x v="4"/>
    <s v="Power Bank"/>
    <n v="4"/>
    <n v="508.8"/>
    <n v="0.15"/>
    <x v="1"/>
    <n v="1729.92"/>
    <n v="1718.52"/>
    <n v="11.4"/>
    <n v="1"/>
    <n v="0"/>
    <n v="9"/>
    <n v="3"/>
  </r>
  <r>
    <s v="SW-102147"/>
    <d v="2024-11-24T00:00:00"/>
    <x v="0"/>
    <s v="Q4"/>
    <x v="10"/>
    <x v="0"/>
    <x v="4"/>
    <x v="0"/>
    <x v="5"/>
    <s v="Bestseller Novel"/>
    <n v="1"/>
    <n v="45.28"/>
    <n v="0.1"/>
    <x v="0"/>
    <n v="40.75"/>
    <n v="33.119999999999997"/>
    <n v="7.63"/>
    <n v="1"/>
    <n v="0"/>
    <n v="9"/>
    <n v="2"/>
  </r>
  <r>
    <s v="SW-102148"/>
    <d v="2024-11-24T00:00:00"/>
    <x v="0"/>
    <s v="Q4"/>
    <x v="10"/>
    <x v="2"/>
    <x v="3"/>
    <x v="1"/>
    <x v="4"/>
    <s v="Tablet 10in"/>
    <n v="1"/>
    <n v="490.3"/>
    <n v="0.3"/>
    <x v="3"/>
    <n v="343.21"/>
    <n v="371.36"/>
    <n v="-28.15"/>
    <n v="1"/>
    <n v="0"/>
    <n v="3"/>
    <n v="4"/>
  </r>
  <r>
    <s v="SW-102149"/>
    <d v="2024-11-24T00:00:00"/>
    <x v="0"/>
    <s v="Q4"/>
    <x v="10"/>
    <x v="1"/>
    <x v="0"/>
    <x v="0"/>
    <x v="3"/>
    <s v="Fitness Tracker"/>
    <n v="1"/>
    <n v="74.459999999999994"/>
    <n v="0.1"/>
    <x v="0"/>
    <n v="67.010000000000005"/>
    <n v="51.5"/>
    <n v="15.51"/>
    <n v="1"/>
    <n v="0"/>
    <n v="4"/>
    <n v="4"/>
  </r>
  <r>
    <s v="SW-102150"/>
    <d v="2024-11-24T00:00:00"/>
    <x v="0"/>
    <s v="Q4"/>
    <x v="10"/>
    <x v="0"/>
    <x v="2"/>
    <x v="0"/>
    <x v="0"/>
    <s v="Leather Handbag"/>
    <n v="3"/>
    <n v="138.5"/>
    <n v="0.3"/>
    <x v="3"/>
    <n v="290.85000000000002"/>
    <n v="218.64"/>
    <n v="72.209999999999994"/>
    <n v="1"/>
    <n v="1"/>
    <n v="5"/>
    <n v="3"/>
  </r>
  <r>
    <s v="SW-102151"/>
    <d v="2024-11-24T00:00:00"/>
    <x v="0"/>
    <s v="Q4"/>
    <x v="10"/>
    <x v="0"/>
    <x v="1"/>
    <x v="0"/>
    <x v="2"/>
    <s v="Coffee Maker"/>
    <n v="4"/>
    <n v="148.05000000000001"/>
    <n v="0.25"/>
    <x v="3"/>
    <n v="444.15"/>
    <n v="405.1"/>
    <n v="39.049999999999997"/>
    <n v="1"/>
    <n v="0"/>
    <n v="6"/>
    <n v="4"/>
  </r>
  <r>
    <s v="SW-102152"/>
    <d v="2024-11-25T00:00:00"/>
    <x v="0"/>
    <s v="Q4"/>
    <x v="10"/>
    <x v="2"/>
    <x v="4"/>
    <x v="1"/>
    <x v="0"/>
    <s v="Cotton T-Shirt"/>
    <n v="1"/>
    <n v="19.41"/>
    <n v="0.25"/>
    <x v="3"/>
    <n v="14.56"/>
    <n v="10.86"/>
    <n v="3.7"/>
    <n v="1"/>
    <n v="0"/>
    <n v="6"/>
    <n v="2"/>
  </r>
  <r>
    <s v="SW-102153"/>
    <d v="2024-11-25T00:00:00"/>
    <x v="0"/>
    <s v="Q4"/>
    <x v="10"/>
    <x v="0"/>
    <x v="1"/>
    <x v="1"/>
    <x v="3"/>
    <s v="Camping Tent"/>
    <n v="1"/>
    <n v="83.06"/>
    <n v="0.05"/>
    <x v="0"/>
    <n v="78.91"/>
    <n v="57.24"/>
    <n v="21.67"/>
    <n v="1"/>
    <n v="0"/>
    <n v="8"/>
    <n v="4"/>
  </r>
  <r>
    <s v="SW-102154"/>
    <d v="2024-11-25T00:00:00"/>
    <x v="0"/>
    <s v="Q4"/>
    <x v="10"/>
    <x v="1"/>
    <x v="0"/>
    <x v="1"/>
    <x v="4"/>
    <s v="Wireless Earbuds"/>
    <n v="2"/>
    <n v="588.41"/>
    <n v="0.2"/>
    <x v="1"/>
    <n v="941.46"/>
    <n v="967.61"/>
    <n v="-26.15"/>
    <n v="1"/>
    <n v="1"/>
    <n v="5"/>
    <n v="3"/>
  </r>
  <r>
    <s v="SW-102155"/>
    <d v="2024-11-25T00:00:00"/>
    <x v="0"/>
    <s v="Q4"/>
    <x v="10"/>
    <x v="1"/>
    <x v="2"/>
    <x v="1"/>
    <x v="4"/>
    <s v="Tablet 10in"/>
    <n v="2"/>
    <n v="490.3"/>
    <n v="0.15"/>
    <x v="1"/>
    <n v="833.51"/>
    <n v="773.13"/>
    <n v="60.38"/>
    <n v="1"/>
    <n v="0"/>
    <n v="6"/>
    <n v="4"/>
  </r>
  <r>
    <s v="SW-102156"/>
    <d v="2024-11-25T00:00:00"/>
    <x v="0"/>
    <s v="Q4"/>
    <x v="10"/>
    <x v="0"/>
    <x v="0"/>
    <x v="0"/>
    <x v="0"/>
    <s v="Summer Dress"/>
    <n v="1"/>
    <n v="33.99"/>
    <n v="0.25"/>
    <x v="3"/>
    <n v="25.49"/>
    <n v="18.420000000000002"/>
    <n v="7.07"/>
    <n v="1"/>
    <n v="0"/>
    <n v="4"/>
    <n v="4"/>
  </r>
  <r>
    <s v="SW-102157"/>
    <d v="2024-11-25T00:00:00"/>
    <x v="0"/>
    <s v="Q4"/>
    <x v="10"/>
    <x v="0"/>
    <x v="3"/>
    <x v="0"/>
    <x v="3"/>
    <s v="Dumbbell Set"/>
    <n v="4"/>
    <n v="198.42"/>
    <n v="0.3"/>
    <x v="3"/>
    <n v="555.58000000000004"/>
    <n v="537.29"/>
    <n v="18.29"/>
    <n v="1"/>
    <n v="0"/>
    <n v="4"/>
    <n v="4"/>
  </r>
  <r>
    <s v="SW-102158"/>
    <d v="2024-11-25T00:00:00"/>
    <x v="0"/>
    <s v="Q4"/>
    <x v="10"/>
    <x v="0"/>
    <x v="3"/>
    <x v="1"/>
    <x v="4"/>
    <s v="Wireless Earbuds"/>
    <n v="2"/>
    <n v="588.41"/>
    <n v="0"/>
    <x v="2"/>
    <n v="1176.82"/>
    <n v="899.77"/>
    <n v="277.05"/>
    <n v="1"/>
    <n v="1"/>
    <n v="6"/>
    <n v="2"/>
  </r>
  <r>
    <s v="SW-102159"/>
    <d v="2024-11-25T00:00:00"/>
    <x v="0"/>
    <s v="Q4"/>
    <x v="10"/>
    <x v="0"/>
    <x v="0"/>
    <x v="0"/>
    <x v="4"/>
    <s v="Wireless Earbuds"/>
    <n v="1"/>
    <n v="588.41"/>
    <n v="0.1"/>
    <x v="0"/>
    <n v="529.57000000000005"/>
    <n v="486.93"/>
    <n v="42.64"/>
    <n v="1"/>
    <n v="0"/>
    <n v="6"/>
    <n v="4"/>
  </r>
  <r>
    <s v="SW-102160"/>
    <d v="2024-11-25T00:00:00"/>
    <x v="0"/>
    <s v="Q4"/>
    <x v="10"/>
    <x v="0"/>
    <x v="3"/>
    <x v="1"/>
    <x v="4"/>
    <s v="Bluetooth Speaker"/>
    <n v="1"/>
    <n v="177.65"/>
    <n v="0.15"/>
    <x v="1"/>
    <n v="151"/>
    <n v="147.18"/>
    <n v="3.82"/>
    <n v="1"/>
    <n v="0"/>
    <n v="3"/>
    <n v="4"/>
  </r>
  <r>
    <s v="SW-102161"/>
    <d v="2024-11-26T00:00:00"/>
    <x v="0"/>
    <s v="Q4"/>
    <x v="10"/>
    <x v="1"/>
    <x v="3"/>
    <x v="0"/>
    <x v="5"/>
    <s v="Building Blocks"/>
    <n v="1"/>
    <n v="48.86"/>
    <n v="0.1"/>
    <x v="0"/>
    <n v="43.97"/>
    <n v="33"/>
    <n v="10.97"/>
    <n v="1"/>
    <n v="0"/>
    <n v="4"/>
    <n v="5"/>
  </r>
  <r>
    <s v="SW-102162"/>
    <d v="2024-11-26T00:00:00"/>
    <x v="0"/>
    <s v="Q4"/>
    <x v="10"/>
    <x v="2"/>
    <x v="2"/>
    <x v="1"/>
    <x v="2"/>
    <s v="Air Fryer"/>
    <n v="3"/>
    <n v="68.349999999999994"/>
    <n v="0.15"/>
    <x v="1"/>
    <n v="174.29"/>
    <n v="141.15"/>
    <n v="33.14"/>
    <n v="1"/>
    <n v="0"/>
    <n v="6"/>
    <n v="5"/>
  </r>
  <r>
    <s v="SW-102163"/>
    <d v="2024-11-26T00:00:00"/>
    <x v="0"/>
    <s v="Q4"/>
    <x v="10"/>
    <x v="1"/>
    <x v="2"/>
    <x v="1"/>
    <x v="2"/>
    <s v="Air Fryer"/>
    <n v="2"/>
    <n v="68.349999999999994"/>
    <n v="0.3"/>
    <x v="3"/>
    <n v="95.69"/>
    <n v="88.89"/>
    <n v="6.8"/>
    <n v="1"/>
    <n v="0"/>
    <n v="5"/>
    <n v="5"/>
  </r>
  <r>
    <s v="SW-102164"/>
    <d v="2024-11-26T00:00:00"/>
    <x v="0"/>
    <s v="Q4"/>
    <x v="10"/>
    <x v="1"/>
    <x v="3"/>
    <x v="0"/>
    <x v="1"/>
    <s v="Face Serum"/>
    <n v="1"/>
    <n v="33.479999999999997"/>
    <n v="0.1"/>
    <x v="0"/>
    <n v="30.13"/>
    <n v="15.82"/>
    <n v="14.31"/>
    <n v="1"/>
    <n v="0"/>
    <n v="4"/>
    <n v="4"/>
  </r>
  <r>
    <s v="SW-102165"/>
    <d v="2024-11-26T00:00:00"/>
    <x v="0"/>
    <s v="Q4"/>
    <x v="10"/>
    <x v="2"/>
    <x v="0"/>
    <x v="1"/>
    <x v="0"/>
    <s v="Cotton T-Shirt"/>
    <n v="2"/>
    <n v="19.41"/>
    <n v="0.1"/>
    <x v="0"/>
    <n v="34.94"/>
    <n v="21.52"/>
    <n v="13.42"/>
    <n v="1"/>
    <n v="0"/>
    <n v="6"/>
    <n v="4"/>
  </r>
  <r>
    <s v="SW-102166"/>
    <d v="2024-11-26T00:00:00"/>
    <x v="0"/>
    <s v="Q4"/>
    <x v="10"/>
    <x v="0"/>
    <x v="0"/>
    <x v="1"/>
    <x v="4"/>
    <s v="Tablet 10in"/>
    <n v="1"/>
    <n v="490.3"/>
    <n v="0.15"/>
    <x v="1"/>
    <n v="416.76"/>
    <n v="383.37"/>
    <n v="33.39"/>
    <n v="1"/>
    <n v="0"/>
    <n v="4"/>
    <n v="5"/>
  </r>
  <r>
    <s v="SW-102167"/>
    <d v="2024-11-26T00:00:00"/>
    <x v="0"/>
    <s v="Q4"/>
    <x v="10"/>
    <x v="0"/>
    <x v="0"/>
    <x v="0"/>
    <x v="1"/>
    <s v="Perfume 100ml"/>
    <n v="1"/>
    <n v="54.56"/>
    <n v="0.2"/>
    <x v="1"/>
    <n v="43.65"/>
    <n v="25.63"/>
    <n v="18.02"/>
    <n v="1"/>
    <n v="0"/>
    <n v="4"/>
    <n v="4"/>
  </r>
  <r>
    <s v="SW-102168"/>
    <d v="2024-11-27T00:00:00"/>
    <x v="0"/>
    <s v="Q4"/>
    <x v="10"/>
    <x v="0"/>
    <x v="3"/>
    <x v="1"/>
    <x v="4"/>
    <s v="Bluetooth Speaker"/>
    <n v="1"/>
    <n v="177.65"/>
    <n v="0.1"/>
    <x v="0"/>
    <n v="159.88999999999999"/>
    <n v="142.59"/>
    <n v="17.3"/>
    <n v="1"/>
    <n v="0"/>
    <n v="4"/>
    <n v="4"/>
  </r>
  <r>
    <s v="SW-102169"/>
    <d v="2024-11-27T00:00:00"/>
    <x v="0"/>
    <s v="Q4"/>
    <x v="10"/>
    <x v="1"/>
    <x v="3"/>
    <x v="0"/>
    <x v="0"/>
    <s v="Denim Jacket"/>
    <n v="2"/>
    <n v="78.510000000000005"/>
    <n v="0.05"/>
    <x v="0"/>
    <n v="149.16999999999999"/>
    <n v="87.94"/>
    <n v="61.23"/>
    <n v="1"/>
    <n v="0"/>
    <n v="4"/>
    <n v="5"/>
  </r>
  <r>
    <s v="SW-102170"/>
    <d v="2024-11-27T00:00:00"/>
    <x v="0"/>
    <s v="Q4"/>
    <x v="10"/>
    <x v="0"/>
    <x v="4"/>
    <x v="1"/>
    <x v="4"/>
    <s v="Tablet 10in"/>
    <n v="1"/>
    <n v="490.3"/>
    <n v="0.3"/>
    <x v="3"/>
    <n v="343.21"/>
    <n v="389.48"/>
    <n v="-46.27"/>
    <n v="1"/>
    <n v="1"/>
    <n v="7"/>
    <n v="2"/>
  </r>
  <r>
    <s v="SW-102171"/>
    <d v="2024-11-27T00:00:00"/>
    <x v="0"/>
    <s v="Q4"/>
    <x v="10"/>
    <x v="0"/>
    <x v="3"/>
    <x v="1"/>
    <x v="5"/>
    <s v="Kids Puzzle"/>
    <n v="2"/>
    <n v="16.97"/>
    <n v="0.15"/>
    <x v="1"/>
    <n v="28.85"/>
    <n v="24.34"/>
    <n v="4.51"/>
    <n v="1"/>
    <n v="0"/>
    <n v="3"/>
    <n v="4"/>
  </r>
  <r>
    <s v="SW-102172"/>
    <d v="2024-11-27T00:00:00"/>
    <x v="0"/>
    <s v="Q4"/>
    <x v="10"/>
    <x v="0"/>
    <x v="0"/>
    <x v="0"/>
    <x v="4"/>
    <s v="Tablet 10in"/>
    <n v="2"/>
    <n v="490.3"/>
    <n v="0.2"/>
    <x v="1"/>
    <n v="784.48"/>
    <n v="780.65"/>
    <n v="3.83"/>
    <n v="1"/>
    <n v="0"/>
    <n v="5"/>
    <n v="5"/>
  </r>
  <r>
    <s v="SW-102173"/>
    <d v="2024-11-27T00:00:00"/>
    <x v="0"/>
    <s v="Q4"/>
    <x v="10"/>
    <x v="2"/>
    <x v="3"/>
    <x v="0"/>
    <x v="2"/>
    <s v="Bed Sheet Set"/>
    <n v="1"/>
    <n v="90.75"/>
    <n v="0.15"/>
    <x v="1"/>
    <n v="77.14"/>
    <n v="59.69"/>
    <n v="17.45"/>
    <n v="1"/>
    <n v="0"/>
    <n v="3"/>
    <n v="4"/>
  </r>
  <r>
    <s v="SW-102174"/>
    <d v="2024-11-27T00:00:00"/>
    <x v="0"/>
    <s v="Q4"/>
    <x v="10"/>
    <x v="1"/>
    <x v="0"/>
    <x v="1"/>
    <x v="0"/>
    <s v="Denim Jacket"/>
    <n v="1"/>
    <n v="78.510000000000005"/>
    <n v="0.1"/>
    <x v="0"/>
    <n v="70.66"/>
    <n v="43.29"/>
    <n v="27.37"/>
    <n v="1"/>
    <n v="0"/>
    <n v="6"/>
    <n v="4"/>
  </r>
  <r>
    <s v="SW-102175"/>
    <d v="2024-11-27T00:00:00"/>
    <x v="0"/>
    <s v="Q4"/>
    <x v="10"/>
    <x v="0"/>
    <x v="0"/>
    <x v="0"/>
    <x v="0"/>
    <s v="Denim Jacket"/>
    <n v="4"/>
    <n v="78.510000000000005"/>
    <n v="0.05"/>
    <x v="0"/>
    <n v="298.33999999999997"/>
    <n v="171.04"/>
    <n v="127.3"/>
    <n v="1"/>
    <n v="1"/>
    <n v="5"/>
    <n v="2"/>
  </r>
  <r>
    <s v="SW-102176"/>
    <d v="2024-11-27T00:00:00"/>
    <x v="0"/>
    <s v="Q4"/>
    <x v="10"/>
    <x v="2"/>
    <x v="2"/>
    <x v="0"/>
    <x v="0"/>
    <s v="Cotton T-Shirt"/>
    <n v="2"/>
    <n v="19.41"/>
    <n v="0.25"/>
    <x v="3"/>
    <n v="29.12"/>
    <n v="19.72"/>
    <n v="9.4"/>
    <n v="1"/>
    <n v="0"/>
    <n v="4"/>
    <n v="4"/>
  </r>
  <r>
    <s v="SW-102177"/>
    <d v="2024-11-27T00:00:00"/>
    <x v="0"/>
    <s v="Q4"/>
    <x v="10"/>
    <x v="0"/>
    <x v="0"/>
    <x v="0"/>
    <x v="0"/>
    <s v="Denim Jacket"/>
    <n v="2"/>
    <n v="78.510000000000005"/>
    <n v="0.25"/>
    <x v="3"/>
    <n v="117.77"/>
    <n v="89.27"/>
    <n v="28.5"/>
    <n v="1"/>
    <n v="0"/>
    <n v="4"/>
    <n v="3"/>
  </r>
  <r>
    <s v="SW-102178"/>
    <d v="2024-11-27T00:00:00"/>
    <x v="0"/>
    <s v="Q4"/>
    <x v="10"/>
    <x v="1"/>
    <x v="2"/>
    <x v="1"/>
    <x v="1"/>
    <s v="Face Serum"/>
    <n v="2"/>
    <n v="33.479999999999997"/>
    <n v="0.15"/>
    <x v="1"/>
    <n v="56.92"/>
    <n v="30.37"/>
    <n v="26.55"/>
    <n v="1"/>
    <n v="0"/>
    <n v="5"/>
    <n v="5"/>
  </r>
  <r>
    <s v="SW-102179"/>
    <d v="2024-11-28T00:00:00"/>
    <x v="0"/>
    <s v="Q4"/>
    <x v="10"/>
    <x v="0"/>
    <x v="0"/>
    <x v="0"/>
    <x v="0"/>
    <s v="Leather Handbag"/>
    <n v="1"/>
    <n v="138.5"/>
    <n v="0.1"/>
    <x v="0"/>
    <n v="124.65"/>
    <n v="71.069999999999993"/>
    <n v="53.58"/>
    <n v="1"/>
    <n v="0"/>
    <n v="5"/>
    <n v="4"/>
  </r>
  <r>
    <s v="SW-102180"/>
    <d v="2024-11-28T00:00:00"/>
    <x v="0"/>
    <s v="Q4"/>
    <x v="10"/>
    <x v="0"/>
    <x v="3"/>
    <x v="1"/>
    <x v="2"/>
    <s v="Coffee Maker"/>
    <n v="1"/>
    <n v="148.05000000000001"/>
    <n v="0.1"/>
    <x v="0"/>
    <n v="133.24"/>
    <n v="95.39"/>
    <n v="37.85"/>
    <n v="1"/>
    <n v="0"/>
    <n v="4"/>
    <n v="4"/>
  </r>
  <r>
    <s v="SW-102181"/>
    <d v="2024-11-28T00:00:00"/>
    <x v="0"/>
    <s v="Q4"/>
    <x v="10"/>
    <x v="1"/>
    <x v="2"/>
    <x v="0"/>
    <x v="2"/>
    <s v="Air Fryer"/>
    <n v="1"/>
    <n v="68.349999999999994"/>
    <n v="0.3"/>
    <x v="3"/>
    <n v="47.84"/>
    <n v="46.12"/>
    <n v="1.72"/>
    <n v="1"/>
    <n v="1"/>
    <n v="5"/>
    <n v="3"/>
  </r>
  <r>
    <s v="SW-102182"/>
    <d v="2024-11-28T00:00:00"/>
    <x v="0"/>
    <s v="Q4"/>
    <x v="10"/>
    <x v="0"/>
    <x v="3"/>
    <x v="0"/>
    <x v="1"/>
    <s v="Makeup Kit"/>
    <n v="1"/>
    <n v="74.3"/>
    <n v="0.2"/>
    <x v="1"/>
    <n v="59.44"/>
    <n v="33.47"/>
    <n v="25.97"/>
    <n v="1"/>
    <n v="0"/>
    <n v="3"/>
    <n v="4"/>
  </r>
  <r>
    <s v="SW-102183"/>
    <d v="2024-11-28T00:00:00"/>
    <x v="0"/>
    <s v="Q4"/>
    <x v="10"/>
    <x v="0"/>
    <x v="3"/>
    <x v="1"/>
    <x v="4"/>
    <s v="Bluetooth Speaker"/>
    <n v="1"/>
    <n v="177.65"/>
    <n v="0.1"/>
    <x v="0"/>
    <n v="159.88999999999999"/>
    <n v="146.19999999999999"/>
    <n v="13.69"/>
    <n v="1"/>
    <n v="0"/>
    <n v="4"/>
    <n v="4"/>
  </r>
  <r>
    <s v="SW-102184"/>
    <d v="2024-11-28T00:00:00"/>
    <x v="0"/>
    <s v="Q4"/>
    <x v="10"/>
    <x v="1"/>
    <x v="2"/>
    <x v="1"/>
    <x v="2"/>
    <s v="Coffee Maker"/>
    <n v="1"/>
    <n v="148.05000000000001"/>
    <n v="0.3"/>
    <x v="3"/>
    <n v="103.64"/>
    <n v="98.57"/>
    <n v="5.07"/>
    <n v="1"/>
    <n v="0"/>
    <n v="4"/>
    <n v="4"/>
  </r>
  <r>
    <s v="SW-102185"/>
    <d v="2024-11-28T00:00:00"/>
    <x v="0"/>
    <s v="Q4"/>
    <x v="10"/>
    <x v="0"/>
    <x v="3"/>
    <x v="0"/>
    <x v="0"/>
    <s v="Summer Dress"/>
    <n v="2"/>
    <n v="33.99"/>
    <n v="0.25"/>
    <x v="3"/>
    <n v="50.98"/>
    <n v="35.090000000000003"/>
    <n v="15.89"/>
    <n v="1"/>
    <n v="0"/>
    <n v="3"/>
    <n v="4"/>
  </r>
  <r>
    <s v="SW-102186"/>
    <d v="2024-11-28T00:00:00"/>
    <x v="0"/>
    <s v="Q4"/>
    <x v="10"/>
    <x v="2"/>
    <x v="2"/>
    <x v="1"/>
    <x v="5"/>
    <s v="Building Blocks"/>
    <n v="1"/>
    <n v="48.86"/>
    <n v="0.2"/>
    <x v="1"/>
    <n v="39.090000000000003"/>
    <n v="32.979999999999997"/>
    <n v="6.11"/>
    <n v="1"/>
    <n v="0"/>
    <n v="5"/>
    <n v="4"/>
  </r>
  <r>
    <s v="SW-102187"/>
    <d v="2024-11-28T00:00:00"/>
    <x v="0"/>
    <s v="Q4"/>
    <x v="10"/>
    <x v="1"/>
    <x v="2"/>
    <x v="0"/>
    <x v="1"/>
    <s v="Hair Dryer"/>
    <n v="1"/>
    <n v="33.18"/>
    <n v="0.1"/>
    <x v="0"/>
    <n v="29.86"/>
    <n v="16.2"/>
    <n v="13.66"/>
    <n v="1"/>
    <n v="0"/>
    <n v="4"/>
    <n v="5"/>
  </r>
  <r>
    <s v="SW-102188"/>
    <d v="2024-11-28T00:00:00"/>
    <x v="0"/>
    <s v="Q4"/>
    <x v="10"/>
    <x v="0"/>
    <x v="3"/>
    <x v="1"/>
    <x v="0"/>
    <s v="Summer Dress"/>
    <n v="1"/>
    <n v="33.99"/>
    <n v="0.2"/>
    <x v="1"/>
    <n v="27.19"/>
    <n v="18.57"/>
    <n v="8.6199999999999992"/>
    <n v="1"/>
    <n v="0"/>
    <n v="4"/>
    <n v="4"/>
  </r>
  <r>
    <s v="SW-102189"/>
    <d v="2024-11-28T00:00:00"/>
    <x v="0"/>
    <s v="Q4"/>
    <x v="10"/>
    <x v="0"/>
    <x v="3"/>
    <x v="0"/>
    <x v="1"/>
    <s v="Skin Care Bundle"/>
    <n v="2"/>
    <n v="92.54"/>
    <n v="0.2"/>
    <x v="1"/>
    <n v="148.06"/>
    <n v="89.7"/>
    <n v="58.36"/>
    <n v="1"/>
    <n v="0"/>
    <n v="6"/>
    <n v="4"/>
  </r>
  <r>
    <s v="SW-102190"/>
    <d v="2024-11-28T00:00:00"/>
    <x v="0"/>
    <s v="Q4"/>
    <x v="10"/>
    <x v="0"/>
    <x v="2"/>
    <x v="1"/>
    <x v="0"/>
    <s v="Summer Dress"/>
    <n v="1"/>
    <n v="33.99"/>
    <n v="0.3"/>
    <x v="3"/>
    <n v="23.79"/>
    <n v="18.16"/>
    <n v="5.63"/>
    <n v="1"/>
    <n v="0"/>
    <n v="5"/>
    <n v="4"/>
  </r>
  <r>
    <s v="SW-102191"/>
    <d v="2024-11-28T00:00:00"/>
    <x v="0"/>
    <s v="Q4"/>
    <x v="10"/>
    <x v="2"/>
    <x v="0"/>
    <x v="0"/>
    <x v="2"/>
    <s v="Desk Lamp"/>
    <n v="4"/>
    <n v="117.63"/>
    <n v="0.3"/>
    <x v="3"/>
    <n v="329.36"/>
    <n v="309.89"/>
    <n v="19.47"/>
    <n v="1"/>
    <n v="0"/>
    <n v="6"/>
    <n v="4"/>
  </r>
  <r>
    <s v="SW-102192"/>
    <d v="2024-11-29T00:00:00"/>
    <x v="0"/>
    <s v="Q4"/>
    <x v="10"/>
    <x v="2"/>
    <x v="3"/>
    <x v="1"/>
    <x v="2"/>
    <s v="Storage Boxes"/>
    <n v="4"/>
    <n v="154.66"/>
    <n v="0.05"/>
    <x v="0"/>
    <n v="587.71"/>
    <n v="392.02"/>
    <n v="195.69"/>
    <n v="1"/>
    <n v="0"/>
    <n v="4"/>
    <n v="4"/>
  </r>
  <r>
    <s v="SW-102193"/>
    <d v="2024-11-29T00:00:00"/>
    <x v="0"/>
    <s v="Q4"/>
    <x v="10"/>
    <x v="1"/>
    <x v="1"/>
    <x v="1"/>
    <x v="0"/>
    <s v="Denim Jacket"/>
    <n v="1"/>
    <n v="78.510000000000005"/>
    <n v="0.15"/>
    <x v="1"/>
    <n v="66.73"/>
    <n v="41.51"/>
    <n v="25.22"/>
    <n v="1"/>
    <n v="0"/>
    <n v="6"/>
    <n v="4"/>
  </r>
  <r>
    <s v="SW-102194"/>
    <d v="2024-11-29T00:00:00"/>
    <x v="0"/>
    <s v="Q4"/>
    <x v="10"/>
    <x v="0"/>
    <x v="0"/>
    <x v="0"/>
    <x v="0"/>
    <s v="Denim Jacket"/>
    <n v="1"/>
    <n v="78.510000000000005"/>
    <n v="0.1"/>
    <x v="0"/>
    <n v="70.66"/>
    <n v="44.01"/>
    <n v="26.65"/>
    <n v="1"/>
    <n v="0"/>
    <n v="5"/>
    <n v="5"/>
  </r>
  <r>
    <s v="SW-102195"/>
    <d v="2024-11-29T00:00:00"/>
    <x v="0"/>
    <s v="Q4"/>
    <x v="10"/>
    <x v="0"/>
    <x v="3"/>
    <x v="0"/>
    <x v="4"/>
    <s v="Bluetooth Speaker"/>
    <n v="1"/>
    <n v="177.65"/>
    <n v="0.25"/>
    <x v="3"/>
    <n v="133.24"/>
    <n v="149.15"/>
    <n v="-15.91"/>
    <n v="1"/>
    <n v="0"/>
    <n v="5"/>
    <n v="4"/>
  </r>
  <r>
    <s v="SW-102196"/>
    <d v="2024-11-29T00:00:00"/>
    <x v="0"/>
    <s v="Q4"/>
    <x v="10"/>
    <x v="0"/>
    <x v="2"/>
    <x v="0"/>
    <x v="4"/>
    <s v="Tablet 10in"/>
    <n v="1"/>
    <n v="490.3"/>
    <n v="0.3"/>
    <x v="3"/>
    <n v="343.21"/>
    <n v="381.09"/>
    <n v="-37.880000000000003"/>
    <n v="1"/>
    <n v="0"/>
    <n v="5"/>
    <n v="4"/>
  </r>
  <r>
    <s v="SW-102197"/>
    <d v="2024-11-29T00:00:00"/>
    <x v="0"/>
    <s v="Q4"/>
    <x v="10"/>
    <x v="0"/>
    <x v="4"/>
    <x v="1"/>
    <x v="3"/>
    <s v="Yoga Mat"/>
    <n v="1"/>
    <n v="137.05000000000001"/>
    <n v="0.15"/>
    <x v="1"/>
    <n v="116.49"/>
    <n v="93.63"/>
    <n v="22.86"/>
    <n v="1"/>
    <n v="0"/>
    <n v="6"/>
    <n v="3"/>
  </r>
  <r>
    <s v="SW-102198"/>
    <d v="2024-11-29T00:00:00"/>
    <x v="0"/>
    <s v="Q4"/>
    <x v="10"/>
    <x v="1"/>
    <x v="2"/>
    <x v="1"/>
    <x v="5"/>
    <s v="Bestseller Novel"/>
    <n v="3"/>
    <n v="45.28"/>
    <n v="0.15"/>
    <x v="1"/>
    <n v="115.46"/>
    <n v="98.26"/>
    <n v="17.2"/>
    <n v="1"/>
    <n v="0"/>
    <n v="6"/>
    <n v="3"/>
  </r>
  <r>
    <s v="SW-102199"/>
    <d v="2024-11-29T00:00:00"/>
    <x v="0"/>
    <s v="Q4"/>
    <x v="10"/>
    <x v="0"/>
    <x v="3"/>
    <x v="1"/>
    <x v="5"/>
    <s v="Kids Puzzle"/>
    <n v="1"/>
    <n v="16.97"/>
    <n v="0.25"/>
    <x v="3"/>
    <n v="12.73"/>
    <n v="12.26"/>
    <n v="0.47"/>
    <n v="1"/>
    <n v="0"/>
    <n v="3"/>
    <n v="4"/>
  </r>
  <r>
    <s v="SW-102200"/>
    <d v="2024-11-29T00:00:00"/>
    <x v="0"/>
    <s v="Q4"/>
    <x v="10"/>
    <x v="0"/>
    <x v="3"/>
    <x v="1"/>
    <x v="5"/>
    <s v="Board Game"/>
    <n v="1"/>
    <n v="57.92"/>
    <n v="0.25"/>
    <x v="3"/>
    <n v="43.44"/>
    <n v="41.08"/>
    <n v="2.36"/>
    <n v="1"/>
    <n v="0"/>
    <n v="3"/>
    <n v="5"/>
  </r>
  <r>
    <s v="SW-102201"/>
    <d v="2024-11-29T00:00:00"/>
    <x v="0"/>
    <s v="Q4"/>
    <x v="10"/>
    <x v="0"/>
    <x v="3"/>
    <x v="0"/>
    <x v="1"/>
    <s v="Face Serum"/>
    <n v="1"/>
    <n v="33.479999999999997"/>
    <n v="0"/>
    <x v="2"/>
    <n v="33.479999999999997"/>
    <n v="16.04"/>
    <n v="17.440000000000001"/>
    <n v="1"/>
    <n v="0"/>
    <n v="5"/>
    <n v="5"/>
  </r>
  <r>
    <s v="SW-102202"/>
    <d v="2024-11-29T00:00:00"/>
    <x v="0"/>
    <s v="Q4"/>
    <x v="10"/>
    <x v="0"/>
    <x v="0"/>
    <x v="0"/>
    <x v="4"/>
    <s v="Tablet 10in"/>
    <n v="2"/>
    <n v="490.3"/>
    <n v="0.3"/>
    <x v="3"/>
    <n v="686.42"/>
    <n v="793.12"/>
    <n v="-106.7"/>
    <n v="1"/>
    <n v="0"/>
    <n v="8"/>
    <n v="3"/>
  </r>
  <r>
    <s v="SW-102203"/>
    <d v="2024-11-29T00:00:00"/>
    <x v="0"/>
    <s v="Q4"/>
    <x v="10"/>
    <x v="1"/>
    <x v="1"/>
    <x v="1"/>
    <x v="3"/>
    <s v="Dumbbell Set"/>
    <n v="2"/>
    <n v="198.42"/>
    <n v="0.15"/>
    <x v="1"/>
    <n v="337.31"/>
    <n v="269.43"/>
    <n v="67.88"/>
    <n v="1"/>
    <n v="0"/>
    <n v="6"/>
    <n v="3"/>
  </r>
  <r>
    <s v="SW-102204"/>
    <d v="2024-11-30T00:00:00"/>
    <x v="0"/>
    <s v="Q4"/>
    <x v="10"/>
    <x v="0"/>
    <x v="3"/>
    <x v="1"/>
    <x v="1"/>
    <s v="Face Serum"/>
    <n v="2"/>
    <n v="33.479999999999997"/>
    <n v="0.3"/>
    <x v="3"/>
    <n v="46.87"/>
    <n v="33.450000000000003"/>
    <n v="13.42"/>
    <n v="1"/>
    <n v="0"/>
    <n v="3"/>
    <n v="4"/>
  </r>
  <r>
    <s v="SW-102205"/>
    <d v="2024-11-30T00:00:00"/>
    <x v="0"/>
    <s v="Q4"/>
    <x v="10"/>
    <x v="1"/>
    <x v="0"/>
    <x v="0"/>
    <x v="5"/>
    <s v="Building Blocks"/>
    <n v="1"/>
    <n v="48.86"/>
    <n v="0.25"/>
    <x v="3"/>
    <n v="36.64"/>
    <n v="35.549999999999997"/>
    <n v="1.0900000000000001"/>
    <n v="1"/>
    <n v="0"/>
    <n v="5"/>
    <n v="5"/>
  </r>
  <r>
    <s v="SW-102206"/>
    <d v="2024-11-30T00:00:00"/>
    <x v="0"/>
    <s v="Q4"/>
    <x v="10"/>
    <x v="2"/>
    <x v="0"/>
    <x v="0"/>
    <x v="2"/>
    <s v="Bed Sheet Set"/>
    <n v="2"/>
    <n v="90.75"/>
    <n v="0.2"/>
    <x v="1"/>
    <n v="145.19999999999999"/>
    <n v="120.69"/>
    <n v="24.51"/>
    <n v="1"/>
    <n v="0"/>
    <n v="5"/>
    <n v="5"/>
  </r>
  <r>
    <s v="SW-102207"/>
    <d v="2024-11-30T00:00:00"/>
    <x v="0"/>
    <s v="Q4"/>
    <x v="10"/>
    <x v="0"/>
    <x v="0"/>
    <x v="1"/>
    <x v="0"/>
    <s v="Sunglasses"/>
    <n v="1"/>
    <n v="104.94"/>
    <n v="0.1"/>
    <x v="0"/>
    <n v="94.45"/>
    <n v="55.36"/>
    <n v="39.090000000000003"/>
    <n v="1"/>
    <n v="0"/>
    <n v="4"/>
    <n v="4"/>
  </r>
  <r>
    <s v="SW-102208"/>
    <d v="2024-11-30T00:00:00"/>
    <x v="0"/>
    <s v="Q4"/>
    <x v="10"/>
    <x v="1"/>
    <x v="4"/>
    <x v="1"/>
    <x v="5"/>
    <s v="Bestseller Novel"/>
    <n v="1"/>
    <n v="45.28"/>
    <n v="0.3"/>
    <x v="3"/>
    <n v="31.7"/>
    <n v="30.43"/>
    <n v="1.27"/>
    <n v="1"/>
    <n v="0"/>
    <n v="7"/>
    <n v="3"/>
  </r>
  <r>
    <s v="SW-102209"/>
    <d v="2024-11-30T00:00:00"/>
    <x v="0"/>
    <s v="Q4"/>
    <x v="10"/>
    <x v="2"/>
    <x v="4"/>
    <x v="0"/>
    <x v="0"/>
    <s v="Denim Jacket"/>
    <n v="1"/>
    <n v="78.510000000000005"/>
    <n v="0.2"/>
    <x v="1"/>
    <n v="62.81"/>
    <n v="44.09"/>
    <n v="18.72"/>
    <n v="1"/>
    <n v="0"/>
    <n v="8"/>
    <n v="4"/>
  </r>
  <r>
    <s v="SW-102210"/>
    <d v="2024-11-30T00:00:00"/>
    <x v="0"/>
    <s v="Q4"/>
    <x v="10"/>
    <x v="0"/>
    <x v="2"/>
    <x v="0"/>
    <x v="4"/>
    <s v="4K Action Camera"/>
    <n v="3"/>
    <n v="636.09"/>
    <n v="0.05"/>
    <x v="0"/>
    <n v="1812.86"/>
    <n v="1535.25"/>
    <n v="277.61"/>
    <n v="1"/>
    <n v="0"/>
    <n v="5"/>
    <n v="5"/>
  </r>
  <r>
    <s v="SW-102211"/>
    <d v="2024-11-30T00:00:00"/>
    <x v="0"/>
    <s v="Q4"/>
    <x v="10"/>
    <x v="0"/>
    <x v="0"/>
    <x v="1"/>
    <x v="5"/>
    <s v="Story Book Set"/>
    <n v="1"/>
    <n v="10.76"/>
    <n v="0.15"/>
    <x v="1"/>
    <n v="9.15"/>
    <n v="7.88"/>
    <n v="1.27"/>
    <n v="1"/>
    <n v="1"/>
    <n v="7"/>
    <n v="2"/>
  </r>
  <r>
    <s v="SW-102212"/>
    <d v="2024-11-30T00:00:00"/>
    <x v="0"/>
    <s v="Q4"/>
    <x v="10"/>
    <x v="2"/>
    <x v="0"/>
    <x v="1"/>
    <x v="2"/>
    <s v="Coffee Maker"/>
    <n v="3"/>
    <n v="148.05000000000001"/>
    <n v="0.15"/>
    <x v="1"/>
    <n v="377.53"/>
    <n v="298.16000000000003"/>
    <n v="79.37"/>
    <n v="1"/>
    <n v="0"/>
    <n v="4"/>
    <n v="5"/>
  </r>
  <r>
    <s v="SW-102213"/>
    <d v="2024-11-30T00:00:00"/>
    <x v="0"/>
    <s v="Q4"/>
    <x v="10"/>
    <x v="1"/>
    <x v="0"/>
    <x v="1"/>
    <x v="4"/>
    <s v="Power Bank"/>
    <n v="1"/>
    <n v="508.8"/>
    <n v="0.25"/>
    <x v="3"/>
    <n v="381.6"/>
    <n v="405.41"/>
    <n v="-23.81"/>
    <n v="1"/>
    <n v="0"/>
    <n v="5"/>
    <n v="5"/>
  </r>
  <r>
    <s v="SW-102214"/>
    <d v="2024-11-30T00:00:00"/>
    <x v="0"/>
    <s v="Q4"/>
    <x v="10"/>
    <x v="2"/>
    <x v="3"/>
    <x v="1"/>
    <x v="5"/>
    <s v="Building Blocks"/>
    <n v="1"/>
    <n v="48.86"/>
    <n v="0.25"/>
    <x v="3"/>
    <n v="36.64"/>
    <n v="35.04"/>
    <n v="1.6"/>
    <n v="1"/>
    <n v="0"/>
    <n v="3"/>
    <n v="4"/>
  </r>
  <r>
    <s v="SW-102215"/>
    <d v="2024-11-30T00:00:00"/>
    <x v="0"/>
    <s v="Q4"/>
    <x v="10"/>
    <x v="1"/>
    <x v="2"/>
    <x v="0"/>
    <x v="1"/>
    <s v="Perfume 100ml"/>
    <n v="3"/>
    <n v="54.56"/>
    <n v="0.2"/>
    <x v="1"/>
    <n v="130.94"/>
    <n v="79.319999999999993"/>
    <n v="51.62"/>
    <n v="1"/>
    <n v="1"/>
    <n v="6"/>
    <n v="3"/>
  </r>
  <r>
    <s v="SW-102216"/>
    <d v="2024-11-30T00:00:00"/>
    <x v="0"/>
    <s v="Q4"/>
    <x v="10"/>
    <x v="0"/>
    <x v="0"/>
    <x v="0"/>
    <x v="3"/>
    <s v="Fitness Tracker"/>
    <n v="1"/>
    <n v="74.459999999999994"/>
    <n v="0.25"/>
    <x v="3"/>
    <n v="55.84"/>
    <n v="48.07"/>
    <n v="7.77"/>
    <n v="1"/>
    <n v="0"/>
    <n v="4"/>
    <n v="4"/>
  </r>
  <r>
    <s v="SW-102217"/>
    <d v="2024-11-30T00:00:00"/>
    <x v="0"/>
    <s v="Q4"/>
    <x v="10"/>
    <x v="2"/>
    <x v="3"/>
    <x v="0"/>
    <x v="2"/>
    <s v="Bed Sheet Set"/>
    <n v="1"/>
    <n v="90.75"/>
    <n v="0.1"/>
    <x v="0"/>
    <n v="81.680000000000007"/>
    <n v="62.5"/>
    <n v="19.18"/>
    <n v="1"/>
    <n v="1"/>
    <n v="6"/>
    <n v="2"/>
  </r>
  <r>
    <s v="SW-102218"/>
    <d v="2024-11-30T00:00:00"/>
    <x v="0"/>
    <s v="Q4"/>
    <x v="10"/>
    <x v="1"/>
    <x v="0"/>
    <x v="0"/>
    <x v="4"/>
    <s v="Wireless Earbuds"/>
    <n v="1"/>
    <n v="588.41"/>
    <n v="0.25"/>
    <x v="3"/>
    <n v="441.31"/>
    <n v="452.75"/>
    <n v="-11.44"/>
    <n v="1"/>
    <n v="0"/>
    <n v="8"/>
    <n v="4"/>
  </r>
  <r>
    <s v="SW-102219"/>
    <d v="2024-11-30T00:00:00"/>
    <x v="0"/>
    <s v="Q4"/>
    <x v="10"/>
    <x v="0"/>
    <x v="4"/>
    <x v="1"/>
    <x v="5"/>
    <s v="Board Game"/>
    <n v="1"/>
    <n v="57.92"/>
    <n v="0.1"/>
    <x v="0"/>
    <n v="52.13"/>
    <n v="40.869999999999997"/>
    <n v="11.26"/>
    <n v="1"/>
    <n v="0"/>
    <n v="6"/>
    <n v="2"/>
  </r>
  <r>
    <s v="SW-102220"/>
    <d v="2024-11-30T00:00:00"/>
    <x v="0"/>
    <s v="Q4"/>
    <x v="10"/>
    <x v="0"/>
    <x v="2"/>
    <x v="1"/>
    <x v="4"/>
    <s v="Power Bank"/>
    <n v="1"/>
    <n v="508.8"/>
    <n v="0.15"/>
    <x v="1"/>
    <n v="432.48"/>
    <n v="400.98"/>
    <n v="31.5"/>
    <n v="1"/>
    <n v="1"/>
    <n v="5"/>
    <n v="3"/>
  </r>
  <r>
    <s v="SW-102221"/>
    <d v="2024-12-01T00:00:00"/>
    <x v="0"/>
    <s v="Q4"/>
    <x v="11"/>
    <x v="1"/>
    <x v="3"/>
    <x v="0"/>
    <x v="1"/>
    <s v="Perfume 100ml"/>
    <n v="2"/>
    <n v="54.56"/>
    <n v="0.15"/>
    <x v="1"/>
    <n v="92.75"/>
    <n v="53.86"/>
    <n v="38.89"/>
    <n v="1"/>
    <n v="0"/>
    <n v="4"/>
    <n v="5"/>
  </r>
  <r>
    <s v="SW-102222"/>
    <d v="2024-12-01T00:00:00"/>
    <x v="0"/>
    <s v="Q4"/>
    <x v="11"/>
    <x v="0"/>
    <x v="4"/>
    <x v="1"/>
    <x v="0"/>
    <s v="Summer Dress"/>
    <n v="3"/>
    <n v="33.99"/>
    <n v="0.25"/>
    <x v="3"/>
    <n v="76.48"/>
    <n v="56.51"/>
    <n v="19.97"/>
    <n v="1"/>
    <n v="1"/>
    <n v="7"/>
    <n v="3"/>
  </r>
  <r>
    <s v="SW-102223"/>
    <d v="2024-12-01T00:00:00"/>
    <x v="0"/>
    <s v="Q4"/>
    <x v="11"/>
    <x v="0"/>
    <x v="3"/>
    <x v="0"/>
    <x v="4"/>
    <s v="Wireless Earbuds"/>
    <n v="1"/>
    <n v="588.41"/>
    <n v="0.05"/>
    <x v="0"/>
    <n v="558.99"/>
    <n v="462.17"/>
    <n v="96.82"/>
    <n v="1"/>
    <n v="0"/>
    <n v="3"/>
    <n v="4"/>
  </r>
  <r>
    <s v="SW-102224"/>
    <d v="2024-12-01T00:00:00"/>
    <x v="0"/>
    <s v="Q4"/>
    <x v="11"/>
    <x v="2"/>
    <x v="0"/>
    <x v="1"/>
    <x v="2"/>
    <s v="Cookware Set"/>
    <n v="2"/>
    <n v="233.81"/>
    <n v="0.1"/>
    <x v="0"/>
    <n v="420.86"/>
    <n v="302.83"/>
    <n v="118.03"/>
    <n v="1"/>
    <n v="0"/>
    <n v="5"/>
    <n v="4"/>
  </r>
  <r>
    <s v="SW-102225"/>
    <d v="2024-12-01T00:00:00"/>
    <x v="0"/>
    <s v="Q4"/>
    <x v="11"/>
    <x v="0"/>
    <x v="2"/>
    <x v="1"/>
    <x v="4"/>
    <s v="Wireless Earbuds"/>
    <n v="3"/>
    <n v="588.41"/>
    <n v="0.15"/>
    <x v="1"/>
    <n v="1500.45"/>
    <n v="1425.28"/>
    <n v="75.17"/>
    <n v="1"/>
    <n v="0"/>
    <n v="4"/>
    <n v="4"/>
  </r>
  <r>
    <s v="SW-102226"/>
    <d v="2024-12-01T00:00:00"/>
    <x v="0"/>
    <s v="Q4"/>
    <x v="11"/>
    <x v="1"/>
    <x v="2"/>
    <x v="0"/>
    <x v="4"/>
    <s v="Tablet 10in"/>
    <n v="3"/>
    <n v="490.3"/>
    <n v="0"/>
    <x v="2"/>
    <n v="1470.9"/>
    <n v="1194.43"/>
    <n v="276.47000000000003"/>
    <n v="1"/>
    <n v="0"/>
    <n v="5"/>
    <n v="5"/>
  </r>
  <r>
    <s v="SW-102227"/>
    <d v="2024-12-01T00:00:00"/>
    <x v="0"/>
    <s v="Q4"/>
    <x v="11"/>
    <x v="0"/>
    <x v="1"/>
    <x v="1"/>
    <x v="3"/>
    <s v="Yoga Mat"/>
    <n v="1"/>
    <n v="137.05000000000001"/>
    <n v="0.2"/>
    <x v="1"/>
    <n v="109.64"/>
    <n v="93.2"/>
    <n v="16.440000000000001"/>
    <n v="1"/>
    <n v="0"/>
    <n v="9"/>
    <n v="4"/>
  </r>
  <r>
    <s v="SW-102228"/>
    <d v="2024-12-01T00:00:00"/>
    <x v="0"/>
    <s v="Q4"/>
    <x v="11"/>
    <x v="0"/>
    <x v="3"/>
    <x v="0"/>
    <x v="2"/>
    <s v="Coffee Maker"/>
    <n v="1"/>
    <n v="148.05000000000001"/>
    <n v="0.15"/>
    <x v="1"/>
    <n v="125.84"/>
    <n v="98.05"/>
    <n v="27.79"/>
    <n v="1"/>
    <n v="0"/>
    <n v="3"/>
    <n v="5"/>
  </r>
  <r>
    <s v="SW-102229"/>
    <d v="2024-12-01T00:00:00"/>
    <x v="0"/>
    <s v="Q4"/>
    <x v="11"/>
    <x v="0"/>
    <x v="3"/>
    <x v="1"/>
    <x v="4"/>
    <s v="Bluetooth Speaker"/>
    <n v="2"/>
    <n v="177.65"/>
    <n v="0.25"/>
    <x v="3"/>
    <n v="266.48"/>
    <n v="281.27999999999997"/>
    <n v="-14.8"/>
    <n v="1"/>
    <n v="0"/>
    <n v="4"/>
    <n v="4"/>
  </r>
  <r>
    <s v="SW-102230"/>
    <d v="2024-12-02T00:00:00"/>
    <x v="0"/>
    <s v="Q4"/>
    <x v="11"/>
    <x v="0"/>
    <x v="4"/>
    <x v="1"/>
    <x v="0"/>
    <s v="Denim Jacket"/>
    <n v="2"/>
    <n v="78.510000000000005"/>
    <n v="0.15"/>
    <x v="1"/>
    <n v="133.47"/>
    <n v="81.84"/>
    <n v="51.63"/>
    <n v="1"/>
    <n v="0"/>
    <n v="6"/>
    <n v="3"/>
  </r>
  <r>
    <s v="SW-102231"/>
    <d v="2024-12-02T00:00:00"/>
    <x v="0"/>
    <s v="Q4"/>
    <x v="11"/>
    <x v="0"/>
    <x v="3"/>
    <x v="0"/>
    <x v="1"/>
    <s v="Skin Care Bundle"/>
    <n v="1"/>
    <n v="92.54"/>
    <n v="0"/>
    <x v="2"/>
    <n v="92.54"/>
    <n v="45.56"/>
    <n v="46.98"/>
    <n v="1"/>
    <n v="0"/>
    <n v="3"/>
    <n v="4"/>
  </r>
  <r>
    <s v="SW-102232"/>
    <d v="2024-12-02T00:00:00"/>
    <x v="0"/>
    <s v="Q4"/>
    <x v="11"/>
    <x v="1"/>
    <x v="4"/>
    <x v="1"/>
    <x v="5"/>
    <s v="Board Game"/>
    <n v="1"/>
    <n v="57.92"/>
    <n v="0.1"/>
    <x v="0"/>
    <n v="52.13"/>
    <n v="41.28"/>
    <n v="10.85"/>
    <n v="1"/>
    <n v="0"/>
    <n v="6"/>
    <n v="3"/>
  </r>
  <r>
    <s v="SW-102233"/>
    <d v="2024-12-02T00:00:00"/>
    <x v="0"/>
    <s v="Q4"/>
    <x v="11"/>
    <x v="0"/>
    <x v="3"/>
    <x v="0"/>
    <x v="0"/>
    <s v="Denim Jacket"/>
    <n v="1"/>
    <n v="78.510000000000005"/>
    <n v="0.15"/>
    <x v="1"/>
    <n v="66.73"/>
    <n v="41.73"/>
    <n v="25"/>
    <n v="1"/>
    <n v="0"/>
    <n v="4"/>
    <n v="5"/>
  </r>
  <r>
    <s v="SW-102234"/>
    <d v="2024-12-02T00:00:00"/>
    <x v="0"/>
    <s v="Q4"/>
    <x v="11"/>
    <x v="1"/>
    <x v="4"/>
    <x v="1"/>
    <x v="0"/>
    <s v="Denim Jacket"/>
    <n v="1"/>
    <n v="78.510000000000005"/>
    <n v="0.15"/>
    <x v="1"/>
    <n v="66.73"/>
    <n v="41.56"/>
    <n v="25.17"/>
    <n v="1"/>
    <n v="1"/>
    <n v="6"/>
    <n v="2"/>
  </r>
  <r>
    <s v="SW-102235"/>
    <d v="2024-12-02T00:00:00"/>
    <x v="0"/>
    <s v="Q4"/>
    <x v="11"/>
    <x v="0"/>
    <x v="3"/>
    <x v="1"/>
    <x v="1"/>
    <s v="Skin Care Bundle"/>
    <n v="1"/>
    <n v="92.54"/>
    <n v="0.3"/>
    <x v="3"/>
    <n v="64.78"/>
    <n v="44.73"/>
    <n v="20.05"/>
    <n v="1"/>
    <n v="0"/>
    <n v="4"/>
    <n v="5"/>
  </r>
  <r>
    <s v="SW-102236"/>
    <d v="2024-12-02T00:00:00"/>
    <x v="0"/>
    <s v="Q4"/>
    <x v="11"/>
    <x v="1"/>
    <x v="3"/>
    <x v="1"/>
    <x v="5"/>
    <s v="Story Book Set"/>
    <n v="1"/>
    <n v="10.76"/>
    <n v="0.25"/>
    <x v="3"/>
    <n v="8.07"/>
    <n v="7.75"/>
    <n v="0.32"/>
    <n v="1"/>
    <n v="0"/>
    <n v="3"/>
    <n v="4"/>
  </r>
  <r>
    <s v="SW-102237"/>
    <d v="2024-12-02T00:00:00"/>
    <x v="0"/>
    <s v="Q4"/>
    <x v="11"/>
    <x v="0"/>
    <x v="0"/>
    <x v="1"/>
    <x v="4"/>
    <s v="4K Action Camera"/>
    <n v="1"/>
    <n v="636.09"/>
    <n v="0.2"/>
    <x v="1"/>
    <n v="508.87"/>
    <n v="499.93"/>
    <n v="8.94"/>
    <n v="1"/>
    <n v="0"/>
    <n v="4"/>
    <n v="4"/>
  </r>
  <r>
    <s v="SW-102238"/>
    <d v="2024-12-03T00:00:00"/>
    <x v="0"/>
    <s v="Q4"/>
    <x v="11"/>
    <x v="2"/>
    <x v="3"/>
    <x v="1"/>
    <x v="3"/>
    <s v="Cycling Helmet"/>
    <n v="1"/>
    <n v="85.42"/>
    <n v="0.1"/>
    <x v="0"/>
    <n v="76.88"/>
    <n v="57.39"/>
    <n v="19.489999999999998"/>
    <n v="1"/>
    <n v="0"/>
    <n v="4"/>
    <n v="5"/>
  </r>
  <r>
    <s v="SW-102239"/>
    <d v="2024-12-03T00:00:00"/>
    <x v="0"/>
    <s v="Q4"/>
    <x v="11"/>
    <x v="2"/>
    <x v="2"/>
    <x v="0"/>
    <x v="4"/>
    <s v="Smart Watch"/>
    <n v="1"/>
    <n v="216.08"/>
    <n v="0.2"/>
    <x v="1"/>
    <n v="172.86"/>
    <n v="177.23"/>
    <n v="-4.37"/>
    <n v="1"/>
    <n v="0"/>
    <n v="5"/>
    <n v="5"/>
  </r>
  <r>
    <s v="SW-102240"/>
    <d v="2024-12-03T00:00:00"/>
    <x v="0"/>
    <s v="Q4"/>
    <x v="11"/>
    <x v="0"/>
    <x v="0"/>
    <x v="0"/>
    <x v="2"/>
    <s v="Cookware Set"/>
    <n v="3"/>
    <n v="233.81"/>
    <n v="0.3"/>
    <x v="3"/>
    <n v="491"/>
    <n v="469.16"/>
    <n v="21.84"/>
    <n v="1"/>
    <n v="0"/>
    <n v="5"/>
    <n v="5"/>
  </r>
  <r>
    <s v="SW-102241"/>
    <d v="2024-12-03T00:00:00"/>
    <x v="0"/>
    <s v="Q4"/>
    <x v="11"/>
    <x v="2"/>
    <x v="4"/>
    <x v="1"/>
    <x v="3"/>
    <s v="Dumbbell Set"/>
    <n v="1"/>
    <n v="198.42"/>
    <n v="0.3"/>
    <x v="3"/>
    <n v="138.88999999999999"/>
    <n v="137.84"/>
    <n v="1.05"/>
    <n v="1"/>
    <n v="0"/>
    <n v="6"/>
    <n v="3"/>
  </r>
  <r>
    <s v="SW-102242"/>
    <d v="2024-12-03T00:00:00"/>
    <x v="0"/>
    <s v="Q4"/>
    <x v="11"/>
    <x v="0"/>
    <x v="0"/>
    <x v="1"/>
    <x v="1"/>
    <s v="Perfume 100ml"/>
    <n v="1"/>
    <n v="54.56"/>
    <n v="0.3"/>
    <x v="3"/>
    <n v="38.19"/>
    <n v="26.08"/>
    <n v="12.11"/>
    <n v="1"/>
    <n v="0"/>
    <n v="4"/>
    <n v="5"/>
  </r>
  <r>
    <s v="SW-102243"/>
    <d v="2024-12-03T00:00:00"/>
    <x v="0"/>
    <s v="Q4"/>
    <x v="11"/>
    <x v="0"/>
    <x v="3"/>
    <x v="0"/>
    <x v="3"/>
    <s v="Dumbbell Set"/>
    <n v="1"/>
    <n v="198.42"/>
    <n v="0.05"/>
    <x v="0"/>
    <n v="188.5"/>
    <n v="139.04"/>
    <n v="49.46"/>
    <n v="1"/>
    <n v="0"/>
    <n v="4"/>
    <n v="4"/>
  </r>
  <r>
    <s v="SW-102244"/>
    <d v="2024-12-03T00:00:00"/>
    <x v="0"/>
    <s v="Q4"/>
    <x v="11"/>
    <x v="0"/>
    <x v="2"/>
    <x v="0"/>
    <x v="5"/>
    <s v="Story Book Set"/>
    <n v="2"/>
    <n v="10.76"/>
    <n v="0.05"/>
    <x v="0"/>
    <n v="20.440000000000001"/>
    <n v="16.260000000000002"/>
    <n v="4.18"/>
    <n v="1"/>
    <n v="0"/>
    <n v="7"/>
    <n v="4"/>
  </r>
  <r>
    <s v="SW-102245"/>
    <d v="2024-12-03T00:00:00"/>
    <x v="0"/>
    <s v="Q4"/>
    <x v="11"/>
    <x v="2"/>
    <x v="2"/>
    <x v="0"/>
    <x v="4"/>
    <s v="Wireless Earbuds"/>
    <n v="2"/>
    <n v="588.41"/>
    <n v="0.15"/>
    <x v="1"/>
    <n v="1000.3"/>
    <n v="930.82"/>
    <n v="69.48"/>
    <n v="1"/>
    <n v="0"/>
    <n v="5"/>
    <n v="4"/>
  </r>
  <r>
    <s v="SW-102246"/>
    <d v="2024-12-03T00:00:00"/>
    <x v="0"/>
    <s v="Q4"/>
    <x v="11"/>
    <x v="1"/>
    <x v="2"/>
    <x v="1"/>
    <x v="2"/>
    <s v="Storage Boxes"/>
    <n v="2"/>
    <n v="154.66"/>
    <n v="0.1"/>
    <x v="0"/>
    <n v="278.39"/>
    <n v="205.2"/>
    <n v="73.19"/>
    <n v="1"/>
    <n v="0"/>
    <n v="6"/>
    <n v="3"/>
  </r>
  <r>
    <s v="SW-102247"/>
    <d v="2024-12-04T00:00:00"/>
    <x v="0"/>
    <s v="Q4"/>
    <x v="11"/>
    <x v="2"/>
    <x v="3"/>
    <x v="1"/>
    <x v="4"/>
    <s v="Tablet 10in"/>
    <n v="1"/>
    <n v="490.3"/>
    <n v="0.25"/>
    <x v="3"/>
    <n v="367.72"/>
    <n v="373.62"/>
    <n v="-5.9"/>
    <n v="1"/>
    <n v="0"/>
    <n v="5"/>
    <n v="3"/>
  </r>
  <r>
    <s v="SW-102248"/>
    <d v="2024-12-04T00:00:00"/>
    <x v="0"/>
    <s v="Q4"/>
    <x v="11"/>
    <x v="0"/>
    <x v="4"/>
    <x v="0"/>
    <x v="2"/>
    <s v="Desk Lamp"/>
    <n v="1"/>
    <n v="117.63"/>
    <n v="0.1"/>
    <x v="0"/>
    <n v="105.87"/>
    <n v="76.12"/>
    <n v="29.75"/>
    <n v="1"/>
    <n v="0"/>
    <n v="9"/>
    <n v="4"/>
  </r>
  <r>
    <s v="SW-102249"/>
    <d v="2024-12-04T00:00:00"/>
    <x v="0"/>
    <s v="Q4"/>
    <x v="11"/>
    <x v="1"/>
    <x v="2"/>
    <x v="1"/>
    <x v="3"/>
    <s v="Camping Tent"/>
    <n v="2"/>
    <n v="83.06"/>
    <n v="0.25"/>
    <x v="3"/>
    <n v="124.59"/>
    <n v="115.54"/>
    <n v="9.0500000000000007"/>
    <n v="1"/>
    <n v="0"/>
    <n v="5"/>
    <n v="5"/>
  </r>
  <r>
    <s v="SW-102250"/>
    <d v="2024-12-04T00:00:00"/>
    <x v="0"/>
    <s v="Q4"/>
    <x v="11"/>
    <x v="0"/>
    <x v="0"/>
    <x v="1"/>
    <x v="2"/>
    <s v="Bed Sheet Set"/>
    <n v="1"/>
    <n v="90.75"/>
    <n v="0.2"/>
    <x v="1"/>
    <n v="72.599999999999994"/>
    <n v="59.73"/>
    <n v="12.87"/>
    <n v="1"/>
    <n v="0"/>
    <n v="4"/>
    <n v="4"/>
  </r>
  <r>
    <s v="SW-102251"/>
    <d v="2024-12-04T00:00:00"/>
    <x v="0"/>
    <s v="Q4"/>
    <x v="11"/>
    <x v="1"/>
    <x v="1"/>
    <x v="1"/>
    <x v="1"/>
    <s v="Skin Care Bundle"/>
    <n v="1"/>
    <n v="92.54"/>
    <n v="0.2"/>
    <x v="1"/>
    <n v="74.03"/>
    <n v="42.79"/>
    <n v="31.24"/>
    <n v="1"/>
    <n v="0"/>
    <n v="7"/>
    <n v="4"/>
  </r>
  <r>
    <s v="SW-102252"/>
    <d v="2024-12-04T00:00:00"/>
    <x v="0"/>
    <s v="Q4"/>
    <x v="11"/>
    <x v="1"/>
    <x v="0"/>
    <x v="1"/>
    <x v="2"/>
    <s v="Coffee Maker"/>
    <n v="3"/>
    <n v="148.05000000000001"/>
    <n v="0.15"/>
    <x v="1"/>
    <n v="377.53"/>
    <n v="283.33999999999997"/>
    <n v="94.19"/>
    <n v="1"/>
    <n v="0"/>
    <n v="4"/>
    <n v="4"/>
  </r>
  <r>
    <s v="SW-102253"/>
    <d v="2024-12-04T00:00:00"/>
    <x v="0"/>
    <s v="Q4"/>
    <x v="11"/>
    <x v="2"/>
    <x v="0"/>
    <x v="0"/>
    <x v="1"/>
    <s v="Face Serum"/>
    <n v="1"/>
    <n v="33.479999999999997"/>
    <n v="0.25"/>
    <x v="3"/>
    <n v="25.11"/>
    <n v="16.52"/>
    <n v="8.59"/>
    <n v="1"/>
    <n v="0"/>
    <n v="4"/>
    <n v="4"/>
  </r>
  <r>
    <s v="SW-102254"/>
    <d v="2024-12-05T00:00:00"/>
    <x v="0"/>
    <s v="Q4"/>
    <x v="11"/>
    <x v="1"/>
    <x v="3"/>
    <x v="1"/>
    <x v="0"/>
    <s v="Summer Dress"/>
    <n v="2"/>
    <n v="33.99"/>
    <n v="0.25"/>
    <x v="3"/>
    <n v="50.98"/>
    <n v="35.57"/>
    <n v="15.41"/>
    <n v="1"/>
    <n v="0"/>
    <n v="3"/>
    <n v="5"/>
  </r>
  <r>
    <s v="SW-102255"/>
    <d v="2024-12-05T00:00:00"/>
    <x v="0"/>
    <s v="Q4"/>
    <x v="11"/>
    <x v="1"/>
    <x v="3"/>
    <x v="1"/>
    <x v="5"/>
    <s v="Bestseller Novel"/>
    <n v="1"/>
    <n v="45.28"/>
    <n v="0.1"/>
    <x v="0"/>
    <n v="40.75"/>
    <n v="34.36"/>
    <n v="6.39"/>
    <n v="1"/>
    <n v="0"/>
    <n v="4"/>
    <n v="5"/>
  </r>
  <r>
    <s v="SW-102256"/>
    <d v="2024-12-05T00:00:00"/>
    <x v="0"/>
    <s v="Q4"/>
    <x v="11"/>
    <x v="0"/>
    <x v="1"/>
    <x v="1"/>
    <x v="0"/>
    <s v="Sunglasses"/>
    <n v="2"/>
    <n v="104.94"/>
    <n v="0.2"/>
    <x v="1"/>
    <n v="167.9"/>
    <n v="115.35"/>
    <n v="52.55"/>
    <n v="1"/>
    <n v="0"/>
    <n v="7"/>
    <n v="4"/>
  </r>
  <r>
    <s v="SW-102257"/>
    <d v="2024-12-05T00:00:00"/>
    <x v="0"/>
    <s v="Q4"/>
    <x v="11"/>
    <x v="1"/>
    <x v="2"/>
    <x v="1"/>
    <x v="4"/>
    <s v="4K Action Camera"/>
    <n v="2"/>
    <n v="636.09"/>
    <n v="0.2"/>
    <x v="1"/>
    <n v="1017.74"/>
    <n v="972.75"/>
    <n v="44.99"/>
    <n v="1"/>
    <n v="0"/>
    <n v="4"/>
    <n v="4"/>
  </r>
  <r>
    <s v="SW-102258"/>
    <d v="2024-12-05T00:00:00"/>
    <x v="0"/>
    <s v="Q4"/>
    <x v="11"/>
    <x v="1"/>
    <x v="4"/>
    <x v="0"/>
    <x v="2"/>
    <s v="Bed Sheet Set"/>
    <n v="1"/>
    <n v="90.75"/>
    <n v="0"/>
    <x v="2"/>
    <n v="90.75"/>
    <n v="57"/>
    <n v="33.75"/>
    <n v="1"/>
    <n v="0"/>
    <n v="7"/>
    <n v="4"/>
  </r>
  <r>
    <s v="SW-102259"/>
    <d v="2024-12-05T00:00:00"/>
    <x v="0"/>
    <s v="Q4"/>
    <x v="11"/>
    <x v="0"/>
    <x v="0"/>
    <x v="1"/>
    <x v="0"/>
    <s v="Denim Jacket"/>
    <n v="2"/>
    <n v="78.510000000000005"/>
    <n v="0.25"/>
    <x v="3"/>
    <n v="117.77"/>
    <n v="87.26"/>
    <n v="30.51"/>
    <n v="1"/>
    <n v="0"/>
    <n v="4"/>
    <n v="3"/>
  </r>
  <r>
    <s v="SW-102260"/>
    <d v="2024-12-05T00:00:00"/>
    <x v="0"/>
    <s v="Q4"/>
    <x v="11"/>
    <x v="0"/>
    <x v="3"/>
    <x v="1"/>
    <x v="3"/>
    <s v="Yoga Mat"/>
    <n v="1"/>
    <n v="137.05000000000001"/>
    <n v="0.1"/>
    <x v="0"/>
    <n v="123.35"/>
    <n v="97.03"/>
    <n v="26.32"/>
    <n v="1"/>
    <n v="0"/>
    <n v="6"/>
    <n v="3"/>
  </r>
  <r>
    <s v="SW-102261"/>
    <d v="2024-12-05T00:00:00"/>
    <x v="0"/>
    <s v="Q4"/>
    <x v="11"/>
    <x v="2"/>
    <x v="0"/>
    <x v="0"/>
    <x v="3"/>
    <s v="Fitness Tracker"/>
    <n v="1"/>
    <n v="74.459999999999994"/>
    <n v="0.2"/>
    <x v="1"/>
    <n v="59.57"/>
    <n v="52.77"/>
    <n v="6.8"/>
    <n v="1"/>
    <n v="0"/>
    <n v="4"/>
    <n v="4"/>
  </r>
  <r>
    <s v="SW-102262"/>
    <d v="2024-12-05T00:00:00"/>
    <x v="0"/>
    <s v="Q4"/>
    <x v="11"/>
    <x v="0"/>
    <x v="0"/>
    <x v="0"/>
    <x v="2"/>
    <s v="Storage Boxes"/>
    <n v="1"/>
    <n v="154.66"/>
    <n v="0.3"/>
    <x v="3"/>
    <n v="108.26"/>
    <n v="102.42"/>
    <n v="5.84"/>
    <n v="1"/>
    <n v="0"/>
    <n v="4"/>
    <n v="3"/>
  </r>
  <r>
    <s v="SW-102263"/>
    <d v="2024-12-05T00:00:00"/>
    <x v="0"/>
    <s v="Q4"/>
    <x v="11"/>
    <x v="0"/>
    <x v="2"/>
    <x v="1"/>
    <x v="0"/>
    <s v="Leather Handbag"/>
    <n v="1"/>
    <n v="138.5"/>
    <n v="0.2"/>
    <x v="1"/>
    <n v="110.8"/>
    <n v="74.37"/>
    <n v="36.43"/>
    <n v="1"/>
    <n v="0"/>
    <n v="5"/>
    <n v="4"/>
  </r>
  <r>
    <s v="SW-102264"/>
    <d v="2024-12-05T00:00:00"/>
    <x v="0"/>
    <s v="Q4"/>
    <x v="11"/>
    <x v="0"/>
    <x v="3"/>
    <x v="0"/>
    <x v="2"/>
    <s v="Air Fryer"/>
    <n v="1"/>
    <n v="68.349999999999994"/>
    <n v="0.2"/>
    <x v="1"/>
    <n v="54.68"/>
    <n v="43.81"/>
    <n v="10.87"/>
    <n v="1"/>
    <n v="0"/>
    <n v="3"/>
    <n v="4"/>
  </r>
  <r>
    <s v="SW-102265"/>
    <d v="2024-12-06T00:00:00"/>
    <x v="0"/>
    <s v="Q4"/>
    <x v="11"/>
    <x v="2"/>
    <x v="2"/>
    <x v="0"/>
    <x v="4"/>
    <s v="Wireless Earbuds"/>
    <n v="3"/>
    <n v="588.41"/>
    <n v="0.2"/>
    <x v="1"/>
    <n v="1412.18"/>
    <n v="1461.29"/>
    <n v="-49.11"/>
    <n v="1"/>
    <n v="0"/>
    <n v="8"/>
    <n v="3"/>
  </r>
  <r>
    <s v="SW-102266"/>
    <d v="2024-12-06T00:00:00"/>
    <x v="0"/>
    <s v="Q4"/>
    <x v="11"/>
    <x v="1"/>
    <x v="0"/>
    <x v="1"/>
    <x v="0"/>
    <s v="Summer Dress"/>
    <n v="2"/>
    <n v="33.99"/>
    <n v="0.2"/>
    <x v="1"/>
    <n v="54.38"/>
    <n v="37.979999999999997"/>
    <n v="16.399999999999999"/>
    <n v="1"/>
    <n v="0"/>
    <n v="5"/>
    <n v="4"/>
  </r>
  <r>
    <s v="SW-102267"/>
    <d v="2024-12-06T00:00:00"/>
    <x v="0"/>
    <s v="Q4"/>
    <x v="11"/>
    <x v="2"/>
    <x v="3"/>
    <x v="0"/>
    <x v="2"/>
    <s v="Storage Boxes"/>
    <n v="1"/>
    <n v="154.66"/>
    <n v="0.1"/>
    <x v="0"/>
    <n v="139.19"/>
    <n v="101.34"/>
    <n v="37.85"/>
    <n v="1"/>
    <n v="0"/>
    <n v="4"/>
    <n v="4"/>
  </r>
  <r>
    <s v="SW-102268"/>
    <d v="2024-12-06T00:00:00"/>
    <x v="0"/>
    <s v="Q4"/>
    <x v="11"/>
    <x v="1"/>
    <x v="3"/>
    <x v="1"/>
    <x v="4"/>
    <s v="4K Action Camera"/>
    <n v="1"/>
    <n v="636.09"/>
    <n v="0.2"/>
    <x v="1"/>
    <n v="508.87"/>
    <n v="516.46"/>
    <n v="-7.59"/>
    <n v="1"/>
    <n v="0"/>
    <n v="3"/>
    <n v="4"/>
  </r>
  <r>
    <s v="SW-102269"/>
    <d v="2024-12-06T00:00:00"/>
    <x v="0"/>
    <s v="Q4"/>
    <x v="11"/>
    <x v="0"/>
    <x v="1"/>
    <x v="1"/>
    <x v="3"/>
    <s v="Cycling Helmet"/>
    <n v="1"/>
    <n v="85.42"/>
    <n v="0.15"/>
    <x v="1"/>
    <n v="72.61"/>
    <n v="57.23"/>
    <n v="15.38"/>
    <n v="1"/>
    <n v="0"/>
    <n v="7"/>
    <n v="4"/>
  </r>
  <r>
    <s v="SW-102270"/>
    <d v="2024-12-06T00:00:00"/>
    <x v="0"/>
    <s v="Q4"/>
    <x v="11"/>
    <x v="2"/>
    <x v="0"/>
    <x v="1"/>
    <x v="2"/>
    <s v="Desk Lamp"/>
    <n v="1"/>
    <n v="117.63"/>
    <n v="0.3"/>
    <x v="3"/>
    <n v="82.34"/>
    <n v="74.7"/>
    <n v="7.64"/>
    <n v="1"/>
    <n v="0"/>
    <n v="5"/>
    <n v="4"/>
  </r>
  <r>
    <s v="SW-102271"/>
    <d v="2024-12-07T00:00:00"/>
    <x v="0"/>
    <s v="Q4"/>
    <x v="11"/>
    <x v="1"/>
    <x v="0"/>
    <x v="1"/>
    <x v="0"/>
    <s v="Leather Handbag"/>
    <n v="2"/>
    <n v="138.5"/>
    <n v="0.1"/>
    <x v="0"/>
    <n v="249.3"/>
    <n v="153.85"/>
    <n v="95.45"/>
    <n v="1"/>
    <n v="0"/>
    <n v="5"/>
    <n v="4"/>
  </r>
  <r>
    <s v="SW-102272"/>
    <d v="2024-12-07T00:00:00"/>
    <x v="0"/>
    <s v="Q4"/>
    <x v="11"/>
    <x v="1"/>
    <x v="0"/>
    <x v="0"/>
    <x v="3"/>
    <s v="Fitness Tracker"/>
    <n v="1"/>
    <n v="74.459999999999994"/>
    <n v="0.15"/>
    <x v="1"/>
    <n v="63.29"/>
    <n v="51.36"/>
    <n v="11.93"/>
    <n v="1"/>
    <n v="0"/>
    <n v="5"/>
    <n v="4"/>
  </r>
  <r>
    <s v="SW-102273"/>
    <d v="2024-12-07T00:00:00"/>
    <x v="0"/>
    <s v="Q4"/>
    <x v="11"/>
    <x v="1"/>
    <x v="0"/>
    <x v="0"/>
    <x v="5"/>
    <s v="Kids Puzzle"/>
    <n v="2"/>
    <n v="16.97"/>
    <n v="0.25"/>
    <x v="3"/>
    <n v="25.46"/>
    <n v="23.4"/>
    <n v="2.06"/>
    <n v="1"/>
    <n v="0"/>
    <n v="4"/>
    <n v="4"/>
  </r>
  <r>
    <s v="SW-102274"/>
    <d v="2024-12-07T00:00:00"/>
    <x v="0"/>
    <s v="Q4"/>
    <x v="11"/>
    <x v="1"/>
    <x v="3"/>
    <x v="1"/>
    <x v="0"/>
    <s v="Summer Dress"/>
    <n v="2"/>
    <n v="33.99"/>
    <n v="0.25"/>
    <x v="3"/>
    <n v="50.98"/>
    <n v="36.14"/>
    <n v="14.84"/>
    <n v="1"/>
    <n v="0"/>
    <n v="5"/>
    <n v="5"/>
  </r>
  <r>
    <s v="SW-102275"/>
    <d v="2024-12-07T00:00:00"/>
    <x v="0"/>
    <s v="Q4"/>
    <x v="11"/>
    <x v="0"/>
    <x v="0"/>
    <x v="1"/>
    <x v="4"/>
    <s v="Smart Watch"/>
    <n v="2"/>
    <n v="216.08"/>
    <n v="0.15"/>
    <x v="1"/>
    <n v="367.34"/>
    <n v="353.19"/>
    <n v="14.15"/>
    <n v="1"/>
    <n v="0"/>
    <n v="7"/>
    <n v="3"/>
  </r>
  <r>
    <s v="SW-102276"/>
    <d v="2024-12-07T00:00:00"/>
    <x v="0"/>
    <s v="Q4"/>
    <x v="11"/>
    <x v="0"/>
    <x v="0"/>
    <x v="1"/>
    <x v="5"/>
    <s v="Board Game"/>
    <n v="1"/>
    <n v="57.92"/>
    <n v="0.1"/>
    <x v="0"/>
    <n v="52.13"/>
    <n v="41.51"/>
    <n v="10.62"/>
    <n v="1"/>
    <n v="1"/>
    <n v="5"/>
    <n v="3"/>
  </r>
  <r>
    <s v="SW-102277"/>
    <d v="2024-12-08T00:00:00"/>
    <x v="0"/>
    <s v="Q4"/>
    <x v="11"/>
    <x v="0"/>
    <x v="3"/>
    <x v="1"/>
    <x v="4"/>
    <s v="Wireless Earbuds"/>
    <n v="1"/>
    <n v="588.41"/>
    <n v="0.05"/>
    <x v="0"/>
    <n v="558.99"/>
    <n v="486.34"/>
    <n v="72.650000000000006"/>
    <n v="1"/>
    <n v="0"/>
    <n v="3"/>
    <n v="4"/>
  </r>
  <r>
    <s v="SW-102278"/>
    <d v="2024-12-08T00:00:00"/>
    <x v="0"/>
    <s v="Q4"/>
    <x v="11"/>
    <x v="0"/>
    <x v="0"/>
    <x v="1"/>
    <x v="5"/>
    <s v="Story Book Set"/>
    <n v="1"/>
    <n v="10.76"/>
    <n v="0.1"/>
    <x v="0"/>
    <n v="9.68"/>
    <n v="7.92"/>
    <n v="1.76"/>
    <n v="1"/>
    <n v="0"/>
    <n v="5"/>
    <n v="4"/>
  </r>
  <r>
    <s v="SW-102279"/>
    <d v="2024-12-08T00:00:00"/>
    <x v="0"/>
    <s v="Q4"/>
    <x v="11"/>
    <x v="0"/>
    <x v="4"/>
    <x v="1"/>
    <x v="2"/>
    <s v="Coffee Maker"/>
    <n v="2"/>
    <n v="148.05000000000001"/>
    <n v="0.15"/>
    <x v="1"/>
    <n v="251.68"/>
    <n v="192.8"/>
    <n v="58.88"/>
    <n v="1"/>
    <n v="0"/>
    <n v="7"/>
    <n v="4"/>
  </r>
  <r>
    <s v="SW-102280"/>
    <d v="2024-12-08T00:00:00"/>
    <x v="0"/>
    <s v="Q4"/>
    <x v="11"/>
    <x v="0"/>
    <x v="0"/>
    <x v="1"/>
    <x v="1"/>
    <s v="Hair Dryer"/>
    <n v="2"/>
    <n v="33.18"/>
    <n v="0.15"/>
    <x v="1"/>
    <n v="56.41"/>
    <n v="31.42"/>
    <n v="24.99"/>
    <n v="1"/>
    <n v="0"/>
    <n v="4"/>
    <n v="4"/>
  </r>
  <r>
    <s v="SW-102281"/>
    <d v="2024-12-08T00:00:00"/>
    <x v="0"/>
    <s v="Q4"/>
    <x v="11"/>
    <x v="0"/>
    <x v="3"/>
    <x v="0"/>
    <x v="1"/>
    <s v="Skin Care Bundle"/>
    <n v="2"/>
    <n v="92.54"/>
    <n v="0.05"/>
    <x v="0"/>
    <n v="175.83"/>
    <n v="90.84"/>
    <n v="84.99"/>
    <n v="1"/>
    <n v="1"/>
    <n v="3"/>
    <n v="4"/>
  </r>
  <r>
    <s v="SW-102282"/>
    <d v="2024-12-08T00:00:00"/>
    <x v="0"/>
    <s v="Q4"/>
    <x v="11"/>
    <x v="0"/>
    <x v="3"/>
    <x v="0"/>
    <x v="5"/>
    <s v="Bestseller Novel"/>
    <n v="1"/>
    <n v="45.28"/>
    <n v="0.25"/>
    <x v="3"/>
    <n v="33.96"/>
    <n v="32.72"/>
    <n v="1.24"/>
    <n v="1"/>
    <n v="1"/>
    <n v="4"/>
    <n v="3"/>
  </r>
  <r>
    <s v="SW-102283"/>
    <d v="2024-12-08T00:00:00"/>
    <x v="0"/>
    <s v="Q4"/>
    <x v="11"/>
    <x v="0"/>
    <x v="0"/>
    <x v="1"/>
    <x v="2"/>
    <s v="Coffee Maker"/>
    <n v="1"/>
    <n v="148.05000000000001"/>
    <n v="0.2"/>
    <x v="1"/>
    <n v="118.44"/>
    <n v="99.08"/>
    <n v="19.36"/>
    <n v="1"/>
    <n v="0"/>
    <n v="5"/>
    <n v="3"/>
  </r>
  <r>
    <s v="SW-102284"/>
    <d v="2024-12-08T00:00:00"/>
    <x v="0"/>
    <s v="Q4"/>
    <x v="11"/>
    <x v="1"/>
    <x v="3"/>
    <x v="1"/>
    <x v="0"/>
    <s v="Cotton T-Shirt"/>
    <n v="4"/>
    <n v="19.41"/>
    <n v="0.2"/>
    <x v="1"/>
    <n v="62.11"/>
    <n v="42.31"/>
    <n v="19.8"/>
    <n v="1"/>
    <n v="0"/>
    <n v="3"/>
    <n v="5"/>
  </r>
  <r>
    <s v="SW-102285"/>
    <d v="2024-12-08T00:00:00"/>
    <x v="0"/>
    <s v="Q4"/>
    <x v="11"/>
    <x v="2"/>
    <x v="1"/>
    <x v="0"/>
    <x v="1"/>
    <s v="Makeup Kit"/>
    <n v="1"/>
    <n v="74.3"/>
    <n v="0.1"/>
    <x v="0"/>
    <n v="66.87"/>
    <n v="36.35"/>
    <n v="30.52"/>
    <n v="1"/>
    <n v="0"/>
    <n v="6"/>
    <n v="2"/>
  </r>
  <r>
    <s v="SW-102286"/>
    <d v="2024-12-09T00:00:00"/>
    <x v="0"/>
    <s v="Q4"/>
    <x v="11"/>
    <x v="1"/>
    <x v="0"/>
    <x v="1"/>
    <x v="3"/>
    <s v="Cycling Helmet"/>
    <n v="1"/>
    <n v="85.42"/>
    <n v="0.2"/>
    <x v="1"/>
    <n v="68.34"/>
    <n v="60.27"/>
    <n v="8.07"/>
    <n v="1"/>
    <n v="0"/>
    <n v="5"/>
    <n v="5"/>
  </r>
  <r>
    <s v="SW-102287"/>
    <d v="2024-12-09T00:00:00"/>
    <x v="0"/>
    <s v="Q4"/>
    <x v="11"/>
    <x v="1"/>
    <x v="3"/>
    <x v="0"/>
    <x v="4"/>
    <s v="Wireless Earbuds"/>
    <n v="1"/>
    <n v="588.41"/>
    <n v="0.15"/>
    <x v="1"/>
    <n v="500.15"/>
    <n v="492.57"/>
    <n v="7.58"/>
    <n v="1"/>
    <n v="0"/>
    <n v="5"/>
    <n v="5"/>
  </r>
  <r>
    <s v="SW-102288"/>
    <d v="2024-12-09T00:00:00"/>
    <x v="0"/>
    <s v="Q4"/>
    <x v="11"/>
    <x v="1"/>
    <x v="1"/>
    <x v="1"/>
    <x v="2"/>
    <s v="Desk Lamp"/>
    <n v="1"/>
    <n v="117.63"/>
    <n v="0.25"/>
    <x v="3"/>
    <n v="88.22"/>
    <n v="78.930000000000007"/>
    <n v="9.2899999999999991"/>
    <n v="1"/>
    <n v="0"/>
    <n v="7"/>
    <n v="4"/>
  </r>
  <r>
    <s v="SW-102289"/>
    <d v="2024-12-09T00:00:00"/>
    <x v="0"/>
    <s v="Q4"/>
    <x v="11"/>
    <x v="0"/>
    <x v="0"/>
    <x v="1"/>
    <x v="2"/>
    <s v="Desk Lamp"/>
    <n v="2"/>
    <n v="117.63"/>
    <n v="0.1"/>
    <x v="0"/>
    <n v="211.73"/>
    <n v="156.4"/>
    <n v="55.33"/>
    <n v="1"/>
    <n v="0"/>
    <n v="5"/>
    <n v="4"/>
  </r>
  <r>
    <s v="SW-102290"/>
    <d v="2024-12-09T00:00:00"/>
    <x v="0"/>
    <s v="Q4"/>
    <x v="11"/>
    <x v="0"/>
    <x v="3"/>
    <x v="0"/>
    <x v="2"/>
    <s v="Desk Lamp"/>
    <n v="1"/>
    <n v="117.63"/>
    <n v="0.25"/>
    <x v="3"/>
    <n v="88.22"/>
    <n v="78.8"/>
    <n v="9.42"/>
    <n v="1"/>
    <n v="0"/>
    <n v="3"/>
    <n v="5"/>
  </r>
  <r>
    <s v="SW-102291"/>
    <d v="2024-12-09T00:00:00"/>
    <x v="0"/>
    <s v="Q4"/>
    <x v="11"/>
    <x v="0"/>
    <x v="3"/>
    <x v="1"/>
    <x v="1"/>
    <s v="Skin Care Bundle"/>
    <n v="1"/>
    <n v="92.54"/>
    <n v="0.1"/>
    <x v="0"/>
    <n v="83.29"/>
    <n v="45.55"/>
    <n v="37.74"/>
    <n v="1"/>
    <n v="0"/>
    <n v="4"/>
    <n v="4"/>
  </r>
  <r>
    <s v="SW-102292"/>
    <d v="2024-12-09T00:00:00"/>
    <x v="0"/>
    <s v="Q4"/>
    <x v="11"/>
    <x v="0"/>
    <x v="0"/>
    <x v="0"/>
    <x v="3"/>
    <s v="Cycling Helmet"/>
    <n v="1"/>
    <n v="85.42"/>
    <n v="0.25"/>
    <x v="3"/>
    <n v="64.06"/>
    <n v="57.56"/>
    <n v="6.5"/>
    <n v="1"/>
    <n v="0"/>
    <n v="5"/>
    <n v="4"/>
  </r>
  <r>
    <s v="SW-102293"/>
    <d v="2024-12-10T00:00:00"/>
    <x v="0"/>
    <s v="Q4"/>
    <x v="11"/>
    <x v="1"/>
    <x v="0"/>
    <x v="1"/>
    <x v="5"/>
    <s v="Board Game"/>
    <n v="1"/>
    <n v="57.92"/>
    <n v="0"/>
    <x v="2"/>
    <n v="57.92"/>
    <n v="39.1"/>
    <n v="18.82"/>
    <n v="1"/>
    <n v="0"/>
    <n v="5"/>
    <n v="5"/>
  </r>
  <r>
    <s v="SW-102294"/>
    <d v="2024-12-10T00:00:00"/>
    <x v="0"/>
    <s v="Q4"/>
    <x v="11"/>
    <x v="0"/>
    <x v="2"/>
    <x v="1"/>
    <x v="4"/>
    <s v="4K Action Camera"/>
    <n v="1"/>
    <n v="636.09"/>
    <n v="0.25"/>
    <x v="3"/>
    <n v="477.07"/>
    <n v="503.29"/>
    <n v="-26.22"/>
    <n v="1"/>
    <n v="0"/>
    <n v="7"/>
    <n v="3"/>
  </r>
  <r>
    <s v="SW-102295"/>
    <d v="2024-12-10T00:00:00"/>
    <x v="0"/>
    <s v="Q4"/>
    <x v="11"/>
    <x v="0"/>
    <x v="2"/>
    <x v="1"/>
    <x v="0"/>
    <s v="Running Sneakers"/>
    <n v="1"/>
    <n v="94.85"/>
    <n v="0"/>
    <x v="2"/>
    <n v="94.85"/>
    <n v="51.11"/>
    <n v="43.74"/>
    <n v="1"/>
    <n v="0"/>
    <n v="4"/>
    <n v="5"/>
  </r>
  <r>
    <s v="SW-102296"/>
    <d v="2024-12-10T00:00:00"/>
    <x v="0"/>
    <s v="Q4"/>
    <x v="11"/>
    <x v="2"/>
    <x v="4"/>
    <x v="1"/>
    <x v="4"/>
    <s v="Bluetooth Speaker"/>
    <n v="4"/>
    <n v="177.65"/>
    <n v="0.05"/>
    <x v="0"/>
    <n v="675.07"/>
    <n v="564.80999999999995"/>
    <n v="110.26"/>
    <n v="1"/>
    <n v="0"/>
    <n v="6"/>
    <n v="3"/>
  </r>
  <r>
    <s v="SW-102297"/>
    <d v="2024-12-10T00:00:00"/>
    <x v="0"/>
    <s v="Q4"/>
    <x v="11"/>
    <x v="0"/>
    <x v="3"/>
    <x v="1"/>
    <x v="5"/>
    <s v="Story Book Set"/>
    <n v="1"/>
    <n v="10.76"/>
    <n v="0.3"/>
    <x v="3"/>
    <n v="7.53"/>
    <n v="7.77"/>
    <n v="-0.24"/>
    <n v="1"/>
    <n v="0"/>
    <n v="4"/>
    <n v="5"/>
  </r>
  <r>
    <s v="SW-102298"/>
    <d v="2024-12-10T00:00:00"/>
    <x v="0"/>
    <s v="Q4"/>
    <x v="11"/>
    <x v="1"/>
    <x v="0"/>
    <x v="1"/>
    <x v="0"/>
    <s v="Denim Jacket"/>
    <n v="1"/>
    <n v="78.510000000000005"/>
    <n v="0.15"/>
    <x v="1"/>
    <n v="66.73"/>
    <n v="41.33"/>
    <n v="25.4"/>
    <n v="1"/>
    <n v="0"/>
    <n v="6"/>
    <n v="3"/>
  </r>
  <r>
    <s v="SW-102299"/>
    <d v="2024-12-10T00:00:00"/>
    <x v="0"/>
    <s v="Q4"/>
    <x v="11"/>
    <x v="0"/>
    <x v="0"/>
    <x v="1"/>
    <x v="0"/>
    <s v="Running Sneakers"/>
    <n v="1"/>
    <n v="94.85"/>
    <n v="0.05"/>
    <x v="0"/>
    <n v="90.11"/>
    <n v="50.21"/>
    <n v="39.9"/>
    <n v="1"/>
    <n v="0"/>
    <n v="4"/>
    <n v="4"/>
  </r>
  <r>
    <s v="SW-102300"/>
    <d v="2024-12-10T00:00:00"/>
    <x v="0"/>
    <s v="Q4"/>
    <x v="11"/>
    <x v="1"/>
    <x v="3"/>
    <x v="0"/>
    <x v="2"/>
    <s v="Air Fryer"/>
    <n v="2"/>
    <n v="68.349999999999994"/>
    <n v="0"/>
    <x v="2"/>
    <n v="136.69999999999999"/>
    <n v="92.53"/>
    <n v="44.17"/>
    <n v="1"/>
    <n v="0"/>
    <n v="5"/>
    <n v="4"/>
  </r>
  <r>
    <s v="SW-102301"/>
    <d v="2024-12-11T00:00:00"/>
    <x v="0"/>
    <s v="Q4"/>
    <x v="11"/>
    <x v="0"/>
    <x v="0"/>
    <x v="0"/>
    <x v="3"/>
    <s v="Camping Tent"/>
    <n v="2"/>
    <n v="83.06"/>
    <n v="0.1"/>
    <x v="0"/>
    <n v="149.51"/>
    <n v="103.39"/>
    <n v="46.12"/>
    <n v="1"/>
    <n v="0"/>
    <n v="5"/>
    <n v="4"/>
  </r>
  <r>
    <s v="SW-102302"/>
    <d v="2024-12-11T00:00:00"/>
    <x v="0"/>
    <s v="Q4"/>
    <x v="11"/>
    <x v="2"/>
    <x v="3"/>
    <x v="1"/>
    <x v="2"/>
    <s v="Bed Sheet Set"/>
    <n v="1"/>
    <n v="90.75"/>
    <n v="0.05"/>
    <x v="0"/>
    <n v="86.21"/>
    <n v="57.97"/>
    <n v="28.24"/>
    <n v="1"/>
    <n v="0"/>
    <n v="4"/>
    <n v="5"/>
  </r>
  <r>
    <s v="SW-102303"/>
    <d v="2024-12-11T00:00:00"/>
    <x v="0"/>
    <s v="Q4"/>
    <x v="11"/>
    <x v="0"/>
    <x v="0"/>
    <x v="1"/>
    <x v="4"/>
    <s v="Bluetooth Speaker"/>
    <n v="2"/>
    <n v="177.65"/>
    <n v="0.05"/>
    <x v="0"/>
    <n v="337.54"/>
    <n v="281.95"/>
    <n v="55.59"/>
    <n v="1"/>
    <n v="0"/>
    <n v="4"/>
    <n v="5"/>
  </r>
  <r>
    <s v="SW-102304"/>
    <d v="2024-12-11T00:00:00"/>
    <x v="0"/>
    <s v="Q4"/>
    <x v="11"/>
    <x v="1"/>
    <x v="1"/>
    <x v="1"/>
    <x v="3"/>
    <s v="Fitness Tracker"/>
    <n v="1"/>
    <n v="74.459999999999994"/>
    <n v="0.3"/>
    <x v="3"/>
    <n v="52.12"/>
    <n v="50.6"/>
    <n v="1.52"/>
    <n v="1"/>
    <n v="0"/>
    <n v="9"/>
    <n v="3"/>
  </r>
  <r>
    <s v="SW-102305"/>
    <d v="2024-12-11T00:00:00"/>
    <x v="0"/>
    <s v="Q4"/>
    <x v="11"/>
    <x v="0"/>
    <x v="3"/>
    <x v="1"/>
    <x v="4"/>
    <s v="Smart Watch"/>
    <n v="4"/>
    <n v="216.08"/>
    <n v="0.2"/>
    <x v="1"/>
    <n v="691.46"/>
    <n v="677.75"/>
    <n v="13.71"/>
    <n v="1"/>
    <n v="0"/>
    <n v="5"/>
    <n v="4"/>
  </r>
  <r>
    <s v="SW-102306"/>
    <d v="2024-12-12T00:00:00"/>
    <x v="0"/>
    <s v="Q4"/>
    <x v="11"/>
    <x v="1"/>
    <x v="1"/>
    <x v="0"/>
    <x v="2"/>
    <s v="Coffee Maker"/>
    <n v="2"/>
    <n v="148.05000000000001"/>
    <n v="0.15"/>
    <x v="1"/>
    <n v="251.68"/>
    <n v="198.88"/>
    <n v="52.8"/>
    <n v="1"/>
    <n v="0"/>
    <n v="6"/>
    <n v="4"/>
  </r>
  <r>
    <s v="SW-102307"/>
    <d v="2024-12-12T00:00:00"/>
    <x v="0"/>
    <s v="Q4"/>
    <x v="11"/>
    <x v="1"/>
    <x v="0"/>
    <x v="1"/>
    <x v="5"/>
    <s v="Story Book Set"/>
    <n v="1"/>
    <n v="10.76"/>
    <n v="0.25"/>
    <x v="3"/>
    <n v="8.07"/>
    <n v="8.1"/>
    <n v="-0.03"/>
    <n v="1"/>
    <n v="0"/>
    <n v="4"/>
    <n v="4"/>
  </r>
  <r>
    <s v="SW-102308"/>
    <d v="2024-12-12T00:00:00"/>
    <x v="0"/>
    <s v="Q4"/>
    <x v="11"/>
    <x v="0"/>
    <x v="1"/>
    <x v="1"/>
    <x v="1"/>
    <s v="Makeup Kit"/>
    <n v="1"/>
    <n v="74.3"/>
    <n v="0.25"/>
    <x v="3"/>
    <n v="55.72"/>
    <n v="34.22"/>
    <n v="21.5"/>
    <n v="1"/>
    <n v="0"/>
    <n v="7"/>
    <n v="4"/>
  </r>
  <r>
    <s v="SW-102309"/>
    <d v="2024-12-12T00:00:00"/>
    <x v="0"/>
    <s v="Q4"/>
    <x v="11"/>
    <x v="1"/>
    <x v="0"/>
    <x v="1"/>
    <x v="1"/>
    <s v="Hair Dryer"/>
    <n v="1"/>
    <n v="33.18"/>
    <n v="0.05"/>
    <x v="0"/>
    <n v="31.52"/>
    <n v="15.62"/>
    <n v="15.9"/>
    <n v="1"/>
    <n v="0"/>
    <n v="4"/>
    <n v="5"/>
  </r>
  <r>
    <s v="SW-102310"/>
    <d v="2024-12-12T00:00:00"/>
    <x v="0"/>
    <s v="Q4"/>
    <x v="11"/>
    <x v="0"/>
    <x v="3"/>
    <x v="1"/>
    <x v="2"/>
    <s v="Coffee Maker"/>
    <n v="1"/>
    <n v="148.05000000000001"/>
    <n v="0.1"/>
    <x v="0"/>
    <n v="133.24"/>
    <n v="100"/>
    <n v="33.24"/>
    <n v="1"/>
    <n v="0"/>
    <n v="3"/>
    <n v="5"/>
  </r>
  <r>
    <s v="SW-102311"/>
    <d v="2024-12-12T00:00:00"/>
    <x v="0"/>
    <s v="Q4"/>
    <x v="11"/>
    <x v="0"/>
    <x v="3"/>
    <x v="0"/>
    <x v="0"/>
    <s v="Running Sneakers"/>
    <n v="3"/>
    <n v="94.85"/>
    <n v="0.25"/>
    <x v="3"/>
    <n v="213.41"/>
    <n v="157.91999999999999"/>
    <n v="55.49"/>
    <n v="1"/>
    <n v="0"/>
    <n v="4"/>
    <n v="5"/>
  </r>
  <r>
    <s v="SW-102312"/>
    <d v="2024-12-12T00:00:00"/>
    <x v="0"/>
    <s v="Q4"/>
    <x v="11"/>
    <x v="2"/>
    <x v="3"/>
    <x v="1"/>
    <x v="4"/>
    <s v="Bluetooth Speaker"/>
    <n v="1"/>
    <n v="177.65"/>
    <n v="0.05"/>
    <x v="0"/>
    <n v="168.77"/>
    <n v="143.19"/>
    <n v="25.58"/>
    <n v="1"/>
    <n v="0"/>
    <n v="3"/>
    <n v="4"/>
  </r>
  <r>
    <s v="SW-102313"/>
    <d v="2024-12-12T00:00:00"/>
    <x v="0"/>
    <s v="Q4"/>
    <x v="11"/>
    <x v="2"/>
    <x v="1"/>
    <x v="1"/>
    <x v="4"/>
    <s v="Tablet 10in"/>
    <n v="3"/>
    <n v="490.3"/>
    <n v="0.25"/>
    <x v="3"/>
    <n v="1103.18"/>
    <n v="1148.03"/>
    <n v="-44.85"/>
    <n v="1"/>
    <n v="0"/>
    <n v="7"/>
    <n v="3"/>
  </r>
  <r>
    <s v="SW-102314"/>
    <d v="2024-12-13T00:00:00"/>
    <x v="0"/>
    <s v="Q4"/>
    <x v="11"/>
    <x v="1"/>
    <x v="2"/>
    <x v="0"/>
    <x v="2"/>
    <s v="Coffee Maker"/>
    <n v="2"/>
    <n v="148.05000000000001"/>
    <n v="0.25"/>
    <x v="3"/>
    <n v="222.08"/>
    <n v="189.22"/>
    <n v="32.86"/>
    <n v="1"/>
    <n v="0"/>
    <n v="5"/>
    <n v="5"/>
  </r>
  <r>
    <s v="SW-102315"/>
    <d v="2024-12-13T00:00:00"/>
    <x v="0"/>
    <s v="Q4"/>
    <x v="11"/>
    <x v="1"/>
    <x v="3"/>
    <x v="0"/>
    <x v="2"/>
    <s v="Desk Lamp"/>
    <n v="4"/>
    <n v="117.63"/>
    <n v="0.05"/>
    <x v="0"/>
    <n v="446.99"/>
    <n v="317.39"/>
    <n v="129.6"/>
    <n v="1"/>
    <n v="0"/>
    <n v="3"/>
    <n v="4"/>
  </r>
  <r>
    <s v="SW-102316"/>
    <d v="2024-12-13T00:00:00"/>
    <x v="0"/>
    <s v="Q4"/>
    <x v="11"/>
    <x v="0"/>
    <x v="2"/>
    <x v="0"/>
    <x v="1"/>
    <s v="Makeup Kit"/>
    <n v="1"/>
    <n v="74.3"/>
    <n v="0.15"/>
    <x v="1"/>
    <n v="63.15"/>
    <n v="33.340000000000003"/>
    <n v="29.81"/>
    <n v="1"/>
    <n v="0"/>
    <n v="6"/>
    <n v="4"/>
  </r>
  <r>
    <s v="SW-102317"/>
    <d v="2024-12-13T00:00:00"/>
    <x v="0"/>
    <s v="Q4"/>
    <x v="11"/>
    <x v="1"/>
    <x v="4"/>
    <x v="0"/>
    <x v="0"/>
    <s v="Summer Dress"/>
    <n v="2"/>
    <n v="33.99"/>
    <n v="0.05"/>
    <x v="0"/>
    <n v="64.58"/>
    <n v="35.94"/>
    <n v="28.64"/>
    <n v="1"/>
    <n v="0"/>
    <n v="7"/>
    <n v="3"/>
  </r>
  <r>
    <s v="SW-102318"/>
    <d v="2024-12-13T00:00:00"/>
    <x v="0"/>
    <s v="Q4"/>
    <x v="11"/>
    <x v="2"/>
    <x v="1"/>
    <x v="1"/>
    <x v="2"/>
    <s v="Bed Sheet Set"/>
    <n v="2"/>
    <n v="90.75"/>
    <n v="0.2"/>
    <x v="1"/>
    <n v="145.19999999999999"/>
    <n v="118.13"/>
    <n v="27.07"/>
    <n v="1"/>
    <n v="0"/>
    <n v="7"/>
    <n v="4"/>
  </r>
  <r>
    <s v="SW-102319"/>
    <d v="2024-12-13T00:00:00"/>
    <x v="0"/>
    <s v="Q4"/>
    <x v="11"/>
    <x v="2"/>
    <x v="4"/>
    <x v="1"/>
    <x v="5"/>
    <s v="Story Book Set"/>
    <n v="1"/>
    <n v="10.76"/>
    <n v="0.1"/>
    <x v="0"/>
    <n v="9.68"/>
    <n v="7.84"/>
    <n v="1.84"/>
    <n v="1"/>
    <n v="0"/>
    <n v="6"/>
    <n v="4"/>
  </r>
  <r>
    <s v="SW-102320"/>
    <d v="2024-12-13T00:00:00"/>
    <x v="0"/>
    <s v="Q4"/>
    <x v="11"/>
    <x v="0"/>
    <x v="2"/>
    <x v="0"/>
    <x v="2"/>
    <s v="Cookware Set"/>
    <n v="2"/>
    <n v="233.81"/>
    <n v="0.2"/>
    <x v="1"/>
    <n v="374.1"/>
    <n v="308.92"/>
    <n v="65.180000000000007"/>
    <n v="1"/>
    <n v="0"/>
    <n v="5"/>
    <n v="5"/>
  </r>
  <r>
    <s v="SW-102321"/>
    <d v="2024-12-13T00:00:00"/>
    <x v="0"/>
    <s v="Q4"/>
    <x v="11"/>
    <x v="0"/>
    <x v="4"/>
    <x v="1"/>
    <x v="1"/>
    <s v="Makeup Kit"/>
    <n v="3"/>
    <n v="74.3"/>
    <n v="0.05"/>
    <x v="0"/>
    <n v="211.75"/>
    <n v="110.13"/>
    <n v="101.62"/>
    <n v="1"/>
    <n v="0"/>
    <n v="7"/>
    <n v="3"/>
  </r>
  <r>
    <s v="SW-102322"/>
    <d v="2024-12-13T00:00:00"/>
    <x v="0"/>
    <s v="Q4"/>
    <x v="11"/>
    <x v="2"/>
    <x v="3"/>
    <x v="1"/>
    <x v="4"/>
    <s v="4K Action Camera"/>
    <n v="2"/>
    <n v="636.09"/>
    <n v="0.25"/>
    <x v="3"/>
    <n v="954.14"/>
    <n v="943.71"/>
    <n v="10.43"/>
    <n v="1"/>
    <n v="0"/>
    <n v="5"/>
    <n v="5"/>
  </r>
  <r>
    <s v="SW-102323"/>
    <d v="2024-12-13T00:00:00"/>
    <x v="0"/>
    <s v="Q4"/>
    <x v="11"/>
    <x v="1"/>
    <x v="3"/>
    <x v="0"/>
    <x v="2"/>
    <s v="Air Fryer"/>
    <n v="1"/>
    <n v="68.349999999999994"/>
    <n v="0.3"/>
    <x v="3"/>
    <n v="47.84"/>
    <n v="45.26"/>
    <n v="2.58"/>
    <n v="1"/>
    <n v="0"/>
    <n v="4"/>
    <n v="4"/>
  </r>
  <r>
    <s v="SW-102324"/>
    <d v="2024-12-14T00:00:00"/>
    <x v="0"/>
    <s v="Q4"/>
    <x v="11"/>
    <x v="1"/>
    <x v="2"/>
    <x v="1"/>
    <x v="2"/>
    <s v="Air Fryer"/>
    <n v="1"/>
    <n v="68.349999999999994"/>
    <n v="0"/>
    <x v="2"/>
    <n v="68.349999999999994"/>
    <n v="45.05"/>
    <n v="23.3"/>
    <n v="1"/>
    <n v="0"/>
    <n v="5"/>
    <n v="4"/>
  </r>
  <r>
    <s v="SW-102325"/>
    <d v="2024-12-14T00:00:00"/>
    <x v="0"/>
    <s v="Q4"/>
    <x v="11"/>
    <x v="1"/>
    <x v="4"/>
    <x v="1"/>
    <x v="0"/>
    <s v="Sunglasses"/>
    <n v="1"/>
    <n v="104.94"/>
    <n v="0.1"/>
    <x v="0"/>
    <n v="94.45"/>
    <n v="55.89"/>
    <n v="38.56"/>
    <n v="1"/>
    <n v="0"/>
    <n v="7"/>
    <n v="3"/>
  </r>
  <r>
    <s v="SW-102326"/>
    <d v="2024-12-14T00:00:00"/>
    <x v="0"/>
    <s v="Q4"/>
    <x v="11"/>
    <x v="0"/>
    <x v="0"/>
    <x v="0"/>
    <x v="0"/>
    <s v="Summer Dress"/>
    <n v="1"/>
    <n v="33.99"/>
    <n v="0.3"/>
    <x v="3"/>
    <n v="23.79"/>
    <n v="18.96"/>
    <n v="4.83"/>
    <n v="1"/>
    <n v="0"/>
    <n v="5"/>
    <n v="4"/>
  </r>
  <r>
    <s v="SW-102327"/>
    <d v="2024-12-14T00:00:00"/>
    <x v="0"/>
    <s v="Q4"/>
    <x v="11"/>
    <x v="0"/>
    <x v="1"/>
    <x v="1"/>
    <x v="2"/>
    <s v="Desk Lamp"/>
    <n v="4"/>
    <n v="117.63"/>
    <n v="0.15"/>
    <x v="1"/>
    <n v="399.94"/>
    <n v="305.2"/>
    <n v="94.74"/>
    <n v="1"/>
    <n v="0"/>
    <n v="6"/>
    <n v="3"/>
  </r>
  <r>
    <s v="SW-102328"/>
    <d v="2024-12-14T00:00:00"/>
    <x v="0"/>
    <s v="Q4"/>
    <x v="11"/>
    <x v="0"/>
    <x v="2"/>
    <x v="1"/>
    <x v="4"/>
    <s v="4K Action Camera"/>
    <n v="1"/>
    <n v="636.09"/>
    <n v="0.1"/>
    <x v="0"/>
    <n v="572.48"/>
    <n v="522.21"/>
    <n v="50.27"/>
    <n v="1"/>
    <n v="0"/>
    <n v="5"/>
    <n v="5"/>
  </r>
  <r>
    <s v="SW-102329"/>
    <d v="2024-12-14T00:00:00"/>
    <x v="0"/>
    <s v="Q4"/>
    <x v="11"/>
    <x v="0"/>
    <x v="0"/>
    <x v="1"/>
    <x v="0"/>
    <s v="Running Sneakers"/>
    <n v="2"/>
    <n v="94.85"/>
    <n v="0"/>
    <x v="2"/>
    <n v="189.7"/>
    <n v="100.3"/>
    <n v="89.4"/>
    <n v="1"/>
    <n v="0"/>
    <n v="4"/>
    <n v="5"/>
  </r>
  <r>
    <s v="SW-102330"/>
    <d v="2024-12-14T00:00:00"/>
    <x v="0"/>
    <s v="Q4"/>
    <x v="11"/>
    <x v="0"/>
    <x v="4"/>
    <x v="0"/>
    <x v="4"/>
    <s v="Tablet 10in"/>
    <n v="1"/>
    <n v="490.3"/>
    <n v="0.25"/>
    <x v="3"/>
    <n v="367.72"/>
    <n v="390.14"/>
    <n v="-22.42"/>
    <n v="1"/>
    <n v="0"/>
    <n v="6"/>
    <n v="3"/>
  </r>
  <r>
    <s v="SW-102331"/>
    <d v="2024-12-14T00:00:00"/>
    <x v="0"/>
    <s v="Q4"/>
    <x v="11"/>
    <x v="0"/>
    <x v="2"/>
    <x v="0"/>
    <x v="4"/>
    <s v="Smart Watch"/>
    <n v="1"/>
    <n v="216.08"/>
    <n v="0.15"/>
    <x v="1"/>
    <n v="183.67"/>
    <n v="174.2"/>
    <n v="9.4700000000000006"/>
    <n v="1"/>
    <n v="0"/>
    <n v="5"/>
    <n v="4"/>
  </r>
  <r>
    <s v="SW-102332"/>
    <d v="2024-12-14T00:00:00"/>
    <x v="0"/>
    <s v="Q4"/>
    <x v="11"/>
    <x v="1"/>
    <x v="0"/>
    <x v="0"/>
    <x v="5"/>
    <s v="Building Blocks"/>
    <n v="1"/>
    <n v="48.86"/>
    <n v="0.05"/>
    <x v="0"/>
    <n v="46.42"/>
    <n v="34.619999999999997"/>
    <n v="11.8"/>
    <n v="1"/>
    <n v="0"/>
    <n v="6"/>
    <n v="3"/>
  </r>
  <r>
    <s v="SW-102333"/>
    <d v="2024-12-14T00:00:00"/>
    <x v="0"/>
    <s v="Q4"/>
    <x v="11"/>
    <x v="0"/>
    <x v="2"/>
    <x v="1"/>
    <x v="5"/>
    <s v="Building Blocks"/>
    <n v="2"/>
    <n v="48.86"/>
    <n v="0.05"/>
    <x v="0"/>
    <n v="92.83"/>
    <n v="68.28"/>
    <n v="24.55"/>
    <n v="1"/>
    <n v="0"/>
    <n v="5"/>
    <n v="5"/>
  </r>
  <r>
    <s v="SW-102334"/>
    <d v="2024-12-14T00:00:00"/>
    <x v="0"/>
    <s v="Q4"/>
    <x v="11"/>
    <x v="0"/>
    <x v="2"/>
    <x v="1"/>
    <x v="0"/>
    <s v="Denim Jacket"/>
    <n v="3"/>
    <n v="78.510000000000005"/>
    <n v="0"/>
    <x v="2"/>
    <n v="235.53"/>
    <n v="129.96"/>
    <n v="105.57"/>
    <n v="1"/>
    <n v="0"/>
    <n v="4"/>
    <n v="4"/>
  </r>
  <r>
    <s v="SW-102335"/>
    <d v="2024-12-14T00:00:00"/>
    <x v="0"/>
    <s v="Q4"/>
    <x v="11"/>
    <x v="0"/>
    <x v="3"/>
    <x v="0"/>
    <x v="0"/>
    <s v="Denim Jacket"/>
    <n v="1"/>
    <n v="78.510000000000005"/>
    <n v="0.25"/>
    <x v="3"/>
    <n v="58.88"/>
    <n v="40.43"/>
    <n v="18.45"/>
    <n v="1"/>
    <n v="0"/>
    <n v="5"/>
    <n v="4"/>
  </r>
  <r>
    <s v="SW-102336"/>
    <d v="2024-12-15T00:00:00"/>
    <x v="0"/>
    <s v="Q4"/>
    <x v="11"/>
    <x v="0"/>
    <x v="3"/>
    <x v="1"/>
    <x v="4"/>
    <s v="Wireless Earbuds"/>
    <n v="1"/>
    <n v="588.41"/>
    <n v="0.15"/>
    <x v="1"/>
    <n v="500.15"/>
    <n v="465.51"/>
    <n v="34.64"/>
    <n v="1"/>
    <n v="0"/>
    <n v="3"/>
    <n v="5"/>
  </r>
  <r>
    <s v="SW-102337"/>
    <d v="2024-12-15T00:00:00"/>
    <x v="0"/>
    <s v="Q4"/>
    <x v="11"/>
    <x v="0"/>
    <x v="3"/>
    <x v="0"/>
    <x v="2"/>
    <s v="Air Fryer"/>
    <n v="1"/>
    <n v="68.349999999999994"/>
    <n v="0.25"/>
    <x v="3"/>
    <n v="51.26"/>
    <n v="44.43"/>
    <n v="6.83"/>
    <n v="1"/>
    <n v="0"/>
    <n v="4"/>
    <n v="4"/>
  </r>
  <r>
    <s v="SW-102338"/>
    <d v="2024-12-15T00:00:00"/>
    <x v="0"/>
    <s v="Q4"/>
    <x v="11"/>
    <x v="0"/>
    <x v="3"/>
    <x v="1"/>
    <x v="2"/>
    <s v="Desk Lamp"/>
    <n v="1"/>
    <n v="117.63"/>
    <n v="0.3"/>
    <x v="3"/>
    <n v="82.34"/>
    <n v="78.11"/>
    <n v="4.2300000000000004"/>
    <n v="1"/>
    <n v="0"/>
    <n v="4"/>
    <n v="4"/>
  </r>
  <r>
    <s v="SW-102339"/>
    <d v="2024-12-15T00:00:00"/>
    <x v="0"/>
    <s v="Q4"/>
    <x v="11"/>
    <x v="1"/>
    <x v="2"/>
    <x v="0"/>
    <x v="5"/>
    <s v="Board Game"/>
    <n v="2"/>
    <n v="57.92"/>
    <n v="0.2"/>
    <x v="1"/>
    <n v="92.67"/>
    <n v="83.67"/>
    <n v="9"/>
    <n v="1"/>
    <n v="0"/>
    <n v="4"/>
    <n v="4"/>
  </r>
  <r>
    <s v="SW-102340"/>
    <d v="2024-12-15T00:00:00"/>
    <x v="0"/>
    <s v="Q4"/>
    <x v="11"/>
    <x v="0"/>
    <x v="2"/>
    <x v="1"/>
    <x v="1"/>
    <s v="Perfume 100ml"/>
    <n v="1"/>
    <n v="54.56"/>
    <n v="0.15"/>
    <x v="1"/>
    <n v="46.38"/>
    <n v="25.39"/>
    <n v="20.99"/>
    <n v="1"/>
    <n v="0"/>
    <n v="7"/>
    <n v="4"/>
  </r>
  <r>
    <s v="SW-102341"/>
    <d v="2024-12-15T00:00:00"/>
    <x v="0"/>
    <s v="Q4"/>
    <x v="11"/>
    <x v="0"/>
    <x v="3"/>
    <x v="0"/>
    <x v="3"/>
    <s v="Cycling Helmet"/>
    <n v="4"/>
    <n v="85.42"/>
    <n v="0.25"/>
    <x v="3"/>
    <n v="256.26"/>
    <n v="222.03"/>
    <n v="34.229999999999997"/>
    <n v="1"/>
    <n v="1"/>
    <n v="4"/>
    <n v="4"/>
  </r>
  <r>
    <s v="SW-102342"/>
    <d v="2024-12-15T00:00:00"/>
    <x v="0"/>
    <s v="Q4"/>
    <x v="11"/>
    <x v="0"/>
    <x v="0"/>
    <x v="1"/>
    <x v="4"/>
    <s v="Bluetooth Speaker"/>
    <n v="2"/>
    <n v="177.65"/>
    <n v="0.3"/>
    <x v="3"/>
    <n v="248.71"/>
    <n v="282.25"/>
    <n v="-33.54"/>
    <n v="1"/>
    <n v="0"/>
    <n v="6"/>
    <n v="4"/>
  </r>
  <r>
    <s v="SW-102343"/>
    <d v="2024-12-15T00:00:00"/>
    <x v="0"/>
    <s v="Q4"/>
    <x v="11"/>
    <x v="0"/>
    <x v="2"/>
    <x v="1"/>
    <x v="1"/>
    <s v="Face Serum"/>
    <n v="1"/>
    <n v="33.479999999999997"/>
    <n v="0.25"/>
    <x v="3"/>
    <n v="25.11"/>
    <n v="15.81"/>
    <n v="9.3000000000000007"/>
    <n v="1"/>
    <n v="0"/>
    <n v="5"/>
    <n v="4"/>
  </r>
  <r>
    <s v="SW-102344"/>
    <d v="2024-12-15T00:00:00"/>
    <x v="0"/>
    <s v="Q4"/>
    <x v="11"/>
    <x v="0"/>
    <x v="0"/>
    <x v="0"/>
    <x v="0"/>
    <s v="Denim Jacket"/>
    <n v="1"/>
    <n v="78.510000000000005"/>
    <n v="0.1"/>
    <x v="0"/>
    <n v="70.66"/>
    <n v="43.08"/>
    <n v="27.58"/>
    <n v="1"/>
    <n v="1"/>
    <n v="5"/>
    <n v="2"/>
  </r>
  <r>
    <s v="SW-102345"/>
    <d v="2024-12-15T00:00:00"/>
    <x v="0"/>
    <s v="Q4"/>
    <x v="11"/>
    <x v="1"/>
    <x v="3"/>
    <x v="1"/>
    <x v="2"/>
    <s v="Bed Sheet Set"/>
    <n v="1"/>
    <n v="90.75"/>
    <n v="0.3"/>
    <x v="3"/>
    <n v="63.52"/>
    <n v="60.89"/>
    <n v="2.63"/>
    <n v="1"/>
    <n v="0"/>
    <n v="3"/>
    <n v="5"/>
  </r>
  <r>
    <s v="SW-102346"/>
    <d v="2024-12-15T00:00:00"/>
    <x v="0"/>
    <s v="Q4"/>
    <x v="11"/>
    <x v="0"/>
    <x v="1"/>
    <x v="1"/>
    <x v="0"/>
    <s v="Running Sneakers"/>
    <n v="1"/>
    <n v="94.85"/>
    <n v="0.2"/>
    <x v="1"/>
    <n v="75.88"/>
    <n v="49.11"/>
    <n v="26.77"/>
    <n v="1"/>
    <n v="1"/>
    <n v="6"/>
    <n v="2"/>
  </r>
  <r>
    <s v="SW-102347"/>
    <d v="2024-12-16T00:00:00"/>
    <x v="0"/>
    <s v="Q4"/>
    <x v="11"/>
    <x v="0"/>
    <x v="4"/>
    <x v="0"/>
    <x v="2"/>
    <s v="Cookware Set"/>
    <n v="1"/>
    <n v="233.81"/>
    <n v="0.15"/>
    <x v="1"/>
    <n v="198.74"/>
    <n v="154.34"/>
    <n v="44.4"/>
    <n v="1"/>
    <n v="0"/>
    <n v="6"/>
    <n v="4"/>
  </r>
  <r>
    <s v="SW-102348"/>
    <d v="2024-12-16T00:00:00"/>
    <x v="0"/>
    <s v="Q4"/>
    <x v="11"/>
    <x v="1"/>
    <x v="3"/>
    <x v="1"/>
    <x v="2"/>
    <s v="Desk Lamp"/>
    <n v="1"/>
    <n v="117.63"/>
    <n v="0.15"/>
    <x v="1"/>
    <n v="99.99"/>
    <n v="77.11"/>
    <n v="22.88"/>
    <n v="1"/>
    <n v="0"/>
    <n v="4"/>
    <n v="4"/>
  </r>
  <r>
    <s v="SW-102349"/>
    <d v="2024-12-16T00:00:00"/>
    <x v="0"/>
    <s v="Q4"/>
    <x v="11"/>
    <x v="1"/>
    <x v="4"/>
    <x v="1"/>
    <x v="0"/>
    <s v="Sunglasses"/>
    <n v="1"/>
    <n v="104.94"/>
    <n v="0"/>
    <x v="2"/>
    <n v="104.94"/>
    <n v="56.11"/>
    <n v="48.83"/>
    <n v="1"/>
    <n v="0"/>
    <n v="8"/>
    <n v="3"/>
  </r>
  <r>
    <s v="SW-102350"/>
    <d v="2024-12-16T00:00:00"/>
    <x v="0"/>
    <s v="Q4"/>
    <x v="11"/>
    <x v="0"/>
    <x v="0"/>
    <x v="0"/>
    <x v="2"/>
    <s v="Air Fryer"/>
    <n v="1"/>
    <n v="68.349999999999994"/>
    <n v="0.1"/>
    <x v="0"/>
    <n v="61.51"/>
    <n v="45.96"/>
    <n v="15.55"/>
    <n v="1"/>
    <n v="1"/>
    <n v="4"/>
    <n v="4"/>
  </r>
  <r>
    <s v="SW-102351"/>
    <d v="2024-12-16T00:00:00"/>
    <x v="0"/>
    <s v="Q4"/>
    <x v="11"/>
    <x v="2"/>
    <x v="2"/>
    <x v="0"/>
    <x v="0"/>
    <s v="Cotton T-Shirt"/>
    <n v="1"/>
    <n v="19.41"/>
    <n v="0.1"/>
    <x v="0"/>
    <n v="17.47"/>
    <n v="10.39"/>
    <n v="7.08"/>
    <n v="1"/>
    <n v="0"/>
    <n v="6"/>
    <n v="3"/>
  </r>
  <r>
    <s v="SW-102352"/>
    <d v="2024-12-16T00:00:00"/>
    <x v="0"/>
    <s v="Q4"/>
    <x v="11"/>
    <x v="2"/>
    <x v="2"/>
    <x v="1"/>
    <x v="2"/>
    <s v="Coffee Maker"/>
    <n v="2"/>
    <n v="148.05000000000001"/>
    <n v="0.25"/>
    <x v="3"/>
    <n v="222.08"/>
    <n v="190.54"/>
    <n v="31.54"/>
    <n v="1"/>
    <n v="0"/>
    <n v="6"/>
    <n v="4"/>
  </r>
  <r>
    <s v="SW-102353"/>
    <d v="2024-12-17T00:00:00"/>
    <x v="0"/>
    <s v="Q4"/>
    <x v="11"/>
    <x v="2"/>
    <x v="4"/>
    <x v="0"/>
    <x v="5"/>
    <s v="Bestseller Novel"/>
    <n v="2"/>
    <n v="45.28"/>
    <n v="0.05"/>
    <x v="0"/>
    <n v="86.03"/>
    <n v="66.180000000000007"/>
    <n v="19.850000000000001"/>
    <n v="1"/>
    <n v="0"/>
    <n v="6"/>
    <n v="5"/>
  </r>
  <r>
    <s v="SW-102354"/>
    <d v="2024-12-17T00:00:00"/>
    <x v="0"/>
    <s v="Q4"/>
    <x v="11"/>
    <x v="0"/>
    <x v="1"/>
    <x v="0"/>
    <x v="2"/>
    <s v="Cookware Set"/>
    <n v="3"/>
    <n v="233.81"/>
    <n v="0.3"/>
    <x v="3"/>
    <n v="491"/>
    <n v="460.28"/>
    <n v="30.72"/>
    <n v="1"/>
    <n v="0"/>
    <n v="7"/>
    <n v="3"/>
  </r>
  <r>
    <s v="SW-102355"/>
    <d v="2024-12-17T00:00:00"/>
    <x v="0"/>
    <s v="Q4"/>
    <x v="11"/>
    <x v="0"/>
    <x v="3"/>
    <x v="1"/>
    <x v="2"/>
    <s v="Bed Sheet Set"/>
    <n v="1"/>
    <n v="90.75"/>
    <n v="0.05"/>
    <x v="0"/>
    <n v="86.21"/>
    <n v="58.55"/>
    <n v="27.66"/>
    <n v="1"/>
    <n v="0"/>
    <n v="3"/>
    <n v="4"/>
  </r>
  <r>
    <s v="SW-102356"/>
    <d v="2024-12-17T00:00:00"/>
    <x v="0"/>
    <s v="Q4"/>
    <x v="11"/>
    <x v="1"/>
    <x v="0"/>
    <x v="1"/>
    <x v="2"/>
    <s v="Desk Lamp"/>
    <n v="1"/>
    <n v="117.63"/>
    <n v="0"/>
    <x v="2"/>
    <n v="117.63"/>
    <n v="81.89"/>
    <n v="35.74"/>
    <n v="1"/>
    <n v="1"/>
    <n v="4"/>
    <n v="3"/>
  </r>
  <r>
    <s v="SW-102357"/>
    <d v="2024-12-17T00:00:00"/>
    <x v="0"/>
    <s v="Q4"/>
    <x v="11"/>
    <x v="1"/>
    <x v="3"/>
    <x v="1"/>
    <x v="0"/>
    <s v="Sunglasses"/>
    <n v="1"/>
    <n v="104.94"/>
    <n v="0.2"/>
    <x v="1"/>
    <n v="83.95"/>
    <n v="56.98"/>
    <n v="26.97"/>
    <n v="1"/>
    <n v="0"/>
    <n v="5"/>
    <n v="4"/>
  </r>
  <r>
    <s v="SW-102358"/>
    <d v="2024-12-17T00:00:00"/>
    <x v="0"/>
    <s v="Q4"/>
    <x v="11"/>
    <x v="0"/>
    <x v="2"/>
    <x v="1"/>
    <x v="3"/>
    <s v="Camping Tent"/>
    <n v="1"/>
    <n v="83.06"/>
    <n v="0.2"/>
    <x v="1"/>
    <n v="66.45"/>
    <n v="55.77"/>
    <n v="10.68"/>
    <n v="1"/>
    <n v="0"/>
    <n v="5"/>
    <n v="4"/>
  </r>
  <r>
    <s v="SW-102359"/>
    <d v="2024-12-17T00:00:00"/>
    <x v="0"/>
    <s v="Q4"/>
    <x v="11"/>
    <x v="0"/>
    <x v="3"/>
    <x v="1"/>
    <x v="4"/>
    <s v="Smart Watch"/>
    <n v="3"/>
    <n v="216.08"/>
    <n v="0.05"/>
    <x v="0"/>
    <n v="615.83000000000004"/>
    <n v="518.47"/>
    <n v="97.36"/>
    <n v="1"/>
    <n v="0"/>
    <n v="5"/>
    <n v="5"/>
  </r>
  <r>
    <s v="SW-102360"/>
    <d v="2024-12-17T00:00:00"/>
    <x v="0"/>
    <s v="Q4"/>
    <x v="11"/>
    <x v="0"/>
    <x v="3"/>
    <x v="1"/>
    <x v="4"/>
    <s v="Wireless Earbuds"/>
    <n v="1"/>
    <n v="588.41"/>
    <n v="0"/>
    <x v="2"/>
    <n v="588.41"/>
    <n v="464.36"/>
    <n v="124.05"/>
    <n v="1"/>
    <n v="0"/>
    <n v="3"/>
    <n v="4"/>
  </r>
  <r>
    <s v="SW-102361"/>
    <d v="2024-12-17T00:00:00"/>
    <x v="0"/>
    <s v="Q4"/>
    <x v="11"/>
    <x v="0"/>
    <x v="2"/>
    <x v="1"/>
    <x v="4"/>
    <s v="Bluetooth Speaker"/>
    <n v="1"/>
    <n v="177.65"/>
    <n v="0.3"/>
    <x v="3"/>
    <n v="124.35"/>
    <n v="135.9"/>
    <n v="-11.55"/>
    <n v="1"/>
    <n v="0"/>
    <n v="6"/>
    <n v="2"/>
  </r>
  <r>
    <s v="SW-102362"/>
    <d v="2024-12-17T00:00:00"/>
    <x v="0"/>
    <s v="Q4"/>
    <x v="11"/>
    <x v="0"/>
    <x v="3"/>
    <x v="1"/>
    <x v="0"/>
    <s v="Sunglasses"/>
    <n v="2"/>
    <n v="104.94"/>
    <n v="0.1"/>
    <x v="0"/>
    <n v="188.89"/>
    <n v="111.15"/>
    <n v="77.739999999999995"/>
    <n v="1"/>
    <n v="1"/>
    <n v="4"/>
    <n v="4"/>
  </r>
  <r>
    <s v="SW-102363"/>
    <d v="2024-12-18T00:00:00"/>
    <x v="0"/>
    <s v="Q4"/>
    <x v="11"/>
    <x v="1"/>
    <x v="0"/>
    <x v="1"/>
    <x v="3"/>
    <s v="Fitness Tracker"/>
    <n v="1"/>
    <n v="74.459999999999994"/>
    <n v="0.25"/>
    <x v="3"/>
    <n v="55.84"/>
    <n v="50.38"/>
    <n v="5.46"/>
    <n v="1"/>
    <n v="0"/>
    <n v="4"/>
    <n v="5"/>
  </r>
  <r>
    <s v="SW-102364"/>
    <d v="2024-12-18T00:00:00"/>
    <x v="0"/>
    <s v="Q4"/>
    <x v="11"/>
    <x v="0"/>
    <x v="3"/>
    <x v="1"/>
    <x v="3"/>
    <s v="Yoga Mat"/>
    <n v="3"/>
    <n v="137.05000000000001"/>
    <n v="0.25"/>
    <x v="3"/>
    <n v="308.36"/>
    <n v="280.19"/>
    <n v="28.17"/>
    <n v="1"/>
    <n v="0"/>
    <n v="5"/>
    <n v="4"/>
  </r>
  <r>
    <s v="SW-102365"/>
    <d v="2024-12-18T00:00:00"/>
    <x v="0"/>
    <s v="Q4"/>
    <x v="11"/>
    <x v="0"/>
    <x v="3"/>
    <x v="1"/>
    <x v="1"/>
    <s v="Skin Care Bundle"/>
    <n v="1"/>
    <n v="92.54"/>
    <n v="0.1"/>
    <x v="0"/>
    <n v="83.29"/>
    <n v="43.39"/>
    <n v="39.9"/>
    <n v="1"/>
    <n v="0"/>
    <n v="4"/>
    <n v="5"/>
  </r>
  <r>
    <s v="SW-102366"/>
    <d v="2024-12-18T00:00:00"/>
    <x v="0"/>
    <s v="Q4"/>
    <x v="11"/>
    <x v="0"/>
    <x v="3"/>
    <x v="1"/>
    <x v="4"/>
    <s v="Wireless Earbuds"/>
    <n v="1"/>
    <n v="588.41"/>
    <n v="0.1"/>
    <x v="0"/>
    <n v="529.57000000000005"/>
    <n v="471.56"/>
    <n v="58.01"/>
    <n v="1"/>
    <n v="0"/>
    <n v="4"/>
    <n v="4"/>
  </r>
  <r>
    <s v="SW-102367"/>
    <d v="2024-12-18T00:00:00"/>
    <x v="0"/>
    <s v="Q4"/>
    <x v="11"/>
    <x v="0"/>
    <x v="0"/>
    <x v="0"/>
    <x v="1"/>
    <s v="Skin Care Bundle"/>
    <n v="1"/>
    <n v="92.54"/>
    <n v="0.3"/>
    <x v="3"/>
    <n v="64.78"/>
    <n v="43.49"/>
    <n v="21.29"/>
    <n v="1"/>
    <n v="0"/>
    <n v="4"/>
    <n v="4"/>
  </r>
  <r>
    <s v="SW-102368"/>
    <d v="2024-12-18T00:00:00"/>
    <x v="0"/>
    <s v="Q4"/>
    <x v="11"/>
    <x v="2"/>
    <x v="0"/>
    <x v="0"/>
    <x v="1"/>
    <s v="Perfume 100ml"/>
    <n v="2"/>
    <n v="54.56"/>
    <n v="0.15"/>
    <x v="1"/>
    <n v="92.75"/>
    <n v="52.09"/>
    <n v="40.659999999999997"/>
    <n v="1"/>
    <n v="0"/>
    <n v="4"/>
    <n v="4"/>
  </r>
  <r>
    <s v="SW-102369"/>
    <d v="2024-12-18T00:00:00"/>
    <x v="0"/>
    <s v="Q4"/>
    <x v="11"/>
    <x v="0"/>
    <x v="3"/>
    <x v="0"/>
    <x v="2"/>
    <s v="Storage Boxes"/>
    <n v="4"/>
    <n v="154.66"/>
    <n v="0.25"/>
    <x v="3"/>
    <n v="463.98"/>
    <n v="418.88"/>
    <n v="45.1"/>
    <n v="1"/>
    <n v="0"/>
    <n v="3"/>
    <n v="4"/>
  </r>
  <r>
    <s v="SW-102370"/>
    <d v="2024-12-19T00:00:00"/>
    <x v="0"/>
    <s v="Q4"/>
    <x v="11"/>
    <x v="0"/>
    <x v="2"/>
    <x v="1"/>
    <x v="0"/>
    <s v="Summer Dress"/>
    <n v="1"/>
    <n v="33.99"/>
    <n v="0.25"/>
    <x v="3"/>
    <n v="25.49"/>
    <n v="19.309999999999999"/>
    <n v="6.18"/>
    <n v="1"/>
    <n v="0"/>
    <n v="5"/>
    <n v="4"/>
  </r>
  <r>
    <s v="SW-102371"/>
    <d v="2024-12-19T00:00:00"/>
    <x v="0"/>
    <s v="Q4"/>
    <x v="11"/>
    <x v="0"/>
    <x v="0"/>
    <x v="1"/>
    <x v="4"/>
    <s v="4K Action Camera"/>
    <n v="3"/>
    <n v="636.09"/>
    <n v="0.25"/>
    <x v="3"/>
    <n v="1431.2"/>
    <n v="1485.37"/>
    <n v="-54.17"/>
    <n v="1"/>
    <n v="0"/>
    <n v="6"/>
    <n v="4"/>
  </r>
  <r>
    <s v="SW-102372"/>
    <d v="2024-12-19T00:00:00"/>
    <x v="0"/>
    <s v="Q4"/>
    <x v="11"/>
    <x v="1"/>
    <x v="0"/>
    <x v="1"/>
    <x v="1"/>
    <s v="Perfume 100ml"/>
    <n v="1"/>
    <n v="54.56"/>
    <n v="0.3"/>
    <x v="3"/>
    <n v="38.19"/>
    <n v="26.49"/>
    <n v="11.7"/>
    <n v="1"/>
    <n v="0"/>
    <n v="5"/>
    <n v="4"/>
  </r>
  <r>
    <s v="SW-102373"/>
    <d v="2024-12-19T00:00:00"/>
    <x v="0"/>
    <s v="Q4"/>
    <x v="11"/>
    <x v="2"/>
    <x v="0"/>
    <x v="0"/>
    <x v="4"/>
    <s v="Bluetooth Speaker"/>
    <n v="4"/>
    <n v="177.65"/>
    <n v="0.25"/>
    <x v="3"/>
    <n v="532.95000000000005"/>
    <n v="552.29"/>
    <n v="-19.34"/>
    <n v="1"/>
    <n v="0"/>
    <n v="4"/>
    <n v="4"/>
  </r>
  <r>
    <s v="SW-102374"/>
    <d v="2024-12-19T00:00:00"/>
    <x v="0"/>
    <s v="Q4"/>
    <x v="11"/>
    <x v="0"/>
    <x v="4"/>
    <x v="0"/>
    <x v="5"/>
    <s v="Board Game"/>
    <n v="3"/>
    <n v="57.92"/>
    <n v="0.2"/>
    <x v="1"/>
    <n v="139.01"/>
    <n v="123.25"/>
    <n v="15.76"/>
    <n v="1"/>
    <n v="0"/>
    <n v="6"/>
    <n v="4"/>
  </r>
  <r>
    <s v="SW-102375"/>
    <d v="2024-12-19T00:00:00"/>
    <x v="0"/>
    <s v="Q4"/>
    <x v="11"/>
    <x v="0"/>
    <x v="0"/>
    <x v="0"/>
    <x v="0"/>
    <s v="Running Sneakers"/>
    <n v="2"/>
    <n v="94.85"/>
    <n v="0.25"/>
    <x v="3"/>
    <n v="142.27000000000001"/>
    <n v="105.2"/>
    <n v="37.07"/>
    <n v="1"/>
    <n v="0"/>
    <n v="4"/>
    <n v="4"/>
  </r>
  <r>
    <s v="SW-102376"/>
    <d v="2024-12-19T00:00:00"/>
    <x v="0"/>
    <s v="Q4"/>
    <x v="11"/>
    <x v="1"/>
    <x v="2"/>
    <x v="1"/>
    <x v="4"/>
    <s v="Bluetooth Speaker"/>
    <n v="2"/>
    <n v="177.65"/>
    <n v="0.15"/>
    <x v="1"/>
    <n v="302"/>
    <n v="274.14"/>
    <n v="27.86"/>
    <n v="1"/>
    <n v="0"/>
    <n v="5"/>
    <n v="4"/>
  </r>
  <r>
    <s v="SW-102377"/>
    <d v="2024-12-20T00:00:00"/>
    <x v="0"/>
    <s v="Q4"/>
    <x v="11"/>
    <x v="2"/>
    <x v="3"/>
    <x v="1"/>
    <x v="3"/>
    <s v="Dumbbell Set"/>
    <n v="1"/>
    <n v="198.42"/>
    <n v="0.05"/>
    <x v="0"/>
    <n v="188.5"/>
    <n v="126.08"/>
    <n v="62.42"/>
    <n v="1"/>
    <n v="0"/>
    <n v="5"/>
    <n v="3"/>
  </r>
  <r>
    <s v="SW-102378"/>
    <d v="2024-12-20T00:00:00"/>
    <x v="0"/>
    <s v="Q4"/>
    <x v="11"/>
    <x v="0"/>
    <x v="4"/>
    <x v="1"/>
    <x v="2"/>
    <s v="Cookware Set"/>
    <n v="4"/>
    <n v="233.81"/>
    <n v="0.25"/>
    <x v="3"/>
    <n v="701.43"/>
    <n v="630.94000000000005"/>
    <n v="70.489999999999995"/>
    <n v="1"/>
    <n v="0"/>
    <n v="6"/>
    <n v="4"/>
  </r>
  <r>
    <s v="SW-102379"/>
    <d v="2024-12-20T00:00:00"/>
    <x v="0"/>
    <s v="Q4"/>
    <x v="11"/>
    <x v="1"/>
    <x v="3"/>
    <x v="1"/>
    <x v="5"/>
    <s v="Board Game"/>
    <n v="3"/>
    <n v="57.92"/>
    <n v="0.2"/>
    <x v="1"/>
    <n v="139.01"/>
    <n v="128.63999999999999"/>
    <n v="10.37"/>
    <n v="1"/>
    <n v="0"/>
    <n v="3"/>
    <n v="4"/>
  </r>
  <r>
    <s v="SW-102380"/>
    <d v="2024-12-20T00:00:00"/>
    <x v="0"/>
    <s v="Q4"/>
    <x v="11"/>
    <x v="0"/>
    <x v="3"/>
    <x v="1"/>
    <x v="2"/>
    <s v="Desk Lamp"/>
    <n v="1"/>
    <n v="117.63"/>
    <n v="0.2"/>
    <x v="1"/>
    <n v="94.1"/>
    <n v="75.56"/>
    <n v="18.54"/>
    <n v="1"/>
    <n v="0"/>
    <n v="3"/>
    <n v="4"/>
  </r>
  <r>
    <s v="SW-102381"/>
    <d v="2024-12-20T00:00:00"/>
    <x v="0"/>
    <s v="Q4"/>
    <x v="11"/>
    <x v="0"/>
    <x v="0"/>
    <x v="1"/>
    <x v="2"/>
    <s v="Cookware Set"/>
    <n v="4"/>
    <n v="233.81"/>
    <n v="0"/>
    <x v="2"/>
    <n v="935.24"/>
    <n v="611.79999999999995"/>
    <n v="323.44"/>
    <n v="1"/>
    <n v="0"/>
    <n v="4"/>
    <n v="4"/>
  </r>
  <r>
    <s v="SW-102382"/>
    <d v="2024-12-20T00:00:00"/>
    <x v="0"/>
    <s v="Q4"/>
    <x v="11"/>
    <x v="0"/>
    <x v="3"/>
    <x v="0"/>
    <x v="4"/>
    <s v="Tablet 10in"/>
    <n v="1"/>
    <n v="490.3"/>
    <n v="0.2"/>
    <x v="1"/>
    <n v="392.24"/>
    <n v="391.94"/>
    <n v="0.3"/>
    <n v="1"/>
    <n v="0"/>
    <n v="3"/>
    <n v="5"/>
  </r>
  <r>
    <s v="SW-102383"/>
    <d v="2024-12-21T00:00:00"/>
    <x v="0"/>
    <s v="Q4"/>
    <x v="11"/>
    <x v="0"/>
    <x v="0"/>
    <x v="1"/>
    <x v="4"/>
    <s v="Smart Watch"/>
    <n v="1"/>
    <n v="216.08"/>
    <n v="0.2"/>
    <x v="1"/>
    <n v="172.86"/>
    <n v="180.77"/>
    <n v="-7.91"/>
    <n v="1"/>
    <n v="0"/>
    <n v="6"/>
    <n v="3"/>
  </r>
  <r>
    <s v="SW-102384"/>
    <d v="2024-12-21T00:00:00"/>
    <x v="0"/>
    <s v="Q4"/>
    <x v="11"/>
    <x v="0"/>
    <x v="3"/>
    <x v="1"/>
    <x v="3"/>
    <s v="Camping Tent"/>
    <n v="2"/>
    <n v="83.06"/>
    <n v="0.15"/>
    <x v="1"/>
    <n v="141.19999999999999"/>
    <n v="114.59"/>
    <n v="26.61"/>
    <n v="1"/>
    <n v="0"/>
    <n v="4"/>
    <n v="4"/>
  </r>
  <r>
    <s v="SW-102385"/>
    <d v="2024-12-21T00:00:00"/>
    <x v="0"/>
    <s v="Q4"/>
    <x v="11"/>
    <x v="1"/>
    <x v="2"/>
    <x v="1"/>
    <x v="1"/>
    <s v="Hair Dryer"/>
    <n v="1"/>
    <n v="33.18"/>
    <n v="0.25"/>
    <x v="3"/>
    <n v="24.88"/>
    <n v="16.63"/>
    <n v="8.25"/>
    <n v="1"/>
    <n v="0"/>
    <n v="4"/>
    <n v="5"/>
  </r>
  <r>
    <s v="SW-102386"/>
    <d v="2024-12-21T00:00:00"/>
    <x v="0"/>
    <s v="Q4"/>
    <x v="11"/>
    <x v="1"/>
    <x v="3"/>
    <x v="0"/>
    <x v="4"/>
    <s v="Bluetooth Speaker"/>
    <n v="3"/>
    <n v="177.65"/>
    <n v="0.25"/>
    <x v="3"/>
    <n v="399.71"/>
    <n v="432.5"/>
    <n v="-32.79"/>
    <n v="1"/>
    <n v="0"/>
    <n v="3"/>
    <n v="5"/>
  </r>
  <r>
    <s v="SW-102387"/>
    <d v="2024-12-21T00:00:00"/>
    <x v="0"/>
    <s v="Q4"/>
    <x v="11"/>
    <x v="0"/>
    <x v="0"/>
    <x v="1"/>
    <x v="3"/>
    <s v="Cycling Helmet"/>
    <n v="1"/>
    <n v="85.42"/>
    <n v="0.2"/>
    <x v="1"/>
    <n v="68.34"/>
    <n v="55.85"/>
    <n v="12.49"/>
    <n v="1"/>
    <n v="1"/>
    <n v="5"/>
    <n v="4"/>
  </r>
  <r>
    <s v="SW-102388"/>
    <d v="2024-12-21T00:00:00"/>
    <x v="0"/>
    <s v="Q4"/>
    <x v="11"/>
    <x v="1"/>
    <x v="3"/>
    <x v="1"/>
    <x v="1"/>
    <s v="Face Serum"/>
    <n v="2"/>
    <n v="33.479999999999997"/>
    <n v="0"/>
    <x v="2"/>
    <n v="66.959999999999994"/>
    <n v="32.15"/>
    <n v="34.81"/>
    <n v="1"/>
    <n v="0"/>
    <n v="4"/>
    <n v="4"/>
  </r>
  <r>
    <s v="SW-102389"/>
    <d v="2024-12-21T00:00:00"/>
    <x v="0"/>
    <s v="Q4"/>
    <x v="11"/>
    <x v="1"/>
    <x v="0"/>
    <x v="0"/>
    <x v="2"/>
    <s v="Storage Boxes"/>
    <n v="1"/>
    <n v="154.66"/>
    <n v="0.1"/>
    <x v="0"/>
    <n v="139.19"/>
    <n v="105.84"/>
    <n v="33.35"/>
    <n v="1"/>
    <n v="0"/>
    <n v="5"/>
    <n v="5"/>
  </r>
  <r>
    <s v="SW-102390"/>
    <d v="2024-12-21T00:00:00"/>
    <x v="0"/>
    <s v="Q4"/>
    <x v="11"/>
    <x v="0"/>
    <x v="2"/>
    <x v="0"/>
    <x v="4"/>
    <s v="Smart Watch"/>
    <n v="1"/>
    <n v="216.08"/>
    <n v="0.1"/>
    <x v="0"/>
    <n v="194.47"/>
    <n v="172.47"/>
    <n v="22"/>
    <n v="1"/>
    <n v="0"/>
    <n v="4"/>
    <n v="5"/>
  </r>
  <r>
    <s v="SW-102391"/>
    <d v="2024-12-22T00:00:00"/>
    <x v="0"/>
    <s v="Q4"/>
    <x v="11"/>
    <x v="0"/>
    <x v="3"/>
    <x v="1"/>
    <x v="2"/>
    <s v="Cookware Set"/>
    <n v="2"/>
    <n v="233.81"/>
    <n v="0.1"/>
    <x v="0"/>
    <n v="420.86"/>
    <n v="309.02999999999997"/>
    <n v="111.83"/>
    <n v="1"/>
    <n v="0"/>
    <n v="3"/>
    <n v="5"/>
  </r>
  <r>
    <s v="SW-102392"/>
    <d v="2024-12-22T00:00:00"/>
    <x v="0"/>
    <s v="Q4"/>
    <x v="11"/>
    <x v="2"/>
    <x v="3"/>
    <x v="1"/>
    <x v="4"/>
    <s v="Bluetooth Speaker"/>
    <n v="2"/>
    <n v="177.65"/>
    <n v="0.1"/>
    <x v="0"/>
    <n v="319.77"/>
    <n v="271.2"/>
    <n v="48.57"/>
    <n v="1"/>
    <n v="1"/>
    <n v="4"/>
    <n v="4"/>
  </r>
  <r>
    <s v="SW-102393"/>
    <d v="2024-12-22T00:00:00"/>
    <x v="0"/>
    <s v="Q4"/>
    <x v="11"/>
    <x v="2"/>
    <x v="0"/>
    <x v="1"/>
    <x v="5"/>
    <s v="Building Blocks"/>
    <n v="2"/>
    <n v="48.86"/>
    <n v="0.25"/>
    <x v="3"/>
    <n v="73.290000000000006"/>
    <n v="67.67"/>
    <n v="5.62"/>
    <n v="1"/>
    <n v="0"/>
    <n v="4"/>
    <n v="4"/>
  </r>
  <r>
    <s v="SW-102394"/>
    <d v="2024-12-22T00:00:00"/>
    <x v="0"/>
    <s v="Q4"/>
    <x v="11"/>
    <x v="2"/>
    <x v="3"/>
    <x v="0"/>
    <x v="3"/>
    <s v="Cycling Helmet"/>
    <n v="1"/>
    <n v="85.42"/>
    <n v="0.1"/>
    <x v="0"/>
    <n v="76.88"/>
    <n v="60.57"/>
    <n v="16.309999999999999"/>
    <n v="1"/>
    <n v="0"/>
    <n v="3"/>
    <n v="4"/>
  </r>
  <r>
    <s v="SW-102395"/>
    <d v="2024-12-22T00:00:00"/>
    <x v="0"/>
    <s v="Q4"/>
    <x v="11"/>
    <x v="0"/>
    <x v="4"/>
    <x v="1"/>
    <x v="1"/>
    <s v="Skin Care Bundle"/>
    <n v="1"/>
    <n v="92.54"/>
    <n v="0.3"/>
    <x v="3"/>
    <n v="64.78"/>
    <n v="42.59"/>
    <n v="22.19"/>
    <n v="1"/>
    <n v="0"/>
    <n v="6"/>
    <n v="3"/>
  </r>
  <r>
    <s v="SW-102396"/>
    <d v="2024-12-22T00:00:00"/>
    <x v="0"/>
    <s v="Q4"/>
    <x v="11"/>
    <x v="0"/>
    <x v="2"/>
    <x v="1"/>
    <x v="2"/>
    <s v="Storage Boxes"/>
    <n v="1"/>
    <n v="154.66"/>
    <n v="0.2"/>
    <x v="1"/>
    <n v="123.73"/>
    <n v="101.61"/>
    <n v="22.12"/>
    <n v="1"/>
    <n v="0"/>
    <n v="4"/>
    <n v="5"/>
  </r>
  <r>
    <s v="SW-102397"/>
    <d v="2024-12-22T00:00:00"/>
    <x v="0"/>
    <s v="Q4"/>
    <x v="11"/>
    <x v="1"/>
    <x v="2"/>
    <x v="1"/>
    <x v="1"/>
    <s v="Hair Dryer"/>
    <n v="1"/>
    <n v="33.18"/>
    <n v="0.05"/>
    <x v="0"/>
    <n v="31.52"/>
    <n v="16.14"/>
    <n v="15.38"/>
    <n v="1"/>
    <n v="0"/>
    <n v="4"/>
    <n v="4"/>
  </r>
  <r>
    <s v="SW-102398"/>
    <d v="2024-12-22T00:00:00"/>
    <x v="0"/>
    <s v="Q4"/>
    <x v="11"/>
    <x v="0"/>
    <x v="3"/>
    <x v="0"/>
    <x v="4"/>
    <s v="4K Action Camera"/>
    <n v="1"/>
    <n v="636.09"/>
    <n v="0.1"/>
    <x v="0"/>
    <n v="572.48"/>
    <n v="482.95"/>
    <n v="89.53"/>
    <n v="1"/>
    <n v="0"/>
    <n v="4"/>
    <n v="4"/>
  </r>
  <r>
    <s v="SW-102399"/>
    <d v="2024-12-22T00:00:00"/>
    <x v="0"/>
    <s v="Q4"/>
    <x v="11"/>
    <x v="0"/>
    <x v="2"/>
    <x v="0"/>
    <x v="2"/>
    <s v="Storage Boxes"/>
    <n v="1"/>
    <n v="154.66"/>
    <n v="0.1"/>
    <x v="0"/>
    <n v="139.19"/>
    <n v="101.77"/>
    <n v="37.42"/>
    <n v="1"/>
    <n v="0"/>
    <n v="5"/>
    <n v="5"/>
  </r>
  <r>
    <s v="SW-102400"/>
    <d v="2024-12-22T00:00:00"/>
    <x v="0"/>
    <s v="Q4"/>
    <x v="11"/>
    <x v="0"/>
    <x v="3"/>
    <x v="0"/>
    <x v="0"/>
    <s v="Denim Jacket"/>
    <n v="2"/>
    <n v="78.510000000000005"/>
    <n v="0.1"/>
    <x v="0"/>
    <n v="141.32"/>
    <n v="82.18"/>
    <n v="59.14"/>
    <n v="1"/>
    <n v="0"/>
    <n v="4"/>
    <n v="5"/>
  </r>
  <r>
    <s v="SW-102401"/>
    <d v="2024-12-22T00:00:00"/>
    <x v="0"/>
    <s v="Q4"/>
    <x v="11"/>
    <x v="1"/>
    <x v="3"/>
    <x v="0"/>
    <x v="1"/>
    <s v="Perfume 100ml"/>
    <n v="1"/>
    <n v="54.56"/>
    <n v="0.3"/>
    <x v="3"/>
    <n v="38.19"/>
    <n v="26.78"/>
    <n v="11.41"/>
    <n v="1"/>
    <n v="0"/>
    <n v="4"/>
    <n v="5"/>
  </r>
  <r>
    <s v="SW-102402"/>
    <d v="2024-12-22T00:00:00"/>
    <x v="0"/>
    <s v="Q4"/>
    <x v="11"/>
    <x v="0"/>
    <x v="0"/>
    <x v="0"/>
    <x v="1"/>
    <s v="Makeup Kit"/>
    <n v="1"/>
    <n v="74.3"/>
    <n v="0.15"/>
    <x v="1"/>
    <n v="63.15"/>
    <n v="35.17"/>
    <n v="27.98"/>
    <n v="1"/>
    <n v="0"/>
    <n v="7"/>
    <n v="4"/>
  </r>
  <r>
    <s v="SW-102403"/>
    <d v="2024-12-22T00:00:00"/>
    <x v="0"/>
    <s v="Q4"/>
    <x v="11"/>
    <x v="1"/>
    <x v="0"/>
    <x v="1"/>
    <x v="4"/>
    <s v="Tablet 10in"/>
    <n v="1"/>
    <n v="490.3"/>
    <n v="0.2"/>
    <x v="1"/>
    <n v="392.24"/>
    <n v="383.84"/>
    <n v="8.4"/>
    <n v="1"/>
    <n v="0"/>
    <n v="5"/>
    <n v="5"/>
  </r>
  <r>
    <s v="SW-102404"/>
    <d v="2024-12-22T00:00:00"/>
    <x v="0"/>
    <s v="Q4"/>
    <x v="11"/>
    <x v="0"/>
    <x v="0"/>
    <x v="1"/>
    <x v="0"/>
    <s v="Running Sneakers"/>
    <n v="1"/>
    <n v="94.85"/>
    <n v="0.05"/>
    <x v="0"/>
    <n v="90.11"/>
    <n v="50.96"/>
    <n v="39.15"/>
    <n v="1"/>
    <n v="0"/>
    <n v="5"/>
    <n v="5"/>
  </r>
  <r>
    <s v="SW-102405"/>
    <d v="2024-12-22T00:00:00"/>
    <x v="0"/>
    <s v="Q4"/>
    <x v="11"/>
    <x v="1"/>
    <x v="0"/>
    <x v="1"/>
    <x v="3"/>
    <s v="Fitness Tracker"/>
    <n v="4"/>
    <n v="74.459999999999994"/>
    <n v="0.05"/>
    <x v="0"/>
    <n v="282.95"/>
    <n v="201.57"/>
    <n v="81.38"/>
    <n v="1"/>
    <n v="0"/>
    <n v="5"/>
    <n v="3"/>
  </r>
  <r>
    <s v="SW-102406"/>
    <d v="2024-12-22T00:00:00"/>
    <x v="0"/>
    <s v="Q4"/>
    <x v="11"/>
    <x v="2"/>
    <x v="0"/>
    <x v="1"/>
    <x v="0"/>
    <s v="Cotton T-Shirt"/>
    <n v="1"/>
    <n v="19.41"/>
    <n v="0.1"/>
    <x v="0"/>
    <n v="17.47"/>
    <n v="11.01"/>
    <n v="6.46"/>
    <n v="1"/>
    <n v="0"/>
    <n v="6"/>
    <n v="3"/>
  </r>
  <r>
    <s v="SW-102407"/>
    <d v="2024-12-22T00:00:00"/>
    <x v="0"/>
    <s v="Q4"/>
    <x v="11"/>
    <x v="1"/>
    <x v="0"/>
    <x v="0"/>
    <x v="3"/>
    <s v="Camping Tent"/>
    <n v="2"/>
    <n v="83.06"/>
    <n v="0.25"/>
    <x v="3"/>
    <n v="124.59"/>
    <n v="106.82"/>
    <n v="17.77"/>
    <n v="1"/>
    <n v="0"/>
    <n v="4"/>
    <n v="5"/>
  </r>
  <r>
    <s v="SW-102408"/>
    <d v="2024-12-22T00:00:00"/>
    <x v="0"/>
    <s v="Q4"/>
    <x v="11"/>
    <x v="0"/>
    <x v="1"/>
    <x v="1"/>
    <x v="4"/>
    <s v="Smart Watch"/>
    <n v="1"/>
    <n v="216.08"/>
    <n v="0.15"/>
    <x v="1"/>
    <n v="183.67"/>
    <n v="172.5"/>
    <n v="11.17"/>
    <n v="1"/>
    <n v="0"/>
    <n v="7"/>
    <n v="3"/>
  </r>
  <r>
    <s v="SW-102409"/>
    <d v="2024-12-22T00:00:00"/>
    <x v="0"/>
    <s v="Q4"/>
    <x v="11"/>
    <x v="1"/>
    <x v="3"/>
    <x v="1"/>
    <x v="0"/>
    <s v="Denim Jacket"/>
    <n v="3"/>
    <n v="78.510000000000005"/>
    <n v="0.2"/>
    <x v="1"/>
    <n v="188.42"/>
    <n v="128"/>
    <n v="60.42"/>
    <n v="1"/>
    <n v="0"/>
    <n v="7"/>
    <n v="4"/>
  </r>
  <r>
    <s v="SW-102410"/>
    <d v="2024-12-22T00:00:00"/>
    <x v="0"/>
    <s v="Q4"/>
    <x v="11"/>
    <x v="0"/>
    <x v="1"/>
    <x v="1"/>
    <x v="4"/>
    <s v="4K Action Camera"/>
    <n v="1"/>
    <n v="636.09"/>
    <n v="0.3"/>
    <x v="3"/>
    <n v="445.26"/>
    <n v="493.47"/>
    <n v="-48.21"/>
    <n v="1"/>
    <n v="0"/>
    <n v="7"/>
    <n v="4"/>
  </r>
  <r>
    <s v="SW-102411"/>
    <d v="2024-12-22T00:00:00"/>
    <x v="0"/>
    <s v="Q4"/>
    <x v="11"/>
    <x v="0"/>
    <x v="3"/>
    <x v="1"/>
    <x v="1"/>
    <s v="Hair Dryer"/>
    <n v="1"/>
    <n v="33.18"/>
    <n v="0.2"/>
    <x v="1"/>
    <n v="26.54"/>
    <n v="16.329999999999998"/>
    <n v="10.210000000000001"/>
    <n v="1"/>
    <n v="0"/>
    <n v="4"/>
    <n v="5"/>
  </r>
  <r>
    <s v="SW-102412"/>
    <d v="2024-12-23T00:00:00"/>
    <x v="0"/>
    <s v="Q4"/>
    <x v="11"/>
    <x v="2"/>
    <x v="2"/>
    <x v="0"/>
    <x v="0"/>
    <s v="Cotton T-Shirt"/>
    <n v="1"/>
    <n v="19.41"/>
    <n v="0.2"/>
    <x v="1"/>
    <n v="15.53"/>
    <n v="10.97"/>
    <n v="4.5599999999999996"/>
    <n v="1"/>
    <n v="0"/>
    <n v="5"/>
    <n v="5"/>
  </r>
  <r>
    <s v="SW-102413"/>
    <d v="2024-12-23T00:00:00"/>
    <x v="0"/>
    <s v="Q4"/>
    <x v="11"/>
    <x v="0"/>
    <x v="1"/>
    <x v="1"/>
    <x v="2"/>
    <s v="Cookware Set"/>
    <n v="4"/>
    <n v="233.81"/>
    <n v="0.15"/>
    <x v="1"/>
    <n v="794.95"/>
    <n v="599.79"/>
    <n v="195.16"/>
    <n v="1"/>
    <n v="1"/>
    <n v="8"/>
    <n v="2"/>
  </r>
  <r>
    <s v="SW-102414"/>
    <d v="2024-12-23T00:00:00"/>
    <x v="0"/>
    <s v="Q4"/>
    <x v="11"/>
    <x v="0"/>
    <x v="2"/>
    <x v="0"/>
    <x v="5"/>
    <s v="Bestseller Novel"/>
    <n v="4"/>
    <n v="45.28"/>
    <n v="0.3"/>
    <x v="3"/>
    <n v="126.78"/>
    <n v="136.21"/>
    <n v="-9.43"/>
    <n v="1"/>
    <n v="0"/>
    <n v="5"/>
    <n v="4"/>
  </r>
  <r>
    <s v="SW-102415"/>
    <d v="2024-12-23T00:00:00"/>
    <x v="0"/>
    <s v="Q4"/>
    <x v="11"/>
    <x v="2"/>
    <x v="3"/>
    <x v="1"/>
    <x v="0"/>
    <s v="Sunglasses"/>
    <n v="1"/>
    <n v="104.94"/>
    <n v="0.05"/>
    <x v="0"/>
    <n v="99.69"/>
    <n v="56.92"/>
    <n v="42.77"/>
    <n v="1"/>
    <n v="0"/>
    <n v="6"/>
    <n v="3"/>
  </r>
  <r>
    <s v="SW-102416"/>
    <d v="2024-12-23T00:00:00"/>
    <x v="0"/>
    <s v="Q4"/>
    <x v="11"/>
    <x v="0"/>
    <x v="3"/>
    <x v="1"/>
    <x v="5"/>
    <s v="Bestseller Novel"/>
    <n v="1"/>
    <n v="45.28"/>
    <n v="0.1"/>
    <x v="0"/>
    <n v="40.75"/>
    <n v="32.83"/>
    <n v="7.92"/>
    <n v="1"/>
    <n v="0"/>
    <n v="5"/>
    <n v="4"/>
  </r>
  <r>
    <s v="SW-102417"/>
    <d v="2024-12-23T00:00:00"/>
    <x v="0"/>
    <s v="Q4"/>
    <x v="11"/>
    <x v="1"/>
    <x v="4"/>
    <x v="1"/>
    <x v="1"/>
    <s v="Face Serum"/>
    <n v="1"/>
    <n v="33.479999999999997"/>
    <n v="0.25"/>
    <x v="3"/>
    <n v="25.11"/>
    <n v="16.690000000000001"/>
    <n v="8.42"/>
    <n v="1"/>
    <n v="0"/>
    <n v="7"/>
    <n v="3"/>
  </r>
  <r>
    <s v="SW-102418"/>
    <d v="2024-12-24T00:00:00"/>
    <x v="0"/>
    <s v="Q4"/>
    <x v="11"/>
    <x v="0"/>
    <x v="2"/>
    <x v="0"/>
    <x v="4"/>
    <s v="Bluetooth Speaker"/>
    <n v="2"/>
    <n v="177.65"/>
    <n v="0.25"/>
    <x v="3"/>
    <n v="266.48"/>
    <n v="281.19"/>
    <n v="-14.71"/>
    <n v="1"/>
    <n v="0"/>
    <n v="7"/>
    <n v="4"/>
  </r>
  <r>
    <s v="SW-102419"/>
    <d v="2024-12-24T00:00:00"/>
    <x v="0"/>
    <s v="Q4"/>
    <x v="11"/>
    <x v="1"/>
    <x v="0"/>
    <x v="0"/>
    <x v="0"/>
    <s v="Denim Jacket"/>
    <n v="2"/>
    <n v="78.510000000000005"/>
    <n v="0.2"/>
    <x v="1"/>
    <n v="125.62"/>
    <n v="86.75"/>
    <n v="38.869999999999997"/>
    <n v="1"/>
    <n v="0"/>
    <n v="5"/>
    <n v="5"/>
  </r>
  <r>
    <s v="SW-102420"/>
    <d v="2024-12-24T00:00:00"/>
    <x v="0"/>
    <s v="Q4"/>
    <x v="11"/>
    <x v="0"/>
    <x v="2"/>
    <x v="1"/>
    <x v="1"/>
    <s v="Face Serum"/>
    <n v="2"/>
    <n v="33.479999999999997"/>
    <n v="0.1"/>
    <x v="0"/>
    <n v="60.26"/>
    <n v="32.520000000000003"/>
    <n v="27.74"/>
    <n v="1"/>
    <n v="0"/>
    <n v="4"/>
    <n v="4"/>
  </r>
  <r>
    <s v="SW-102421"/>
    <d v="2024-12-24T00:00:00"/>
    <x v="0"/>
    <s v="Q4"/>
    <x v="11"/>
    <x v="0"/>
    <x v="3"/>
    <x v="0"/>
    <x v="4"/>
    <s v="Power Bank"/>
    <n v="1"/>
    <n v="508.8"/>
    <n v="0.15"/>
    <x v="1"/>
    <n v="432.48"/>
    <n v="423.72"/>
    <n v="8.76"/>
    <n v="1"/>
    <n v="0"/>
    <n v="5"/>
    <n v="5"/>
  </r>
  <r>
    <s v="SW-102422"/>
    <d v="2024-12-24T00:00:00"/>
    <x v="0"/>
    <s v="Q4"/>
    <x v="11"/>
    <x v="0"/>
    <x v="3"/>
    <x v="1"/>
    <x v="0"/>
    <s v="Running Sneakers"/>
    <n v="1"/>
    <n v="94.85"/>
    <n v="0.05"/>
    <x v="0"/>
    <n v="90.11"/>
    <n v="50.75"/>
    <n v="39.36"/>
    <n v="1"/>
    <n v="0"/>
    <n v="4"/>
    <n v="4"/>
  </r>
  <r>
    <s v="SW-102423"/>
    <d v="2024-12-24T00:00:00"/>
    <x v="0"/>
    <s v="Q4"/>
    <x v="11"/>
    <x v="2"/>
    <x v="2"/>
    <x v="0"/>
    <x v="4"/>
    <s v="Bluetooth Speaker"/>
    <n v="3"/>
    <n v="177.65"/>
    <n v="0.05"/>
    <x v="0"/>
    <n v="506.3"/>
    <n v="419.05"/>
    <n v="87.25"/>
    <n v="1"/>
    <n v="1"/>
    <n v="4"/>
    <n v="4"/>
  </r>
  <r>
    <s v="SW-102424"/>
    <d v="2024-12-24T00:00:00"/>
    <x v="0"/>
    <s v="Q4"/>
    <x v="11"/>
    <x v="2"/>
    <x v="1"/>
    <x v="1"/>
    <x v="4"/>
    <s v="Power Bank"/>
    <n v="2"/>
    <n v="508.8"/>
    <n v="0.3"/>
    <x v="3"/>
    <n v="712.32"/>
    <n v="826.64"/>
    <n v="-114.32"/>
    <n v="1"/>
    <n v="0"/>
    <n v="7"/>
    <n v="3"/>
  </r>
  <r>
    <s v="SW-102425"/>
    <d v="2024-12-25T00:00:00"/>
    <x v="0"/>
    <s v="Q4"/>
    <x v="11"/>
    <x v="0"/>
    <x v="3"/>
    <x v="0"/>
    <x v="4"/>
    <s v="Smart Watch"/>
    <n v="2"/>
    <n v="216.08"/>
    <n v="0.15"/>
    <x v="1"/>
    <n v="367.34"/>
    <n v="347.76"/>
    <n v="19.579999999999998"/>
    <n v="1"/>
    <n v="0"/>
    <n v="5"/>
    <n v="4"/>
  </r>
  <r>
    <s v="SW-102426"/>
    <d v="2024-12-25T00:00:00"/>
    <x v="0"/>
    <s v="Q4"/>
    <x v="11"/>
    <x v="0"/>
    <x v="0"/>
    <x v="1"/>
    <x v="4"/>
    <s v="Tablet 10in"/>
    <n v="2"/>
    <n v="490.3"/>
    <n v="0"/>
    <x v="2"/>
    <n v="980.6"/>
    <n v="755.69"/>
    <n v="224.91"/>
    <n v="1"/>
    <n v="0"/>
    <n v="5"/>
    <n v="5"/>
  </r>
  <r>
    <s v="SW-102427"/>
    <d v="2024-12-25T00:00:00"/>
    <x v="0"/>
    <s v="Q4"/>
    <x v="11"/>
    <x v="0"/>
    <x v="3"/>
    <x v="1"/>
    <x v="2"/>
    <s v="Storage Boxes"/>
    <n v="2"/>
    <n v="154.66"/>
    <n v="0.3"/>
    <x v="3"/>
    <n v="216.52"/>
    <n v="204.32"/>
    <n v="12.2"/>
    <n v="1"/>
    <n v="0"/>
    <n v="3"/>
    <n v="4"/>
  </r>
  <r>
    <s v="SW-102428"/>
    <d v="2024-12-25T00:00:00"/>
    <x v="0"/>
    <s v="Q4"/>
    <x v="11"/>
    <x v="2"/>
    <x v="0"/>
    <x v="1"/>
    <x v="4"/>
    <s v="Tablet 10in"/>
    <n v="1"/>
    <n v="490.3"/>
    <n v="0.3"/>
    <x v="3"/>
    <n v="343.21"/>
    <n v="398.31"/>
    <n v="-55.1"/>
    <n v="1"/>
    <n v="0"/>
    <n v="4"/>
    <n v="5"/>
  </r>
  <r>
    <s v="SW-102429"/>
    <d v="2024-12-25T00:00:00"/>
    <x v="0"/>
    <s v="Q4"/>
    <x v="11"/>
    <x v="2"/>
    <x v="3"/>
    <x v="1"/>
    <x v="0"/>
    <s v="Leather Handbag"/>
    <n v="1"/>
    <n v="138.5"/>
    <n v="0.25"/>
    <x v="3"/>
    <n v="103.88"/>
    <n v="75.459999999999994"/>
    <n v="28.42"/>
    <n v="1"/>
    <n v="1"/>
    <n v="5"/>
    <n v="3"/>
  </r>
  <r>
    <s v="SW-102430"/>
    <d v="2024-12-25T00:00:00"/>
    <x v="0"/>
    <s v="Q4"/>
    <x v="11"/>
    <x v="1"/>
    <x v="0"/>
    <x v="1"/>
    <x v="2"/>
    <s v="Air Fryer"/>
    <n v="1"/>
    <n v="68.349999999999994"/>
    <n v="0.05"/>
    <x v="0"/>
    <n v="64.930000000000007"/>
    <n v="44.31"/>
    <n v="20.62"/>
    <n v="1"/>
    <n v="0"/>
    <n v="5"/>
    <n v="5"/>
  </r>
  <r>
    <s v="SW-102431"/>
    <d v="2024-12-25T00:00:00"/>
    <x v="0"/>
    <s v="Q4"/>
    <x v="11"/>
    <x v="0"/>
    <x v="3"/>
    <x v="0"/>
    <x v="2"/>
    <s v="Air Fryer"/>
    <n v="1"/>
    <n v="68.349999999999994"/>
    <n v="0.1"/>
    <x v="0"/>
    <n v="61.51"/>
    <n v="44.62"/>
    <n v="16.89"/>
    <n v="1"/>
    <n v="0"/>
    <n v="4"/>
    <n v="4"/>
  </r>
  <r>
    <s v="SW-102432"/>
    <d v="2024-12-25T00:00:00"/>
    <x v="0"/>
    <s v="Q4"/>
    <x v="11"/>
    <x v="2"/>
    <x v="3"/>
    <x v="1"/>
    <x v="0"/>
    <s v="Leather Handbag"/>
    <n v="3"/>
    <n v="138.5"/>
    <n v="0.25"/>
    <x v="3"/>
    <n v="311.62"/>
    <n v="228.25"/>
    <n v="83.37"/>
    <n v="1"/>
    <n v="0"/>
    <n v="3"/>
    <n v="4"/>
  </r>
  <r>
    <s v="SW-102433"/>
    <d v="2024-12-25T00:00:00"/>
    <x v="0"/>
    <s v="Q4"/>
    <x v="11"/>
    <x v="0"/>
    <x v="1"/>
    <x v="0"/>
    <x v="1"/>
    <s v="Hair Dryer"/>
    <n v="3"/>
    <n v="33.18"/>
    <n v="0"/>
    <x v="2"/>
    <n v="99.54"/>
    <n v="48.4"/>
    <n v="51.14"/>
    <n v="1"/>
    <n v="0"/>
    <n v="6"/>
    <n v="5"/>
  </r>
  <r>
    <s v="SW-102434"/>
    <d v="2024-12-26T00:00:00"/>
    <x v="0"/>
    <s v="Q4"/>
    <x v="11"/>
    <x v="2"/>
    <x v="2"/>
    <x v="1"/>
    <x v="4"/>
    <s v="Wireless Earbuds"/>
    <n v="3"/>
    <n v="588.41"/>
    <n v="0.25"/>
    <x v="3"/>
    <n v="1323.92"/>
    <n v="1395.38"/>
    <n v="-71.459999999999994"/>
    <n v="1"/>
    <n v="0"/>
    <n v="4"/>
    <n v="4"/>
  </r>
  <r>
    <s v="SW-102435"/>
    <d v="2024-12-26T00:00:00"/>
    <x v="0"/>
    <s v="Q4"/>
    <x v="11"/>
    <x v="0"/>
    <x v="3"/>
    <x v="1"/>
    <x v="5"/>
    <s v="Story Book Set"/>
    <n v="1"/>
    <n v="10.76"/>
    <n v="0.3"/>
    <x v="3"/>
    <n v="7.53"/>
    <n v="7.41"/>
    <n v="0.12"/>
    <n v="1"/>
    <n v="0"/>
    <n v="4"/>
    <n v="4"/>
  </r>
  <r>
    <s v="SW-102436"/>
    <d v="2024-12-26T00:00:00"/>
    <x v="0"/>
    <s v="Q4"/>
    <x v="11"/>
    <x v="1"/>
    <x v="3"/>
    <x v="0"/>
    <x v="1"/>
    <s v="Hair Dryer"/>
    <n v="1"/>
    <n v="33.18"/>
    <n v="0.2"/>
    <x v="1"/>
    <n v="26.54"/>
    <n v="15.09"/>
    <n v="11.45"/>
    <n v="1"/>
    <n v="0"/>
    <n v="3"/>
    <n v="4"/>
  </r>
  <r>
    <s v="SW-102437"/>
    <d v="2024-12-26T00:00:00"/>
    <x v="0"/>
    <s v="Q4"/>
    <x v="11"/>
    <x v="2"/>
    <x v="1"/>
    <x v="1"/>
    <x v="0"/>
    <s v="Summer Dress"/>
    <n v="1"/>
    <n v="33.99"/>
    <n v="0.2"/>
    <x v="1"/>
    <n v="27.19"/>
    <n v="19.11"/>
    <n v="8.08"/>
    <n v="1"/>
    <n v="0"/>
    <n v="7"/>
    <n v="3"/>
  </r>
  <r>
    <s v="SW-102438"/>
    <d v="2024-12-27T00:00:00"/>
    <x v="0"/>
    <s v="Q4"/>
    <x v="11"/>
    <x v="0"/>
    <x v="2"/>
    <x v="0"/>
    <x v="2"/>
    <s v="Coffee Maker"/>
    <n v="1"/>
    <n v="148.05000000000001"/>
    <n v="0.2"/>
    <x v="1"/>
    <n v="118.44"/>
    <n v="98.09"/>
    <n v="20.350000000000001"/>
    <n v="1"/>
    <n v="0"/>
    <n v="4"/>
    <n v="4"/>
  </r>
  <r>
    <s v="SW-102439"/>
    <d v="2024-12-27T00:00:00"/>
    <x v="0"/>
    <s v="Q4"/>
    <x v="11"/>
    <x v="0"/>
    <x v="1"/>
    <x v="1"/>
    <x v="0"/>
    <s v="Cotton T-Shirt"/>
    <n v="2"/>
    <n v="19.41"/>
    <n v="0.1"/>
    <x v="0"/>
    <n v="34.94"/>
    <n v="20.72"/>
    <n v="14.22"/>
    <n v="1"/>
    <n v="0"/>
    <n v="8"/>
    <n v="3"/>
  </r>
  <r>
    <s v="SW-102440"/>
    <d v="2024-12-27T00:00:00"/>
    <x v="0"/>
    <s v="Q4"/>
    <x v="11"/>
    <x v="0"/>
    <x v="2"/>
    <x v="1"/>
    <x v="2"/>
    <s v="Desk Lamp"/>
    <n v="1"/>
    <n v="117.63"/>
    <n v="0.3"/>
    <x v="3"/>
    <n v="82.34"/>
    <n v="79.599999999999994"/>
    <n v="2.74"/>
    <n v="1"/>
    <n v="0"/>
    <n v="4"/>
    <n v="5"/>
  </r>
  <r>
    <s v="SW-102441"/>
    <d v="2024-12-27T00:00:00"/>
    <x v="0"/>
    <s v="Q4"/>
    <x v="11"/>
    <x v="2"/>
    <x v="0"/>
    <x v="1"/>
    <x v="3"/>
    <s v="Cycling Helmet"/>
    <n v="2"/>
    <n v="85.42"/>
    <n v="0.05"/>
    <x v="0"/>
    <n v="162.30000000000001"/>
    <n v="111.5"/>
    <n v="50.8"/>
    <n v="1"/>
    <n v="1"/>
    <n v="4"/>
    <n v="2"/>
  </r>
  <r>
    <s v="SW-102442"/>
    <d v="2024-12-27T00:00:00"/>
    <x v="0"/>
    <s v="Q4"/>
    <x v="11"/>
    <x v="2"/>
    <x v="0"/>
    <x v="0"/>
    <x v="0"/>
    <s v="Cotton T-Shirt"/>
    <n v="1"/>
    <n v="19.41"/>
    <n v="0.2"/>
    <x v="1"/>
    <n v="15.53"/>
    <n v="10.46"/>
    <n v="5.07"/>
    <n v="1"/>
    <n v="1"/>
    <n v="9"/>
    <n v="2"/>
  </r>
  <r>
    <s v="SW-102443"/>
    <d v="2024-12-27T00:00:00"/>
    <x v="0"/>
    <s v="Q4"/>
    <x v="11"/>
    <x v="1"/>
    <x v="3"/>
    <x v="1"/>
    <x v="2"/>
    <s v="Air Fryer"/>
    <n v="1"/>
    <n v="68.349999999999994"/>
    <n v="0"/>
    <x v="2"/>
    <n v="68.349999999999994"/>
    <n v="46.88"/>
    <n v="21.47"/>
    <n v="1"/>
    <n v="0"/>
    <n v="4"/>
    <n v="5"/>
  </r>
  <r>
    <s v="SW-102444"/>
    <d v="2024-12-27T00:00:00"/>
    <x v="0"/>
    <s v="Q4"/>
    <x v="11"/>
    <x v="0"/>
    <x v="2"/>
    <x v="1"/>
    <x v="0"/>
    <s v="Summer Dress"/>
    <n v="1"/>
    <n v="33.99"/>
    <n v="0.3"/>
    <x v="3"/>
    <n v="23.79"/>
    <n v="17.440000000000001"/>
    <n v="6.35"/>
    <n v="1"/>
    <n v="0"/>
    <n v="5"/>
    <n v="5"/>
  </r>
  <r>
    <s v="SW-102445"/>
    <d v="2024-12-27T00:00:00"/>
    <x v="0"/>
    <s v="Q4"/>
    <x v="11"/>
    <x v="2"/>
    <x v="3"/>
    <x v="1"/>
    <x v="0"/>
    <s v="Leather Handbag"/>
    <n v="1"/>
    <n v="138.5"/>
    <n v="0.05"/>
    <x v="0"/>
    <n v="131.57"/>
    <n v="74.89"/>
    <n v="56.68"/>
    <n v="1"/>
    <n v="0"/>
    <n v="3"/>
    <n v="5"/>
  </r>
  <r>
    <s v="SW-102446"/>
    <d v="2024-12-27T00:00:00"/>
    <x v="0"/>
    <s v="Q4"/>
    <x v="11"/>
    <x v="2"/>
    <x v="0"/>
    <x v="1"/>
    <x v="3"/>
    <s v="Cycling Helmet"/>
    <n v="2"/>
    <n v="85.42"/>
    <n v="0.3"/>
    <x v="3"/>
    <n v="119.59"/>
    <n v="109.84"/>
    <n v="9.75"/>
    <n v="1"/>
    <n v="0"/>
    <n v="6"/>
    <n v="4"/>
  </r>
  <r>
    <s v="SW-102447"/>
    <d v="2024-12-27T00:00:00"/>
    <x v="0"/>
    <s v="Q4"/>
    <x v="11"/>
    <x v="2"/>
    <x v="2"/>
    <x v="1"/>
    <x v="5"/>
    <s v="Building Blocks"/>
    <n v="3"/>
    <n v="48.86"/>
    <n v="0.1"/>
    <x v="0"/>
    <n v="131.91999999999999"/>
    <n v="103.63"/>
    <n v="28.29"/>
    <n v="1"/>
    <n v="0"/>
    <n v="6"/>
    <n v="3"/>
  </r>
  <r>
    <s v="SW-102448"/>
    <d v="2024-12-27T00:00:00"/>
    <x v="0"/>
    <s v="Q4"/>
    <x v="11"/>
    <x v="0"/>
    <x v="0"/>
    <x v="1"/>
    <x v="2"/>
    <s v="Bed Sheet Set"/>
    <n v="2"/>
    <n v="90.75"/>
    <n v="0.1"/>
    <x v="0"/>
    <n v="163.35"/>
    <n v="116.06"/>
    <n v="47.29"/>
    <n v="1"/>
    <n v="0"/>
    <n v="5"/>
    <n v="4"/>
  </r>
  <r>
    <s v="SW-102449"/>
    <d v="2024-12-27T00:00:00"/>
    <x v="0"/>
    <s v="Q4"/>
    <x v="11"/>
    <x v="0"/>
    <x v="0"/>
    <x v="0"/>
    <x v="3"/>
    <s v="Camping Tent"/>
    <n v="2"/>
    <n v="83.06"/>
    <n v="0.3"/>
    <x v="3"/>
    <n v="116.28"/>
    <n v="110.34"/>
    <n v="5.94"/>
    <n v="1"/>
    <n v="0"/>
    <n v="5"/>
    <n v="4"/>
  </r>
  <r>
    <s v="SW-102450"/>
    <d v="2024-12-27T00:00:00"/>
    <x v="0"/>
    <s v="Q4"/>
    <x v="11"/>
    <x v="0"/>
    <x v="4"/>
    <x v="0"/>
    <x v="1"/>
    <s v="Skin Care Bundle"/>
    <n v="2"/>
    <n v="92.54"/>
    <n v="0.25"/>
    <x v="3"/>
    <n v="138.81"/>
    <n v="93.26"/>
    <n v="45.55"/>
    <n v="1"/>
    <n v="0"/>
    <n v="6"/>
    <n v="4"/>
  </r>
  <r>
    <s v="SW-102451"/>
    <d v="2024-12-27T00:00:00"/>
    <x v="0"/>
    <s v="Q4"/>
    <x v="11"/>
    <x v="0"/>
    <x v="3"/>
    <x v="1"/>
    <x v="0"/>
    <s v="Denim Jacket"/>
    <n v="3"/>
    <n v="78.510000000000005"/>
    <n v="0.05"/>
    <x v="0"/>
    <n v="223.75"/>
    <n v="123.81"/>
    <n v="99.94"/>
    <n v="1"/>
    <n v="0"/>
    <n v="4"/>
    <n v="3"/>
  </r>
  <r>
    <s v="SW-102452"/>
    <d v="2024-12-28T00:00:00"/>
    <x v="0"/>
    <s v="Q4"/>
    <x v="11"/>
    <x v="2"/>
    <x v="2"/>
    <x v="1"/>
    <x v="3"/>
    <s v="Camping Tent"/>
    <n v="1"/>
    <n v="83.06"/>
    <n v="0.1"/>
    <x v="0"/>
    <n v="74.75"/>
    <n v="55.8"/>
    <n v="18.95"/>
    <n v="1"/>
    <n v="0"/>
    <n v="6"/>
    <n v="3"/>
  </r>
  <r>
    <s v="SW-102453"/>
    <d v="2024-12-28T00:00:00"/>
    <x v="0"/>
    <s v="Q4"/>
    <x v="11"/>
    <x v="0"/>
    <x v="0"/>
    <x v="1"/>
    <x v="1"/>
    <s v="Perfume 100ml"/>
    <n v="1"/>
    <n v="54.56"/>
    <n v="0.25"/>
    <x v="3"/>
    <n v="40.92"/>
    <n v="27.38"/>
    <n v="13.54"/>
    <n v="1"/>
    <n v="0"/>
    <n v="5"/>
    <n v="5"/>
  </r>
  <r>
    <s v="SW-102454"/>
    <d v="2024-12-28T00:00:00"/>
    <x v="0"/>
    <s v="Q4"/>
    <x v="11"/>
    <x v="2"/>
    <x v="3"/>
    <x v="1"/>
    <x v="5"/>
    <s v="Board Game"/>
    <n v="1"/>
    <n v="57.92"/>
    <n v="0.1"/>
    <x v="0"/>
    <n v="52.13"/>
    <n v="42.78"/>
    <n v="9.35"/>
    <n v="1"/>
    <n v="0"/>
    <n v="4"/>
    <n v="4"/>
  </r>
  <r>
    <s v="SW-102455"/>
    <d v="2024-12-28T00:00:00"/>
    <x v="0"/>
    <s v="Q4"/>
    <x v="11"/>
    <x v="1"/>
    <x v="3"/>
    <x v="0"/>
    <x v="0"/>
    <s v="Summer Dress"/>
    <n v="1"/>
    <n v="33.99"/>
    <n v="0.2"/>
    <x v="1"/>
    <n v="27.19"/>
    <n v="18.760000000000002"/>
    <n v="8.43"/>
    <n v="1"/>
    <n v="1"/>
    <n v="3"/>
    <n v="5"/>
  </r>
  <r>
    <s v="SW-102456"/>
    <d v="2024-12-28T00:00:00"/>
    <x v="0"/>
    <s v="Q4"/>
    <x v="11"/>
    <x v="0"/>
    <x v="4"/>
    <x v="0"/>
    <x v="2"/>
    <s v="Cookware Set"/>
    <n v="3"/>
    <n v="233.81"/>
    <n v="0.25"/>
    <x v="3"/>
    <n v="526.07000000000005"/>
    <n v="454.4"/>
    <n v="71.67"/>
    <n v="1"/>
    <n v="0"/>
    <n v="6"/>
    <n v="5"/>
  </r>
  <r>
    <s v="SW-102457"/>
    <d v="2024-12-29T00:00:00"/>
    <x v="0"/>
    <s v="Q4"/>
    <x v="11"/>
    <x v="1"/>
    <x v="3"/>
    <x v="1"/>
    <x v="0"/>
    <s v="Sunglasses"/>
    <n v="2"/>
    <n v="104.94"/>
    <n v="0.05"/>
    <x v="0"/>
    <n v="199.39"/>
    <n v="109.96"/>
    <n v="89.43"/>
    <n v="1"/>
    <n v="0"/>
    <n v="3"/>
    <n v="3"/>
  </r>
  <r>
    <s v="SW-102458"/>
    <d v="2024-12-29T00:00:00"/>
    <x v="0"/>
    <s v="Q4"/>
    <x v="11"/>
    <x v="0"/>
    <x v="4"/>
    <x v="1"/>
    <x v="2"/>
    <s v="Bed Sheet Set"/>
    <n v="1"/>
    <n v="90.75"/>
    <n v="0.2"/>
    <x v="1"/>
    <n v="72.599999999999994"/>
    <n v="59.42"/>
    <n v="13.18"/>
    <n v="1"/>
    <n v="0"/>
    <n v="6"/>
    <n v="4"/>
  </r>
  <r>
    <s v="SW-102459"/>
    <d v="2024-12-29T00:00:00"/>
    <x v="0"/>
    <s v="Q4"/>
    <x v="11"/>
    <x v="0"/>
    <x v="2"/>
    <x v="0"/>
    <x v="4"/>
    <s v="Power Bank"/>
    <n v="1"/>
    <n v="508.8"/>
    <n v="0.15"/>
    <x v="1"/>
    <n v="432.48"/>
    <n v="395.65"/>
    <n v="36.83"/>
    <n v="1"/>
    <n v="0"/>
    <n v="5"/>
    <n v="4"/>
  </r>
  <r>
    <s v="SW-102460"/>
    <d v="2024-12-29T00:00:00"/>
    <x v="0"/>
    <s v="Q4"/>
    <x v="11"/>
    <x v="1"/>
    <x v="2"/>
    <x v="1"/>
    <x v="0"/>
    <s v="Summer Dress"/>
    <n v="2"/>
    <n v="33.99"/>
    <n v="0.1"/>
    <x v="0"/>
    <n v="61.18"/>
    <n v="33.229999999999997"/>
    <n v="27.95"/>
    <n v="1"/>
    <n v="0"/>
    <n v="5"/>
    <n v="5"/>
  </r>
  <r>
    <s v="SW-102461"/>
    <d v="2024-12-29T00:00:00"/>
    <x v="0"/>
    <s v="Q4"/>
    <x v="11"/>
    <x v="1"/>
    <x v="0"/>
    <x v="1"/>
    <x v="0"/>
    <s v="Summer Dress"/>
    <n v="1"/>
    <n v="33.99"/>
    <n v="0.2"/>
    <x v="1"/>
    <n v="27.19"/>
    <n v="17.53"/>
    <n v="9.66"/>
    <n v="1"/>
    <n v="0"/>
    <n v="4"/>
    <n v="5"/>
  </r>
  <r>
    <s v="SW-102462"/>
    <d v="2024-12-29T00:00:00"/>
    <x v="0"/>
    <s v="Q4"/>
    <x v="11"/>
    <x v="0"/>
    <x v="0"/>
    <x v="1"/>
    <x v="4"/>
    <s v="Power Bank"/>
    <n v="1"/>
    <n v="508.8"/>
    <n v="0.3"/>
    <x v="3"/>
    <n v="356.16"/>
    <n v="411.33"/>
    <n v="-55.17"/>
    <n v="1"/>
    <n v="0"/>
    <n v="4"/>
    <n v="4"/>
  </r>
  <r>
    <s v="SW-102463"/>
    <d v="2024-12-29T00:00:00"/>
    <x v="0"/>
    <s v="Q4"/>
    <x v="11"/>
    <x v="1"/>
    <x v="0"/>
    <x v="1"/>
    <x v="3"/>
    <s v="Cycling Helmet"/>
    <n v="1"/>
    <n v="85.42"/>
    <n v="0.15"/>
    <x v="1"/>
    <n v="72.61"/>
    <n v="59.54"/>
    <n v="13.07"/>
    <n v="1"/>
    <n v="0"/>
    <n v="6"/>
    <n v="5"/>
  </r>
  <r>
    <s v="SW-102464"/>
    <d v="2024-12-29T00:00:00"/>
    <x v="0"/>
    <s v="Q4"/>
    <x v="11"/>
    <x v="0"/>
    <x v="3"/>
    <x v="1"/>
    <x v="3"/>
    <s v="Yoga Mat"/>
    <n v="1"/>
    <n v="137.05000000000001"/>
    <n v="0.15"/>
    <x v="1"/>
    <n v="116.49"/>
    <n v="95.41"/>
    <n v="21.08"/>
    <n v="1"/>
    <n v="0"/>
    <n v="3"/>
    <n v="5"/>
  </r>
  <r>
    <s v="SW-102465"/>
    <d v="2024-12-29T00:00:00"/>
    <x v="0"/>
    <s v="Q4"/>
    <x v="11"/>
    <x v="1"/>
    <x v="4"/>
    <x v="1"/>
    <x v="1"/>
    <s v="Makeup Kit"/>
    <n v="2"/>
    <n v="74.3"/>
    <n v="0.2"/>
    <x v="1"/>
    <n v="118.88"/>
    <n v="72.8"/>
    <n v="46.08"/>
    <n v="1"/>
    <n v="0"/>
    <n v="6"/>
    <n v="4"/>
  </r>
  <r>
    <s v="SW-102466"/>
    <d v="2024-12-30T00:00:00"/>
    <x v="0"/>
    <s v="Q4"/>
    <x v="11"/>
    <x v="1"/>
    <x v="4"/>
    <x v="1"/>
    <x v="3"/>
    <s v="Yoga Mat"/>
    <n v="2"/>
    <n v="137.05000000000001"/>
    <n v="0.25"/>
    <x v="3"/>
    <n v="205.58"/>
    <n v="188.23"/>
    <n v="17.350000000000001"/>
    <n v="1"/>
    <n v="0"/>
    <n v="6"/>
    <n v="3"/>
  </r>
  <r>
    <s v="SW-102467"/>
    <d v="2024-12-30T00:00:00"/>
    <x v="0"/>
    <s v="Q4"/>
    <x v="11"/>
    <x v="2"/>
    <x v="0"/>
    <x v="1"/>
    <x v="1"/>
    <s v="Face Serum"/>
    <n v="1"/>
    <n v="33.479999999999997"/>
    <n v="0.25"/>
    <x v="3"/>
    <n v="25.11"/>
    <n v="15.89"/>
    <n v="9.2200000000000006"/>
    <n v="1"/>
    <n v="0"/>
    <n v="5"/>
    <n v="5"/>
  </r>
  <r>
    <s v="SW-102468"/>
    <d v="2024-12-30T00:00:00"/>
    <x v="0"/>
    <s v="Q4"/>
    <x v="11"/>
    <x v="0"/>
    <x v="0"/>
    <x v="1"/>
    <x v="4"/>
    <s v="Bluetooth Speaker"/>
    <n v="2"/>
    <n v="177.65"/>
    <n v="0"/>
    <x v="2"/>
    <n v="355.3"/>
    <n v="291.36"/>
    <n v="63.94"/>
    <n v="1"/>
    <n v="1"/>
    <n v="5"/>
    <n v="4"/>
  </r>
  <r>
    <s v="SW-102469"/>
    <d v="2024-12-30T00:00:00"/>
    <x v="0"/>
    <s v="Q4"/>
    <x v="11"/>
    <x v="2"/>
    <x v="3"/>
    <x v="0"/>
    <x v="5"/>
    <s v="Kids Puzzle"/>
    <n v="1"/>
    <n v="16.97"/>
    <n v="0.25"/>
    <x v="3"/>
    <n v="12.73"/>
    <n v="12.68"/>
    <n v="0.05"/>
    <n v="1"/>
    <n v="0"/>
    <n v="3"/>
    <n v="5"/>
  </r>
  <r>
    <s v="SW-102470"/>
    <d v="2024-12-30T00:00:00"/>
    <x v="0"/>
    <s v="Q4"/>
    <x v="11"/>
    <x v="1"/>
    <x v="2"/>
    <x v="1"/>
    <x v="0"/>
    <s v="Sunglasses"/>
    <n v="1"/>
    <n v="104.94"/>
    <n v="0.2"/>
    <x v="1"/>
    <n v="83.95"/>
    <n v="53.94"/>
    <n v="30.01"/>
    <n v="1"/>
    <n v="0"/>
    <n v="7"/>
    <n v="3"/>
  </r>
  <r>
    <s v="SW-102471"/>
    <d v="2024-12-30T00:00:00"/>
    <x v="0"/>
    <s v="Q4"/>
    <x v="11"/>
    <x v="1"/>
    <x v="3"/>
    <x v="0"/>
    <x v="2"/>
    <s v="Bed Sheet Set"/>
    <n v="1"/>
    <n v="90.75"/>
    <n v="0.25"/>
    <x v="3"/>
    <n v="68.06"/>
    <n v="54.41"/>
    <n v="13.65"/>
    <n v="1"/>
    <n v="0"/>
    <n v="3"/>
    <n v="4"/>
  </r>
  <r>
    <s v="SW-102472"/>
    <d v="2024-12-30T00:00:00"/>
    <x v="0"/>
    <s v="Q4"/>
    <x v="11"/>
    <x v="2"/>
    <x v="0"/>
    <x v="1"/>
    <x v="0"/>
    <s v="Summer Dress"/>
    <n v="1"/>
    <n v="33.99"/>
    <n v="0.15"/>
    <x v="1"/>
    <n v="28.89"/>
    <n v="17.38"/>
    <n v="11.51"/>
    <n v="1"/>
    <n v="0"/>
    <n v="6"/>
    <n v="3"/>
  </r>
  <r>
    <s v="SW-102473"/>
    <d v="2024-12-31T00:00:00"/>
    <x v="0"/>
    <s v="Q4"/>
    <x v="11"/>
    <x v="2"/>
    <x v="3"/>
    <x v="1"/>
    <x v="1"/>
    <s v="Hair Dryer"/>
    <n v="1"/>
    <n v="33.18"/>
    <n v="0.1"/>
    <x v="0"/>
    <n v="29.86"/>
    <n v="16.47"/>
    <n v="13.39"/>
    <n v="1"/>
    <n v="0"/>
    <n v="3"/>
    <n v="5"/>
  </r>
  <r>
    <s v="SW-102474"/>
    <d v="2024-12-31T00:00:00"/>
    <x v="0"/>
    <s v="Q4"/>
    <x v="11"/>
    <x v="0"/>
    <x v="3"/>
    <x v="1"/>
    <x v="2"/>
    <s v="Cookware Set"/>
    <n v="1"/>
    <n v="233.81"/>
    <n v="0.25"/>
    <x v="3"/>
    <n v="175.36"/>
    <n v="149.56"/>
    <n v="25.8"/>
    <n v="1"/>
    <n v="0"/>
    <n v="3"/>
    <n v="4"/>
  </r>
  <r>
    <s v="SW-102475"/>
    <d v="2024-12-31T00:00:00"/>
    <x v="0"/>
    <s v="Q4"/>
    <x v="11"/>
    <x v="1"/>
    <x v="3"/>
    <x v="0"/>
    <x v="1"/>
    <s v="Skin Care Bundle"/>
    <n v="1"/>
    <n v="92.54"/>
    <n v="0.3"/>
    <x v="3"/>
    <n v="64.78"/>
    <n v="44.21"/>
    <n v="20.57"/>
    <n v="1"/>
    <n v="0"/>
    <n v="3"/>
    <n v="3"/>
  </r>
  <r>
    <s v="SW-102476"/>
    <d v="2024-12-31T00:00:00"/>
    <x v="0"/>
    <s v="Q4"/>
    <x v="11"/>
    <x v="2"/>
    <x v="3"/>
    <x v="0"/>
    <x v="4"/>
    <s v="Power Bank"/>
    <n v="2"/>
    <n v="508.8"/>
    <n v="0.25"/>
    <x v="3"/>
    <n v="763.2"/>
    <n v="810.17"/>
    <n v="-46.97"/>
    <n v="1"/>
    <n v="0"/>
    <n v="4"/>
    <n v="4"/>
  </r>
  <r>
    <s v="SW-102477"/>
    <d v="2024-12-31T00:00:00"/>
    <x v="0"/>
    <s v="Q4"/>
    <x v="11"/>
    <x v="0"/>
    <x v="4"/>
    <x v="1"/>
    <x v="0"/>
    <s v="Denim Jacket"/>
    <n v="1"/>
    <n v="78.510000000000005"/>
    <n v="0.2"/>
    <x v="1"/>
    <n v="62.81"/>
    <n v="42.74"/>
    <n v="20.07"/>
    <n v="1"/>
    <n v="0"/>
    <n v="9"/>
    <n v="3"/>
  </r>
  <r>
    <s v="SW-102478"/>
    <d v="2024-12-31T00:00:00"/>
    <x v="0"/>
    <s v="Q4"/>
    <x v="11"/>
    <x v="0"/>
    <x v="3"/>
    <x v="0"/>
    <x v="1"/>
    <s v="Hair Dryer"/>
    <n v="2"/>
    <n v="33.18"/>
    <n v="0.15"/>
    <x v="1"/>
    <n v="56.41"/>
    <n v="32.130000000000003"/>
    <n v="24.28"/>
    <n v="1"/>
    <n v="0"/>
    <n v="4"/>
    <n v="4"/>
  </r>
  <r>
    <s v="SW-102479"/>
    <d v="2024-12-31T00:00:00"/>
    <x v="0"/>
    <s v="Q4"/>
    <x v="11"/>
    <x v="1"/>
    <x v="2"/>
    <x v="0"/>
    <x v="5"/>
    <s v="Story Book Set"/>
    <n v="1"/>
    <n v="10.76"/>
    <n v="0.2"/>
    <x v="1"/>
    <n v="8.61"/>
    <n v="7.68"/>
    <n v="0.93"/>
    <n v="1"/>
    <n v="0"/>
    <n v="6"/>
    <n v="4"/>
  </r>
  <r>
    <s v="SW-102480"/>
    <d v="2024-12-31T00:00:00"/>
    <x v="0"/>
    <s v="Q4"/>
    <x v="11"/>
    <x v="0"/>
    <x v="3"/>
    <x v="0"/>
    <x v="4"/>
    <s v="Smart Watch"/>
    <n v="2"/>
    <n v="216.08"/>
    <n v="0.2"/>
    <x v="1"/>
    <n v="345.73"/>
    <n v="341.33"/>
    <n v="4.4000000000000004"/>
    <n v="1"/>
    <n v="0"/>
    <n v="6"/>
    <n v="3"/>
  </r>
  <r>
    <s v="SW-102481"/>
    <d v="2024-12-31T00:00:00"/>
    <x v="0"/>
    <s v="Q4"/>
    <x v="11"/>
    <x v="0"/>
    <x v="0"/>
    <x v="0"/>
    <x v="0"/>
    <s v="Summer Dress"/>
    <n v="3"/>
    <n v="33.99"/>
    <n v="0.2"/>
    <x v="1"/>
    <n v="81.58"/>
    <n v="52.84"/>
    <n v="28.74"/>
    <n v="1"/>
    <n v="0"/>
    <n v="5"/>
    <n v="5"/>
  </r>
  <r>
    <s v="SW-102482"/>
    <d v="2024-12-31T00:00:00"/>
    <x v="0"/>
    <s v="Q4"/>
    <x v="11"/>
    <x v="2"/>
    <x v="2"/>
    <x v="0"/>
    <x v="5"/>
    <s v="Story Book Set"/>
    <n v="1"/>
    <n v="10.76"/>
    <n v="0.15"/>
    <x v="1"/>
    <n v="9.15"/>
    <n v="7.81"/>
    <n v="1.34"/>
    <n v="1"/>
    <n v="1"/>
    <n v="5"/>
    <n v="3"/>
  </r>
  <r>
    <s v="SW-102483"/>
    <d v="2024-12-31T00:00:00"/>
    <x v="0"/>
    <s v="Q4"/>
    <x v="11"/>
    <x v="0"/>
    <x v="2"/>
    <x v="1"/>
    <x v="1"/>
    <s v="Makeup Kit"/>
    <n v="2"/>
    <n v="74.3"/>
    <n v="0.15"/>
    <x v="1"/>
    <n v="126.31"/>
    <n v="66.94"/>
    <n v="59.37"/>
    <n v="1"/>
    <n v="0"/>
    <n v="6"/>
    <n v="2"/>
  </r>
  <r>
    <s v="SW-102484"/>
    <d v="2024-12-31T00:00:00"/>
    <x v="0"/>
    <s v="Q4"/>
    <x v="11"/>
    <x v="1"/>
    <x v="2"/>
    <x v="0"/>
    <x v="3"/>
    <s v="Fitness Tracker"/>
    <n v="1"/>
    <n v="74.459999999999994"/>
    <n v="0.2"/>
    <x v="1"/>
    <n v="59.57"/>
    <n v="51.89"/>
    <n v="7.68"/>
    <n v="1"/>
    <n v="0"/>
    <n v="7"/>
    <n v="3"/>
  </r>
  <r>
    <s v="SW-102485"/>
    <d v="2024-12-31T00:00:00"/>
    <x v="0"/>
    <s v="Q4"/>
    <x v="11"/>
    <x v="2"/>
    <x v="0"/>
    <x v="1"/>
    <x v="0"/>
    <s v="Cotton T-Shirt"/>
    <n v="2"/>
    <n v="19.41"/>
    <n v="0.1"/>
    <x v="0"/>
    <n v="34.94"/>
    <n v="21.23"/>
    <n v="13.71"/>
    <n v="1"/>
    <n v="0"/>
    <n v="4"/>
    <n v="5"/>
  </r>
  <r>
    <s v="SW-102486"/>
    <d v="2025-01-01T00:00:00"/>
    <x v="1"/>
    <s v="Q1"/>
    <x v="0"/>
    <x v="2"/>
    <x v="0"/>
    <x v="0"/>
    <x v="1"/>
    <s v="Makeup Kit"/>
    <n v="1"/>
    <n v="74.3"/>
    <n v="0.1"/>
    <x v="0"/>
    <n v="66.87"/>
    <n v="36.78"/>
    <n v="30.09"/>
    <n v="1"/>
    <n v="0"/>
    <n v="3"/>
    <n v="5"/>
  </r>
  <r>
    <s v="SW-102487"/>
    <d v="2025-01-01T00:00:00"/>
    <x v="1"/>
    <s v="Q1"/>
    <x v="0"/>
    <x v="1"/>
    <x v="0"/>
    <x v="0"/>
    <x v="5"/>
    <s v="Building Blocks"/>
    <n v="1"/>
    <n v="48.86"/>
    <n v="0"/>
    <x v="2"/>
    <n v="48.86"/>
    <n v="34.270000000000003"/>
    <n v="14.59"/>
    <n v="1"/>
    <n v="0"/>
    <n v="4"/>
    <n v="4"/>
  </r>
  <r>
    <s v="SW-102488"/>
    <d v="2025-01-01T00:00:00"/>
    <x v="1"/>
    <s v="Q1"/>
    <x v="0"/>
    <x v="2"/>
    <x v="4"/>
    <x v="1"/>
    <x v="0"/>
    <s v="Leather Handbag"/>
    <n v="1"/>
    <n v="138.5"/>
    <n v="0.15"/>
    <x v="1"/>
    <n v="117.72"/>
    <n v="73.540000000000006"/>
    <n v="44.18"/>
    <n v="1"/>
    <n v="0"/>
    <n v="5"/>
    <n v="4"/>
  </r>
  <r>
    <s v="SW-102489"/>
    <d v="2025-01-02T00:00:00"/>
    <x v="1"/>
    <s v="Q1"/>
    <x v="0"/>
    <x v="0"/>
    <x v="0"/>
    <x v="1"/>
    <x v="0"/>
    <s v="Cotton T-Shirt"/>
    <n v="2"/>
    <n v="19.41"/>
    <n v="0"/>
    <x v="2"/>
    <n v="38.82"/>
    <n v="21.26"/>
    <n v="17.559999999999999"/>
    <n v="1"/>
    <n v="0"/>
    <n v="5"/>
    <n v="5"/>
  </r>
  <r>
    <s v="SW-102490"/>
    <d v="2025-01-02T00:00:00"/>
    <x v="1"/>
    <s v="Q1"/>
    <x v="0"/>
    <x v="0"/>
    <x v="2"/>
    <x v="1"/>
    <x v="0"/>
    <s v="Summer Dress"/>
    <n v="1"/>
    <n v="33.99"/>
    <n v="0.2"/>
    <x v="1"/>
    <n v="27.19"/>
    <n v="19.53"/>
    <n v="7.66"/>
    <n v="1"/>
    <n v="0"/>
    <n v="6"/>
    <n v="3"/>
  </r>
  <r>
    <s v="SW-102491"/>
    <d v="2025-01-02T00:00:00"/>
    <x v="1"/>
    <s v="Q1"/>
    <x v="0"/>
    <x v="0"/>
    <x v="3"/>
    <x v="1"/>
    <x v="3"/>
    <s v="Yoga Mat"/>
    <n v="1"/>
    <n v="137.05000000000001"/>
    <n v="0.05"/>
    <x v="0"/>
    <n v="130.19999999999999"/>
    <n v="95.03"/>
    <n v="35.17"/>
    <n v="1"/>
    <n v="0"/>
    <n v="2"/>
    <n v="3"/>
  </r>
  <r>
    <s v="SW-102492"/>
    <d v="2025-01-02T00:00:00"/>
    <x v="1"/>
    <s v="Q1"/>
    <x v="0"/>
    <x v="1"/>
    <x v="2"/>
    <x v="1"/>
    <x v="1"/>
    <s v="Makeup Kit"/>
    <n v="1"/>
    <n v="74.3"/>
    <n v="0.2"/>
    <x v="1"/>
    <n v="59.44"/>
    <n v="36.409999999999997"/>
    <n v="23.03"/>
    <n v="1"/>
    <n v="0"/>
    <n v="4"/>
    <n v="5"/>
  </r>
  <r>
    <s v="SW-102493"/>
    <d v="2025-01-02T00:00:00"/>
    <x v="1"/>
    <s v="Q1"/>
    <x v="0"/>
    <x v="1"/>
    <x v="2"/>
    <x v="1"/>
    <x v="1"/>
    <s v="Makeup Kit"/>
    <n v="1"/>
    <n v="74.3"/>
    <n v="0"/>
    <x v="2"/>
    <n v="74.3"/>
    <n v="34.08"/>
    <n v="40.22"/>
    <n v="1"/>
    <n v="0"/>
    <n v="4"/>
    <n v="5"/>
  </r>
  <r>
    <s v="SW-102494"/>
    <d v="2025-01-02T00:00:00"/>
    <x v="1"/>
    <s v="Q1"/>
    <x v="0"/>
    <x v="0"/>
    <x v="1"/>
    <x v="1"/>
    <x v="0"/>
    <s v="Summer Dress"/>
    <n v="1"/>
    <n v="33.99"/>
    <n v="0"/>
    <x v="2"/>
    <n v="33.99"/>
    <n v="18.3"/>
    <n v="15.69"/>
    <n v="1"/>
    <n v="0"/>
    <n v="5"/>
    <n v="4"/>
  </r>
  <r>
    <s v="SW-102495"/>
    <d v="2025-01-02T00:00:00"/>
    <x v="1"/>
    <s v="Q1"/>
    <x v="0"/>
    <x v="2"/>
    <x v="2"/>
    <x v="1"/>
    <x v="2"/>
    <s v="Desk Lamp"/>
    <n v="2"/>
    <n v="117.63"/>
    <n v="0"/>
    <x v="2"/>
    <n v="235.26"/>
    <n v="150.04"/>
    <n v="85.22"/>
    <n v="1"/>
    <n v="0"/>
    <n v="3"/>
    <n v="4"/>
  </r>
  <r>
    <s v="SW-102496"/>
    <d v="2025-01-02T00:00:00"/>
    <x v="1"/>
    <s v="Q1"/>
    <x v="0"/>
    <x v="1"/>
    <x v="3"/>
    <x v="0"/>
    <x v="1"/>
    <s v="Skin Care Bundle"/>
    <n v="1"/>
    <n v="92.54"/>
    <n v="0.15"/>
    <x v="1"/>
    <n v="78.66"/>
    <n v="45.55"/>
    <n v="33.11"/>
    <n v="1"/>
    <n v="0"/>
    <n v="4"/>
    <n v="4"/>
  </r>
  <r>
    <s v="SW-102497"/>
    <d v="2025-01-02T00:00:00"/>
    <x v="1"/>
    <s v="Q1"/>
    <x v="0"/>
    <x v="1"/>
    <x v="1"/>
    <x v="1"/>
    <x v="0"/>
    <s v="Denim Jacket"/>
    <n v="1"/>
    <n v="78.510000000000005"/>
    <n v="0.1"/>
    <x v="0"/>
    <n v="70.66"/>
    <n v="42.96"/>
    <n v="27.7"/>
    <n v="1"/>
    <n v="0"/>
    <n v="5"/>
    <n v="4"/>
  </r>
  <r>
    <s v="SW-102498"/>
    <d v="2025-01-03T00:00:00"/>
    <x v="1"/>
    <s v="Q1"/>
    <x v="0"/>
    <x v="2"/>
    <x v="1"/>
    <x v="1"/>
    <x v="1"/>
    <s v="Makeup Kit"/>
    <n v="2"/>
    <n v="74.3"/>
    <n v="0"/>
    <x v="2"/>
    <n v="148.6"/>
    <n v="74.45"/>
    <n v="74.150000000000006"/>
    <n v="1"/>
    <n v="0"/>
    <n v="5"/>
    <n v="4"/>
  </r>
  <r>
    <s v="SW-102499"/>
    <d v="2025-01-03T00:00:00"/>
    <x v="1"/>
    <s v="Q1"/>
    <x v="0"/>
    <x v="0"/>
    <x v="2"/>
    <x v="1"/>
    <x v="2"/>
    <s v="Desk Lamp"/>
    <n v="2"/>
    <n v="117.63"/>
    <n v="0.1"/>
    <x v="0"/>
    <n v="211.73"/>
    <n v="152.38999999999999"/>
    <n v="59.34"/>
    <n v="1"/>
    <n v="1"/>
    <n v="4"/>
    <n v="3"/>
  </r>
  <r>
    <s v="SW-102500"/>
    <d v="2025-01-03T00:00:00"/>
    <x v="1"/>
    <s v="Q1"/>
    <x v="0"/>
    <x v="1"/>
    <x v="0"/>
    <x v="0"/>
    <x v="0"/>
    <s v="Sunglasses"/>
    <n v="1"/>
    <n v="104.94"/>
    <n v="0"/>
    <x v="2"/>
    <n v="104.94"/>
    <n v="56.35"/>
    <n v="48.59"/>
    <n v="1"/>
    <n v="0"/>
    <n v="3"/>
    <n v="4"/>
  </r>
  <r>
    <s v="SW-102501"/>
    <d v="2025-01-03T00:00:00"/>
    <x v="1"/>
    <s v="Q1"/>
    <x v="0"/>
    <x v="0"/>
    <x v="3"/>
    <x v="0"/>
    <x v="1"/>
    <s v="Hair Dryer"/>
    <n v="1"/>
    <n v="33.18"/>
    <n v="0"/>
    <x v="2"/>
    <n v="33.18"/>
    <n v="16.16"/>
    <n v="17.02"/>
    <n v="1"/>
    <n v="0"/>
    <n v="5"/>
    <n v="4"/>
  </r>
  <r>
    <s v="SW-102502"/>
    <d v="2025-01-03T00:00:00"/>
    <x v="1"/>
    <s v="Q1"/>
    <x v="0"/>
    <x v="0"/>
    <x v="1"/>
    <x v="1"/>
    <x v="1"/>
    <s v="Hair Dryer"/>
    <n v="3"/>
    <n v="33.18"/>
    <n v="0.1"/>
    <x v="0"/>
    <n v="89.59"/>
    <n v="49.76"/>
    <n v="39.83"/>
    <n v="1"/>
    <n v="0"/>
    <n v="5"/>
    <n v="5"/>
  </r>
  <r>
    <s v="SW-102503"/>
    <d v="2025-01-04T00:00:00"/>
    <x v="1"/>
    <s v="Q1"/>
    <x v="0"/>
    <x v="0"/>
    <x v="2"/>
    <x v="0"/>
    <x v="5"/>
    <s v="Story Book Set"/>
    <n v="1"/>
    <n v="10.76"/>
    <n v="0.1"/>
    <x v="0"/>
    <n v="9.68"/>
    <n v="7.84"/>
    <n v="1.84"/>
    <n v="1"/>
    <n v="0"/>
    <n v="3"/>
    <n v="4"/>
  </r>
  <r>
    <s v="SW-102504"/>
    <d v="2025-01-04T00:00:00"/>
    <x v="1"/>
    <s v="Q1"/>
    <x v="0"/>
    <x v="2"/>
    <x v="0"/>
    <x v="1"/>
    <x v="0"/>
    <s v="Cotton T-Shirt"/>
    <n v="1"/>
    <n v="19.41"/>
    <n v="0.05"/>
    <x v="0"/>
    <n v="18.440000000000001"/>
    <n v="10.37"/>
    <n v="8.07"/>
    <n v="1"/>
    <n v="0"/>
    <n v="3"/>
    <n v="4"/>
  </r>
  <r>
    <s v="SW-102505"/>
    <d v="2025-01-04T00:00:00"/>
    <x v="1"/>
    <s v="Q1"/>
    <x v="0"/>
    <x v="0"/>
    <x v="2"/>
    <x v="0"/>
    <x v="4"/>
    <s v="Tablet 10in"/>
    <n v="1"/>
    <n v="490.3"/>
    <n v="0.2"/>
    <x v="1"/>
    <n v="392.24"/>
    <n v="399.99"/>
    <n v="-7.75"/>
    <n v="1"/>
    <n v="0"/>
    <n v="3"/>
    <n v="5"/>
  </r>
  <r>
    <s v="SW-102506"/>
    <d v="2025-01-04T00:00:00"/>
    <x v="1"/>
    <s v="Q1"/>
    <x v="0"/>
    <x v="0"/>
    <x v="1"/>
    <x v="0"/>
    <x v="2"/>
    <s v="Coffee Maker"/>
    <n v="2"/>
    <n v="148.05000000000001"/>
    <n v="0.1"/>
    <x v="0"/>
    <n v="266.49"/>
    <n v="187.8"/>
    <n v="78.69"/>
    <n v="1"/>
    <n v="0"/>
    <n v="6"/>
    <n v="3"/>
  </r>
  <r>
    <s v="SW-102507"/>
    <d v="2025-01-04T00:00:00"/>
    <x v="1"/>
    <s v="Q1"/>
    <x v="0"/>
    <x v="1"/>
    <x v="2"/>
    <x v="1"/>
    <x v="0"/>
    <s v="Running Sneakers"/>
    <n v="2"/>
    <n v="94.85"/>
    <n v="0.05"/>
    <x v="0"/>
    <n v="180.21"/>
    <n v="102.96"/>
    <n v="77.25"/>
    <n v="1"/>
    <n v="0"/>
    <n v="5"/>
    <n v="4"/>
  </r>
  <r>
    <s v="SW-102508"/>
    <d v="2025-01-04T00:00:00"/>
    <x v="1"/>
    <s v="Q1"/>
    <x v="0"/>
    <x v="1"/>
    <x v="0"/>
    <x v="1"/>
    <x v="0"/>
    <s v="Running Sneakers"/>
    <n v="1"/>
    <n v="94.85"/>
    <n v="0"/>
    <x v="2"/>
    <n v="94.85"/>
    <n v="51.59"/>
    <n v="43.26"/>
    <n v="1"/>
    <n v="1"/>
    <n v="3"/>
    <n v="2"/>
  </r>
  <r>
    <s v="SW-102509"/>
    <d v="2025-01-04T00:00:00"/>
    <x v="1"/>
    <s v="Q1"/>
    <x v="0"/>
    <x v="1"/>
    <x v="3"/>
    <x v="0"/>
    <x v="4"/>
    <s v="Wireless Earbuds"/>
    <n v="1"/>
    <n v="588.41"/>
    <n v="0.05"/>
    <x v="0"/>
    <n v="558.99"/>
    <n v="460.11"/>
    <n v="98.88"/>
    <n v="1"/>
    <n v="0"/>
    <n v="3"/>
    <n v="5"/>
  </r>
  <r>
    <s v="SW-102510"/>
    <d v="2025-01-04T00:00:00"/>
    <x v="1"/>
    <s v="Q1"/>
    <x v="0"/>
    <x v="1"/>
    <x v="2"/>
    <x v="0"/>
    <x v="3"/>
    <s v="Camping Tent"/>
    <n v="1"/>
    <n v="83.06"/>
    <n v="0.1"/>
    <x v="0"/>
    <n v="74.75"/>
    <n v="57.28"/>
    <n v="17.47"/>
    <n v="1"/>
    <n v="0"/>
    <n v="3"/>
    <n v="5"/>
  </r>
  <r>
    <s v="SW-102511"/>
    <d v="2025-01-04T00:00:00"/>
    <x v="1"/>
    <s v="Q1"/>
    <x v="0"/>
    <x v="1"/>
    <x v="3"/>
    <x v="1"/>
    <x v="2"/>
    <s v="Cookware Set"/>
    <n v="2"/>
    <n v="233.81"/>
    <n v="0.05"/>
    <x v="0"/>
    <n v="444.24"/>
    <n v="310.10000000000002"/>
    <n v="134.13999999999999"/>
    <n v="1"/>
    <n v="0"/>
    <n v="3"/>
    <n v="3"/>
  </r>
  <r>
    <s v="SW-102512"/>
    <d v="2025-01-04T00:00:00"/>
    <x v="1"/>
    <s v="Q1"/>
    <x v="0"/>
    <x v="2"/>
    <x v="3"/>
    <x v="0"/>
    <x v="2"/>
    <s v="Air Fryer"/>
    <n v="1"/>
    <n v="68.349999999999994"/>
    <n v="0.15"/>
    <x v="1"/>
    <n v="58.1"/>
    <n v="45.4"/>
    <n v="12.7"/>
    <n v="1"/>
    <n v="0"/>
    <n v="4"/>
    <n v="5"/>
  </r>
  <r>
    <s v="SW-102513"/>
    <d v="2025-01-05T00:00:00"/>
    <x v="1"/>
    <s v="Q1"/>
    <x v="0"/>
    <x v="2"/>
    <x v="0"/>
    <x v="1"/>
    <x v="0"/>
    <s v="Summer Dress"/>
    <n v="2"/>
    <n v="33.99"/>
    <n v="0.25"/>
    <x v="3"/>
    <n v="50.98"/>
    <n v="37.83"/>
    <n v="13.15"/>
    <n v="1"/>
    <n v="1"/>
    <n v="5"/>
    <n v="3"/>
  </r>
  <r>
    <s v="SW-102514"/>
    <d v="2025-01-05T00:00:00"/>
    <x v="1"/>
    <s v="Q1"/>
    <x v="0"/>
    <x v="2"/>
    <x v="0"/>
    <x v="1"/>
    <x v="4"/>
    <s v="Power Bank"/>
    <n v="1"/>
    <n v="508.8"/>
    <n v="0"/>
    <x v="2"/>
    <n v="508.8"/>
    <n v="412.92"/>
    <n v="95.88"/>
    <n v="1"/>
    <n v="0"/>
    <n v="4"/>
    <n v="4"/>
  </r>
  <r>
    <s v="SW-102515"/>
    <d v="2025-01-05T00:00:00"/>
    <x v="1"/>
    <s v="Q1"/>
    <x v="0"/>
    <x v="2"/>
    <x v="2"/>
    <x v="1"/>
    <x v="1"/>
    <s v="Skin Care Bundle"/>
    <n v="1"/>
    <n v="92.54"/>
    <n v="0"/>
    <x v="2"/>
    <n v="92.54"/>
    <n v="44.87"/>
    <n v="47.67"/>
    <n v="1"/>
    <n v="0"/>
    <n v="5"/>
    <n v="4"/>
  </r>
  <r>
    <s v="SW-102516"/>
    <d v="2025-01-05T00:00:00"/>
    <x v="1"/>
    <s v="Q1"/>
    <x v="0"/>
    <x v="2"/>
    <x v="3"/>
    <x v="1"/>
    <x v="2"/>
    <s v="Bed Sheet Set"/>
    <n v="1"/>
    <n v="90.75"/>
    <n v="0"/>
    <x v="2"/>
    <n v="90.75"/>
    <n v="60.58"/>
    <n v="30.17"/>
    <n v="1"/>
    <n v="1"/>
    <n v="3"/>
    <n v="4"/>
  </r>
  <r>
    <s v="SW-102517"/>
    <d v="2025-01-05T00:00:00"/>
    <x v="1"/>
    <s v="Q1"/>
    <x v="0"/>
    <x v="0"/>
    <x v="0"/>
    <x v="1"/>
    <x v="0"/>
    <s v="Sunglasses"/>
    <n v="1"/>
    <n v="104.94"/>
    <n v="0.05"/>
    <x v="0"/>
    <n v="99.69"/>
    <n v="58.06"/>
    <n v="41.63"/>
    <n v="1"/>
    <n v="0"/>
    <n v="3"/>
    <n v="3"/>
  </r>
  <r>
    <s v="SW-102518"/>
    <d v="2025-01-06T00:00:00"/>
    <x v="1"/>
    <s v="Q1"/>
    <x v="0"/>
    <x v="1"/>
    <x v="2"/>
    <x v="1"/>
    <x v="4"/>
    <s v="Tablet 10in"/>
    <n v="1"/>
    <n v="490.3"/>
    <n v="0.1"/>
    <x v="0"/>
    <n v="441.27"/>
    <n v="390.07"/>
    <n v="51.2"/>
    <n v="1"/>
    <n v="0"/>
    <n v="4"/>
    <n v="5"/>
  </r>
  <r>
    <s v="SW-102519"/>
    <d v="2025-01-06T00:00:00"/>
    <x v="1"/>
    <s v="Q1"/>
    <x v="0"/>
    <x v="1"/>
    <x v="1"/>
    <x v="0"/>
    <x v="2"/>
    <s v="Desk Lamp"/>
    <n v="2"/>
    <n v="117.63"/>
    <n v="0"/>
    <x v="2"/>
    <n v="235.26"/>
    <n v="149.94999999999999"/>
    <n v="85.31"/>
    <n v="1"/>
    <n v="0"/>
    <n v="6"/>
    <n v="4"/>
  </r>
  <r>
    <s v="SW-102520"/>
    <d v="2025-01-06T00:00:00"/>
    <x v="1"/>
    <s v="Q1"/>
    <x v="0"/>
    <x v="0"/>
    <x v="0"/>
    <x v="1"/>
    <x v="2"/>
    <s v="Desk Lamp"/>
    <n v="2"/>
    <n v="117.63"/>
    <n v="0.05"/>
    <x v="0"/>
    <n v="223.5"/>
    <n v="154.30000000000001"/>
    <n v="69.2"/>
    <n v="1"/>
    <n v="0"/>
    <n v="3"/>
    <n v="5"/>
  </r>
  <r>
    <s v="SW-102521"/>
    <d v="2025-01-06T00:00:00"/>
    <x v="1"/>
    <s v="Q1"/>
    <x v="0"/>
    <x v="1"/>
    <x v="4"/>
    <x v="0"/>
    <x v="0"/>
    <s v="Denim Jacket"/>
    <n v="1"/>
    <n v="78.510000000000005"/>
    <n v="0.05"/>
    <x v="0"/>
    <n v="74.58"/>
    <n v="42.61"/>
    <n v="31.97"/>
    <n v="1"/>
    <n v="0"/>
    <n v="7"/>
    <n v="4"/>
  </r>
  <r>
    <s v="SW-102522"/>
    <d v="2025-01-07T00:00:00"/>
    <x v="1"/>
    <s v="Q1"/>
    <x v="0"/>
    <x v="2"/>
    <x v="1"/>
    <x v="0"/>
    <x v="0"/>
    <s v="Running Sneakers"/>
    <n v="1"/>
    <n v="94.85"/>
    <n v="0"/>
    <x v="2"/>
    <n v="94.85"/>
    <n v="53.18"/>
    <n v="41.67"/>
    <n v="1"/>
    <n v="0"/>
    <n v="6"/>
    <n v="4"/>
  </r>
  <r>
    <s v="SW-102523"/>
    <d v="2025-01-07T00:00:00"/>
    <x v="1"/>
    <s v="Q1"/>
    <x v="0"/>
    <x v="0"/>
    <x v="3"/>
    <x v="1"/>
    <x v="4"/>
    <s v="Bluetooth Speaker"/>
    <n v="2"/>
    <n v="177.65"/>
    <n v="0"/>
    <x v="2"/>
    <n v="355.3"/>
    <n v="279.99"/>
    <n v="75.31"/>
    <n v="1"/>
    <n v="0"/>
    <n v="4"/>
    <n v="4"/>
  </r>
  <r>
    <s v="SW-102524"/>
    <d v="2025-01-07T00:00:00"/>
    <x v="1"/>
    <s v="Q1"/>
    <x v="0"/>
    <x v="0"/>
    <x v="1"/>
    <x v="1"/>
    <x v="0"/>
    <s v="Summer Dress"/>
    <n v="1"/>
    <n v="33.99"/>
    <n v="0"/>
    <x v="2"/>
    <n v="33.99"/>
    <n v="18.38"/>
    <n v="15.61"/>
    <n v="1"/>
    <n v="1"/>
    <n v="7"/>
    <n v="4"/>
  </r>
  <r>
    <s v="SW-102525"/>
    <d v="2025-01-07T00:00:00"/>
    <x v="1"/>
    <s v="Q1"/>
    <x v="0"/>
    <x v="2"/>
    <x v="0"/>
    <x v="1"/>
    <x v="3"/>
    <s v="Fitness Tracker"/>
    <n v="1"/>
    <n v="74.459999999999994"/>
    <n v="0.05"/>
    <x v="0"/>
    <n v="70.739999999999995"/>
    <n v="48.64"/>
    <n v="22.1"/>
    <n v="1"/>
    <n v="0"/>
    <n v="3"/>
    <n v="4"/>
  </r>
  <r>
    <s v="SW-102526"/>
    <d v="2025-01-07T00:00:00"/>
    <x v="1"/>
    <s v="Q1"/>
    <x v="0"/>
    <x v="1"/>
    <x v="2"/>
    <x v="1"/>
    <x v="3"/>
    <s v="Camping Tent"/>
    <n v="1"/>
    <n v="83.06"/>
    <n v="0.3"/>
    <x v="3"/>
    <n v="58.14"/>
    <n v="55.21"/>
    <n v="2.93"/>
    <n v="1"/>
    <n v="0"/>
    <n v="5"/>
    <n v="4"/>
  </r>
  <r>
    <s v="SW-102527"/>
    <d v="2025-01-08T00:00:00"/>
    <x v="1"/>
    <s v="Q1"/>
    <x v="0"/>
    <x v="1"/>
    <x v="2"/>
    <x v="1"/>
    <x v="2"/>
    <s v="Bed Sheet Set"/>
    <n v="2"/>
    <n v="90.75"/>
    <n v="0"/>
    <x v="2"/>
    <n v="181.5"/>
    <n v="122.18"/>
    <n v="59.32"/>
    <n v="1"/>
    <n v="0"/>
    <n v="4"/>
    <n v="4"/>
  </r>
  <r>
    <s v="SW-102528"/>
    <d v="2025-01-08T00:00:00"/>
    <x v="1"/>
    <s v="Q1"/>
    <x v="0"/>
    <x v="1"/>
    <x v="0"/>
    <x v="1"/>
    <x v="0"/>
    <s v="Summer Dress"/>
    <n v="2"/>
    <n v="33.99"/>
    <n v="0.1"/>
    <x v="0"/>
    <n v="61.18"/>
    <n v="35.89"/>
    <n v="25.29"/>
    <n v="1"/>
    <n v="0"/>
    <n v="5"/>
    <n v="4"/>
  </r>
  <r>
    <s v="SW-102529"/>
    <d v="2025-01-08T00:00:00"/>
    <x v="1"/>
    <s v="Q1"/>
    <x v="0"/>
    <x v="1"/>
    <x v="2"/>
    <x v="0"/>
    <x v="0"/>
    <s v="Denim Jacket"/>
    <n v="1"/>
    <n v="78.510000000000005"/>
    <n v="0.15"/>
    <x v="1"/>
    <n v="66.73"/>
    <n v="42.87"/>
    <n v="23.86"/>
    <n v="1"/>
    <n v="0"/>
    <n v="5"/>
    <n v="5"/>
  </r>
  <r>
    <s v="SW-102530"/>
    <d v="2025-01-08T00:00:00"/>
    <x v="1"/>
    <s v="Q1"/>
    <x v="0"/>
    <x v="0"/>
    <x v="4"/>
    <x v="1"/>
    <x v="5"/>
    <s v="Board Game"/>
    <n v="1"/>
    <n v="57.92"/>
    <n v="0.15"/>
    <x v="1"/>
    <n v="49.23"/>
    <n v="40.51"/>
    <n v="8.7200000000000006"/>
    <n v="1"/>
    <n v="0"/>
    <n v="5"/>
    <n v="4"/>
  </r>
  <r>
    <s v="SW-102531"/>
    <d v="2025-01-08T00:00:00"/>
    <x v="1"/>
    <s v="Q1"/>
    <x v="0"/>
    <x v="0"/>
    <x v="2"/>
    <x v="0"/>
    <x v="4"/>
    <s v="Wireless Earbuds"/>
    <n v="2"/>
    <n v="588.41"/>
    <n v="0"/>
    <x v="2"/>
    <n v="1176.82"/>
    <n v="1001.52"/>
    <n v="175.3"/>
    <n v="1"/>
    <n v="0"/>
    <n v="3"/>
    <n v="4"/>
  </r>
  <r>
    <s v="SW-102532"/>
    <d v="2025-01-08T00:00:00"/>
    <x v="1"/>
    <s v="Q1"/>
    <x v="0"/>
    <x v="1"/>
    <x v="0"/>
    <x v="1"/>
    <x v="4"/>
    <s v="4K Action Camera"/>
    <n v="1"/>
    <n v="636.09"/>
    <n v="0"/>
    <x v="2"/>
    <n v="636.09"/>
    <n v="503.49"/>
    <n v="132.6"/>
    <n v="1"/>
    <n v="0"/>
    <n v="5"/>
    <n v="5"/>
  </r>
  <r>
    <s v="SW-102533"/>
    <d v="2025-01-09T00:00:00"/>
    <x v="1"/>
    <s v="Q1"/>
    <x v="0"/>
    <x v="0"/>
    <x v="3"/>
    <x v="1"/>
    <x v="0"/>
    <s v="Cotton T-Shirt"/>
    <n v="2"/>
    <n v="19.41"/>
    <n v="0.25"/>
    <x v="3"/>
    <n v="29.12"/>
    <n v="22.35"/>
    <n v="6.77"/>
    <n v="1"/>
    <n v="0"/>
    <n v="2"/>
    <n v="4"/>
  </r>
  <r>
    <s v="SW-102534"/>
    <d v="2025-01-09T00:00:00"/>
    <x v="1"/>
    <s v="Q1"/>
    <x v="0"/>
    <x v="1"/>
    <x v="3"/>
    <x v="0"/>
    <x v="4"/>
    <s v="4K Action Camera"/>
    <n v="1"/>
    <n v="636.09"/>
    <n v="0.15"/>
    <x v="1"/>
    <n v="540.67999999999995"/>
    <n v="501.14"/>
    <n v="39.54"/>
    <n v="1"/>
    <n v="0"/>
    <n v="5"/>
    <n v="4"/>
  </r>
  <r>
    <s v="SW-102535"/>
    <d v="2025-01-09T00:00:00"/>
    <x v="1"/>
    <s v="Q1"/>
    <x v="0"/>
    <x v="0"/>
    <x v="2"/>
    <x v="1"/>
    <x v="0"/>
    <s v="Leather Handbag"/>
    <n v="2"/>
    <n v="138.5"/>
    <n v="0.1"/>
    <x v="0"/>
    <n v="249.3"/>
    <n v="149.26"/>
    <n v="100.04"/>
    <n v="1"/>
    <n v="0"/>
    <n v="4"/>
    <n v="4"/>
  </r>
  <r>
    <s v="SW-102536"/>
    <d v="2025-01-09T00:00:00"/>
    <x v="1"/>
    <s v="Q1"/>
    <x v="0"/>
    <x v="1"/>
    <x v="4"/>
    <x v="1"/>
    <x v="2"/>
    <s v="Bed Sheet Set"/>
    <n v="1"/>
    <n v="90.75"/>
    <n v="0.25"/>
    <x v="3"/>
    <n v="68.06"/>
    <n v="60.17"/>
    <n v="7.89"/>
    <n v="1"/>
    <n v="0"/>
    <n v="6"/>
    <n v="4"/>
  </r>
  <r>
    <s v="SW-102537"/>
    <d v="2025-01-09T00:00:00"/>
    <x v="1"/>
    <s v="Q1"/>
    <x v="0"/>
    <x v="1"/>
    <x v="4"/>
    <x v="0"/>
    <x v="5"/>
    <s v="Board Game"/>
    <n v="1"/>
    <n v="57.92"/>
    <n v="0.2"/>
    <x v="1"/>
    <n v="46.34"/>
    <n v="40.39"/>
    <n v="5.95"/>
    <n v="1"/>
    <n v="0"/>
    <n v="7"/>
    <n v="3"/>
  </r>
  <r>
    <s v="SW-102538"/>
    <d v="2025-01-09T00:00:00"/>
    <x v="1"/>
    <s v="Q1"/>
    <x v="0"/>
    <x v="1"/>
    <x v="1"/>
    <x v="1"/>
    <x v="2"/>
    <s v="Air Fryer"/>
    <n v="2"/>
    <n v="68.349999999999994"/>
    <n v="0.15"/>
    <x v="1"/>
    <n v="116.2"/>
    <n v="90.89"/>
    <n v="25.31"/>
    <n v="1"/>
    <n v="0"/>
    <n v="7"/>
    <n v="4"/>
  </r>
  <r>
    <s v="SW-102539"/>
    <d v="2025-01-09T00:00:00"/>
    <x v="1"/>
    <s v="Q1"/>
    <x v="0"/>
    <x v="1"/>
    <x v="4"/>
    <x v="1"/>
    <x v="4"/>
    <s v="Smart Watch"/>
    <n v="4"/>
    <n v="216.08"/>
    <n v="0"/>
    <x v="2"/>
    <n v="864.32"/>
    <n v="702.24"/>
    <n v="162.08000000000001"/>
    <n v="1"/>
    <n v="0"/>
    <n v="5"/>
    <n v="5"/>
  </r>
  <r>
    <s v="SW-102540"/>
    <d v="2025-01-09T00:00:00"/>
    <x v="1"/>
    <s v="Q1"/>
    <x v="0"/>
    <x v="1"/>
    <x v="1"/>
    <x v="0"/>
    <x v="2"/>
    <s v="Storage Boxes"/>
    <n v="1"/>
    <n v="154.66"/>
    <n v="0.1"/>
    <x v="0"/>
    <n v="139.19"/>
    <n v="97.51"/>
    <n v="41.68"/>
    <n v="1"/>
    <n v="0"/>
    <n v="5"/>
    <n v="3"/>
  </r>
  <r>
    <s v="SW-102541"/>
    <d v="2025-01-09T00:00:00"/>
    <x v="1"/>
    <s v="Q1"/>
    <x v="0"/>
    <x v="2"/>
    <x v="2"/>
    <x v="0"/>
    <x v="4"/>
    <s v="Wireless Earbuds"/>
    <n v="1"/>
    <n v="588.41"/>
    <n v="0.15"/>
    <x v="1"/>
    <n v="500.15"/>
    <n v="472.35"/>
    <n v="27.8"/>
    <n v="1"/>
    <n v="0"/>
    <n v="4"/>
    <n v="5"/>
  </r>
  <r>
    <s v="SW-102542"/>
    <d v="2025-01-10T00:00:00"/>
    <x v="1"/>
    <s v="Q1"/>
    <x v="0"/>
    <x v="0"/>
    <x v="2"/>
    <x v="0"/>
    <x v="0"/>
    <s v="Cotton T-Shirt"/>
    <n v="2"/>
    <n v="19.41"/>
    <n v="0.15"/>
    <x v="1"/>
    <n v="33"/>
    <n v="21.77"/>
    <n v="11.23"/>
    <n v="1"/>
    <n v="0"/>
    <n v="3"/>
    <n v="5"/>
  </r>
  <r>
    <s v="SW-102543"/>
    <d v="2025-01-10T00:00:00"/>
    <x v="1"/>
    <s v="Q1"/>
    <x v="0"/>
    <x v="2"/>
    <x v="0"/>
    <x v="1"/>
    <x v="3"/>
    <s v="Cycling Helmet"/>
    <n v="2"/>
    <n v="85.42"/>
    <n v="0.1"/>
    <x v="0"/>
    <n v="153.76"/>
    <n v="110.79"/>
    <n v="42.97"/>
    <n v="1"/>
    <n v="0"/>
    <n v="4"/>
    <n v="4"/>
  </r>
  <r>
    <s v="SW-102544"/>
    <d v="2025-01-10T00:00:00"/>
    <x v="1"/>
    <s v="Q1"/>
    <x v="0"/>
    <x v="0"/>
    <x v="1"/>
    <x v="1"/>
    <x v="0"/>
    <s v="Leather Handbag"/>
    <n v="1"/>
    <n v="138.5"/>
    <n v="0.05"/>
    <x v="0"/>
    <n v="131.57"/>
    <n v="72.11"/>
    <n v="59.46"/>
    <n v="1"/>
    <n v="0"/>
    <n v="7"/>
    <n v="4"/>
  </r>
  <r>
    <s v="SW-102545"/>
    <d v="2025-01-10T00:00:00"/>
    <x v="1"/>
    <s v="Q1"/>
    <x v="0"/>
    <x v="0"/>
    <x v="0"/>
    <x v="1"/>
    <x v="1"/>
    <s v="Makeup Kit"/>
    <n v="1"/>
    <n v="74.3"/>
    <n v="0.1"/>
    <x v="0"/>
    <n v="66.87"/>
    <n v="34.96"/>
    <n v="31.91"/>
    <n v="1"/>
    <n v="0"/>
    <n v="5"/>
    <n v="5"/>
  </r>
  <r>
    <s v="SW-102546"/>
    <d v="2025-01-10T00:00:00"/>
    <x v="1"/>
    <s v="Q1"/>
    <x v="0"/>
    <x v="1"/>
    <x v="3"/>
    <x v="1"/>
    <x v="0"/>
    <s v="Running Sneakers"/>
    <n v="1"/>
    <n v="94.85"/>
    <n v="0.1"/>
    <x v="0"/>
    <n v="85.36"/>
    <n v="51.84"/>
    <n v="33.520000000000003"/>
    <n v="1"/>
    <n v="0"/>
    <n v="3"/>
    <n v="4"/>
  </r>
  <r>
    <s v="SW-102547"/>
    <d v="2025-01-11T00:00:00"/>
    <x v="1"/>
    <s v="Q1"/>
    <x v="0"/>
    <x v="1"/>
    <x v="0"/>
    <x v="0"/>
    <x v="4"/>
    <s v="Bluetooth Speaker"/>
    <n v="2"/>
    <n v="177.65"/>
    <n v="0.3"/>
    <x v="3"/>
    <n v="248.71"/>
    <n v="277.99"/>
    <n v="-29.28"/>
    <n v="1"/>
    <n v="0"/>
    <n v="4"/>
    <n v="4"/>
  </r>
  <r>
    <s v="SW-102548"/>
    <d v="2025-01-11T00:00:00"/>
    <x v="1"/>
    <s v="Q1"/>
    <x v="0"/>
    <x v="1"/>
    <x v="3"/>
    <x v="0"/>
    <x v="1"/>
    <s v="Makeup Kit"/>
    <n v="1"/>
    <n v="74.3"/>
    <n v="0.15"/>
    <x v="1"/>
    <n v="63.15"/>
    <n v="32.89"/>
    <n v="30.26"/>
    <n v="1"/>
    <n v="0"/>
    <n v="3"/>
    <n v="5"/>
  </r>
  <r>
    <s v="SW-102549"/>
    <d v="2025-01-11T00:00:00"/>
    <x v="1"/>
    <s v="Q1"/>
    <x v="0"/>
    <x v="1"/>
    <x v="4"/>
    <x v="0"/>
    <x v="0"/>
    <s v="Denim Jacket"/>
    <n v="1"/>
    <n v="78.510000000000005"/>
    <n v="0.05"/>
    <x v="0"/>
    <n v="74.58"/>
    <n v="42.79"/>
    <n v="31.79"/>
    <n v="1"/>
    <n v="1"/>
    <n v="6"/>
    <n v="2"/>
  </r>
  <r>
    <s v="SW-102550"/>
    <d v="2025-01-11T00:00:00"/>
    <x v="1"/>
    <s v="Q1"/>
    <x v="0"/>
    <x v="0"/>
    <x v="3"/>
    <x v="0"/>
    <x v="4"/>
    <s v="Bluetooth Speaker"/>
    <n v="1"/>
    <n v="177.65"/>
    <n v="0.15"/>
    <x v="1"/>
    <n v="151"/>
    <n v="137.63"/>
    <n v="13.37"/>
    <n v="1"/>
    <n v="0"/>
    <n v="2"/>
    <n v="5"/>
  </r>
  <r>
    <s v="SW-102551"/>
    <d v="2025-01-11T00:00:00"/>
    <x v="1"/>
    <s v="Q1"/>
    <x v="0"/>
    <x v="0"/>
    <x v="0"/>
    <x v="0"/>
    <x v="5"/>
    <s v="Building Blocks"/>
    <n v="1"/>
    <n v="48.86"/>
    <n v="0.3"/>
    <x v="3"/>
    <n v="34.200000000000003"/>
    <n v="34.33"/>
    <n v="-0.13"/>
    <n v="1"/>
    <n v="0"/>
    <n v="6"/>
    <n v="4"/>
  </r>
  <r>
    <s v="SW-102552"/>
    <d v="2025-01-11T00:00:00"/>
    <x v="1"/>
    <s v="Q1"/>
    <x v="0"/>
    <x v="0"/>
    <x v="3"/>
    <x v="1"/>
    <x v="1"/>
    <s v="Perfume 100ml"/>
    <n v="1"/>
    <n v="54.56"/>
    <n v="0.15"/>
    <x v="1"/>
    <n v="46.38"/>
    <n v="27.81"/>
    <n v="18.57"/>
    <n v="1"/>
    <n v="0"/>
    <n v="3"/>
    <n v="3"/>
  </r>
  <r>
    <s v="SW-102553"/>
    <d v="2025-01-11T00:00:00"/>
    <x v="1"/>
    <s v="Q1"/>
    <x v="0"/>
    <x v="0"/>
    <x v="0"/>
    <x v="0"/>
    <x v="4"/>
    <s v="Power Bank"/>
    <n v="2"/>
    <n v="508.8"/>
    <n v="0"/>
    <x v="2"/>
    <n v="1017.6"/>
    <n v="846.28"/>
    <n v="171.32"/>
    <n v="1"/>
    <n v="0"/>
    <n v="4"/>
    <n v="5"/>
  </r>
  <r>
    <s v="SW-102554"/>
    <d v="2025-01-11T00:00:00"/>
    <x v="1"/>
    <s v="Q1"/>
    <x v="0"/>
    <x v="1"/>
    <x v="3"/>
    <x v="0"/>
    <x v="4"/>
    <s v="Wireless Earbuds"/>
    <n v="2"/>
    <n v="588.41"/>
    <n v="0"/>
    <x v="2"/>
    <n v="1176.82"/>
    <n v="950.45"/>
    <n v="226.37"/>
    <n v="1"/>
    <n v="0"/>
    <n v="3"/>
    <n v="5"/>
  </r>
  <r>
    <s v="SW-102555"/>
    <d v="2025-01-12T00:00:00"/>
    <x v="1"/>
    <s v="Q1"/>
    <x v="0"/>
    <x v="1"/>
    <x v="2"/>
    <x v="0"/>
    <x v="2"/>
    <s v="Air Fryer"/>
    <n v="1"/>
    <n v="68.349999999999994"/>
    <n v="0"/>
    <x v="2"/>
    <n v="68.349999999999994"/>
    <n v="46.11"/>
    <n v="22.24"/>
    <n v="1"/>
    <n v="0"/>
    <n v="4"/>
    <n v="4"/>
  </r>
  <r>
    <s v="SW-102556"/>
    <d v="2025-01-12T00:00:00"/>
    <x v="1"/>
    <s v="Q1"/>
    <x v="0"/>
    <x v="0"/>
    <x v="2"/>
    <x v="0"/>
    <x v="1"/>
    <s v="Makeup Kit"/>
    <n v="1"/>
    <n v="74.3"/>
    <n v="0.1"/>
    <x v="0"/>
    <n v="66.87"/>
    <n v="33.9"/>
    <n v="32.97"/>
    <n v="1"/>
    <n v="0"/>
    <n v="4"/>
    <n v="4"/>
  </r>
  <r>
    <s v="SW-102557"/>
    <d v="2025-01-12T00:00:00"/>
    <x v="1"/>
    <s v="Q1"/>
    <x v="0"/>
    <x v="1"/>
    <x v="0"/>
    <x v="0"/>
    <x v="2"/>
    <s v="Cookware Set"/>
    <n v="1"/>
    <n v="233.81"/>
    <n v="0.2"/>
    <x v="1"/>
    <n v="187.05"/>
    <n v="153.97999999999999"/>
    <n v="33.07"/>
    <n v="1"/>
    <n v="0"/>
    <n v="3"/>
    <n v="4"/>
  </r>
  <r>
    <s v="SW-102558"/>
    <d v="2025-01-12T00:00:00"/>
    <x v="1"/>
    <s v="Q1"/>
    <x v="0"/>
    <x v="1"/>
    <x v="0"/>
    <x v="1"/>
    <x v="4"/>
    <s v="4K Action Camera"/>
    <n v="3"/>
    <n v="636.09"/>
    <n v="0"/>
    <x v="2"/>
    <n v="1908.27"/>
    <n v="1542.46"/>
    <n v="365.81"/>
    <n v="1"/>
    <n v="0"/>
    <n v="6"/>
    <n v="4"/>
  </r>
  <r>
    <s v="SW-102559"/>
    <d v="2025-01-12T00:00:00"/>
    <x v="1"/>
    <s v="Q1"/>
    <x v="0"/>
    <x v="0"/>
    <x v="0"/>
    <x v="1"/>
    <x v="3"/>
    <s v="Dumbbell Set"/>
    <n v="1"/>
    <n v="198.42"/>
    <n v="0"/>
    <x v="2"/>
    <n v="198.42"/>
    <n v="125.66"/>
    <n v="72.760000000000005"/>
    <n v="1"/>
    <n v="0"/>
    <n v="5"/>
    <n v="5"/>
  </r>
  <r>
    <s v="SW-102560"/>
    <d v="2025-01-12T00:00:00"/>
    <x v="1"/>
    <s v="Q1"/>
    <x v="0"/>
    <x v="0"/>
    <x v="3"/>
    <x v="1"/>
    <x v="0"/>
    <s v="Leather Handbag"/>
    <n v="1"/>
    <n v="138.5"/>
    <n v="0.1"/>
    <x v="0"/>
    <n v="124.65"/>
    <n v="74.95"/>
    <n v="49.7"/>
    <n v="1"/>
    <n v="0"/>
    <n v="3"/>
    <n v="4"/>
  </r>
  <r>
    <s v="SW-102561"/>
    <d v="2025-01-12T00:00:00"/>
    <x v="1"/>
    <s v="Q1"/>
    <x v="0"/>
    <x v="0"/>
    <x v="2"/>
    <x v="1"/>
    <x v="4"/>
    <s v="Power Bank"/>
    <n v="1"/>
    <n v="508.8"/>
    <n v="0"/>
    <x v="2"/>
    <n v="508.8"/>
    <n v="405.57"/>
    <n v="103.23"/>
    <n v="1"/>
    <n v="0"/>
    <n v="5"/>
    <n v="4"/>
  </r>
  <r>
    <s v="SW-102562"/>
    <d v="2025-01-12T00:00:00"/>
    <x v="1"/>
    <s v="Q1"/>
    <x v="0"/>
    <x v="1"/>
    <x v="3"/>
    <x v="1"/>
    <x v="1"/>
    <s v="Makeup Kit"/>
    <n v="2"/>
    <n v="74.3"/>
    <n v="0.2"/>
    <x v="1"/>
    <n v="118.88"/>
    <n v="71.739999999999995"/>
    <n v="47.14"/>
    <n v="1"/>
    <n v="0"/>
    <n v="3"/>
    <n v="5"/>
  </r>
  <r>
    <s v="SW-102563"/>
    <d v="2025-01-12T00:00:00"/>
    <x v="1"/>
    <s v="Q1"/>
    <x v="0"/>
    <x v="1"/>
    <x v="3"/>
    <x v="1"/>
    <x v="4"/>
    <s v="Power Bank"/>
    <n v="1"/>
    <n v="508.8"/>
    <n v="0"/>
    <x v="2"/>
    <n v="508.8"/>
    <n v="399.02"/>
    <n v="109.78"/>
    <n v="1"/>
    <n v="0"/>
    <n v="2"/>
    <n v="5"/>
  </r>
  <r>
    <s v="SW-102564"/>
    <d v="2025-01-12T00:00:00"/>
    <x v="1"/>
    <s v="Q1"/>
    <x v="0"/>
    <x v="1"/>
    <x v="3"/>
    <x v="1"/>
    <x v="0"/>
    <s v="Denim Jacket"/>
    <n v="1"/>
    <n v="78.510000000000005"/>
    <n v="0.1"/>
    <x v="0"/>
    <n v="70.66"/>
    <n v="41.66"/>
    <n v="29"/>
    <n v="1"/>
    <n v="0"/>
    <n v="2"/>
    <n v="5"/>
  </r>
  <r>
    <s v="SW-102565"/>
    <d v="2025-01-12T00:00:00"/>
    <x v="1"/>
    <s v="Q1"/>
    <x v="0"/>
    <x v="0"/>
    <x v="2"/>
    <x v="1"/>
    <x v="2"/>
    <s v="Bed Sheet Set"/>
    <n v="1"/>
    <n v="90.75"/>
    <n v="0.15"/>
    <x v="1"/>
    <n v="77.14"/>
    <n v="59.1"/>
    <n v="18.04"/>
    <n v="1"/>
    <n v="0"/>
    <n v="7"/>
    <n v="4"/>
  </r>
  <r>
    <s v="SW-102566"/>
    <d v="2025-01-12T00:00:00"/>
    <x v="1"/>
    <s v="Q1"/>
    <x v="0"/>
    <x v="0"/>
    <x v="1"/>
    <x v="1"/>
    <x v="0"/>
    <s v="Cotton T-Shirt"/>
    <n v="2"/>
    <n v="19.41"/>
    <n v="0.2"/>
    <x v="1"/>
    <n v="31.06"/>
    <n v="20.51"/>
    <n v="10.55"/>
    <n v="1"/>
    <n v="0"/>
    <n v="5"/>
    <n v="5"/>
  </r>
  <r>
    <s v="SW-102567"/>
    <d v="2025-01-12T00:00:00"/>
    <x v="1"/>
    <s v="Q1"/>
    <x v="0"/>
    <x v="2"/>
    <x v="2"/>
    <x v="1"/>
    <x v="4"/>
    <s v="Smart Watch"/>
    <n v="1"/>
    <n v="216.08"/>
    <n v="0.1"/>
    <x v="0"/>
    <n v="194.47"/>
    <n v="174.88"/>
    <n v="19.59"/>
    <n v="1"/>
    <n v="0"/>
    <n v="3"/>
    <n v="5"/>
  </r>
  <r>
    <s v="SW-102568"/>
    <d v="2025-01-12T00:00:00"/>
    <x v="1"/>
    <s v="Q1"/>
    <x v="0"/>
    <x v="1"/>
    <x v="3"/>
    <x v="0"/>
    <x v="2"/>
    <s v="Coffee Maker"/>
    <n v="1"/>
    <n v="148.05000000000001"/>
    <n v="0"/>
    <x v="2"/>
    <n v="148.05000000000001"/>
    <n v="103.08"/>
    <n v="44.97"/>
    <n v="1"/>
    <n v="0"/>
    <n v="5"/>
    <n v="4"/>
  </r>
  <r>
    <s v="SW-102569"/>
    <d v="2025-01-13T00:00:00"/>
    <x v="1"/>
    <s v="Q1"/>
    <x v="0"/>
    <x v="0"/>
    <x v="1"/>
    <x v="0"/>
    <x v="0"/>
    <s v="Leather Handbag"/>
    <n v="1"/>
    <n v="138.5"/>
    <n v="0.15"/>
    <x v="1"/>
    <n v="117.72"/>
    <n v="76.180000000000007"/>
    <n v="41.54"/>
    <n v="1"/>
    <n v="0"/>
    <n v="10"/>
    <n v="4"/>
  </r>
  <r>
    <s v="SW-102570"/>
    <d v="2025-01-13T00:00:00"/>
    <x v="1"/>
    <s v="Q1"/>
    <x v="0"/>
    <x v="0"/>
    <x v="4"/>
    <x v="1"/>
    <x v="5"/>
    <s v="Kids Puzzle"/>
    <n v="1"/>
    <n v="16.97"/>
    <n v="0"/>
    <x v="2"/>
    <n v="16.97"/>
    <n v="12.59"/>
    <n v="4.38"/>
    <n v="1"/>
    <n v="0"/>
    <n v="6"/>
    <n v="4"/>
  </r>
  <r>
    <s v="SW-102571"/>
    <d v="2025-01-13T00:00:00"/>
    <x v="1"/>
    <s v="Q1"/>
    <x v="0"/>
    <x v="1"/>
    <x v="2"/>
    <x v="0"/>
    <x v="4"/>
    <s v="Tablet 10in"/>
    <n v="1"/>
    <n v="490.3"/>
    <n v="0"/>
    <x v="2"/>
    <n v="490.3"/>
    <n v="392.53"/>
    <n v="97.77"/>
    <n v="1"/>
    <n v="0"/>
    <n v="5"/>
    <n v="4"/>
  </r>
  <r>
    <s v="SW-102572"/>
    <d v="2025-01-13T00:00:00"/>
    <x v="1"/>
    <s v="Q1"/>
    <x v="0"/>
    <x v="1"/>
    <x v="4"/>
    <x v="1"/>
    <x v="0"/>
    <s v="Cotton T-Shirt"/>
    <n v="1"/>
    <n v="19.41"/>
    <n v="0.15"/>
    <x v="1"/>
    <n v="16.5"/>
    <n v="10.38"/>
    <n v="6.12"/>
    <n v="1"/>
    <n v="0"/>
    <n v="6"/>
    <n v="4"/>
  </r>
  <r>
    <s v="SW-102573"/>
    <d v="2025-01-13T00:00:00"/>
    <x v="1"/>
    <s v="Q1"/>
    <x v="0"/>
    <x v="1"/>
    <x v="0"/>
    <x v="1"/>
    <x v="0"/>
    <s v="Running Sneakers"/>
    <n v="1"/>
    <n v="94.85"/>
    <n v="0"/>
    <x v="2"/>
    <n v="94.85"/>
    <n v="48.65"/>
    <n v="46.2"/>
    <n v="1"/>
    <n v="0"/>
    <n v="4"/>
    <n v="5"/>
  </r>
  <r>
    <s v="SW-102574"/>
    <d v="2025-01-13T00:00:00"/>
    <x v="1"/>
    <s v="Q1"/>
    <x v="0"/>
    <x v="0"/>
    <x v="2"/>
    <x v="0"/>
    <x v="5"/>
    <s v="Bestseller Novel"/>
    <n v="1"/>
    <n v="45.28"/>
    <n v="0.15"/>
    <x v="1"/>
    <n v="38.49"/>
    <n v="31.99"/>
    <n v="6.5"/>
    <n v="1"/>
    <n v="0"/>
    <n v="4"/>
    <n v="4"/>
  </r>
  <r>
    <s v="SW-102575"/>
    <d v="2025-01-13T00:00:00"/>
    <x v="1"/>
    <s v="Q1"/>
    <x v="0"/>
    <x v="0"/>
    <x v="2"/>
    <x v="0"/>
    <x v="1"/>
    <s v="Perfume 100ml"/>
    <n v="2"/>
    <n v="54.56"/>
    <n v="0.1"/>
    <x v="0"/>
    <n v="98.21"/>
    <n v="51.75"/>
    <n v="46.46"/>
    <n v="1"/>
    <n v="0"/>
    <n v="5"/>
    <n v="5"/>
  </r>
  <r>
    <s v="SW-102576"/>
    <d v="2025-01-14T00:00:00"/>
    <x v="1"/>
    <s v="Q1"/>
    <x v="0"/>
    <x v="1"/>
    <x v="3"/>
    <x v="0"/>
    <x v="2"/>
    <s v="Storage Boxes"/>
    <n v="1"/>
    <n v="154.66"/>
    <n v="0.05"/>
    <x v="0"/>
    <n v="146.93"/>
    <n v="103.01"/>
    <n v="43.92"/>
    <n v="1"/>
    <n v="0"/>
    <n v="2"/>
    <n v="4"/>
  </r>
  <r>
    <s v="SW-102577"/>
    <d v="2025-01-14T00:00:00"/>
    <x v="1"/>
    <s v="Q1"/>
    <x v="0"/>
    <x v="1"/>
    <x v="2"/>
    <x v="0"/>
    <x v="0"/>
    <s v="Cotton T-Shirt"/>
    <n v="1"/>
    <n v="19.41"/>
    <n v="0.1"/>
    <x v="0"/>
    <n v="17.47"/>
    <n v="10.98"/>
    <n v="6.49"/>
    <n v="1"/>
    <n v="0"/>
    <n v="4"/>
    <n v="4"/>
  </r>
  <r>
    <s v="SW-102578"/>
    <d v="2025-01-14T00:00:00"/>
    <x v="1"/>
    <s v="Q1"/>
    <x v="0"/>
    <x v="2"/>
    <x v="4"/>
    <x v="1"/>
    <x v="4"/>
    <s v="Power Bank"/>
    <n v="1"/>
    <n v="508.8"/>
    <n v="0"/>
    <x v="2"/>
    <n v="508.8"/>
    <n v="407.19"/>
    <n v="101.61"/>
    <n v="1"/>
    <n v="0"/>
    <n v="6"/>
    <n v="4"/>
  </r>
  <r>
    <s v="SW-102579"/>
    <d v="2025-01-14T00:00:00"/>
    <x v="1"/>
    <s v="Q1"/>
    <x v="0"/>
    <x v="0"/>
    <x v="0"/>
    <x v="0"/>
    <x v="0"/>
    <s v="Cotton T-Shirt"/>
    <n v="1"/>
    <n v="19.41"/>
    <n v="0.25"/>
    <x v="3"/>
    <n v="14.56"/>
    <n v="10.86"/>
    <n v="3.7"/>
    <n v="1"/>
    <n v="0"/>
    <n v="5"/>
    <n v="5"/>
  </r>
  <r>
    <s v="SW-102580"/>
    <d v="2025-01-14T00:00:00"/>
    <x v="1"/>
    <s v="Q1"/>
    <x v="0"/>
    <x v="0"/>
    <x v="3"/>
    <x v="0"/>
    <x v="4"/>
    <s v="Wireless Earbuds"/>
    <n v="2"/>
    <n v="588.41"/>
    <n v="0.05"/>
    <x v="0"/>
    <n v="1117.98"/>
    <n v="894.87"/>
    <n v="223.11"/>
    <n v="1"/>
    <n v="0"/>
    <n v="2"/>
    <n v="4"/>
  </r>
  <r>
    <s v="SW-102581"/>
    <d v="2025-01-14T00:00:00"/>
    <x v="1"/>
    <s v="Q1"/>
    <x v="0"/>
    <x v="2"/>
    <x v="4"/>
    <x v="0"/>
    <x v="2"/>
    <s v="Desk Lamp"/>
    <n v="1"/>
    <n v="117.63"/>
    <n v="0.05"/>
    <x v="0"/>
    <n v="111.75"/>
    <n v="77.16"/>
    <n v="34.590000000000003"/>
    <n v="1"/>
    <n v="0"/>
    <n v="5"/>
    <n v="5"/>
  </r>
  <r>
    <s v="SW-102582"/>
    <d v="2025-01-14T00:00:00"/>
    <x v="1"/>
    <s v="Q1"/>
    <x v="0"/>
    <x v="1"/>
    <x v="3"/>
    <x v="1"/>
    <x v="4"/>
    <s v="Wireless Earbuds"/>
    <n v="1"/>
    <n v="588.41"/>
    <n v="0.2"/>
    <x v="1"/>
    <n v="470.73"/>
    <n v="473.08"/>
    <n v="-2.35"/>
    <n v="1"/>
    <n v="0"/>
    <n v="2"/>
    <n v="3"/>
  </r>
  <r>
    <s v="SW-102583"/>
    <d v="2025-01-14T00:00:00"/>
    <x v="1"/>
    <s v="Q1"/>
    <x v="0"/>
    <x v="1"/>
    <x v="4"/>
    <x v="0"/>
    <x v="4"/>
    <s v="4K Action Camera"/>
    <n v="2"/>
    <n v="636.09"/>
    <n v="0"/>
    <x v="2"/>
    <n v="1272.18"/>
    <n v="1008.9"/>
    <n v="263.27999999999997"/>
    <n v="1"/>
    <n v="0"/>
    <n v="5"/>
    <n v="4"/>
  </r>
  <r>
    <s v="SW-102584"/>
    <d v="2025-01-14T00:00:00"/>
    <x v="1"/>
    <s v="Q1"/>
    <x v="0"/>
    <x v="0"/>
    <x v="4"/>
    <x v="1"/>
    <x v="4"/>
    <s v="Power Bank"/>
    <n v="1"/>
    <n v="508.8"/>
    <n v="0.05"/>
    <x v="0"/>
    <n v="483.36"/>
    <n v="414.31"/>
    <n v="69.05"/>
    <n v="1"/>
    <n v="0"/>
    <n v="5"/>
    <n v="4"/>
  </r>
  <r>
    <s v="SW-102585"/>
    <d v="2025-01-14T00:00:00"/>
    <x v="1"/>
    <s v="Q1"/>
    <x v="0"/>
    <x v="1"/>
    <x v="3"/>
    <x v="1"/>
    <x v="1"/>
    <s v="Makeup Kit"/>
    <n v="2"/>
    <n v="74.3"/>
    <n v="0.05"/>
    <x v="0"/>
    <n v="141.16999999999999"/>
    <n v="74.709999999999994"/>
    <n v="66.459999999999994"/>
    <n v="1"/>
    <n v="0"/>
    <n v="5"/>
    <n v="5"/>
  </r>
  <r>
    <s v="SW-102586"/>
    <d v="2025-01-15T00:00:00"/>
    <x v="1"/>
    <s v="Q1"/>
    <x v="0"/>
    <x v="1"/>
    <x v="3"/>
    <x v="0"/>
    <x v="2"/>
    <s v="Bed Sheet Set"/>
    <n v="1"/>
    <n v="90.75"/>
    <n v="0.05"/>
    <x v="0"/>
    <n v="86.21"/>
    <n v="59.01"/>
    <n v="27.2"/>
    <n v="1"/>
    <n v="0"/>
    <n v="3"/>
    <n v="5"/>
  </r>
  <r>
    <s v="SW-102587"/>
    <d v="2025-01-15T00:00:00"/>
    <x v="1"/>
    <s v="Q1"/>
    <x v="0"/>
    <x v="1"/>
    <x v="2"/>
    <x v="0"/>
    <x v="1"/>
    <s v="Skin Care Bundle"/>
    <n v="4"/>
    <n v="92.54"/>
    <n v="0.2"/>
    <x v="1"/>
    <n v="296.13"/>
    <n v="177.07"/>
    <n v="119.06"/>
    <n v="1"/>
    <n v="0"/>
    <n v="5"/>
    <n v="4"/>
  </r>
  <r>
    <s v="SW-102588"/>
    <d v="2025-01-15T00:00:00"/>
    <x v="1"/>
    <s v="Q1"/>
    <x v="0"/>
    <x v="1"/>
    <x v="3"/>
    <x v="0"/>
    <x v="2"/>
    <s v="Desk Lamp"/>
    <n v="2"/>
    <n v="117.63"/>
    <n v="0.1"/>
    <x v="0"/>
    <n v="211.73"/>
    <n v="161.71"/>
    <n v="50.02"/>
    <n v="1"/>
    <n v="0"/>
    <n v="2"/>
    <n v="3"/>
  </r>
  <r>
    <s v="SW-102589"/>
    <d v="2025-01-15T00:00:00"/>
    <x v="1"/>
    <s v="Q1"/>
    <x v="0"/>
    <x v="0"/>
    <x v="0"/>
    <x v="0"/>
    <x v="5"/>
    <s v="Kids Puzzle"/>
    <n v="1"/>
    <n v="16.97"/>
    <n v="0"/>
    <x v="2"/>
    <n v="16.97"/>
    <n v="12.25"/>
    <n v="4.72"/>
    <n v="1"/>
    <n v="0"/>
    <n v="3"/>
    <n v="4"/>
  </r>
  <r>
    <s v="SW-102590"/>
    <d v="2025-01-15T00:00:00"/>
    <x v="1"/>
    <s v="Q1"/>
    <x v="0"/>
    <x v="0"/>
    <x v="2"/>
    <x v="1"/>
    <x v="0"/>
    <s v="Summer Dress"/>
    <n v="1"/>
    <n v="33.99"/>
    <n v="0"/>
    <x v="2"/>
    <n v="33.99"/>
    <n v="17.88"/>
    <n v="16.11"/>
    <n v="1"/>
    <n v="0"/>
    <n v="5"/>
    <n v="4"/>
  </r>
  <r>
    <s v="SW-102591"/>
    <d v="2025-01-15T00:00:00"/>
    <x v="1"/>
    <s v="Q1"/>
    <x v="0"/>
    <x v="0"/>
    <x v="2"/>
    <x v="1"/>
    <x v="3"/>
    <s v="Cycling Helmet"/>
    <n v="1"/>
    <n v="85.42"/>
    <n v="0.05"/>
    <x v="0"/>
    <n v="81.150000000000006"/>
    <n v="59.89"/>
    <n v="21.26"/>
    <n v="1"/>
    <n v="0"/>
    <n v="4"/>
    <n v="4"/>
  </r>
  <r>
    <s v="SW-102592"/>
    <d v="2025-01-16T00:00:00"/>
    <x v="1"/>
    <s v="Q1"/>
    <x v="0"/>
    <x v="2"/>
    <x v="1"/>
    <x v="0"/>
    <x v="4"/>
    <s v="Wireless Earbuds"/>
    <n v="1"/>
    <n v="588.41"/>
    <n v="0"/>
    <x v="2"/>
    <n v="588.41"/>
    <n v="463.2"/>
    <n v="125.21"/>
    <n v="1"/>
    <n v="0"/>
    <n v="6"/>
    <n v="4"/>
  </r>
  <r>
    <s v="SW-102593"/>
    <d v="2025-01-16T00:00:00"/>
    <x v="1"/>
    <s v="Q1"/>
    <x v="0"/>
    <x v="0"/>
    <x v="0"/>
    <x v="0"/>
    <x v="0"/>
    <s v="Denim Jacket"/>
    <n v="1"/>
    <n v="78.510000000000005"/>
    <n v="0.1"/>
    <x v="0"/>
    <n v="70.66"/>
    <n v="42.91"/>
    <n v="27.75"/>
    <n v="1"/>
    <n v="0"/>
    <n v="3"/>
    <n v="5"/>
  </r>
  <r>
    <s v="SW-102594"/>
    <d v="2025-01-16T00:00:00"/>
    <x v="1"/>
    <s v="Q1"/>
    <x v="0"/>
    <x v="1"/>
    <x v="4"/>
    <x v="1"/>
    <x v="2"/>
    <s v="Bed Sheet Set"/>
    <n v="1"/>
    <n v="90.75"/>
    <n v="0.2"/>
    <x v="1"/>
    <n v="72.599999999999994"/>
    <n v="60.26"/>
    <n v="12.34"/>
    <n v="1"/>
    <n v="0"/>
    <n v="5"/>
    <n v="5"/>
  </r>
  <r>
    <s v="SW-102595"/>
    <d v="2025-01-16T00:00:00"/>
    <x v="1"/>
    <s v="Q1"/>
    <x v="0"/>
    <x v="1"/>
    <x v="4"/>
    <x v="1"/>
    <x v="0"/>
    <s v="Running Sneakers"/>
    <n v="2"/>
    <n v="94.85"/>
    <n v="0.1"/>
    <x v="0"/>
    <n v="170.73"/>
    <n v="101.48"/>
    <n v="69.25"/>
    <n v="1"/>
    <n v="0"/>
    <n v="7"/>
    <n v="4"/>
  </r>
  <r>
    <s v="SW-102596"/>
    <d v="2025-01-16T00:00:00"/>
    <x v="1"/>
    <s v="Q1"/>
    <x v="0"/>
    <x v="0"/>
    <x v="1"/>
    <x v="0"/>
    <x v="5"/>
    <s v="Bestseller Novel"/>
    <n v="1"/>
    <n v="45.28"/>
    <n v="0.1"/>
    <x v="0"/>
    <n v="40.75"/>
    <n v="32.21"/>
    <n v="8.5399999999999991"/>
    <n v="1"/>
    <n v="0"/>
    <n v="7"/>
    <n v="2"/>
  </r>
  <r>
    <s v="SW-102597"/>
    <d v="2025-01-16T00:00:00"/>
    <x v="1"/>
    <s v="Q1"/>
    <x v="0"/>
    <x v="2"/>
    <x v="0"/>
    <x v="0"/>
    <x v="5"/>
    <s v="Bestseller Novel"/>
    <n v="1"/>
    <n v="45.28"/>
    <n v="0.1"/>
    <x v="0"/>
    <n v="40.75"/>
    <n v="32.42"/>
    <n v="8.33"/>
    <n v="1"/>
    <n v="0"/>
    <n v="4"/>
    <n v="4"/>
  </r>
  <r>
    <s v="SW-102598"/>
    <d v="2025-01-16T00:00:00"/>
    <x v="1"/>
    <s v="Q1"/>
    <x v="0"/>
    <x v="1"/>
    <x v="0"/>
    <x v="0"/>
    <x v="2"/>
    <s v="Coffee Maker"/>
    <n v="1"/>
    <n v="148.05000000000001"/>
    <n v="0.1"/>
    <x v="0"/>
    <n v="133.24"/>
    <n v="98.06"/>
    <n v="35.18"/>
    <n v="1"/>
    <n v="0"/>
    <n v="4"/>
    <n v="4"/>
  </r>
  <r>
    <s v="SW-102599"/>
    <d v="2025-01-16T00:00:00"/>
    <x v="1"/>
    <s v="Q1"/>
    <x v="0"/>
    <x v="2"/>
    <x v="0"/>
    <x v="0"/>
    <x v="2"/>
    <s v="Air Fryer"/>
    <n v="4"/>
    <n v="68.349999999999994"/>
    <n v="0.2"/>
    <x v="1"/>
    <n v="218.72"/>
    <n v="178.07"/>
    <n v="40.65"/>
    <n v="1"/>
    <n v="0"/>
    <n v="4"/>
    <n v="4"/>
  </r>
  <r>
    <s v="SW-102600"/>
    <d v="2025-01-16T00:00:00"/>
    <x v="1"/>
    <s v="Q1"/>
    <x v="0"/>
    <x v="1"/>
    <x v="0"/>
    <x v="1"/>
    <x v="4"/>
    <s v="Power Bank"/>
    <n v="2"/>
    <n v="508.8"/>
    <n v="0.3"/>
    <x v="3"/>
    <n v="712.32"/>
    <n v="874.07"/>
    <n v="-161.75"/>
    <n v="1"/>
    <n v="0"/>
    <n v="7"/>
    <n v="4"/>
  </r>
  <r>
    <s v="SW-102601"/>
    <d v="2025-01-16T00:00:00"/>
    <x v="1"/>
    <s v="Q1"/>
    <x v="0"/>
    <x v="1"/>
    <x v="3"/>
    <x v="1"/>
    <x v="0"/>
    <s v="Running Sneakers"/>
    <n v="2"/>
    <n v="94.85"/>
    <n v="0.2"/>
    <x v="1"/>
    <n v="151.76"/>
    <n v="101.12"/>
    <n v="50.64"/>
    <n v="1"/>
    <n v="0"/>
    <n v="2"/>
    <n v="5"/>
  </r>
  <r>
    <s v="SW-102602"/>
    <d v="2025-01-16T00:00:00"/>
    <x v="1"/>
    <s v="Q1"/>
    <x v="0"/>
    <x v="1"/>
    <x v="0"/>
    <x v="0"/>
    <x v="0"/>
    <s v="Running Sneakers"/>
    <n v="1"/>
    <n v="94.85"/>
    <n v="0.15"/>
    <x v="1"/>
    <n v="80.62"/>
    <n v="53.01"/>
    <n v="27.61"/>
    <n v="1"/>
    <n v="0"/>
    <n v="5"/>
    <n v="5"/>
  </r>
  <r>
    <s v="SW-102603"/>
    <d v="2025-01-17T00:00:00"/>
    <x v="1"/>
    <s v="Q1"/>
    <x v="0"/>
    <x v="1"/>
    <x v="1"/>
    <x v="0"/>
    <x v="2"/>
    <s v="Coffee Maker"/>
    <n v="2"/>
    <n v="148.05000000000001"/>
    <n v="0.2"/>
    <x v="1"/>
    <n v="236.88"/>
    <n v="207.98"/>
    <n v="28.9"/>
    <n v="1"/>
    <n v="0"/>
    <n v="5"/>
    <n v="4"/>
  </r>
  <r>
    <s v="SW-102604"/>
    <d v="2025-01-17T00:00:00"/>
    <x v="1"/>
    <s v="Q1"/>
    <x v="0"/>
    <x v="1"/>
    <x v="3"/>
    <x v="0"/>
    <x v="5"/>
    <s v="Building Blocks"/>
    <n v="1"/>
    <n v="48.86"/>
    <n v="0"/>
    <x v="2"/>
    <n v="48.86"/>
    <n v="34.39"/>
    <n v="14.47"/>
    <n v="1"/>
    <n v="0"/>
    <n v="2"/>
    <n v="4"/>
  </r>
  <r>
    <s v="SW-102605"/>
    <d v="2025-01-17T00:00:00"/>
    <x v="1"/>
    <s v="Q1"/>
    <x v="0"/>
    <x v="2"/>
    <x v="4"/>
    <x v="0"/>
    <x v="0"/>
    <s v="Cotton T-Shirt"/>
    <n v="2"/>
    <n v="19.41"/>
    <n v="0.05"/>
    <x v="0"/>
    <n v="36.880000000000003"/>
    <n v="21.03"/>
    <n v="15.85"/>
    <n v="1"/>
    <n v="0"/>
    <n v="10"/>
    <n v="3"/>
  </r>
  <r>
    <s v="SW-102606"/>
    <d v="2025-01-17T00:00:00"/>
    <x v="1"/>
    <s v="Q1"/>
    <x v="0"/>
    <x v="2"/>
    <x v="3"/>
    <x v="1"/>
    <x v="2"/>
    <s v="Cookware Set"/>
    <n v="2"/>
    <n v="233.81"/>
    <n v="0.05"/>
    <x v="0"/>
    <n v="444.24"/>
    <n v="301.92"/>
    <n v="142.32"/>
    <n v="1"/>
    <n v="0"/>
    <n v="2"/>
    <n v="5"/>
  </r>
  <r>
    <s v="SW-102607"/>
    <d v="2025-01-17T00:00:00"/>
    <x v="1"/>
    <s v="Q1"/>
    <x v="0"/>
    <x v="1"/>
    <x v="4"/>
    <x v="1"/>
    <x v="3"/>
    <s v="Camping Tent"/>
    <n v="2"/>
    <n v="83.06"/>
    <n v="0"/>
    <x v="2"/>
    <n v="166.12"/>
    <n v="110.34"/>
    <n v="55.78"/>
    <n v="1"/>
    <n v="1"/>
    <n v="6"/>
    <n v="3"/>
  </r>
  <r>
    <s v="SW-102608"/>
    <d v="2025-01-17T00:00:00"/>
    <x v="1"/>
    <s v="Q1"/>
    <x v="0"/>
    <x v="1"/>
    <x v="2"/>
    <x v="0"/>
    <x v="2"/>
    <s v="Coffee Maker"/>
    <n v="2"/>
    <n v="148.05000000000001"/>
    <n v="0.15"/>
    <x v="1"/>
    <n v="251.68"/>
    <n v="195.58"/>
    <n v="56.1"/>
    <n v="1"/>
    <n v="0"/>
    <n v="5"/>
    <n v="5"/>
  </r>
  <r>
    <s v="SW-102609"/>
    <d v="2025-01-18T00:00:00"/>
    <x v="1"/>
    <s v="Q1"/>
    <x v="0"/>
    <x v="2"/>
    <x v="2"/>
    <x v="1"/>
    <x v="1"/>
    <s v="Face Serum"/>
    <n v="1"/>
    <n v="33.479999999999997"/>
    <n v="0.1"/>
    <x v="0"/>
    <n v="30.13"/>
    <n v="15.98"/>
    <n v="14.15"/>
    <n v="1"/>
    <n v="0"/>
    <n v="4"/>
    <n v="5"/>
  </r>
  <r>
    <s v="SW-102610"/>
    <d v="2025-01-18T00:00:00"/>
    <x v="1"/>
    <s v="Q1"/>
    <x v="0"/>
    <x v="0"/>
    <x v="4"/>
    <x v="1"/>
    <x v="5"/>
    <s v="Building Blocks"/>
    <n v="1"/>
    <n v="48.86"/>
    <n v="0"/>
    <x v="2"/>
    <n v="48.86"/>
    <n v="34.159999999999997"/>
    <n v="14.7"/>
    <n v="1"/>
    <n v="0"/>
    <n v="6"/>
    <n v="5"/>
  </r>
  <r>
    <s v="SW-102611"/>
    <d v="2025-01-18T00:00:00"/>
    <x v="1"/>
    <s v="Q1"/>
    <x v="0"/>
    <x v="1"/>
    <x v="3"/>
    <x v="1"/>
    <x v="0"/>
    <s v="Sunglasses"/>
    <n v="1"/>
    <n v="104.94"/>
    <n v="0.2"/>
    <x v="1"/>
    <n v="83.95"/>
    <n v="57.2"/>
    <n v="26.75"/>
    <n v="1"/>
    <n v="0"/>
    <n v="3"/>
    <n v="4"/>
  </r>
  <r>
    <s v="SW-102612"/>
    <d v="2025-01-18T00:00:00"/>
    <x v="1"/>
    <s v="Q1"/>
    <x v="0"/>
    <x v="1"/>
    <x v="2"/>
    <x v="1"/>
    <x v="1"/>
    <s v="Skin Care Bundle"/>
    <n v="2"/>
    <n v="92.54"/>
    <n v="0"/>
    <x v="2"/>
    <n v="185.08"/>
    <n v="87.95"/>
    <n v="97.13"/>
    <n v="1"/>
    <n v="0"/>
    <n v="3"/>
    <n v="5"/>
  </r>
  <r>
    <s v="SW-102613"/>
    <d v="2025-01-18T00:00:00"/>
    <x v="1"/>
    <s v="Q1"/>
    <x v="0"/>
    <x v="2"/>
    <x v="1"/>
    <x v="1"/>
    <x v="2"/>
    <s v="Storage Boxes"/>
    <n v="1"/>
    <n v="154.66"/>
    <n v="0.05"/>
    <x v="0"/>
    <n v="146.93"/>
    <n v="100.2"/>
    <n v="46.73"/>
    <n v="1"/>
    <n v="0"/>
    <n v="8"/>
    <n v="4"/>
  </r>
  <r>
    <s v="SW-102614"/>
    <d v="2025-01-18T00:00:00"/>
    <x v="1"/>
    <s v="Q1"/>
    <x v="0"/>
    <x v="2"/>
    <x v="4"/>
    <x v="1"/>
    <x v="4"/>
    <s v="Smart Watch"/>
    <n v="1"/>
    <n v="216.08"/>
    <n v="0.05"/>
    <x v="0"/>
    <n v="205.28"/>
    <n v="179.95"/>
    <n v="25.33"/>
    <n v="1"/>
    <n v="0"/>
    <n v="5"/>
    <n v="4"/>
  </r>
  <r>
    <s v="SW-102615"/>
    <d v="2025-01-18T00:00:00"/>
    <x v="1"/>
    <s v="Q1"/>
    <x v="0"/>
    <x v="2"/>
    <x v="0"/>
    <x v="1"/>
    <x v="4"/>
    <s v="Power Bank"/>
    <n v="2"/>
    <n v="508.8"/>
    <n v="0.05"/>
    <x v="0"/>
    <n v="966.72"/>
    <n v="807.11"/>
    <n v="159.61000000000001"/>
    <n v="1"/>
    <n v="0"/>
    <n v="4"/>
    <n v="5"/>
  </r>
  <r>
    <s v="SW-102616"/>
    <d v="2025-01-19T00:00:00"/>
    <x v="1"/>
    <s v="Q1"/>
    <x v="0"/>
    <x v="2"/>
    <x v="2"/>
    <x v="0"/>
    <x v="1"/>
    <s v="Skin Care Bundle"/>
    <n v="1"/>
    <n v="92.54"/>
    <n v="0"/>
    <x v="2"/>
    <n v="92.54"/>
    <n v="43"/>
    <n v="49.54"/>
    <n v="1"/>
    <n v="0"/>
    <n v="7"/>
    <n v="4"/>
  </r>
  <r>
    <s v="SW-102617"/>
    <d v="2025-01-19T00:00:00"/>
    <x v="1"/>
    <s v="Q1"/>
    <x v="0"/>
    <x v="1"/>
    <x v="0"/>
    <x v="1"/>
    <x v="0"/>
    <s v="Leather Handbag"/>
    <n v="4"/>
    <n v="138.5"/>
    <n v="0.05"/>
    <x v="0"/>
    <n v="526.29999999999995"/>
    <n v="301.95"/>
    <n v="224.35"/>
    <n v="1"/>
    <n v="0"/>
    <n v="3"/>
    <n v="5"/>
  </r>
  <r>
    <s v="SW-102618"/>
    <d v="2025-01-20T00:00:00"/>
    <x v="1"/>
    <s v="Q1"/>
    <x v="0"/>
    <x v="1"/>
    <x v="2"/>
    <x v="1"/>
    <x v="4"/>
    <s v="Bluetooth Speaker"/>
    <n v="1"/>
    <n v="177.65"/>
    <n v="0.3"/>
    <x v="3"/>
    <n v="124.35"/>
    <n v="143.31"/>
    <n v="-18.96"/>
    <n v="1"/>
    <n v="0"/>
    <n v="4"/>
    <n v="5"/>
  </r>
  <r>
    <s v="SW-102619"/>
    <d v="2025-01-20T00:00:00"/>
    <x v="1"/>
    <s v="Q1"/>
    <x v="0"/>
    <x v="0"/>
    <x v="0"/>
    <x v="1"/>
    <x v="5"/>
    <s v="Building Blocks"/>
    <n v="1"/>
    <n v="48.86"/>
    <n v="0.25"/>
    <x v="3"/>
    <n v="36.64"/>
    <n v="33.72"/>
    <n v="2.92"/>
    <n v="1"/>
    <n v="0"/>
    <n v="4"/>
    <n v="4"/>
  </r>
  <r>
    <s v="SW-102620"/>
    <d v="2025-01-20T00:00:00"/>
    <x v="1"/>
    <s v="Q1"/>
    <x v="0"/>
    <x v="2"/>
    <x v="1"/>
    <x v="0"/>
    <x v="4"/>
    <s v="Wireless Earbuds"/>
    <n v="1"/>
    <n v="588.41"/>
    <n v="0.1"/>
    <x v="0"/>
    <n v="529.57000000000005"/>
    <n v="455.81"/>
    <n v="73.760000000000005"/>
    <n v="1"/>
    <n v="0"/>
    <n v="6"/>
    <n v="3"/>
  </r>
  <r>
    <s v="SW-102621"/>
    <d v="2025-01-20T00:00:00"/>
    <x v="1"/>
    <s v="Q1"/>
    <x v="0"/>
    <x v="0"/>
    <x v="0"/>
    <x v="1"/>
    <x v="0"/>
    <s v="Leather Handbag"/>
    <n v="1"/>
    <n v="138.5"/>
    <n v="0.2"/>
    <x v="1"/>
    <n v="110.8"/>
    <n v="74.97"/>
    <n v="35.83"/>
    <n v="1"/>
    <n v="0"/>
    <n v="4"/>
    <n v="4"/>
  </r>
  <r>
    <s v="SW-102622"/>
    <d v="2025-01-20T00:00:00"/>
    <x v="1"/>
    <s v="Q1"/>
    <x v="0"/>
    <x v="2"/>
    <x v="3"/>
    <x v="0"/>
    <x v="2"/>
    <s v="Cookware Set"/>
    <n v="1"/>
    <n v="233.81"/>
    <n v="0"/>
    <x v="2"/>
    <n v="233.81"/>
    <n v="158.77000000000001"/>
    <n v="75.040000000000006"/>
    <n v="1"/>
    <n v="0"/>
    <n v="3"/>
    <n v="5"/>
  </r>
  <r>
    <s v="SW-102623"/>
    <d v="2025-01-20T00:00:00"/>
    <x v="1"/>
    <s v="Q1"/>
    <x v="0"/>
    <x v="1"/>
    <x v="2"/>
    <x v="0"/>
    <x v="4"/>
    <s v="Bluetooth Speaker"/>
    <n v="1"/>
    <n v="177.65"/>
    <n v="0.05"/>
    <x v="0"/>
    <n v="168.77"/>
    <n v="145.33000000000001"/>
    <n v="23.44"/>
    <n v="1"/>
    <n v="0"/>
    <n v="4"/>
    <n v="4"/>
  </r>
  <r>
    <s v="SW-102624"/>
    <d v="2025-01-21T00:00:00"/>
    <x v="1"/>
    <s v="Q1"/>
    <x v="0"/>
    <x v="0"/>
    <x v="3"/>
    <x v="0"/>
    <x v="1"/>
    <s v="Makeup Kit"/>
    <n v="2"/>
    <n v="74.3"/>
    <n v="0.25"/>
    <x v="3"/>
    <n v="111.45"/>
    <n v="70.73"/>
    <n v="40.72"/>
    <n v="1"/>
    <n v="0"/>
    <n v="2"/>
    <n v="4"/>
  </r>
  <r>
    <s v="SW-102625"/>
    <d v="2025-01-21T00:00:00"/>
    <x v="1"/>
    <s v="Q1"/>
    <x v="0"/>
    <x v="0"/>
    <x v="0"/>
    <x v="1"/>
    <x v="1"/>
    <s v="Hair Dryer"/>
    <n v="3"/>
    <n v="33.18"/>
    <n v="0"/>
    <x v="2"/>
    <n v="99.54"/>
    <n v="46.8"/>
    <n v="52.74"/>
    <n v="1"/>
    <n v="0"/>
    <n v="4"/>
    <n v="4"/>
  </r>
  <r>
    <s v="SW-102626"/>
    <d v="2025-01-21T00:00:00"/>
    <x v="1"/>
    <s v="Q1"/>
    <x v="0"/>
    <x v="1"/>
    <x v="4"/>
    <x v="0"/>
    <x v="2"/>
    <s v="Air Fryer"/>
    <n v="1"/>
    <n v="68.349999999999994"/>
    <n v="0.05"/>
    <x v="0"/>
    <n v="64.930000000000007"/>
    <n v="45.64"/>
    <n v="19.29"/>
    <n v="1"/>
    <n v="0"/>
    <n v="6"/>
    <n v="4"/>
  </r>
  <r>
    <s v="SW-102627"/>
    <d v="2025-01-21T00:00:00"/>
    <x v="1"/>
    <s v="Q1"/>
    <x v="0"/>
    <x v="0"/>
    <x v="0"/>
    <x v="1"/>
    <x v="0"/>
    <s v="Leather Handbag"/>
    <n v="1"/>
    <n v="138.5"/>
    <n v="0"/>
    <x v="2"/>
    <n v="138.5"/>
    <n v="71.73"/>
    <n v="66.77"/>
    <n v="1"/>
    <n v="0"/>
    <n v="3"/>
    <n v="4"/>
  </r>
  <r>
    <s v="SW-102628"/>
    <d v="2025-01-21T00:00:00"/>
    <x v="1"/>
    <s v="Q1"/>
    <x v="0"/>
    <x v="2"/>
    <x v="4"/>
    <x v="1"/>
    <x v="1"/>
    <s v="Skin Care Bundle"/>
    <n v="2"/>
    <n v="92.54"/>
    <n v="0.1"/>
    <x v="0"/>
    <n v="166.57"/>
    <n v="84.24"/>
    <n v="82.33"/>
    <n v="1"/>
    <n v="0"/>
    <n v="7"/>
    <n v="4"/>
  </r>
  <r>
    <s v="SW-102629"/>
    <d v="2025-01-21T00:00:00"/>
    <x v="1"/>
    <s v="Q1"/>
    <x v="0"/>
    <x v="0"/>
    <x v="2"/>
    <x v="1"/>
    <x v="0"/>
    <s v="Leather Handbag"/>
    <n v="1"/>
    <n v="138.5"/>
    <n v="0.1"/>
    <x v="0"/>
    <n v="124.65"/>
    <n v="78.209999999999994"/>
    <n v="46.44"/>
    <n v="1"/>
    <n v="0"/>
    <n v="4"/>
    <n v="5"/>
  </r>
  <r>
    <s v="SW-102630"/>
    <d v="2025-01-21T00:00:00"/>
    <x v="1"/>
    <s v="Q1"/>
    <x v="0"/>
    <x v="1"/>
    <x v="1"/>
    <x v="1"/>
    <x v="5"/>
    <s v="Kids Puzzle"/>
    <n v="1"/>
    <n v="16.97"/>
    <n v="0.15"/>
    <x v="1"/>
    <n v="14.42"/>
    <n v="11.77"/>
    <n v="2.65"/>
    <n v="1"/>
    <n v="0"/>
    <n v="5"/>
    <n v="5"/>
  </r>
  <r>
    <s v="SW-102631"/>
    <d v="2025-01-21T00:00:00"/>
    <x v="1"/>
    <s v="Q1"/>
    <x v="0"/>
    <x v="0"/>
    <x v="0"/>
    <x v="0"/>
    <x v="0"/>
    <s v="Denim Jacket"/>
    <n v="1"/>
    <n v="78.510000000000005"/>
    <n v="0"/>
    <x v="2"/>
    <n v="78.510000000000005"/>
    <n v="41.6"/>
    <n v="36.909999999999997"/>
    <n v="1"/>
    <n v="0"/>
    <n v="3"/>
    <n v="4"/>
  </r>
  <r>
    <s v="SW-102632"/>
    <d v="2025-01-21T00:00:00"/>
    <x v="1"/>
    <s v="Q1"/>
    <x v="0"/>
    <x v="1"/>
    <x v="2"/>
    <x v="0"/>
    <x v="5"/>
    <s v="Bestseller Novel"/>
    <n v="2"/>
    <n v="45.28"/>
    <n v="0.25"/>
    <x v="3"/>
    <n v="67.92"/>
    <n v="64.64"/>
    <n v="3.28"/>
    <n v="1"/>
    <n v="0"/>
    <n v="3"/>
    <n v="4"/>
  </r>
  <r>
    <s v="SW-102633"/>
    <d v="2025-01-22T00:00:00"/>
    <x v="1"/>
    <s v="Q1"/>
    <x v="0"/>
    <x v="1"/>
    <x v="3"/>
    <x v="0"/>
    <x v="3"/>
    <s v="Yoga Mat"/>
    <n v="3"/>
    <n v="137.05000000000001"/>
    <n v="0.05"/>
    <x v="0"/>
    <n v="390.59"/>
    <n v="265.33999999999997"/>
    <n v="125.25"/>
    <n v="1"/>
    <n v="0"/>
    <n v="3"/>
    <n v="4"/>
  </r>
  <r>
    <s v="SW-102634"/>
    <d v="2025-01-22T00:00:00"/>
    <x v="1"/>
    <s v="Q1"/>
    <x v="0"/>
    <x v="0"/>
    <x v="2"/>
    <x v="0"/>
    <x v="2"/>
    <s v="Bed Sheet Set"/>
    <n v="2"/>
    <n v="90.75"/>
    <n v="0.05"/>
    <x v="0"/>
    <n v="172.42"/>
    <n v="120.63"/>
    <n v="51.79"/>
    <n v="1"/>
    <n v="0"/>
    <n v="4"/>
    <n v="5"/>
  </r>
  <r>
    <s v="SW-102635"/>
    <d v="2025-01-22T00:00:00"/>
    <x v="1"/>
    <s v="Q1"/>
    <x v="0"/>
    <x v="1"/>
    <x v="2"/>
    <x v="0"/>
    <x v="0"/>
    <s v="Sunglasses"/>
    <n v="1"/>
    <n v="104.94"/>
    <n v="0.15"/>
    <x v="1"/>
    <n v="89.2"/>
    <n v="57.44"/>
    <n v="31.76"/>
    <n v="1"/>
    <n v="0"/>
    <n v="4"/>
    <n v="4"/>
  </r>
  <r>
    <s v="SW-102636"/>
    <d v="2025-01-22T00:00:00"/>
    <x v="1"/>
    <s v="Q1"/>
    <x v="0"/>
    <x v="1"/>
    <x v="3"/>
    <x v="1"/>
    <x v="1"/>
    <s v="Hair Dryer"/>
    <n v="2"/>
    <n v="33.18"/>
    <n v="0"/>
    <x v="2"/>
    <n v="66.36"/>
    <n v="32.090000000000003"/>
    <n v="34.270000000000003"/>
    <n v="1"/>
    <n v="0"/>
    <n v="3"/>
    <n v="4"/>
  </r>
  <r>
    <s v="SW-102637"/>
    <d v="2025-01-23T00:00:00"/>
    <x v="1"/>
    <s v="Q1"/>
    <x v="0"/>
    <x v="1"/>
    <x v="3"/>
    <x v="1"/>
    <x v="1"/>
    <s v="Skin Care Bundle"/>
    <n v="1"/>
    <n v="92.54"/>
    <n v="0.05"/>
    <x v="0"/>
    <n v="87.91"/>
    <n v="42.15"/>
    <n v="45.76"/>
    <n v="1"/>
    <n v="1"/>
    <n v="3"/>
    <n v="4"/>
  </r>
  <r>
    <s v="SW-102638"/>
    <d v="2025-01-23T00:00:00"/>
    <x v="1"/>
    <s v="Q1"/>
    <x v="0"/>
    <x v="1"/>
    <x v="4"/>
    <x v="0"/>
    <x v="5"/>
    <s v="Bestseller Novel"/>
    <n v="1"/>
    <n v="45.28"/>
    <n v="0"/>
    <x v="2"/>
    <n v="45.28"/>
    <n v="31.97"/>
    <n v="13.31"/>
    <n v="1"/>
    <n v="0"/>
    <n v="6"/>
    <n v="4"/>
  </r>
  <r>
    <s v="SW-102639"/>
    <d v="2025-01-23T00:00:00"/>
    <x v="1"/>
    <s v="Q1"/>
    <x v="0"/>
    <x v="0"/>
    <x v="3"/>
    <x v="0"/>
    <x v="5"/>
    <s v="Bestseller Novel"/>
    <n v="1"/>
    <n v="45.28"/>
    <n v="0"/>
    <x v="2"/>
    <n v="45.28"/>
    <n v="34.43"/>
    <n v="10.85"/>
    <n v="1"/>
    <n v="0"/>
    <n v="4"/>
    <n v="4"/>
  </r>
  <r>
    <s v="SW-102640"/>
    <d v="2025-01-23T00:00:00"/>
    <x v="1"/>
    <s v="Q1"/>
    <x v="0"/>
    <x v="2"/>
    <x v="0"/>
    <x v="1"/>
    <x v="0"/>
    <s v="Leather Handbag"/>
    <n v="3"/>
    <n v="138.5"/>
    <n v="0"/>
    <x v="2"/>
    <n v="415.5"/>
    <n v="222.47"/>
    <n v="193.03"/>
    <n v="1"/>
    <n v="1"/>
    <n v="3"/>
    <n v="3"/>
  </r>
  <r>
    <s v="SW-102641"/>
    <d v="2025-01-23T00:00:00"/>
    <x v="1"/>
    <s v="Q1"/>
    <x v="0"/>
    <x v="1"/>
    <x v="2"/>
    <x v="1"/>
    <x v="3"/>
    <s v="Cycling Helmet"/>
    <n v="1"/>
    <n v="85.42"/>
    <n v="0.05"/>
    <x v="0"/>
    <n v="81.150000000000006"/>
    <n v="60.73"/>
    <n v="20.420000000000002"/>
    <n v="1"/>
    <n v="0"/>
    <n v="4"/>
    <n v="4"/>
  </r>
  <r>
    <s v="SW-102642"/>
    <d v="2025-01-23T00:00:00"/>
    <x v="1"/>
    <s v="Q1"/>
    <x v="0"/>
    <x v="1"/>
    <x v="3"/>
    <x v="0"/>
    <x v="0"/>
    <s v="Summer Dress"/>
    <n v="2"/>
    <n v="33.99"/>
    <n v="0.1"/>
    <x v="0"/>
    <n v="61.18"/>
    <n v="36.450000000000003"/>
    <n v="24.73"/>
    <n v="1"/>
    <n v="0"/>
    <n v="3"/>
    <n v="4"/>
  </r>
  <r>
    <s v="SW-102643"/>
    <d v="2025-01-24T00:00:00"/>
    <x v="1"/>
    <s v="Q1"/>
    <x v="0"/>
    <x v="1"/>
    <x v="3"/>
    <x v="1"/>
    <x v="2"/>
    <s v="Storage Boxes"/>
    <n v="2"/>
    <n v="154.66"/>
    <n v="0"/>
    <x v="2"/>
    <n v="309.32"/>
    <n v="200.65"/>
    <n v="108.67"/>
    <n v="1"/>
    <n v="0"/>
    <n v="3"/>
    <n v="5"/>
  </r>
  <r>
    <s v="SW-102644"/>
    <d v="2025-01-24T00:00:00"/>
    <x v="1"/>
    <s v="Q1"/>
    <x v="0"/>
    <x v="0"/>
    <x v="3"/>
    <x v="0"/>
    <x v="0"/>
    <s v="Sunglasses"/>
    <n v="1"/>
    <n v="104.94"/>
    <n v="0"/>
    <x v="2"/>
    <n v="104.94"/>
    <n v="54.07"/>
    <n v="50.87"/>
    <n v="1"/>
    <n v="0"/>
    <n v="4"/>
    <n v="4"/>
  </r>
  <r>
    <s v="SW-102645"/>
    <d v="2025-01-24T00:00:00"/>
    <x v="1"/>
    <s v="Q1"/>
    <x v="0"/>
    <x v="0"/>
    <x v="3"/>
    <x v="0"/>
    <x v="0"/>
    <s v="Cotton T-Shirt"/>
    <n v="2"/>
    <n v="19.41"/>
    <n v="0.2"/>
    <x v="1"/>
    <n v="31.06"/>
    <n v="20.65"/>
    <n v="10.41"/>
    <n v="1"/>
    <n v="0"/>
    <n v="2"/>
    <n v="4"/>
  </r>
  <r>
    <s v="SW-102646"/>
    <d v="2025-01-24T00:00:00"/>
    <x v="1"/>
    <s v="Q1"/>
    <x v="0"/>
    <x v="0"/>
    <x v="3"/>
    <x v="0"/>
    <x v="3"/>
    <s v="Fitness Tracker"/>
    <n v="1"/>
    <n v="74.459999999999994"/>
    <n v="0"/>
    <x v="2"/>
    <n v="74.459999999999994"/>
    <n v="49.79"/>
    <n v="24.67"/>
    <n v="1"/>
    <n v="0"/>
    <n v="5"/>
    <n v="5"/>
  </r>
  <r>
    <s v="SW-102647"/>
    <d v="2025-01-25T00:00:00"/>
    <x v="1"/>
    <s v="Q1"/>
    <x v="0"/>
    <x v="1"/>
    <x v="3"/>
    <x v="0"/>
    <x v="0"/>
    <s v="Summer Dress"/>
    <n v="1"/>
    <n v="33.99"/>
    <n v="0"/>
    <x v="2"/>
    <n v="33.99"/>
    <n v="18.22"/>
    <n v="15.77"/>
    <n v="1"/>
    <n v="0"/>
    <n v="2"/>
    <n v="3"/>
  </r>
  <r>
    <s v="SW-102648"/>
    <d v="2025-01-25T00:00:00"/>
    <x v="1"/>
    <s v="Q1"/>
    <x v="0"/>
    <x v="1"/>
    <x v="0"/>
    <x v="0"/>
    <x v="0"/>
    <s v="Sunglasses"/>
    <n v="1"/>
    <n v="104.94"/>
    <n v="0.1"/>
    <x v="0"/>
    <n v="94.45"/>
    <n v="55.74"/>
    <n v="38.71"/>
    <n v="1"/>
    <n v="0"/>
    <n v="7"/>
    <n v="4"/>
  </r>
  <r>
    <s v="SW-102649"/>
    <d v="2025-01-25T00:00:00"/>
    <x v="1"/>
    <s v="Q1"/>
    <x v="0"/>
    <x v="1"/>
    <x v="3"/>
    <x v="1"/>
    <x v="2"/>
    <s v="Bed Sheet Set"/>
    <n v="2"/>
    <n v="90.75"/>
    <n v="0.1"/>
    <x v="0"/>
    <n v="163.35"/>
    <n v="119.27"/>
    <n v="44.08"/>
    <n v="1"/>
    <n v="0"/>
    <n v="3"/>
    <n v="5"/>
  </r>
  <r>
    <s v="SW-102650"/>
    <d v="2025-01-25T00:00:00"/>
    <x v="1"/>
    <s v="Q1"/>
    <x v="0"/>
    <x v="2"/>
    <x v="0"/>
    <x v="0"/>
    <x v="5"/>
    <s v="Building Blocks"/>
    <n v="1"/>
    <n v="48.86"/>
    <n v="0.1"/>
    <x v="0"/>
    <n v="43.97"/>
    <n v="37.090000000000003"/>
    <n v="6.88"/>
    <n v="1"/>
    <n v="0"/>
    <n v="4"/>
    <n v="5"/>
  </r>
  <r>
    <s v="SW-102651"/>
    <d v="2025-01-25T00:00:00"/>
    <x v="1"/>
    <s v="Q1"/>
    <x v="0"/>
    <x v="0"/>
    <x v="2"/>
    <x v="1"/>
    <x v="4"/>
    <s v="Smart Watch"/>
    <n v="1"/>
    <n v="216.08"/>
    <n v="0.3"/>
    <x v="3"/>
    <n v="151.26"/>
    <n v="171.1"/>
    <n v="-19.84"/>
    <n v="1"/>
    <n v="0"/>
    <n v="3"/>
    <n v="4"/>
  </r>
  <r>
    <s v="SW-102652"/>
    <d v="2025-01-25T00:00:00"/>
    <x v="1"/>
    <s v="Q1"/>
    <x v="0"/>
    <x v="1"/>
    <x v="0"/>
    <x v="0"/>
    <x v="0"/>
    <s v="Sunglasses"/>
    <n v="2"/>
    <n v="104.94"/>
    <n v="0"/>
    <x v="2"/>
    <n v="209.88"/>
    <n v="112.3"/>
    <n v="97.58"/>
    <n v="1"/>
    <n v="0"/>
    <n v="4"/>
    <n v="5"/>
  </r>
  <r>
    <s v="SW-102653"/>
    <d v="2025-01-25T00:00:00"/>
    <x v="1"/>
    <s v="Q1"/>
    <x v="0"/>
    <x v="2"/>
    <x v="3"/>
    <x v="0"/>
    <x v="1"/>
    <s v="Skin Care Bundle"/>
    <n v="1"/>
    <n v="92.54"/>
    <n v="0.05"/>
    <x v="0"/>
    <n v="87.91"/>
    <n v="44.72"/>
    <n v="43.19"/>
    <n v="1"/>
    <n v="0"/>
    <n v="4"/>
    <n v="4"/>
  </r>
  <r>
    <s v="SW-102654"/>
    <d v="2025-01-26T00:00:00"/>
    <x v="1"/>
    <s v="Q1"/>
    <x v="0"/>
    <x v="2"/>
    <x v="2"/>
    <x v="0"/>
    <x v="3"/>
    <s v="Fitness Tracker"/>
    <n v="1"/>
    <n v="74.459999999999994"/>
    <n v="0.05"/>
    <x v="0"/>
    <n v="70.739999999999995"/>
    <n v="50.81"/>
    <n v="19.93"/>
    <n v="1"/>
    <n v="0"/>
    <n v="7"/>
    <n v="3"/>
  </r>
  <r>
    <s v="SW-102655"/>
    <d v="2025-01-26T00:00:00"/>
    <x v="1"/>
    <s v="Q1"/>
    <x v="0"/>
    <x v="0"/>
    <x v="3"/>
    <x v="1"/>
    <x v="3"/>
    <s v="Dumbbell Set"/>
    <n v="1"/>
    <n v="198.42"/>
    <n v="0.15"/>
    <x v="1"/>
    <n v="168.66"/>
    <n v="134.21"/>
    <n v="34.450000000000003"/>
    <n v="1"/>
    <n v="0"/>
    <n v="3"/>
    <n v="5"/>
  </r>
  <r>
    <s v="SW-102656"/>
    <d v="2025-01-26T00:00:00"/>
    <x v="1"/>
    <s v="Q1"/>
    <x v="0"/>
    <x v="1"/>
    <x v="0"/>
    <x v="1"/>
    <x v="0"/>
    <s v="Leather Handbag"/>
    <n v="1"/>
    <n v="138.5"/>
    <n v="0.05"/>
    <x v="0"/>
    <n v="131.57"/>
    <n v="71.98"/>
    <n v="59.59"/>
    <n v="1"/>
    <n v="0"/>
    <n v="5"/>
    <n v="4"/>
  </r>
  <r>
    <s v="SW-102657"/>
    <d v="2025-01-26T00:00:00"/>
    <x v="1"/>
    <s v="Q1"/>
    <x v="0"/>
    <x v="1"/>
    <x v="0"/>
    <x v="0"/>
    <x v="1"/>
    <s v="Perfume 100ml"/>
    <n v="1"/>
    <n v="54.56"/>
    <n v="0"/>
    <x v="2"/>
    <n v="54.56"/>
    <n v="26.22"/>
    <n v="28.34"/>
    <n v="1"/>
    <n v="0"/>
    <n v="6"/>
    <n v="2"/>
  </r>
  <r>
    <s v="SW-102658"/>
    <d v="2025-01-26T00:00:00"/>
    <x v="1"/>
    <s v="Q1"/>
    <x v="0"/>
    <x v="0"/>
    <x v="3"/>
    <x v="1"/>
    <x v="0"/>
    <s v="Running Sneakers"/>
    <n v="1"/>
    <n v="94.85"/>
    <n v="0"/>
    <x v="2"/>
    <n v="94.85"/>
    <n v="51.5"/>
    <n v="43.35"/>
    <n v="1"/>
    <n v="0"/>
    <n v="3"/>
    <n v="5"/>
  </r>
  <r>
    <s v="SW-102659"/>
    <d v="2025-01-26T00:00:00"/>
    <x v="1"/>
    <s v="Q1"/>
    <x v="0"/>
    <x v="1"/>
    <x v="0"/>
    <x v="1"/>
    <x v="2"/>
    <s v="Desk Lamp"/>
    <n v="1"/>
    <n v="117.63"/>
    <n v="0"/>
    <x v="2"/>
    <n v="117.63"/>
    <n v="78.180000000000007"/>
    <n v="39.450000000000003"/>
    <n v="1"/>
    <n v="0"/>
    <n v="4"/>
    <n v="5"/>
  </r>
  <r>
    <s v="SW-102660"/>
    <d v="2025-01-26T00:00:00"/>
    <x v="1"/>
    <s v="Q1"/>
    <x v="0"/>
    <x v="0"/>
    <x v="3"/>
    <x v="0"/>
    <x v="2"/>
    <s v="Desk Lamp"/>
    <n v="1"/>
    <n v="117.63"/>
    <n v="0.1"/>
    <x v="0"/>
    <n v="105.87"/>
    <n v="77.08"/>
    <n v="28.79"/>
    <n v="1"/>
    <n v="0"/>
    <n v="3"/>
    <n v="5"/>
  </r>
  <r>
    <s v="SW-102661"/>
    <d v="2025-01-26T00:00:00"/>
    <x v="1"/>
    <s v="Q1"/>
    <x v="0"/>
    <x v="1"/>
    <x v="4"/>
    <x v="1"/>
    <x v="4"/>
    <s v="Power Bank"/>
    <n v="4"/>
    <n v="508.8"/>
    <n v="0"/>
    <x v="2"/>
    <n v="2035.2"/>
    <n v="1633.3"/>
    <n v="401.9"/>
    <n v="1"/>
    <n v="0"/>
    <n v="5"/>
    <n v="3"/>
  </r>
  <r>
    <s v="SW-102662"/>
    <d v="2025-01-27T00:00:00"/>
    <x v="1"/>
    <s v="Q1"/>
    <x v="0"/>
    <x v="1"/>
    <x v="2"/>
    <x v="0"/>
    <x v="3"/>
    <s v="Dumbbell Set"/>
    <n v="1"/>
    <n v="198.42"/>
    <n v="0.05"/>
    <x v="0"/>
    <n v="188.5"/>
    <n v="131.81"/>
    <n v="56.69"/>
    <n v="1"/>
    <n v="0"/>
    <n v="4"/>
    <n v="5"/>
  </r>
  <r>
    <s v="SW-102663"/>
    <d v="2025-01-27T00:00:00"/>
    <x v="1"/>
    <s v="Q1"/>
    <x v="0"/>
    <x v="1"/>
    <x v="3"/>
    <x v="1"/>
    <x v="5"/>
    <s v="Board Game"/>
    <n v="1"/>
    <n v="57.92"/>
    <n v="0"/>
    <x v="2"/>
    <n v="57.92"/>
    <n v="40.26"/>
    <n v="17.66"/>
    <n v="1"/>
    <n v="0"/>
    <n v="3"/>
    <n v="5"/>
  </r>
  <r>
    <s v="SW-102664"/>
    <d v="2025-01-27T00:00:00"/>
    <x v="1"/>
    <s v="Q1"/>
    <x v="0"/>
    <x v="1"/>
    <x v="3"/>
    <x v="0"/>
    <x v="1"/>
    <s v="Skin Care Bundle"/>
    <n v="1"/>
    <n v="92.54"/>
    <n v="0.05"/>
    <x v="0"/>
    <n v="87.91"/>
    <n v="45.07"/>
    <n v="42.84"/>
    <n v="1"/>
    <n v="0"/>
    <n v="3"/>
    <n v="3"/>
  </r>
  <r>
    <s v="SW-102665"/>
    <d v="2025-01-27T00:00:00"/>
    <x v="1"/>
    <s v="Q1"/>
    <x v="0"/>
    <x v="1"/>
    <x v="3"/>
    <x v="1"/>
    <x v="2"/>
    <s v="Desk Lamp"/>
    <n v="1"/>
    <n v="117.63"/>
    <n v="0"/>
    <x v="2"/>
    <n v="117.63"/>
    <n v="75.78"/>
    <n v="41.85"/>
    <n v="1"/>
    <n v="0"/>
    <n v="2"/>
    <n v="5"/>
  </r>
  <r>
    <s v="SW-102666"/>
    <d v="2025-01-27T00:00:00"/>
    <x v="1"/>
    <s v="Q1"/>
    <x v="0"/>
    <x v="1"/>
    <x v="4"/>
    <x v="0"/>
    <x v="1"/>
    <s v="Perfume 100ml"/>
    <n v="4"/>
    <n v="54.56"/>
    <n v="0.1"/>
    <x v="0"/>
    <n v="196.42"/>
    <n v="103.56"/>
    <n v="92.86"/>
    <n v="1"/>
    <n v="0"/>
    <n v="7"/>
    <n v="4"/>
  </r>
  <r>
    <s v="SW-102667"/>
    <d v="2025-01-27T00:00:00"/>
    <x v="1"/>
    <s v="Q1"/>
    <x v="0"/>
    <x v="0"/>
    <x v="3"/>
    <x v="1"/>
    <x v="1"/>
    <s v="Skin Care Bundle"/>
    <n v="2"/>
    <n v="92.54"/>
    <n v="0"/>
    <x v="2"/>
    <n v="185.08"/>
    <n v="85.11"/>
    <n v="99.97"/>
    <n v="1"/>
    <n v="0"/>
    <n v="4"/>
    <n v="5"/>
  </r>
  <r>
    <s v="SW-102668"/>
    <d v="2025-01-28T00:00:00"/>
    <x v="1"/>
    <s v="Q1"/>
    <x v="0"/>
    <x v="0"/>
    <x v="3"/>
    <x v="0"/>
    <x v="0"/>
    <s v="Summer Dress"/>
    <n v="1"/>
    <n v="33.99"/>
    <n v="0.05"/>
    <x v="0"/>
    <n v="32.29"/>
    <n v="19.75"/>
    <n v="12.54"/>
    <n v="1"/>
    <n v="0"/>
    <n v="3"/>
    <n v="5"/>
  </r>
  <r>
    <s v="SW-102669"/>
    <d v="2025-01-28T00:00:00"/>
    <x v="1"/>
    <s v="Q1"/>
    <x v="0"/>
    <x v="0"/>
    <x v="0"/>
    <x v="0"/>
    <x v="0"/>
    <s v="Leather Handbag"/>
    <n v="2"/>
    <n v="138.5"/>
    <n v="0.1"/>
    <x v="0"/>
    <n v="249.3"/>
    <n v="149.08000000000001"/>
    <n v="100.22"/>
    <n v="1"/>
    <n v="0"/>
    <n v="3"/>
    <n v="5"/>
  </r>
  <r>
    <s v="SW-102670"/>
    <d v="2025-01-28T00:00:00"/>
    <x v="1"/>
    <s v="Q1"/>
    <x v="0"/>
    <x v="0"/>
    <x v="3"/>
    <x v="0"/>
    <x v="4"/>
    <s v="Power Bank"/>
    <n v="1"/>
    <n v="508.8"/>
    <n v="0.05"/>
    <x v="0"/>
    <n v="483.36"/>
    <n v="397.39"/>
    <n v="85.97"/>
    <n v="1"/>
    <n v="0"/>
    <n v="3"/>
    <n v="5"/>
  </r>
  <r>
    <s v="SW-102671"/>
    <d v="2025-01-28T00:00:00"/>
    <x v="1"/>
    <s v="Q1"/>
    <x v="0"/>
    <x v="2"/>
    <x v="4"/>
    <x v="1"/>
    <x v="5"/>
    <s v="Kids Puzzle"/>
    <n v="1"/>
    <n v="16.97"/>
    <n v="0.15"/>
    <x v="1"/>
    <n v="14.42"/>
    <n v="12.38"/>
    <n v="2.04"/>
    <n v="1"/>
    <n v="0"/>
    <n v="5"/>
    <n v="5"/>
  </r>
  <r>
    <s v="SW-102672"/>
    <d v="2025-01-28T00:00:00"/>
    <x v="1"/>
    <s v="Q1"/>
    <x v="0"/>
    <x v="0"/>
    <x v="2"/>
    <x v="0"/>
    <x v="4"/>
    <s v="Tablet 10in"/>
    <n v="2"/>
    <n v="490.3"/>
    <n v="0.05"/>
    <x v="0"/>
    <n v="931.57"/>
    <n v="828.17"/>
    <n v="103.4"/>
    <n v="1"/>
    <n v="0"/>
    <n v="4"/>
    <n v="5"/>
  </r>
  <r>
    <s v="SW-102673"/>
    <d v="2025-01-28T00:00:00"/>
    <x v="1"/>
    <s v="Q1"/>
    <x v="0"/>
    <x v="1"/>
    <x v="0"/>
    <x v="1"/>
    <x v="1"/>
    <s v="Hair Dryer"/>
    <n v="1"/>
    <n v="33.18"/>
    <n v="0.05"/>
    <x v="0"/>
    <n v="31.52"/>
    <n v="14.84"/>
    <n v="16.68"/>
    <n v="1"/>
    <n v="0"/>
    <n v="6"/>
    <n v="3"/>
  </r>
  <r>
    <s v="SW-102674"/>
    <d v="2025-01-29T00:00:00"/>
    <x v="1"/>
    <s v="Q1"/>
    <x v="0"/>
    <x v="0"/>
    <x v="3"/>
    <x v="1"/>
    <x v="1"/>
    <s v="Makeup Kit"/>
    <n v="1"/>
    <n v="74.3"/>
    <n v="0"/>
    <x v="2"/>
    <n v="74.3"/>
    <n v="35.85"/>
    <n v="38.450000000000003"/>
    <n v="1"/>
    <n v="0"/>
    <n v="3"/>
    <n v="4"/>
  </r>
  <r>
    <s v="SW-102675"/>
    <d v="2025-01-29T00:00:00"/>
    <x v="1"/>
    <s v="Q1"/>
    <x v="0"/>
    <x v="0"/>
    <x v="3"/>
    <x v="0"/>
    <x v="0"/>
    <s v="Sunglasses"/>
    <n v="1"/>
    <n v="104.94"/>
    <n v="0.05"/>
    <x v="0"/>
    <n v="99.69"/>
    <n v="57.91"/>
    <n v="41.78"/>
    <n v="1"/>
    <n v="0"/>
    <n v="2"/>
    <n v="4"/>
  </r>
  <r>
    <s v="SW-102676"/>
    <d v="2025-01-29T00:00:00"/>
    <x v="1"/>
    <s v="Q1"/>
    <x v="0"/>
    <x v="0"/>
    <x v="0"/>
    <x v="1"/>
    <x v="0"/>
    <s v="Summer Dress"/>
    <n v="4"/>
    <n v="33.99"/>
    <n v="0.2"/>
    <x v="1"/>
    <n v="108.77"/>
    <n v="75.8"/>
    <n v="32.97"/>
    <n v="1"/>
    <n v="0"/>
    <n v="3"/>
    <n v="5"/>
  </r>
  <r>
    <s v="SW-102677"/>
    <d v="2025-01-29T00:00:00"/>
    <x v="1"/>
    <s v="Q1"/>
    <x v="0"/>
    <x v="0"/>
    <x v="3"/>
    <x v="1"/>
    <x v="0"/>
    <s v="Cotton T-Shirt"/>
    <n v="1"/>
    <n v="19.41"/>
    <n v="0"/>
    <x v="2"/>
    <n v="19.41"/>
    <n v="10.31"/>
    <n v="9.1"/>
    <n v="1"/>
    <n v="0"/>
    <n v="3"/>
    <n v="4"/>
  </r>
  <r>
    <s v="SW-102678"/>
    <d v="2025-01-29T00:00:00"/>
    <x v="1"/>
    <s v="Q1"/>
    <x v="0"/>
    <x v="0"/>
    <x v="2"/>
    <x v="0"/>
    <x v="0"/>
    <s v="Summer Dress"/>
    <n v="2"/>
    <n v="33.99"/>
    <n v="0.3"/>
    <x v="3"/>
    <n v="47.59"/>
    <n v="36.83"/>
    <n v="10.76"/>
    <n v="1"/>
    <n v="0"/>
    <n v="3"/>
    <n v="5"/>
  </r>
  <r>
    <s v="SW-102679"/>
    <d v="2025-01-30T00:00:00"/>
    <x v="1"/>
    <s v="Q1"/>
    <x v="0"/>
    <x v="0"/>
    <x v="0"/>
    <x v="0"/>
    <x v="4"/>
    <s v="4K Action Camera"/>
    <n v="2"/>
    <n v="636.09"/>
    <n v="0"/>
    <x v="2"/>
    <n v="1272.18"/>
    <n v="1035"/>
    <n v="237.18"/>
    <n v="1"/>
    <n v="0"/>
    <n v="4"/>
    <n v="4"/>
  </r>
  <r>
    <s v="SW-102680"/>
    <d v="2025-01-30T00:00:00"/>
    <x v="1"/>
    <s v="Q1"/>
    <x v="0"/>
    <x v="0"/>
    <x v="3"/>
    <x v="0"/>
    <x v="0"/>
    <s v="Running Sneakers"/>
    <n v="4"/>
    <n v="94.85"/>
    <n v="0.1"/>
    <x v="0"/>
    <n v="341.46"/>
    <n v="208.05"/>
    <n v="133.41"/>
    <n v="1"/>
    <n v="0"/>
    <n v="2"/>
    <n v="5"/>
  </r>
  <r>
    <s v="SW-102681"/>
    <d v="2025-01-30T00:00:00"/>
    <x v="1"/>
    <s v="Q1"/>
    <x v="0"/>
    <x v="1"/>
    <x v="3"/>
    <x v="1"/>
    <x v="5"/>
    <s v="Board Game"/>
    <n v="1"/>
    <n v="57.92"/>
    <n v="0.1"/>
    <x v="0"/>
    <n v="52.13"/>
    <n v="42.71"/>
    <n v="9.42"/>
    <n v="1"/>
    <n v="0"/>
    <n v="3"/>
    <n v="4"/>
  </r>
  <r>
    <s v="SW-102682"/>
    <d v="2025-01-30T00:00:00"/>
    <x v="1"/>
    <s v="Q1"/>
    <x v="0"/>
    <x v="1"/>
    <x v="0"/>
    <x v="0"/>
    <x v="2"/>
    <s v="Cookware Set"/>
    <n v="2"/>
    <n v="233.81"/>
    <n v="0"/>
    <x v="2"/>
    <n v="467.62"/>
    <n v="310.22000000000003"/>
    <n v="157.4"/>
    <n v="1"/>
    <n v="0"/>
    <n v="3"/>
    <n v="5"/>
  </r>
  <r>
    <s v="SW-102683"/>
    <d v="2025-01-30T00:00:00"/>
    <x v="1"/>
    <s v="Q1"/>
    <x v="0"/>
    <x v="0"/>
    <x v="3"/>
    <x v="1"/>
    <x v="4"/>
    <s v="Tablet 10in"/>
    <n v="2"/>
    <n v="490.3"/>
    <n v="0"/>
    <x v="2"/>
    <n v="980.6"/>
    <n v="829.18"/>
    <n v="151.41999999999999"/>
    <n v="1"/>
    <n v="0"/>
    <n v="2"/>
    <n v="5"/>
  </r>
  <r>
    <s v="SW-102684"/>
    <d v="2025-01-30T00:00:00"/>
    <x v="1"/>
    <s v="Q1"/>
    <x v="0"/>
    <x v="1"/>
    <x v="2"/>
    <x v="1"/>
    <x v="4"/>
    <s v="Power Bank"/>
    <n v="1"/>
    <n v="508.8"/>
    <n v="0.05"/>
    <x v="0"/>
    <n v="483.36"/>
    <n v="393.4"/>
    <n v="89.96"/>
    <n v="1"/>
    <n v="0"/>
    <n v="5"/>
    <n v="4"/>
  </r>
  <r>
    <s v="SW-102685"/>
    <d v="2025-01-30T00:00:00"/>
    <x v="1"/>
    <s v="Q1"/>
    <x v="0"/>
    <x v="0"/>
    <x v="2"/>
    <x v="0"/>
    <x v="0"/>
    <s v="Leather Handbag"/>
    <n v="1"/>
    <n v="138.5"/>
    <n v="0.25"/>
    <x v="3"/>
    <n v="103.88"/>
    <n v="74.95"/>
    <n v="28.93"/>
    <n v="1"/>
    <n v="0"/>
    <n v="4"/>
    <n v="5"/>
  </r>
  <r>
    <s v="SW-102686"/>
    <d v="2025-01-31T00:00:00"/>
    <x v="1"/>
    <s v="Q1"/>
    <x v="0"/>
    <x v="2"/>
    <x v="0"/>
    <x v="1"/>
    <x v="4"/>
    <s v="Wireless Earbuds"/>
    <n v="1"/>
    <n v="588.41"/>
    <n v="0.05"/>
    <x v="0"/>
    <n v="558.99"/>
    <n v="487.78"/>
    <n v="71.209999999999994"/>
    <n v="1"/>
    <n v="0"/>
    <n v="3"/>
    <n v="4"/>
  </r>
  <r>
    <s v="SW-102687"/>
    <d v="2025-01-31T00:00:00"/>
    <x v="1"/>
    <s v="Q1"/>
    <x v="0"/>
    <x v="0"/>
    <x v="0"/>
    <x v="1"/>
    <x v="0"/>
    <s v="Sunglasses"/>
    <n v="1"/>
    <n v="104.94"/>
    <n v="0.15"/>
    <x v="1"/>
    <n v="89.2"/>
    <n v="57.85"/>
    <n v="31.35"/>
    <n v="1"/>
    <n v="0"/>
    <n v="4"/>
    <n v="4"/>
  </r>
  <r>
    <s v="SW-102688"/>
    <d v="2025-01-31T00:00:00"/>
    <x v="1"/>
    <s v="Q1"/>
    <x v="0"/>
    <x v="1"/>
    <x v="0"/>
    <x v="1"/>
    <x v="0"/>
    <s v="Summer Dress"/>
    <n v="3"/>
    <n v="33.99"/>
    <n v="0"/>
    <x v="2"/>
    <n v="101.97"/>
    <n v="54.79"/>
    <n v="47.18"/>
    <n v="1"/>
    <n v="0"/>
    <n v="5"/>
    <n v="4"/>
  </r>
  <r>
    <s v="SW-102689"/>
    <d v="2025-01-31T00:00:00"/>
    <x v="1"/>
    <s v="Q1"/>
    <x v="0"/>
    <x v="2"/>
    <x v="0"/>
    <x v="1"/>
    <x v="2"/>
    <s v="Air Fryer"/>
    <n v="4"/>
    <n v="68.349999999999994"/>
    <n v="0.1"/>
    <x v="0"/>
    <n v="246.06"/>
    <n v="187.6"/>
    <n v="58.46"/>
    <n v="1"/>
    <n v="0"/>
    <n v="5"/>
    <n v="4"/>
  </r>
  <r>
    <s v="SW-102690"/>
    <d v="2025-01-31T00:00:00"/>
    <x v="1"/>
    <s v="Q1"/>
    <x v="0"/>
    <x v="1"/>
    <x v="4"/>
    <x v="1"/>
    <x v="0"/>
    <s v="Running Sneakers"/>
    <n v="1"/>
    <n v="94.85"/>
    <n v="0"/>
    <x v="2"/>
    <n v="94.85"/>
    <n v="52.55"/>
    <n v="42.3"/>
    <n v="1"/>
    <n v="0"/>
    <n v="7"/>
    <n v="4"/>
  </r>
  <r>
    <s v="SW-102691"/>
    <d v="2025-01-31T00:00:00"/>
    <x v="1"/>
    <s v="Q1"/>
    <x v="0"/>
    <x v="1"/>
    <x v="0"/>
    <x v="0"/>
    <x v="2"/>
    <s v="Desk Lamp"/>
    <n v="1"/>
    <n v="117.63"/>
    <n v="0.05"/>
    <x v="0"/>
    <n v="111.75"/>
    <n v="79.930000000000007"/>
    <n v="31.82"/>
    <n v="1"/>
    <n v="0"/>
    <n v="5"/>
    <n v="5"/>
  </r>
  <r>
    <s v="SW-102692"/>
    <d v="2025-01-31T00:00:00"/>
    <x v="1"/>
    <s v="Q1"/>
    <x v="0"/>
    <x v="1"/>
    <x v="3"/>
    <x v="0"/>
    <x v="0"/>
    <s v="Leather Handbag"/>
    <n v="1"/>
    <n v="138.5"/>
    <n v="0.2"/>
    <x v="1"/>
    <n v="110.8"/>
    <n v="68.86"/>
    <n v="41.94"/>
    <n v="1"/>
    <n v="1"/>
    <n v="3"/>
    <n v="3"/>
  </r>
  <r>
    <s v="SW-102693"/>
    <d v="2025-01-31T00:00:00"/>
    <x v="1"/>
    <s v="Q1"/>
    <x v="0"/>
    <x v="2"/>
    <x v="2"/>
    <x v="1"/>
    <x v="1"/>
    <s v="Hair Dryer"/>
    <n v="1"/>
    <n v="33.18"/>
    <n v="0.05"/>
    <x v="0"/>
    <n v="31.52"/>
    <n v="16.55"/>
    <n v="14.97"/>
    <n v="1"/>
    <n v="0"/>
    <n v="3"/>
    <n v="5"/>
  </r>
  <r>
    <s v="SW-102694"/>
    <d v="2025-02-01T00:00:00"/>
    <x v="1"/>
    <s v="Q1"/>
    <x v="1"/>
    <x v="0"/>
    <x v="4"/>
    <x v="1"/>
    <x v="0"/>
    <s v="Sunglasses"/>
    <n v="1"/>
    <n v="104.94"/>
    <n v="0"/>
    <x v="2"/>
    <n v="104.94"/>
    <n v="53.53"/>
    <n v="51.41"/>
    <n v="1"/>
    <n v="0"/>
    <n v="6"/>
    <n v="4"/>
  </r>
  <r>
    <s v="SW-102695"/>
    <d v="2025-02-01T00:00:00"/>
    <x v="1"/>
    <s v="Q1"/>
    <x v="1"/>
    <x v="1"/>
    <x v="2"/>
    <x v="0"/>
    <x v="4"/>
    <s v="Power Bank"/>
    <n v="2"/>
    <n v="508.8"/>
    <n v="0.05"/>
    <x v="0"/>
    <n v="966.72"/>
    <n v="783.66"/>
    <n v="183.06"/>
    <n v="1"/>
    <n v="0"/>
    <n v="3"/>
    <n v="5"/>
  </r>
  <r>
    <s v="SW-102696"/>
    <d v="2025-02-01T00:00:00"/>
    <x v="1"/>
    <s v="Q1"/>
    <x v="1"/>
    <x v="1"/>
    <x v="0"/>
    <x v="0"/>
    <x v="2"/>
    <s v="Coffee Maker"/>
    <n v="1"/>
    <n v="148.05000000000001"/>
    <n v="0.25"/>
    <x v="3"/>
    <n v="111.04"/>
    <n v="97.04"/>
    <n v="14"/>
    <n v="1"/>
    <n v="0"/>
    <n v="3"/>
    <n v="4"/>
  </r>
  <r>
    <s v="SW-102697"/>
    <d v="2025-02-01T00:00:00"/>
    <x v="1"/>
    <s v="Q1"/>
    <x v="1"/>
    <x v="2"/>
    <x v="0"/>
    <x v="0"/>
    <x v="5"/>
    <s v="Building Blocks"/>
    <n v="1"/>
    <n v="48.86"/>
    <n v="0"/>
    <x v="2"/>
    <n v="48.86"/>
    <n v="35.85"/>
    <n v="13.01"/>
    <n v="1"/>
    <n v="0"/>
    <n v="9"/>
    <n v="4"/>
  </r>
  <r>
    <s v="SW-102698"/>
    <d v="2025-02-01T00:00:00"/>
    <x v="1"/>
    <s v="Q1"/>
    <x v="1"/>
    <x v="1"/>
    <x v="3"/>
    <x v="1"/>
    <x v="2"/>
    <s v="Air Fryer"/>
    <n v="1"/>
    <n v="68.349999999999994"/>
    <n v="0.2"/>
    <x v="1"/>
    <n v="54.68"/>
    <n v="45.55"/>
    <n v="9.1300000000000008"/>
    <n v="1"/>
    <n v="0"/>
    <n v="3"/>
    <n v="5"/>
  </r>
  <r>
    <s v="SW-102699"/>
    <d v="2025-02-01T00:00:00"/>
    <x v="1"/>
    <s v="Q1"/>
    <x v="1"/>
    <x v="0"/>
    <x v="1"/>
    <x v="1"/>
    <x v="5"/>
    <s v="Board Game"/>
    <n v="1"/>
    <n v="57.92"/>
    <n v="0.1"/>
    <x v="0"/>
    <n v="52.13"/>
    <n v="42.04"/>
    <n v="10.09"/>
    <n v="1"/>
    <n v="0"/>
    <n v="6"/>
    <n v="4"/>
  </r>
  <r>
    <s v="SW-102700"/>
    <d v="2025-02-01T00:00:00"/>
    <x v="1"/>
    <s v="Q1"/>
    <x v="1"/>
    <x v="1"/>
    <x v="2"/>
    <x v="1"/>
    <x v="0"/>
    <s v="Denim Jacket"/>
    <n v="2"/>
    <n v="78.510000000000005"/>
    <n v="0.2"/>
    <x v="1"/>
    <n v="125.62"/>
    <n v="79.22"/>
    <n v="46.4"/>
    <n v="1"/>
    <n v="0"/>
    <n v="3"/>
    <n v="4"/>
  </r>
  <r>
    <s v="SW-102701"/>
    <d v="2025-02-01T00:00:00"/>
    <x v="1"/>
    <s v="Q1"/>
    <x v="1"/>
    <x v="1"/>
    <x v="3"/>
    <x v="1"/>
    <x v="0"/>
    <s v="Leather Handbag"/>
    <n v="1"/>
    <n v="138.5"/>
    <n v="0"/>
    <x v="2"/>
    <n v="138.5"/>
    <n v="74.56"/>
    <n v="63.94"/>
    <n v="1"/>
    <n v="0"/>
    <n v="2"/>
    <n v="4"/>
  </r>
  <r>
    <s v="SW-102702"/>
    <d v="2025-02-01T00:00:00"/>
    <x v="1"/>
    <s v="Q1"/>
    <x v="1"/>
    <x v="1"/>
    <x v="2"/>
    <x v="0"/>
    <x v="1"/>
    <s v="Skin Care Bundle"/>
    <n v="1"/>
    <n v="92.54"/>
    <n v="0.15"/>
    <x v="1"/>
    <n v="78.66"/>
    <n v="44.51"/>
    <n v="34.15"/>
    <n v="1"/>
    <n v="0"/>
    <n v="3"/>
    <n v="5"/>
  </r>
  <r>
    <s v="SW-102703"/>
    <d v="2025-02-01T00:00:00"/>
    <x v="1"/>
    <s v="Q1"/>
    <x v="1"/>
    <x v="1"/>
    <x v="3"/>
    <x v="0"/>
    <x v="4"/>
    <s v="4K Action Camera"/>
    <n v="2"/>
    <n v="636.09"/>
    <n v="0"/>
    <x v="2"/>
    <n v="1272.18"/>
    <n v="1054.22"/>
    <n v="217.96"/>
    <n v="1"/>
    <n v="0"/>
    <n v="2"/>
    <n v="5"/>
  </r>
  <r>
    <s v="SW-102704"/>
    <d v="2025-02-02T00:00:00"/>
    <x v="1"/>
    <s v="Q1"/>
    <x v="1"/>
    <x v="1"/>
    <x v="0"/>
    <x v="1"/>
    <x v="5"/>
    <s v="Story Book Set"/>
    <n v="4"/>
    <n v="10.76"/>
    <n v="0"/>
    <x v="2"/>
    <n v="43.04"/>
    <n v="30.54"/>
    <n v="12.5"/>
    <n v="1"/>
    <n v="0"/>
    <n v="4"/>
    <n v="4"/>
  </r>
  <r>
    <s v="SW-102705"/>
    <d v="2025-02-02T00:00:00"/>
    <x v="1"/>
    <s v="Q1"/>
    <x v="1"/>
    <x v="0"/>
    <x v="2"/>
    <x v="0"/>
    <x v="2"/>
    <s v="Air Fryer"/>
    <n v="1"/>
    <n v="68.349999999999994"/>
    <n v="0.15"/>
    <x v="1"/>
    <n v="58.1"/>
    <n v="44.34"/>
    <n v="13.76"/>
    <n v="1"/>
    <n v="0"/>
    <n v="4"/>
    <n v="5"/>
  </r>
  <r>
    <s v="SW-102706"/>
    <d v="2025-02-02T00:00:00"/>
    <x v="1"/>
    <s v="Q1"/>
    <x v="1"/>
    <x v="1"/>
    <x v="4"/>
    <x v="1"/>
    <x v="5"/>
    <s v="Story Book Set"/>
    <n v="4"/>
    <n v="10.76"/>
    <n v="0.1"/>
    <x v="0"/>
    <n v="38.74"/>
    <n v="30.57"/>
    <n v="8.17"/>
    <n v="1"/>
    <n v="0"/>
    <n v="6"/>
    <n v="4"/>
  </r>
  <r>
    <s v="SW-102707"/>
    <d v="2025-02-02T00:00:00"/>
    <x v="1"/>
    <s v="Q1"/>
    <x v="1"/>
    <x v="1"/>
    <x v="0"/>
    <x v="0"/>
    <x v="3"/>
    <s v="Fitness Tracker"/>
    <n v="3"/>
    <n v="74.459999999999994"/>
    <n v="0.1"/>
    <x v="0"/>
    <n v="201.04"/>
    <n v="153.76"/>
    <n v="47.28"/>
    <n v="1"/>
    <n v="0"/>
    <n v="4"/>
    <n v="5"/>
  </r>
  <r>
    <s v="SW-102708"/>
    <d v="2025-02-02T00:00:00"/>
    <x v="1"/>
    <s v="Q1"/>
    <x v="1"/>
    <x v="1"/>
    <x v="3"/>
    <x v="1"/>
    <x v="2"/>
    <s v="Coffee Maker"/>
    <n v="2"/>
    <n v="148.05000000000001"/>
    <n v="0.15"/>
    <x v="1"/>
    <n v="251.68"/>
    <n v="199.84"/>
    <n v="51.84"/>
    <n v="1"/>
    <n v="0"/>
    <n v="2"/>
    <n v="5"/>
  </r>
  <r>
    <s v="SW-102709"/>
    <d v="2025-02-02T00:00:00"/>
    <x v="1"/>
    <s v="Q1"/>
    <x v="1"/>
    <x v="1"/>
    <x v="2"/>
    <x v="1"/>
    <x v="0"/>
    <s v="Summer Dress"/>
    <n v="1"/>
    <n v="33.99"/>
    <n v="0.1"/>
    <x v="0"/>
    <n v="30.59"/>
    <n v="18.16"/>
    <n v="12.43"/>
    <n v="1"/>
    <n v="0"/>
    <n v="3"/>
    <n v="5"/>
  </r>
  <r>
    <s v="SW-102710"/>
    <d v="2025-02-02T00:00:00"/>
    <x v="1"/>
    <s v="Q1"/>
    <x v="1"/>
    <x v="1"/>
    <x v="2"/>
    <x v="1"/>
    <x v="1"/>
    <s v="Makeup Kit"/>
    <n v="2"/>
    <n v="74.3"/>
    <n v="0.15"/>
    <x v="1"/>
    <n v="126.31"/>
    <n v="72.3"/>
    <n v="54.01"/>
    <n v="1"/>
    <n v="0"/>
    <n v="7"/>
    <n v="4"/>
  </r>
  <r>
    <s v="SW-102711"/>
    <d v="2025-02-02T00:00:00"/>
    <x v="1"/>
    <s v="Q1"/>
    <x v="1"/>
    <x v="1"/>
    <x v="1"/>
    <x v="1"/>
    <x v="0"/>
    <s v="Cotton T-Shirt"/>
    <n v="3"/>
    <n v="19.41"/>
    <n v="0.1"/>
    <x v="0"/>
    <n v="52.41"/>
    <n v="29.98"/>
    <n v="22.43"/>
    <n v="1"/>
    <n v="0"/>
    <n v="6"/>
    <n v="3"/>
  </r>
  <r>
    <s v="SW-102712"/>
    <d v="2025-02-02T00:00:00"/>
    <x v="1"/>
    <s v="Q1"/>
    <x v="1"/>
    <x v="0"/>
    <x v="0"/>
    <x v="1"/>
    <x v="4"/>
    <s v="Power Bank"/>
    <n v="1"/>
    <n v="508.8"/>
    <n v="0.1"/>
    <x v="0"/>
    <n v="457.92"/>
    <n v="396.91"/>
    <n v="61.01"/>
    <n v="1"/>
    <n v="1"/>
    <n v="3"/>
    <n v="4"/>
  </r>
  <r>
    <s v="SW-102713"/>
    <d v="2025-02-03T00:00:00"/>
    <x v="1"/>
    <s v="Q1"/>
    <x v="1"/>
    <x v="1"/>
    <x v="4"/>
    <x v="1"/>
    <x v="4"/>
    <s v="Tablet 10in"/>
    <n v="1"/>
    <n v="490.3"/>
    <n v="0.05"/>
    <x v="0"/>
    <n v="465.78"/>
    <n v="384.42"/>
    <n v="81.36"/>
    <n v="1"/>
    <n v="0"/>
    <n v="7"/>
    <n v="3"/>
  </r>
  <r>
    <s v="SW-102714"/>
    <d v="2025-02-03T00:00:00"/>
    <x v="1"/>
    <s v="Q1"/>
    <x v="1"/>
    <x v="0"/>
    <x v="2"/>
    <x v="1"/>
    <x v="2"/>
    <s v="Desk Lamp"/>
    <n v="2"/>
    <n v="117.63"/>
    <n v="0.1"/>
    <x v="0"/>
    <n v="211.73"/>
    <n v="157.41"/>
    <n v="54.32"/>
    <n v="1"/>
    <n v="0"/>
    <n v="7"/>
    <n v="5"/>
  </r>
  <r>
    <s v="SW-102715"/>
    <d v="2025-02-03T00:00:00"/>
    <x v="1"/>
    <s v="Q1"/>
    <x v="1"/>
    <x v="2"/>
    <x v="3"/>
    <x v="0"/>
    <x v="0"/>
    <s v="Running Sneakers"/>
    <n v="1"/>
    <n v="94.85"/>
    <n v="0"/>
    <x v="2"/>
    <n v="94.85"/>
    <n v="48.46"/>
    <n v="46.39"/>
    <n v="1"/>
    <n v="1"/>
    <n v="2"/>
    <n v="4"/>
  </r>
  <r>
    <s v="SW-102716"/>
    <d v="2025-02-03T00:00:00"/>
    <x v="1"/>
    <s v="Q1"/>
    <x v="1"/>
    <x v="2"/>
    <x v="2"/>
    <x v="1"/>
    <x v="5"/>
    <s v="Building Blocks"/>
    <n v="1"/>
    <n v="48.86"/>
    <n v="0.15"/>
    <x v="1"/>
    <n v="41.53"/>
    <n v="36.76"/>
    <n v="4.7699999999999996"/>
    <n v="1"/>
    <n v="0"/>
    <n v="6"/>
    <n v="4"/>
  </r>
  <r>
    <s v="SW-102717"/>
    <d v="2025-02-04T00:00:00"/>
    <x v="1"/>
    <s v="Q1"/>
    <x v="1"/>
    <x v="1"/>
    <x v="0"/>
    <x v="1"/>
    <x v="0"/>
    <s v="Leather Handbag"/>
    <n v="2"/>
    <n v="138.5"/>
    <n v="0"/>
    <x v="2"/>
    <n v="277"/>
    <n v="151.07"/>
    <n v="125.93"/>
    <n v="1"/>
    <n v="0"/>
    <n v="4"/>
    <n v="4"/>
  </r>
  <r>
    <s v="SW-102718"/>
    <d v="2025-02-04T00:00:00"/>
    <x v="1"/>
    <s v="Q1"/>
    <x v="1"/>
    <x v="0"/>
    <x v="4"/>
    <x v="1"/>
    <x v="0"/>
    <s v="Summer Dress"/>
    <n v="1"/>
    <n v="33.99"/>
    <n v="0"/>
    <x v="2"/>
    <n v="33.99"/>
    <n v="17.78"/>
    <n v="16.21"/>
    <n v="1"/>
    <n v="0"/>
    <n v="5"/>
    <n v="3"/>
  </r>
  <r>
    <s v="SW-102719"/>
    <d v="2025-02-04T00:00:00"/>
    <x v="1"/>
    <s v="Q1"/>
    <x v="1"/>
    <x v="1"/>
    <x v="0"/>
    <x v="0"/>
    <x v="0"/>
    <s v="Summer Dress"/>
    <n v="1"/>
    <n v="33.99"/>
    <n v="0"/>
    <x v="2"/>
    <n v="33.99"/>
    <n v="18.61"/>
    <n v="15.38"/>
    <n v="1"/>
    <n v="1"/>
    <n v="3"/>
    <n v="4"/>
  </r>
  <r>
    <s v="SW-102720"/>
    <d v="2025-02-04T00:00:00"/>
    <x v="1"/>
    <s v="Q1"/>
    <x v="1"/>
    <x v="0"/>
    <x v="2"/>
    <x v="0"/>
    <x v="1"/>
    <s v="Perfume 100ml"/>
    <n v="1"/>
    <n v="54.56"/>
    <n v="0"/>
    <x v="2"/>
    <n v="54.56"/>
    <n v="26.25"/>
    <n v="28.31"/>
    <n v="1"/>
    <n v="0"/>
    <n v="4"/>
    <n v="5"/>
  </r>
  <r>
    <s v="SW-102721"/>
    <d v="2025-02-05T00:00:00"/>
    <x v="1"/>
    <s v="Q1"/>
    <x v="1"/>
    <x v="2"/>
    <x v="0"/>
    <x v="0"/>
    <x v="1"/>
    <s v="Perfume 100ml"/>
    <n v="1"/>
    <n v="54.56"/>
    <n v="0.1"/>
    <x v="0"/>
    <n v="49.1"/>
    <n v="26.28"/>
    <n v="22.82"/>
    <n v="1"/>
    <n v="0"/>
    <n v="4"/>
    <n v="5"/>
  </r>
  <r>
    <s v="SW-102722"/>
    <d v="2025-02-05T00:00:00"/>
    <x v="1"/>
    <s v="Q1"/>
    <x v="1"/>
    <x v="0"/>
    <x v="1"/>
    <x v="0"/>
    <x v="0"/>
    <s v="Denim Jacket"/>
    <n v="2"/>
    <n v="78.510000000000005"/>
    <n v="0.15"/>
    <x v="1"/>
    <n v="133.47"/>
    <n v="83.45"/>
    <n v="50.02"/>
    <n v="1"/>
    <n v="0"/>
    <n v="7"/>
    <n v="4"/>
  </r>
  <r>
    <s v="SW-102723"/>
    <d v="2025-02-05T00:00:00"/>
    <x v="1"/>
    <s v="Q1"/>
    <x v="1"/>
    <x v="2"/>
    <x v="2"/>
    <x v="1"/>
    <x v="4"/>
    <s v="Power Bank"/>
    <n v="2"/>
    <n v="508.8"/>
    <n v="0.3"/>
    <x v="3"/>
    <n v="712.32"/>
    <n v="759.02"/>
    <n v="-46.7"/>
    <n v="1"/>
    <n v="0"/>
    <n v="4"/>
    <n v="4"/>
  </r>
  <r>
    <s v="SW-102724"/>
    <d v="2025-02-05T00:00:00"/>
    <x v="1"/>
    <s v="Q1"/>
    <x v="1"/>
    <x v="1"/>
    <x v="1"/>
    <x v="0"/>
    <x v="1"/>
    <s v="Perfume 100ml"/>
    <n v="1"/>
    <n v="54.56"/>
    <n v="0"/>
    <x v="2"/>
    <n v="54.56"/>
    <n v="25.95"/>
    <n v="28.61"/>
    <n v="1"/>
    <n v="0"/>
    <n v="7"/>
    <n v="3"/>
  </r>
  <r>
    <s v="SW-102725"/>
    <d v="2025-02-06T00:00:00"/>
    <x v="1"/>
    <s v="Q1"/>
    <x v="1"/>
    <x v="0"/>
    <x v="4"/>
    <x v="1"/>
    <x v="3"/>
    <s v="Yoga Mat"/>
    <n v="1"/>
    <n v="137.05000000000001"/>
    <n v="0.05"/>
    <x v="0"/>
    <n v="130.19999999999999"/>
    <n v="95.28"/>
    <n v="34.92"/>
    <n v="1"/>
    <n v="0"/>
    <n v="5"/>
    <n v="5"/>
  </r>
  <r>
    <s v="SW-102726"/>
    <d v="2025-02-06T00:00:00"/>
    <x v="1"/>
    <s v="Q1"/>
    <x v="1"/>
    <x v="1"/>
    <x v="3"/>
    <x v="1"/>
    <x v="4"/>
    <s v="Bluetooth Speaker"/>
    <n v="1"/>
    <n v="177.65"/>
    <n v="0.05"/>
    <x v="0"/>
    <n v="168.77"/>
    <n v="145.18"/>
    <n v="23.59"/>
    <n v="1"/>
    <n v="0"/>
    <n v="2"/>
    <n v="5"/>
  </r>
  <r>
    <s v="SW-102727"/>
    <d v="2025-02-06T00:00:00"/>
    <x v="1"/>
    <s v="Q1"/>
    <x v="1"/>
    <x v="0"/>
    <x v="0"/>
    <x v="1"/>
    <x v="0"/>
    <s v="Leather Handbag"/>
    <n v="1"/>
    <n v="138.5"/>
    <n v="0.25"/>
    <x v="3"/>
    <n v="103.88"/>
    <n v="69.47"/>
    <n v="34.409999999999997"/>
    <n v="1"/>
    <n v="0"/>
    <n v="4"/>
    <n v="4"/>
  </r>
  <r>
    <s v="SW-102728"/>
    <d v="2025-02-06T00:00:00"/>
    <x v="1"/>
    <s v="Q1"/>
    <x v="1"/>
    <x v="0"/>
    <x v="0"/>
    <x v="1"/>
    <x v="2"/>
    <s v="Cookware Set"/>
    <n v="1"/>
    <n v="233.81"/>
    <n v="0.05"/>
    <x v="0"/>
    <n v="222.12"/>
    <n v="156.88999999999999"/>
    <n v="65.23"/>
    <n v="1"/>
    <n v="0"/>
    <n v="5"/>
    <n v="4"/>
  </r>
  <r>
    <s v="SW-102729"/>
    <d v="2025-02-06T00:00:00"/>
    <x v="1"/>
    <s v="Q1"/>
    <x v="1"/>
    <x v="1"/>
    <x v="2"/>
    <x v="1"/>
    <x v="5"/>
    <s v="Story Book Set"/>
    <n v="1"/>
    <n v="10.76"/>
    <n v="0"/>
    <x v="2"/>
    <n v="10.76"/>
    <n v="7.95"/>
    <n v="2.81"/>
    <n v="1"/>
    <n v="0"/>
    <n v="4"/>
    <n v="4"/>
  </r>
  <r>
    <s v="SW-102730"/>
    <d v="2025-02-06T00:00:00"/>
    <x v="1"/>
    <s v="Q1"/>
    <x v="1"/>
    <x v="1"/>
    <x v="4"/>
    <x v="1"/>
    <x v="5"/>
    <s v="Story Book Set"/>
    <n v="2"/>
    <n v="10.76"/>
    <n v="0"/>
    <x v="2"/>
    <n v="21.52"/>
    <n v="15.33"/>
    <n v="6.19"/>
    <n v="1"/>
    <n v="0"/>
    <n v="5"/>
    <n v="4"/>
  </r>
  <r>
    <s v="SW-102731"/>
    <d v="2025-02-07T00:00:00"/>
    <x v="1"/>
    <s v="Q1"/>
    <x v="1"/>
    <x v="2"/>
    <x v="3"/>
    <x v="1"/>
    <x v="4"/>
    <s v="Tablet 10in"/>
    <n v="1"/>
    <n v="490.3"/>
    <n v="0"/>
    <x v="2"/>
    <n v="490.3"/>
    <n v="387"/>
    <n v="103.3"/>
    <n v="1"/>
    <n v="0"/>
    <n v="3"/>
    <n v="4"/>
  </r>
  <r>
    <s v="SW-102732"/>
    <d v="2025-02-07T00:00:00"/>
    <x v="1"/>
    <s v="Q1"/>
    <x v="1"/>
    <x v="2"/>
    <x v="0"/>
    <x v="0"/>
    <x v="4"/>
    <s v="Bluetooth Speaker"/>
    <n v="1"/>
    <n v="177.65"/>
    <n v="0.15"/>
    <x v="1"/>
    <n v="151"/>
    <n v="137.99"/>
    <n v="13.01"/>
    <n v="1"/>
    <n v="1"/>
    <n v="6"/>
    <n v="2"/>
  </r>
  <r>
    <s v="SW-102733"/>
    <d v="2025-02-07T00:00:00"/>
    <x v="1"/>
    <s v="Q1"/>
    <x v="1"/>
    <x v="2"/>
    <x v="2"/>
    <x v="1"/>
    <x v="1"/>
    <s v="Skin Care Bundle"/>
    <n v="2"/>
    <n v="92.54"/>
    <n v="0"/>
    <x v="2"/>
    <n v="185.08"/>
    <n v="86.4"/>
    <n v="98.68"/>
    <n v="1"/>
    <n v="0"/>
    <n v="4"/>
    <n v="3"/>
  </r>
  <r>
    <s v="SW-102734"/>
    <d v="2025-02-07T00:00:00"/>
    <x v="1"/>
    <s v="Q1"/>
    <x v="1"/>
    <x v="1"/>
    <x v="2"/>
    <x v="0"/>
    <x v="5"/>
    <s v="Kids Puzzle"/>
    <n v="2"/>
    <n v="16.97"/>
    <n v="0"/>
    <x v="2"/>
    <n v="33.94"/>
    <n v="26.45"/>
    <n v="7.49"/>
    <n v="1"/>
    <n v="0"/>
    <n v="7"/>
    <n v="3"/>
  </r>
  <r>
    <s v="SW-102735"/>
    <d v="2025-02-07T00:00:00"/>
    <x v="1"/>
    <s v="Q1"/>
    <x v="1"/>
    <x v="0"/>
    <x v="3"/>
    <x v="1"/>
    <x v="4"/>
    <s v="Tablet 10in"/>
    <n v="1"/>
    <n v="490.3"/>
    <n v="0.15"/>
    <x v="1"/>
    <n v="416.76"/>
    <n v="396.57"/>
    <n v="20.190000000000001"/>
    <n v="1"/>
    <n v="0"/>
    <n v="3"/>
    <n v="5"/>
  </r>
  <r>
    <s v="SW-102736"/>
    <d v="2025-02-07T00:00:00"/>
    <x v="1"/>
    <s v="Q1"/>
    <x v="1"/>
    <x v="1"/>
    <x v="1"/>
    <x v="0"/>
    <x v="3"/>
    <s v="Dumbbell Set"/>
    <n v="1"/>
    <n v="198.42"/>
    <n v="0"/>
    <x v="2"/>
    <n v="198.42"/>
    <n v="131.75"/>
    <n v="66.67"/>
    <n v="1"/>
    <n v="0"/>
    <n v="6"/>
    <n v="4"/>
  </r>
  <r>
    <s v="SW-102737"/>
    <d v="2025-02-08T00:00:00"/>
    <x v="1"/>
    <s v="Q1"/>
    <x v="1"/>
    <x v="0"/>
    <x v="3"/>
    <x v="1"/>
    <x v="3"/>
    <s v="Dumbbell Set"/>
    <n v="2"/>
    <n v="198.42"/>
    <n v="0"/>
    <x v="2"/>
    <n v="396.84"/>
    <n v="262.27"/>
    <n v="134.57"/>
    <n v="1"/>
    <n v="0"/>
    <n v="2"/>
    <n v="5"/>
  </r>
  <r>
    <s v="SW-102738"/>
    <d v="2025-02-08T00:00:00"/>
    <x v="1"/>
    <s v="Q1"/>
    <x v="1"/>
    <x v="2"/>
    <x v="0"/>
    <x v="1"/>
    <x v="5"/>
    <s v="Board Game"/>
    <n v="1"/>
    <n v="57.92"/>
    <n v="0.1"/>
    <x v="0"/>
    <n v="52.13"/>
    <n v="42.35"/>
    <n v="9.7799999999999994"/>
    <n v="1"/>
    <n v="0"/>
    <n v="5"/>
    <n v="4"/>
  </r>
  <r>
    <s v="SW-102739"/>
    <d v="2025-02-08T00:00:00"/>
    <x v="1"/>
    <s v="Q1"/>
    <x v="1"/>
    <x v="0"/>
    <x v="0"/>
    <x v="1"/>
    <x v="1"/>
    <s v="Face Serum"/>
    <n v="1"/>
    <n v="33.479999999999997"/>
    <n v="0.1"/>
    <x v="0"/>
    <n v="30.13"/>
    <n v="16.600000000000001"/>
    <n v="13.53"/>
    <n v="1"/>
    <n v="0"/>
    <n v="3"/>
    <n v="4"/>
  </r>
  <r>
    <s v="SW-102740"/>
    <d v="2025-02-08T00:00:00"/>
    <x v="1"/>
    <s v="Q1"/>
    <x v="1"/>
    <x v="0"/>
    <x v="3"/>
    <x v="1"/>
    <x v="5"/>
    <s v="Kids Puzzle"/>
    <n v="3"/>
    <n v="16.97"/>
    <n v="0.1"/>
    <x v="0"/>
    <n v="45.82"/>
    <n v="35.92"/>
    <n v="9.9"/>
    <n v="1"/>
    <n v="0"/>
    <n v="4"/>
    <n v="4"/>
  </r>
  <r>
    <s v="SW-102741"/>
    <d v="2025-02-08T00:00:00"/>
    <x v="1"/>
    <s v="Q1"/>
    <x v="1"/>
    <x v="1"/>
    <x v="0"/>
    <x v="1"/>
    <x v="4"/>
    <s v="Smart Watch"/>
    <n v="1"/>
    <n v="216.08"/>
    <n v="0.2"/>
    <x v="1"/>
    <n v="172.86"/>
    <n v="168.8"/>
    <n v="4.0599999999999996"/>
    <n v="1"/>
    <n v="0"/>
    <n v="6"/>
    <n v="3"/>
  </r>
  <r>
    <s v="SW-102742"/>
    <d v="2025-02-08T00:00:00"/>
    <x v="1"/>
    <s v="Q1"/>
    <x v="1"/>
    <x v="0"/>
    <x v="0"/>
    <x v="1"/>
    <x v="1"/>
    <s v="Hair Dryer"/>
    <n v="4"/>
    <n v="33.18"/>
    <n v="0"/>
    <x v="2"/>
    <n v="132.72"/>
    <n v="62.54"/>
    <n v="70.180000000000007"/>
    <n v="1"/>
    <n v="0"/>
    <n v="3"/>
    <n v="5"/>
  </r>
  <r>
    <s v="SW-102743"/>
    <d v="2025-02-08T00:00:00"/>
    <x v="1"/>
    <s v="Q1"/>
    <x v="1"/>
    <x v="0"/>
    <x v="2"/>
    <x v="0"/>
    <x v="2"/>
    <s v="Cookware Set"/>
    <n v="1"/>
    <n v="233.81"/>
    <n v="0.1"/>
    <x v="0"/>
    <n v="210.43"/>
    <n v="157.4"/>
    <n v="53.03"/>
    <n v="1"/>
    <n v="0"/>
    <n v="3"/>
    <n v="4"/>
  </r>
  <r>
    <s v="SW-102744"/>
    <d v="2025-02-09T00:00:00"/>
    <x v="1"/>
    <s v="Q1"/>
    <x v="1"/>
    <x v="1"/>
    <x v="0"/>
    <x v="1"/>
    <x v="3"/>
    <s v="Fitness Tracker"/>
    <n v="3"/>
    <n v="74.459999999999994"/>
    <n v="0"/>
    <x v="2"/>
    <n v="223.38"/>
    <n v="153.85"/>
    <n v="69.53"/>
    <n v="1"/>
    <n v="0"/>
    <n v="5"/>
    <n v="4"/>
  </r>
  <r>
    <s v="SW-102745"/>
    <d v="2025-02-09T00:00:00"/>
    <x v="1"/>
    <s v="Q1"/>
    <x v="1"/>
    <x v="2"/>
    <x v="1"/>
    <x v="1"/>
    <x v="2"/>
    <s v="Bed Sheet Set"/>
    <n v="1"/>
    <n v="90.75"/>
    <n v="0.05"/>
    <x v="0"/>
    <n v="86.21"/>
    <n v="58.52"/>
    <n v="27.69"/>
    <n v="1"/>
    <n v="0"/>
    <n v="5"/>
    <n v="5"/>
  </r>
  <r>
    <s v="SW-102746"/>
    <d v="2025-02-09T00:00:00"/>
    <x v="1"/>
    <s v="Q1"/>
    <x v="1"/>
    <x v="0"/>
    <x v="2"/>
    <x v="0"/>
    <x v="2"/>
    <s v="Desk Lamp"/>
    <n v="1"/>
    <n v="117.63"/>
    <n v="0.25"/>
    <x v="3"/>
    <n v="88.22"/>
    <n v="73.98"/>
    <n v="14.24"/>
    <n v="1"/>
    <n v="0"/>
    <n v="5"/>
    <n v="4"/>
  </r>
  <r>
    <s v="SW-102747"/>
    <d v="2025-02-09T00:00:00"/>
    <x v="1"/>
    <s v="Q1"/>
    <x v="1"/>
    <x v="0"/>
    <x v="1"/>
    <x v="0"/>
    <x v="3"/>
    <s v="Yoga Mat"/>
    <n v="2"/>
    <n v="137.05000000000001"/>
    <n v="0.2"/>
    <x v="1"/>
    <n v="219.28"/>
    <n v="185.39"/>
    <n v="33.89"/>
    <n v="1"/>
    <n v="0"/>
    <n v="5"/>
    <n v="4"/>
  </r>
  <r>
    <s v="SW-102748"/>
    <d v="2025-02-09T00:00:00"/>
    <x v="1"/>
    <s v="Q1"/>
    <x v="1"/>
    <x v="2"/>
    <x v="0"/>
    <x v="0"/>
    <x v="3"/>
    <s v="Fitness Tracker"/>
    <n v="2"/>
    <n v="74.459999999999994"/>
    <n v="0.05"/>
    <x v="0"/>
    <n v="141.47"/>
    <n v="101.79"/>
    <n v="39.68"/>
    <n v="1"/>
    <n v="0"/>
    <n v="3"/>
    <n v="5"/>
  </r>
  <r>
    <s v="SW-102749"/>
    <d v="2025-02-09T00:00:00"/>
    <x v="1"/>
    <s v="Q1"/>
    <x v="1"/>
    <x v="2"/>
    <x v="0"/>
    <x v="0"/>
    <x v="4"/>
    <s v="Wireless Earbuds"/>
    <n v="1"/>
    <n v="588.41"/>
    <n v="0"/>
    <x v="2"/>
    <n v="588.41"/>
    <n v="493.91"/>
    <n v="94.5"/>
    <n v="1"/>
    <n v="0"/>
    <n v="3"/>
    <n v="4"/>
  </r>
  <r>
    <s v="SW-102750"/>
    <d v="2025-02-09T00:00:00"/>
    <x v="1"/>
    <s v="Q1"/>
    <x v="1"/>
    <x v="0"/>
    <x v="1"/>
    <x v="1"/>
    <x v="4"/>
    <s v="Wireless Earbuds"/>
    <n v="3"/>
    <n v="588.41"/>
    <n v="0"/>
    <x v="2"/>
    <n v="1765.23"/>
    <n v="1372.47"/>
    <n v="392.76"/>
    <n v="1"/>
    <n v="0"/>
    <n v="6"/>
    <n v="3"/>
  </r>
  <r>
    <s v="SW-102751"/>
    <d v="2025-02-09T00:00:00"/>
    <x v="1"/>
    <s v="Q1"/>
    <x v="1"/>
    <x v="1"/>
    <x v="3"/>
    <x v="1"/>
    <x v="5"/>
    <s v="Building Blocks"/>
    <n v="1"/>
    <n v="48.86"/>
    <n v="0.3"/>
    <x v="3"/>
    <n v="34.200000000000003"/>
    <n v="35.39"/>
    <n v="-1.19"/>
    <n v="1"/>
    <n v="0"/>
    <n v="2"/>
    <n v="5"/>
  </r>
  <r>
    <s v="SW-102752"/>
    <d v="2025-02-10T00:00:00"/>
    <x v="1"/>
    <s v="Q1"/>
    <x v="1"/>
    <x v="1"/>
    <x v="3"/>
    <x v="1"/>
    <x v="4"/>
    <s v="Tablet 10in"/>
    <n v="2"/>
    <n v="490.3"/>
    <n v="0.1"/>
    <x v="0"/>
    <n v="882.54"/>
    <n v="812.71"/>
    <n v="69.83"/>
    <n v="1"/>
    <n v="0"/>
    <n v="5"/>
    <n v="5"/>
  </r>
  <r>
    <s v="SW-102753"/>
    <d v="2025-02-10T00:00:00"/>
    <x v="1"/>
    <s v="Q1"/>
    <x v="1"/>
    <x v="1"/>
    <x v="3"/>
    <x v="0"/>
    <x v="4"/>
    <s v="Wireless Earbuds"/>
    <n v="1"/>
    <n v="588.41"/>
    <n v="0.1"/>
    <x v="0"/>
    <n v="529.57000000000005"/>
    <n v="448.05"/>
    <n v="81.52"/>
    <n v="1"/>
    <n v="0"/>
    <n v="3"/>
    <n v="5"/>
  </r>
  <r>
    <s v="SW-102754"/>
    <d v="2025-02-10T00:00:00"/>
    <x v="1"/>
    <s v="Q1"/>
    <x v="1"/>
    <x v="2"/>
    <x v="3"/>
    <x v="1"/>
    <x v="5"/>
    <s v="Story Book Set"/>
    <n v="1"/>
    <n v="10.76"/>
    <n v="0"/>
    <x v="2"/>
    <n v="10.76"/>
    <n v="7.7"/>
    <n v="3.06"/>
    <n v="1"/>
    <n v="0"/>
    <n v="2"/>
    <n v="4"/>
  </r>
  <r>
    <s v="SW-102755"/>
    <d v="2025-02-10T00:00:00"/>
    <x v="1"/>
    <s v="Q1"/>
    <x v="1"/>
    <x v="1"/>
    <x v="3"/>
    <x v="1"/>
    <x v="2"/>
    <s v="Desk Lamp"/>
    <n v="3"/>
    <n v="117.63"/>
    <n v="0.1"/>
    <x v="0"/>
    <n v="317.60000000000002"/>
    <n v="238.3"/>
    <n v="79.3"/>
    <n v="1"/>
    <n v="0"/>
    <n v="4"/>
    <n v="4"/>
  </r>
  <r>
    <s v="SW-102756"/>
    <d v="2025-02-10T00:00:00"/>
    <x v="1"/>
    <s v="Q1"/>
    <x v="1"/>
    <x v="0"/>
    <x v="3"/>
    <x v="0"/>
    <x v="1"/>
    <s v="Skin Care Bundle"/>
    <n v="1"/>
    <n v="92.54"/>
    <n v="0.2"/>
    <x v="1"/>
    <n v="74.03"/>
    <n v="46.22"/>
    <n v="27.81"/>
    <n v="1"/>
    <n v="0"/>
    <n v="2"/>
    <n v="5"/>
  </r>
  <r>
    <s v="SW-102757"/>
    <d v="2025-02-10T00:00:00"/>
    <x v="1"/>
    <s v="Q1"/>
    <x v="1"/>
    <x v="2"/>
    <x v="4"/>
    <x v="1"/>
    <x v="0"/>
    <s v="Running Sneakers"/>
    <n v="1"/>
    <n v="94.85"/>
    <n v="0.05"/>
    <x v="0"/>
    <n v="90.11"/>
    <n v="52.28"/>
    <n v="37.83"/>
    <n v="1"/>
    <n v="0"/>
    <n v="6"/>
    <n v="3"/>
  </r>
  <r>
    <s v="SW-102758"/>
    <d v="2025-02-11T00:00:00"/>
    <x v="1"/>
    <s v="Q1"/>
    <x v="1"/>
    <x v="1"/>
    <x v="2"/>
    <x v="0"/>
    <x v="5"/>
    <s v="Board Game"/>
    <n v="1"/>
    <n v="57.92"/>
    <n v="0.3"/>
    <x v="3"/>
    <n v="40.54"/>
    <n v="42.63"/>
    <n v="-2.09"/>
    <n v="1"/>
    <n v="0"/>
    <n v="3"/>
    <n v="4"/>
  </r>
  <r>
    <s v="SW-102759"/>
    <d v="2025-02-11T00:00:00"/>
    <x v="1"/>
    <s v="Q1"/>
    <x v="1"/>
    <x v="0"/>
    <x v="1"/>
    <x v="0"/>
    <x v="0"/>
    <s v="Cotton T-Shirt"/>
    <n v="2"/>
    <n v="19.41"/>
    <n v="0.2"/>
    <x v="1"/>
    <n v="31.06"/>
    <n v="21.78"/>
    <n v="9.2799999999999994"/>
    <n v="1"/>
    <n v="0"/>
    <n v="7"/>
    <n v="3"/>
  </r>
  <r>
    <s v="SW-102760"/>
    <d v="2025-02-11T00:00:00"/>
    <x v="1"/>
    <s v="Q1"/>
    <x v="1"/>
    <x v="1"/>
    <x v="1"/>
    <x v="1"/>
    <x v="0"/>
    <s v="Running Sneakers"/>
    <n v="4"/>
    <n v="94.85"/>
    <n v="0"/>
    <x v="2"/>
    <n v="379.4"/>
    <n v="196.67"/>
    <n v="182.73"/>
    <n v="1"/>
    <n v="0"/>
    <n v="6"/>
    <n v="3"/>
  </r>
  <r>
    <s v="SW-102761"/>
    <d v="2025-02-11T00:00:00"/>
    <x v="1"/>
    <s v="Q1"/>
    <x v="1"/>
    <x v="0"/>
    <x v="3"/>
    <x v="1"/>
    <x v="0"/>
    <s v="Leather Handbag"/>
    <n v="1"/>
    <n v="138.5"/>
    <n v="0.15"/>
    <x v="1"/>
    <n v="117.72"/>
    <n v="74.11"/>
    <n v="43.61"/>
    <n v="1"/>
    <n v="0"/>
    <n v="2"/>
    <n v="3"/>
  </r>
  <r>
    <s v="SW-102762"/>
    <d v="2025-02-11T00:00:00"/>
    <x v="1"/>
    <s v="Q1"/>
    <x v="1"/>
    <x v="1"/>
    <x v="2"/>
    <x v="1"/>
    <x v="0"/>
    <s v="Running Sneakers"/>
    <n v="1"/>
    <n v="94.85"/>
    <n v="0"/>
    <x v="2"/>
    <n v="94.85"/>
    <n v="50.09"/>
    <n v="44.76"/>
    <n v="1"/>
    <n v="0"/>
    <n v="3"/>
    <n v="4"/>
  </r>
  <r>
    <s v="SW-102763"/>
    <d v="2025-02-11T00:00:00"/>
    <x v="1"/>
    <s v="Q1"/>
    <x v="1"/>
    <x v="0"/>
    <x v="0"/>
    <x v="1"/>
    <x v="4"/>
    <s v="Wireless Earbuds"/>
    <n v="2"/>
    <n v="588.41"/>
    <n v="0.15"/>
    <x v="1"/>
    <n v="1000.3"/>
    <n v="947.83"/>
    <n v="52.47"/>
    <n v="1"/>
    <n v="0"/>
    <n v="3"/>
    <n v="5"/>
  </r>
  <r>
    <s v="SW-102764"/>
    <d v="2025-02-12T00:00:00"/>
    <x v="1"/>
    <s v="Q1"/>
    <x v="1"/>
    <x v="1"/>
    <x v="2"/>
    <x v="1"/>
    <x v="3"/>
    <s v="Camping Tent"/>
    <n v="1"/>
    <n v="83.06"/>
    <n v="0"/>
    <x v="2"/>
    <n v="83.06"/>
    <n v="57.13"/>
    <n v="25.93"/>
    <n v="1"/>
    <n v="0"/>
    <n v="6"/>
    <n v="4"/>
  </r>
  <r>
    <s v="SW-102765"/>
    <d v="2025-02-12T00:00:00"/>
    <x v="1"/>
    <s v="Q1"/>
    <x v="1"/>
    <x v="2"/>
    <x v="4"/>
    <x v="1"/>
    <x v="0"/>
    <s v="Leather Handbag"/>
    <n v="1"/>
    <n v="138.5"/>
    <n v="0"/>
    <x v="2"/>
    <n v="138.5"/>
    <n v="76.150000000000006"/>
    <n v="62.35"/>
    <n v="1"/>
    <n v="1"/>
    <n v="9"/>
    <n v="4"/>
  </r>
  <r>
    <s v="SW-102766"/>
    <d v="2025-02-13T00:00:00"/>
    <x v="1"/>
    <s v="Q1"/>
    <x v="1"/>
    <x v="2"/>
    <x v="2"/>
    <x v="1"/>
    <x v="0"/>
    <s v="Sunglasses"/>
    <n v="1"/>
    <n v="104.94"/>
    <n v="0.1"/>
    <x v="0"/>
    <n v="94.45"/>
    <n v="56.35"/>
    <n v="38.1"/>
    <n v="1"/>
    <n v="1"/>
    <n v="3"/>
    <n v="3"/>
  </r>
  <r>
    <s v="SW-102767"/>
    <d v="2025-02-13T00:00:00"/>
    <x v="1"/>
    <s v="Q1"/>
    <x v="1"/>
    <x v="2"/>
    <x v="1"/>
    <x v="0"/>
    <x v="2"/>
    <s v="Air Fryer"/>
    <n v="1"/>
    <n v="68.349999999999994"/>
    <n v="0.15"/>
    <x v="1"/>
    <n v="58.1"/>
    <n v="45.54"/>
    <n v="12.56"/>
    <n v="1"/>
    <n v="0"/>
    <n v="6"/>
    <n v="3"/>
  </r>
  <r>
    <s v="SW-102768"/>
    <d v="2025-02-13T00:00:00"/>
    <x v="1"/>
    <s v="Q1"/>
    <x v="1"/>
    <x v="2"/>
    <x v="2"/>
    <x v="1"/>
    <x v="4"/>
    <s v="Tablet 10in"/>
    <n v="1"/>
    <n v="490.3"/>
    <n v="0.1"/>
    <x v="0"/>
    <n v="441.27"/>
    <n v="384.08"/>
    <n v="57.19"/>
    <n v="1"/>
    <n v="0"/>
    <n v="3"/>
    <n v="4"/>
  </r>
  <r>
    <s v="SW-102769"/>
    <d v="2025-02-13T00:00:00"/>
    <x v="1"/>
    <s v="Q1"/>
    <x v="1"/>
    <x v="1"/>
    <x v="2"/>
    <x v="1"/>
    <x v="1"/>
    <s v="Makeup Kit"/>
    <n v="1"/>
    <n v="74.3"/>
    <n v="0.2"/>
    <x v="1"/>
    <n v="59.44"/>
    <n v="35.76"/>
    <n v="23.68"/>
    <n v="1"/>
    <n v="0"/>
    <n v="3"/>
    <n v="5"/>
  </r>
  <r>
    <s v="SW-102770"/>
    <d v="2025-02-13T00:00:00"/>
    <x v="1"/>
    <s v="Q1"/>
    <x v="1"/>
    <x v="1"/>
    <x v="1"/>
    <x v="1"/>
    <x v="0"/>
    <s v="Running Sneakers"/>
    <n v="1"/>
    <n v="94.85"/>
    <n v="0"/>
    <x v="2"/>
    <n v="94.85"/>
    <n v="51.03"/>
    <n v="43.82"/>
    <n v="1"/>
    <n v="0"/>
    <n v="6"/>
    <n v="3"/>
  </r>
  <r>
    <s v="SW-102771"/>
    <d v="2025-02-13T00:00:00"/>
    <x v="1"/>
    <s v="Q1"/>
    <x v="1"/>
    <x v="0"/>
    <x v="4"/>
    <x v="1"/>
    <x v="4"/>
    <s v="Bluetooth Speaker"/>
    <n v="2"/>
    <n v="177.65"/>
    <n v="0.05"/>
    <x v="0"/>
    <n v="337.54"/>
    <n v="280.69"/>
    <n v="56.85"/>
    <n v="1"/>
    <n v="0"/>
    <n v="6"/>
    <n v="4"/>
  </r>
  <r>
    <s v="SW-102772"/>
    <d v="2025-02-13T00:00:00"/>
    <x v="1"/>
    <s v="Q1"/>
    <x v="1"/>
    <x v="0"/>
    <x v="2"/>
    <x v="0"/>
    <x v="2"/>
    <s v="Air Fryer"/>
    <n v="1"/>
    <n v="68.349999999999994"/>
    <n v="0.15"/>
    <x v="1"/>
    <n v="58.1"/>
    <n v="45.14"/>
    <n v="12.96"/>
    <n v="1"/>
    <n v="0"/>
    <n v="4"/>
    <n v="5"/>
  </r>
  <r>
    <s v="SW-102773"/>
    <d v="2025-02-13T00:00:00"/>
    <x v="1"/>
    <s v="Q1"/>
    <x v="1"/>
    <x v="0"/>
    <x v="3"/>
    <x v="1"/>
    <x v="0"/>
    <s v="Running Sneakers"/>
    <n v="1"/>
    <n v="94.85"/>
    <n v="0.05"/>
    <x v="0"/>
    <n v="90.11"/>
    <n v="52.93"/>
    <n v="37.18"/>
    <n v="1"/>
    <n v="0"/>
    <n v="3"/>
    <n v="5"/>
  </r>
  <r>
    <s v="SW-102774"/>
    <d v="2025-02-13T00:00:00"/>
    <x v="1"/>
    <s v="Q1"/>
    <x v="1"/>
    <x v="1"/>
    <x v="0"/>
    <x v="1"/>
    <x v="2"/>
    <s v="Air Fryer"/>
    <n v="1"/>
    <n v="68.349999999999994"/>
    <n v="0.05"/>
    <x v="0"/>
    <n v="64.930000000000007"/>
    <n v="42.31"/>
    <n v="22.62"/>
    <n v="1"/>
    <n v="0"/>
    <n v="5"/>
    <n v="4"/>
  </r>
  <r>
    <s v="SW-102775"/>
    <d v="2025-02-13T00:00:00"/>
    <x v="1"/>
    <s v="Q1"/>
    <x v="1"/>
    <x v="1"/>
    <x v="3"/>
    <x v="1"/>
    <x v="2"/>
    <s v="Cookware Set"/>
    <n v="1"/>
    <n v="233.81"/>
    <n v="0.1"/>
    <x v="0"/>
    <n v="210.43"/>
    <n v="160.49"/>
    <n v="49.94"/>
    <n v="1"/>
    <n v="0"/>
    <n v="2"/>
    <n v="4"/>
  </r>
  <r>
    <s v="SW-102776"/>
    <d v="2025-02-13T00:00:00"/>
    <x v="1"/>
    <s v="Q1"/>
    <x v="1"/>
    <x v="0"/>
    <x v="4"/>
    <x v="0"/>
    <x v="1"/>
    <s v="Perfume 100ml"/>
    <n v="1"/>
    <n v="54.56"/>
    <n v="0.15"/>
    <x v="1"/>
    <n v="46.38"/>
    <n v="27.66"/>
    <n v="18.72"/>
    <n v="1"/>
    <n v="0"/>
    <n v="5"/>
    <n v="4"/>
  </r>
  <r>
    <s v="SW-102777"/>
    <d v="2025-02-14T00:00:00"/>
    <x v="1"/>
    <s v="Q1"/>
    <x v="1"/>
    <x v="1"/>
    <x v="3"/>
    <x v="1"/>
    <x v="2"/>
    <s v="Storage Boxes"/>
    <n v="1"/>
    <n v="154.66"/>
    <n v="0.05"/>
    <x v="0"/>
    <n v="146.93"/>
    <n v="101.94"/>
    <n v="44.99"/>
    <n v="1"/>
    <n v="0"/>
    <n v="2"/>
    <n v="5"/>
  </r>
  <r>
    <s v="SW-102778"/>
    <d v="2025-02-14T00:00:00"/>
    <x v="1"/>
    <s v="Q1"/>
    <x v="1"/>
    <x v="0"/>
    <x v="3"/>
    <x v="0"/>
    <x v="0"/>
    <s v="Summer Dress"/>
    <n v="1"/>
    <n v="33.99"/>
    <n v="0.05"/>
    <x v="0"/>
    <n v="32.29"/>
    <n v="18.48"/>
    <n v="13.81"/>
    <n v="1"/>
    <n v="1"/>
    <n v="6"/>
    <n v="3"/>
  </r>
  <r>
    <s v="SW-102779"/>
    <d v="2025-02-14T00:00:00"/>
    <x v="1"/>
    <s v="Q1"/>
    <x v="1"/>
    <x v="0"/>
    <x v="3"/>
    <x v="0"/>
    <x v="1"/>
    <s v="Makeup Kit"/>
    <n v="1"/>
    <n v="74.3"/>
    <n v="0.1"/>
    <x v="0"/>
    <n v="66.87"/>
    <n v="36.869999999999997"/>
    <n v="30"/>
    <n v="1"/>
    <n v="1"/>
    <n v="4"/>
    <n v="3"/>
  </r>
  <r>
    <s v="SW-102780"/>
    <d v="2025-02-14T00:00:00"/>
    <x v="1"/>
    <s v="Q1"/>
    <x v="1"/>
    <x v="1"/>
    <x v="3"/>
    <x v="1"/>
    <x v="1"/>
    <s v="Perfume 100ml"/>
    <n v="1"/>
    <n v="54.56"/>
    <n v="0.05"/>
    <x v="0"/>
    <n v="51.83"/>
    <n v="25.82"/>
    <n v="26.01"/>
    <n v="1"/>
    <n v="0"/>
    <n v="2"/>
    <n v="5"/>
  </r>
  <r>
    <s v="SW-102781"/>
    <d v="2025-02-14T00:00:00"/>
    <x v="1"/>
    <s v="Q1"/>
    <x v="1"/>
    <x v="0"/>
    <x v="2"/>
    <x v="1"/>
    <x v="0"/>
    <s v="Cotton T-Shirt"/>
    <n v="3"/>
    <n v="19.41"/>
    <n v="0"/>
    <x v="2"/>
    <n v="58.23"/>
    <n v="30.32"/>
    <n v="27.91"/>
    <n v="1"/>
    <n v="1"/>
    <n v="4"/>
    <n v="3"/>
  </r>
  <r>
    <s v="SW-102782"/>
    <d v="2025-02-14T00:00:00"/>
    <x v="1"/>
    <s v="Q1"/>
    <x v="1"/>
    <x v="1"/>
    <x v="4"/>
    <x v="0"/>
    <x v="1"/>
    <s v="Hair Dryer"/>
    <n v="2"/>
    <n v="33.18"/>
    <n v="0.05"/>
    <x v="0"/>
    <n v="63.04"/>
    <n v="30.91"/>
    <n v="32.130000000000003"/>
    <n v="1"/>
    <n v="0"/>
    <n v="6"/>
    <n v="3"/>
  </r>
  <r>
    <s v="SW-102783"/>
    <d v="2025-02-14T00:00:00"/>
    <x v="1"/>
    <s v="Q1"/>
    <x v="1"/>
    <x v="1"/>
    <x v="0"/>
    <x v="0"/>
    <x v="2"/>
    <s v="Storage Boxes"/>
    <n v="1"/>
    <n v="154.66"/>
    <n v="0.1"/>
    <x v="0"/>
    <n v="139.19"/>
    <n v="106.79"/>
    <n v="32.4"/>
    <n v="1"/>
    <n v="1"/>
    <n v="3"/>
    <n v="3"/>
  </r>
  <r>
    <s v="SW-102784"/>
    <d v="2025-02-15T00:00:00"/>
    <x v="1"/>
    <s v="Q1"/>
    <x v="1"/>
    <x v="2"/>
    <x v="4"/>
    <x v="1"/>
    <x v="1"/>
    <s v="Hair Dryer"/>
    <n v="2"/>
    <n v="33.18"/>
    <n v="0.05"/>
    <x v="0"/>
    <n v="63.04"/>
    <n v="30.4"/>
    <n v="32.64"/>
    <n v="1"/>
    <n v="0"/>
    <n v="6"/>
    <n v="4"/>
  </r>
  <r>
    <s v="SW-102785"/>
    <d v="2025-02-15T00:00:00"/>
    <x v="1"/>
    <s v="Q1"/>
    <x v="1"/>
    <x v="0"/>
    <x v="3"/>
    <x v="1"/>
    <x v="0"/>
    <s v="Sunglasses"/>
    <n v="1"/>
    <n v="104.94"/>
    <n v="0.05"/>
    <x v="0"/>
    <n v="99.69"/>
    <n v="56.88"/>
    <n v="42.81"/>
    <n v="1"/>
    <n v="0"/>
    <n v="3"/>
    <n v="4"/>
  </r>
  <r>
    <s v="SW-102786"/>
    <d v="2025-02-15T00:00:00"/>
    <x v="1"/>
    <s v="Q1"/>
    <x v="1"/>
    <x v="1"/>
    <x v="2"/>
    <x v="1"/>
    <x v="2"/>
    <s v="Coffee Maker"/>
    <n v="1"/>
    <n v="148.05000000000001"/>
    <n v="0"/>
    <x v="2"/>
    <n v="148.05000000000001"/>
    <n v="96.4"/>
    <n v="51.65"/>
    <n v="1"/>
    <n v="0"/>
    <n v="3"/>
    <n v="4"/>
  </r>
  <r>
    <s v="SW-102787"/>
    <d v="2025-02-15T00:00:00"/>
    <x v="1"/>
    <s v="Q1"/>
    <x v="1"/>
    <x v="1"/>
    <x v="0"/>
    <x v="1"/>
    <x v="0"/>
    <s v="Leather Handbag"/>
    <n v="1"/>
    <n v="138.5"/>
    <n v="0.15"/>
    <x v="1"/>
    <n v="117.72"/>
    <n v="74.53"/>
    <n v="43.19"/>
    <n v="1"/>
    <n v="0"/>
    <n v="4"/>
    <n v="4"/>
  </r>
  <r>
    <s v="SW-102788"/>
    <d v="2025-02-15T00:00:00"/>
    <x v="1"/>
    <s v="Q1"/>
    <x v="1"/>
    <x v="1"/>
    <x v="1"/>
    <x v="1"/>
    <x v="4"/>
    <s v="Power Bank"/>
    <n v="1"/>
    <n v="508.8"/>
    <n v="0.05"/>
    <x v="0"/>
    <n v="483.36"/>
    <n v="394.95"/>
    <n v="88.41"/>
    <n v="1"/>
    <n v="0"/>
    <n v="7"/>
    <n v="4"/>
  </r>
  <r>
    <s v="SW-102789"/>
    <d v="2025-02-16T00:00:00"/>
    <x v="1"/>
    <s v="Q1"/>
    <x v="1"/>
    <x v="2"/>
    <x v="1"/>
    <x v="1"/>
    <x v="4"/>
    <s v="Tablet 10in"/>
    <n v="1"/>
    <n v="490.3"/>
    <n v="0"/>
    <x v="2"/>
    <n v="490.3"/>
    <n v="382.39"/>
    <n v="107.91"/>
    <n v="1"/>
    <n v="0"/>
    <n v="6"/>
    <n v="3"/>
  </r>
  <r>
    <s v="SW-102790"/>
    <d v="2025-02-16T00:00:00"/>
    <x v="1"/>
    <s v="Q1"/>
    <x v="1"/>
    <x v="2"/>
    <x v="0"/>
    <x v="0"/>
    <x v="5"/>
    <s v="Kids Puzzle"/>
    <n v="1"/>
    <n v="16.97"/>
    <n v="0.1"/>
    <x v="0"/>
    <n v="15.27"/>
    <n v="12.42"/>
    <n v="2.85"/>
    <n v="1"/>
    <n v="0"/>
    <n v="5"/>
    <n v="5"/>
  </r>
  <r>
    <s v="SW-102791"/>
    <d v="2025-02-16T00:00:00"/>
    <x v="1"/>
    <s v="Q1"/>
    <x v="1"/>
    <x v="2"/>
    <x v="3"/>
    <x v="1"/>
    <x v="4"/>
    <s v="4K Action Camera"/>
    <n v="1"/>
    <n v="636.09"/>
    <n v="0.2"/>
    <x v="1"/>
    <n v="508.87"/>
    <n v="506.37"/>
    <n v="2.5"/>
    <n v="1"/>
    <n v="0"/>
    <n v="2"/>
    <n v="5"/>
  </r>
  <r>
    <s v="SW-102792"/>
    <d v="2025-02-16T00:00:00"/>
    <x v="1"/>
    <s v="Q1"/>
    <x v="1"/>
    <x v="1"/>
    <x v="4"/>
    <x v="1"/>
    <x v="2"/>
    <s v="Storage Boxes"/>
    <n v="2"/>
    <n v="154.66"/>
    <n v="0.05"/>
    <x v="0"/>
    <n v="293.85000000000002"/>
    <n v="190.23"/>
    <n v="103.62"/>
    <n v="1"/>
    <n v="0"/>
    <n v="5"/>
    <n v="5"/>
  </r>
  <r>
    <s v="SW-102793"/>
    <d v="2025-02-17T00:00:00"/>
    <x v="1"/>
    <s v="Q1"/>
    <x v="1"/>
    <x v="0"/>
    <x v="4"/>
    <x v="1"/>
    <x v="4"/>
    <s v="Power Bank"/>
    <n v="1"/>
    <n v="508.8"/>
    <n v="0"/>
    <x v="2"/>
    <n v="508.8"/>
    <n v="373.63"/>
    <n v="135.16999999999999"/>
    <n v="1"/>
    <n v="0"/>
    <n v="7"/>
    <n v="4"/>
  </r>
  <r>
    <s v="SW-102794"/>
    <d v="2025-02-17T00:00:00"/>
    <x v="1"/>
    <s v="Q1"/>
    <x v="1"/>
    <x v="2"/>
    <x v="0"/>
    <x v="0"/>
    <x v="2"/>
    <s v="Desk Lamp"/>
    <n v="1"/>
    <n v="117.63"/>
    <n v="0.15"/>
    <x v="1"/>
    <n v="99.99"/>
    <n v="78.91"/>
    <n v="21.08"/>
    <n v="1"/>
    <n v="0"/>
    <n v="4"/>
    <n v="5"/>
  </r>
  <r>
    <s v="SW-102795"/>
    <d v="2025-02-17T00:00:00"/>
    <x v="1"/>
    <s v="Q1"/>
    <x v="1"/>
    <x v="0"/>
    <x v="2"/>
    <x v="0"/>
    <x v="0"/>
    <s v="Denim Jacket"/>
    <n v="1"/>
    <n v="78.510000000000005"/>
    <n v="0"/>
    <x v="2"/>
    <n v="78.510000000000005"/>
    <n v="41.96"/>
    <n v="36.549999999999997"/>
    <n v="1"/>
    <n v="0"/>
    <n v="4"/>
    <n v="5"/>
  </r>
  <r>
    <s v="SW-102796"/>
    <d v="2025-02-17T00:00:00"/>
    <x v="1"/>
    <s v="Q1"/>
    <x v="1"/>
    <x v="0"/>
    <x v="3"/>
    <x v="1"/>
    <x v="2"/>
    <s v="Storage Boxes"/>
    <n v="1"/>
    <n v="154.66"/>
    <n v="0.05"/>
    <x v="0"/>
    <n v="146.93"/>
    <n v="102.18"/>
    <n v="44.75"/>
    <n v="1"/>
    <n v="0"/>
    <n v="4"/>
    <n v="3"/>
  </r>
  <r>
    <s v="SW-102797"/>
    <d v="2025-02-17T00:00:00"/>
    <x v="1"/>
    <s v="Q1"/>
    <x v="1"/>
    <x v="2"/>
    <x v="1"/>
    <x v="1"/>
    <x v="0"/>
    <s v="Running Sneakers"/>
    <n v="1"/>
    <n v="94.85"/>
    <n v="0.05"/>
    <x v="0"/>
    <n v="90.11"/>
    <n v="49.87"/>
    <n v="40.24"/>
    <n v="1"/>
    <n v="0"/>
    <n v="5"/>
    <n v="4"/>
  </r>
  <r>
    <s v="SW-102798"/>
    <d v="2025-02-17T00:00:00"/>
    <x v="1"/>
    <s v="Q1"/>
    <x v="1"/>
    <x v="2"/>
    <x v="3"/>
    <x v="1"/>
    <x v="4"/>
    <s v="Smart Watch"/>
    <n v="4"/>
    <n v="216.08"/>
    <n v="0.3"/>
    <x v="3"/>
    <n v="605.02"/>
    <n v="712.44"/>
    <n v="-107.42"/>
    <n v="1"/>
    <n v="0"/>
    <n v="3"/>
    <n v="4"/>
  </r>
  <r>
    <s v="SW-102799"/>
    <d v="2025-02-17T00:00:00"/>
    <x v="1"/>
    <s v="Q1"/>
    <x v="1"/>
    <x v="0"/>
    <x v="4"/>
    <x v="0"/>
    <x v="0"/>
    <s v="Running Sneakers"/>
    <n v="2"/>
    <n v="94.85"/>
    <n v="0"/>
    <x v="2"/>
    <n v="189.7"/>
    <n v="105.28"/>
    <n v="84.42"/>
    <n v="1"/>
    <n v="1"/>
    <n v="8"/>
    <n v="2"/>
  </r>
  <r>
    <s v="SW-102800"/>
    <d v="2025-02-18T00:00:00"/>
    <x v="1"/>
    <s v="Q1"/>
    <x v="1"/>
    <x v="1"/>
    <x v="1"/>
    <x v="1"/>
    <x v="3"/>
    <s v="Yoga Mat"/>
    <n v="2"/>
    <n v="137.05000000000001"/>
    <n v="0.2"/>
    <x v="1"/>
    <n v="219.28"/>
    <n v="195.47"/>
    <n v="23.81"/>
    <n v="1"/>
    <n v="0"/>
    <n v="8"/>
    <n v="3"/>
  </r>
  <r>
    <s v="SW-102801"/>
    <d v="2025-02-18T00:00:00"/>
    <x v="1"/>
    <s v="Q1"/>
    <x v="1"/>
    <x v="0"/>
    <x v="0"/>
    <x v="1"/>
    <x v="1"/>
    <s v="Hair Dryer"/>
    <n v="2"/>
    <n v="33.18"/>
    <n v="0"/>
    <x v="2"/>
    <n v="66.36"/>
    <n v="31.8"/>
    <n v="34.56"/>
    <n v="1"/>
    <n v="0"/>
    <n v="4"/>
    <n v="4"/>
  </r>
  <r>
    <s v="SW-102802"/>
    <d v="2025-02-18T00:00:00"/>
    <x v="1"/>
    <s v="Q1"/>
    <x v="1"/>
    <x v="0"/>
    <x v="3"/>
    <x v="1"/>
    <x v="5"/>
    <s v="Board Game"/>
    <n v="2"/>
    <n v="57.92"/>
    <n v="0.05"/>
    <x v="0"/>
    <n v="110.05"/>
    <n v="83.59"/>
    <n v="26.46"/>
    <n v="1"/>
    <n v="0"/>
    <n v="3"/>
    <n v="5"/>
  </r>
  <r>
    <s v="SW-102803"/>
    <d v="2025-02-18T00:00:00"/>
    <x v="1"/>
    <s v="Q1"/>
    <x v="1"/>
    <x v="1"/>
    <x v="2"/>
    <x v="0"/>
    <x v="3"/>
    <s v="Yoga Mat"/>
    <n v="2"/>
    <n v="137.05000000000001"/>
    <n v="0.1"/>
    <x v="0"/>
    <n v="246.69"/>
    <n v="196.4"/>
    <n v="50.29"/>
    <n v="1"/>
    <n v="0"/>
    <n v="3"/>
    <n v="4"/>
  </r>
  <r>
    <s v="SW-102804"/>
    <d v="2025-02-19T00:00:00"/>
    <x v="1"/>
    <s v="Q1"/>
    <x v="1"/>
    <x v="1"/>
    <x v="1"/>
    <x v="1"/>
    <x v="2"/>
    <s v="Air Fryer"/>
    <n v="1"/>
    <n v="68.349999999999994"/>
    <n v="0.25"/>
    <x v="3"/>
    <n v="51.26"/>
    <n v="44.99"/>
    <n v="6.27"/>
    <n v="1"/>
    <n v="0"/>
    <n v="6"/>
    <n v="3"/>
  </r>
  <r>
    <s v="SW-102805"/>
    <d v="2025-02-19T00:00:00"/>
    <x v="1"/>
    <s v="Q1"/>
    <x v="1"/>
    <x v="0"/>
    <x v="0"/>
    <x v="0"/>
    <x v="5"/>
    <s v="Story Book Set"/>
    <n v="2"/>
    <n v="10.76"/>
    <n v="0.05"/>
    <x v="0"/>
    <n v="20.440000000000001"/>
    <n v="15.56"/>
    <n v="4.88"/>
    <n v="1"/>
    <n v="0"/>
    <n v="3"/>
    <n v="5"/>
  </r>
  <r>
    <s v="SW-102806"/>
    <d v="2025-02-20T00:00:00"/>
    <x v="1"/>
    <s v="Q1"/>
    <x v="1"/>
    <x v="0"/>
    <x v="1"/>
    <x v="1"/>
    <x v="3"/>
    <s v="Dumbbell Set"/>
    <n v="1"/>
    <n v="198.42"/>
    <n v="0"/>
    <x v="2"/>
    <n v="198.42"/>
    <n v="133.76"/>
    <n v="64.66"/>
    <n v="1"/>
    <n v="0"/>
    <n v="5"/>
    <n v="4"/>
  </r>
  <r>
    <s v="SW-102807"/>
    <d v="2025-02-20T00:00:00"/>
    <x v="1"/>
    <s v="Q1"/>
    <x v="1"/>
    <x v="0"/>
    <x v="2"/>
    <x v="1"/>
    <x v="4"/>
    <s v="Bluetooth Speaker"/>
    <n v="2"/>
    <n v="177.65"/>
    <n v="0.05"/>
    <x v="0"/>
    <n v="337.54"/>
    <n v="278.70999999999998"/>
    <n v="58.83"/>
    <n v="1"/>
    <n v="1"/>
    <n v="3"/>
    <n v="5"/>
  </r>
  <r>
    <s v="SW-102808"/>
    <d v="2025-02-20T00:00:00"/>
    <x v="1"/>
    <s v="Q1"/>
    <x v="1"/>
    <x v="1"/>
    <x v="0"/>
    <x v="0"/>
    <x v="2"/>
    <s v="Coffee Maker"/>
    <n v="2"/>
    <n v="148.05000000000001"/>
    <n v="0.25"/>
    <x v="3"/>
    <n v="222.08"/>
    <n v="196.59"/>
    <n v="25.49"/>
    <n v="1"/>
    <n v="0"/>
    <n v="5"/>
    <n v="5"/>
  </r>
  <r>
    <s v="SW-102809"/>
    <d v="2025-02-20T00:00:00"/>
    <x v="1"/>
    <s v="Q1"/>
    <x v="1"/>
    <x v="1"/>
    <x v="3"/>
    <x v="1"/>
    <x v="3"/>
    <s v="Camping Tent"/>
    <n v="1"/>
    <n v="83.06"/>
    <n v="0.05"/>
    <x v="0"/>
    <n v="78.91"/>
    <n v="56.87"/>
    <n v="22.04"/>
    <n v="1"/>
    <n v="1"/>
    <n v="2"/>
    <n v="3"/>
  </r>
  <r>
    <s v="SW-102810"/>
    <d v="2025-02-20T00:00:00"/>
    <x v="1"/>
    <s v="Q1"/>
    <x v="1"/>
    <x v="0"/>
    <x v="0"/>
    <x v="1"/>
    <x v="0"/>
    <s v="Denim Jacket"/>
    <n v="1"/>
    <n v="78.510000000000005"/>
    <n v="0.1"/>
    <x v="0"/>
    <n v="70.66"/>
    <n v="42.01"/>
    <n v="28.65"/>
    <n v="1"/>
    <n v="0"/>
    <n v="4"/>
    <n v="4"/>
  </r>
  <r>
    <s v="SW-102811"/>
    <d v="2025-02-21T00:00:00"/>
    <x v="1"/>
    <s v="Q1"/>
    <x v="1"/>
    <x v="1"/>
    <x v="0"/>
    <x v="1"/>
    <x v="4"/>
    <s v="Tablet 10in"/>
    <n v="3"/>
    <n v="490.3"/>
    <n v="0.1"/>
    <x v="0"/>
    <n v="1323.81"/>
    <n v="1195.71"/>
    <n v="128.1"/>
    <n v="1"/>
    <n v="0"/>
    <n v="3"/>
    <n v="4"/>
  </r>
  <r>
    <s v="SW-102812"/>
    <d v="2025-02-21T00:00:00"/>
    <x v="1"/>
    <s v="Q1"/>
    <x v="1"/>
    <x v="0"/>
    <x v="3"/>
    <x v="0"/>
    <x v="4"/>
    <s v="Bluetooth Speaker"/>
    <n v="1"/>
    <n v="177.65"/>
    <n v="0"/>
    <x v="2"/>
    <n v="177.65"/>
    <n v="139.38"/>
    <n v="38.270000000000003"/>
    <n v="1"/>
    <n v="0"/>
    <n v="3"/>
    <n v="5"/>
  </r>
  <r>
    <s v="SW-102813"/>
    <d v="2025-02-21T00:00:00"/>
    <x v="1"/>
    <s v="Q1"/>
    <x v="1"/>
    <x v="2"/>
    <x v="2"/>
    <x v="1"/>
    <x v="2"/>
    <s v="Storage Boxes"/>
    <n v="1"/>
    <n v="154.66"/>
    <n v="0"/>
    <x v="2"/>
    <n v="154.66"/>
    <n v="105.2"/>
    <n v="49.46"/>
    <n v="1"/>
    <n v="0"/>
    <n v="3"/>
    <n v="4"/>
  </r>
  <r>
    <s v="SW-102814"/>
    <d v="2025-02-22T00:00:00"/>
    <x v="1"/>
    <s v="Q1"/>
    <x v="1"/>
    <x v="1"/>
    <x v="0"/>
    <x v="1"/>
    <x v="5"/>
    <s v="Kids Puzzle"/>
    <n v="2"/>
    <n v="16.97"/>
    <n v="0.2"/>
    <x v="1"/>
    <n v="27.15"/>
    <n v="25.57"/>
    <n v="1.58"/>
    <n v="1"/>
    <n v="0"/>
    <n v="3"/>
    <n v="5"/>
  </r>
  <r>
    <s v="SW-102815"/>
    <d v="2025-02-22T00:00:00"/>
    <x v="1"/>
    <s v="Q1"/>
    <x v="1"/>
    <x v="1"/>
    <x v="2"/>
    <x v="1"/>
    <x v="1"/>
    <s v="Hair Dryer"/>
    <n v="1"/>
    <n v="33.18"/>
    <n v="0.3"/>
    <x v="3"/>
    <n v="23.23"/>
    <n v="15.63"/>
    <n v="7.6"/>
    <n v="1"/>
    <n v="0"/>
    <n v="3"/>
    <n v="5"/>
  </r>
  <r>
    <s v="SW-102816"/>
    <d v="2025-02-22T00:00:00"/>
    <x v="1"/>
    <s v="Q1"/>
    <x v="1"/>
    <x v="0"/>
    <x v="3"/>
    <x v="0"/>
    <x v="4"/>
    <s v="Bluetooth Speaker"/>
    <n v="1"/>
    <n v="177.65"/>
    <n v="0.15"/>
    <x v="1"/>
    <n v="151"/>
    <n v="141.19"/>
    <n v="9.81"/>
    <n v="1"/>
    <n v="0"/>
    <n v="3"/>
    <n v="5"/>
  </r>
  <r>
    <s v="SW-102817"/>
    <d v="2025-02-22T00:00:00"/>
    <x v="1"/>
    <s v="Q1"/>
    <x v="1"/>
    <x v="1"/>
    <x v="4"/>
    <x v="1"/>
    <x v="4"/>
    <s v="4K Action Camera"/>
    <n v="1"/>
    <n v="636.09"/>
    <n v="0.05"/>
    <x v="0"/>
    <n v="604.29"/>
    <n v="499.36"/>
    <n v="104.93"/>
    <n v="1"/>
    <n v="0"/>
    <n v="5"/>
    <n v="5"/>
  </r>
  <r>
    <s v="SW-102818"/>
    <d v="2025-02-22T00:00:00"/>
    <x v="1"/>
    <s v="Q1"/>
    <x v="1"/>
    <x v="0"/>
    <x v="2"/>
    <x v="1"/>
    <x v="4"/>
    <s v="Wireless Earbuds"/>
    <n v="1"/>
    <n v="588.41"/>
    <n v="0.1"/>
    <x v="0"/>
    <n v="529.57000000000005"/>
    <n v="476.37"/>
    <n v="53.2"/>
    <n v="1"/>
    <n v="1"/>
    <n v="3"/>
    <n v="3"/>
  </r>
  <r>
    <s v="SW-102819"/>
    <d v="2025-02-22T00:00:00"/>
    <x v="1"/>
    <s v="Q1"/>
    <x v="1"/>
    <x v="1"/>
    <x v="4"/>
    <x v="0"/>
    <x v="5"/>
    <s v="Board Game"/>
    <n v="2"/>
    <n v="57.92"/>
    <n v="0"/>
    <x v="2"/>
    <n v="115.84"/>
    <n v="80.680000000000007"/>
    <n v="35.159999999999997"/>
    <n v="1"/>
    <n v="1"/>
    <n v="6"/>
    <n v="2"/>
  </r>
  <r>
    <s v="SW-102820"/>
    <d v="2025-02-22T00:00:00"/>
    <x v="1"/>
    <s v="Q1"/>
    <x v="1"/>
    <x v="1"/>
    <x v="0"/>
    <x v="1"/>
    <x v="0"/>
    <s v="Summer Dress"/>
    <n v="4"/>
    <n v="33.99"/>
    <n v="0.1"/>
    <x v="0"/>
    <n v="122.36"/>
    <n v="74.98"/>
    <n v="47.38"/>
    <n v="1"/>
    <n v="0"/>
    <n v="5"/>
    <n v="4"/>
  </r>
  <r>
    <s v="SW-102821"/>
    <d v="2025-02-23T00:00:00"/>
    <x v="1"/>
    <s v="Q1"/>
    <x v="1"/>
    <x v="1"/>
    <x v="3"/>
    <x v="0"/>
    <x v="2"/>
    <s v="Desk Lamp"/>
    <n v="4"/>
    <n v="117.63"/>
    <n v="0.3"/>
    <x v="3"/>
    <n v="329.36"/>
    <n v="313.33999999999997"/>
    <n v="16.02"/>
    <n v="1"/>
    <n v="0"/>
    <n v="4"/>
    <n v="5"/>
  </r>
  <r>
    <s v="SW-102822"/>
    <d v="2025-02-23T00:00:00"/>
    <x v="1"/>
    <s v="Q1"/>
    <x v="1"/>
    <x v="1"/>
    <x v="4"/>
    <x v="1"/>
    <x v="1"/>
    <s v="Perfume 100ml"/>
    <n v="2"/>
    <n v="54.56"/>
    <n v="0.05"/>
    <x v="0"/>
    <n v="103.66"/>
    <n v="52.94"/>
    <n v="50.72"/>
    <n v="1"/>
    <n v="0"/>
    <n v="7"/>
    <n v="4"/>
  </r>
  <r>
    <s v="SW-102823"/>
    <d v="2025-02-23T00:00:00"/>
    <x v="1"/>
    <s v="Q1"/>
    <x v="1"/>
    <x v="0"/>
    <x v="2"/>
    <x v="1"/>
    <x v="0"/>
    <s v="Cotton T-Shirt"/>
    <n v="3"/>
    <n v="19.41"/>
    <n v="0"/>
    <x v="2"/>
    <n v="58.23"/>
    <n v="32.03"/>
    <n v="26.2"/>
    <n v="1"/>
    <n v="0"/>
    <n v="5"/>
    <n v="4"/>
  </r>
  <r>
    <s v="SW-102824"/>
    <d v="2025-02-23T00:00:00"/>
    <x v="1"/>
    <s v="Q1"/>
    <x v="1"/>
    <x v="1"/>
    <x v="0"/>
    <x v="1"/>
    <x v="2"/>
    <s v="Desk Lamp"/>
    <n v="2"/>
    <n v="117.63"/>
    <n v="0.05"/>
    <x v="0"/>
    <n v="223.5"/>
    <n v="157.87"/>
    <n v="65.63"/>
    <n v="1"/>
    <n v="0"/>
    <n v="4"/>
    <n v="5"/>
  </r>
  <r>
    <s v="SW-102825"/>
    <d v="2025-02-23T00:00:00"/>
    <x v="1"/>
    <s v="Q1"/>
    <x v="1"/>
    <x v="0"/>
    <x v="3"/>
    <x v="0"/>
    <x v="5"/>
    <s v="Building Blocks"/>
    <n v="1"/>
    <n v="48.86"/>
    <n v="0"/>
    <x v="2"/>
    <n v="48.86"/>
    <n v="34.5"/>
    <n v="14.36"/>
    <n v="1"/>
    <n v="0"/>
    <n v="4"/>
    <n v="3"/>
  </r>
  <r>
    <s v="SW-102826"/>
    <d v="2025-02-23T00:00:00"/>
    <x v="1"/>
    <s v="Q1"/>
    <x v="1"/>
    <x v="2"/>
    <x v="4"/>
    <x v="0"/>
    <x v="3"/>
    <s v="Fitness Tracker"/>
    <n v="3"/>
    <n v="74.459999999999994"/>
    <n v="0.1"/>
    <x v="0"/>
    <n v="201.04"/>
    <n v="148.68"/>
    <n v="52.36"/>
    <n v="1"/>
    <n v="0"/>
    <n v="5"/>
    <n v="4"/>
  </r>
  <r>
    <s v="SW-102827"/>
    <d v="2025-02-23T00:00:00"/>
    <x v="1"/>
    <s v="Q1"/>
    <x v="1"/>
    <x v="0"/>
    <x v="3"/>
    <x v="1"/>
    <x v="3"/>
    <s v="Camping Tent"/>
    <n v="1"/>
    <n v="83.06"/>
    <n v="0"/>
    <x v="2"/>
    <n v="83.06"/>
    <n v="54.69"/>
    <n v="28.37"/>
    <n v="1"/>
    <n v="0"/>
    <n v="4"/>
    <n v="4"/>
  </r>
  <r>
    <s v="SW-102828"/>
    <d v="2025-02-23T00:00:00"/>
    <x v="1"/>
    <s v="Q1"/>
    <x v="1"/>
    <x v="2"/>
    <x v="2"/>
    <x v="0"/>
    <x v="1"/>
    <s v="Makeup Kit"/>
    <n v="1"/>
    <n v="74.3"/>
    <n v="0.15"/>
    <x v="1"/>
    <n v="63.15"/>
    <n v="38.81"/>
    <n v="24.34"/>
    <n v="1"/>
    <n v="0"/>
    <n v="3"/>
    <n v="4"/>
  </r>
  <r>
    <s v="SW-102829"/>
    <d v="2025-02-23T00:00:00"/>
    <x v="1"/>
    <s v="Q1"/>
    <x v="1"/>
    <x v="1"/>
    <x v="0"/>
    <x v="0"/>
    <x v="5"/>
    <s v="Story Book Set"/>
    <n v="2"/>
    <n v="10.76"/>
    <n v="0.2"/>
    <x v="1"/>
    <n v="17.22"/>
    <n v="15.93"/>
    <n v="1.29"/>
    <n v="1"/>
    <n v="0"/>
    <n v="3"/>
    <n v="4"/>
  </r>
  <r>
    <s v="SW-102830"/>
    <d v="2025-02-23T00:00:00"/>
    <x v="1"/>
    <s v="Q1"/>
    <x v="1"/>
    <x v="0"/>
    <x v="2"/>
    <x v="1"/>
    <x v="2"/>
    <s v="Bed Sheet Set"/>
    <n v="2"/>
    <n v="90.75"/>
    <n v="0.05"/>
    <x v="0"/>
    <n v="172.42"/>
    <n v="117.92"/>
    <n v="54.5"/>
    <n v="1"/>
    <n v="0"/>
    <n v="4"/>
    <n v="5"/>
  </r>
  <r>
    <s v="SW-102831"/>
    <d v="2025-02-23T00:00:00"/>
    <x v="1"/>
    <s v="Q1"/>
    <x v="1"/>
    <x v="1"/>
    <x v="3"/>
    <x v="1"/>
    <x v="3"/>
    <s v="Cycling Helmet"/>
    <n v="1"/>
    <n v="85.42"/>
    <n v="0"/>
    <x v="2"/>
    <n v="85.42"/>
    <n v="59.29"/>
    <n v="26.13"/>
    <n v="1"/>
    <n v="0"/>
    <n v="4"/>
    <n v="4"/>
  </r>
  <r>
    <s v="SW-102832"/>
    <d v="2025-02-24T00:00:00"/>
    <x v="1"/>
    <s v="Q1"/>
    <x v="1"/>
    <x v="0"/>
    <x v="0"/>
    <x v="1"/>
    <x v="4"/>
    <s v="Tablet 10in"/>
    <n v="1"/>
    <n v="490.3"/>
    <n v="0.15"/>
    <x v="1"/>
    <n v="416.76"/>
    <n v="432.86"/>
    <n v="-16.100000000000001"/>
    <n v="1"/>
    <n v="0"/>
    <n v="4"/>
    <n v="4"/>
  </r>
  <r>
    <s v="SW-102833"/>
    <d v="2025-02-24T00:00:00"/>
    <x v="1"/>
    <s v="Q1"/>
    <x v="1"/>
    <x v="1"/>
    <x v="3"/>
    <x v="1"/>
    <x v="2"/>
    <s v="Desk Lamp"/>
    <n v="3"/>
    <n v="117.63"/>
    <n v="0"/>
    <x v="2"/>
    <n v="352.89"/>
    <n v="239.03"/>
    <n v="113.86"/>
    <n v="1"/>
    <n v="0"/>
    <n v="2"/>
    <n v="4"/>
  </r>
  <r>
    <s v="SW-102834"/>
    <d v="2025-02-24T00:00:00"/>
    <x v="1"/>
    <s v="Q1"/>
    <x v="1"/>
    <x v="2"/>
    <x v="0"/>
    <x v="0"/>
    <x v="2"/>
    <s v="Cookware Set"/>
    <n v="1"/>
    <n v="233.81"/>
    <n v="0.2"/>
    <x v="1"/>
    <n v="187.05"/>
    <n v="152"/>
    <n v="35.049999999999997"/>
    <n v="1"/>
    <n v="0"/>
    <n v="4"/>
    <n v="5"/>
  </r>
  <r>
    <s v="SW-102835"/>
    <d v="2025-02-25T00:00:00"/>
    <x v="1"/>
    <s v="Q1"/>
    <x v="1"/>
    <x v="2"/>
    <x v="4"/>
    <x v="1"/>
    <x v="4"/>
    <s v="Bluetooth Speaker"/>
    <n v="1"/>
    <n v="177.65"/>
    <n v="0.1"/>
    <x v="0"/>
    <n v="159.88999999999999"/>
    <n v="140.59"/>
    <n v="19.3"/>
    <n v="1"/>
    <n v="0"/>
    <n v="6"/>
    <n v="4"/>
  </r>
  <r>
    <s v="SW-102836"/>
    <d v="2025-02-25T00:00:00"/>
    <x v="1"/>
    <s v="Q1"/>
    <x v="1"/>
    <x v="0"/>
    <x v="0"/>
    <x v="0"/>
    <x v="0"/>
    <s v="Summer Dress"/>
    <n v="1"/>
    <n v="33.99"/>
    <n v="0"/>
    <x v="2"/>
    <n v="33.99"/>
    <n v="18.57"/>
    <n v="15.42"/>
    <n v="1"/>
    <n v="0"/>
    <n v="5"/>
    <n v="5"/>
  </r>
  <r>
    <s v="SW-102837"/>
    <d v="2025-02-25T00:00:00"/>
    <x v="1"/>
    <s v="Q1"/>
    <x v="1"/>
    <x v="0"/>
    <x v="3"/>
    <x v="0"/>
    <x v="1"/>
    <s v="Makeup Kit"/>
    <n v="2"/>
    <n v="74.3"/>
    <n v="0.05"/>
    <x v="0"/>
    <n v="141.16999999999999"/>
    <n v="75.59"/>
    <n v="65.58"/>
    <n v="1"/>
    <n v="0"/>
    <n v="3"/>
    <n v="5"/>
  </r>
  <r>
    <s v="SW-102838"/>
    <d v="2025-02-25T00:00:00"/>
    <x v="1"/>
    <s v="Q1"/>
    <x v="1"/>
    <x v="1"/>
    <x v="4"/>
    <x v="0"/>
    <x v="3"/>
    <s v="Cycling Helmet"/>
    <n v="1"/>
    <n v="85.42"/>
    <n v="0.05"/>
    <x v="0"/>
    <n v="81.150000000000006"/>
    <n v="56.86"/>
    <n v="24.29"/>
    <n v="1"/>
    <n v="0"/>
    <n v="9"/>
    <n v="4"/>
  </r>
  <r>
    <s v="SW-102839"/>
    <d v="2025-02-26T00:00:00"/>
    <x v="1"/>
    <s v="Q1"/>
    <x v="1"/>
    <x v="1"/>
    <x v="2"/>
    <x v="1"/>
    <x v="4"/>
    <s v="Power Bank"/>
    <n v="1"/>
    <n v="508.8"/>
    <n v="0.2"/>
    <x v="1"/>
    <n v="407.04"/>
    <n v="414.42"/>
    <n v="-7.38"/>
    <n v="1"/>
    <n v="0"/>
    <n v="3"/>
    <n v="5"/>
  </r>
  <r>
    <s v="SW-102840"/>
    <d v="2025-02-26T00:00:00"/>
    <x v="1"/>
    <s v="Q1"/>
    <x v="1"/>
    <x v="0"/>
    <x v="1"/>
    <x v="0"/>
    <x v="5"/>
    <s v="Bestseller Novel"/>
    <n v="1"/>
    <n v="45.28"/>
    <n v="0.1"/>
    <x v="0"/>
    <n v="40.75"/>
    <n v="32.840000000000003"/>
    <n v="7.91"/>
    <n v="1"/>
    <n v="0"/>
    <n v="5"/>
    <n v="4"/>
  </r>
  <r>
    <s v="SW-102841"/>
    <d v="2025-02-26T00:00:00"/>
    <x v="1"/>
    <s v="Q1"/>
    <x v="1"/>
    <x v="1"/>
    <x v="2"/>
    <x v="1"/>
    <x v="0"/>
    <s v="Cotton T-Shirt"/>
    <n v="1"/>
    <n v="19.41"/>
    <n v="0.05"/>
    <x v="0"/>
    <n v="18.440000000000001"/>
    <n v="10.4"/>
    <n v="8.0399999999999991"/>
    <n v="1"/>
    <n v="0"/>
    <n v="4"/>
    <n v="4"/>
  </r>
  <r>
    <s v="SW-102842"/>
    <d v="2025-02-26T00:00:00"/>
    <x v="1"/>
    <s v="Q1"/>
    <x v="1"/>
    <x v="2"/>
    <x v="2"/>
    <x v="1"/>
    <x v="2"/>
    <s v="Coffee Maker"/>
    <n v="4"/>
    <n v="148.05000000000001"/>
    <n v="0.05"/>
    <x v="0"/>
    <n v="562.59"/>
    <n v="385.24"/>
    <n v="177.35"/>
    <n v="1"/>
    <n v="0"/>
    <n v="3"/>
    <n v="5"/>
  </r>
  <r>
    <s v="SW-102843"/>
    <d v="2025-02-26T00:00:00"/>
    <x v="1"/>
    <s v="Q1"/>
    <x v="1"/>
    <x v="0"/>
    <x v="2"/>
    <x v="0"/>
    <x v="0"/>
    <s v="Leather Handbag"/>
    <n v="2"/>
    <n v="138.5"/>
    <n v="0.05"/>
    <x v="0"/>
    <n v="263.14999999999998"/>
    <n v="150.62"/>
    <n v="112.53"/>
    <n v="1"/>
    <n v="0"/>
    <n v="6"/>
    <n v="4"/>
  </r>
  <r>
    <s v="SW-102844"/>
    <d v="2025-02-26T00:00:00"/>
    <x v="1"/>
    <s v="Q1"/>
    <x v="1"/>
    <x v="1"/>
    <x v="1"/>
    <x v="0"/>
    <x v="2"/>
    <s v="Desk Lamp"/>
    <n v="1"/>
    <n v="117.63"/>
    <n v="0"/>
    <x v="2"/>
    <n v="117.63"/>
    <n v="77.739999999999995"/>
    <n v="39.89"/>
    <n v="1"/>
    <n v="0"/>
    <n v="7"/>
    <n v="4"/>
  </r>
  <r>
    <s v="SW-102845"/>
    <d v="2025-02-26T00:00:00"/>
    <x v="1"/>
    <s v="Q1"/>
    <x v="1"/>
    <x v="0"/>
    <x v="2"/>
    <x v="1"/>
    <x v="4"/>
    <s v="Tablet 10in"/>
    <n v="1"/>
    <n v="490.3"/>
    <n v="0.2"/>
    <x v="1"/>
    <n v="392.24"/>
    <n v="398.94"/>
    <n v="-6.7"/>
    <n v="1"/>
    <n v="0"/>
    <n v="6"/>
    <n v="3"/>
  </r>
  <r>
    <s v="SW-102846"/>
    <d v="2025-02-27T00:00:00"/>
    <x v="1"/>
    <s v="Q1"/>
    <x v="1"/>
    <x v="1"/>
    <x v="2"/>
    <x v="1"/>
    <x v="5"/>
    <s v="Bestseller Novel"/>
    <n v="1"/>
    <n v="45.28"/>
    <n v="0"/>
    <x v="2"/>
    <n v="45.28"/>
    <n v="31.84"/>
    <n v="13.44"/>
    <n v="1"/>
    <n v="0"/>
    <n v="7"/>
    <n v="3"/>
  </r>
  <r>
    <s v="SW-102847"/>
    <d v="2025-02-27T00:00:00"/>
    <x v="1"/>
    <s v="Q1"/>
    <x v="1"/>
    <x v="1"/>
    <x v="0"/>
    <x v="0"/>
    <x v="1"/>
    <s v="Skin Care Bundle"/>
    <n v="2"/>
    <n v="92.54"/>
    <n v="0.15"/>
    <x v="1"/>
    <n v="157.32"/>
    <n v="89.78"/>
    <n v="67.540000000000006"/>
    <n v="1"/>
    <n v="0"/>
    <n v="5"/>
    <n v="4"/>
  </r>
  <r>
    <s v="SW-102848"/>
    <d v="2025-02-27T00:00:00"/>
    <x v="1"/>
    <s v="Q1"/>
    <x v="1"/>
    <x v="2"/>
    <x v="0"/>
    <x v="1"/>
    <x v="0"/>
    <s v="Sunglasses"/>
    <n v="1"/>
    <n v="104.94"/>
    <n v="0.05"/>
    <x v="0"/>
    <n v="99.69"/>
    <n v="56.66"/>
    <n v="43.03"/>
    <n v="1"/>
    <n v="1"/>
    <n v="5"/>
    <n v="3"/>
  </r>
  <r>
    <s v="SW-102849"/>
    <d v="2025-02-27T00:00:00"/>
    <x v="1"/>
    <s v="Q1"/>
    <x v="1"/>
    <x v="0"/>
    <x v="2"/>
    <x v="1"/>
    <x v="0"/>
    <s v="Running Sneakers"/>
    <n v="1"/>
    <n v="94.85"/>
    <n v="0"/>
    <x v="2"/>
    <n v="94.85"/>
    <n v="50.35"/>
    <n v="44.5"/>
    <n v="1"/>
    <n v="0"/>
    <n v="3"/>
    <n v="5"/>
  </r>
  <r>
    <s v="SW-102850"/>
    <d v="2025-02-27T00:00:00"/>
    <x v="1"/>
    <s v="Q1"/>
    <x v="1"/>
    <x v="1"/>
    <x v="0"/>
    <x v="0"/>
    <x v="3"/>
    <s v="Camping Tent"/>
    <n v="1"/>
    <n v="83.06"/>
    <n v="0.15"/>
    <x v="1"/>
    <n v="70.599999999999994"/>
    <n v="54.39"/>
    <n v="16.21"/>
    <n v="1"/>
    <n v="0"/>
    <n v="3"/>
    <n v="4"/>
  </r>
  <r>
    <s v="SW-102851"/>
    <d v="2025-02-27T00:00:00"/>
    <x v="1"/>
    <s v="Q1"/>
    <x v="1"/>
    <x v="1"/>
    <x v="0"/>
    <x v="1"/>
    <x v="2"/>
    <s v="Coffee Maker"/>
    <n v="2"/>
    <n v="148.05000000000001"/>
    <n v="0"/>
    <x v="2"/>
    <n v="296.10000000000002"/>
    <n v="194.23"/>
    <n v="101.87"/>
    <n v="1"/>
    <n v="0"/>
    <n v="4"/>
    <n v="5"/>
  </r>
  <r>
    <s v="SW-102852"/>
    <d v="2025-02-28T00:00:00"/>
    <x v="1"/>
    <s v="Q1"/>
    <x v="1"/>
    <x v="0"/>
    <x v="0"/>
    <x v="0"/>
    <x v="0"/>
    <s v="Denim Jacket"/>
    <n v="2"/>
    <n v="78.510000000000005"/>
    <n v="0"/>
    <x v="2"/>
    <n v="157.02000000000001"/>
    <n v="85.64"/>
    <n v="71.38"/>
    <n v="1"/>
    <n v="0"/>
    <n v="5"/>
    <n v="5"/>
  </r>
  <r>
    <s v="SW-102853"/>
    <d v="2025-02-28T00:00:00"/>
    <x v="1"/>
    <s v="Q1"/>
    <x v="1"/>
    <x v="0"/>
    <x v="2"/>
    <x v="1"/>
    <x v="4"/>
    <s v="4K Action Camera"/>
    <n v="2"/>
    <n v="636.09"/>
    <n v="0.05"/>
    <x v="0"/>
    <n v="1208.57"/>
    <n v="990.98"/>
    <n v="217.59"/>
    <n v="1"/>
    <n v="0"/>
    <n v="4"/>
    <n v="4"/>
  </r>
  <r>
    <s v="SW-102854"/>
    <d v="2025-02-28T00:00:00"/>
    <x v="1"/>
    <s v="Q1"/>
    <x v="1"/>
    <x v="0"/>
    <x v="3"/>
    <x v="1"/>
    <x v="5"/>
    <s v="Building Blocks"/>
    <n v="1"/>
    <n v="48.86"/>
    <n v="0.1"/>
    <x v="0"/>
    <n v="43.97"/>
    <n v="34.950000000000003"/>
    <n v="9.02"/>
    <n v="1"/>
    <n v="0"/>
    <n v="3"/>
    <n v="5"/>
  </r>
  <r>
    <s v="SW-102855"/>
    <d v="2025-02-28T00:00:00"/>
    <x v="1"/>
    <s v="Q1"/>
    <x v="1"/>
    <x v="1"/>
    <x v="0"/>
    <x v="1"/>
    <x v="1"/>
    <s v="Perfume 100ml"/>
    <n v="1"/>
    <n v="54.56"/>
    <n v="0.1"/>
    <x v="0"/>
    <n v="49.1"/>
    <n v="25.12"/>
    <n v="23.98"/>
    <n v="1"/>
    <n v="0"/>
    <n v="3"/>
    <n v="4"/>
  </r>
  <r>
    <s v="SW-102856"/>
    <d v="2025-02-28T00:00:00"/>
    <x v="1"/>
    <s v="Q1"/>
    <x v="1"/>
    <x v="0"/>
    <x v="2"/>
    <x v="0"/>
    <x v="2"/>
    <s v="Cookware Set"/>
    <n v="1"/>
    <n v="233.81"/>
    <n v="0.1"/>
    <x v="0"/>
    <n v="210.43"/>
    <n v="152.54"/>
    <n v="57.89"/>
    <n v="1"/>
    <n v="0"/>
    <n v="4"/>
    <n v="4"/>
  </r>
  <r>
    <s v="SW-102857"/>
    <d v="2025-02-28T00:00:00"/>
    <x v="1"/>
    <s v="Q1"/>
    <x v="1"/>
    <x v="2"/>
    <x v="1"/>
    <x v="0"/>
    <x v="5"/>
    <s v="Kids Puzzle"/>
    <n v="1"/>
    <n v="16.97"/>
    <n v="0.05"/>
    <x v="0"/>
    <n v="16.12"/>
    <n v="12.3"/>
    <n v="3.82"/>
    <n v="1"/>
    <n v="0"/>
    <n v="5"/>
    <n v="3"/>
  </r>
  <r>
    <s v="SW-102858"/>
    <d v="2025-03-01T00:00:00"/>
    <x v="1"/>
    <s v="Q1"/>
    <x v="2"/>
    <x v="1"/>
    <x v="3"/>
    <x v="1"/>
    <x v="3"/>
    <s v="Fitness Tracker"/>
    <n v="1"/>
    <n v="74.459999999999994"/>
    <n v="0.1"/>
    <x v="0"/>
    <n v="67.010000000000005"/>
    <n v="50.14"/>
    <n v="16.87"/>
    <n v="1"/>
    <n v="0"/>
    <n v="4"/>
    <n v="5"/>
  </r>
  <r>
    <s v="SW-102859"/>
    <d v="2025-03-01T00:00:00"/>
    <x v="1"/>
    <s v="Q1"/>
    <x v="2"/>
    <x v="1"/>
    <x v="4"/>
    <x v="1"/>
    <x v="5"/>
    <s v="Building Blocks"/>
    <n v="1"/>
    <n v="48.86"/>
    <n v="0"/>
    <x v="2"/>
    <n v="48.86"/>
    <n v="35.17"/>
    <n v="13.69"/>
    <n v="1"/>
    <n v="0"/>
    <n v="7"/>
    <n v="3"/>
  </r>
  <r>
    <s v="SW-102860"/>
    <d v="2025-03-01T00:00:00"/>
    <x v="1"/>
    <s v="Q1"/>
    <x v="2"/>
    <x v="1"/>
    <x v="1"/>
    <x v="1"/>
    <x v="4"/>
    <s v="Wireless Earbuds"/>
    <n v="2"/>
    <n v="588.41"/>
    <n v="0.3"/>
    <x v="3"/>
    <n v="823.77"/>
    <n v="951.96"/>
    <n v="-128.19"/>
    <n v="1"/>
    <n v="0"/>
    <n v="5"/>
    <n v="4"/>
  </r>
  <r>
    <s v="SW-102861"/>
    <d v="2025-03-01T00:00:00"/>
    <x v="1"/>
    <s v="Q1"/>
    <x v="2"/>
    <x v="2"/>
    <x v="0"/>
    <x v="0"/>
    <x v="3"/>
    <s v="Fitness Tracker"/>
    <n v="1"/>
    <n v="74.459999999999994"/>
    <n v="0.1"/>
    <x v="0"/>
    <n v="67.010000000000005"/>
    <n v="49.72"/>
    <n v="17.29"/>
    <n v="1"/>
    <n v="0"/>
    <n v="3"/>
    <n v="4"/>
  </r>
  <r>
    <s v="SW-102862"/>
    <d v="2025-03-01T00:00:00"/>
    <x v="1"/>
    <s v="Q1"/>
    <x v="2"/>
    <x v="0"/>
    <x v="2"/>
    <x v="1"/>
    <x v="0"/>
    <s v="Sunglasses"/>
    <n v="2"/>
    <n v="104.94"/>
    <n v="0.05"/>
    <x v="0"/>
    <n v="199.39"/>
    <n v="111.09"/>
    <n v="88.3"/>
    <n v="1"/>
    <n v="0"/>
    <n v="3"/>
    <n v="5"/>
  </r>
  <r>
    <s v="SW-102863"/>
    <d v="2025-03-01T00:00:00"/>
    <x v="1"/>
    <s v="Q1"/>
    <x v="2"/>
    <x v="0"/>
    <x v="2"/>
    <x v="0"/>
    <x v="0"/>
    <s v="Summer Dress"/>
    <n v="2"/>
    <n v="33.99"/>
    <n v="0"/>
    <x v="2"/>
    <n v="67.98"/>
    <n v="36.299999999999997"/>
    <n v="31.68"/>
    <n v="1"/>
    <n v="0"/>
    <n v="3"/>
    <n v="4"/>
  </r>
  <r>
    <s v="SW-102864"/>
    <d v="2025-03-01T00:00:00"/>
    <x v="1"/>
    <s v="Q1"/>
    <x v="2"/>
    <x v="1"/>
    <x v="3"/>
    <x v="1"/>
    <x v="2"/>
    <s v="Air Fryer"/>
    <n v="1"/>
    <n v="68.349999999999994"/>
    <n v="0.1"/>
    <x v="0"/>
    <n v="61.51"/>
    <n v="43.15"/>
    <n v="18.36"/>
    <n v="1"/>
    <n v="0"/>
    <n v="3"/>
    <n v="4"/>
  </r>
  <r>
    <s v="SW-102865"/>
    <d v="2025-03-02T00:00:00"/>
    <x v="1"/>
    <s v="Q1"/>
    <x v="2"/>
    <x v="2"/>
    <x v="0"/>
    <x v="1"/>
    <x v="2"/>
    <s v="Cookware Set"/>
    <n v="1"/>
    <n v="233.81"/>
    <n v="0.1"/>
    <x v="0"/>
    <n v="210.43"/>
    <n v="161.27000000000001"/>
    <n v="49.16"/>
    <n v="1"/>
    <n v="0"/>
    <n v="4"/>
    <n v="5"/>
  </r>
  <r>
    <s v="SW-102866"/>
    <d v="2025-03-02T00:00:00"/>
    <x v="1"/>
    <s v="Q1"/>
    <x v="2"/>
    <x v="1"/>
    <x v="3"/>
    <x v="1"/>
    <x v="4"/>
    <s v="Bluetooth Speaker"/>
    <n v="2"/>
    <n v="177.65"/>
    <n v="0.05"/>
    <x v="0"/>
    <n v="337.54"/>
    <n v="272.94"/>
    <n v="64.599999999999994"/>
    <n v="1"/>
    <n v="0"/>
    <n v="2"/>
    <n v="5"/>
  </r>
  <r>
    <s v="SW-102867"/>
    <d v="2025-03-02T00:00:00"/>
    <x v="1"/>
    <s v="Q1"/>
    <x v="2"/>
    <x v="2"/>
    <x v="3"/>
    <x v="1"/>
    <x v="3"/>
    <s v="Cycling Helmet"/>
    <n v="1"/>
    <n v="85.42"/>
    <n v="0.1"/>
    <x v="0"/>
    <n v="76.88"/>
    <n v="57.35"/>
    <n v="19.53"/>
    <n v="1"/>
    <n v="0"/>
    <n v="3"/>
    <n v="3"/>
  </r>
  <r>
    <s v="SW-102868"/>
    <d v="2025-03-02T00:00:00"/>
    <x v="1"/>
    <s v="Q1"/>
    <x v="2"/>
    <x v="2"/>
    <x v="3"/>
    <x v="0"/>
    <x v="0"/>
    <s v="Cotton T-Shirt"/>
    <n v="3"/>
    <n v="19.41"/>
    <n v="0"/>
    <x v="2"/>
    <n v="58.23"/>
    <n v="30.84"/>
    <n v="27.39"/>
    <n v="1"/>
    <n v="0"/>
    <n v="2"/>
    <n v="4"/>
  </r>
  <r>
    <s v="SW-102869"/>
    <d v="2025-03-02T00:00:00"/>
    <x v="1"/>
    <s v="Q1"/>
    <x v="2"/>
    <x v="2"/>
    <x v="0"/>
    <x v="0"/>
    <x v="3"/>
    <s v="Cycling Helmet"/>
    <n v="3"/>
    <n v="85.42"/>
    <n v="0.2"/>
    <x v="1"/>
    <n v="205.01"/>
    <n v="161.19"/>
    <n v="43.82"/>
    <n v="1"/>
    <n v="0"/>
    <n v="4"/>
    <n v="4"/>
  </r>
  <r>
    <s v="SW-102870"/>
    <d v="2025-03-02T00:00:00"/>
    <x v="1"/>
    <s v="Q1"/>
    <x v="2"/>
    <x v="1"/>
    <x v="2"/>
    <x v="1"/>
    <x v="1"/>
    <s v="Makeup Kit"/>
    <n v="1"/>
    <n v="74.3"/>
    <n v="0.1"/>
    <x v="0"/>
    <n v="66.87"/>
    <n v="35.270000000000003"/>
    <n v="31.6"/>
    <n v="1"/>
    <n v="0"/>
    <n v="3"/>
    <n v="3"/>
  </r>
  <r>
    <s v="SW-102871"/>
    <d v="2025-03-03T00:00:00"/>
    <x v="1"/>
    <s v="Q1"/>
    <x v="2"/>
    <x v="1"/>
    <x v="0"/>
    <x v="1"/>
    <x v="2"/>
    <s v="Air Fryer"/>
    <n v="1"/>
    <n v="68.349999999999994"/>
    <n v="0.15"/>
    <x v="1"/>
    <n v="58.1"/>
    <n v="45.94"/>
    <n v="12.16"/>
    <n v="1"/>
    <n v="0"/>
    <n v="4"/>
    <n v="5"/>
  </r>
  <r>
    <s v="SW-102872"/>
    <d v="2025-03-03T00:00:00"/>
    <x v="1"/>
    <s v="Q1"/>
    <x v="2"/>
    <x v="0"/>
    <x v="2"/>
    <x v="0"/>
    <x v="0"/>
    <s v="Denim Jacket"/>
    <n v="4"/>
    <n v="78.510000000000005"/>
    <n v="0"/>
    <x v="2"/>
    <n v="314.04000000000002"/>
    <n v="172.55"/>
    <n v="141.49"/>
    <n v="1"/>
    <n v="0"/>
    <n v="3"/>
    <n v="4"/>
  </r>
  <r>
    <s v="SW-102873"/>
    <d v="2025-03-03T00:00:00"/>
    <x v="1"/>
    <s v="Q1"/>
    <x v="2"/>
    <x v="0"/>
    <x v="3"/>
    <x v="0"/>
    <x v="4"/>
    <s v="Bluetooth Speaker"/>
    <n v="1"/>
    <n v="177.65"/>
    <n v="0"/>
    <x v="2"/>
    <n v="177.65"/>
    <n v="148.58000000000001"/>
    <n v="29.07"/>
    <n v="1"/>
    <n v="0"/>
    <n v="3"/>
    <n v="4"/>
  </r>
  <r>
    <s v="SW-102874"/>
    <d v="2025-03-03T00:00:00"/>
    <x v="1"/>
    <s v="Q1"/>
    <x v="2"/>
    <x v="0"/>
    <x v="0"/>
    <x v="1"/>
    <x v="1"/>
    <s v="Skin Care Bundle"/>
    <n v="1"/>
    <n v="92.54"/>
    <n v="0.25"/>
    <x v="3"/>
    <n v="69.400000000000006"/>
    <n v="44.85"/>
    <n v="24.55"/>
    <n v="1"/>
    <n v="0"/>
    <n v="6"/>
    <n v="3"/>
  </r>
  <r>
    <s v="SW-102875"/>
    <d v="2025-03-03T00:00:00"/>
    <x v="1"/>
    <s v="Q1"/>
    <x v="2"/>
    <x v="0"/>
    <x v="0"/>
    <x v="1"/>
    <x v="2"/>
    <s v="Bed Sheet Set"/>
    <n v="1"/>
    <n v="90.75"/>
    <n v="0"/>
    <x v="2"/>
    <n v="90.75"/>
    <n v="59.11"/>
    <n v="31.64"/>
    <n v="1"/>
    <n v="0"/>
    <n v="3"/>
    <n v="5"/>
  </r>
  <r>
    <s v="SW-102876"/>
    <d v="2025-03-03T00:00:00"/>
    <x v="1"/>
    <s v="Q1"/>
    <x v="2"/>
    <x v="1"/>
    <x v="0"/>
    <x v="0"/>
    <x v="2"/>
    <s v="Cookware Set"/>
    <n v="1"/>
    <n v="233.81"/>
    <n v="0.1"/>
    <x v="0"/>
    <n v="210.43"/>
    <n v="157.63999999999999"/>
    <n v="52.79"/>
    <n v="1"/>
    <n v="0"/>
    <n v="6"/>
    <n v="3"/>
  </r>
  <r>
    <s v="SW-102877"/>
    <d v="2025-03-03T00:00:00"/>
    <x v="1"/>
    <s v="Q1"/>
    <x v="2"/>
    <x v="1"/>
    <x v="0"/>
    <x v="1"/>
    <x v="0"/>
    <s v="Leather Handbag"/>
    <n v="1"/>
    <n v="138.5"/>
    <n v="0.25"/>
    <x v="3"/>
    <n v="103.88"/>
    <n v="76.680000000000007"/>
    <n v="27.2"/>
    <n v="1"/>
    <n v="0"/>
    <n v="3"/>
    <n v="5"/>
  </r>
  <r>
    <s v="SW-102878"/>
    <d v="2025-03-03T00:00:00"/>
    <x v="1"/>
    <s v="Q1"/>
    <x v="2"/>
    <x v="2"/>
    <x v="0"/>
    <x v="1"/>
    <x v="3"/>
    <s v="Camping Tent"/>
    <n v="2"/>
    <n v="83.06"/>
    <n v="0"/>
    <x v="2"/>
    <n v="166.12"/>
    <n v="113.47"/>
    <n v="52.65"/>
    <n v="1"/>
    <n v="0"/>
    <n v="5"/>
    <n v="4"/>
  </r>
  <r>
    <s v="SW-102879"/>
    <d v="2025-03-03T00:00:00"/>
    <x v="1"/>
    <s v="Q1"/>
    <x v="2"/>
    <x v="2"/>
    <x v="3"/>
    <x v="0"/>
    <x v="0"/>
    <s v="Denim Jacket"/>
    <n v="1"/>
    <n v="78.510000000000005"/>
    <n v="0.1"/>
    <x v="0"/>
    <n v="70.66"/>
    <n v="44.03"/>
    <n v="26.63"/>
    <n v="1"/>
    <n v="0"/>
    <n v="3"/>
    <n v="5"/>
  </r>
  <r>
    <s v="SW-102880"/>
    <d v="2025-03-03T00:00:00"/>
    <x v="1"/>
    <s v="Q1"/>
    <x v="2"/>
    <x v="0"/>
    <x v="3"/>
    <x v="0"/>
    <x v="5"/>
    <s v="Kids Puzzle"/>
    <n v="2"/>
    <n v="16.97"/>
    <n v="0.05"/>
    <x v="0"/>
    <n v="32.24"/>
    <n v="25.03"/>
    <n v="7.21"/>
    <n v="1"/>
    <n v="0"/>
    <n v="4"/>
    <n v="5"/>
  </r>
  <r>
    <s v="SW-102881"/>
    <d v="2025-03-04T00:00:00"/>
    <x v="1"/>
    <s v="Q1"/>
    <x v="2"/>
    <x v="0"/>
    <x v="1"/>
    <x v="0"/>
    <x v="4"/>
    <s v="Tablet 10in"/>
    <n v="1"/>
    <n v="490.3"/>
    <n v="0.05"/>
    <x v="0"/>
    <n v="465.78"/>
    <n v="398.12"/>
    <n v="67.66"/>
    <n v="1"/>
    <n v="0"/>
    <n v="5"/>
    <n v="4"/>
  </r>
  <r>
    <s v="SW-102882"/>
    <d v="2025-03-04T00:00:00"/>
    <x v="1"/>
    <s v="Q1"/>
    <x v="2"/>
    <x v="1"/>
    <x v="3"/>
    <x v="1"/>
    <x v="0"/>
    <s v="Running Sneakers"/>
    <n v="2"/>
    <n v="94.85"/>
    <n v="0"/>
    <x v="2"/>
    <n v="189.7"/>
    <n v="104.05"/>
    <n v="85.65"/>
    <n v="1"/>
    <n v="0"/>
    <n v="4"/>
    <n v="5"/>
  </r>
  <r>
    <s v="SW-102883"/>
    <d v="2025-03-04T00:00:00"/>
    <x v="1"/>
    <s v="Q1"/>
    <x v="2"/>
    <x v="0"/>
    <x v="0"/>
    <x v="1"/>
    <x v="4"/>
    <s v="Bluetooth Speaker"/>
    <n v="1"/>
    <n v="177.65"/>
    <n v="0"/>
    <x v="2"/>
    <n v="177.65"/>
    <n v="148.19999999999999"/>
    <n v="29.45"/>
    <n v="1"/>
    <n v="0"/>
    <n v="5"/>
    <n v="5"/>
  </r>
  <r>
    <s v="SW-102884"/>
    <d v="2025-03-04T00:00:00"/>
    <x v="1"/>
    <s v="Q1"/>
    <x v="2"/>
    <x v="1"/>
    <x v="0"/>
    <x v="0"/>
    <x v="1"/>
    <s v="Face Serum"/>
    <n v="1"/>
    <n v="33.479999999999997"/>
    <n v="0.05"/>
    <x v="0"/>
    <n v="31.81"/>
    <n v="16.28"/>
    <n v="15.53"/>
    <n v="1"/>
    <n v="0"/>
    <n v="3"/>
    <n v="4"/>
  </r>
  <r>
    <s v="SW-102885"/>
    <d v="2025-03-05T00:00:00"/>
    <x v="1"/>
    <s v="Q1"/>
    <x v="2"/>
    <x v="0"/>
    <x v="2"/>
    <x v="1"/>
    <x v="2"/>
    <s v="Coffee Maker"/>
    <n v="1"/>
    <n v="148.05000000000001"/>
    <n v="0.1"/>
    <x v="0"/>
    <n v="133.24"/>
    <n v="97.53"/>
    <n v="35.71"/>
    <n v="1"/>
    <n v="0"/>
    <n v="4"/>
    <n v="5"/>
  </r>
  <r>
    <s v="SW-102886"/>
    <d v="2025-03-05T00:00:00"/>
    <x v="1"/>
    <s v="Q1"/>
    <x v="2"/>
    <x v="1"/>
    <x v="0"/>
    <x v="0"/>
    <x v="0"/>
    <s v="Denim Jacket"/>
    <n v="1"/>
    <n v="78.510000000000005"/>
    <n v="0.05"/>
    <x v="0"/>
    <n v="74.58"/>
    <n v="41.22"/>
    <n v="33.36"/>
    <n v="1"/>
    <n v="0"/>
    <n v="3"/>
    <n v="5"/>
  </r>
  <r>
    <s v="SW-102887"/>
    <d v="2025-03-05T00:00:00"/>
    <x v="1"/>
    <s v="Q1"/>
    <x v="2"/>
    <x v="1"/>
    <x v="4"/>
    <x v="1"/>
    <x v="4"/>
    <s v="Bluetooth Speaker"/>
    <n v="1"/>
    <n v="177.65"/>
    <n v="0"/>
    <x v="2"/>
    <n v="177.65"/>
    <n v="140.38"/>
    <n v="37.270000000000003"/>
    <n v="1"/>
    <n v="1"/>
    <n v="5"/>
    <n v="3"/>
  </r>
  <r>
    <s v="SW-102888"/>
    <d v="2025-03-05T00:00:00"/>
    <x v="1"/>
    <s v="Q1"/>
    <x v="2"/>
    <x v="0"/>
    <x v="0"/>
    <x v="0"/>
    <x v="2"/>
    <s v="Coffee Maker"/>
    <n v="1"/>
    <n v="148.05000000000001"/>
    <n v="0"/>
    <x v="2"/>
    <n v="148.05000000000001"/>
    <n v="100.19"/>
    <n v="47.86"/>
    <n v="1"/>
    <n v="0"/>
    <n v="3"/>
    <n v="4"/>
  </r>
  <r>
    <s v="SW-102889"/>
    <d v="2025-03-05T00:00:00"/>
    <x v="1"/>
    <s v="Q1"/>
    <x v="2"/>
    <x v="0"/>
    <x v="0"/>
    <x v="0"/>
    <x v="5"/>
    <s v="Kids Puzzle"/>
    <n v="1"/>
    <n v="16.97"/>
    <n v="0.1"/>
    <x v="0"/>
    <n v="15.27"/>
    <n v="11.73"/>
    <n v="3.54"/>
    <n v="1"/>
    <n v="0"/>
    <n v="3"/>
    <n v="4"/>
  </r>
  <r>
    <s v="SW-102890"/>
    <d v="2025-03-05T00:00:00"/>
    <x v="1"/>
    <s v="Q1"/>
    <x v="2"/>
    <x v="1"/>
    <x v="0"/>
    <x v="0"/>
    <x v="2"/>
    <s v="Coffee Maker"/>
    <n v="1"/>
    <n v="148.05000000000001"/>
    <n v="0"/>
    <x v="2"/>
    <n v="148.05000000000001"/>
    <n v="99.1"/>
    <n v="48.95"/>
    <n v="1"/>
    <n v="0"/>
    <n v="4"/>
    <n v="4"/>
  </r>
  <r>
    <s v="SW-102891"/>
    <d v="2025-03-05T00:00:00"/>
    <x v="1"/>
    <s v="Q1"/>
    <x v="2"/>
    <x v="0"/>
    <x v="3"/>
    <x v="1"/>
    <x v="2"/>
    <s v="Coffee Maker"/>
    <n v="2"/>
    <n v="148.05000000000001"/>
    <n v="0"/>
    <x v="2"/>
    <n v="296.10000000000002"/>
    <n v="199.28"/>
    <n v="96.82"/>
    <n v="1"/>
    <n v="0"/>
    <n v="2"/>
    <n v="4"/>
  </r>
  <r>
    <s v="SW-102892"/>
    <d v="2025-03-05T00:00:00"/>
    <x v="1"/>
    <s v="Q1"/>
    <x v="2"/>
    <x v="2"/>
    <x v="0"/>
    <x v="1"/>
    <x v="0"/>
    <s v="Cotton T-Shirt"/>
    <n v="1"/>
    <n v="19.41"/>
    <n v="0.2"/>
    <x v="1"/>
    <n v="15.53"/>
    <n v="10.42"/>
    <n v="5.1100000000000003"/>
    <n v="1"/>
    <n v="0"/>
    <n v="3"/>
    <n v="5"/>
  </r>
  <r>
    <s v="SW-102893"/>
    <d v="2025-03-05T00:00:00"/>
    <x v="1"/>
    <s v="Q1"/>
    <x v="2"/>
    <x v="0"/>
    <x v="2"/>
    <x v="1"/>
    <x v="5"/>
    <s v="Story Book Set"/>
    <n v="1"/>
    <n v="10.76"/>
    <n v="0.3"/>
    <x v="3"/>
    <n v="7.53"/>
    <n v="7.6"/>
    <n v="-7.0000000000000007E-2"/>
    <n v="1"/>
    <n v="0"/>
    <n v="4"/>
    <n v="5"/>
  </r>
  <r>
    <s v="SW-102894"/>
    <d v="2025-03-06T00:00:00"/>
    <x v="1"/>
    <s v="Q1"/>
    <x v="2"/>
    <x v="1"/>
    <x v="0"/>
    <x v="0"/>
    <x v="2"/>
    <s v="Coffee Maker"/>
    <n v="1"/>
    <n v="148.05000000000001"/>
    <n v="0.15"/>
    <x v="1"/>
    <n v="125.84"/>
    <n v="92.56"/>
    <n v="33.28"/>
    <n v="1"/>
    <n v="0"/>
    <n v="4"/>
    <n v="4"/>
  </r>
  <r>
    <s v="SW-102895"/>
    <d v="2025-03-06T00:00:00"/>
    <x v="1"/>
    <s v="Q1"/>
    <x v="2"/>
    <x v="2"/>
    <x v="0"/>
    <x v="0"/>
    <x v="0"/>
    <s v="Leather Handbag"/>
    <n v="1"/>
    <n v="138.5"/>
    <n v="0"/>
    <x v="2"/>
    <n v="138.5"/>
    <n v="73.31"/>
    <n v="65.19"/>
    <n v="1"/>
    <n v="1"/>
    <n v="4"/>
    <n v="4"/>
  </r>
  <r>
    <s v="SW-102896"/>
    <d v="2025-03-06T00:00:00"/>
    <x v="1"/>
    <s v="Q1"/>
    <x v="2"/>
    <x v="1"/>
    <x v="4"/>
    <x v="1"/>
    <x v="2"/>
    <s v="Air Fryer"/>
    <n v="2"/>
    <n v="68.349999999999994"/>
    <n v="0.3"/>
    <x v="3"/>
    <n v="95.69"/>
    <n v="95"/>
    <n v="0.69"/>
    <n v="1"/>
    <n v="0"/>
    <n v="5"/>
    <n v="4"/>
  </r>
  <r>
    <s v="SW-102897"/>
    <d v="2025-03-06T00:00:00"/>
    <x v="1"/>
    <s v="Q1"/>
    <x v="2"/>
    <x v="0"/>
    <x v="1"/>
    <x v="0"/>
    <x v="1"/>
    <s v="Face Serum"/>
    <n v="1"/>
    <n v="33.479999999999997"/>
    <n v="0"/>
    <x v="2"/>
    <n v="33.479999999999997"/>
    <n v="15.77"/>
    <n v="17.71"/>
    <n v="1"/>
    <n v="0"/>
    <n v="6"/>
    <n v="4"/>
  </r>
  <r>
    <s v="SW-102898"/>
    <d v="2025-03-06T00:00:00"/>
    <x v="1"/>
    <s v="Q1"/>
    <x v="2"/>
    <x v="1"/>
    <x v="3"/>
    <x v="1"/>
    <x v="0"/>
    <s v="Leather Handbag"/>
    <n v="1"/>
    <n v="138.5"/>
    <n v="0.25"/>
    <x v="3"/>
    <n v="103.88"/>
    <n v="76.709999999999994"/>
    <n v="27.17"/>
    <n v="1"/>
    <n v="0"/>
    <n v="3"/>
    <n v="5"/>
  </r>
  <r>
    <s v="SW-102899"/>
    <d v="2025-03-06T00:00:00"/>
    <x v="1"/>
    <s v="Q1"/>
    <x v="2"/>
    <x v="1"/>
    <x v="2"/>
    <x v="0"/>
    <x v="4"/>
    <s v="Power Bank"/>
    <n v="1"/>
    <n v="508.8"/>
    <n v="0.1"/>
    <x v="0"/>
    <n v="457.92"/>
    <n v="398.82"/>
    <n v="59.1"/>
    <n v="1"/>
    <n v="0"/>
    <n v="5"/>
    <n v="4"/>
  </r>
  <r>
    <s v="SW-102900"/>
    <d v="2025-03-06T00:00:00"/>
    <x v="1"/>
    <s v="Q1"/>
    <x v="2"/>
    <x v="0"/>
    <x v="4"/>
    <x v="1"/>
    <x v="0"/>
    <s v="Summer Dress"/>
    <n v="1"/>
    <n v="33.99"/>
    <n v="0"/>
    <x v="2"/>
    <n v="33.99"/>
    <n v="18.91"/>
    <n v="15.08"/>
    <n v="1"/>
    <n v="0"/>
    <n v="5"/>
    <n v="5"/>
  </r>
  <r>
    <s v="SW-102901"/>
    <d v="2025-03-06T00:00:00"/>
    <x v="1"/>
    <s v="Q1"/>
    <x v="2"/>
    <x v="1"/>
    <x v="0"/>
    <x v="1"/>
    <x v="5"/>
    <s v="Board Game"/>
    <n v="1"/>
    <n v="57.92"/>
    <n v="0.3"/>
    <x v="3"/>
    <n v="40.54"/>
    <n v="41.01"/>
    <n v="-0.47"/>
    <n v="1"/>
    <n v="0"/>
    <n v="4"/>
    <n v="5"/>
  </r>
  <r>
    <s v="SW-102902"/>
    <d v="2025-03-06T00:00:00"/>
    <x v="1"/>
    <s v="Q1"/>
    <x v="2"/>
    <x v="1"/>
    <x v="3"/>
    <x v="1"/>
    <x v="0"/>
    <s v="Leather Handbag"/>
    <n v="2"/>
    <n v="138.5"/>
    <n v="0.05"/>
    <x v="0"/>
    <n v="263.14999999999998"/>
    <n v="146.54"/>
    <n v="116.61"/>
    <n v="1"/>
    <n v="0"/>
    <n v="5"/>
    <n v="4"/>
  </r>
  <r>
    <s v="SW-102903"/>
    <d v="2025-03-07T00:00:00"/>
    <x v="1"/>
    <s v="Q1"/>
    <x v="2"/>
    <x v="1"/>
    <x v="0"/>
    <x v="0"/>
    <x v="3"/>
    <s v="Camping Tent"/>
    <n v="1"/>
    <n v="83.06"/>
    <n v="0.2"/>
    <x v="1"/>
    <n v="66.45"/>
    <n v="55.69"/>
    <n v="10.76"/>
    <n v="1"/>
    <n v="0"/>
    <n v="3"/>
    <n v="4"/>
  </r>
  <r>
    <s v="SW-102904"/>
    <d v="2025-03-07T00:00:00"/>
    <x v="1"/>
    <s v="Q1"/>
    <x v="2"/>
    <x v="1"/>
    <x v="3"/>
    <x v="1"/>
    <x v="2"/>
    <s v="Cookware Set"/>
    <n v="3"/>
    <n v="233.81"/>
    <n v="0.1"/>
    <x v="0"/>
    <n v="631.29"/>
    <n v="457.34"/>
    <n v="173.95"/>
    <n v="1"/>
    <n v="0"/>
    <n v="3"/>
    <n v="4"/>
  </r>
  <r>
    <s v="SW-102905"/>
    <d v="2025-03-07T00:00:00"/>
    <x v="1"/>
    <s v="Q1"/>
    <x v="2"/>
    <x v="1"/>
    <x v="3"/>
    <x v="1"/>
    <x v="4"/>
    <s v="Tablet 10in"/>
    <n v="1"/>
    <n v="490.3"/>
    <n v="0.15"/>
    <x v="1"/>
    <n v="416.76"/>
    <n v="400.24"/>
    <n v="16.52"/>
    <n v="1"/>
    <n v="0"/>
    <n v="2"/>
    <n v="4"/>
  </r>
  <r>
    <s v="SW-102906"/>
    <d v="2025-03-07T00:00:00"/>
    <x v="1"/>
    <s v="Q1"/>
    <x v="2"/>
    <x v="0"/>
    <x v="0"/>
    <x v="0"/>
    <x v="4"/>
    <s v="Power Bank"/>
    <n v="1"/>
    <n v="508.8"/>
    <n v="0"/>
    <x v="2"/>
    <n v="508.8"/>
    <n v="402.23"/>
    <n v="106.57"/>
    <n v="1"/>
    <n v="0"/>
    <n v="3"/>
    <n v="5"/>
  </r>
  <r>
    <s v="SW-102907"/>
    <d v="2025-03-08T00:00:00"/>
    <x v="1"/>
    <s v="Q1"/>
    <x v="2"/>
    <x v="0"/>
    <x v="0"/>
    <x v="0"/>
    <x v="1"/>
    <s v="Face Serum"/>
    <n v="1"/>
    <n v="33.479999999999997"/>
    <n v="0"/>
    <x v="2"/>
    <n v="33.479999999999997"/>
    <n v="16.739999999999998"/>
    <n v="16.739999999999998"/>
    <n v="1"/>
    <n v="0"/>
    <n v="4"/>
    <n v="5"/>
  </r>
  <r>
    <s v="SW-102908"/>
    <d v="2025-03-08T00:00:00"/>
    <x v="1"/>
    <s v="Q1"/>
    <x v="2"/>
    <x v="1"/>
    <x v="0"/>
    <x v="1"/>
    <x v="2"/>
    <s v="Storage Boxes"/>
    <n v="1"/>
    <n v="154.66"/>
    <n v="0.15"/>
    <x v="1"/>
    <n v="131.46"/>
    <n v="109.76"/>
    <n v="21.7"/>
    <n v="1"/>
    <n v="0"/>
    <n v="3"/>
    <n v="4"/>
  </r>
  <r>
    <s v="SW-102909"/>
    <d v="2025-03-08T00:00:00"/>
    <x v="1"/>
    <s v="Q1"/>
    <x v="2"/>
    <x v="1"/>
    <x v="3"/>
    <x v="1"/>
    <x v="3"/>
    <s v="Camping Tent"/>
    <n v="1"/>
    <n v="83.06"/>
    <n v="0.1"/>
    <x v="0"/>
    <n v="74.75"/>
    <n v="56.52"/>
    <n v="18.23"/>
    <n v="1"/>
    <n v="0"/>
    <n v="5"/>
    <n v="5"/>
  </r>
  <r>
    <s v="SW-102910"/>
    <d v="2025-03-08T00:00:00"/>
    <x v="1"/>
    <s v="Q1"/>
    <x v="2"/>
    <x v="2"/>
    <x v="2"/>
    <x v="0"/>
    <x v="2"/>
    <s v="Desk Lamp"/>
    <n v="2"/>
    <n v="117.63"/>
    <n v="0.2"/>
    <x v="1"/>
    <n v="188.21"/>
    <n v="159.59"/>
    <n v="28.62"/>
    <n v="1"/>
    <n v="0"/>
    <n v="4"/>
    <n v="5"/>
  </r>
  <r>
    <s v="SW-102911"/>
    <d v="2025-03-08T00:00:00"/>
    <x v="1"/>
    <s v="Q1"/>
    <x v="2"/>
    <x v="0"/>
    <x v="3"/>
    <x v="0"/>
    <x v="3"/>
    <s v="Camping Tent"/>
    <n v="1"/>
    <n v="83.06"/>
    <n v="0"/>
    <x v="2"/>
    <n v="83.06"/>
    <n v="56.24"/>
    <n v="26.82"/>
    <n v="1"/>
    <n v="0"/>
    <n v="3"/>
    <n v="4"/>
  </r>
  <r>
    <s v="SW-102912"/>
    <d v="2025-03-09T00:00:00"/>
    <x v="1"/>
    <s v="Q1"/>
    <x v="2"/>
    <x v="1"/>
    <x v="3"/>
    <x v="0"/>
    <x v="0"/>
    <s v="Sunglasses"/>
    <n v="2"/>
    <n v="104.94"/>
    <n v="0.1"/>
    <x v="0"/>
    <n v="188.89"/>
    <n v="112.41"/>
    <n v="76.48"/>
    <n v="1"/>
    <n v="1"/>
    <n v="4"/>
    <n v="3"/>
  </r>
  <r>
    <s v="SW-102913"/>
    <d v="2025-03-09T00:00:00"/>
    <x v="1"/>
    <s v="Q1"/>
    <x v="2"/>
    <x v="0"/>
    <x v="0"/>
    <x v="1"/>
    <x v="2"/>
    <s v="Storage Boxes"/>
    <n v="2"/>
    <n v="154.66"/>
    <n v="0.1"/>
    <x v="0"/>
    <n v="278.39"/>
    <n v="209.94"/>
    <n v="68.45"/>
    <n v="1"/>
    <n v="0"/>
    <n v="5"/>
    <n v="5"/>
  </r>
  <r>
    <s v="SW-102914"/>
    <d v="2025-03-09T00:00:00"/>
    <x v="1"/>
    <s v="Q1"/>
    <x v="2"/>
    <x v="1"/>
    <x v="3"/>
    <x v="1"/>
    <x v="3"/>
    <s v="Cycling Helmet"/>
    <n v="1"/>
    <n v="85.42"/>
    <n v="0.05"/>
    <x v="0"/>
    <n v="81.150000000000006"/>
    <n v="53.6"/>
    <n v="27.55"/>
    <n v="1"/>
    <n v="0"/>
    <n v="2"/>
    <n v="4"/>
  </r>
  <r>
    <s v="SW-102915"/>
    <d v="2025-03-09T00:00:00"/>
    <x v="1"/>
    <s v="Q1"/>
    <x v="2"/>
    <x v="0"/>
    <x v="3"/>
    <x v="0"/>
    <x v="5"/>
    <s v="Building Blocks"/>
    <n v="1"/>
    <n v="48.86"/>
    <n v="0"/>
    <x v="2"/>
    <n v="48.86"/>
    <n v="35.380000000000003"/>
    <n v="13.48"/>
    <n v="1"/>
    <n v="0"/>
    <n v="3"/>
    <n v="4"/>
  </r>
  <r>
    <s v="SW-102916"/>
    <d v="2025-03-09T00:00:00"/>
    <x v="1"/>
    <s v="Q1"/>
    <x v="2"/>
    <x v="1"/>
    <x v="4"/>
    <x v="1"/>
    <x v="0"/>
    <s v="Sunglasses"/>
    <n v="2"/>
    <n v="104.94"/>
    <n v="0"/>
    <x v="2"/>
    <n v="209.88"/>
    <n v="113.36"/>
    <n v="96.52"/>
    <n v="1"/>
    <n v="0"/>
    <n v="5"/>
    <n v="3"/>
  </r>
  <r>
    <s v="SW-102917"/>
    <d v="2025-03-09T00:00:00"/>
    <x v="1"/>
    <s v="Q1"/>
    <x v="2"/>
    <x v="1"/>
    <x v="2"/>
    <x v="1"/>
    <x v="1"/>
    <s v="Makeup Kit"/>
    <n v="1"/>
    <n v="74.3"/>
    <n v="0"/>
    <x v="2"/>
    <n v="74.3"/>
    <n v="36.659999999999997"/>
    <n v="37.64"/>
    <n v="1"/>
    <n v="0"/>
    <n v="6"/>
    <n v="3"/>
  </r>
  <r>
    <s v="SW-102918"/>
    <d v="2025-03-09T00:00:00"/>
    <x v="1"/>
    <s v="Q1"/>
    <x v="2"/>
    <x v="1"/>
    <x v="3"/>
    <x v="0"/>
    <x v="0"/>
    <s v="Summer Dress"/>
    <n v="1"/>
    <n v="33.99"/>
    <n v="0.05"/>
    <x v="0"/>
    <n v="32.29"/>
    <n v="18.18"/>
    <n v="14.11"/>
    <n v="1"/>
    <n v="0"/>
    <n v="4"/>
    <n v="5"/>
  </r>
  <r>
    <s v="SW-102919"/>
    <d v="2025-03-09T00:00:00"/>
    <x v="1"/>
    <s v="Q1"/>
    <x v="2"/>
    <x v="1"/>
    <x v="1"/>
    <x v="0"/>
    <x v="4"/>
    <s v="Bluetooth Speaker"/>
    <n v="3"/>
    <n v="177.65"/>
    <n v="0"/>
    <x v="2"/>
    <n v="532.95000000000005"/>
    <n v="426.94"/>
    <n v="106.01"/>
    <n v="1"/>
    <n v="0"/>
    <n v="7"/>
    <n v="4"/>
  </r>
  <r>
    <s v="SW-102920"/>
    <d v="2025-03-09T00:00:00"/>
    <x v="1"/>
    <s v="Q1"/>
    <x v="2"/>
    <x v="1"/>
    <x v="3"/>
    <x v="0"/>
    <x v="2"/>
    <s v="Bed Sheet Set"/>
    <n v="1"/>
    <n v="90.75"/>
    <n v="0"/>
    <x v="2"/>
    <n v="90.75"/>
    <n v="55.55"/>
    <n v="35.200000000000003"/>
    <n v="1"/>
    <n v="0"/>
    <n v="4"/>
    <n v="3"/>
  </r>
  <r>
    <s v="SW-102921"/>
    <d v="2025-03-09T00:00:00"/>
    <x v="1"/>
    <s v="Q1"/>
    <x v="2"/>
    <x v="0"/>
    <x v="1"/>
    <x v="1"/>
    <x v="0"/>
    <s v="Running Sneakers"/>
    <n v="2"/>
    <n v="94.85"/>
    <n v="0"/>
    <x v="2"/>
    <n v="189.7"/>
    <n v="102.12"/>
    <n v="87.58"/>
    <n v="1"/>
    <n v="0"/>
    <n v="7"/>
    <n v="4"/>
  </r>
  <r>
    <s v="SW-102922"/>
    <d v="2025-03-09T00:00:00"/>
    <x v="1"/>
    <s v="Q1"/>
    <x v="2"/>
    <x v="2"/>
    <x v="4"/>
    <x v="1"/>
    <x v="3"/>
    <s v="Yoga Mat"/>
    <n v="1"/>
    <n v="137.05000000000001"/>
    <n v="0.05"/>
    <x v="0"/>
    <n v="130.19999999999999"/>
    <n v="91.69"/>
    <n v="38.51"/>
    <n v="1"/>
    <n v="0"/>
    <n v="5"/>
    <n v="5"/>
  </r>
  <r>
    <s v="SW-102923"/>
    <d v="2025-03-10T00:00:00"/>
    <x v="1"/>
    <s v="Q1"/>
    <x v="2"/>
    <x v="0"/>
    <x v="3"/>
    <x v="0"/>
    <x v="0"/>
    <s v="Summer Dress"/>
    <n v="2"/>
    <n v="33.99"/>
    <n v="0"/>
    <x v="2"/>
    <n v="67.98"/>
    <n v="35.32"/>
    <n v="32.659999999999997"/>
    <n v="1"/>
    <n v="0"/>
    <n v="2"/>
    <n v="4"/>
  </r>
  <r>
    <s v="SW-102924"/>
    <d v="2025-03-10T00:00:00"/>
    <x v="1"/>
    <s v="Q1"/>
    <x v="2"/>
    <x v="0"/>
    <x v="4"/>
    <x v="0"/>
    <x v="4"/>
    <s v="Power Bank"/>
    <n v="1"/>
    <n v="508.8"/>
    <n v="0.1"/>
    <x v="0"/>
    <n v="457.92"/>
    <n v="406.03"/>
    <n v="51.89"/>
    <n v="1"/>
    <n v="0"/>
    <n v="5"/>
    <n v="5"/>
  </r>
  <r>
    <s v="SW-102925"/>
    <d v="2025-03-10T00:00:00"/>
    <x v="1"/>
    <s v="Q1"/>
    <x v="2"/>
    <x v="0"/>
    <x v="2"/>
    <x v="0"/>
    <x v="4"/>
    <s v="Wireless Earbuds"/>
    <n v="1"/>
    <n v="588.41"/>
    <n v="0.15"/>
    <x v="1"/>
    <n v="500.15"/>
    <n v="457.51"/>
    <n v="42.64"/>
    <n v="1"/>
    <n v="1"/>
    <n v="3"/>
    <n v="3"/>
  </r>
  <r>
    <s v="SW-102926"/>
    <d v="2025-03-11T00:00:00"/>
    <x v="1"/>
    <s v="Q1"/>
    <x v="2"/>
    <x v="1"/>
    <x v="0"/>
    <x v="0"/>
    <x v="4"/>
    <s v="Smart Watch"/>
    <n v="1"/>
    <n v="216.08"/>
    <n v="0"/>
    <x v="2"/>
    <n v="216.08"/>
    <n v="168.35"/>
    <n v="47.73"/>
    <n v="1"/>
    <n v="0"/>
    <n v="4"/>
    <n v="4"/>
  </r>
  <r>
    <s v="SW-102927"/>
    <d v="2025-03-11T00:00:00"/>
    <x v="1"/>
    <s v="Q1"/>
    <x v="2"/>
    <x v="1"/>
    <x v="3"/>
    <x v="1"/>
    <x v="5"/>
    <s v="Building Blocks"/>
    <n v="1"/>
    <n v="48.86"/>
    <n v="0.1"/>
    <x v="0"/>
    <n v="43.97"/>
    <n v="35.79"/>
    <n v="8.18"/>
    <n v="1"/>
    <n v="0"/>
    <n v="3"/>
    <n v="4"/>
  </r>
  <r>
    <s v="SW-102928"/>
    <d v="2025-03-11T00:00:00"/>
    <x v="1"/>
    <s v="Q1"/>
    <x v="2"/>
    <x v="0"/>
    <x v="3"/>
    <x v="0"/>
    <x v="1"/>
    <s v="Hair Dryer"/>
    <n v="3"/>
    <n v="33.18"/>
    <n v="0.1"/>
    <x v="0"/>
    <n v="89.59"/>
    <n v="48.19"/>
    <n v="41.4"/>
    <n v="1"/>
    <n v="0"/>
    <n v="3"/>
    <n v="3"/>
  </r>
  <r>
    <s v="SW-102929"/>
    <d v="2025-03-11T00:00:00"/>
    <x v="1"/>
    <s v="Q1"/>
    <x v="2"/>
    <x v="0"/>
    <x v="0"/>
    <x v="1"/>
    <x v="4"/>
    <s v="Tablet 10in"/>
    <n v="2"/>
    <n v="490.3"/>
    <n v="0.1"/>
    <x v="0"/>
    <n v="882.54"/>
    <n v="761.36"/>
    <n v="121.18"/>
    <n v="1"/>
    <n v="0"/>
    <n v="4"/>
    <n v="4"/>
  </r>
  <r>
    <s v="SW-102930"/>
    <d v="2025-03-12T00:00:00"/>
    <x v="1"/>
    <s v="Q1"/>
    <x v="2"/>
    <x v="1"/>
    <x v="0"/>
    <x v="1"/>
    <x v="0"/>
    <s v="Sunglasses"/>
    <n v="1"/>
    <n v="104.94"/>
    <n v="0.05"/>
    <x v="0"/>
    <n v="99.69"/>
    <n v="55.52"/>
    <n v="44.17"/>
    <n v="1"/>
    <n v="0"/>
    <n v="3"/>
    <n v="4"/>
  </r>
  <r>
    <s v="SW-102931"/>
    <d v="2025-03-12T00:00:00"/>
    <x v="1"/>
    <s v="Q1"/>
    <x v="2"/>
    <x v="2"/>
    <x v="1"/>
    <x v="0"/>
    <x v="4"/>
    <s v="Bluetooth Speaker"/>
    <n v="1"/>
    <n v="177.65"/>
    <n v="0"/>
    <x v="2"/>
    <n v="177.65"/>
    <n v="140.85"/>
    <n v="36.799999999999997"/>
    <n v="1"/>
    <n v="0"/>
    <n v="5"/>
    <n v="3"/>
  </r>
  <r>
    <s v="SW-102932"/>
    <d v="2025-03-12T00:00:00"/>
    <x v="1"/>
    <s v="Q1"/>
    <x v="2"/>
    <x v="0"/>
    <x v="2"/>
    <x v="1"/>
    <x v="0"/>
    <s v="Summer Dress"/>
    <n v="1"/>
    <n v="33.99"/>
    <n v="0"/>
    <x v="2"/>
    <n v="33.99"/>
    <n v="18.440000000000001"/>
    <n v="15.55"/>
    <n v="1"/>
    <n v="1"/>
    <n v="4"/>
    <n v="4"/>
  </r>
  <r>
    <s v="SW-102933"/>
    <d v="2025-03-13T00:00:00"/>
    <x v="1"/>
    <s v="Q1"/>
    <x v="2"/>
    <x v="2"/>
    <x v="3"/>
    <x v="0"/>
    <x v="1"/>
    <s v="Hair Dryer"/>
    <n v="2"/>
    <n v="33.18"/>
    <n v="0.2"/>
    <x v="1"/>
    <n v="53.09"/>
    <n v="30.79"/>
    <n v="22.3"/>
    <n v="1"/>
    <n v="0"/>
    <n v="2"/>
    <n v="5"/>
  </r>
  <r>
    <s v="SW-102934"/>
    <d v="2025-03-13T00:00:00"/>
    <x v="1"/>
    <s v="Q1"/>
    <x v="2"/>
    <x v="2"/>
    <x v="2"/>
    <x v="0"/>
    <x v="4"/>
    <s v="Bluetooth Speaker"/>
    <n v="1"/>
    <n v="177.65"/>
    <n v="0.15"/>
    <x v="1"/>
    <n v="151"/>
    <n v="142.15"/>
    <n v="8.85"/>
    <n v="1"/>
    <n v="0"/>
    <n v="4"/>
    <n v="4"/>
  </r>
  <r>
    <s v="SW-102935"/>
    <d v="2025-03-13T00:00:00"/>
    <x v="1"/>
    <s v="Q1"/>
    <x v="2"/>
    <x v="1"/>
    <x v="3"/>
    <x v="1"/>
    <x v="5"/>
    <s v="Kids Puzzle"/>
    <n v="3"/>
    <n v="16.97"/>
    <n v="0.05"/>
    <x v="0"/>
    <n v="48.36"/>
    <n v="38.020000000000003"/>
    <n v="10.34"/>
    <n v="1"/>
    <n v="0"/>
    <n v="2"/>
    <n v="5"/>
  </r>
  <r>
    <s v="SW-102936"/>
    <d v="2025-03-13T00:00:00"/>
    <x v="1"/>
    <s v="Q1"/>
    <x v="2"/>
    <x v="2"/>
    <x v="0"/>
    <x v="0"/>
    <x v="1"/>
    <s v="Makeup Kit"/>
    <n v="1"/>
    <n v="74.3"/>
    <n v="0.2"/>
    <x v="1"/>
    <n v="59.44"/>
    <n v="34.85"/>
    <n v="24.59"/>
    <n v="1"/>
    <n v="1"/>
    <n v="4"/>
    <n v="4"/>
  </r>
  <r>
    <s v="SW-102937"/>
    <d v="2025-03-13T00:00:00"/>
    <x v="1"/>
    <s v="Q1"/>
    <x v="2"/>
    <x v="1"/>
    <x v="3"/>
    <x v="0"/>
    <x v="5"/>
    <s v="Kids Puzzle"/>
    <n v="1"/>
    <n v="16.97"/>
    <n v="0.3"/>
    <x v="3"/>
    <n v="11.88"/>
    <n v="11.74"/>
    <n v="0.14000000000000001"/>
    <n v="1"/>
    <n v="0"/>
    <n v="2"/>
    <n v="5"/>
  </r>
  <r>
    <s v="SW-102938"/>
    <d v="2025-03-13T00:00:00"/>
    <x v="1"/>
    <s v="Q1"/>
    <x v="2"/>
    <x v="0"/>
    <x v="0"/>
    <x v="1"/>
    <x v="0"/>
    <s v="Summer Dress"/>
    <n v="1"/>
    <n v="33.99"/>
    <n v="0.1"/>
    <x v="0"/>
    <n v="30.59"/>
    <n v="18.95"/>
    <n v="11.64"/>
    <n v="1"/>
    <n v="0"/>
    <n v="3"/>
    <n v="5"/>
  </r>
  <r>
    <s v="SW-102939"/>
    <d v="2025-03-13T00:00:00"/>
    <x v="1"/>
    <s v="Q1"/>
    <x v="2"/>
    <x v="1"/>
    <x v="2"/>
    <x v="1"/>
    <x v="2"/>
    <s v="Bed Sheet Set"/>
    <n v="4"/>
    <n v="90.75"/>
    <n v="0.2"/>
    <x v="1"/>
    <n v="290.39999999999998"/>
    <n v="244.38"/>
    <n v="46.02"/>
    <n v="1"/>
    <n v="1"/>
    <n v="4"/>
    <n v="4"/>
  </r>
  <r>
    <s v="SW-102940"/>
    <d v="2025-03-14T00:00:00"/>
    <x v="1"/>
    <s v="Q1"/>
    <x v="2"/>
    <x v="2"/>
    <x v="2"/>
    <x v="0"/>
    <x v="4"/>
    <s v="Smart Watch"/>
    <n v="2"/>
    <n v="216.08"/>
    <n v="0.1"/>
    <x v="0"/>
    <n v="388.94"/>
    <n v="349.02"/>
    <n v="39.92"/>
    <n v="1"/>
    <n v="0"/>
    <n v="4"/>
    <n v="4"/>
  </r>
  <r>
    <s v="SW-102941"/>
    <d v="2025-03-14T00:00:00"/>
    <x v="1"/>
    <s v="Q1"/>
    <x v="2"/>
    <x v="1"/>
    <x v="1"/>
    <x v="0"/>
    <x v="3"/>
    <s v="Yoga Mat"/>
    <n v="1"/>
    <n v="137.05000000000001"/>
    <n v="0.05"/>
    <x v="0"/>
    <n v="130.19999999999999"/>
    <n v="89.93"/>
    <n v="40.270000000000003"/>
    <n v="1"/>
    <n v="0"/>
    <n v="6"/>
    <n v="4"/>
  </r>
  <r>
    <s v="SW-102942"/>
    <d v="2025-03-14T00:00:00"/>
    <x v="1"/>
    <s v="Q1"/>
    <x v="2"/>
    <x v="0"/>
    <x v="0"/>
    <x v="1"/>
    <x v="0"/>
    <s v="Leather Handbag"/>
    <n v="2"/>
    <n v="138.5"/>
    <n v="0"/>
    <x v="2"/>
    <n v="277"/>
    <n v="145.11000000000001"/>
    <n v="131.88999999999999"/>
    <n v="1"/>
    <n v="0"/>
    <n v="4"/>
    <n v="4"/>
  </r>
  <r>
    <s v="SW-102943"/>
    <d v="2025-03-14T00:00:00"/>
    <x v="1"/>
    <s v="Q1"/>
    <x v="2"/>
    <x v="2"/>
    <x v="3"/>
    <x v="1"/>
    <x v="2"/>
    <s v="Storage Boxes"/>
    <n v="1"/>
    <n v="154.66"/>
    <n v="0.15"/>
    <x v="1"/>
    <n v="131.46"/>
    <n v="103.85"/>
    <n v="27.61"/>
    <n v="1"/>
    <n v="0"/>
    <n v="2"/>
    <n v="4"/>
  </r>
  <r>
    <s v="SW-102944"/>
    <d v="2025-03-14T00:00:00"/>
    <x v="1"/>
    <s v="Q1"/>
    <x v="2"/>
    <x v="0"/>
    <x v="3"/>
    <x v="1"/>
    <x v="2"/>
    <s v="Cookware Set"/>
    <n v="1"/>
    <n v="233.81"/>
    <n v="0.15"/>
    <x v="1"/>
    <n v="198.74"/>
    <n v="153.99"/>
    <n v="44.75"/>
    <n v="1"/>
    <n v="1"/>
    <n v="3"/>
    <n v="3"/>
  </r>
  <r>
    <s v="SW-102945"/>
    <d v="2025-03-14T00:00:00"/>
    <x v="1"/>
    <s v="Q1"/>
    <x v="2"/>
    <x v="2"/>
    <x v="3"/>
    <x v="1"/>
    <x v="0"/>
    <s v="Denim Jacket"/>
    <n v="1"/>
    <n v="78.510000000000005"/>
    <n v="0.05"/>
    <x v="0"/>
    <n v="74.58"/>
    <n v="42.7"/>
    <n v="31.88"/>
    <n v="1"/>
    <n v="1"/>
    <n v="2"/>
    <n v="4"/>
  </r>
  <r>
    <s v="SW-102946"/>
    <d v="2025-03-14T00:00:00"/>
    <x v="1"/>
    <s v="Q1"/>
    <x v="2"/>
    <x v="0"/>
    <x v="2"/>
    <x v="1"/>
    <x v="1"/>
    <s v="Perfume 100ml"/>
    <n v="1"/>
    <n v="54.56"/>
    <n v="0.05"/>
    <x v="0"/>
    <n v="51.83"/>
    <n v="26.97"/>
    <n v="24.86"/>
    <n v="1"/>
    <n v="0"/>
    <n v="4"/>
    <n v="4"/>
  </r>
  <r>
    <s v="SW-102947"/>
    <d v="2025-03-15T00:00:00"/>
    <x v="1"/>
    <s v="Q1"/>
    <x v="2"/>
    <x v="2"/>
    <x v="0"/>
    <x v="0"/>
    <x v="2"/>
    <s v="Cookware Set"/>
    <n v="3"/>
    <n v="233.81"/>
    <n v="0"/>
    <x v="2"/>
    <n v="701.43"/>
    <n v="475.34"/>
    <n v="226.09"/>
    <n v="1"/>
    <n v="0"/>
    <n v="4"/>
    <n v="4"/>
  </r>
  <r>
    <s v="SW-102948"/>
    <d v="2025-03-15T00:00:00"/>
    <x v="1"/>
    <s v="Q1"/>
    <x v="2"/>
    <x v="0"/>
    <x v="4"/>
    <x v="1"/>
    <x v="1"/>
    <s v="Hair Dryer"/>
    <n v="1"/>
    <n v="33.18"/>
    <n v="0.1"/>
    <x v="0"/>
    <n v="29.86"/>
    <n v="15.76"/>
    <n v="14.1"/>
    <n v="1"/>
    <n v="0"/>
    <n v="8"/>
    <n v="3"/>
  </r>
  <r>
    <s v="SW-102949"/>
    <d v="2025-03-15T00:00:00"/>
    <x v="1"/>
    <s v="Q1"/>
    <x v="2"/>
    <x v="2"/>
    <x v="3"/>
    <x v="1"/>
    <x v="0"/>
    <s v="Sunglasses"/>
    <n v="1"/>
    <n v="104.94"/>
    <n v="0.2"/>
    <x v="1"/>
    <n v="83.95"/>
    <n v="54.37"/>
    <n v="29.58"/>
    <n v="1"/>
    <n v="0"/>
    <n v="3"/>
    <n v="4"/>
  </r>
  <r>
    <s v="SW-102950"/>
    <d v="2025-03-15T00:00:00"/>
    <x v="1"/>
    <s v="Q1"/>
    <x v="2"/>
    <x v="0"/>
    <x v="1"/>
    <x v="1"/>
    <x v="5"/>
    <s v="Board Game"/>
    <n v="1"/>
    <n v="57.92"/>
    <n v="0.3"/>
    <x v="3"/>
    <n v="40.54"/>
    <n v="42.9"/>
    <n v="-2.36"/>
    <n v="1"/>
    <n v="0"/>
    <n v="5"/>
    <n v="4"/>
  </r>
  <r>
    <s v="SW-102951"/>
    <d v="2025-03-15T00:00:00"/>
    <x v="1"/>
    <s v="Q1"/>
    <x v="2"/>
    <x v="0"/>
    <x v="2"/>
    <x v="1"/>
    <x v="4"/>
    <s v="Smart Watch"/>
    <n v="3"/>
    <n v="216.08"/>
    <n v="0.15"/>
    <x v="1"/>
    <n v="551"/>
    <n v="509.62"/>
    <n v="41.38"/>
    <n v="1"/>
    <n v="0"/>
    <n v="4"/>
    <n v="5"/>
  </r>
  <r>
    <s v="SW-102952"/>
    <d v="2025-03-15T00:00:00"/>
    <x v="1"/>
    <s v="Q1"/>
    <x v="2"/>
    <x v="2"/>
    <x v="0"/>
    <x v="1"/>
    <x v="4"/>
    <s v="Smart Watch"/>
    <n v="1"/>
    <n v="216.08"/>
    <n v="0.15"/>
    <x v="1"/>
    <n v="183.67"/>
    <n v="168.06"/>
    <n v="15.61"/>
    <n v="1"/>
    <n v="0"/>
    <n v="3"/>
    <n v="5"/>
  </r>
  <r>
    <s v="SW-102953"/>
    <d v="2025-03-15T00:00:00"/>
    <x v="1"/>
    <s v="Q1"/>
    <x v="2"/>
    <x v="1"/>
    <x v="0"/>
    <x v="1"/>
    <x v="1"/>
    <s v="Hair Dryer"/>
    <n v="1"/>
    <n v="33.18"/>
    <n v="0.05"/>
    <x v="0"/>
    <n v="31.52"/>
    <n v="16.71"/>
    <n v="14.81"/>
    <n v="1"/>
    <n v="0"/>
    <n v="3"/>
    <n v="5"/>
  </r>
  <r>
    <s v="SW-102954"/>
    <d v="2025-03-16T00:00:00"/>
    <x v="1"/>
    <s v="Q1"/>
    <x v="2"/>
    <x v="0"/>
    <x v="2"/>
    <x v="0"/>
    <x v="0"/>
    <s v="Leather Handbag"/>
    <n v="1"/>
    <n v="138.5"/>
    <n v="0.1"/>
    <x v="0"/>
    <n v="124.65"/>
    <n v="74.33"/>
    <n v="50.32"/>
    <n v="1"/>
    <n v="1"/>
    <n v="4"/>
    <n v="4"/>
  </r>
  <r>
    <s v="SW-102955"/>
    <d v="2025-03-16T00:00:00"/>
    <x v="1"/>
    <s v="Q1"/>
    <x v="2"/>
    <x v="2"/>
    <x v="0"/>
    <x v="1"/>
    <x v="0"/>
    <s v="Denim Jacket"/>
    <n v="1"/>
    <n v="78.510000000000005"/>
    <n v="0"/>
    <x v="2"/>
    <n v="78.510000000000005"/>
    <n v="43.96"/>
    <n v="34.549999999999997"/>
    <n v="1"/>
    <n v="1"/>
    <n v="5"/>
    <n v="3"/>
  </r>
  <r>
    <s v="SW-102956"/>
    <d v="2025-03-16T00:00:00"/>
    <x v="1"/>
    <s v="Q1"/>
    <x v="2"/>
    <x v="2"/>
    <x v="2"/>
    <x v="1"/>
    <x v="1"/>
    <s v="Skin Care Bundle"/>
    <n v="1"/>
    <n v="92.54"/>
    <n v="0.1"/>
    <x v="0"/>
    <n v="83.29"/>
    <n v="42.86"/>
    <n v="40.43"/>
    <n v="1"/>
    <n v="0"/>
    <n v="3"/>
    <n v="4"/>
  </r>
  <r>
    <s v="SW-102957"/>
    <d v="2025-03-16T00:00:00"/>
    <x v="1"/>
    <s v="Q1"/>
    <x v="2"/>
    <x v="0"/>
    <x v="3"/>
    <x v="1"/>
    <x v="4"/>
    <s v="4K Action Camera"/>
    <n v="4"/>
    <n v="636.09"/>
    <n v="0.05"/>
    <x v="0"/>
    <n v="2417.14"/>
    <n v="2018.83"/>
    <n v="398.31"/>
    <n v="1"/>
    <n v="0"/>
    <n v="4"/>
    <n v="5"/>
  </r>
  <r>
    <s v="SW-102958"/>
    <d v="2025-03-16T00:00:00"/>
    <x v="1"/>
    <s v="Q1"/>
    <x v="2"/>
    <x v="2"/>
    <x v="2"/>
    <x v="1"/>
    <x v="0"/>
    <s v="Summer Dress"/>
    <n v="1"/>
    <n v="33.99"/>
    <n v="0.1"/>
    <x v="0"/>
    <n v="30.59"/>
    <n v="18.86"/>
    <n v="11.73"/>
    <n v="1"/>
    <n v="1"/>
    <n v="3"/>
    <n v="3"/>
  </r>
  <r>
    <s v="SW-102959"/>
    <d v="2025-03-16T00:00:00"/>
    <x v="1"/>
    <s v="Q1"/>
    <x v="2"/>
    <x v="2"/>
    <x v="4"/>
    <x v="0"/>
    <x v="2"/>
    <s v="Bed Sheet Set"/>
    <n v="1"/>
    <n v="90.75"/>
    <n v="0.05"/>
    <x v="0"/>
    <n v="86.21"/>
    <n v="61.75"/>
    <n v="24.46"/>
    <n v="1"/>
    <n v="0"/>
    <n v="6"/>
    <n v="3"/>
  </r>
  <r>
    <s v="SW-102960"/>
    <d v="2025-03-16T00:00:00"/>
    <x v="1"/>
    <s v="Q1"/>
    <x v="2"/>
    <x v="0"/>
    <x v="4"/>
    <x v="1"/>
    <x v="5"/>
    <s v="Board Game"/>
    <n v="1"/>
    <n v="57.92"/>
    <n v="0.05"/>
    <x v="0"/>
    <n v="55.02"/>
    <n v="43.81"/>
    <n v="11.21"/>
    <n v="1"/>
    <n v="0"/>
    <n v="8"/>
    <n v="4"/>
  </r>
  <r>
    <s v="SW-102961"/>
    <d v="2025-03-17T00:00:00"/>
    <x v="1"/>
    <s v="Q1"/>
    <x v="2"/>
    <x v="0"/>
    <x v="2"/>
    <x v="0"/>
    <x v="4"/>
    <s v="Tablet 10in"/>
    <n v="2"/>
    <n v="490.3"/>
    <n v="0.05"/>
    <x v="0"/>
    <n v="931.57"/>
    <n v="778.15"/>
    <n v="153.41999999999999"/>
    <n v="1"/>
    <n v="0"/>
    <n v="3"/>
    <n v="5"/>
  </r>
  <r>
    <s v="SW-102962"/>
    <d v="2025-03-17T00:00:00"/>
    <x v="1"/>
    <s v="Q1"/>
    <x v="2"/>
    <x v="1"/>
    <x v="3"/>
    <x v="0"/>
    <x v="4"/>
    <s v="Smart Watch"/>
    <n v="1"/>
    <n v="216.08"/>
    <n v="0.05"/>
    <x v="0"/>
    <n v="205.28"/>
    <n v="173.44"/>
    <n v="31.84"/>
    <n v="1"/>
    <n v="1"/>
    <n v="3"/>
    <n v="3"/>
  </r>
  <r>
    <s v="SW-102963"/>
    <d v="2025-03-17T00:00:00"/>
    <x v="1"/>
    <s v="Q1"/>
    <x v="2"/>
    <x v="1"/>
    <x v="1"/>
    <x v="1"/>
    <x v="3"/>
    <s v="Yoga Mat"/>
    <n v="1"/>
    <n v="137.05000000000001"/>
    <n v="0.1"/>
    <x v="0"/>
    <n v="123.35"/>
    <n v="94.7"/>
    <n v="28.65"/>
    <n v="1"/>
    <n v="0"/>
    <n v="7"/>
    <n v="4"/>
  </r>
  <r>
    <s v="SW-102964"/>
    <d v="2025-03-17T00:00:00"/>
    <x v="1"/>
    <s v="Q1"/>
    <x v="2"/>
    <x v="1"/>
    <x v="0"/>
    <x v="1"/>
    <x v="0"/>
    <s v="Denim Jacket"/>
    <n v="1"/>
    <n v="78.510000000000005"/>
    <n v="0.25"/>
    <x v="3"/>
    <n v="58.88"/>
    <n v="43.48"/>
    <n v="15.4"/>
    <n v="1"/>
    <n v="0"/>
    <n v="4"/>
    <n v="5"/>
  </r>
  <r>
    <s v="SW-102965"/>
    <d v="2025-03-17T00:00:00"/>
    <x v="1"/>
    <s v="Q1"/>
    <x v="2"/>
    <x v="1"/>
    <x v="3"/>
    <x v="1"/>
    <x v="0"/>
    <s v="Cotton T-Shirt"/>
    <n v="2"/>
    <n v="19.41"/>
    <n v="0"/>
    <x v="2"/>
    <n v="38.82"/>
    <n v="21.12"/>
    <n v="17.7"/>
    <n v="1"/>
    <n v="0"/>
    <n v="2"/>
    <n v="4"/>
  </r>
  <r>
    <s v="SW-102966"/>
    <d v="2025-03-17T00:00:00"/>
    <x v="1"/>
    <s v="Q1"/>
    <x v="2"/>
    <x v="0"/>
    <x v="0"/>
    <x v="1"/>
    <x v="0"/>
    <s v="Running Sneakers"/>
    <n v="1"/>
    <n v="94.85"/>
    <n v="0.05"/>
    <x v="0"/>
    <n v="90.11"/>
    <n v="51.69"/>
    <n v="38.42"/>
    <n v="1"/>
    <n v="0"/>
    <n v="4"/>
    <n v="5"/>
  </r>
  <r>
    <s v="SW-102967"/>
    <d v="2025-03-17T00:00:00"/>
    <x v="1"/>
    <s v="Q1"/>
    <x v="2"/>
    <x v="2"/>
    <x v="0"/>
    <x v="1"/>
    <x v="2"/>
    <s v="Storage Boxes"/>
    <n v="1"/>
    <n v="154.66"/>
    <n v="0.1"/>
    <x v="0"/>
    <n v="139.19"/>
    <n v="100.93"/>
    <n v="38.26"/>
    <n v="1"/>
    <n v="0"/>
    <n v="4"/>
    <n v="4"/>
  </r>
  <r>
    <s v="SW-102968"/>
    <d v="2025-03-17T00:00:00"/>
    <x v="1"/>
    <s v="Q1"/>
    <x v="2"/>
    <x v="0"/>
    <x v="3"/>
    <x v="1"/>
    <x v="0"/>
    <s v="Running Sneakers"/>
    <n v="1"/>
    <n v="94.85"/>
    <n v="0.2"/>
    <x v="1"/>
    <n v="75.88"/>
    <n v="50.47"/>
    <n v="25.41"/>
    <n v="1"/>
    <n v="0"/>
    <n v="3"/>
    <n v="4"/>
  </r>
  <r>
    <s v="SW-102969"/>
    <d v="2025-03-17T00:00:00"/>
    <x v="1"/>
    <s v="Q1"/>
    <x v="2"/>
    <x v="2"/>
    <x v="3"/>
    <x v="1"/>
    <x v="4"/>
    <s v="4K Action Camera"/>
    <n v="2"/>
    <n v="636.09"/>
    <n v="0.15"/>
    <x v="1"/>
    <n v="1081.3499999999999"/>
    <n v="1016.47"/>
    <n v="64.88"/>
    <n v="1"/>
    <n v="0"/>
    <n v="2"/>
    <n v="4"/>
  </r>
  <r>
    <s v="SW-102970"/>
    <d v="2025-03-17T00:00:00"/>
    <x v="1"/>
    <s v="Q1"/>
    <x v="2"/>
    <x v="0"/>
    <x v="3"/>
    <x v="1"/>
    <x v="4"/>
    <s v="4K Action Camera"/>
    <n v="3"/>
    <n v="636.09"/>
    <n v="0"/>
    <x v="2"/>
    <n v="1908.27"/>
    <n v="1550.78"/>
    <n v="357.49"/>
    <n v="1"/>
    <n v="0"/>
    <n v="3"/>
    <n v="5"/>
  </r>
  <r>
    <s v="SW-102971"/>
    <d v="2025-03-17T00:00:00"/>
    <x v="1"/>
    <s v="Q1"/>
    <x v="2"/>
    <x v="1"/>
    <x v="4"/>
    <x v="0"/>
    <x v="3"/>
    <s v="Dumbbell Set"/>
    <n v="1"/>
    <n v="198.42"/>
    <n v="0"/>
    <x v="2"/>
    <n v="198.42"/>
    <n v="123.25"/>
    <n v="75.17"/>
    <n v="1"/>
    <n v="0"/>
    <n v="5"/>
    <n v="4"/>
  </r>
  <r>
    <s v="SW-102972"/>
    <d v="2025-03-17T00:00:00"/>
    <x v="1"/>
    <s v="Q1"/>
    <x v="2"/>
    <x v="1"/>
    <x v="1"/>
    <x v="1"/>
    <x v="0"/>
    <s v="Summer Dress"/>
    <n v="4"/>
    <n v="33.99"/>
    <n v="0.1"/>
    <x v="0"/>
    <n v="122.36"/>
    <n v="72.88"/>
    <n v="49.48"/>
    <n v="1"/>
    <n v="0"/>
    <n v="6"/>
    <n v="4"/>
  </r>
  <r>
    <s v="SW-102973"/>
    <d v="2025-03-18T00:00:00"/>
    <x v="1"/>
    <s v="Q1"/>
    <x v="2"/>
    <x v="2"/>
    <x v="0"/>
    <x v="1"/>
    <x v="3"/>
    <s v="Yoga Mat"/>
    <n v="1"/>
    <n v="137.05000000000001"/>
    <n v="0.25"/>
    <x v="3"/>
    <n v="102.79"/>
    <n v="90.1"/>
    <n v="12.69"/>
    <n v="1"/>
    <n v="1"/>
    <n v="3"/>
    <n v="3"/>
  </r>
  <r>
    <s v="SW-102974"/>
    <d v="2025-03-18T00:00:00"/>
    <x v="1"/>
    <s v="Q1"/>
    <x v="2"/>
    <x v="2"/>
    <x v="4"/>
    <x v="0"/>
    <x v="3"/>
    <s v="Dumbbell Set"/>
    <n v="1"/>
    <n v="198.42"/>
    <n v="0"/>
    <x v="2"/>
    <n v="198.42"/>
    <n v="133.85"/>
    <n v="64.569999999999993"/>
    <n v="1"/>
    <n v="0"/>
    <n v="6"/>
    <n v="3"/>
  </r>
  <r>
    <s v="SW-102975"/>
    <d v="2025-03-18T00:00:00"/>
    <x v="1"/>
    <s v="Q1"/>
    <x v="2"/>
    <x v="2"/>
    <x v="1"/>
    <x v="0"/>
    <x v="5"/>
    <s v="Bestseller Novel"/>
    <n v="1"/>
    <n v="45.28"/>
    <n v="0.05"/>
    <x v="0"/>
    <n v="43.02"/>
    <n v="33.49"/>
    <n v="9.5299999999999994"/>
    <n v="1"/>
    <n v="0"/>
    <n v="6"/>
    <n v="5"/>
  </r>
  <r>
    <s v="SW-102976"/>
    <d v="2025-03-18T00:00:00"/>
    <x v="1"/>
    <s v="Q1"/>
    <x v="2"/>
    <x v="0"/>
    <x v="3"/>
    <x v="1"/>
    <x v="4"/>
    <s v="4K Action Camera"/>
    <n v="1"/>
    <n v="636.09"/>
    <n v="0"/>
    <x v="2"/>
    <n v="636.09"/>
    <n v="529.75"/>
    <n v="106.34"/>
    <n v="1"/>
    <n v="0"/>
    <n v="2"/>
    <n v="4"/>
  </r>
  <r>
    <s v="SW-102977"/>
    <d v="2025-03-19T00:00:00"/>
    <x v="1"/>
    <s v="Q1"/>
    <x v="2"/>
    <x v="0"/>
    <x v="0"/>
    <x v="1"/>
    <x v="2"/>
    <s v="Bed Sheet Set"/>
    <n v="4"/>
    <n v="90.75"/>
    <n v="0"/>
    <x v="2"/>
    <n v="363"/>
    <n v="239.58"/>
    <n v="123.42"/>
    <n v="1"/>
    <n v="0"/>
    <n v="5"/>
    <n v="4"/>
  </r>
  <r>
    <s v="SW-102978"/>
    <d v="2025-03-19T00:00:00"/>
    <x v="1"/>
    <s v="Q1"/>
    <x v="2"/>
    <x v="0"/>
    <x v="3"/>
    <x v="0"/>
    <x v="0"/>
    <s v="Denim Jacket"/>
    <n v="2"/>
    <n v="78.510000000000005"/>
    <n v="0.1"/>
    <x v="0"/>
    <n v="141.32"/>
    <n v="82.6"/>
    <n v="58.72"/>
    <n v="1"/>
    <n v="0"/>
    <n v="3"/>
    <n v="4"/>
  </r>
  <r>
    <s v="SW-102979"/>
    <d v="2025-03-19T00:00:00"/>
    <x v="1"/>
    <s v="Q1"/>
    <x v="2"/>
    <x v="0"/>
    <x v="3"/>
    <x v="0"/>
    <x v="0"/>
    <s v="Leather Handbag"/>
    <n v="1"/>
    <n v="138.5"/>
    <n v="0.25"/>
    <x v="3"/>
    <n v="103.88"/>
    <n v="75.03"/>
    <n v="28.85"/>
    <n v="1"/>
    <n v="0"/>
    <n v="4"/>
    <n v="4"/>
  </r>
  <r>
    <s v="SW-102980"/>
    <d v="2025-03-19T00:00:00"/>
    <x v="1"/>
    <s v="Q1"/>
    <x v="2"/>
    <x v="0"/>
    <x v="3"/>
    <x v="1"/>
    <x v="0"/>
    <s v="Denim Jacket"/>
    <n v="1"/>
    <n v="78.510000000000005"/>
    <n v="0.2"/>
    <x v="1"/>
    <n v="62.81"/>
    <n v="44.01"/>
    <n v="18.8"/>
    <n v="1"/>
    <n v="0"/>
    <n v="5"/>
    <n v="5"/>
  </r>
  <r>
    <s v="SW-102981"/>
    <d v="2025-03-19T00:00:00"/>
    <x v="1"/>
    <s v="Q1"/>
    <x v="2"/>
    <x v="0"/>
    <x v="3"/>
    <x v="0"/>
    <x v="0"/>
    <s v="Running Sneakers"/>
    <n v="3"/>
    <n v="94.85"/>
    <n v="0"/>
    <x v="2"/>
    <n v="284.55"/>
    <n v="152.13999999999999"/>
    <n v="132.41"/>
    <n v="1"/>
    <n v="0"/>
    <n v="3"/>
    <n v="5"/>
  </r>
  <r>
    <s v="SW-102982"/>
    <d v="2025-03-19T00:00:00"/>
    <x v="1"/>
    <s v="Q1"/>
    <x v="2"/>
    <x v="1"/>
    <x v="0"/>
    <x v="0"/>
    <x v="3"/>
    <s v="Yoga Mat"/>
    <n v="1"/>
    <n v="137.05000000000001"/>
    <n v="0.25"/>
    <x v="3"/>
    <n v="102.79"/>
    <n v="88.48"/>
    <n v="14.31"/>
    <n v="1"/>
    <n v="0"/>
    <n v="3"/>
    <n v="4"/>
  </r>
  <r>
    <s v="SW-102983"/>
    <d v="2025-03-19T00:00:00"/>
    <x v="1"/>
    <s v="Q1"/>
    <x v="2"/>
    <x v="1"/>
    <x v="3"/>
    <x v="1"/>
    <x v="0"/>
    <s v="Leather Handbag"/>
    <n v="2"/>
    <n v="138.5"/>
    <n v="0.05"/>
    <x v="0"/>
    <n v="263.14999999999998"/>
    <n v="158.72999999999999"/>
    <n v="104.42"/>
    <n v="1"/>
    <n v="1"/>
    <n v="2"/>
    <n v="4"/>
  </r>
  <r>
    <s v="SW-102984"/>
    <d v="2025-03-19T00:00:00"/>
    <x v="1"/>
    <s v="Q1"/>
    <x v="2"/>
    <x v="0"/>
    <x v="4"/>
    <x v="0"/>
    <x v="0"/>
    <s v="Sunglasses"/>
    <n v="1"/>
    <n v="104.94"/>
    <n v="0"/>
    <x v="2"/>
    <n v="104.94"/>
    <n v="58.46"/>
    <n v="46.48"/>
    <n v="1"/>
    <n v="0"/>
    <n v="9"/>
    <n v="4"/>
  </r>
  <r>
    <s v="SW-102985"/>
    <d v="2025-03-19T00:00:00"/>
    <x v="1"/>
    <s v="Q1"/>
    <x v="2"/>
    <x v="1"/>
    <x v="0"/>
    <x v="0"/>
    <x v="4"/>
    <s v="Bluetooth Speaker"/>
    <n v="3"/>
    <n v="177.65"/>
    <n v="0.1"/>
    <x v="0"/>
    <n v="479.66"/>
    <n v="446.97"/>
    <n v="32.69"/>
    <n v="1"/>
    <n v="0"/>
    <n v="4"/>
    <n v="5"/>
  </r>
  <r>
    <s v="SW-102986"/>
    <d v="2025-03-20T00:00:00"/>
    <x v="1"/>
    <s v="Q1"/>
    <x v="2"/>
    <x v="0"/>
    <x v="3"/>
    <x v="0"/>
    <x v="0"/>
    <s v="Leather Handbag"/>
    <n v="1"/>
    <n v="138.5"/>
    <n v="0"/>
    <x v="2"/>
    <n v="138.5"/>
    <n v="76.19"/>
    <n v="62.31"/>
    <n v="1"/>
    <n v="0"/>
    <n v="2"/>
    <n v="5"/>
  </r>
  <r>
    <s v="SW-102987"/>
    <d v="2025-03-20T00:00:00"/>
    <x v="1"/>
    <s v="Q1"/>
    <x v="2"/>
    <x v="0"/>
    <x v="2"/>
    <x v="0"/>
    <x v="2"/>
    <s v="Air Fryer"/>
    <n v="2"/>
    <n v="68.349999999999994"/>
    <n v="0.15"/>
    <x v="1"/>
    <n v="116.2"/>
    <n v="91.12"/>
    <n v="25.08"/>
    <n v="1"/>
    <n v="1"/>
    <n v="3"/>
    <n v="4"/>
  </r>
  <r>
    <s v="SW-102988"/>
    <d v="2025-03-20T00:00:00"/>
    <x v="1"/>
    <s v="Q1"/>
    <x v="2"/>
    <x v="1"/>
    <x v="1"/>
    <x v="1"/>
    <x v="1"/>
    <s v="Makeup Kit"/>
    <n v="1"/>
    <n v="74.3"/>
    <n v="0.05"/>
    <x v="0"/>
    <n v="70.58"/>
    <n v="35.39"/>
    <n v="35.19"/>
    <n v="1"/>
    <n v="0"/>
    <n v="5"/>
    <n v="3"/>
  </r>
  <r>
    <s v="SW-102989"/>
    <d v="2025-03-20T00:00:00"/>
    <x v="1"/>
    <s v="Q1"/>
    <x v="2"/>
    <x v="0"/>
    <x v="3"/>
    <x v="1"/>
    <x v="4"/>
    <s v="Smart Watch"/>
    <n v="1"/>
    <n v="216.08"/>
    <n v="0.1"/>
    <x v="0"/>
    <n v="194.47"/>
    <n v="169.35"/>
    <n v="25.12"/>
    <n v="1"/>
    <n v="0"/>
    <n v="3"/>
    <n v="4"/>
  </r>
  <r>
    <s v="SW-102990"/>
    <d v="2025-03-20T00:00:00"/>
    <x v="1"/>
    <s v="Q1"/>
    <x v="2"/>
    <x v="0"/>
    <x v="3"/>
    <x v="1"/>
    <x v="1"/>
    <s v="Perfume 100ml"/>
    <n v="1"/>
    <n v="54.56"/>
    <n v="0"/>
    <x v="2"/>
    <n v="54.56"/>
    <n v="27.72"/>
    <n v="26.84"/>
    <n v="1"/>
    <n v="0"/>
    <n v="3"/>
    <n v="5"/>
  </r>
  <r>
    <s v="SW-102991"/>
    <d v="2025-03-20T00:00:00"/>
    <x v="1"/>
    <s v="Q1"/>
    <x v="2"/>
    <x v="1"/>
    <x v="1"/>
    <x v="0"/>
    <x v="2"/>
    <s v="Coffee Maker"/>
    <n v="1"/>
    <n v="148.05000000000001"/>
    <n v="0"/>
    <x v="2"/>
    <n v="148.05000000000001"/>
    <n v="97.4"/>
    <n v="50.65"/>
    <n v="1"/>
    <n v="0"/>
    <n v="7"/>
    <n v="5"/>
  </r>
  <r>
    <s v="SW-102992"/>
    <d v="2025-03-20T00:00:00"/>
    <x v="1"/>
    <s v="Q1"/>
    <x v="2"/>
    <x v="1"/>
    <x v="2"/>
    <x v="0"/>
    <x v="0"/>
    <s v="Summer Dress"/>
    <n v="4"/>
    <n v="33.99"/>
    <n v="0.1"/>
    <x v="0"/>
    <n v="122.36"/>
    <n v="74.7"/>
    <n v="47.66"/>
    <n v="1"/>
    <n v="1"/>
    <n v="6"/>
    <n v="3"/>
  </r>
  <r>
    <s v="SW-102993"/>
    <d v="2025-03-21T00:00:00"/>
    <x v="1"/>
    <s v="Q1"/>
    <x v="2"/>
    <x v="1"/>
    <x v="2"/>
    <x v="0"/>
    <x v="5"/>
    <s v="Kids Puzzle"/>
    <n v="1"/>
    <n v="16.97"/>
    <n v="0.1"/>
    <x v="0"/>
    <n v="15.27"/>
    <n v="12.03"/>
    <n v="3.24"/>
    <n v="1"/>
    <n v="0"/>
    <n v="4"/>
    <n v="5"/>
  </r>
  <r>
    <s v="SW-102994"/>
    <d v="2025-03-21T00:00:00"/>
    <x v="1"/>
    <s v="Q1"/>
    <x v="2"/>
    <x v="1"/>
    <x v="3"/>
    <x v="0"/>
    <x v="1"/>
    <s v="Face Serum"/>
    <n v="1"/>
    <n v="33.479999999999997"/>
    <n v="0.15"/>
    <x v="1"/>
    <n v="28.46"/>
    <n v="16.190000000000001"/>
    <n v="12.27"/>
    <n v="1"/>
    <n v="0"/>
    <n v="3"/>
    <n v="4"/>
  </r>
  <r>
    <s v="SW-102995"/>
    <d v="2025-03-21T00:00:00"/>
    <x v="1"/>
    <s v="Q1"/>
    <x v="2"/>
    <x v="0"/>
    <x v="1"/>
    <x v="0"/>
    <x v="2"/>
    <s v="Bed Sheet Set"/>
    <n v="1"/>
    <n v="90.75"/>
    <n v="0.05"/>
    <x v="0"/>
    <n v="86.21"/>
    <n v="58.38"/>
    <n v="27.83"/>
    <n v="1"/>
    <n v="0"/>
    <n v="5"/>
    <n v="5"/>
  </r>
  <r>
    <s v="SW-102996"/>
    <d v="2025-03-21T00:00:00"/>
    <x v="1"/>
    <s v="Q1"/>
    <x v="2"/>
    <x v="2"/>
    <x v="4"/>
    <x v="0"/>
    <x v="1"/>
    <s v="Face Serum"/>
    <n v="1"/>
    <n v="33.479999999999997"/>
    <n v="0"/>
    <x v="2"/>
    <n v="33.479999999999997"/>
    <n v="16.670000000000002"/>
    <n v="16.809999999999999"/>
    <n v="1"/>
    <n v="0"/>
    <n v="5"/>
    <n v="4"/>
  </r>
  <r>
    <s v="SW-102997"/>
    <d v="2025-03-21T00:00:00"/>
    <x v="1"/>
    <s v="Q1"/>
    <x v="2"/>
    <x v="2"/>
    <x v="3"/>
    <x v="1"/>
    <x v="4"/>
    <s v="Tablet 10in"/>
    <n v="1"/>
    <n v="490.3"/>
    <n v="0.15"/>
    <x v="1"/>
    <n v="416.76"/>
    <n v="393.64"/>
    <n v="23.12"/>
    <n v="1"/>
    <n v="0"/>
    <n v="2"/>
    <n v="4"/>
  </r>
  <r>
    <s v="SW-102998"/>
    <d v="2025-03-21T00:00:00"/>
    <x v="1"/>
    <s v="Q1"/>
    <x v="2"/>
    <x v="0"/>
    <x v="1"/>
    <x v="1"/>
    <x v="4"/>
    <s v="Wireless Earbuds"/>
    <n v="1"/>
    <n v="588.41"/>
    <n v="0"/>
    <x v="2"/>
    <n v="588.41"/>
    <n v="463.5"/>
    <n v="124.91"/>
    <n v="1"/>
    <n v="0"/>
    <n v="5"/>
    <n v="5"/>
  </r>
  <r>
    <s v="SW-102999"/>
    <d v="2025-03-22T00:00:00"/>
    <x v="1"/>
    <s v="Q1"/>
    <x v="2"/>
    <x v="1"/>
    <x v="1"/>
    <x v="1"/>
    <x v="2"/>
    <s v="Coffee Maker"/>
    <n v="3"/>
    <n v="148.05000000000001"/>
    <n v="0.1"/>
    <x v="0"/>
    <n v="399.74"/>
    <n v="300.57"/>
    <n v="99.17"/>
    <n v="1"/>
    <n v="0"/>
    <n v="8"/>
    <n v="3"/>
  </r>
  <r>
    <s v="SW-103000"/>
    <d v="2025-03-22T00:00:00"/>
    <x v="1"/>
    <s v="Q1"/>
    <x v="2"/>
    <x v="0"/>
    <x v="4"/>
    <x v="0"/>
    <x v="1"/>
    <s v="Hair Dryer"/>
    <n v="4"/>
    <n v="33.18"/>
    <n v="0.05"/>
    <x v="0"/>
    <n v="126.08"/>
    <n v="62.84"/>
    <n v="63.24"/>
    <n v="1"/>
    <n v="0"/>
    <n v="7"/>
    <n v="4"/>
  </r>
  <r>
    <s v="SW-103001"/>
    <d v="2025-03-22T00:00:00"/>
    <x v="1"/>
    <s v="Q1"/>
    <x v="2"/>
    <x v="0"/>
    <x v="2"/>
    <x v="1"/>
    <x v="1"/>
    <s v="Hair Dryer"/>
    <n v="4"/>
    <n v="33.18"/>
    <n v="0.15"/>
    <x v="1"/>
    <n v="112.81"/>
    <n v="64.489999999999995"/>
    <n v="48.32"/>
    <n v="1"/>
    <n v="0"/>
    <n v="4"/>
    <n v="5"/>
  </r>
  <r>
    <s v="SW-103002"/>
    <d v="2025-03-22T00:00:00"/>
    <x v="1"/>
    <s v="Q1"/>
    <x v="2"/>
    <x v="0"/>
    <x v="4"/>
    <x v="0"/>
    <x v="4"/>
    <s v="Tablet 10in"/>
    <n v="1"/>
    <n v="490.3"/>
    <n v="0"/>
    <x v="2"/>
    <n v="490.3"/>
    <n v="410.86"/>
    <n v="79.44"/>
    <n v="1"/>
    <n v="0"/>
    <n v="6"/>
    <n v="4"/>
  </r>
  <r>
    <s v="SW-103003"/>
    <d v="2025-03-22T00:00:00"/>
    <x v="1"/>
    <s v="Q1"/>
    <x v="2"/>
    <x v="0"/>
    <x v="0"/>
    <x v="1"/>
    <x v="4"/>
    <s v="4K Action Camera"/>
    <n v="2"/>
    <n v="636.09"/>
    <n v="0.15"/>
    <x v="1"/>
    <n v="1081.3499999999999"/>
    <n v="1008.78"/>
    <n v="72.569999999999993"/>
    <n v="1"/>
    <n v="0"/>
    <n v="3"/>
    <n v="4"/>
  </r>
  <r>
    <s v="SW-103004"/>
    <d v="2025-03-22T00:00:00"/>
    <x v="1"/>
    <s v="Q1"/>
    <x v="2"/>
    <x v="1"/>
    <x v="0"/>
    <x v="0"/>
    <x v="5"/>
    <s v="Kids Puzzle"/>
    <n v="3"/>
    <n v="16.97"/>
    <n v="0.3"/>
    <x v="3"/>
    <n v="35.64"/>
    <n v="36.33"/>
    <n v="-0.69"/>
    <n v="1"/>
    <n v="0"/>
    <n v="4"/>
    <n v="5"/>
  </r>
  <r>
    <s v="SW-103005"/>
    <d v="2025-03-22T00:00:00"/>
    <x v="1"/>
    <s v="Q1"/>
    <x v="2"/>
    <x v="0"/>
    <x v="3"/>
    <x v="0"/>
    <x v="0"/>
    <s v="Sunglasses"/>
    <n v="1"/>
    <n v="104.94"/>
    <n v="0"/>
    <x v="2"/>
    <n v="104.94"/>
    <n v="57.39"/>
    <n v="47.55"/>
    <n v="1"/>
    <n v="0"/>
    <n v="2"/>
    <n v="4"/>
  </r>
  <r>
    <s v="SW-103006"/>
    <d v="2025-03-22T00:00:00"/>
    <x v="1"/>
    <s v="Q1"/>
    <x v="2"/>
    <x v="0"/>
    <x v="0"/>
    <x v="1"/>
    <x v="0"/>
    <s v="Running Sneakers"/>
    <n v="1"/>
    <n v="94.85"/>
    <n v="0"/>
    <x v="2"/>
    <n v="94.85"/>
    <n v="52.29"/>
    <n v="42.56"/>
    <n v="1"/>
    <n v="0"/>
    <n v="3"/>
    <n v="5"/>
  </r>
  <r>
    <s v="SW-103007"/>
    <d v="2025-03-22T00:00:00"/>
    <x v="1"/>
    <s v="Q1"/>
    <x v="2"/>
    <x v="1"/>
    <x v="1"/>
    <x v="0"/>
    <x v="4"/>
    <s v="Power Bank"/>
    <n v="1"/>
    <n v="508.8"/>
    <n v="0"/>
    <x v="2"/>
    <n v="508.8"/>
    <n v="406.26"/>
    <n v="102.54"/>
    <n v="1"/>
    <n v="0"/>
    <n v="5"/>
    <n v="4"/>
  </r>
  <r>
    <s v="SW-103008"/>
    <d v="2025-03-22T00:00:00"/>
    <x v="1"/>
    <s v="Q1"/>
    <x v="2"/>
    <x v="0"/>
    <x v="4"/>
    <x v="1"/>
    <x v="3"/>
    <s v="Cycling Helmet"/>
    <n v="1"/>
    <n v="85.42"/>
    <n v="0.15"/>
    <x v="1"/>
    <n v="72.61"/>
    <n v="56.25"/>
    <n v="16.36"/>
    <n v="1"/>
    <n v="0"/>
    <n v="6"/>
    <n v="3"/>
  </r>
  <r>
    <s v="SW-103009"/>
    <d v="2025-03-22T00:00:00"/>
    <x v="1"/>
    <s v="Q1"/>
    <x v="2"/>
    <x v="2"/>
    <x v="3"/>
    <x v="0"/>
    <x v="1"/>
    <s v="Skin Care Bundle"/>
    <n v="2"/>
    <n v="92.54"/>
    <n v="0.15"/>
    <x v="1"/>
    <n v="157.32"/>
    <n v="91.06"/>
    <n v="66.260000000000005"/>
    <n v="1"/>
    <n v="0"/>
    <n v="3"/>
    <n v="5"/>
  </r>
  <r>
    <s v="SW-103010"/>
    <d v="2025-03-23T00:00:00"/>
    <x v="1"/>
    <s v="Q1"/>
    <x v="2"/>
    <x v="1"/>
    <x v="3"/>
    <x v="0"/>
    <x v="0"/>
    <s v="Running Sneakers"/>
    <n v="1"/>
    <n v="94.85"/>
    <n v="0"/>
    <x v="2"/>
    <n v="94.85"/>
    <n v="50.49"/>
    <n v="44.36"/>
    <n v="1"/>
    <n v="0"/>
    <n v="3"/>
    <n v="5"/>
  </r>
  <r>
    <s v="SW-103011"/>
    <d v="2025-03-23T00:00:00"/>
    <x v="1"/>
    <s v="Q1"/>
    <x v="2"/>
    <x v="1"/>
    <x v="3"/>
    <x v="1"/>
    <x v="2"/>
    <s v="Cookware Set"/>
    <n v="2"/>
    <n v="233.81"/>
    <n v="0.05"/>
    <x v="0"/>
    <n v="444.24"/>
    <n v="306.67"/>
    <n v="137.57"/>
    <n v="1"/>
    <n v="0"/>
    <n v="3"/>
    <n v="5"/>
  </r>
  <r>
    <s v="SW-103012"/>
    <d v="2025-03-23T00:00:00"/>
    <x v="1"/>
    <s v="Q1"/>
    <x v="2"/>
    <x v="0"/>
    <x v="1"/>
    <x v="1"/>
    <x v="0"/>
    <s v="Denim Jacket"/>
    <n v="1"/>
    <n v="78.510000000000005"/>
    <n v="0.15"/>
    <x v="1"/>
    <n v="66.73"/>
    <n v="41.74"/>
    <n v="24.99"/>
    <n v="1"/>
    <n v="0"/>
    <n v="6"/>
    <n v="4"/>
  </r>
  <r>
    <s v="SW-103013"/>
    <d v="2025-03-23T00:00:00"/>
    <x v="1"/>
    <s v="Q1"/>
    <x v="2"/>
    <x v="1"/>
    <x v="2"/>
    <x v="1"/>
    <x v="5"/>
    <s v="Board Game"/>
    <n v="2"/>
    <n v="57.92"/>
    <n v="0.2"/>
    <x v="1"/>
    <n v="92.67"/>
    <n v="84.06"/>
    <n v="8.61"/>
    <n v="1"/>
    <n v="0"/>
    <n v="5"/>
    <n v="4"/>
  </r>
  <r>
    <s v="SW-103014"/>
    <d v="2025-03-23T00:00:00"/>
    <x v="1"/>
    <s v="Q1"/>
    <x v="2"/>
    <x v="1"/>
    <x v="3"/>
    <x v="0"/>
    <x v="5"/>
    <s v="Bestseller Novel"/>
    <n v="1"/>
    <n v="45.28"/>
    <n v="0"/>
    <x v="2"/>
    <n v="45.28"/>
    <n v="33.69"/>
    <n v="11.59"/>
    <n v="1"/>
    <n v="0"/>
    <n v="2"/>
    <n v="4"/>
  </r>
  <r>
    <s v="SW-103015"/>
    <d v="2025-03-23T00:00:00"/>
    <x v="1"/>
    <s v="Q1"/>
    <x v="2"/>
    <x v="0"/>
    <x v="3"/>
    <x v="1"/>
    <x v="4"/>
    <s v="Wireless Earbuds"/>
    <n v="2"/>
    <n v="588.41"/>
    <n v="0.1"/>
    <x v="0"/>
    <n v="1059.1400000000001"/>
    <n v="933.97"/>
    <n v="125.17"/>
    <n v="1"/>
    <n v="0"/>
    <n v="2"/>
    <n v="4"/>
  </r>
  <r>
    <s v="SW-103016"/>
    <d v="2025-03-24T00:00:00"/>
    <x v="1"/>
    <s v="Q1"/>
    <x v="2"/>
    <x v="0"/>
    <x v="0"/>
    <x v="1"/>
    <x v="5"/>
    <s v="Board Game"/>
    <n v="1"/>
    <n v="57.92"/>
    <n v="0.05"/>
    <x v="0"/>
    <n v="55.02"/>
    <n v="40.9"/>
    <n v="14.12"/>
    <n v="1"/>
    <n v="0"/>
    <n v="4"/>
    <n v="4"/>
  </r>
  <r>
    <s v="SW-103017"/>
    <d v="2025-03-24T00:00:00"/>
    <x v="1"/>
    <s v="Q1"/>
    <x v="2"/>
    <x v="1"/>
    <x v="4"/>
    <x v="1"/>
    <x v="5"/>
    <s v="Board Game"/>
    <n v="1"/>
    <n v="57.92"/>
    <n v="0.05"/>
    <x v="0"/>
    <n v="55.02"/>
    <n v="39.75"/>
    <n v="15.27"/>
    <n v="1"/>
    <n v="0"/>
    <n v="5"/>
    <n v="4"/>
  </r>
  <r>
    <s v="SW-103018"/>
    <d v="2025-03-24T00:00:00"/>
    <x v="1"/>
    <s v="Q1"/>
    <x v="2"/>
    <x v="0"/>
    <x v="1"/>
    <x v="1"/>
    <x v="3"/>
    <s v="Camping Tent"/>
    <n v="1"/>
    <n v="83.06"/>
    <n v="0.05"/>
    <x v="0"/>
    <n v="78.91"/>
    <n v="54.28"/>
    <n v="24.63"/>
    <n v="1"/>
    <n v="0"/>
    <n v="5"/>
    <n v="4"/>
  </r>
  <r>
    <s v="SW-103019"/>
    <d v="2025-03-24T00:00:00"/>
    <x v="1"/>
    <s v="Q1"/>
    <x v="2"/>
    <x v="0"/>
    <x v="2"/>
    <x v="0"/>
    <x v="3"/>
    <s v="Dumbbell Set"/>
    <n v="3"/>
    <n v="198.42"/>
    <n v="0.05"/>
    <x v="0"/>
    <n v="565.5"/>
    <n v="406.27"/>
    <n v="159.22999999999999"/>
    <n v="1"/>
    <n v="0"/>
    <n v="4"/>
    <n v="4"/>
  </r>
  <r>
    <s v="SW-103020"/>
    <d v="2025-03-24T00:00:00"/>
    <x v="1"/>
    <s v="Q1"/>
    <x v="2"/>
    <x v="0"/>
    <x v="2"/>
    <x v="1"/>
    <x v="1"/>
    <s v="Makeup Kit"/>
    <n v="1"/>
    <n v="74.3"/>
    <n v="0.1"/>
    <x v="0"/>
    <n v="66.87"/>
    <n v="34.29"/>
    <n v="32.58"/>
    <n v="1"/>
    <n v="0"/>
    <n v="4"/>
    <n v="5"/>
  </r>
  <r>
    <s v="SW-103021"/>
    <d v="2025-03-24T00:00:00"/>
    <x v="1"/>
    <s v="Q1"/>
    <x v="2"/>
    <x v="0"/>
    <x v="0"/>
    <x v="1"/>
    <x v="2"/>
    <s v="Cookware Set"/>
    <n v="1"/>
    <n v="233.81"/>
    <n v="0"/>
    <x v="2"/>
    <n v="233.81"/>
    <n v="158.94"/>
    <n v="74.87"/>
    <n v="1"/>
    <n v="0"/>
    <n v="3"/>
    <n v="4"/>
  </r>
  <r>
    <s v="SW-103022"/>
    <d v="2025-03-25T00:00:00"/>
    <x v="1"/>
    <s v="Q1"/>
    <x v="2"/>
    <x v="2"/>
    <x v="2"/>
    <x v="1"/>
    <x v="1"/>
    <s v="Perfume 100ml"/>
    <n v="1"/>
    <n v="54.56"/>
    <n v="0.05"/>
    <x v="0"/>
    <n v="51.83"/>
    <n v="25.88"/>
    <n v="25.95"/>
    <n v="1"/>
    <n v="0"/>
    <n v="4"/>
    <n v="5"/>
  </r>
  <r>
    <s v="SW-103023"/>
    <d v="2025-03-25T00:00:00"/>
    <x v="1"/>
    <s v="Q1"/>
    <x v="2"/>
    <x v="0"/>
    <x v="4"/>
    <x v="1"/>
    <x v="5"/>
    <s v="Story Book Set"/>
    <n v="2"/>
    <n v="10.76"/>
    <n v="0.05"/>
    <x v="0"/>
    <n v="20.440000000000001"/>
    <n v="15.08"/>
    <n v="5.36"/>
    <n v="1"/>
    <n v="0"/>
    <n v="6"/>
    <n v="3"/>
  </r>
  <r>
    <s v="SW-103024"/>
    <d v="2025-03-25T00:00:00"/>
    <x v="1"/>
    <s v="Q1"/>
    <x v="2"/>
    <x v="0"/>
    <x v="3"/>
    <x v="0"/>
    <x v="5"/>
    <s v="Kids Puzzle"/>
    <n v="1"/>
    <n v="16.97"/>
    <n v="0"/>
    <x v="2"/>
    <n v="16.97"/>
    <n v="11.87"/>
    <n v="5.0999999999999996"/>
    <n v="1"/>
    <n v="0"/>
    <n v="4"/>
    <n v="4"/>
  </r>
  <r>
    <s v="SW-103025"/>
    <d v="2025-03-25T00:00:00"/>
    <x v="1"/>
    <s v="Q1"/>
    <x v="2"/>
    <x v="2"/>
    <x v="3"/>
    <x v="1"/>
    <x v="1"/>
    <s v="Perfume 100ml"/>
    <n v="1"/>
    <n v="54.56"/>
    <n v="0"/>
    <x v="2"/>
    <n v="54.56"/>
    <n v="26.39"/>
    <n v="28.17"/>
    <n v="1"/>
    <n v="0"/>
    <n v="4"/>
    <n v="5"/>
  </r>
  <r>
    <s v="SW-103026"/>
    <d v="2025-03-25T00:00:00"/>
    <x v="1"/>
    <s v="Q1"/>
    <x v="2"/>
    <x v="0"/>
    <x v="3"/>
    <x v="0"/>
    <x v="3"/>
    <s v="Camping Tent"/>
    <n v="4"/>
    <n v="83.06"/>
    <n v="0.3"/>
    <x v="3"/>
    <n v="232.57"/>
    <n v="224.98"/>
    <n v="7.59"/>
    <n v="1"/>
    <n v="0"/>
    <n v="4"/>
    <n v="4"/>
  </r>
  <r>
    <s v="SW-103027"/>
    <d v="2025-03-25T00:00:00"/>
    <x v="1"/>
    <s v="Q1"/>
    <x v="2"/>
    <x v="0"/>
    <x v="2"/>
    <x v="0"/>
    <x v="0"/>
    <s v="Denim Jacket"/>
    <n v="1"/>
    <n v="78.510000000000005"/>
    <n v="0.2"/>
    <x v="1"/>
    <n v="62.81"/>
    <n v="42.88"/>
    <n v="19.93"/>
    <n v="1"/>
    <n v="0"/>
    <n v="4"/>
    <n v="5"/>
  </r>
  <r>
    <s v="SW-103028"/>
    <d v="2025-03-26T00:00:00"/>
    <x v="1"/>
    <s v="Q1"/>
    <x v="2"/>
    <x v="1"/>
    <x v="3"/>
    <x v="0"/>
    <x v="3"/>
    <s v="Dumbbell Set"/>
    <n v="2"/>
    <n v="198.42"/>
    <n v="0.25"/>
    <x v="3"/>
    <n v="297.63"/>
    <n v="250.49"/>
    <n v="47.14"/>
    <n v="1"/>
    <n v="0"/>
    <n v="2"/>
    <n v="5"/>
  </r>
  <r>
    <s v="SW-103029"/>
    <d v="2025-03-26T00:00:00"/>
    <x v="1"/>
    <s v="Q1"/>
    <x v="2"/>
    <x v="2"/>
    <x v="2"/>
    <x v="0"/>
    <x v="1"/>
    <s v="Skin Care Bundle"/>
    <n v="2"/>
    <n v="92.54"/>
    <n v="0"/>
    <x v="2"/>
    <n v="185.08"/>
    <n v="87.69"/>
    <n v="97.39"/>
    <n v="1"/>
    <n v="0"/>
    <n v="3"/>
    <n v="3"/>
  </r>
  <r>
    <s v="SW-103030"/>
    <d v="2025-03-26T00:00:00"/>
    <x v="1"/>
    <s v="Q1"/>
    <x v="2"/>
    <x v="0"/>
    <x v="1"/>
    <x v="1"/>
    <x v="4"/>
    <s v="Tablet 10in"/>
    <n v="1"/>
    <n v="490.3"/>
    <n v="0.25"/>
    <x v="3"/>
    <n v="367.72"/>
    <n v="390.98"/>
    <n v="-23.26"/>
    <n v="1"/>
    <n v="0"/>
    <n v="7"/>
    <n v="3"/>
  </r>
  <r>
    <s v="SW-103031"/>
    <d v="2025-03-26T00:00:00"/>
    <x v="1"/>
    <s v="Q1"/>
    <x v="2"/>
    <x v="1"/>
    <x v="2"/>
    <x v="1"/>
    <x v="1"/>
    <s v="Perfume 100ml"/>
    <n v="1"/>
    <n v="54.56"/>
    <n v="0.05"/>
    <x v="0"/>
    <n v="51.83"/>
    <n v="25.42"/>
    <n v="26.41"/>
    <n v="1"/>
    <n v="0"/>
    <n v="3"/>
    <n v="5"/>
  </r>
  <r>
    <s v="SW-103032"/>
    <d v="2025-03-26T00:00:00"/>
    <x v="1"/>
    <s v="Q1"/>
    <x v="2"/>
    <x v="0"/>
    <x v="1"/>
    <x v="1"/>
    <x v="3"/>
    <s v="Yoga Mat"/>
    <n v="2"/>
    <n v="137.05000000000001"/>
    <n v="0.1"/>
    <x v="0"/>
    <n v="246.69"/>
    <n v="198.17"/>
    <n v="48.52"/>
    <n v="1"/>
    <n v="0"/>
    <n v="6"/>
    <n v="4"/>
  </r>
  <r>
    <s v="SW-103033"/>
    <d v="2025-03-27T00:00:00"/>
    <x v="1"/>
    <s v="Q1"/>
    <x v="2"/>
    <x v="1"/>
    <x v="3"/>
    <x v="0"/>
    <x v="4"/>
    <s v="Smart Watch"/>
    <n v="2"/>
    <n v="216.08"/>
    <n v="0"/>
    <x v="2"/>
    <n v="432.16"/>
    <n v="352.23"/>
    <n v="79.930000000000007"/>
    <n v="1"/>
    <n v="0"/>
    <n v="2"/>
    <n v="5"/>
  </r>
  <r>
    <s v="SW-103034"/>
    <d v="2025-03-27T00:00:00"/>
    <x v="1"/>
    <s v="Q1"/>
    <x v="2"/>
    <x v="0"/>
    <x v="0"/>
    <x v="0"/>
    <x v="3"/>
    <s v="Dumbbell Set"/>
    <n v="3"/>
    <n v="198.42"/>
    <n v="0.2"/>
    <x v="1"/>
    <n v="476.21"/>
    <n v="393.31"/>
    <n v="82.9"/>
    <n v="1"/>
    <n v="0"/>
    <n v="3"/>
    <n v="5"/>
  </r>
  <r>
    <s v="SW-103035"/>
    <d v="2025-03-27T00:00:00"/>
    <x v="1"/>
    <s v="Q1"/>
    <x v="2"/>
    <x v="1"/>
    <x v="2"/>
    <x v="0"/>
    <x v="4"/>
    <s v="Power Bank"/>
    <n v="2"/>
    <n v="508.8"/>
    <n v="0.05"/>
    <x v="0"/>
    <n v="966.72"/>
    <n v="813.09"/>
    <n v="153.63"/>
    <n v="1"/>
    <n v="1"/>
    <n v="3"/>
    <n v="4"/>
  </r>
  <r>
    <s v="SW-103036"/>
    <d v="2025-03-27T00:00:00"/>
    <x v="1"/>
    <s v="Q1"/>
    <x v="2"/>
    <x v="1"/>
    <x v="3"/>
    <x v="0"/>
    <x v="4"/>
    <s v="4K Action Camera"/>
    <n v="2"/>
    <n v="636.09"/>
    <n v="0.15"/>
    <x v="1"/>
    <n v="1081.3499999999999"/>
    <n v="1050.8499999999999"/>
    <n v="30.5"/>
    <n v="1"/>
    <n v="0"/>
    <n v="4"/>
    <n v="4"/>
  </r>
  <r>
    <s v="SW-103037"/>
    <d v="2025-03-27T00:00:00"/>
    <x v="1"/>
    <s v="Q1"/>
    <x v="2"/>
    <x v="1"/>
    <x v="2"/>
    <x v="0"/>
    <x v="3"/>
    <s v="Yoga Mat"/>
    <n v="2"/>
    <n v="137.05000000000001"/>
    <n v="0"/>
    <x v="2"/>
    <n v="274.10000000000002"/>
    <n v="190.63"/>
    <n v="83.47"/>
    <n v="1"/>
    <n v="0"/>
    <n v="4"/>
    <n v="4"/>
  </r>
  <r>
    <s v="SW-103038"/>
    <d v="2025-03-27T00:00:00"/>
    <x v="1"/>
    <s v="Q1"/>
    <x v="2"/>
    <x v="2"/>
    <x v="3"/>
    <x v="0"/>
    <x v="4"/>
    <s v="Power Bank"/>
    <n v="1"/>
    <n v="508.8"/>
    <n v="0.15"/>
    <x v="1"/>
    <n v="432.48"/>
    <n v="409.35"/>
    <n v="23.13"/>
    <n v="1"/>
    <n v="0"/>
    <n v="4"/>
    <n v="4"/>
  </r>
  <r>
    <s v="SW-103039"/>
    <d v="2025-03-27T00:00:00"/>
    <x v="1"/>
    <s v="Q1"/>
    <x v="2"/>
    <x v="0"/>
    <x v="0"/>
    <x v="1"/>
    <x v="5"/>
    <s v="Story Book Set"/>
    <n v="1"/>
    <n v="10.76"/>
    <n v="0"/>
    <x v="2"/>
    <n v="10.76"/>
    <n v="7.8"/>
    <n v="2.96"/>
    <n v="1"/>
    <n v="0"/>
    <n v="4"/>
    <n v="5"/>
  </r>
  <r>
    <s v="SW-103040"/>
    <d v="2025-03-27T00:00:00"/>
    <x v="1"/>
    <s v="Q1"/>
    <x v="2"/>
    <x v="1"/>
    <x v="0"/>
    <x v="1"/>
    <x v="0"/>
    <s v="Running Sneakers"/>
    <n v="1"/>
    <n v="94.85"/>
    <n v="0.15"/>
    <x v="1"/>
    <n v="80.62"/>
    <n v="51.74"/>
    <n v="28.88"/>
    <n v="1"/>
    <n v="0"/>
    <n v="3"/>
    <n v="4"/>
  </r>
  <r>
    <s v="SW-103041"/>
    <d v="2025-03-27T00:00:00"/>
    <x v="1"/>
    <s v="Q1"/>
    <x v="2"/>
    <x v="0"/>
    <x v="3"/>
    <x v="1"/>
    <x v="2"/>
    <s v="Bed Sheet Set"/>
    <n v="2"/>
    <n v="90.75"/>
    <n v="0.1"/>
    <x v="0"/>
    <n v="163.35"/>
    <n v="126.29"/>
    <n v="37.06"/>
    <n v="1"/>
    <n v="0"/>
    <n v="2"/>
    <n v="4"/>
  </r>
  <r>
    <s v="SW-103042"/>
    <d v="2025-03-27T00:00:00"/>
    <x v="1"/>
    <s v="Q1"/>
    <x v="2"/>
    <x v="1"/>
    <x v="4"/>
    <x v="1"/>
    <x v="0"/>
    <s v="Leather Handbag"/>
    <n v="1"/>
    <n v="138.5"/>
    <n v="0.05"/>
    <x v="0"/>
    <n v="131.57"/>
    <n v="77.02"/>
    <n v="54.55"/>
    <n v="1"/>
    <n v="0"/>
    <n v="5"/>
    <n v="5"/>
  </r>
  <r>
    <s v="SW-103043"/>
    <d v="2025-03-28T00:00:00"/>
    <x v="1"/>
    <s v="Q1"/>
    <x v="2"/>
    <x v="0"/>
    <x v="4"/>
    <x v="0"/>
    <x v="4"/>
    <s v="Tablet 10in"/>
    <n v="3"/>
    <n v="490.3"/>
    <n v="0"/>
    <x v="2"/>
    <n v="1470.9"/>
    <n v="1230.27"/>
    <n v="240.63"/>
    <n v="1"/>
    <n v="0"/>
    <n v="6"/>
    <n v="3"/>
  </r>
  <r>
    <s v="SW-103044"/>
    <d v="2025-03-28T00:00:00"/>
    <x v="1"/>
    <s v="Q1"/>
    <x v="2"/>
    <x v="1"/>
    <x v="3"/>
    <x v="0"/>
    <x v="4"/>
    <s v="Smart Watch"/>
    <n v="2"/>
    <n v="216.08"/>
    <n v="0.15"/>
    <x v="1"/>
    <n v="367.34"/>
    <n v="364.74"/>
    <n v="2.6"/>
    <n v="1"/>
    <n v="0"/>
    <n v="3"/>
    <n v="5"/>
  </r>
  <r>
    <s v="SW-103045"/>
    <d v="2025-03-28T00:00:00"/>
    <x v="1"/>
    <s v="Q1"/>
    <x v="2"/>
    <x v="1"/>
    <x v="3"/>
    <x v="0"/>
    <x v="5"/>
    <s v="Building Blocks"/>
    <n v="1"/>
    <n v="48.86"/>
    <n v="0.05"/>
    <x v="0"/>
    <n v="46.42"/>
    <n v="37.619999999999997"/>
    <n v="8.8000000000000007"/>
    <n v="1"/>
    <n v="0"/>
    <n v="3"/>
    <n v="5"/>
  </r>
  <r>
    <s v="SW-103046"/>
    <d v="2025-03-28T00:00:00"/>
    <x v="1"/>
    <s v="Q1"/>
    <x v="2"/>
    <x v="0"/>
    <x v="3"/>
    <x v="0"/>
    <x v="4"/>
    <s v="Power Bank"/>
    <n v="1"/>
    <n v="508.8"/>
    <n v="0.2"/>
    <x v="1"/>
    <n v="407.04"/>
    <n v="409.16"/>
    <n v="-2.12"/>
    <n v="1"/>
    <n v="0"/>
    <n v="2"/>
    <n v="5"/>
  </r>
  <r>
    <s v="SW-103047"/>
    <d v="2025-03-28T00:00:00"/>
    <x v="1"/>
    <s v="Q1"/>
    <x v="2"/>
    <x v="2"/>
    <x v="2"/>
    <x v="0"/>
    <x v="2"/>
    <s v="Cookware Set"/>
    <n v="2"/>
    <n v="233.81"/>
    <n v="0.25"/>
    <x v="3"/>
    <n v="350.72"/>
    <n v="318.11"/>
    <n v="32.61"/>
    <n v="1"/>
    <n v="0"/>
    <n v="3"/>
    <n v="5"/>
  </r>
  <r>
    <s v="SW-103048"/>
    <d v="2025-03-29T00:00:00"/>
    <x v="1"/>
    <s v="Q1"/>
    <x v="2"/>
    <x v="2"/>
    <x v="0"/>
    <x v="0"/>
    <x v="2"/>
    <s v="Cookware Set"/>
    <n v="3"/>
    <n v="233.81"/>
    <n v="0.1"/>
    <x v="0"/>
    <n v="631.29"/>
    <n v="480"/>
    <n v="151.29"/>
    <n v="1"/>
    <n v="0"/>
    <n v="5"/>
    <n v="4"/>
  </r>
  <r>
    <s v="SW-103049"/>
    <d v="2025-03-29T00:00:00"/>
    <x v="1"/>
    <s v="Q1"/>
    <x v="2"/>
    <x v="1"/>
    <x v="4"/>
    <x v="1"/>
    <x v="1"/>
    <s v="Face Serum"/>
    <n v="3"/>
    <n v="33.479999999999997"/>
    <n v="0.15"/>
    <x v="1"/>
    <n v="85.37"/>
    <n v="48.18"/>
    <n v="37.19"/>
    <n v="1"/>
    <n v="0"/>
    <n v="5"/>
    <n v="4"/>
  </r>
  <r>
    <s v="SW-103050"/>
    <d v="2025-03-29T00:00:00"/>
    <x v="1"/>
    <s v="Q1"/>
    <x v="2"/>
    <x v="1"/>
    <x v="0"/>
    <x v="0"/>
    <x v="4"/>
    <s v="4K Action Camera"/>
    <n v="2"/>
    <n v="636.09"/>
    <n v="0.25"/>
    <x v="3"/>
    <n v="954.14"/>
    <n v="979.64"/>
    <n v="-25.5"/>
    <n v="1"/>
    <n v="0"/>
    <n v="3"/>
    <n v="4"/>
  </r>
  <r>
    <s v="SW-103051"/>
    <d v="2025-03-29T00:00:00"/>
    <x v="1"/>
    <s v="Q1"/>
    <x v="2"/>
    <x v="1"/>
    <x v="1"/>
    <x v="0"/>
    <x v="5"/>
    <s v="Bestseller Novel"/>
    <n v="1"/>
    <n v="45.28"/>
    <n v="0.2"/>
    <x v="1"/>
    <n v="36.22"/>
    <n v="33.770000000000003"/>
    <n v="2.4500000000000002"/>
    <n v="1"/>
    <n v="0"/>
    <n v="6"/>
    <n v="4"/>
  </r>
  <r>
    <s v="SW-103052"/>
    <d v="2025-03-29T00:00:00"/>
    <x v="1"/>
    <s v="Q1"/>
    <x v="2"/>
    <x v="1"/>
    <x v="0"/>
    <x v="0"/>
    <x v="4"/>
    <s v="Smart Watch"/>
    <n v="1"/>
    <n v="216.08"/>
    <n v="0.05"/>
    <x v="0"/>
    <n v="205.28"/>
    <n v="170.61"/>
    <n v="34.67"/>
    <n v="1"/>
    <n v="0"/>
    <n v="6"/>
    <n v="4"/>
  </r>
  <r>
    <s v="SW-103053"/>
    <d v="2025-03-29T00:00:00"/>
    <x v="1"/>
    <s v="Q1"/>
    <x v="2"/>
    <x v="0"/>
    <x v="3"/>
    <x v="1"/>
    <x v="5"/>
    <s v="Board Game"/>
    <n v="2"/>
    <n v="57.92"/>
    <n v="0.3"/>
    <x v="3"/>
    <n v="81.09"/>
    <n v="84.83"/>
    <n v="-3.74"/>
    <n v="1"/>
    <n v="0"/>
    <n v="3"/>
    <n v="5"/>
  </r>
  <r>
    <s v="SW-103054"/>
    <d v="2025-03-29T00:00:00"/>
    <x v="1"/>
    <s v="Q1"/>
    <x v="2"/>
    <x v="0"/>
    <x v="0"/>
    <x v="0"/>
    <x v="2"/>
    <s v="Storage Boxes"/>
    <n v="1"/>
    <n v="154.66"/>
    <n v="0.1"/>
    <x v="0"/>
    <n v="139.19"/>
    <n v="102.15"/>
    <n v="37.04"/>
    <n v="1"/>
    <n v="0"/>
    <n v="3"/>
    <n v="4"/>
  </r>
  <r>
    <s v="SW-103055"/>
    <d v="2025-03-29T00:00:00"/>
    <x v="1"/>
    <s v="Q1"/>
    <x v="2"/>
    <x v="1"/>
    <x v="0"/>
    <x v="0"/>
    <x v="4"/>
    <s v="4K Action Camera"/>
    <n v="3"/>
    <n v="636.09"/>
    <n v="0"/>
    <x v="2"/>
    <n v="1908.27"/>
    <n v="1431.01"/>
    <n v="477.26"/>
    <n v="1"/>
    <n v="0"/>
    <n v="4"/>
    <n v="4"/>
  </r>
  <r>
    <s v="SW-103056"/>
    <d v="2025-03-30T00:00:00"/>
    <x v="1"/>
    <s v="Q1"/>
    <x v="2"/>
    <x v="0"/>
    <x v="3"/>
    <x v="0"/>
    <x v="4"/>
    <s v="Power Bank"/>
    <n v="1"/>
    <n v="508.8"/>
    <n v="0"/>
    <x v="2"/>
    <n v="508.8"/>
    <n v="402.26"/>
    <n v="106.54"/>
    <n v="1"/>
    <n v="0"/>
    <n v="2"/>
    <n v="3"/>
  </r>
  <r>
    <s v="SW-103057"/>
    <d v="2025-03-30T00:00:00"/>
    <x v="1"/>
    <s v="Q1"/>
    <x v="2"/>
    <x v="1"/>
    <x v="1"/>
    <x v="0"/>
    <x v="4"/>
    <s v="Smart Watch"/>
    <n v="2"/>
    <n v="216.08"/>
    <n v="0.1"/>
    <x v="0"/>
    <n v="388.94"/>
    <n v="343.07"/>
    <n v="45.87"/>
    <n v="1"/>
    <n v="0"/>
    <n v="5"/>
    <n v="5"/>
  </r>
  <r>
    <s v="SW-103058"/>
    <d v="2025-03-30T00:00:00"/>
    <x v="1"/>
    <s v="Q1"/>
    <x v="2"/>
    <x v="1"/>
    <x v="0"/>
    <x v="0"/>
    <x v="1"/>
    <s v="Perfume 100ml"/>
    <n v="3"/>
    <n v="54.56"/>
    <n v="0.1"/>
    <x v="0"/>
    <n v="147.31"/>
    <n v="80.069999999999993"/>
    <n v="67.239999999999995"/>
    <n v="1"/>
    <n v="0"/>
    <n v="3"/>
    <n v="4"/>
  </r>
  <r>
    <s v="SW-103059"/>
    <d v="2025-03-30T00:00:00"/>
    <x v="1"/>
    <s v="Q1"/>
    <x v="2"/>
    <x v="0"/>
    <x v="4"/>
    <x v="1"/>
    <x v="0"/>
    <s v="Leather Handbag"/>
    <n v="2"/>
    <n v="138.5"/>
    <n v="0.1"/>
    <x v="0"/>
    <n v="249.3"/>
    <n v="144.09"/>
    <n v="105.21"/>
    <n v="1"/>
    <n v="0"/>
    <n v="7"/>
    <n v="3"/>
  </r>
  <r>
    <s v="SW-103060"/>
    <d v="2025-03-30T00:00:00"/>
    <x v="1"/>
    <s v="Q1"/>
    <x v="2"/>
    <x v="0"/>
    <x v="2"/>
    <x v="1"/>
    <x v="4"/>
    <s v="Bluetooth Speaker"/>
    <n v="1"/>
    <n v="177.65"/>
    <n v="0.2"/>
    <x v="1"/>
    <n v="142.12"/>
    <n v="147.9"/>
    <n v="-5.78"/>
    <n v="1"/>
    <n v="0"/>
    <n v="5"/>
    <n v="4"/>
  </r>
  <r>
    <s v="SW-103061"/>
    <d v="2025-03-30T00:00:00"/>
    <x v="1"/>
    <s v="Q1"/>
    <x v="2"/>
    <x v="0"/>
    <x v="3"/>
    <x v="1"/>
    <x v="5"/>
    <s v="Board Game"/>
    <n v="1"/>
    <n v="57.92"/>
    <n v="0.1"/>
    <x v="0"/>
    <n v="52.13"/>
    <n v="41.63"/>
    <n v="10.5"/>
    <n v="1"/>
    <n v="0"/>
    <n v="2"/>
    <n v="4"/>
  </r>
  <r>
    <s v="SW-103062"/>
    <d v="2025-03-30T00:00:00"/>
    <x v="1"/>
    <s v="Q1"/>
    <x v="2"/>
    <x v="1"/>
    <x v="3"/>
    <x v="1"/>
    <x v="2"/>
    <s v="Cookware Set"/>
    <n v="2"/>
    <n v="233.81"/>
    <n v="0.2"/>
    <x v="1"/>
    <n v="374.1"/>
    <n v="306.2"/>
    <n v="67.900000000000006"/>
    <n v="1"/>
    <n v="0"/>
    <n v="3"/>
    <n v="5"/>
  </r>
  <r>
    <s v="SW-103063"/>
    <d v="2025-03-30T00:00:00"/>
    <x v="1"/>
    <s v="Q1"/>
    <x v="2"/>
    <x v="0"/>
    <x v="0"/>
    <x v="0"/>
    <x v="2"/>
    <s v="Coffee Maker"/>
    <n v="2"/>
    <n v="148.05000000000001"/>
    <n v="0"/>
    <x v="2"/>
    <n v="296.10000000000002"/>
    <n v="185.8"/>
    <n v="110.3"/>
    <n v="1"/>
    <n v="0"/>
    <n v="3"/>
    <n v="5"/>
  </r>
  <r>
    <s v="SW-103064"/>
    <d v="2025-03-31T00:00:00"/>
    <x v="1"/>
    <s v="Q1"/>
    <x v="2"/>
    <x v="2"/>
    <x v="0"/>
    <x v="1"/>
    <x v="1"/>
    <s v="Hair Dryer"/>
    <n v="1"/>
    <n v="33.18"/>
    <n v="0.1"/>
    <x v="0"/>
    <n v="29.86"/>
    <n v="15.73"/>
    <n v="14.13"/>
    <n v="1"/>
    <n v="0"/>
    <n v="4"/>
    <n v="5"/>
  </r>
  <r>
    <s v="SW-103065"/>
    <d v="2025-03-31T00:00:00"/>
    <x v="1"/>
    <s v="Q1"/>
    <x v="2"/>
    <x v="0"/>
    <x v="3"/>
    <x v="0"/>
    <x v="0"/>
    <s v="Sunglasses"/>
    <n v="3"/>
    <n v="104.94"/>
    <n v="0.05"/>
    <x v="0"/>
    <n v="299.08"/>
    <n v="170.81"/>
    <n v="128.27000000000001"/>
    <n v="1"/>
    <n v="0"/>
    <n v="4"/>
    <n v="4"/>
  </r>
  <r>
    <s v="SW-103066"/>
    <d v="2025-03-31T00:00:00"/>
    <x v="1"/>
    <s v="Q1"/>
    <x v="2"/>
    <x v="0"/>
    <x v="0"/>
    <x v="0"/>
    <x v="3"/>
    <s v="Camping Tent"/>
    <n v="1"/>
    <n v="83.06"/>
    <n v="0.05"/>
    <x v="0"/>
    <n v="78.91"/>
    <n v="57.77"/>
    <n v="21.14"/>
    <n v="1"/>
    <n v="0"/>
    <n v="3"/>
    <n v="3"/>
  </r>
  <r>
    <s v="SW-103067"/>
    <d v="2025-03-31T00:00:00"/>
    <x v="1"/>
    <s v="Q1"/>
    <x v="2"/>
    <x v="0"/>
    <x v="2"/>
    <x v="0"/>
    <x v="3"/>
    <s v="Camping Tent"/>
    <n v="2"/>
    <n v="83.06"/>
    <n v="0"/>
    <x v="2"/>
    <n v="166.12"/>
    <n v="111.95"/>
    <n v="54.17"/>
    <n v="1"/>
    <n v="0"/>
    <n v="3"/>
    <n v="5"/>
  </r>
  <r>
    <s v="SW-103068"/>
    <d v="2025-03-31T00:00:00"/>
    <x v="1"/>
    <s v="Q1"/>
    <x v="2"/>
    <x v="1"/>
    <x v="0"/>
    <x v="1"/>
    <x v="4"/>
    <s v="Tablet 10in"/>
    <n v="1"/>
    <n v="490.3"/>
    <n v="0.05"/>
    <x v="0"/>
    <n v="465.78"/>
    <n v="396.39"/>
    <n v="69.39"/>
    <n v="1"/>
    <n v="0"/>
    <n v="3"/>
    <n v="4"/>
  </r>
  <r>
    <s v="SW-103069"/>
    <d v="2025-04-01T00:00:00"/>
    <x v="1"/>
    <s v="Q2"/>
    <x v="3"/>
    <x v="0"/>
    <x v="0"/>
    <x v="0"/>
    <x v="0"/>
    <s v="Leather Handbag"/>
    <n v="2"/>
    <n v="138.5"/>
    <n v="0"/>
    <x v="2"/>
    <n v="277"/>
    <n v="151.37"/>
    <n v="125.63"/>
    <n v="1"/>
    <n v="0"/>
    <n v="3"/>
    <n v="5"/>
  </r>
  <r>
    <s v="SW-103070"/>
    <d v="2025-04-01T00:00:00"/>
    <x v="1"/>
    <s v="Q2"/>
    <x v="3"/>
    <x v="0"/>
    <x v="0"/>
    <x v="1"/>
    <x v="2"/>
    <s v="Coffee Maker"/>
    <n v="2"/>
    <n v="148.05000000000001"/>
    <n v="0.1"/>
    <x v="0"/>
    <n v="266.49"/>
    <n v="200.23"/>
    <n v="66.260000000000005"/>
    <n v="1"/>
    <n v="0"/>
    <n v="3"/>
    <n v="4"/>
  </r>
  <r>
    <s v="SW-103071"/>
    <d v="2025-04-01T00:00:00"/>
    <x v="1"/>
    <s v="Q2"/>
    <x v="3"/>
    <x v="1"/>
    <x v="2"/>
    <x v="1"/>
    <x v="4"/>
    <s v="Bluetooth Speaker"/>
    <n v="1"/>
    <n v="177.65"/>
    <n v="0"/>
    <x v="2"/>
    <n v="177.65"/>
    <n v="142.88999999999999"/>
    <n v="34.76"/>
    <n v="1"/>
    <n v="0"/>
    <n v="3"/>
    <n v="5"/>
  </r>
  <r>
    <s v="SW-103072"/>
    <d v="2025-04-02T00:00:00"/>
    <x v="1"/>
    <s v="Q2"/>
    <x v="3"/>
    <x v="1"/>
    <x v="2"/>
    <x v="1"/>
    <x v="1"/>
    <s v="Makeup Kit"/>
    <n v="1"/>
    <n v="74.3"/>
    <n v="0.1"/>
    <x v="0"/>
    <n v="66.87"/>
    <n v="35.56"/>
    <n v="31.31"/>
    <n v="1"/>
    <n v="0"/>
    <n v="5"/>
    <n v="4"/>
  </r>
  <r>
    <s v="SW-103073"/>
    <d v="2025-04-02T00:00:00"/>
    <x v="1"/>
    <s v="Q2"/>
    <x v="3"/>
    <x v="0"/>
    <x v="0"/>
    <x v="0"/>
    <x v="4"/>
    <s v="Bluetooth Speaker"/>
    <n v="1"/>
    <n v="177.65"/>
    <n v="0.15"/>
    <x v="1"/>
    <n v="151"/>
    <n v="139.55000000000001"/>
    <n v="11.45"/>
    <n v="1"/>
    <n v="0"/>
    <n v="5"/>
    <n v="3"/>
  </r>
  <r>
    <s v="SW-103074"/>
    <d v="2025-04-02T00:00:00"/>
    <x v="1"/>
    <s v="Q2"/>
    <x v="3"/>
    <x v="0"/>
    <x v="3"/>
    <x v="1"/>
    <x v="2"/>
    <s v="Air Fryer"/>
    <n v="2"/>
    <n v="68.349999999999994"/>
    <n v="0"/>
    <x v="2"/>
    <n v="136.69999999999999"/>
    <n v="89.15"/>
    <n v="47.55"/>
    <n v="1"/>
    <n v="0"/>
    <n v="3"/>
    <n v="5"/>
  </r>
  <r>
    <s v="SW-103075"/>
    <d v="2025-04-02T00:00:00"/>
    <x v="1"/>
    <s v="Q2"/>
    <x v="3"/>
    <x v="2"/>
    <x v="3"/>
    <x v="0"/>
    <x v="0"/>
    <s v="Denim Jacket"/>
    <n v="2"/>
    <n v="78.510000000000005"/>
    <n v="0"/>
    <x v="2"/>
    <n v="157.02000000000001"/>
    <n v="87.17"/>
    <n v="69.849999999999994"/>
    <n v="1"/>
    <n v="0"/>
    <n v="4"/>
    <n v="5"/>
  </r>
  <r>
    <s v="SW-103076"/>
    <d v="2025-04-02T00:00:00"/>
    <x v="1"/>
    <s v="Q2"/>
    <x v="3"/>
    <x v="2"/>
    <x v="3"/>
    <x v="1"/>
    <x v="4"/>
    <s v="Tablet 10in"/>
    <n v="1"/>
    <n v="490.3"/>
    <n v="0.15"/>
    <x v="1"/>
    <n v="416.76"/>
    <n v="379.88"/>
    <n v="36.880000000000003"/>
    <n v="1"/>
    <n v="0"/>
    <n v="3"/>
    <n v="5"/>
  </r>
  <r>
    <s v="SW-103077"/>
    <d v="2025-04-03T00:00:00"/>
    <x v="1"/>
    <s v="Q2"/>
    <x v="3"/>
    <x v="1"/>
    <x v="2"/>
    <x v="0"/>
    <x v="0"/>
    <s v="Sunglasses"/>
    <n v="4"/>
    <n v="104.94"/>
    <n v="0.25"/>
    <x v="3"/>
    <n v="314.82"/>
    <n v="218.49"/>
    <n v="96.33"/>
    <n v="1"/>
    <n v="0"/>
    <n v="7"/>
    <n v="3"/>
  </r>
  <r>
    <s v="SW-103078"/>
    <d v="2025-04-03T00:00:00"/>
    <x v="1"/>
    <s v="Q2"/>
    <x v="3"/>
    <x v="0"/>
    <x v="3"/>
    <x v="1"/>
    <x v="0"/>
    <s v="Leather Handbag"/>
    <n v="1"/>
    <n v="138.5"/>
    <n v="0"/>
    <x v="2"/>
    <n v="138.5"/>
    <n v="77.67"/>
    <n v="60.83"/>
    <n v="1"/>
    <n v="0"/>
    <n v="4"/>
    <n v="4"/>
  </r>
  <r>
    <s v="SW-103079"/>
    <d v="2025-04-03T00:00:00"/>
    <x v="1"/>
    <s v="Q2"/>
    <x v="3"/>
    <x v="1"/>
    <x v="2"/>
    <x v="0"/>
    <x v="4"/>
    <s v="Wireless Earbuds"/>
    <n v="2"/>
    <n v="588.41"/>
    <n v="0.05"/>
    <x v="0"/>
    <n v="1117.98"/>
    <n v="926.73"/>
    <n v="191.25"/>
    <n v="1"/>
    <n v="0"/>
    <n v="6"/>
    <n v="3"/>
  </r>
  <r>
    <s v="SW-103080"/>
    <d v="2025-04-03T00:00:00"/>
    <x v="1"/>
    <s v="Q2"/>
    <x v="3"/>
    <x v="2"/>
    <x v="0"/>
    <x v="0"/>
    <x v="4"/>
    <s v="4K Action Camera"/>
    <n v="2"/>
    <n v="636.09"/>
    <n v="0.1"/>
    <x v="0"/>
    <n v="1144.96"/>
    <n v="1004.46"/>
    <n v="140.5"/>
    <n v="1"/>
    <n v="0"/>
    <n v="6"/>
    <n v="3"/>
  </r>
  <r>
    <s v="SW-103081"/>
    <d v="2025-04-03T00:00:00"/>
    <x v="1"/>
    <s v="Q2"/>
    <x v="3"/>
    <x v="0"/>
    <x v="3"/>
    <x v="0"/>
    <x v="1"/>
    <s v="Perfume 100ml"/>
    <n v="1"/>
    <n v="54.56"/>
    <n v="0.1"/>
    <x v="0"/>
    <n v="49.1"/>
    <n v="28.12"/>
    <n v="20.98"/>
    <n v="1"/>
    <n v="0"/>
    <n v="4"/>
    <n v="4"/>
  </r>
  <r>
    <s v="SW-103082"/>
    <d v="2025-04-03T00:00:00"/>
    <x v="1"/>
    <s v="Q2"/>
    <x v="3"/>
    <x v="1"/>
    <x v="4"/>
    <x v="0"/>
    <x v="1"/>
    <s v="Perfume 100ml"/>
    <n v="1"/>
    <n v="54.56"/>
    <n v="0"/>
    <x v="2"/>
    <n v="54.56"/>
    <n v="26.02"/>
    <n v="28.54"/>
    <n v="1"/>
    <n v="1"/>
    <n v="7"/>
    <n v="2"/>
  </r>
  <r>
    <s v="SW-103083"/>
    <d v="2025-04-04T00:00:00"/>
    <x v="1"/>
    <s v="Q2"/>
    <x v="3"/>
    <x v="2"/>
    <x v="0"/>
    <x v="0"/>
    <x v="2"/>
    <s v="Desk Lamp"/>
    <n v="2"/>
    <n v="117.63"/>
    <n v="0"/>
    <x v="2"/>
    <n v="235.26"/>
    <n v="155.88999999999999"/>
    <n v="79.37"/>
    <n v="1"/>
    <n v="0"/>
    <n v="7"/>
    <n v="3"/>
  </r>
  <r>
    <s v="SW-103084"/>
    <d v="2025-04-04T00:00:00"/>
    <x v="1"/>
    <s v="Q2"/>
    <x v="3"/>
    <x v="1"/>
    <x v="3"/>
    <x v="1"/>
    <x v="4"/>
    <s v="Bluetooth Speaker"/>
    <n v="1"/>
    <n v="177.65"/>
    <n v="0"/>
    <x v="2"/>
    <n v="177.65"/>
    <n v="138.63999999999999"/>
    <n v="39.01"/>
    <n v="1"/>
    <n v="0"/>
    <n v="2"/>
    <n v="5"/>
  </r>
  <r>
    <s v="SW-103085"/>
    <d v="2025-04-04T00:00:00"/>
    <x v="1"/>
    <s v="Q2"/>
    <x v="3"/>
    <x v="1"/>
    <x v="3"/>
    <x v="1"/>
    <x v="2"/>
    <s v="Bed Sheet Set"/>
    <n v="2"/>
    <n v="90.75"/>
    <n v="0.2"/>
    <x v="1"/>
    <n v="145.19999999999999"/>
    <n v="120.87"/>
    <n v="24.33"/>
    <n v="1"/>
    <n v="0"/>
    <n v="3"/>
    <n v="4"/>
  </r>
  <r>
    <s v="SW-103086"/>
    <d v="2025-04-04T00:00:00"/>
    <x v="1"/>
    <s v="Q2"/>
    <x v="3"/>
    <x v="1"/>
    <x v="0"/>
    <x v="1"/>
    <x v="2"/>
    <s v="Storage Boxes"/>
    <n v="1"/>
    <n v="154.66"/>
    <n v="0.2"/>
    <x v="1"/>
    <n v="123.73"/>
    <n v="105.09"/>
    <n v="18.64"/>
    <n v="1"/>
    <n v="0"/>
    <n v="4"/>
    <n v="5"/>
  </r>
  <r>
    <s v="SW-103087"/>
    <d v="2025-04-04T00:00:00"/>
    <x v="1"/>
    <s v="Q2"/>
    <x v="3"/>
    <x v="0"/>
    <x v="0"/>
    <x v="1"/>
    <x v="0"/>
    <s v="Cotton T-Shirt"/>
    <n v="3"/>
    <n v="19.41"/>
    <n v="0"/>
    <x v="2"/>
    <n v="58.23"/>
    <n v="31.72"/>
    <n v="26.51"/>
    <n v="1"/>
    <n v="0"/>
    <n v="3"/>
    <n v="4"/>
  </r>
  <r>
    <s v="SW-103088"/>
    <d v="2025-04-04T00:00:00"/>
    <x v="1"/>
    <s v="Q2"/>
    <x v="3"/>
    <x v="1"/>
    <x v="2"/>
    <x v="0"/>
    <x v="4"/>
    <s v="Bluetooth Speaker"/>
    <n v="1"/>
    <n v="177.65"/>
    <n v="0"/>
    <x v="2"/>
    <n v="177.65"/>
    <n v="151.94"/>
    <n v="25.71"/>
    <n v="1"/>
    <n v="0"/>
    <n v="4"/>
    <n v="5"/>
  </r>
  <r>
    <s v="SW-103089"/>
    <d v="2025-04-04T00:00:00"/>
    <x v="1"/>
    <s v="Q2"/>
    <x v="3"/>
    <x v="0"/>
    <x v="4"/>
    <x v="0"/>
    <x v="4"/>
    <s v="Power Bank"/>
    <n v="4"/>
    <n v="508.8"/>
    <n v="0.1"/>
    <x v="0"/>
    <n v="1831.68"/>
    <n v="1710.33"/>
    <n v="121.35"/>
    <n v="1"/>
    <n v="0"/>
    <n v="8"/>
    <n v="4"/>
  </r>
  <r>
    <s v="SW-103090"/>
    <d v="2025-04-05T00:00:00"/>
    <x v="1"/>
    <s v="Q2"/>
    <x v="3"/>
    <x v="1"/>
    <x v="0"/>
    <x v="1"/>
    <x v="5"/>
    <s v="Story Book Set"/>
    <n v="1"/>
    <n v="10.76"/>
    <n v="0.15"/>
    <x v="1"/>
    <n v="9.15"/>
    <n v="7.52"/>
    <n v="1.63"/>
    <n v="1"/>
    <n v="0"/>
    <n v="6"/>
    <n v="3"/>
  </r>
  <r>
    <s v="SW-103091"/>
    <d v="2025-04-05T00:00:00"/>
    <x v="1"/>
    <s v="Q2"/>
    <x v="3"/>
    <x v="0"/>
    <x v="2"/>
    <x v="1"/>
    <x v="5"/>
    <s v="Board Game"/>
    <n v="2"/>
    <n v="57.92"/>
    <n v="0"/>
    <x v="2"/>
    <n v="115.84"/>
    <n v="82.54"/>
    <n v="33.299999999999997"/>
    <n v="1"/>
    <n v="0"/>
    <n v="3"/>
    <n v="5"/>
  </r>
  <r>
    <s v="SW-103092"/>
    <d v="2025-04-05T00:00:00"/>
    <x v="1"/>
    <s v="Q2"/>
    <x v="3"/>
    <x v="1"/>
    <x v="4"/>
    <x v="0"/>
    <x v="0"/>
    <s v="Cotton T-Shirt"/>
    <n v="1"/>
    <n v="19.41"/>
    <n v="0.1"/>
    <x v="0"/>
    <n v="17.47"/>
    <n v="10.32"/>
    <n v="7.15"/>
    <n v="1"/>
    <n v="0"/>
    <n v="5"/>
    <n v="5"/>
  </r>
  <r>
    <s v="SW-103093"/>
    <d v="2025-04-05T00:00:00"/>
    <x v="1"/>
    <s v="Q2"/>
    <x v="3"/>
    <x v="2"/>
    <x v="3"/>
    <x v="1"/>
    <x v="4"/>
    <s v="Tablet 10in"/>
    <n v="1"/>
    <n v="490.3"/>
    <n v="0"/>
    <x v="2"/>
    <n v="490.3"/>
    <n v="399.19"/>
    <n v="91.11"/>
    <n v="1"/>
    <n v="0"/>
    <n v="2"/>
    <n v="5"/>
  </r>
  <r>
    <s v="SW-103094"/>
    <d v="2025-04-05T00:00:00"/>
    <x v="1"/>
    <s v="Q2"/>
    <x v="3"/>
    <x v="1"/>
    <x v="0"/>
    <x v="1"/>
    <x v="1"/>
    <s v="Hair Dryer"/>
    <n v="2"/>
    <n v="33.18"/>
    <n v="0.15"/>
    <x v="1"/>
    <n v="56.41"/>
    <n v="32.54"/>
    <n v="23.87"/>
    <n v="1"/>
    <n v="0"/>
    <n v="4"/>
    <n v="5"/>
  </r>
  <r>
    <s v="SW-103095"/>
    <d v="2025-04-05T00:00:00"/>
    <x v="1"/>
    <s v="Q2"/>
    <x v="3"/>
    <x v="1"/>
    <x v="0"/>
    <x v="0"/>
    <x v="3"/>
    <s v="Yoga Mat"/>
    <n v="1"/>
    <n v="137.05000000000001"/>
    <n v="0.1"/>
    <x v="0"/>
    <n v="123.35"/>
    <n v="91.39"/>
    <n v="31.96"/>
    <n v="1"/>
    <n v="0"/>
    <n v="3"/>
    <n v="4"/>
  </r>
  <r>
    <s v="SW-103096"/>
    <d v="2025-04-05T00:00:00"/>
    <x v="1"/>
    <s v="Q2"/>
    <x v="3"/>
    <x v="0"/>
    <x v="1"/>
    <x v="1"/>
    <x v="5"/>
    <s v="Board Game"/>
    <n v="1"/>
    <n v="57.92"/>
    <n v="0.1"/>
    <x v="0"/>
    <n v="52.13"/>
    <n v="42.48"/>
    <n v="9.65"/>
    <n v="1"/>
    <n v="0"/>
    <n v="6"/>
    <n v="3"/>
  </r>
  <r>
    <s v="SW-103097"/>
    <d v="2025-04-05T00:00:00"/>
    <x v="1"/>
    <s v="Q2"/>
    <x v="3"/>
    <x v="1"/>
    <x v="0"/>
    <x v="1"/>
    <x v="5"/>
    <s v="Board Game"/>
    <n v="1"/>
    <n v="57.92"/>
    <n v="0.2"/>
    <x v="1"/>
    <n v="46.34"/>
    <n v="40.36"/>
    <n v="5.98"/>
    <n v="1"/>
    <n v="0"/>
    <n v="4"/>
    <n v="4"/>
  </r>
  <r>
    <s v="SW-103098"/>
    <d v="2025-04-06T00:00:00"/>
    <x v="1"/>
    <s v="Q2"/>
    <x v="3"/>
    <x v="1"/>
    <x v="3"/>
    <x v="1"/>
    <x v="4"/>
    <s v="Wireless Earbuds"/>
    <n v="1"/>
    <n v="588.41"/>
    <n v="0.05"/>
    <x v="0"/>
    <n v="558.99"/>
    <n v="481.46"/>
    <n v="77.53"/>
    <n v="1"/>
    <n v="0"/>
    <n v="2"/>
    <n v="5"/>
  </r>
  <r>
    <s v="SW-103099"/>
    <d v="2025-04-06T00:00:00"/>
    <x v="1"/>
    <s v="Q2"/>
    <x v="3"/>
    <x v="1"/>
    <x v="0"/>
    <x v="0"/>
    <x v="4"/>
    <s v="4K Action Camera"/>
    <n v="1"/>
    <n v="636.09"/>
    <n v="0.2"/>
    <x v="1"/>
    <n v="508.87"/>
    <n v="487.27"/>
    <n v="21.6"/>
    <n v="1"/>
    <n v="0"/>
    <n v="3"/>
    <n v="4"/>
  </r>
  <r>
    <s v="SW-103100"/>
    <d v="2025-04-06T00:00:00"/>
    <x v="1"/>
    <s v="Q2"/>
    <x v="3"/>
    <x v="1"/>
    <x v="2"/>
    <x v="0"/>
    <x v="2"/>
    <s v="Coffee Maker"/>
    <n v="4"/>
    <n v="148.05000000000001"/>
    <n v="0.1"/>
    <x v="0"/>
    <n v="532.98"/>
    <n v="395.49"/>
    <n v="137.49"/>
    <n v="1"/>
    <n v="0"/>
    <n v="3"/>
    <n v="4"/>
  </r>
  <r>
    <s v="SW-103101"/>
    <d v="2025-04-07T00:00:00"/>
    <x v="1"/>
    <s v="Q2"/>
    <x v="3"/>
    <x v="1"/>
    <x v="1"/>
    <x v="0"/>
    <x v="1"/>
    <s v="Skin Care Bundle"/>
    <n v="1"/>
    <n v="92.54"/>
    <n v="0.25"/>
    <x v="3"/>
    <n v="69.400000000000006"/>
    <n v="44.19"/>
    <n v="25.21"/>
    <n v="1"/>
    <n v="0"/>
    <n v="6"/>
    <n v="4"/>
  </r>
  <r>
    <s v="SW-103102"/>
    <d v="2025-04-07T00:00:00"/>
    <x v="1"/>
    <s v="Q2"/>
    <x v="3"/>
    <x v="1"/>
    <x v="3"/>
    <x v="0"/>
    <x v="4"/>
    <s v="Tablet 10in"/>
    <n v="2"/>
    <n v="490.3"/>
    <n v="0.05"/>
    <x v="0"/>
    <n v="931.57"/>
    <n v="812.42"/>
    <n v="119.15"/>
    <n v="1"/>
    <n v="0"/>
    <n v="2"/>
    <n v="4"/>
  </r>
  <r>
    <s v="SW-103103"/>
    <d v="2025-04-07T00:00:00"/>
    <x v="1"/>
    <s v="Q2"/>
    <x v="3"/>
    <x v="1"/>
    <x v="3"/>
    <x v="1"/>
    <x v="4"/>
    <s v="Power Bank"/>
    <n v="1"/>
    <n v="508.8"/>
    <n v="0.15"/>
    <x v="1"/>
    <n v="432.48"/>
    <n v="410.82"/>
    <n v="21.66"/>
    <n v="1"/>
    <n v="0"/>
    <n v="3"/>
    <n v="4"/>
  </r>
  <r>
    <s v="SW-103104"/>
    <d v="2025-04-07T00:00:00"/>
    <x v="1"/>
    <s v="Q2"/>
    <x v="3"/>
    <x v="2"/>
    <x v="2"/>
    <x v="0"/>
    <x v="1"/>
    <s v="Face Serum"/>
    <n v="1"/>
    <n v="33.479999999999997"/>
    <n v="0.1"/>
    <x v="0"/>
    <n v="30.13"/>
    <n v="15.83"/>
    <n v="14.3"/>
    <n v="1"/>
    <n v="0"/>
    <n v="3"/>
    <n v="5"/>
  </r>
  <r>
    <s v="SW-103105"/>
    <d v="2025-04-07T00:00:00"/>
    <x v="1"/>
    <s v="Q2"/>
    <x v="3"/>
    <x v="0"/>
    <x v="0"/>
    <x v="1"/>
    <x v="0"/>
    <s v="Leather Handbag"/>
    <n v="1"/>
    <n v="138.5"/>
    <n v="0.1"/>
    <x v="0"/>
    <n v="124.65"/>
    <n v="75.94"/>
    <n v="48.71"/>
    <n v="1"/>
    <n v="0"/>
    <n v="3"/>
    <n v="5"/>
  </r>
  <r>
    <s v="SW-103106"/>
    <d v="2025-04-07T00:00:00"/>
    <x v="1"/>
    <s v="Q2"/>
    <x v="3"/>
    <x v="1"/>
    <x v="4"/>
    <x v="0"/>
    <x v="4"/>
    <s v="4K Action Camera"/>
    <n v="1"/>
    <n v="636.09"/>
    <n v="0.05"/>
    <x v="0"/>
    <n v="604.29"/>
    <n v="522.66999999999996"/>
    <n v="81.62"/>
    <n v="1"/>
    <n v="0"/>
    <n v="6"/>
    <n v="3"/>
  </r>
  <r>
    <s v="SW-103107"/>
    <d v="2025-04-07T00:00:00"/>
    <x v="1"/>
    <s v="Q2"/>
    <x v="3"/>
    <x v="2"/>
    <x v="4"/>
    <x v="1"/>
    <x v="3"/>
    <s v="Yoga Mat"/>
    <n v="1"/>
    <n v="137.05000000000001"/>
    <n v="0.1"/>
    <x v="0"/>
    <n v="123.35"/>
    <n v="92.68"/>
    <n v="30.67"/>
    <n v="1"/>
    <n v="0"/>
    <n v="8"/>
    <n v="3"/>
  </r>
  <r>
    <s v="SW-103108"/>
    <d v="2025-04-07T00:00:00"/>
    <x v="1"/>
    <s v="Q2"/>
    <x v="3"/>
    <x v="0"/>
    <x v="1"/>
    <x v="1"/>
    <x v="2"/>
    <s v="Bed Sheet Set"/>
    <n v="1"/>
    <n v="90.75"/>
    <n v="0"/>
    <x v="2"/>
    <n v="90.75"/>
    <n v="60.75"/>
    <n v="30"/>
    <n v="1"/>
    <n v="0"/>
    <n v="7"/>
    <n v="3"/>
  </r>
  <r>
    <s v="SW-103109"/>
    <d v="2025-04-07T00:00:00"/>
    <x v="1"/>
    <s v="Q2"/>
    <x v="3"/>
    <x v="2"/>
    <x v="3"/>
    <x v="0"/>
    <x v="4"/>
    <s v="Tablet 10in"/>
    <n v="1"/>
    <n v="490.3"/>
    <n v="0.2"/>
    <x v="1"/>
    <n v="392.24"/>
    <n v="398.7"/>
    <n v="-6.46"/>
    <n v="1"/>
    <n v="0"/>
    <n v="4"/>
    <n v="4"/>
  </r>
  <r>
    <s v="SW-103110"/>
    <d v="2025-04-08T00:00:00"/>
    <x v="1"/>
    <s v="Q2"/>
    <x v="3"/>
    <x v="0"/>
    <x v="0"/>
    <x v="1"/>
    <x v="1"/>
    <s v="Perfume 100ml"/>
    <n v="2"/>
    <n v="54.56"/>
    <n v="0.3"/>
    <x v="3"/>
    <n v="76.38"/>
    <n v="53.39"/>
    <n v="22.99"/>
    <n v="1"/>
    <n v="0"/>
    <n v="3"/>
    <n v="4"/>
  </r>
  <r>
    <s v="SW-103111"/>
    <d v="2025-04-08T00:00:00"/>
    <x v="1"/>
    <s v="Q2"/>
    <x v="3"/>
    <x v="1"/>
    <x v="0"/>
    <x v="0"/>
    <x v="4"/>
    <s v="Wireless Earbuds"/>
    <n v="2"/>
    <n v="588.41"/>
    <n v="0.15"/>
    <x v="1"/>
    <n v="1000.3"/>
    <n v="960.21"/>
    <n v="40.090000000000003"/>
    <n v="1"/>
    <n v="0"/>
    <n v="5"/>
    <n v="5"/>
  </r>
  <r>
    <s v="SW-103112"/>
    <d v="2025-04-08T00:00:00"/>
    <x v="1"/>
    <s v="Q2"/>
    <x v="3"/>
    <x v="1"/>
    <x v="3"/>
    <x v="1"/>
    <x v="1"/>
    <s v="Face Serum"/>
    <n v="3"/>
    <n v="33.479999999999997"/>
    <n v="0"/>
    <x v="2"/>
    <n v="100.44"/>
    <n v="48.95"/>
    <n v="51.49"/>
    <n v="1"/>
    <n v="0"/>
    <n v="3"/>
    <n v="5"/>
  </r>
  <r>
    <s v="SW-103113"/>
    <d v="2025-04-08T00:00:00"/>
    <x v="1"/>
    <s v="Q2"/>
    <x v="3"/>
    <x v="2"/>
    <x v="2"/>
    <x v="1"/>
    <x v="1"/>
    <s v="Skin Care Bundle"/>
    <n v="1"/>
    <n v="92.54"/>
    <n v="0.05"/>
    <x v="0"/>
    <n v="87.91"/>
    <n v="45.33"/>
    <n v="42.58"/>
    <n v="1"/>
    <n v="0"/>
    <n v="5"/>
    <n v="4"/>
  </r>
  <r>
    <s v="SW-103114"/>
    <d v="2025-04-08T00:00:00"/>
    <x v="1"/>
    <s v="Q2"/>
    <x v="3"/>
    <x v="1"/>
    <x v="4"/>
    <x v="1"/>
    <x v="0"/>
    <s v="Sunglasses"/>
    <n v="1"/>
    <n v="104.94"/>
    <n v="0.05"/>
    <x v="0"/>
    <n v="99.69"/>
    <n v="57.33"/>
    <n v="42.36"/>
    <n v="1"/>
    <n v="0"/>
    <n v="5"/>
    <n v="4"/>
  </r>
  <r>
    <s v="SW-103115"/>
    <d v="2025-04-09T00:00:00"/>
    <x v="1"/>
    <s v="Q2"/>
    <x v="3"/>
    <x v="2"/>
    <x v="0"/>
    <x v="1"/>
    <x v="1"/>
    <s v="Makeup Kit"/>
    <n v="1"/>
    <n v="74.3"/>
    <n v="0"/>
    <x v="2"/>
    <n v="74.3"/>
    <n v="34.82"/>
    <n v="39.479999999999997"/>
    <n v="1"/>
    <n v="0"/>
    <n v="5"/>
    <n v="4"/>
  </r>
  <r>
    <s v="SW-103116"/>
    <d v="2025-04-09T00:00:00"/>
    <x v="1"/>
    <s v="Q2"/>
    <x v="3"/>
    <x v="2"/>
    <x v="0"/>
    <x v="1"/>
    <x v="3"/>
    <s v="Camping Tent"/>
    <n v="1"/>
    <n v="83.06"/>
    <n v="0"/>
    <x v="2"/>
    <n v="83.06"/>
    <n v="57.66"/>
    <n v="25.4"/>
    <n v="1"/>
    <n v="0"/>
    <n v="4"/>
    <n v="5"/>
  </r>
  <r>
    <s v="SW-103117"/>
    <d v="2025-04-09T00:00:00"/>
    <x v="1"/>
    <s v="Q2"/>
    <x v="3"/>
    <x v="0"/>
    <x v="3"/>
    <x v="1"/>
    <x v="3"/>
    <s v="Camping Tent"/>
    <n v="2"/>
    <n v="83.06"/>
    <n v="0.3"/>
    <x v="3"/>
    <n v="116.28"/>
    <n v="111.45"/>
    <n v="4.83"/>
    <n v="1"/>
    <n v="0"/>
    <n v="5"/>
    <n v="5"/>
  </r>
  <r>
    <s v="SW-103118"/>
    <d v="2025-04-09T00:00:00"/>
    <x v="1"/>
    <s v="Q2"/>
    <x v="3"/>
    <x v="1"/>
    <x v="2"/>
    <x v="1"/>
    <x v="1"/>
    <s v="Hair Dryer"/>
    <n v="1"/>
    <n v="33.18"/>
    <n v="0"/>
    <x v="2"/>
    <n v="33.18"/>
    <n v="15.94"/>
    <n v="17.239999999999998"/>
    <n v="1"/>
    <n v="0"/>
    <n v="3"/>
    <n v="4"/>
  </r>
  <r>
    <s v="SW-103119"/>
    <d v="2025-04-09T00:00:00"/>
    <x v="1"/>
    <s v="Q2"/>
    <x v="3"/>
    <x v="0"/>
    <x v="3"/>
    <x v="1"/>
    <x v="3"/>
    <s v="Yoga Mat"/>
    <n v="2"/>
    <n v="137.05000000000001"/>
    <n v="0"/>
    <x v="2"/>
    <n v="274.10000000000002"/>
    <n v="184.38"/>
    <n v="89.72"/>
    <n v="1"/>
    <n v="0"/>
    <n v="2"/>
    <n v="5"/>
  </r>
  <r>
    <s v="SW-103120"/>
    <d v="2025-04-09T00:00:00"/>
    <x v="1"/>
    <s v="Q2"/>
    <x v="3"/>
    <x v="0"/>
    <x v="0"/>
    <x v="1"/>
    <x v="1"/>
    <s v="Hair Dryer"/>
    <n v="2"/>
    <n v="33.18"/>
    <n v="0.25"/>
    <x v="3"/>
    <n v="49.77"/>
    <n v="32.67"/>
    <n v="17.100000000000001"/>
    <n v="1"/>
    <n v="0"/>
    <n v="3"/>
    <n v="5"/>
  </r>
  <r>
    <s v="SW-103121"/>
    <d v="2025-04-09T00:00:00"/>
    <x v="1"/>
    <s v="Q2"/>
    <x v="3"/>
    <x v="2"/>
    <x v="2"/>
    <x v="1"/>
    <x v="3"/>
    <s v="Fitness Tracker"/>
    <n v="1"/>
    <n v="74.459999999999994"/>
    <n v="0"/>
    <x v="2"/>
    <n v="74.459999999999994"/>
    <n v="48.5"/>
    <n v="25.96"/>
    <n v="1"/>
    <n v="0"/>
    <n v="5"/>
    <n v="4"/>
  </r>
  <r>
    <s v="SW-103122"/>
    <d v="2025-04-09T00:00:00"/>
    <x v="1"/>
    <s v="Q2"/>
    <x v="3"/>
    <x v="0"/>
    <x v="3"/>
    <x v="1"/>
    <x v="4"/>
    <s v="Power Bank"/>
    <n v="2"/>
    <n v="508.8"/>
    <n v="0.1"/>
    <x v="0"/>
    <n v="915.84"/>
    <n v="851.89"/>
    <n v="63.95"/>
    <n v="1"/>
    <n v="0"/>
    <n v="3"/>
    <n v="5"/>
  </r>
  <r>
    <s v="SW-103123"/>
    <d v="2025-04-10T00:00:00"/>
    <x v="1"/>
    <s v="Q2"/>
    <x v="3"/>
    <x v="0"/>
    <x v="1"/>
    <x v="1"/>
    <x v="1"/>
    <s v="Skin Care Bundle"/>
    <n v="1"/>
    <n v="92.54"/>
    <n v="0.2"/>
    <x v="1"/>
    <n v="74.03"/>
    <n v="45.68"/>
    <n v="28.35"/>
    <n v="1"/>
    <n v="0"/>
    <n v="6"/>
    <n v="3"/>
  </r>
  <r>
    <s v="SW-103124"/>
    <d v="2025-04-10T00:00:00"/>
    <x v="1"/>
    <s v="Q2"/>
    <x v="3"/>
    <x v="1"/>
    <x v="0"/>
    <x v="1"/>
    <x v="2"/>
    <s v="Air Fryer"/>
    <n v="2"/>
    <n v="68.349999999999994"/>
    <n v="0.05"/>
    <x v="0"/>
    <n v="129.86000000000001"/>
    <n v="88.65"/>
    <n v="41.21"/>
    <n v="1"/>
    <n v="0"/>
    <n v="3"/>
    <n v="5"/>
  </r>
  <r>
    <s v="SW-103125"/>
    <d v="2025-04-10T00:00:00"/>
    <x v="1"/>
    <s v="Q2"/>
    <x v="3"/>
    <x v="1"/>
    <x v="3"/>
    <x v="0"/>
    <x v="4"/>
    <s v="4K Action Camera"/>
    <n v="1"/>
    <n v="636.09"/>
    <n v="0"/>
    <x v="2"/>
    <n v="636.09"/>
    <n v="521.91"/>
    <n v="114.18"/>
    <n v="1"/>
    <n v="0"/>
    <n v="2"/>
    <n v="4"/>
  </r>
  <r>
    <s v="SW-103126"/>
    <d v="2025-04-10T00:00:00"/>
    <x v="1"/>
    <s v="Q2"/>
    <x v="3"/>
    <x v="1"/>
    <x v="3"/>
    <x v="0"/>
    <x v="0"/>
    <s v="Running Sneakers"/>
    <n v="1"/>
    <n v="94.85"/>
    <n v="0.05"/>
    <x v="0"/>
    <n v="90.11"/>
    <n v="49"/>
    <n v="41.11"/>
    <n v="1"/>
    <n v="1"/>
    <n v="3"/>
    <n v="4"/>
  </r>
  <r>
    <s v="SW-103127"/>
    <d v="2025-04-10T00:00:00"/>
    <x v="1"/>
    <s v="Q2"/>
    <x v="3"/>
    <x v="2"/>
    <x v="3"/>
    <x v="1"/>
    <x v="3"/>
    <s v="Yoga Mat"/>
    <n v="1"/>
    <n v="137.05000000000001"/>
    <n v="0.15"/>
    <x v="1"/>
    <n v="116.49"/>
    <n v="92.12"/>
    <n v="24.37"/>
    <n v="1"/>
    <n v="0"/>
    <n v="2"/>
    <n v="4"/>
  </r>
  <r>
    <s v="SW-103128"/>
    <d v="2025-04-10T00:00:00"/>
    <x v="1"/>
    <s v="Q2"/>
    <x v="3"/>
    <x v="0"/>
    <x v="0"/>
    <x v="1"/>
    <x v="5"/>
    <s v="Bestseller Novel"/>
    <n v="2"/>
    <n v="45.28"/>
    <n v="0"/>
    <x v="2"/>
    <n v="90.56"/>
    <n v="65.44"/>
    <n v="25.12"/>
    <n v="1"/>
    <n v="0"/>
    <n v="3"/>
    <n v="5"/>
  </r>
  <r>
    <s v="SW-103129"/>
    <d v="2025-04-10T00:00:00"/>
    <x v="1"/>
    <s v="Q2"/>
    <x v="3"/>
    <x v="1"/>
    <x v="0"/>
    <x v="1"/>
    <x v="4"/>
    <s v="Power Bank"/>
    <n v="3"/>
    <n v="508.8"/>
    <n v="0.15"/>
    <x v="1"/>
    <n v="1297.44"/>
    <n v="1240.52"/>
    <n v="56.92"/>
    <n v="1"/>
    <n v="0"/>
    <n v="4"/>
    <n v="4"/>
  </r>
  <r>
    <s v="SW-103130"/>
    <d v="2025-04-10T00:00:00"/>
    <x v="1"/>
    <s v="Q2"/>
    <x v="3"/>
    <x v="0"/>
    <x v="0"/>
    <x v="0"/>
    <x v="1"/>
    <s v="Perfume 100ml"/>
    <n v="1"/>
    <n v="54.56"/>
    <n v="0"/>
    <x v="2"/>
    <n v="54.56"/>
    <n v="24.61"/>
    <n v="29.95"/>
    <n v="1"/>
    <n v="0"/>
    <n v="3"/>
    <n v="5"/>
  </r>
  <r>
    <s v="SW-103131"/>
    <d v="2025-04-11T00:00:00"/>
    <x v="1"/>
    <s v="Q2"/>
    <x v="3"/>
    <x v="2"/>
    <x v="0"/>
    <x v="1"/>
    <x v="4"/>
    <s v="Wireless Earbuds"/>
    <n v="1"/>
    <n v="588.41"/>
    <n v="0.05"/>
    <x v="0"/>
    <n v="558.99"/>
    <n v="494.05"/>
    <n v="64.94"/>
    <n v="1"/>
    <n v="0"/>
    <n v="5"/>
    <n v="5"/>
  </r>
  <r>
    <s v="SW-103132"/>
    <d v="2025-04-11T00:00:00"/>
    <x v="1"/>
    <s v="Q2"/>
    <x v="3"/>
    <x v="1"/>
    <x v="2"/>
    <x v="1"/>
    <x v="4"/>
    <s v="Power Bank"/>
    <n v="3"/>
    <n v="508.8"/>
    <n v="0"/>
    <x v="2"/>
    <n v="1526.4"/>
    <n v="1159.81"/>
    <n v="366.59"/>
    <n v="1"/>
    <n v="0"/>
    <n v="3"/>
    <n v="4"/>
  </r>
  <r>
    <s v="SW-103133"/>
    <d v="2025-04-11T00:00:00"/>
    <x v="1"/>
    <s v="Q2"/>
    <x v="3"/>
    <x v="0"/>
    <x v="0"/>
    <x v="1"/>
    <x v="0"/>
    <s v="Summer Dress"/>
    <n v="3"/>
    <n v="33.99"/>
    <n v="0.1"/>
    <x v="0"/>
    <n v="91.77"/>
    <n v="54.04"/>
    <n v="37.729999999999997"/>
    <n v="1"/>
    <n v="1"/>
    <n v="4"/>
    <n v="4"/>
  </r>
  <r>
    <s v="SW-103134"/>
    <d v="2025-04-11T00:00:00"/>
    <x v="1"/>
    <s v="Q2"/>
    <x v="3"/>
    <x v="1"/>
    <x v="3"/>
    <x v="0"/>
    <x v="5"/>
    <s v="Building Blocks"/>
    <n v="3"/>
    <n v="48.86"/>
    <n v="0.05"/>
    <x v="0"/>
    <n v="139.25"/>
    <n v="109.45"/>
    <n v="29.8"/>
    <n v="1"/>
    <n v="0"/>
    <n v="3"/>
    <n v="4"/>
  </r>
  <r>
    <s v="SW-103135"/>
    <d v="2025-04-11T00:00:00"/>
    <x v="1"/>
    <s v="Q2"/>
    <x v="3"/>
    <x v="2"/>
    <x v="3"/>
    <x v="1"/>
    <x v="3"/>
    <s v="Cycling Helmet"/>
    <n v="1"/>
    <n v="85.42"/>
    <n v="0.15"/>
    <x v="1"/>
    <n v="72.61"/>
    <n v="55"/>
    <n v="17.61"/>
    <n v="1"/>
    <n v="0"/>
    <n v="2"/>
    <n v="5"/>
  </r>
  <r>
    <s v="SW-103136"/>
    <d v="2025-04-11T00:00:00"/>
    <x v="1"/>
    <s v="Q2"/>
    <x v="3"/>
    <x v="2"/>
    <x v="3"/>
    <x v="0"/>
    <x v="0"/>
    <s v="Summer Dress"/>
    <n v="3"/>
    <n v="33.99"/>
    <n v="0.05"/>
    <x v="0"/>
    <n v="96.87"/>
    <n v="51.53"/>
    <n v="45.34"/>
    <n v="1"/>
    <n v="0"/>
    <n v="2"/>
    <n v="5"/>
  </r>
  <r>
    <s v="SW-103137"/>
    <d v="2025-04-11T00:00:00"/>
    <x v="1"/>
    <s v="Q2"/>
    <x v="3"/>
    <x v="2"/>
    <x v="3"/>
    <x v="0"/>
    <x v="0"/>
    <s v="Running Sneakers"/>
    <n v="2"/>
    <n v="94.85"/>
    <n v="0.1"/>
    <x v="0"/>
    <n v="170.73"/>
    <n v="102.43"/>
    <n v="68.3"/>
    <n v="1"/>
    <n v="0"/>
    <n v="3"/>
    <n v="5"/>
  </r>
  <r>
    <s v="SW-103138"/>
    <d v="2025-04-12T00:00:00"/>
    <x v="1"/>
    <s v="Q2"/>
    <x v="3"/>
    <x v="2"/>
    <x v="4"/>
    <x v="1"/>
    <x v="0"/>
    <s v="Leather Handbag"/>
    <n v="1"/>
    <n v="138.5"/>
    <n v="0"/>
    <x v="2"/>
    <n v="138.5"/>
    <n v="76.63"/>
    <n v="61.87"/>
    <n v="1"/>
    <n v="0"/>
    <n v="5"/>
    <n v="5"/>
  </r>
  <r>
    <s v="SW-103139"/>
    <d v="2025-04-12T00:00:00"/>
    <x v="1"/>
    <s v="Q2"/>
    <x v="3"/>
    <x v="1"/>
    <x v="3"/>
    <x v="0"/>
    <x v="4"/>
    <s v="Power Bank"/>
    <n v="2"/>
    <n v="508.8"/>
    <n v="0"/>
    <x v="2"/>
    <n v="1017.6"/>
    <n v="817.24"/>
    <n v="200.36"/>
    <n v="1"/>
    <n v="1"/>
    <n v="2"/>
    <n v="2"/>
  </r>
  <r>
    <s v="SW-103140"/>
    <d v="2025-04-12T00:00:00"/>
    <x v="1"/>
    <s v="Q2"/>
    <x v="3"/>
    <x v="0"/>
    <x v="4"/>
    <x v="1"/>
    <x v="0"/>
    <s v="Summer Dress"/>
    <n v="2"/>
    <n v="33.99"/>
    <n v="0.3"/>
    <x v="3"/>
    <n v="47.59"/>
    <n v="36.340000000000003"/>
    <n v="11.25"/>
    <n v="1"/>
    <n v="0"/>
    <n v="5"/>
    <n v="4"/>
  </r>
  <r>
    <s v="SW-103141"/>
    <d v="2025-04-12T00:00:00"/>
    <x v="1"/>
    <s v="Q2"/>
    <x v="3"/>
    <x v="1"/>
    <x v="0"/>
    <x v="1"/>
    <x v="0"/>
    <s v="Sunglasses"/>
    <n v="3"/>
    <n v="104.94"/>
    <n v="0.2"/>
    <x v="1"/>
    <n v="251.86"/>
    <n v="174.07"/>
    <n v="77.790000000000006"/>
    <n v="1"/>
    <n v="0"/>
    <n v="4"/>
    <n v="3"/>
  </r>
  <r>
    <s v="SW-103142"/>
    <d v="2025-04-12T00:00:00"/>
    <x v="1"/>
    <s v="Q2"/>
    <x v="3"/>
    <x v="1"/>
    <x v="0"/>
    <x v="1"/>
    <x v="5"/>
    <s v="Building Blocks"/>
    <n v="1"/>
    <n v="48.86"/>
    <n v="0.1"/>
    <x v="0"/>
    <n v="43.97"/>
    <n v="36.01"/>
    <n v="7.96"/>
    <n v="1"/>
    <n v="0"/>
    <n v="6"/>
    <n v="4"/>
  </r>
  <r>
    <s v="SW-103143"/>
    <d v="2025-04-12T00:00:00"/>
    <x v="1"/>
    <s v="Q2"/>
    <x v="3"/>
    <x v="2"/>
    <x v="3"/>
    <x v="1"/>
    <x v="3"/>
    <s v="Camping Tent"/>
    <n v="3"/>
    <n v="83.06"/>
    <n v="0.1"/>
    <x v="0"/>
    <n v="224.26"/>
    <n v="160.69999999999999"/>
    <n v="63.56"/>
    <n v="1"/>
    <n v="0"/>
    <n v="2"/>
    <n v="4"/>
  </r>
  <r>
    <s v="SW-103144"/>
    <d v="2025-04-12T00:00:00"/>
    <x v="1"/>
    <s v="Q2"/>
    <x v="3"/>
    <x v="0"/>
    <x v="1"/>
    <x v="1"/>
    <x v="0"/>
    <s v="Summer Dress"/>
    <n v="1"/>
    <n v="33.99"/>
    <n v="0.2"/>
    <x v="1"/>
    <n v="27.19"/>
    <n v="17.5"/>
    <n v="9.69"/>
    <n v="1"/>
    <n v="0"/>
    <n v="6"/>
    <n v="3"/>
  </r>
  <r>
    <s v="SW-103145"/>
    <d v="2025-04-12T00:00:00"/>
    <x v="1"/>
    <s v="Q2"/>
    <x v="3"/>
    <x v="1"/>
    <x v="0"/>
    <x v="1"/>
    <x v="4"/>
    <s v="Tablet 10in"/>
    <n v="1"/>
    <n v="490.3"/>
    <n v="0.2"/>
    <x v="1"/>
    <n v="392.24"/>
    <n v="386.8"/>
    <n v="5.44"/>
    <n v="1"/>
    <n v="0"/>
    <n v="3"/>
    <n v="5"/>
  </r>
  <r>
    <s v="SW-103146"/>
    <d v="2025-04-13T00:00:00"/>
    <x v="1"/>
    <s v="Q2"/>
    <x v="3"/>
    <x v="0"/>
    <x v="3"/>
    <x v="0"/>
    <x v="2"/>
    <s v="Air Fryer"/>
    <n v="1"/>
    <n v="68.349999999999994"/>
    <n v="0"/>
    <x v="2"/>
    <n v="68.349999999999994"/>
    <n v="47.99"/>
    <n v="20.36"/>
    <n v="1"/>
    <n v="0"/>
    <n v="3"/>
    <n v="4"/>
  </r>
  <r>
    <s v="SW-103147"/>
    <d v="2025-04-13T00:00:00"/>
    <x v="1"/>
    <s v="Q2"/>
    <x v="3"/>
    <x v="0"/>
    <x v="2"/>
    <x v="1"/>
    <x v="2"/>
    <s v="Storage Boxes"/>
    <n v="2"/>
    <n v="154.66"/>
    <n v="0.05"/>
    <x v="0"/>
    <n v="293.85000000000002"/>
    <n v="203.25"/>
    <n v="90.6"/>
    <n v="1"/>
    <n v="0"/>
    <n v="3"/>
    <n v="4"/>
  </r>
  <r>
    <s v="SW-103148"/>
    <d v="2025-04-13T00:00:00"/>
    <x v="1"/>
    <s v="Q2"/>
    <x v="3"/>
    <x v="1"/>
    <x v="2"/>
    <x v="1"/>
    <x v="3"/>
    <s v="Yoga Mat"/>
    <n v="1"/>
    <n v="137.05000000000001"/>
    <n v="0.15"/>
    <x v="1"/>
    <n v="116.49"/>
    <n v="92.36"/>
    <n v="24.13"/>
    <n v="1"/>
    <n v="0"/>
    <n v="4"/>
    <n v="4"/>
  </r>
  <r>
    <s v="SW-103149"/>
    <d v="2025-04-13T00:00:00"/>
    <x v="1"/>
    <s v="Q2"/>
    <x v="3"/>
    <x v="1"/>
    <x v="3"/>
    <x v="0"/>
    <x v="3"/>
    <s v="Yoga Mat"/>
    <n v="1"/>
    <n v="137.05000000000001"/>
    <n v="0"/>
    <x v="2"/>
    <n v="137.05000000000001"/>
    <n v="83.9"/>
    <n v="53.15"/>
    <n v="1"/>
    <n v="0"/>
    <n v="3"/>
    <n v="4"/>
  </r>
  <r>
    <s v="SW-103150"/>
    <d v="2025-04-13T00:00:00"/>
    <x v="1"/>
    <s v="Q2"/>
    <x v="3"/>
    <x v="1"/>
    <x v="0"/>
    <x v="0"/>
    <x v="0"/>
    <s v="Sunglasses"/>
    <n v="1"/>
    <n v="104.94"/>
    <n v="0.05"/>
    <x v="0"/>
    <n v="99.69"/>
    <n v="58.36"/>
    <n v="41.33"/>
    <n v="1"/>
    <n v="0"/>
    <n v="5"/>
    <n v="4"/>
  </r>
  <r>
    <s v="SW-103151"/>
    <d v="2025-04-14T00:00:00"/>
    <x v="1"/>
    <s v="Q2"/>
    <x v="3"/>
    <x v="2"/>
    <x v="2"/>
    <x v="1"/>
    <x v="2"/>
    <s v="Air Fryer"/>
    <n v="4"/>
    <n v="68.349999999999994"/>
    <n v="0"/>
    <x v="2"/>
    <n v="273.39999999999998"/>
    <n v="174.24"/>
    <n v="99.16"/>
    <n v="1"/>
    <n v="0"/>
    <n v="4"/>
    <n v="3"/>
  </r>
  <r>
    <s v="SW-103152"/>
    <d v="2025-04-14T00:00:00"/>
    <x v="1"/>
    <s v="Q2"/>
    <x v="3"/>
    <x v="0"/>
    <x v="3"/>
    <x v="1"/>
    <x v="1"/>
    <s v="Perfume 100ml"/>
    <n v="2"/>
    <n v="54.56"/>
    <n v="0.05"/>
    <x v="0"/>
    <n v="103.66"/>
    <n v="50.5"/>
    <n v="53.16"/>
    <n v="1"/>
    <n v="0"/>
    <n v="4"/>
    <n v="4"/>
  </r>
  <r>
    <s v="SW-103153"/>
    <d v="2025-04-14T00:00:00"/>
    <x v="1"/>
    <s v="Q2"/>
    <x v="3"/>
    <x v="1"/>
    <x v="3"/>
    <x v="1"/>
    <x v="4"/>
    <s v="Tablet 10in"/>
    <n v="1"/>
    <n v="490.3"/>
    <n v="0.1"/>
    <x v="0"/>
    <n v="441.27"/>
    <n v="381.91"/>
    <n v="59.36"/>
    <n v="1"/>
    <n v="0"/>
    <n v="2"/>
    <n v="4"/>
  </r>
  <r>
    <s v="SW-103154"/>
    <d v="2025-04-14T00:00:00"/>
    <x v="1"/>
    <s v="Q2"/>
    <x v="3"/>
    <x v="0"/>
    <x v="4"/>
    <x v="0"/>
    <x v="2"/>
    <s v="Cookware Set"/>
    <n v="2"/>
    <n v="233.81"/>
    <n v="0"/>
    <x v="2"/>
    <n v="467.62"/>
    <n v="297.8"/>
    <n v="169.82"/>
    <n v="1"/>
    <n v="0"/>
    <n v="9"/>
    <n v="4"/>
  </r>
  <r>
    <s v="SW-103155"/>
    <d v="2025-04-14T00:00:00"/>
    <x v="1"/>
    <s v="Q2"/>
    <x v="3"/>
    <x v="1"/>
    <x v="2"/>
    <x v="0"/>
    <x v="4"/>
    <s v="Smart Watch"/>
    <n v="2"/>
    <n v="216.08"/>
    <n v="0.1"/>
    <x v="0"/>
    <n v="388.94"/>
    <n v="343.71"/>
    <n v="45.23"/>
    <n v="1"/>
    <n v="1"/>
    <n v="3"/>
    <n v="4"/>
  </r>
  <r>
    <s v="SW-103156"/>
    <d v="2025-04-15T00:00:00"/>
    <x v="1"/>
    <s v="Q2"/>
    <x v="3"/>
    <x v="2"/>
    <x v="3"/>
    <x v="0"/>
    <x v="0"/>
    <s v="Leather Handbag"/>
    <n v="1"/>
    <n v="138.5"/>
    <n v="0.2"/>
    <x v="1"/>
    <n v="110.8"/>
    <n v="75.38"/>
    <n v="35.42"/>
    <n v="1"/>
    <n v="0"/>
    <n v="3"/>
    <n v="4"/>
  </r>
  <r>
    <s v="SW-103157"/>
    <d v="2025-04-15T00:00:00"/>
    <x v="1"/>
    <s v="Q2"/>
    <x v="3"/>
    <x v="1"/>
    <x v="3"/>
    <x v="0"/>
    <x v="4"/>
    <s v="Power Bank"/>
    <n v="1"/>
    <n v="508.8"/>
    <n v="0.25"/>
    <x v="3"/>
    <n v="381.6"/>
    <n v="414.18"/>
    <n v="-32.58"/>
    <n v="1"/>
    <n v="0"/>
    <n v="2"/>
    <n v="4"/>
  </r>
  <r>
    <s v="SW-103158"/>
    <d v="2025-04-15T00:00:00"/>
    <x v="1"/>
    <s v="Q2"/>
    <x v="3"/>
    <x v="2"/>
    <x v="2"/>
    <x v="1"/>
    <x v="0"/>
    <s v="Leather Handbag"/>
    <n v="1"/>
    <n v="138.5"/>
    <n v="0.05"/>
    <x v="0"/>
    <n v="131.57"/>
    <n v="71.91"/>
    <n v="59.66"/>
    <n v="1"/>
    <n v="0"/>
    <n v="5"/>
    <n v="4"/>
  </r>
  <r>
    <s v="SW-103159"/>
    <d v="2025-04-15T00:00:00"/>
    <x v="1"/>
    <s v="Q2"/>
    <x v="3"/>
    <x v="0"/>
    <x v="1"/>
    <x v="1"/>
    <x v="3"/>
    <s v="Camping Tent"/>
    <n v="3"/>
    <n v="83.06"/>
    <n v="0.15"/>
    <x v="1"/>
    <n v="211.8"/>
    <n v="167.26"/>
    <n v="44.54"/>
    <n v="1"/>
    <n v="0"/>
    <n v="6"/>
    <n v="3"/>
  </r>
  <r>
    <s v="SW-103160"/>
    <d v="2025-04-15T00:00:00"/>
    <x v="1"/>
    <s v="Q2"/>
    <x v="3"/>
    <x v="0"/>
    <x v="3"/>
    <x v="1"/>
    <x v="3"/>
    <s v="Fitness Tracker"/>
    <n v="1"/>
    <n v="74.459999999999994"/>
    <n v="0"/>
    <x v="2"/>
    <n v="74.459999999999994"/>
    <n v="47.67"/>
    <n v="26.79"/>
    <n v="1"/>
    <n v="0"/>
    <n v="2"/>
    <n v="4"/>
  </r>
  <r>
    <s v="SW-103161"/>
    <d v="2025-04-15T00:00:00"/>
    <x v="1"/>
    <s v="Q2"/>
    <x v="3"/>
    <x v="1"/>
    <x v="4"/>
    <x v="0"/>
    <x v="1"/>
    <s v="Hair Dryer"/>
    <n v="3"/>
    <n v="33.18"/>
    <n v="0.05"/>
    <x v="0"/>
    <n v="94.56"/>
    <n v="49.91"/>
    <n v="44.65"/>
    <n v="1"/>
    <n v="0"/>
    <n v="5"/>
    <n v="5"/>
  </r>
  <r>
    <s v="SW-103162"/>
    <d v="2025-04-15T00:00:00"/>
    <x v="1"/>
    <s v="Q2"/>
    <x v="3"/>
    <x v="0"/>
    <x v="4"/>
    <x v="0"/>
    <x v="4"/>
    <s v="Tablet 10in"/>
    <n v="1"/>
    <n v="490.3"/>
    <n v="0.15"/>
    <x v="1"/>
    <n v="416.76"/>
    <n v="388.31"/>
    <n v="28.45"/>
    <n v="1"/>
    <n v="0"/>
    <n v="6"/>
    <n v="4"/>
  </r>
  <r>
    <s v="SW-103163"/>
    <d v="2025-04-16T00:00:00"/>
    <x v="1"/>
    <s v="Q2"/>
    <x v="3"/>
    <x v="2"/>
    <x v="2"/>
    <x v="1"/>
    <x v="0"/>
    <s v="Sunglasses"/>
    <n v="1"/>
    <n v="104.94"/>
    <n v="0.05"/>
    <x v="0"/>
    <n v="99.69"/>
    <n v="56.44"/>
    <n v="43.25"/>
    <n v="1"/>
    <n v="0"/>
    <n v="4"/>
    <n v="4"/>
  </r>
  <r>
    <s v="SW-103164"/>
    <d v="2025-04-16T00:00:00"/>
    <x v="1"/>
    <s v="Q2"/>
    <x v="3"/>
    <x v="0"/>
    <x v="0"/>
    <x v="0"/>
    <x v="3"/>
    <s v="Cycling Helmet"/>
    <n v="1"/>
    <n v="85.42"/>
    <n v="0.25"/>
    <x v="3"/>
    <n v="64.06"/>
    <n v="55.3"/>
    <n v="8.76"/>
    <n v="1"/>
    <n v="0"/>
    <n v="3"/>
    <n v="4"/>
  </r>
  <r>
    <s v="SW-103165"/>
    <d v="2025-04-16T00:00:00"/>
    <x v="1"/>
    <s v="Q2"/>
    <x v="3"/>
    <x v="0"/>
    <x v="4"/>
    <x v="0"/>
    <x v="1"/>
    <s v="Makeup Kit"/>
    <n v="1"/>
    <n v="74.3"/>
    <n v="0.1"/>
    <x v="0"/>
    <n v="66.87"/>
    <n v="35.53"/>
    <n v="31.34"/>
    <n v="1"/>
    <n v="0"/>
    <n v="5"/>
    <n v="5"/>
  </r>
  <r>
    <s v="SW-103166"/>
    <d v="2025-04-16T00:00:00"/>
    <x v="1"/>
    <s v="Q2"/>
    <x v="3"/>
    <x v="1"/>
    <x v="0"/>
    <x v="0"/>
    <x v="1"/>
    <s v="Makeup Kit"/>
    <n v="1"/>
    <n v="74.3"/>
    <n v="0"/>
    <x v="2"/>
    <n v="74.3"/>
    <n v="36.89"/>
    <n v="37.409999999999997"/>
    <n v="1"/>
    <n v="0"/>
    <n v="4"/>
    <n v="5"/>
  </r>
  <r>
    <s v="SW-103167"/>
    <d v="2025-04-16T00:00:00"/>
    <x v="1"/>
    <s v="Q2"/>
    <x v="3"/>
    <x v="1"/>
    <x v="2"/>
    <x v="1"/>
    <x v="4"/>
    <s v="Bluetooth Speaker"/>
    <n v="1"/>
    <n v="177.65"/>
    <n v="0.3"/>
    <x v="3"/>
    <n v="124.35"/>
    <n v="146.76"/>
    <n v="-22.41"/>
    <n v="1"/>
    <n v="0"/>
    <n v="4"/>
    <n v="4"/>
  </r>
  <r>
    <s v="SW-103168"/>
    <d v="2025-04-16T00:00:00"/>
    <x v="1"/>
    <s v="Q2"/>
    <x v="3"/>
    <x v="1"/>
    <x v="0"/>
    <x v="0"/>
    <x v="5"/>
    <s v="Kids Puzzle"/>
    <n v="1"/>
    <n v="16.97"/>
    <n v="0"/>
    <x v="2"/>
    <n v="16.97"/>
    <n v="12.01"/>
    <n v="4.96"/>
    <n v="1"/>
    <n v="0"/>
    <n v="3"/>
    <n v="5"/>
  </r>
  <r>
    <s v="SW-103169"/>
    <d v="2025-04-16T00:00:00"/>
    <x v="1"/>
    <s v="Q2"/>
    <x v="3"/>
    <x v="0"/>
    <x v="3"/>
    <x v="1"/>
    <x v="0"/>
    <s v="Denim Jacket"/>
    <n v="1"/>
    <n v="78.510000000000005"/>
    <n v="0"/>
    <x v="2"/>
    <n v="78.510000000000005"/>
    <n v="41.08"/>
    <n v="37.43"/>
    <n v="1"/>
    <n v="0"/>
    <n v="3"/>
    <n v="5"/>
  </r>
  <r>
    <s v="SW-103170"/>
    <d v="2025-04-16T00:00:00"/>
    <x v="1"/>
    <s v="Q2"/>
    <x v="3"/>
    <x v="1"/>
    <x v="3"/>
    <x v="1"/>
    <x v="2"/>
    <s v="Desk Lamp"/>
    <n v="4"/>
    <n v="117.63"/>
    <n v="0.3"/>
    <x v="3"/>
    <n v="329.36"/>
    <n v="305.95"/>
    <n v="23.41"/>
    <n v="1"/>
    <n v="0"/>
    <n v="2"/>
    <n v="5"/>
  </r>
  <r>
    <s v="SW-103171"/>
    <d v="2025-04-16T00:00:00"/>
    <x v="1"/>
    <s v="Q2"/>
    <x v="3"/>
    <x v="1"/>
    <x v="2"/>
    <x v="1"/>
    <x v="1"/>
    <s v="Face Serum"/>
    <n v="1"/>
    <n v="33.479999999999997"/>
    <n v="0.2"/>
    <x v="1"/>
    <n v="26.78"/>
    <n v="16.32"/>
    <n v="10.46"/>
    <n v="1"/>
    <n v="0"/>
    <n v="7"/>
    <n v="3"/>
  </r>
  <r>
    <s v="SW-103172"/>
    <d v="2025-04-16T00:00:00"/>
    <x v="1"/>
    <s v="Q2"/>
    <x v="3"/>
    <x v="1"/>
    <x v="2"/>
    <x v="0"/>
    <x v="5"/>
    <s v="Kids Puzzle"/>
    <n v="1"/>
    <n v="16.97"/>
    <n v="0.15"/>
    <x v="1"/>
    <n v="14.42"/>
    <n v="12.91"/>
    <n v="1.51"/>
    <n v="1"/>
    <n v="0"/>
    <n v="3"/>
    <n v="5"/>
  </r>
  <r>
    <s v="SW-103173"/>
    <d v="2025-04-17T00:00:00"/>
    <x v="1"/>
    <s v="Q2"/>
    <x v="3"/>
    <x v="1"/>
    <x v="2"/>
    <x v="0"/>
    <x v="5"/>
    <s v="Board Game"/>
    <n v="1"/>
    <n v="57.92"/>
    <n v="0.1"/>
    <x v="0"/>
    <n v="52.13"/>
    <n v="39.94"/>
    <n v="12.19"/>
    <n v="1"/>
    <n v="0"/>
    <n v="4"/>
    <n v="4"/>
  </r>
  <r>
    <s v="SW-103174"/>
    <d v="2025-04-17T00:00:00"/>
    <x v="1"/>
    <s v="Q2"/>
    <x v="3"/>
    <x v="0"/>
    <x v="1"/>
    <x v="1"/>
    <x v="2"/>
    <s v="Bed Sheet Set"/>
    <n v="1"/>
    <n v="90.75"/>
    <n v="0.05"/>
    <x v="0"/>
    <n v="86.21"/>
    <n v="58.73"/>
    <n v="27.48"/>
    <n v="1"/>
    <n v="0"/>
    <n v="7"/>
    <n v="5"/>
  </r>
  <r>
    <s v="SW-103175"/>
    <d v="2025-04-17T00:00:00"/>
    <x v="1"/>
    <s v="Q2"/>
    <x v="3"/>
    <x v="2"/>
    <x v="2"/>
    <x v="0"/>
    <x v="2"/>
    <s v="Desk Lamp"/>
    <n v="1"/>
    <n v="117.63"/>
    <n v="0.05"/>
    <x v="0"/>
    <n v="111.75"/>
    <n v="81.91"/>
    <n v="29.84"/>
    <n v="1"/>
    <n v="0"/>
    <n v="3"/>
    <n v="4"/>
  </r>
  <r>
    <s v="SW-103176"/>
    <d v="2025-04-17T00:00:00"/>
    <x v="1"/>
    <s v="Q2"/>
    <x v="3"/>
    <x v="0"/>
    <x v="0"/>
    <x v="0"/>
    <x v="3"/>
    <s v="Yoga Mat"/>
    <n v="1"/>
    <n v="137.05000000000001"/>
    <n v="0.1"/>
    <x v="0"/>
    <n v="123.35"/>
    <n v="90.1"/>
    <n v="33.25"/>
    <n v="1"/>
    <n v="0"/>
    <n v="4"/>
    <n v="5"/>
  </r>
  <r>
    <s v="SW-103177"/>
    <d v="2025-04-17T00:00:00"/>
    <x v="1"/>
    <s v="Q2"/>
    <x v="3"/>
    <x v="0"/>
    <x v="3"/>
    <x v="1"/>
    <x v="4"/>
    <s v="Tablet 10in"/>
    <n v="1"/>
    <n v="490.3"/>
    <n v="0"/>
    <x v="2"/>
    <n v="490.3"/>
    <n v="397.6"/>
    <n v="92.7"/>
    <n v="1"/>
    <n v="0"/>
    <n v="2"/>
    <n v="4"/>
  </r>
  <r>
    <s v="SW-103178"/>
    <d v="2025-04-18T00:00:00"/>
    <x v="1"/>
    <s v="Q2"/>
    <x v="3"/>
    <x v="0"/>
    <x v="3"/>
    <x v="0"/>
    <x v="4"/>
    <s v="Wireless Earbuds"/>
    <n v="1"/>
    <n v="588.41"/>
    <n v="0.1"/>
    <x v="0"/>
    <n v="529.57000000000005"/>
    <n v="478.32"/>
    <n v="51.25"/>
    <n v="1"/>
    <n v="0"/>
    <n v="3"/>
    <n v="5"/>
  </r>
  <r>
    <s v="SW-103179"/>
    <d v="2025-04-18T00:00:00"/>
    <x v="1"/>
    <s v="Q2"/>
    <x v="3"/>
    <x v="1"/>
    <x v="2"/>
    <x v="0"/>
    <x v="2"/>
    <s v="Bed Sheet Set"/>
    <n v="1"/>
    <n v="90.75"/>
    <n v="0"/>
    <x v="2"/>
    <n v="90.75"/>
    <n v="62.2"/>
    <n v="28.55"/>
    <n v="1"/>
    <n v="0"/>
    <n v="3"/>
    <n v="5"/>
  </r>
  <r>
    <s v="SW-103180"/>
    <d v="2025-04-18T00:00:00"/>
    <x v="1"/>
    <s v="Q2"/>
    <x v="3"/>
    <x v="2"/>
    <x v="3"/>
    <x v="1"/>
    <x v="0"/>
    <s v="Running Sneakers"/>
    <n v="1"/>
    <n v="94.85"/>
    <n v="0.15"/>
    <x v="1"/>
    <n v="80.62"/>
    <n v="52.55"/>
    <n v="28.07"/>
    <n v="1"/>
    <n v="0"/>
    <n v="3"/>
    <n v="4"/>
  </r>
  <r>
    <s v="SW-103181"/>
    <d v="2025-04-18T00:00:00"/>
    <x v="1"/>
    <s v="Q2"/>
    <x v="3"/>
    <x v="0"/>
    <x v="2"/>
    <x v="1"/>
    <x v="1"/>
    <s v="Makeup Kit"/>
    <n v="2"/>
    <n v="74.3"/>
    <n v="0"/>
    <x v="2"/>
    <n v="148.6"/>
    <n v="75.47"/>
    <n v="73.13"/>
    <n v="1"/>
    <n v="0"/>
    <n v="4"/>
    <n v="5"/>
  </r>
  <r>
    <s v="SW-103182"/>
    <d v="2025-04-18T00:00:00"/>
    <x v="1"/>
    <s v="Q2"/>
    <x v="3"/>
    <x v="0"/>
    <x v="2"/>
    <x v="0"/>
    <x v="3"/>
    <s v="Dumbbell Set"/>
    <n v="1"/>
    <n v="198.42"/>
    <n v="0.05"/>
    <x v="0"/>
    <n v="188.5"/>
    <n v="129.36000000000001"/>
    <n v="59.14"/>
    <n v="1"/>
    <n v="0"/>
    <n v="3"/>
    <n v="4"/>
  </r>
  <r>
    <s v="SW-103183"/>
    <d v="2025-04-18T00:00:00"/>
    <x v="1"/>
    <s v="Q2"/>
    <x v="3"/>
    <x v="1"/>
    <x v="2"/>
    <x v="1"/>
    <x v="5"/>
    <s v="Board Game"/>
    <n v="1"/>
    <n v="57.92"/>
    <n v="0.1"/>
    <x v="0"/>
    <n v="52.13"/>
    <n v="42.86"/>
    <n v="9.27"/>
    <n v="1"/>
    <n v="0"/>
    <n v="5"/>
    <n v="5"/>
  </r>
  <r>
    <s v="SW-103184"/>
    <d v="2025-04-18T00:00:00"/>
    <x v="1"/>
    <s v="Q2"/>
    <x v="3"/>
    <x v="0"/>
    <x v="2"/>
    <x v="0"/>
    <x v="3"/>
    <s v="Camping Tent"/>
    <n v="2"/>
    <n v="83.06"/>
    <n v="0"/>
    <x v="2"/>
    <n v="166.12"/>
    <n v="116.05"/>
    <n v="50.07"/>
    <n v="1"/>
    <n v="0"/>
    <n v="4"/>
    <n v="3"/>
  </r>
  <r>
    <s v="SW-103185"/>
    <d v="2025-04-18T00:00:00"/>
    <x v="1"/>
    <s v="Q2"/>
    <x v="3"/>
    <x v="2"/>
    <x v="3"/>
    <x v="0"/>
    <x v="0"/>
    <s v="Denim Jacket"/>
    <n v="1"/>
    <n v="78.510000000000005"/>
    <n v="0.25"/>
    <x v="3"/>
    <n v="58.88"/>
    <n v="42.86"/>
    <n v="16.02"/>
    <n v="1"/>
    <n v="0"/>
    <n v="3"/>
    <n v="4"/>
  </r>
  <r>
    <s v="SW-103186"/>
    <d v="2025-04-18T00:00:00"/>
    <x v="1"/>
    <s v="Q2"/>
    <x v="3"/>
    <x v="2"/>
    <x v="4"/>
    <x v="0"/>
    <x v="3"/>
    <s v="Cycling Helmet"/>
    <n v="1"/>
    <n v="85.42"/>
    <n v="0.15"/>
    <x v="1"/>
    <n v="72.61"/>
    <n v="56.91"/>
    <n v="15.7"/>
    <n v="1"/>
    <n v="0"/>
    <n v="5"/>
    <n v="5"/>
  </r>
  <r>
    <s v="SW-103187"/>
    <d v="2025-04-18T00:00:00"/>
    <x v="1"/>
    <s v="Q2"/>
    <x v="3"/>
    <x v="1"/>
    <x v="0"/>
    <x v="1"/>
    <x v="0"/>
    <s v="Denim Jacket"/>
    <n v="1"/>
    <n v="78.510000000000005"/>
    <n v="0"/>
    <x v="2"/>
    <n v="78.510000000000005"/>
    <n v="45.16"/>
    <n v="33.35"/>
    <n v="1"/>
    <n v="0"/>
    <n v="3"/>
    <n v="4"/>
  </r>
  <r>
    <s v="SW-103188"/>
    <d v="2025-04-18T00:00:00"/>
    <x v="1"/>
    <s v="Q2"/>
    <x v="3"/>
    <x v="2"/>
    <x v="4"/>
    <x v="1"/>
    <x v="2"/>
    <s v="Desk Lamp"/>
    <n v="1"/>
    <n v="117.63"/>
    <n v="0.15"/>
    <x v="1"/>
    <n v="99.99"/>
    <n v="79.73"/>
    <n v="20.260000000000002"/>
    <n v="1"/>
    <n v="0"/>
    <n v="6"/>
    <n v="3"/>
  </r>
  <r>
    <s v="SW-103189"/>
    <d v="2025-04-19T00:00:00"/>
    <x v="1"/>
    <s v="Q2"/>
    <x v="3"/>
    <x v="1"/>
    <x v="3"/>
    <x v="1"/>
    <x v="1"/>
    <s v="Skin Care Bundle"/>
    <n v="2"/>
    <n v="92.54"/>
    <n v="0"/>
    <x v="2"/>
    <n v="185.08"/>
    <n v="95.69"/>
    <n v="89.39"/>
    <n v="1"/>
    <n v="0"/>
    <n v="2"/>
    <n v="5"/>
  </r>
  <r>
    <s v="SW-103190"/>
    <d v="2025-04-19T00:00:00"/>
    <x v="1"/>
    <s v="Q2"/>
    <x v="3"/>
    <x v="0"/>
    <x v="0"/>
    <x v="0"/>
    <x v="1"/>
    <s v="Hair Dryer"/>
    <n v="1"/>
    <n v="33.18"/>
    <n v="0.15"/>
    <x v="1"/>
    <n v="28.2"/>
    <n v="15.65"/>
    <n v="12.55"/>
    <n v="1"/>
    <n v="0"/>
    <n v="4"/>
    <n v="4"/>
  </r>
  <r>
    <s v="SW-103191"/>
    <d v="2025-04-19T00:00:00"/>
    <x v="1"/>
    <s v="Q2"/>
    <x v="3"/>
    <x v="0"/>
    <x v="3"/>
    <x v="1"/>
    <x v="0"/>
    <s v="Summer Dress"/>
    <n v="1"/>
    <n v="33.99"/>
    <n v="0.15"/>
    <x v="1"/>
    <n v="28.89"/>
    <n v="19.45"/>
    <n v="9.44"/>
    <n v="1"/>
    <n v="0"/>
    <n v="3"/>
    <n v="4"/>
  </r>
  <r>
    <s v="SW-103192"/>
    <d v="2025-04-19T00:00:00"/>
    <x v="1"/>
    <s v="Q2"/>
    <x v="3"/>
    <x v="1"/>
    <x v="2"/>
    <x v="1"/>
    <x v="5"/>
    <s v="Story Book Set"/>
    <n v="3"/>
    <n v="10.76"/>
    <n v="0.2"/>
    <x v="1"/>
    <n v="25.82"/>
    <n v="24.27"/>
    <n v="1.55"/>
    <n v="1"/>
    <n v="0"/>
    <n v="4"/>
    <n v="5"/>
  </r>
  <r>
    <s v="SW-103193"/>
    <d v="2025-04-19T00:00:00"/>
    <x v="1"/>
    <s v="Q2"/>
    <x v="3"/>
    <x v="1"/>
    <x v="2"/>
    <x v="1"/>
    <x v="5"/>
    <s v="Story Book Set"/>
    <n v="1"/>
    <n v="10.76"/>
    <n v="0.15"/>
    <x v="1"/>
    <n v="9.15"/>
    <n v="7.92"/>
    <n v="1.23"/>
    <n v="1"/>
    <n v="0"/>
    <n v="3"/>
    <n v="5"/>
  </r>
  <r>
    <s v="SW-103194"/>
    <d v="2025-04-19T00:00:00"/>
    <x v="1"/>
    <s v="Q2"/>
    <x v="3"/>
    <x v="2"/>
    <x v="0"/>
    <x v="1"/>
    <x v="2"/>
    <s v="Coffee Maker"/>
    <n v="1"/>
    <n v="148.05000000000001"/>
    <n v="0.3"/>
    <x v="3"/>
    <n v="103.64"/>
    <n v="96.39"/>
    <n v="7.25"/>
    <n v="1"/>
    <n v="0"/>
    <n v="6"/>
    <n v="3"/>
  </r>
  <r>
    <s v="SW-103195"/>
    <d v="2025-04-20T00:00:00"/>
    <x v="1"/>
    <s v="Q2"/>
    <x v="3"/>
    <x v="2"/>
    <x v="3"/>
    <x v="0"/>
    <x v="5"/>
    <s v="Bestseller Novel"/>
    <n v="3"/>
    <n v="45.28"/>
    <n v="0.2"/>
    <x v="1"/>
    <n v="108.67"/>
    <n v="94.83"/>
    <n v="13.84"/>
    <n v="1"/>
    <n v="0"/>
    <n v="3"/>
    <n v="4"/>
  </r>
  <r>
    <s v="SW-103196"/>
    <d v="2025-04-20T00:00:00"/>
    <x v="1"/>
    <s v="Q2"/>
    <x v="3"/>
    <x v="0"/>
    <x v="3"/>
    <x v="0"/>
    <x v="1"/>
    <s v="Makeup Kit"/>
    <n v="1"/>
    <n v="74.3"/>
    <n v="0.05"/>
    <x v="0"/>
    <n v="70.58"/>
    <n v="36.32"/>
    <n v="34.26"/>
    <n v="1"/>
    <n v="0"/>
    <n v="5"/>
    <n v="5"/>
  </r>
  <r>
    <s v="SW-103197"/>
    <d v="2025-04-20T00:00:00"/>
    <x v="1"/>
    <s v="Q2"/>
    <x v="3"/>
    <x v="0"/>
    <x v="3"/>
    <x v="0"/>
    <x v="2"/>
    <s v="Storage Boxes"/>
    <n v="1"/>
    <n v="154.66"/>
    <n v="0.05"/>
    <x v="0"/>
    <n v="146.93"/>
    <n v="101.95"/>
    <n v="44.98"/>
    <n v="1"/>
    <n v="0"/>
    <n v="2"/>
    <n v="4"/>
  </r>
  <r>
    <s v="SW-103198"/>
    <d v="2025-04-20T00:00:00"/>
    <x v="1"/>
    <s v="Q2"/>
    <x v="3"/>
    <x v="2"/>
    <x v="4"/>
    <x v="1"/>
    <x v="4"/>
    <s v="Wireless Earbuds"/>
    <n v="1"/>
    <n v="588.41"/>
    <n v="0"/>
    <x v="2"/>
    <n v="588.41"/>
    <n v="456.87"/>
    <n v="131.54"/>
    <n v="1"/>
    <n v="0"/>
    <n v="5"/>
    <n v="4"/>
  </r>
  <r>
    <s v="SW-103199"/>
    <d v="2025-04-20T00:00:00"/>
    <x v="1"/>
    <s v="Q2"/>
    <x v="3"/>
    <x v="0"/>
    <x v="0"/>
    <x v="0"/>
    <x v="0"/>
    <s v="Sunglasses"/>
    <n v="1"/>
    <n v="104.94"/>
    <n v="0.05"/>
    <x v="0"/>
    <n v="99.69"/>
    <n v="56.49"/>
    <n v="43.2"/>
    <n v="1"/>
    <n v="0"/>
    <n v="6"/>
    <n v="3"/>
  </r>
  <r>
    <s v="SW-103200"/>
    <d v="2025-04-20T00:00:00"/>
    <x v="1"/>
    <s v="Q2"/>
    <x v="3"/>
    <x v="1"/>
    <x v="3"/>
    <x v="1"/>
    <x v="1"/>
    <s v="Hair Dryer"/>
    <n v="1"/>
    <n v="33.18"/>
    <n v="0.05"/>
    <x v="0"/>
    <n v="31.52"/>
    <n v="15.71"/>
    <n v="15.81"/>
    <n v="1"/>
    <n v="0"/>
    <n v="2"/>
    <n v="4"/>
  </r>
  <r>
    <s v="SW-103201"/>
    <d v="2025-04-20T00:00:00"/>
    <x v="1"/>
    <s v="Q2"/>
    <x v="3"/>
    <x v="2"/>
    <x v="0"/>
    <x v="1"/>
    <x v="4"/>
    <s v="Smart Watch"/>
    <n v="3"/>
    <n v="216.08"/>
    <n v="0.05"/>
    <x v="0"/>
    <n v="615.83000000000004"/>
    <n v="514.88"/>
    <n v="100.95"/>
    <n v="1"/>
    <n v="1"/>
    <n v="5"/>
    <n v="3"/>
  </r>
  <r>
    <s v="SW-103202"/>
    <d v="2025-04-20T00:00:00"/>
    <x v="1"/>
    <s v="Q2"/>
    <x v="3"/>
    <x v="1"/>
    <x v="1"/>
    <x v="1"/>
    <x v="2"/>
    <s v="Bed Sheet Set"/>
    <n v="1"/>
    <n v="90.75"/>
    <n v="0.2"/>
    <x v="1"/>
    <n v="72.599999999999994"/>
    <n v="59.33"/>
    <n v="13.27"/>
    <n v="1"/>
    <n v="0"/>
    <n v="5"/>
    <n v="5"/>
  </r>
  <r>
    <s v="SW-103203"/>
    <d v="2025-04-20T00:00:00"/>
    <x v="1"/>
    <s v="Q2"/>
    <x v="3"/>
    <x v="0"/>
    <x v="0"/>
    <x v="1"/>
    <x v="2"/>
    <s v="Air Fryer"/>
    <n v="2"/>
    <n v="68.349999999999994"/>
    <n v="0.05"/>
    <x v="0"/>
    <n v="129.86000000000001"/>
    <n v="88.15"/>
    <n v="41.71"/>
    <n v="1"/>
    <n v="0"/>
    <n v="5"/>
    <n v="4"/>
  </r>
  <r>
    <s v="SW-103204"/>
    <d v="2025-04-21T00:00:00"/>
    <x v="1"/>
    <s v="Q2"/>
    <x v="3"/>
    <x v="1"/>
    <x v="3"/>
    <x v="1"/>
    <x v="4"/>
    <s v="Smart Watch"/>
    <n v="2"/>
    <n v="216.08"/>
    <n v="0.1"/>
    <x v="0"/>
    <n v="388.94"/>
    <n v="361.21"/>
    <n v="27.73"/>
    <n v="1"/>
    <n v="1"/>
    <n v="2"/>
    <n v="3"/>
  </r>
  <r>
    <s v="SW-103205"/>
    <d v="2025-04-21T00:00:00"/>
    <x v="1"/>
    <s v="Q2"/>
    <x v="3"/>
    <x v="0"/>
    <x v="3"/>
    <x v="1"/>
    <x v="4"/>
    <s v="Tablet 10in"/>
    <n v="2"/>
    <n v="490.3"/>
    <n v="0"/>
    <x v="2"/>
    <n v="980.6"/>
    <n v="818.03"/>
    <n v="162.57"/>
    <n v="1"/>
    <n v="0"/>
    <n v="2"/>
    <n v="4"/>
  </r>
  <r>
    <s v="SW-103206"/>
    <d v="2025-04-21T00:00:00"/>
    <x v="1"/>
    <s v="Q2"/>
    <x v="3"/>
    <x v="0"/>
    <x v="0"/>
    <x v="0"/>
    <x v="4"/>
    <s v="Power Bank"/>
    <n v="1"/>
    <n v="508.8"/>
    <n v="0.05"/>
    <x v="0"/>
    <n v="483.36"/>
    <n v="390.23"/>
    <n v="93.13"/>
    <n v="1"/>
    <n v="0"/>
    <n v="5"/>
    <n v="3"/>
  </r>
  <r>
    <s v="SW-103207"/>
    <d v="2025-04-21T00:00:00"/>
    <x v="1"/>
    <s v="Q2"/>
    <x v="3"/>
    <x v="1"/>
    <x v="3"/>
    <x v="1"/>
    <x v="2"/>
    <s v="Bed Sheet Set"/>
    <n v="1"/>
    <n v="90.75"/>
    <n v="0.1"/>
    <x v="0"/>
    <n v="81.680000000000007"/>
    <n v="59.24"/>
    <n v="22.44"/>
    <n v="1"/>
    <n v="0"/>
    <n v="2"/>
    <n v="5"/>
  </r>
  <r>
    <s v="SW-103208"/>
    <d v="2025-04-21T00:00:00"/>
    <x v="1"/>
    <s v="Q2"/>
    <x v="3"/>
    <x v="1"/>
    <x v="3"/>
    <x v="0"/>
    <x v="4"/>
    <s v="Bluetooth Speaker"/>
    <n v="1"/>
    <n v="177.65"/>
    <n v="0.1"/>
    <x v="0"/>
    <n v="159.88999999999999"/>
    <n v="138.84"/>
    <n v="21.05"/>
    <n v="1"/>
    <n v="0"/>
    <n v="2"/>
    <n v="5"/>
  </r>
  <r>
    <s v="SW-103209"/>
    <d v="2025-04-21T00:00:00"/>
    <x v="1"/>
    <s v="Q2"/>
    <x v="3"/>
    <x v="1"/>
    <x v="3"/>
    <x v="1"/>
    <x v="5"/>
    <s v="Building Blocks"/>
    <n v="1"/>
    <n v="48.86"/>
    <n v="0.1"/>
    <x v="0"/>
    <n v="43.97"/>
    <n v="34.78"/>
    <n v="9.19"/>
    <n v="1"/>
    <n v="0"/>
    <n v="3"/>
    <n v="5"/>
  </r>
  <r>
    <s v="SW-103210"/>
    <d v="2025-04-21T00:00:00"/>
    <x v="1"/>
    <s v="Q2"/>
    <x v="3"/>
    <x v="2"/>
    <x v="2"/>
    <x v="1"/>
    <x v="4"/>
    <s v="Power Bank"/>
    <n v="1"/>
    <n v="508.8"/>
    <n v="0.15"/>
    <x v="1"/>
    <n v="432.48"/>
    <n v="422.92"/>
    <n v="9.56"/>
    <n v="1"/>
    <n v="0"/>
    <n v="4"/>
    <n v="5"/>
  </r>
  <r>
    <s v="SW-103211"/>
    <d v="2025-04-21T00:00:00"/>
    <x v="1"/>
    <s v="Q2"/>
    <x v="3"/>
    <x v="0"/>
    <x v="0"/>
    <x v="1"/>
    <x v="0"/>
    <s v="Cotton T-Shirt"/>
    <n v="3"/>
    <n v="19.41"/>
    <n v="0.3"/>
    <x v="3"/>
    <n v="40.76"/>
    <n v="32.28"/>
    <n v="8.48"/>
    <n v="1"/>
    <n v="0"/>
    <n v="4"/>
    <n v="5"/>
  </r>
  <r>
    <s v="SW-103212"/>
    <d v="2025-04-21T00:00:00"/>
    <x v="1"/>
    <s v="Q2"/>
    <x v="3"/>
    <x v="0"/>
    <x v="4"/>
    <x v="0"/>
    <x v="1"/>
    <s v="Skin Care Bundle"/>
    <n v="1"/>
    <n v="92.54"/>
    <n v="0"/>
    <x v="2"/>
    <n v="92.54"/>
    <n v="45.1"/>
    <n v="47.44"/>
    <n v="1"/>
    <n v="0"/>
    <n v="6"/>
    <n v="4"/>
  </r>
  <r>
    <s v="SW-103213"/>
    <d v="2025-04-22T00:00:00"/>
    <x v="1"/>
    <s v="Q2"/>
    <x v="3"/>
    <x v="0"/>
    <x v="0"/>
    <x v="0"/>
    <x v="1"/>
    <s v="Perfume 100ml"/>
    <n v="1"/>
    <n v="54.56"/>
    <n v="0.15"/>
    <x v="1"/>
    <n v="46.38"/>
    <n v="27.81"/>
    <n v="18.57"/>
    <n v="1"/>
    <n v="0"/>
    <n v="5"/>
    <n v="5"/>
  </r>
  <r>
    <s v="SW-103214"/>
    <d v="2025-04-22T00:00:00"/>
    <x v="1"/>
    <s v="Q2"/>
    <x v="3"/>
    <x v="1"/>
    <x v="0"/>
    <x v="0"/>
    <x v="5"/>
    <s v="Bestseller Novel"/>
    <n v="4"/>
    <n v="45.28"/>
    <n v="0"/>
    <x v="2"/>
    <n v="181.12"/>
    <n v="133.22999999999999"/>
    <n v="47.89"/>
    <n v="1"/>
    <n v="0"/>
    <n v="5"/>
    <n v="4"/>
  </r>
  <r>
    <s v="SW-103215"/>
    <d v="2025-04-22T00:00:00"/>
    <x v="1"/>
    <s v="Q2"/>
    <x v="3"/>
    <x v="2"/>
    <x v="3"/>
    <x v="0"/>
    <x v="5"/>
    <s v="Story Book Set"/>
    <n v="2"/>
    <n v="10.76"/>
    <n v="0"/>
    <x v="2"/>
    <n v="21.52"/>
    <n v="16.52"/>
    <n v="5"/>
    <n v="1"/>
    <n v="0"/>
    <n v="2"/>
    <n v="3"/>
  </r>
  <r>
    <s v="SW-103216"/>
    <d v="2025-04-23T00:00:00"/>
    <x v="1"/>
    <s v="Q2"/>
    <x v="3"/>
    <x v="0"/>
    <x v="4"/>
    <x v="1"/>
    <x v="4"/>
    <s v="Tablet 10in"/>
    <n v="4"/>
    <n v="490.3"/>
    <n v="0.1"/>
    <x v="0"/>
    <n v="1765.08"/>
    <n v="1542.58"/>
    <n v="222.5"/>
    <n v="1"/>
    <n v="0"/>
    <n v="5"/>
    <n v="4"/>
  </r>
  <r>
    <s v="SW-103217"/>
    <d v="2025-04-23T00:00:00"/>
    <x v="1"/>
    <s v="Q2"/>
    <x v="3"/>
    <x v="0"/>
    <x v="2"/>
    <x v="1"/>
    <x v="4"/>
    <s v="Tablet 10in"/>
    <n v="1"/>
    <n v="490.3"/>
    <n v="0"/>
    <x v="2"/>
    <n v="490.3"/>
    <n v="399.96"/>
    <n v="90.34"/>
    <n v="1"/>
    <n v="0"/>
    <n v="3"/>
    <n v="4"/>
  </r>
  <r>
    <s v="SW-103218"/>
    <d v="2025-04-23T00:00:00"/>
    <x v="1"/>
    <s v="Q2"/>
    <x v="3"/>
    <x v="1"/>
    <x v="1"/>
    <x v="0"/>
    <x v="2"/>
    <s v="Bed Sheet Set"/>
    <n v="1"/>
    <n v="90.75"/>
    <n v="0.2"/>
    <x v="1"/>
    <n v="72.599999999999994"/>
    <n v="58.77"/>
    <n v="13.83"/>
    <n v="1"/>
    <n v="0"/>
    <n v="6"/>
    <n v="4"/>
  </r>
  <r>
    <s v="SW-103219"/>
    <d v="2025-04-23T00:00:00"/>
    <x v="1"/>
    <s v="Q2"/>
    <x v="3"/>
    <x v="1"/>
    <x v="2"/>
    <x v="1"/>
    <x v="1"/>
    <s v="Perfume 100ml"/>
    <n v="1"/>
    <n v="54.56"/>
    <n v="0.05"/>
    <x v="0"/>
    <n v="51.83"/>
    <n v="25.11"/>
    <n v="26.72"/>
    <n v="1"/>
    <n v="0"/>
    <n v="3"/>
    <n v="5"/>
  </r>
  <r>
    <s v="SW-103220"/>
    <d v="2025-04-23T00:00:00"/>
    <x v="1"/>
    <s v="Q2"/>
    <x v="3"/>
    <x v="1"/>
    <x v="2"/>
    <x v="1"/>
    <x v="4"/>
    <s v="Smart Watch"/>
    <n v="1"/>
    <n v="216.08"/>
    <n v="0.1"/>
    <x v="0"/>
    <n v="194.47"/>
    <n v="173.41"/>
    <n v="21.06"/>
    <n v="1"/>
    <n v="0"/>
    <n v="3"/>
    <n v="4"/>
  </r>
  <r>
    <s v="SW-103221"/>
    <d v="2025-04-23T00:00:00"/>
    <x v="1"/>
    <s v="Q2"/>
    <x v="3"/>
    <x v="1"/>
    <x v="0"/>
    <x v="1"/>
    <x v="1"/>
    <s v="Hair Dryer"/>
    <n v="2"/>
    <n v="33.18"/>
    <n v="0.05"/>
    <x v="0"/>
    <n v="63.04"/>
    <n v="32.44"/>
    <n v="30.6"/>
    <n v="1"/>
    <n v="0"/>
    <n v="4"/>
    <n v="5"/>
  </r>
  <r>
    <s v="SW-103222"/>
    <d v="2025-04-23T00:00:00"/>
    <x v="1"/>
    <s v="Q2"/>
    <x v="3"/>
    <x v="0"/>
    <x v="2"/>
    <x v="1"/>
    <x v="5"/>
    <s v="Building Blocks"/>
    <n v="2"/>
    <n v="48.86"/>
    <n v="0"/>
    <x v="2"/>
    <n v="97.72"/>
    <n v="69.8"/>
    <n v="27.92"/>
    <n v="1"/>
    <n v="0"/>
    <n v="3"/>
    <n v="5"/>
  </r>
  <r>
    <s v="SW-103223"/>
    <d v="2025-04-23T00:00:00"/>
    <x v="1"/>
    <s v="Q2"/>
    <x v="3"/>
    <x v="0"/>
    <x v="0"/>
    <x v="0"/>
    <x v="0"/>
    <s v="Denim Jacket"/>
    <n v="2"/>
    <n v="78.510000000000005"/>
    <n v="0"/>
    <x v="2"/>
    <n v="157.02000000000001"/>
    <n v="87.49"/>
    <n v="69.53"/>
    <n v="1"/>
    <n v="0"/>
    <n v="4"/>
    <n v="5"/>
  </r>
  <r>
    <s v="SW-103224"/>
    <d v="2025-04-23T00:00:00"/>
    <x v="1"/>
    <s v="Q2"/>
    <x v="3"/>
    <x v="0"/>
    <x v="0"/>
    <x v="0"/>
    <x v="4"/>
    <s v="Power Bank"/>
    <n v="1"/>
    <n v="508.8"/>
    <n v="0.2"/>
    <x v="1"/>
    <n v="407.04"/>
    <n v="417.1"/>
    <n v="-10.06"/>
    <n v="1"/>
    <n v="0"/>
    <n v="4"/>
    <n v="4"/>
  </r>
  <r>
    <s v="SW-103225"/>
    <d v="2025-04-23T00:00:00"/>
    <x v="1"/>
    <s v="Q2"/>
    <x v="3"/>
    <x v="1"/>
    <x v="3"/>
    <x v="1"/>
    <x v="3"/>
    <s v="Dumbbell Set"/>
    <n v="1"/>
    <n v="198.42"/>
    <n v="0.2"/>
    <x v="1"/>
    <n v="158.74"/>
    <n v="126.25"/>
    <n v="32.49"/>
    <n v="1"/>
    <n v="1"/>
    <n v="2"/>
    <n v="4"/>
  </r>
  <r>
    <s v="SW-103226"/>
    <d v="2025-04-23T00:00:00"/>
    <x v="1"/>
    <s v="Q2"/>
    <x v="3"/>
    <x v="2"/>
    <x v="3"/>
    <x v="0"/>
    <x v="1"/>
    <s v="Skin Care Bundle"/>
    <n v="2"/>
    <n v="92.54"/>
    <n v="0.1"/>
    <x v="0"/>
    <n v="166.57"/>
    <n v="86.75"/>
    <n v="79.819999999999993"/>
    <n v="1"/>
    <n v="1"/>
    <n v="3"/>
    <n v="4"/>
  </r>
  <r>
    <s v="SW-103227"/>
    <d v="2025-04-24T00:00:00"/>
    <x v="1"/>
    <s v="Q2"/>
    <x v="3"/>
    <x v="2"/>
    <x v="2"/>
    <x v="0"/>
    <x v="4"/>
    <s v="Power Bank"/>
    <n v="2"/>
    <n v="508.8"/>
    <n v="0.1"/>
    <x v="0"/>
    <n v="915.84"/>
    <n v="792.46"/>
    <n v="123.38"/>
    <n v="1"/>
    <n v="0"/>
    <n v="5"/>
    <n v="4"/>
  </r>
  <r>
    <s v="SW-103228"/>
    <d v="2025-04-24T00:00:00"/>
    <x v="1"/>
    <s v="Q2"/>
    <x v="3"/>
    <x v="1"/>
    <x v="3"/>
    <x v="0"/>
    <x v="2"/>
    <s v="Desk Lamp"/>
    <n v="1"/>
    <n v="117.63"/>
    <n v="0"/>
    <x v="2"/>
    <n v="117.63"/>
    <n v="79.400000000000006"/>
    <n v="38.229999999999997"/>
    <n v="1"/>
    <n v="0"/>
    <n v="2"/>
    <n v="5"/>
  </r>
  <r>
    <s v="SW-103229"/>
    <d v="2025-04-24T00:00:00"/>
    <x v="1"/>
    <s v="Q2"/>
    <x v="3"/>
    <x v="1"/>
    <x v="3"/>
    <x v="0"/>
    <x v="0"/>
    <s v="Sunglasses"/>
    <n v="1"/>
    <n v="104.94"/>
    <n v="0"/>
    <x v="2"/>
    <n v="104.94"/>
    <n v="57.32"/>
    <n v="47.62"/>
    <n v="1"/>
    <n v="0"/>
    <n v="3"/>
    <n v="4"/>
  </r>
  <r>
    <s v="SW-103230"/>
    <d v="2025-04-24T00:00:00"/>
    <x v="1"/>
    <s v="Q2"/>
    <x v="3"/>
    <x v="0"/>
    <x v="1"/>
    <x v="0"/>
    <x v="0"/>
    <s v="Summer Dress"/>
    <n v="1"/>
    <n v="33.99"/>
    <n v="0.25"/>
    <x v="3"/>
    <n v="25.49"/>
    <n v="18.489999999999998"/>
    <n v="7"/>
    <n v="1"/>
    <n v="0"/>
    <n v="5"/>
    <n v="4"/>
  </r>
  <r>
    <s v="SW-103231"/>
    <d v="2025-04-24T00:00:00"/>
    <x v="1"/>
    <s v="Q2"/>
    <x v="3"/>
    <x v="2"/>
    <x v="0"/>
    <x v="0"/>
    <x v="3"/>
    <s v="Dumbbell Set"/>
    <n v="1"/>
    <n v="198.42"/>
    <n v="0.2"/>
    <x v="1"/>
    <n v="158.74"/>
    <n v="136.4"/>
    <n v="22.34"/>
    <n v="1"/>
    <n v="0"/>
    <n v="4"/>
    <n v="4"/>
  </r>
  <r>
    <s v="SW-103232"/>
    <d v="2025-04-24T00:00:00"/>
    <x v="1"/>
    <s v="Q2"/>
    <x v="3"/>
    <x v="2"/>
    <x v="3"/>
    <x v="0"/>
    <x v="2"/>
    <s v="Bed Sheet Set"/>
    <n v="1"/>
    <n v="90.75"/>
    <n v="0.05"/>
    <x v="0"/>
    <n v="86.21"/>
    <n v="55.52"/>
    <n v="30.69"/>
    <n v="1"/>
    <n v="0"/>
    <n v="2"/>
    <n v="4"/>
  </r>
  <r>
    <s v="SW-103233"/>
    <d v="2025-04-24T00:00:00"/>
    <x v="1"/>
    <s v="Q2"/>
    <x v="3"/>
    <x v="0"/>
    <x v="0"/>
    <x v="1"/>
    <x v="0"/>
    <s v="Leather Handbag"/>
    <n v="2"/>
    <n v="138.5"/>
    <n v="0.1"/>
    <x v="0"/>
    <n v="249.3"/>
    <n v="153.63999999999999"/>
    <n v="95.66"/>
    <n v="1"/>
    <n v="1"/>
    <n v="4"/>
    <n v="3"/>
  </r>
  <r>
    <s v="SW-103234"/>
    <d v="2025-04-24T00:00:00"/>
    <x v="1"/>
    <s v="Q2"/>
    <x v="3"/>
    <x v="0"/>
    <x v="2"/>
    <x v="1"/>
    <x v="2"/>
    <s v="Cookware Set"/>
    <n v="4"/>
    <n v="233.81"/>
    <n v="0"/>
    <x v="2"/>
    <n v="935.24"/>
    <n v="620.41999999999996"/>
    <n v="314.82"/>
    <n v="1"/>
    <n v="0"/>
    <n v="5"/>
    <n v="5"/>
  </r>
  <r>
    <s v="SW-103235"/>
    <d v="2025-04-24T00:00:00"/>
    <x v="1"/>
    <s v="Q2"/>
    <x v="3"/>
    <x v="0"/>
    <x v="0"/>
    <x v="0"/>
    <x v="0"/>
    <s v="Denim Jacket"/>
    <n v="1"/>
    <n v="78.510000000000005"/>
    <n v="0"/>
    <x v="2"/>
    <n v="78.510000000000005"/>
    <n v="41.92"/>
    <n v="36.590000000000003"/>
    <n v="1"/>
    <n v="0"/>
    <n v="3"/>
    <n v="5"/>
  </r>
  <r>
    <s v="SW-103236"/>
    <d v="2025-04-24T00:00:00"/>
    <x v="1"/>
    <s v="Q2"/>
    <x v="3"/>
    <x v="2"/>
    <x v="4"/>
    <x v="1"/>
    <x v="2"/>
    <s v="Coffee Maker"/>
    <n v="1"/>
    <n v="148.05000000000001"/>
    <n v="0"/>
    <x v="2"/>
    <n v="148.05000000000001"/>
    <n v="96"/>
    <n v="52.05"/>
    <n v="1"/>
    <n v="0"/>
    <n v="5"/>
    <n v="4"/>
  </r>
  <r>
    <s v="SW-103237"/>
    <d v="2025-04-25T00:00:00"/>
    <x v="1"/>
    <s v="Q2"/>
    <x v="3"/>
    <x v="2"/>
    <x v="0"/>
    <x v="0"/>
    <x v="5"/>
    <s v="Kids Puzzle"/>
    <n v="3"/>
    <n v="16.97"/>
    <n v="0.05"/>
    <x v="0"/>
    <n v="48.36"/>
    <n v="36.229999999999997"/>
    <n v="12.13"/>
    <n v="1"/>
    <n v="0"/>
    <n v="5"/>
    <n v="5"/>
  </r>
  <r>
    <s v="SW-103238"/>
    <d v="2025-04-25T00:00:00"/>
    <x v="1"/>
    <s v="Q2"/>
    <x v="3"/>
    <x v="1"/>
    <x v="2"/>
    <x v="1"/>
    <x v="4"/>
    <s v="Smart Watch"/>
    <n v="1"/>
    <n v="216.08"/>
    <n v="0.05"/>
    <x v="0"/>
    <n v="205.28"/>
    <n v="160.41"/>
    <n v="44.87"/>
    <n v="1"/>
    <n v="1"/>
    <n v="4"/>
    <n v="3"/>
  </r>
  <r>
    <s v="SW-103239"/>
    <d v="2025-04-25T00:00:00"/>
    <x v="1"/>
    <s v="Q2"/>
    <x v="3"/>
    <x v="2"/>
    <x v="0"/>
    <x v="1"/>
    <x v="5"/>
    <s v="Story Book Set"/>
    <n v="2"/>
    <n v="10.76"/>
    <n v="0.05"/>
    <x v="0"/>
    <n v="20.440000000000001"/>
    <n v="16.079999999999998"/>
    <n v="4.3600000000000003"/>
    <n v="1"/>
    <n v="0"/>
    <n v="3"/>
    <n v="4"/>
  </r>
  <r>
    <s v="SW-103240"/>
    <d v="2025-04-25T00:00:00"/>
    <x v="1"/>
    <s v="Q2"/>
    <x v="3"/>
    <x v="0"/>
    <x v="1"/>
    <x v="0"/>
    <x v="3"/>
    <s v="Fitness Tracker"/>
    <n v="2"/>
    <n v="74.459999999999994"/>
    <n v="0.3"/>
    <x v="3"/>
    <n v="104.24"/>
    <n v="103.56"/>
    <n v="0.68"/>
    <n v="1"/>
    <n v="0"/>
    <n v="6"/>
    <n v="5"/>
  </r>
  <r>
    <s v="SW-103241"/>
    <d v="2025-04-25T00:00:00"/>
    <x v="1"/>
    <s v="Q2"/>
    <x v="3"/>
    <x v="1"/>
    <x v="3"/>
    <x v="1"/>
    <x v="0"/>
    <s v="Denim Jacket"/>
    <n v="2"/>
    <n v="78.510000000000005"/>
    <n v="0"/>
    <x v="2"/>
    <n v="157.02000000000001"/>
    <n v="83.02"/>
    <n v="74"/>
    <n v="1"/>
    <n v="0"/>
    <n v="2"/>
    <n v="3"/>
  </r>
  <r>
    <s v="SW-103242"/>
    <d v="2025-04-25T00:00:00"/>
    <x v="1"/>
    <s v="Q2"/>
    <x v="3"/>
    <x v="2"/>
    <x v="3"/>
    <x v="0"/>
    <x v="4"/>
    <s v="Smart Watch"/>
    <n v="1"/>
    <n v="216.08"/>
    <n v="0.15"/>
    <x v="1"/>
    <n v="183.67"/>
    <n v="178.63"/>
    <n v="5.04"/>
    <n v="1"/>
    <n v="0"/>
    <n v="6"/>
    <n v="4"/>
  </r>
  <r>
    <s v="SW-103243"/>
    <d v="2025-04-26T00:00:00"/>
    <x v="1"/>
    <s v="Q2"/>
    <x v="3"/>
    <x v="1"/>
    <x v="3"/>
    <x v="0"/>
    <x v="2"/>
    <s v="Air Fryer"/>
    <n v="1"/>
    <n v="68.349999999999994"/>
    <n v="0.2"/>
    <x v="1"/>
    <n v="54.68"/>
    <n v="46.94"/>
    <n v="7.74"/>
    <n v="1"/>
    <n v="0"/>
    <n v="4"/>
    <n v="5"/>
  </r>
  <r>
    <s v="SW-103244"/>
    <d v="2025-04-26T00:00:00"/>
    <x v="1"/>
    <s v="Q2"/>
    <x v="3"/>
    <x v="1"/>
    <x v="3"/>
    <x v="0"/>
    <x v="4"/>
    <s v="Bluetooth Speaker"/>
    <n v="2"/>
    <n v="177.65"/>
    <n v="0"/>
    <x v="2"/>
    <n v="355.3"/>
    <n v="287.18"/>
    <n v="68.12"/>
    <n v="1"/>
    <n v="0"/>
    <n v="3"/>
    <n v="5"/>
  </r>
  <r>
    <s v="SW-103245"/>
    <d v="2025-04-26T00:00:00"/>
    <x v="1"/>
    <s v="Q2"/>
    <x v="3"/>
    <x v="1"/>
    <x v="0"/>
    <x v="1"/>
    <x v="4"/>
    <s v="Wireless Earbuds"/>
    <n v="2"/>
    <n v="588.41"/>
    <n v="0.15"/>
    <x v="1"/>
    <n v="1000.3"/>
    <n v="908.83"/>
    <n v="91.47"/>
    <n v="1"/>
    <n v="0"/>
    <n v="3"/>
    <n v="3"/>
  </r>
  <r>
    <s v="SW-103246"/>
    <d v="2025-04-26T00:00:00"/>
    <x v="1"/>
    <s v="Q2"/>
    <x v="3"/>
    <x v="1"/>
    <x v="3"/>
    <x v="1"/>
    <x v="3"/>
    <s v="Camping Tent"/>
    <n v="1"/>
    <n v="83.06"/>
    <n v="0"/>
    <x v="2"/>
    <n v="83.06"/>
    <n v="54.46"/>
    <n v="28.6"/>
    <n v="1"/>
    <n v="0"/>
    <n v="4"/>
    <n v="5"/>
  </r>
  <r>
    <s v="SW-103247"/>
    <d v="2025-04-26T00:00:00"/>
    <x v="1"/>
    <s v="Q2"/>
    <x v="3"/>
    <x v="2"/>
    <x v="0"/>
    <x v="0"/>
    <x v="3"/>
    <s v="Cycling Helmet"/>
    <n v="1"/>
    <n v="85.42"/>
    <n v="0"/>
    <x v="2"/>
    <n v="85.42"/>
    <n v="56.92"/>
    <n v="28.5"/>
    <n v="1"/>
    <n v="1"/>
    <n v="3"/>
    <n v="2"/>
  </r>
  <r>
    <s v="SW-103248"/>
    <d v="2025-04-26T00:00:00"/>
    <x v="1"/>
    <s v="Q2"/>
    <x v="3"/>
    <x v="2"/>
    <x v="3"/>
    <x v="0"/>
    <x v="5"/>
    <s v="Board Game"/>
    <n v="1"/>
    <n v="57.92"/>
    <n v="0.05"/>
    <x v="0"/>
    <n v="55.02"/>
    <n v="40.729999999999997"/>
    <n v="14.29"/>
    <n v="1"/>
    <n v="0"/>
    <n v="2"/>
    <n v="5"/>
  </r>
  <r>
    <s v="SW-103249"/>
    <d v="2025-04-27T00:00:00"/>
    <x v="1"/>
    <s v="Q2"/>
    <x v="3"/>
    <x v="0"/>
    <x v="3"/>
    <x v="0"/>
    <x v="2"/>
    <s v="Desk Lamp"/>
    <n v="1"/>
    <n v="117.63"/>
    <n v="0.05"/>
    <x v="0"/>
    <n v="111.75"/>
    <n v="76.77"/>
    <n v="34.979999999999997"/>
    <n v="1"/>
    <n v="0"/>
    <n v="3"/>
    <n v="5"/>
  </r>
  <r>
    <s v="SW-103250"/>
    <d v="2025-04-27T00:00:00"/>
    <x v="1"/>
    <s v="Q2"/>
    <x v="3"/>
    <x v="2"/>
    <x v="2"/>
    <x v="0"/>
    <x v="2"/>
    <s v="Storage Boxes"/>
    <n v="2"/>
    <n v="154.66"/>
    <n v="0.05"/>
    <x v="0"/>
    <n v="293.85000000000002"/>
    <n v="205.49"/>
    <n v="88.36"/>
    <n v="1"/>
    <n v="0"/>
    <n v="4"/>
    <n v="5"/>
  </r>
  <r>
    <s v="SW-103251"/>
    <d v="2025-04-27T00:00:00"/>
    <x v="1"/>
    <s v="Q2"/>
    <x v="3"/>
    <x v="0"/>
    <x v="2"/>
    <x v="1"/>
    <x v="0"/>
    <s v="Denim Jacket"/>
    <n v="2"/>
    <n v="78.510000000000005"/>
    <n v="0.05"/>
    <x v="0"/>
    <n v="149.16999999999999"/>
    <n v="82.75"/>
    <n v="66.42"/>
    <n v="1"/>
    <n v="0"/>
    <n v="4"/>
    <n v="3"/>
  </r>
  <r>
    <s v="SW-103252"/>
    <d v="2025-04-27T00:00:00"/>
    <x v="1"/>
    <s v="Q2"/>
    <x v="3"/>
    <x v="1"/>
    <x v="4"/>
    <x v="0"/>
    <x v="0"/>
    <s v="Running Sneakers"/>
    <n v="1"/>
    <n v="94.85"/>
    <n v="0.2"/>
    <x v="1"/>
    <n v="75.88"/>
    <n v="52.38"/>
    <n v="23.5"/>
    <n v="1"/>
    <n v="0"/>
    <n v="7"/>
    <n v="4"/>
  </r>
  <r>
    <s v="SW-103253"/>
    <d v="2025-04-27T00:00:00"/>
    <x v="1"/>
    <s v="Q2"/>
    <x v="3"/>
    <x v="1"/>
    <x v="0"/>
    <x v="0"/>
    <x v="0"/>
    <s v="Sunglasses"/>
    <n v="1"/>
    <n v="104.94"/>
    <n v="0.1"/>
    <x v="0"/>
    <n v="94.45"/>
    <n v="54.13"/>
    <n v="40.32"/>
    <n v="1"/>
    <n v="0"/>
    <n v="3"/>
    <n v="4"/>
  </r>
  <r>
    <s v="SW-103254"/>
    <d v="2025-04-27T00:00:00"/>
    <x v="1"/>
    <s v="Q2"/>
    <x v="3"/>
    <x v="1"/>
    <x v="3"/>
    <x v="0"/>
    <x v="1"/>
    <s v="Perfume 100ml"/>
    <n v="1"/>
    <n v="54.56"/>
    <n v="0"/>
    <x v="2"/>
    <n v="54.56"/>
    <n v="26.07"/>
    <n v="28.49"/>
    <n v="1"/>
    <n v="0"/>
    <n v="4"/>
    <n v="4"/>
  </r>
  <r>
    <s v="SW-103255"/>
    <d v="2025-04-27T00:00:00"/>
    <x v="1"/>
    <s v="Q2"/>
    <x v="3"/>
    <x v="2"/>
    <x v="0"/>
    <x v="1"/>
    <x v="4"/>
    <s v="Wireless Earbuds"/>
    <n v="1"/>
    <n v="588.41"/>
    <n v="0"/>
    <x v="2"/>
    <n v="588.41"/>
    <n v="490.94"/>
    <n v="97.47"/>
    <n v="1"/>
    <n v="1"/>
    <n v="4"/>
    <n v="3"/>
  </r>
  <r>
    <s v="SW-103256"/>
    <d v="2025-04-28T00:00:00"/>
    <x v="1"/>
    <s v="Q2"/>
    <x v="3"/>
    <x v="1"/>
    <x v="2"/>
    <x v="1"/>
    <x v="0"/>
    <s v="Leather Handbag"/>
    <n v="1"/>
    <n v="138.5"/>
    <n v="0"/>
    <x v="2"/>
    <n v="138.5"/>
    <n v="73.86"/>
    <n v="64.64"/>
    <n v="1"/>
    <n v="0"/>
    <n v="4"/>
    <n v="4"/>
  </r>
  <r>
    <s v="SW-103257"/>
    <d v="2025-04-28T00:00:00"/>
    <x v="1"/>
    <s v="Q2"/>
    <x v="3"/>
    <x v="1"/>
    <x v="3"/>
    <x v="0"/>
    <x v="4"/>
    <s v="4K Action Camera"/>
    <n v="1"/>
    <n v="636.09"/>
    <n v="0"/>
    <x v="2"/>
    <n v="636.09"/>
    <n v="500.21"/>
    <n v="135.88"/>
    <n v="1"/>
    <n v="0"/>
    <n v="2"/>
    <n v="5"/>
  </r>
  <r>
    <s v="SW-103258"/>
    <d v="2025-04-28T00:00:00"/>
    <x v="1"/>
    <s v="Q2"/>
    <x v="3"/>
    <x v="1"/>
    <x v="1"/>
    <x v="1"/>
    <x v="4"/>
    <s v="Bluetooth Speaker"/>
    <n v="1"/>
    <n v="177.65"/>
    <n v="0.15"/>
    <x v="1"/>
    <n v="151"/>
    <n v="148.12"/>
    <n v="2.88"/>
    <n v="1"/>
    <n v="0"/>
    <n v="6"/>
    <n v="4"/>
  </r>
  <r>
    <s v="SW-103259"/>
    <d v="2025-04-28T00:00:00"/>
    <x v="1"/>
    <s v="Q2"/>
    <x v="3"/>
    <x v="0"/>
    <x v="3"/>
    <x v="1"/>
    <x v="4"/>
    <s v="Tablet 10in"/>
    <n v="1"/>
    <n v="490.3"/>
    <n v="0.25"/>
    <x v="3"/>
    <n v="367.72"/>
    <n v="395.21"/>
    <n v="-27.49"/>
    <n v="1"/>
    <n v="0"/>
    <n v="5"/>
    <n v="4"/>
  </r>
  <r>
    <s v="SW-103260"/>
    <d v="2025-04-28T00:00:00"/>
    <x v="1"/>
    <s v="Q2"/>
    <x v="3"/>
    <x v="0"/>
    <x v="2"/>
    <x v="0"/>
    <x v="0"/>
    <s v="Running Sneakers"/>
    <n v="3"/>
    <n v="94.85"/>
    <n v="0.05"/>
    <x v="0"/>
    <n v="270.32"/>
    <n v="154.26"/>
    <n v="116.06"/>
    <n v="1"/>
    <n v="0"/>
    <n v="6"/>
    <n v="4"/>
  </r>
  <r>
    <s v="SW-103261"/>
    <d v="2025-04-28T00:00:00"/>
    <x v="1"/>
    <s v="Q2"/>
    <x v="3"/>
    <x v="1"/>
    <x v="2"/>
    <x v="0"/>
    <x v="4"/>
    <s v="Smart Watch"/>
    <n v="1"/>
    <n v="216.08"/>
    <n v="0"/>
    <x v="2"/>
    <n v="216.08"/>
    <n v="174.43"/>
    <n v="41.65"/>
    <n v="1"/>
    <n v="0"/>
    <n v="5"/>
    <n v="4"/>
  </r>
  <r>
    <s v="SW-103262"/>
    <d v="2025-04-28T00:00:00"/>
    <x v="1"/>
    <s v="Q2"/>
    <x v="3"/>
    <x v="1"/>
    <x v="2"/>
    <x v="1"/>
    <x v="5"/>
    <s v="Building Blocks"/>
    <n v="3"/>
    <n v="48.86"/>
    <n v="0.2"/>
    <x v="1"/>
    <n v="117.26"/>
    <n v="104.65"/>
    <n v="12.61"/>
    <n v="1"/>
    <n v="0"/>
    <n v="4"/>
    <n v="3"/>
  </r>
  <r>
    <s v="SW-103263"/>
    <d v="2025-04-29T00:00:00"/>
    <x v="1"/>
    <s v="Q2"/>
    <x v="3"/>
    <x v="2"/>
    <x v="3"/>
    <x v="0"/>
    <x v="0"/>
    <s v="Leather Handbag"/>
    <n v="1"/>
    <n v="138.5"/>
    <n v="0.1"/>
    <x v="0"/>
    <n v="124.65"/>
    <n v="73.06"/>
    <n v="51.59"/>
    <n v="1"/>
    <n v="0"/>
    <n v="2"/>
    <n v="5"/>
  </r>
  <r>
    <s v="SW-103264"/>
    <d v="2025-04-29T00:00:00"/>
    <x v="1"/>
    <s v="Q2"/>
    <x v="3"/>
    <x v="1"/>
    <x v="4"/>
    <x v="1"/>
    <x v="0"/>
    <s v="Sunglasses"/>
    <n v="2"/>
    <n v="104.94"/>
    <n v="0"/>
    <x v="2"/>
    <n v="209.88"/>
    <n v="105.57"/>
    <n v="104.31"/>
    <n v="1"/>
    <n v="0"/>
    <n v="8"/>
    <n v="4"/>
  </r>
  <r>
    <s v="SW-103265"/>
    <d v="2025-04-29T00:00:00"/>
    <x v="1"/>
    <s v="Q2"/>
    <x v="3"/>
    <x v="1"/>
    <x v="1"/>
    <x v="1"/>
    <x v="4"/>
    <s v="Smart Watch"/>
    <n v="1"/>
    <n v="216.08"/>
    <n v="0"/>
    <x v="2"/>
    <n v="216.08"/>
    <n v="176.67"/>
    <n v="39.409999999999997"/>
    <n v="1"/>
    <n v="0"/>
    <n v="5"/>
    <n v="5"/>
  </r>
  <r>
    <s v="SW-103266"/>
    <d v="2025-04-29T00:00:00"/>
    <x v="1"/>
    <s v="Q2"/>
    <x v="3"/>
    <x v="0"/>
    <x v="0"/>
    <x v="1"/>
    <x v="3"/>
    <s v="Cycling Helmet"/>
    <n v="2"/>
    <n v="85.42"/>
    <n v="0.2"/>
    <x v="1"/>
    <n v="136.66999999999999"/>
    <n v="115.03"/>
    <n v="21.64"/>
    <n v="1"/>
    <n v="0"/>
    <n v="3"/>
    <n v="4"/>
  </r>
  <r>
    <s v="SW-103267"/>
    <d v="2025-04-29T00:00:00"/>
    <x v="1"/>
    <s v="Q2"/>
    <x v="3"/>
    <x v="0"/>
    <x v="1"/>
    <x v="0"/>
    <x v="1"/>
    <s v="Hair Dryer"/>
    <n v="1"/>
    <n v="33.18"/>
    <n v="0.05"/>
    <x v="0"/>
    <n v="31.52"/>
    <n v="16.29"/>
    <n v="15.23"/>
    <n v="1"/>
    <n v="0"/>
    <n v="7"/>
    <n v="3"/>
  </r>
  <r>
    <s v="SW-103268"/>
    <d v="2025-04-29T00:00:00"/>
    <x v="1"/>
    <s v="Q2"/>
    <x v="3"/>
    <x v="0"/>
    <x v="3"/>
    <x v="0"/>
    <x v="4"/>
    <s v="Bluetooth Speaker"/>
    <n v="2"/>
    <n v="177.65"/>
    <n v="0"/>
    <x v="2"/>
    <n v="355.3"/>
    <n v="279.82"/>
    <n v="75.48"/>
    <n v="1"/>
    <n v="0"/>
    <n v="4"/>
    <n v="4"/>
  </r>
  <r>
    <s v="SW-103269"/>
    <d v="2025-04-29T00:00:00"/>
    <x v="1"/>
    <s v="Q2"/>
    <x v="3"/>
    <x v="0"/>
    <x v="0"/>
    <x v="0"/>
    <x v="4"/>
    <s v="Tablet 10in"/>
    <n v="1"/>
    <n v="490.3"/>
    <n v="0"/>
    <x v="2"/>
    <n v="490.3"/>
    <n v="373.26"/>
    <n v="117.04"/>
    <n v="1"/>
    <n v="0"/>
    <n v="4"/>
    <n v="5"/>
  </r>
  <r>
    <s v="SW-103270"/>
    <d v="2025-04-29T00:00:00"/>
    <x v="1"/>
    <s v="Q2"/>
    <x v="3"/>
    <x v="1"/>
    <x v="3"/>
    <x v="1"/>
    <x v="0"/>
    <s v="Cotton T-Shirt"/>
    <n v="1"/>
    <n v="19.41"/>
    <n v="0.15"/>
    <x v="1"/>
    <n v="16.5"/>
    <n v="10.75"/>
    <n v="5.75"/>
    <n v="1"/>
    <n v="0"/>
    <n v="3"/>
    <n v="5"/>
  </r>
  <r>
    <s v="SW-103271"/>
    <d v="2025-04-29T00:00:00"/>
    <x v="1"/>
    <s v="Q2"/>
    <x v="3"/>
    <x v="0"/>
    <x v="0"/>
    <x v="0"/>
    <x v="2"/>
    <s v="Storage Boxes"/>
    <n v="3"/>
    <n v="154.66"/>
    <n v="0.1"/>
    <x v="0"/>
    <n v="417.58"/>
    <n v="303.43"/>
    <n v="114.15"/>
    <n v="1"/>
    <n v="0"/>
    <n v="3"/>
    <n v="5"/>
  </r>
  <r>
    <s v="SW-103272"/>
    <d v="2025-04-29T00:00:00"/>
    <x v="1"/>
    <s v="Q2"/>
    <x v="3"/>
    <x v="1"/>
    <x v="3"/>
    <x v="1"/>
    <x v="3"/>
    <s v="Dumbbell Set"/>
    <n v="1"/>
    <n v="198.42"/>
    <n v="0.1"/>
    <x v="0"/>
    <n v="178.58"/>
    <n v="131.37"/>
    <n v="47.21"/>
    <n v="1"/>
    <n v="0"/>
    <n v="3"/>
    <n v="4"/>
  </r>
  <r>
    <s v="SW-103273"/>
    <d v="2025-04-29T00:00:00"/>
    <x v="1"/>
    <s v="Q2"/>
    <x v="3"/>
    <x v="1"/>
    <x v="0"/>
    <x v="1"/>
    <x v="3"/>
    <s v="Camping Tent"/>
    <n v="2"/>
    <n v="83.06"/>
    <n v="0.05"/>
    <x v="0"/>
    <n v="157.81"/>
    <n v="109.12"/>
    <n v="48.69"/>
    <n v="1"/>
    <n v="0"/>
    <n v="4"/>
    <n v="4"/>
  </r>
  <r>
    <s v="SW-103274"/>
    <d v="2025-04-30T00:00:00"/>
    <x v="1"/>
    <s v="Q2"/>
    <x v="3"/>
    <x v="1"/>
    <x v="0"/>
    <x v="1"/>
    <x v="3"/>
    <s v="Camping Tent"/>
    <n v="1"/>
    <n v="83.06"/>
    <n v="0"/>
    <x v="2"/>
    <n v="83.06"/>
    <n v="53.91"/>
    <n v="29.15"/>
    <n v="1"/>
    <n v="0"/>
    <n v="5"/>
    <n v="4"/>
  </r>
  <r>
    <s v="SW-103275"/>
    <d v="2025-04-30T00:00:00"/>
    <x v="1"/>
    <s v="Q2"/>
    <x v="3"/>
    <x v="2"/>
    <x v="0"/>
    <x v="1"/>
    <x v="4"/>
    <s v="Smart Watch"/>
    <n v="1"/>
    <n v="216.08"/>
    <n v="0"/>
    <x v="2"/>
    <n v="216.08"/>
    <n v="172.79"/>
    <n v="43.29"/>
    <n v="1"/>
    <n v="0"/>
    <n v="3"/>
    <n v="5"/>
  </r>
  <r>
    <s v="SW-103276"/>
    <d v="2025-04-30T00:00:00"/>
    <x v="1"/>
    <s v="Q2"/>
    <x v="3"/>
    <x v="0"/>
    <x v="2"/>
    <x v="1"/>
    <x v="4"/>
    <s v="Bluetooth Speaker"/>
    <n v="1"/>
    <n v="177.65"/>
    <n v="0.15"/>
    <x v="1"/>
    <n v="151"/>
    <n v="134.12"/>
    <n v="16.88"/>
    <n v="1"/>
    <n v="0"/>
    <n v="4"/>
    <n v="5"/>
  </r>
  <r>
    <s v="SW-103277"/>
    <d v="2025-04-30T00:00:00"/>
    <x v="1"/>
    <s v="Q2"/>
    <x v="3"/>
    <x v="1"/>
    <x v="2"/>
    <x v="1"/>
    <x v="2"/>
    <s v="Storage Boxes"/>
    <n v="1"/>
    <n v="154.66"/>
    <n v="0.1"/>
    <x v="0"/>
    <n v="139.19"/>
    <n v="103.92"/>
    <n v="35.270000000000003"/>
    <n v="1"/>
    <n v="0"/>
    <n v="4"/>
    <n v="4"/>
  </r>
  <r>
    <s v="SW-103278"/>
    <d v="2025-04-30T00:00:00"/>
    <x v="1"/>
    <s v="Q2"/>
    <x v="3"/>
    <x v="1"/>
    <x v="4"/>
    <x v="1"/>
    <x v="4"/>
    <s v="Wireless Earbuds"/>
    <n v="2"/>
    <n v="588.41"/>
    <n v="0.15"/>
    <x v="1"/>
    <n v="1000.3"/>
    <n v="916.03"/>
    <n v="84.27"/>
    <n v="1"/>
    <n v="0"/>
    <n v="6"/>
    <n v="3"/>
  </r>
  <r>
    <s v="SW-103279"/>
    <d v="2025-04-30T00:00:00"/>
    <x v="1"/>
    <s v="Q2"/>
    <x v="3"/>
    <x v="0"/>
    <x v="0"/>
    <x v="1"/>
    <x v="3"/>
    <s v="Fitness Tracker"/>
    <n v="1"/>
    <n v="74.459999999999994"/>
    <n v="0.1"/>
    <x v="0"/>
    <n v="67.010000000000005"/>
    <n v="50.88"/>
    <n v="16.13"/>
    <n v="1"/>
    <n v="0"/>
    <n v="4"/>
    <n v="4"/>
  </r>
  <r>
    <s v="SW-103280"/>
    <d v="2025-04-30T00:00:00"/>
    <x v="1"/>
    <s v="Q2"/>
    <x v="3"/>
    <x v="0"/>
    <x v="2"/>
    <x v="0"/>
    <x v="1"/>
    <s v="Hair Dryer"/>
    <n v="1"/>
    <n v="33.18"/>
    <n v="0.1"/>
    <x v="0"/>
    <n v="29.86"/>
    <n v="16.260000000000002"/>
    <n v="13.6"/>
    <n v="1"/>
    <n v="0"/>
    <n v="4"/>
    <n v="4"/>
  </r>
  <r>
    <s v="SW-103281"/>
    <d v="2025-04-30T00:00:00"/>
    <x v="1"/>
    <s v="Q2"/>
    <x v="3"/>
    <x v="1"/>
    <x v="0"/>
    <x v="1"/>
    <x v="0"/>
    <s v="Running Sneakers"/>
    <n v="2"/>
    <n v="94.85"/>
    <n v="0"/>
    <x v="2"/>
    <n v="189.7"/>
    <n v="105.57"/>
    <n v="84.13"/>
    <n v="1"/>
    <n v="0"/>
    <n v="4"/>
    <n v="3"/>
  </r>
  <r>
    <s v="SW-103282"/>
    <d v="2025-04-30T00:00:00"/>
    <x v="1"/>
    <s v="Q2"/>
    <x v="3"/>
    <x v="2"/>
    <x v="3"/>
    <x v="0"/>
    <x v="3"/>
    <s v="Fitness Tracker"/>
    <n v="1"/>
    <n v="74.459999999999994"/>
    <n v="0.2"/>
    <x v="1"/>
    <n v="59.57"/>
    <n v="52.56"/>
    <n v="7.01"/>
    <n v="1"/>
    <n v="1"/>
    <n v="4"/>
    <n v="4"/>
  </r>
  <r>
    <s v="SW-103283"/>
    <d v="2025-05-01T00:00:00"/>
    <x v="1"/>
    <s v="Q2"/>
    <x v="4"/>
    <x v="2"/>
    <x v="0"/>
    <x v="1"/>
    <x v="3"/>
    <s v="Cycling Helmet"/>
    <n v="1"/>
    <n v="85.42"/>
    <n v="0"/>
    <x v="2"/>
    <n v="85.42"/>
    <n v="58.55"/>
    <n v="26.87"/>
    <n v="1"/>
    <n v="0"/>
    <n v="6"/>
    <n v="5"/>
  </r>
  <r>
    <s v="SW-103284"/>
    <d v="2025-05-01T00:00:00"/>
    <x v="1"/>
    <s v="Q2"/>
    <x v="4"/>
    <x v="2"/>
    <x v="0"/>
    <x v="1"/>
    <x v="5"/>
    <s v="Building Blocks"/>
    <n v="2"/>
    <n v="48.86"/>
    <n v="0.05"/>
    <x v="0"/>
    <n v="92.83"/>
    <n v="74.849999999999994"/>
    <n v="17.98"/>
    <n v="1"/>
    <n v="0"/>
    <n v="4"/>
    <n v="5"/>
  </r>
  <r>
    <s v="SW-103285"/>
    <d v="2025-05-01T00:00:00"/>
    <x v="1"/>
    <s v="Q2"/>
    <x v="4"/>
    <x v="1"/>
    <x v="2"/>
    <x v="1"/>
    <x v="0"/>
    <s v="Denim Jacket"/>
    <n v="1"/>
    <n v="78.510000000000005"/>
    <n v="0"/>
    <x v="2"/>
    <n v="78.510000000000005"/>
    <n v="42.62"/>
    <n v="35.89"/>
    <n v="1"/>
    <n v="0"/>
    <n v="3"/>
    <n v="5"/>
  </r>
  <r>
    <s v="SW-103286"/>
    <d v="2025-05-01T00:00:00"/>
    <x v="1"/>
    <s v="Q2"/>
    <x v="4"/>
    <x v="2"/>
    <x v="3"/>
    <x v="1"/>
    <x v="0"/>
    <s v="Cotton T-Shirt"/>
    <n v="1"/>
    <n v="19.41"/>
    <n v="0"/>
    <x v="2"/>
    <n v="19.41"/>
    <n v="10.4"/>
    <n v="9.01"/>
    <n v="1"/>
    <n v="1"/>
    <n v="3"/>
    <n v="3"/>
  </r>
  <r>
    <s v="SW-103287"/>
    <d v="2025-05-01T00:00:00"/>
    <x v="1"/>
    <s v="Q2"/>
    <x v="4"/>
    <x v="2"/>
    <x v="3"/>
    <x v="1"/>
    <x v="2"/>
    <s v="Storage Boxes"/>
    <n v="1"/>
    <n v="154.66"/>
    <n v="0.15"/>
    <x v="1"/>
    <n v="131.46"/>
    <n v="101.3"/>
    <n v="30.16"/>
    <n v="1"/>
    <n v="0"/>
    <n v="3"/>
    <n v="5"/>
  </r>
  <r>
    <s v="SW-103288"/>
    <d v="2025-05-01T00:00:00"/>
    <x v="1"/>
    <s v="Q2"/>
    <x v="4"/>
    <x v="1"/>
    <x v="3"/>
    <x v="1"/>
    <x v="4"/>
    <s v="4K Action Camera"/>
    <n v="2"/>
    <n v="636.09"/>
    <n v="0.15"/>
    <x v="1"/>
    <n v="1081.3499999999999"/>
    <n v="1018.83"/>
    <n v="62.52"/>
    <n v="1"/>
    <n v="0"/>
    <n v="3"/>
    <n v="5"/>
  </r>
  <r>
    <s v="SW-103289"/>
    <d v="2025-05-01T00:00:00"/>
    <x v="1"/>
    <s v="Q2"/>
    <x v="4"/>
    <x v="0"/>
    <x v="4"/>
    <x v="1"/>
    <x v="4"/>
    <s v="Tablet 10in"/>
    <n v="1"/>
    <n v="490.3"/>
    <n v="0.15"/>
    <x v="1"/>
    <n v="416.76"/>
    <n v="396.72"/>
    <n v="20.04"/>
    <n v="1"/>
    <n v="0"/>
    <n v="6"/>
    <n v="3"/>
  </r>
  <r>
    <s v="SW-103290"/>
    <d v="2025-05-02T00:00:00"/>
    <x v="1"/>
    <s v="Q2"/>
    <x v="4"/>
    <x v="1"/>
    <x v="2"/>
    <x v="1"/>
    <x v="1"/>
    <s v="Makeup Kit"/>
    <n v="3"/>
    <n v="74.3"/>
    <n v="0"/>
    <x v="2"/>
    <n v="222.9"/>
    <n v="114.96"/>
    <n v="107.94"/>
    <n v="1"/>
    <n v="0"/>
    <n v="3"/>
    <n v="4"/>
  </r>
  <r>
    <s v="SW-103291"/>
    <d v="2025-05-02T00:00:00"/>
    <x v="1"/>
    <s v="Q2"/>
    <x v="4"/>
    <x v="1"/>
    <x v="2"/>
    <x v="0"/>
    <x v="2"/>
    <s v="Coffee Maker"/>
    <n v="3"/>
    <n v="148.05000000000001"/>
    <n v="0.15"/>
    <x v="1"/>
    <n v="377.53"/>
    <n v="296.63"/>
    <n v="80.900000000000006"/>
    <n v="1"/>
    <n v="0"/>
    <n v="4"/>
    <n v="4"/>
  </r>
  <r>
    <s v="SW-103292"/>
    <d v="2025-05-02T00:00:00"/>
    <x v="1"/>
    <s v="Q2"/>
    <x v="4"/>
    <x v="1"/>
    <x v="3"/>
    <x v="0"/>
    <x v="2"/>
    <s v="Air Fryer"/>
    <n v="1"/>
    <n v="68.349999999999994"/>
    <n v="0.05"/>
    <x v="0"/>
    <n v="64.930000000000007"/>
    <n v="46.08"/>
    <n v="18.850000000000001"/>
    <n v="1"/>
    <n v="0"/>
    <n v="4"/>
    <n v="3"/>
  </r>
  <r>
    <s v="SW-103293"/>
    <d v="2025-05-02T00:00:00"/>
    <x v="1"/>
    <s v="Q2"/>
    <x v="4"/>
    <x v="1"/>
    <x v="3"/>
    <x v="1"/>
    <x v="5"/>
    <s v="Board Game"/>
    <n v="2"/>
    <n v="57.92"/>
    <n v="0.2"/>
    <x v="1"/>
    <n v="92.67"/>
    <n v="80.599999999999994"/>
    <n v="12.07"/>
    <n v="1"/>
    <n v="0"/>
    <n v="4"/>
    <n v="4"/>
  </r>
  <r>
    <s v="SW-103294"/>
    <d v="2025-05-02T00:00:00"/>
    <x v="1"/>
    <s v="Q2"/>
    <x v="4"/>
    <x v="0"/>
    <x v="3"/>
    <x v="1"/>
    <x v="0"/>
    <s v="Sunglasses"/>
    <n v="4"/>
    <n v="104.94"/>
    <n v="0"/>
    <x v="2"/>
    <n v="419.76"/>
    <n v="234.18"/>
    <n v="185.58"/>
    <n v="1"/>
    <n v="0"/>
    <n v="4"/>
    <n v="4"/>
  </r>
  <r>
    <s v="SW-103295"/>
    <d v="2025-05-02T00:00:00"/>
    <x v="1"/>
    <s v="Q2"/>
    <x v="4"/>
    <x v="1"/>
    <x v="2"/>
    <x v="1"/>
    <x v="1"/>
    <s v="Skin Care Bundle"/>
    <n v="1"/>
    <n v="92.54"/>
    <n v="0.05"/>
    <x v="0"/>
    <n v="87.91"/>
    <n v="45.1"/>
    <n v="42.81"/>
    <n v="1"/>
    <n v="0"/>
    <n v="4"/>
    <n v="4"/>
  </r>
  <r>
    <s v="SW-103296"/>
    <d v="2025-05-03T00:00:00"/>
    <x v="1"/>
    <s v="Q2"/>
    <x v="4"/>
    <x v="0"/>
    <x v="3"/>
    <x v="0"/>
    <x v="4"/>
    <s v="4K Action Camera"/>
    <n v="2"/>
    <n v="636.09"/>
    <n v="0"/>
    <x v="2"/>
    <n v="1272.18"/>
    <n v="1064.67"/>
    <n v="207.51"/>
    <n v="1"/>
    <n v="0"/>
    <n v="2"/>
    <n v="5"/>
  </r>
  <r>
    <s v="SW-103297"/>
    <d v="2025-05-03T00:00:00"/>
    <x v="1"/>
    <s v="Q2"/>
    <x v="4"/>
    <x v="2"/>
    <x v="2"/>
    <x v="0"/>
    <x v="2"/>
    <s v="Air Fryer"/>
    <n v="1"/>
    <n v="68.349999999999994"/>
    <n v="0.1"/>
    <x v="0"/>
    <n v="61.51"/>
    <n v="45.49"/>
    <n v="16.02"/>
    <n v="1"/>
    <n v="0"/>
    <n v="3"/>
    <n v="5"/>
  </r>
  <r>
    <s v="SW-103298"/>
    <d v="2025-05-03T00:00:00"/>
    <x v="1"/>
    <s v="Q2"/>
    <x v="4"/>
    <x v="1"/>
    <x v="0"/>
    <x v="1"/>
    <x v="0"/>
    <s v="Running Sneakers"/>
    <n v="1"/>
    <n v="94.85"/>
    <n v="0.15"/>
    <x v="1"/>
    <n v="80.62"/>
    <n v="52.41"/>
    <n v="28.21"/>
    <n v="1"/>
    <n v="0"/>
    <n v="5"/>
    <n v="4"/>
  </r>
  <r>
    <s v="SW-103299"/>
    <d v="2025-05-03T00:00:00"/>
    <x v="1"/>
    <s v="Q2"/>
    <x v="4"/>
    <x v="1"/>
    <x v="3"/>
    <x v="1"/>
    <x v="3"/>
    <s v="Yoga Mat"/>
    <n v="1"/>
    <n v="137.05000000000001"/>
    <n v="0"/>
    <x v="2"/>
    <n v="137.05000000000001"/>
    <n v="89.79"/>
    <n v="47.26"/>
    <n v="1"/>
    <n v="0"/>
    <n v="3"/>
    <n v="5"/>
  </r>
  <r>
    <s v="SW-103300"/>
    <d v="2025-05-03T00:00:00"/>
    <x v="1"/>
    <s v="Q2"/>
    <x v="4"/>
    <x v="0"/>
    <x v="0"/>
    <x v="1"/>
    <x v="0"/>
    <s v="Cotton T-Shirt"/>
    <n v="2"/>
    <n v="19.41"/>
    <n v="0.1"/>
    <x v="0"/>
    <n v="34.94"/>
    <n v="21.38"/>
    <n v="13.56"/>
    <n v="1"/>
    <n v="0"/>
    <n v="3"/>
    <n v="5"/>
  </r>
  <r>
    <s v="SW-103301"/>
    <d v="2025-05-03T00:00:00"/>
    <x v="1"/>
    <s v="Q2"/>
    <x v="4"/>
    <x v="0"/>
    <x v="3"/>
    <x v="0"/>
    <x v="2"/>
    <s v="Coffee Maker"/>
    <n v="1"/>
    <n v="148.05000000000001"/>
    <n v="0"/>
    <x v="2"/>
    <n v="148.05000000000001"/>
    <n v="95.26"/>
    <n v="52.79"/>
    <n v="1"/>
    <n v="0"/>
    <n v="4"/>
    <n v="4"/>
  </r>
  <r>
    <s v="SW-103302"/>
    <d v="2025-05-03T00:00:00"/>
    <x v="1"/>
    <s v="Q2"/>
    <x v="4"/>
    <x v="1"/>
    <x v="0"/>
    <x v="1"/>
    <x v="0"/>
    <s v="Running Sneakers"/>
    <n v="1"/>
    <n v="94.85"/>
    <n v="0.05"/>
    <x v="0"/>
    <n v="90.11"/>
    <n v="50.31"/>
    <n v="39.799999999999997"/>
    <n v="1"/>
    <n v="0"/>
    <n v="6"/>
    <n v="4"/>
  </r>
  <r>
    <s v="SW-103303"/>
    <d v="2025-05-04T00:00:00"/>
    <x v="1"/>
    <s v="Q2"/>
    <x v="4"/>
    <x v="0"/>
    <x v="0"/>
    <x v="1"/>
    <x v="2"/>
    <s v="Air Fryer"/>
    <n v="1"/>
    <n v="68.349999999999994"/>
    <n v="0"/>
    <x v="2"/>
    <n v="68.349999999999994"/>
    <n v="44.01"/>
    <n v="24.34"/>
    <n v="1"/>
    <n v="0"/>
    <n v="4"/>
    <n v="4"/>
  </r>
  <r>
    <s v="SW-103304"/>
    <d v="2025-05-04T00:00:00"/>
    <x v="1"/>
    <s v="Q2"/>
    <x v="4"/>
    <x v="1"/>
    <x v="0"/>
    <x v="0"/>
    <x v="4"/>
    <s v="4K Action Camera"/>
    <n v="1"/>
    <n v="636.09"/>
    <n v="0.05"/>
    <x v="0"/>
    <n v="604.29"/>
    <n v="498.76"/>
    <n v="105.53"/>
    <n v="1"/>
    <n v="0"/>
    <n v="3"/>
    <n v="3"/>
  </r>
  <r>
    <s v="SW-103305"/>
    <d v="2025-05-04T00:00:00"/>
    <x v="1"/>
    <s v="Q2"/>
    <x v="4"/>
    <x v="1"/>
    <x v="2"/>
    <x v="1"/>
    <x v="2"/>
    <s v="Cookware Set"/>
    <n v="1"/>
    <n v="233.81"/>
    <n v="0.1"/>
    <x v="0"/>
    <n v="210.43"/>
    <n v="144.35"/>
    <n v="66.08"/>
    <n v="1"/>
    <n v="0"/>
    <n v="4"/>
    <n v="4"/>
  </r>
  <r>
    <s v="SW-103306"/>
    <d v="2025-05-04T00:00:00"/>
    <x v="1"/>
    <s v="Q2"/>
    <x v="4"/>
    <x v="0"/>
    <x v="2"/>
    <x v="0"/>
    <x v="1"/>
    <s v="Makeup Kit"/>
    <n v="3"/>
    <n v="74.3"/>
    <n v="0"/>
    <x v="2"/>
    <n v="222.9"/>
    <n v="107.69"/>
    <n v="115.21"/>
    <n v="1"/>
    <n v="0"/>
    <n v="3"/>
    <n v="5"/>
  </r>
  <r>
    <s v="SW-103307"/>
    <d v="2025-05-04T00:00:00"/>
    <x v="1"/>
    <s v="Q2"/>
    <x v="4"/>
    <x v="2"/>
    <x v="4"/>
    <x v="1"/>
    <x v="3"/>
    <s v="Camping Tent"/>
    <n v="1"/>
    <n v="83.06"/>
    <n v="0.05"/>
    <x v="0"/>
    <n v="78.91"/>
    <n v="54.94"/>
    <n v="23.97"/>
    <n v="1"/>
    <n v="0"/>
    <n v="6"/>
    <n v="4"/>
  </r>
  <r>
    <s v="SW-103308"/>
    <d v="2025-05-04T00:00:00"/>
    <x v="1"/>
    <s v="Q2"/>
    <x v="4"/>
    <x v="2"/>
    <x v="3"/>
    <x v="0"/>
    <x v="2"/>
    <s v="Coffee Maker"/>
    <n v="1"/>
    <n v="148.05000000000001"/>
    <n v="0.1"/>
    <x v="0"/>
    <n v="133.24"/>
    <n v="101.23"/>
    <n v="32.01"/>
    <n v="1"/>
    <n v="0"/>
    <n v="3"/>
    <n v="3"/>
  </r>
  <r>
    <s v="SW-103309"/>
    <d v="2025-05-04T00:00:00"/>
    <x v="1"/>
    <s v="Q2"/>
    <x v="4"/>
    <x v="0"/>
    <x v="2"/>
    <x v="1"/>
    <x v="3"/>
    <s v="Dumbbell Set"/>
    <n v="2"/>
    <n v="198.42"/>
    <n v="0.1"/>
    <x v="0"/>
    <n v="357.16"/>
    <n v="269.66000000000003"/>
    <n v="87.5"/>
    <n v="1"/>
    <n v="0"/>
    <n v="5"/>
    <n v="4"/>
  </r>
  <r>
    <s v="SW-103310"/>
    <d v="2025-05-04T00:00:00"/>
    <x v="1"/>
    <s v="Q2"/>
    <x v="4"/>
    <x v="0"/>
    <x v="4"/>
    <x v="0"/>
    <x v="1"/>
    <s v="Hair Dryer"/>
    <n v="1"/>
    <n v="33.18"/>
    <n v="0"/>
    <x v="2"/>
    <n v="33.18"/>
    <n v="16.7"/>
    <n v="16.48"/>
    <n v="1"/>
    <n v="1"/>
    <n v="9"/>
    <n v="3"/>
  </r>
  <r>
    <s v="SW-103311"/>
    <d v="2025-05-04T00:00:00"/>
    <x v="1"/>
    <s v="Q2"/>
    <x v="4"/>
    <x v="1"/>
    <x v="4"/>
    <x v="0"/>
    <x v="4"/>
    <s v="Power Bank"/>
    <n v="2"/>
    <n v="508.8"/>
    <n v="0.05"/>
    <x v="0"/>
    <n v="966.72"/>
    <n v="834.71"/>
    <n v="132.01"/>
    <n v="1"/>
    <n v="0"/>
    <n v="7"/>
    <n v="4"/>
  </r>
  <r>
    <s v="SW-103312"/>
    <d v="2025-05-04T00:00:00"/>
    <x v="1"/>
    <s v="Q2"/>
    <x v="4"/>
    <x v="2"/>
    <x v="0"/>
    <x v="1"/>
    <x v="3"/>
    <s v="Yoga Mat"/>
    <n v="1"/>
    <n v="137.05000000000001"/>
    <n v="0"/>
    <x v="2"/>
    <n v="137.05000000000001"/>
    <n v="89.87"/>
    <n v="47.18"/>
    <n v="1"/>
    <n v="1"/>
    <n v="5"/>
    <n v="4"/>
  </r>
  <r>
    <s v="SW-103313"/>
    <d v="2025-05-04T00:00:00"/>
    <x v="1"/>
    <s v="Q2"/>
    <x v="4"/>
    <x v="0"/>
    <x v="0"/>
    <x v="1"/>
    <x v="4"/>
    <s v="Smart Watch"/>
    <n v="2"/>
    <n v="216.08"/>
    <n v="0.05"/>
    <x v="0"/>
    <n v="410.55"/>
    <n v="333.32"/>
    <n v="77.23"/>
    <n v="1"/>
    <n v="0"/>
    <n v="4"/>
    <n v="4"/>
  </r>
  <r>
    <s v="SW-103314"/>
    <d v="2025-05-05T00:00:00"/>
    <x v="1"/>
    <s v="Q2"/>
    <x v="4"/>
    <x v="1"/>
    <x v="4"/>
    <x v="1"/>
    <x v="5"/>
    <s v="Board Game"/>
    <n v="2"/>
    <n v="57.92"/>
    <n v="0"/>
    <x v="2"/>
    <n v="115.84"/>
    <n v="86.11"/>
    <n v="29.73"/>
    <n v="1"/>
    <n v="0"/>
    <n v="7"/>
    <n v="3"/>
  </r>
  <r>
    <s v="SW-103315"/>
    <d v="2025-05-05T00:00:00"/>
    <x v="1"/>
    <s v="Q2"/>
    <x v="4"/>
    <x v="1"/>
    <x v="2"/>
    <x v="1"/>
    <x v="2"/>
    <s v="Cookware Set"/>
    <n v="2"/>
    <n v="233.81"/>
    <n v="0.1"/>
    <x v="0"/>
    <n v="420.86"/>
    <n v="318.33"/>
    <n v="102.53"/>
    <n v="1"/>
    <n v="0"/>
    <n v="5"/>
    <n v="5"/>
  </r>
  <r>
    <s v="SW-103316"/>
    <d v="2025-05-05T00:00:00"/>
    <x v="1"/>
    <s v="Q2"/>
    <x v="4"/>
    <x v="1"/>
    <x v="3"/>
    <x v="1"/>
    <x v="2"/>
    <s v="Bed Sheet Set"/>
    <n v="1"/>
    <n v="90.75"/>
    <n v="0.05"/>
    <x v="0"/>
    <n v="86.21"/>
    <n v="56.54"/>
    <n v="29.67"/>
    <n v="1"/>
    <n v="0"/>
    <n v="2"/>
    <n v="5"/>
  </r>
  <r>
    <s v="SW-103317"/>
    <d v="2025-05-05T00:00:00"/>
    <x v="1"/>
    <s v="Q2"/>
    <x v="4"/>
    <x v="1"/>
    <x v="0"/>
    <x v="0"/>
    <x v="0"/>
    <s v="Cotton T-Shirt"/>
    <n v="1"/>
    <n v="19.41"/>
    <n v="0.2"/>
    <x v="1"/>
    <n v="15.53"/>
    <n v="10.51"/>
    <n v="5.0199999999999996"/>
    <n v="1"/>
    <n v="0"/>
    <n v="3"/>
    <n v="5"/>
  </r>
  <r>
    <s v="SW-103318"/>
    <d v="2025-05-05T00:00:00"/>
    <x v="1"/>
    <s v="Q2"/>
    <x v="4"/>
    <x v="1"/>
    <x v="0"/>
    <x v="1"/>
    <x v="5"/>
    <s v="Kids Puzzle"/>
    <n v="2"/>
    <n v="16.97"/>
    <n v="0"/>
    <x v="2"/>
    <n v="33.94"/>
    <n v="23.72"/>
    <n v="10.220000000000001"/>
    <n v="1"/>
    <n v="0"/>
    <n v="5"/>
    <n v="5"/>
  </r>
  <r>
    <s v="SW-103319"/>
    <d v="2025-05-05T00:00:00"/>
    <x v="1"/>
    <s v="Q2"/>
    <x v="4"/>
    <x v="1"/>
    <x v="3"/>
    <x v="1"/>
    <x v="0"/>
    <s v="Denim Jacket"/>
    <n v="2"/>
    <n v="78.510000000000005"/>
    <n v="0"/>
    <x v="2"/>
    <n v="157.02000000000001"/>
    <n v="82.72"/>
    <n v="74.3"/>
    <n v="1"/>
    <n v="0"/>
    <n v="3"/>
    <n v="4"/>
  </r>
  <r>
    <s v="SW-103320"/>
    <d v="2025-05-05T00:00:00"/>
    <x v="1"/>
    <s v="Q2"/>
    <x v="4"/>
    <x v="1"/>
    <x v="4"/>
    <x v="1"/>
    <x v="4"/>
    <s v="Tablet 10in"/>
    <n v="1"/>
    <n v="490.3"/>
    <n v="0.15"/>
    <x v="1"/>
    <n v="416.76"/>
    <n v="395.88"/>
    <n v="20.88"/>
    <n v="1"/>
    <n v="0"/>
    <n v="5"/>
    <n v="5"/>
  </r>
  <r>
    <s v="SW-103321"/>
    <d v="2025-05-06T00:00:00"/>
    <x v="1"/>
    <s v="Q2"/>
    <x v="4"/>
    <x v="0"/>
    <x v="1"/>
    <x v="0"/>
    <x v="2"/>
    <s v="Cookware Set"/>
    <n v="1"/>
    <n v="233.81"/>
    <n v="0"/>
    <x v="2"/>
    <n v="233.81"/>
    <n v="162.78"/>
    <n v="71.03"/>
    <n v="1"/>
    <n v="0"/>
    <n v="5"/>
    <n v="4"/>
  </r>
  <r>
    <s v="SW-103322"/>
    <d v="2025-05-06T00:00:00"/>
    <x v="1"/>
    <s v="Q2"/>
    <x v="4"/>
    <x v="0"/>
    <x v="3"/>
    <x v="1"/>
    <x v="3"/>
    <s v="Cycling Helmet"/>
    <n v="1"/>
    <n v="85.42"/>
    <n v="0.05"/>
    <x v="0"/>
    <n v="81.150000000000006"/>
    <n v="57.12"/>
    <n v="24.03"/>
    <n v="1"/>
    <n v="0"/>
    <n v="6"/>
    <n v="4"/>
  </r>
  <r>
    <s v="SW-103323"/>
    <d v="2025-05-06T00:00:00"/>
    <x v="1"/>
    <s v="Q2"/>
    <x v="4"/>
    <x v="1"/>
    <x v="2"/>
    <x v="0"/>
    <x v="1"/>
    <s v="Makeup Kit"/>
    <n v="1"/>
    <n v="74.3"/>
    <n v="0"/>
    <x v="2"/>
    <n v="74.3"/>
    <n v="37.590000000000003"/>
    <n v="36.71"/>
    <n v="1"/>
    <n v="0"/>
    <n v="3"/>
    <n v="4"/>
  </r>
  <r>
    <s v="SW-103324"/>
    <d v="2025-05-06T00:00:00"/>
    <x v="1"/>
    <s v="Q2"/>
    <x v="4"/>
    <x v="2"/>
    <x v="1"/>
    <x v="0"/>
    <x v="2"/>
    <s v="Storage Boxes"/>
    <n v="1"/>
    <n v="154.66"/>
    <n v="0.1"/>
    <x v="0"/>
    <n v="139.19"/>
    <n v="104.81"/>
    <n v="34.380000000000003"/>
    <n v="1"/>
    <n v="1"/>
    <n v="5"/>
    <n v="4"/>
  </r>
  <r>
    <s v="SW-103325"/>
    <d v="2025-05-06T00:00:00"/>
    <x v="1"/>
    <s v="Q2"/>
    <x v="4"/>
    <x v="2"/>
    <x v="2"/>
    <x v="1"/>
    <x v="4"/>
    <s v="Smart Watch"/>
    <n v="2"/>
    <n v="216.08"/>
    <n v="0"/>
    <x v="2"/>
    <n v="432.16"/>
    <n v="335.25"/>
    <n v="96.91"/>
    <n v="1"/>
    <n v="0"/>
    <n v="4"/>
    <n v="5"/>
  </r>
  <r>
    <s v="SW-103326"/>
    <d v="2025-05-06T00:00:00"/>
    <x v="1"/>
    <s v="Q2"/>
    <x v="4"/>
    <x v="0"/>
    <x v="3"/>
    <x v="1"/>
    <x v="0"/>
    <s v="Summer Dress"/>
    <n v="1"/>
    <n v="33.99"/>
    <n v="0"/>
    <x v="2"/>
    <n v="33.99"/>
    <n v="17.86"/>
    <n v="16.13"/>
    <n v="1"/>
    <n v="0"/>
    <n v="5"/>
    <n v="4"/>
  </r>
  <r>
    <s v="SW-103327"/>
    <d v="2025-05-06T00:00:00"/>
    <x v="1"/>
    <s v="Q2"/>
    <x v="4"/>
    <x v="0"/>
    <x v="3"/>
    <x v="1"/>
    <x v="3"/>
    <s v="Dumbbell Set"/>
    <n v="1"/>
    <n v="198.42"/>
    <n v="0"/>
    <x v="2"/>
    <n v="198.42"/>
    <n v="135.04"/>
    <n v="63.38"/>
    <n v="1"/>
    <n v="0"/>
    <n v="3"/>
    <n v="4"/>
  </r>
  <r>
    <s v="SW-103328"/>
    <d v="2025-05-06T00:00:00"/>
    <x v="1"/>
    <s v="Q2"/>
    <x v="4"/>
    <x v="1"/>
    <x v="0"/>
    <x v="1"/>
    <x v="0"/>
    <s v="Denim Jacket"/>
    <n v="1"/>
    <n v="78.510000000000005"/>
    <n v="0"/>
    <x v="2"/>
    <n v="78.510000000000005"/>
    <n v="42.54"/>
    <n v="35.97"/>
    <n v="1"/>
    <n v="0"/>
    <n v="3"/>
    <n v="5"/>
  </r>
  <r>
    <s v="SW-103329"/>
    <d v="2025-05-06T00:00:00"/>
    <x v="1"/>
    <s v="Q2"/>
    <x v="4"/>
    <x v="0"/>
    <x v="0"/>
    <x v="1"/>
    <x v="0"/>
    <s v="Summer Dress"/>
    <n v="1"/>
    <n v="33.99"/>
    <n v="0.15"/>
    <x v="1"/>
    <n v="28.89"/>
    <n v="17.920000000000002"/>
    <n v="10.97"/>
    <n v="1"/>
    <n v="0"/>
    <n v="4"/>
    <n v="5"/>
  </r>
  <r>
    <s v="SW-103330"/>
    <d v="2025-05-07T00:00:00"/>
    <x v="1"/>
    <s v="Q2"/>
    <x v="4"/>
    <x v="1"/>
    <x v="4"/>
    <x v="1"/>
    <x v="5"/>
    <s v="Story Book Set"/>
    <n v="2"/>
    <n v="10.76"/>
    <n v="0.15"/>
    <x v="1"/>
    <n v="18.29"/>
    <n v="15.43"/>
    <n v="2.86"/>
    <n v="1"/>
    <n v="0"/>
    <n v="6"/>
    <n v="3"/>
  </r>
  <r>
    <s v="SW-103331"/>
    <d v="2025-05-07T00:00:00"/>
    <x v="1"/>
    <s v="Q2"/>
    <x v="4"/>
    <x v="0"/>
    <x v="3"/>
    <x v="1"/>
    <x v="3"/>
    <s v="Yoga Mat"/>
    <n v="2"/>
    <n v="137.05000000000001"/>
    <n v="0"/>
    <x v="2"/>
    <n v="274.10000000000002"/>
    <n v="196.22"/>
    <n v="77.88"/>
    <n v="1"/>
    <n v="0"/>
    <n v="3"/>
    <n v="4"/>
  </r>
  <r>
    <s v="SW-103332"/>
    <d v="2025-05-07T00:00:00"/>
    <x v="1"/>
    <s v="Q2"/>
    <x v="4"/>
    <x v="1"/>
    <x v="2"/>
    <x v="1"/>
    <x v="2"/>
    <s v="Cookware Set"/>
    <n v="1"/>
    <n v="233.81"/>
    <n v="0.05"/>
    <x v="0"/>
    <n v="222.12"/>
    <n v="157.94999999999999"/>
    <n v="64.17"/>
    <n v="1"/>
    <n v="0"/>
    <n v="3"/>
    <n v="5"/>
  </r>
  <r>
    <s v="SW-103333"/>
    <d v="2025-05-08T00:00:00"/>
    <x v="1"/>
    <s v="Q2"/>
    <x v="4"/>
    <x v="1"/>
    <x v="3"/>
    <x v="0"/>
    <x v="2"/>
    <s v="Storage Boxes"/>
    <n v="1"/>
    <n v="154.66"/>
    <n v="0.05"/>
    <x v="0"/>
    <n v="146.93"/>
    <n v="104.56"/>
    <n v="42.37"/>
    <n v="1"/>
    <n v="0"/>
    <n v="3"/>
    <n v="5"/>
  </r>
  <r>
    <s v="SW-103334"/>
    <d v="2025-05-08T00:00:00"/>
    <x v="1"/>
    <s v="Q2"/>
    <x v="4"/>
    <x v="1"/>
    <x v="1"/>
    <x v="0"/>
    <x v="1"/>
    <s v="Perfume 100ml"/>
    <n v="2"/>
    <n v="54.56"/>
    <n v="0.05"/>
    <x v="0"/>
    <n v="103.66"/>
    <n v="54.99"/>
    <n v="48.67"/>
    <n v="1"/>
    <n v="0"/>
    <n v="6"/>
    <n v="3"/>
  </r>
  <r>
    <s v="SW-103335"/>
    <d v="2025-05-08T00:00:00"/>
    <x v="1"/>
    <s v="Q2"/>
    <x v="4"/>
    <x v="0"/>
    <x v="0"/>
    <x v="0"/>
    <x v="2"/>
    <s v="Desk Lamp"/>
    <n v="1"/>
    <n v="117.63"/>
    <n v="0.05"/>
    <x v="0"/>
    <n v="111.75"/>
    <n v="78.22"/>
    <n v="33.53"/>
    <n v="1"/>
    <n v="0"/>
    <n v="4"/>
    <n v="5"/>
  </r>
  <r>
    <s v="SW-103336"/>
    <d v="2025-05-08T00:00:00"/>
    <x v="1"/>
    <s v="Q2"/>
    <x v="4"/>
    <x v="0"/>
    <x v="3"/>
    <x v="1"/>
    <x v="3"/>
    <s v="Cycling Helmet"/>
    <n v="2"/>
    <n v="85.42"/>
    <n v="0.25"/>
    <x v="3"/>
    <n v="128.13"/>
    <n v="114.02"/>
    <n v="14.11"/>
    <n v="1"/>
    <n v="0"/>
    <n v="3"/>
    <n v="4"/>
  </r>
  <r>
    <s v="SW-103337"/>
    <d v="2025-05-08T00:00:00"/>
    <x v="1"/>
    <s v="Q2"/>
    <x v="4"/>
    <x v="0"/>
    <x v="2"/>
    <x v="1"/>
    <x v="4"/>
    <s v="4K Action Camera"/>
    <n v="1"/>
    <n v="636.09"/>
    <n v="0"/>
    <x v="2"/>
    <n v="636.09"/>
    <n v="528.87"/>
    <n v="107.22"/>
    <n v="1"/>
    <n v="0"/>
    <n v="5"/>
    <n v="5"/>
  </r>
  <r>
    <s v="SW-103338"/>
    <d v="2025-05-08T00:00:00"/>
    <x v="1"/>
    <s v="Q2"/>
    <x v="4"/>
    <x v="1"/>
    <x v="1"/>
    <x v="0"/>
    <x v="0"/>
    <s v="Cotton T-Shirt"/>
    <n v="1"/>
    <n v="19.41"/>
    <n v="0.25"/>
    <x v="3"/>
    <n v="14.56"/>
    <n v="10.85"/>
    <n v="3.71"/>
    <n v="1"/>
    <n v="0"/>
    <n v="6"/>
    <n v="5"/>
  </r>
  <r>
    <s v="SW-103339"/>
    <d v="2025-05-08T00:00:00"/>
    <x v="1"/>
    <s v="Q2"/>
    <x v="4"/>
    <x v="0"/>
    <x v="0"/>
    <x v="0"/>
    <x v="0"/>
    <s v="Running Sneakers"/>
    <n v="2"/>
    <n v="94.85"/>
    <n v="0.1"/>
    <x v="0"/>
    <n v="170.73"/>
    <n v="101.77"/>
    <n v="68.959999999999994"/>
    <n v="1"/>
    <n v="0"/>
    <n v="4"/>
    <n v="5"/>
  </r>
  <r>
    <s v="SW-103340"/>
    <d v="2025-05-09T00:00:00"/>
    <x v="1"/>
    <s v="Q2"/>
    <x v="4"/>
    <x v="0"/>
    <x v="3"/>
    <x v="1"/>
    <x v="0"/>
    <s v="Cotton T-Shirt"/>
    <n v="2"/>
    <n v="19.41"/>
    <n v="0"/>
    <x v="2"/>
    <n v="38.82"/>
    <n v="21.91"/>
    <n v="16.91"/>
    <n v="1"/>
    <n v="0"/>
    <n v="2"/>
    <n v="4"/>
  </r>
  <r>
    <s v="SW-103341"/>
    <d v="2025-05-09T00:00:00"/>
    <x v="1"/>
    <s v="Q2"/>
    <x v="4"/>
    <x v="0"/>
    <x v="1"/>
    <x v="1"/>
    <x v="4"/>
    <s v="Bluetooth Speaker"/>
    <n v="1"/>
    <n v="177.65"/>
    <n v="0.1"/>
    <x v="0"/>
    <n v="159.88999999999999"/>
    <n v="145.22999999999999"/>
    <n v="14.66"/>
    <n v="1"/>
    <n v="0"/>
    <n v="6"/>
    <n v="4"/>
  </r>
  <r>
    <s v="SW-103342"/>
    <d v="2025-05-09T00:00:00"/>
    <x v="1"/>
    <s v="Q2"/>
    <x v="4"/>
    <x v="1"/>
    <x v="2"/>
    <x v="1"/>
    <x v="3"/>
    <s v="Dumbbell Set"/>
    <n v="1"/>
    <n v="198.42"/>
    <n v="0.05"/>
    <x v="0"/>
    <n v="188.5"/>
    <n v="126.5"/>
    <n v="62"/>
    <n v="1"/>
    <n v="0"/>
    <n v="3"/>
    <n v="4"/>
  </r>
  <r>
    <s v="SW-103343"/>
    <d v="2025-05-09T00:00:00"/>
    <x v="1"/>
    <s v="Q2"/>
    <x v="4"/>
    <x v="1"/>
    <x v="3"/>
    <x v="0"/>
    <x v="4"/>
    <s v="Tablet 10in"/>
    <n v="1"/>
    <n v="490.3"/>
    <n v="0"/>
    <x v="2"/>
    <n v="490.3"/>
    <n v="382.65"/>
    <n v="107.65"/>
    <n v="1"/>
    <n v="1"/>
    <n v="2"/>
    <n v="3"/>
  </r>
  <r>
    <s v="SW-103344"/>
    <d v="2025-05-09T00:00:00"/>
    <x v="1"/>
    <s v="Q2"/>
    <x v="4"/>
    <x v="0"/>
    <x v="2"/>
    <x v="0"/>
    <x v="1"/>
    <s v="Makeup Kit"/>
    <n v="1"/>
    <n v="74.3"/>
    <n v="0.25"/>
    <x v="3"/>
    <n v="55.72"/>
    <n v="33.729999999999997"/>
    <n v="21.99"/>
    <n v="1"/>
    <n v="0"/>
    <n v="4"/>
    <n v="4"/>
  </r>
  <r>
    <s v="SW-103345"/>
    <d v="2025-05-09T00:00:00"/>
    <x v="1"/>
    <s v="Q2"/>
    <x v="4"/>
    <x v="1"/>
    <x v="0"/>
    <x v="1"/>
    <x v="5"/>
    <s v="Bestseller Novel"/>
    <n v="1"/>
    <n v="45.28"/>
    <n v="0.05"/>
    <x v="0"/>
    <n v="43.02"/>
    <n v="32.85"/>
    <n v="10.17"/>
    <n v="1"/>
    <n v="0"/>
    <n v="4"/>
    <n v="4"/>
  </r>
  <r>
    <s v="SW-103346"/>
    <d v="2025-05-09T00:00:00"/>
    <x v="1"/>
    <s v="Q2"/>
    <x v="4"/>
    <x v="0"/>
    <x v="0"/>
    <x v="1"/>
    <x v="4"/>
    <s v="Smart Watch"/>
    <n v="1"/>
    <n v="216.08"/>
    <n v="0"/>
    <x v="2"/>
    <n v="216.08"/>
    <n v="170.76"/>
    <n v="45.32"/>
    <n v="1"/>
    <n v="0"/>
    <n v="7"/>
    <n v="3"/>
  </r>
  <r>
    <s v="SW-103347"/>
    <d v="2025-05-09T00:00:00"/>
    <x v="1"/>
    <s v="Q2"/>
    <x v="4"/>
    <x v="1"/>
    <x v="2"/>
    <x v="1"/>
    <x v="3"/>
    <s v="Fitness Tracker"/>
    <n v="2"/>
    <n v="74.459999999999994"/>
    <n v="0.1"/>
    <x v="0"/>
    <n v="134.03"/>
    <n v="111.19"/>
    <n v="22.84"/>
    <n v="1"/>
    <n v="0"/>
    <n v="3"/>
    <n v="5"/>
  </r>
  <r>
    <s v="SW-103348"/>
    <d v="2025-05-09T00:00:00"/>
    <x v="1"/>
    <s v="Q2"/>
    <x v="4"/>
    <x v="2"/>
    <x v="3"/>
    <x v="1"/>
    <x v="3"/>
    <s v="Camping Tent"/>
    <n v="1"/>
    <n v="83.06"/>
    <n v="0.2"/>
    <x v="1"/>
    <n v="66.45"/>
    <n v="56.74"/>
    <n v="9.7100000000000009"/>
    <n v="1"/>
    <n v="0"/>
    <n v="2"/>
    <n v="4"/>
  </r>
  <r>
    <s v="SW-103349"/>
    <d v="2025-05-09T00:00:00"/>
    <x v="1"/>
    <s v="Q2"/>
    <x v="4"/>
    <x v="0"/>
    <x v="2"/>
    <x v="1"/>
    <x v="0"/>
    <s v="Summer Dress"/>
    <n v="3"/>
    <n v="33.99"/>
    <n v="0"/>
    <x v="2"/>
    <n v="101.97"/>
    <n v="56"/>
    <n v="45.97"/>
    <n v="1"/>
    <n v="0"/>
    <n v="6"/>
    <n v="2"/>
  </r>
  <r>
    <s v="SW-103350"/>
    <d v="2025-05-10T00:00:00"/>
    <x v="1"/>
    <s v="Q2"/>
    <x v="4"/>
    <x v="1"/>
    <x v="3"/>
    <x v="1"/>
    <x v="4"/>
    <s v="Smart Watch"/>
    <n v="1"/>
    <n v="216.08"/>
    <n v="0"/>
    <x v="2"/>
    <n v="216.08"/>
    <n v="172.67"/>
    <n v="43.41"/>
    <n v="1"/>
    <n v="0"/>
    <n v="2"/>
    <n v="5"/>
  </r>
  <r>
    <s v="SW-103351"/>
    <d v="2025-05-10T00:00:00"/>
    <x v="1"/>
    <s v="Q2"/>
    <x v="4"/>
    <x v="2"/>
    <x v="3"/>
    <x v="0"/>
    <x v="5"/>
    <s v="Bestseller Novel"/>
    <n v="1"/>
    <n v="45.28"/>
    <n v="0.15"/>
    <x v="1"/>
    <n v="38.49"/>
    <n v="31.02"/>
    <n v="7.47"/>
    <n v="1"/>
    <n v="0"/>
    <n v="4"/>
    <n v="4"/>
  </r>
  <r>
    <s v="SW-103352"/>
    <d v="2025-05-10T00:00:00"/>
    <x v="1"/>
    <s v="Q2"/>
    <x v="4"/>
    <x v="0"/>
    <x v="0"/>
    <x v="1"/>
    <x v="0"/>
    <s v="Running Sneakers"/>
    <n v="1"/>
    <n v="94.85"/>
    <n v="0.05"/>
    <x v="0"/>
    <n v="90.11"/>
    <n v="52.8"/>
    <n v="37.31"/>
    <n v="1"/>
    <n v="1"/>
    <n v="4"/>
    <n v="4"/>
  </r>
  <r>
    <s v="SW-103353"/>
    <d v="2025-05-10T00:00:00"/>
    <x v="1"/>
    <s v="Q2"/>
    <x v="4"/>
    <x v="1"/>
    <x v="2"/>
    <x v="1"/>
    <x v="0"/>
    <s v="Denim Jacket"/>
    <n v="3"/>
    <n v="78.510000000000005"/>
    <n v="0.1"/>
    <x v="0"/>
    <n v="211.98"/>
    <n v="129.34"/>
    <n v="82.64"/>
    <n v="1"/>
    <n v="0"/>
    <n v="5"/>
    <n v="4"/>
  </r>
  <r>
    <s v="SW-103354"/>
    <d v="2025-05-10T00:00:00"/>
    <x v="1"/>
    <s v="Q2"/>
    <x v="4"/>
    <x v="1"/>
    <x v="0"/>
    <x v="0"/>
    <x v="3"/>
    <s v="Yoga Mat"/>
    <n v="1"/>
    <n v="137.05000000000001"/>
    <n v="0.15"/>
    <x v="1"/>
    <n v="116.49"/>
    <n v="91.34"/>
    <n v="25.15"/>
    <n v="1"/>
    <n v="0"/>
    <n v="5"/>
    <n v="4"/>
  </r>
  <r>
    <s v="SW-103355"/>
    <d v="2025-05-10T00:00:00"/>
    <x v="1"/>
    <s v="Q2"/>
    <x v="4"/>
    <x v="2"/>
    <x v="0"/>
    <x v="1"/>
    <x v="4"/>
    <s v="Wireless Earbuds"/>
    <n v="1"/>
    <n v="588.41"/>
    <n v="0.2"/>
    <x v="1"/>
    <n v="470.73"/>
    <n v="459.8"/>
    <n v="10.93"/>
    <n v="1"/>
    <n v="0"/>
    <n v="4"/>
    <n v="5"/>
  </r>
  <r>
    <s v="SW-103356"/>
    <d v="2025-05-11T00:00:00"/>
    <x v="1"/>
    <s v="Q2"/>
    <x v="4"/>
    <x v="2"/>
    <x v="3"/>
    <x v="1"/>
    <x v="3"/>
    <s v="Dumbbell Set"/>
    <n v="2"/>
    <n v="198.42"/>
    <n v="0.15"/>
    <x v="1"/>
    <n v="337.31"/>
    <n v="273.85000000000002"/>
    <n v="63.46"/>
    <n v="1"/>
    <n v="0"/>
    <n v="6"/>
    <n v="3"/>
  </r>
  <r>
    <s v="SW-103357"/>
    <d v="2025-05-11T00:00:00"/>
    <x v="1"/>
    <s v="Q2"/>
    <x v="4"/>
    <x v="2"/>
    <x v="4"/>
    <x v="1"/>
    <x v="1"/>
    <s v="Skin Care Bundle"/>
    <n v="1"/>
    <n v="92.54"/>
    <n v="0.1"/>
    <x v="0"/>
    <n v="83.29"/>
    <n v="46.27"/>
    <n v="37.020000000000003"/>
    <n v="1"/>
    <n v="0"/>
    <n v="5"/>
    <n v="5"/>
  </r>
  <r>
    <s v="SW-103358"/>
    <d v="2025-05-11T00:00:00"/>
    <x v="1"/>
    <s v="Q2"/>
    <x v="4"/>
    <x v="0"/>
    <x v="3"/>
    <x v="1"/>
    <x v="5"/>
    <s v="Story Book Set"/>
    <n v="1"/>
    <n v="10.76"/>
    <n v="0"/>
    <x v="2"/>
    <n v="10.76"/>
    <n v="7.86"/>
    <n v="2.9"/>
    <n v="1"/>
    <n v="0"/>
    <n v="3"/>
    <n v="4"/>
  </r>
  <r>
    <s v="SW-103359"/>
    <d v="2025-05-11T00:00:00"/>
    <x v="1"/>
    <s v="Q2"/>
    <x v="4"/>
    <x v="1"/>
    <x v="0"/>
    <x v="0"/>
    <x v="1"/>
    <s v="Face Serum"/>
    <n v="1"/>
    <n v="33.479999999999997"/>
    <n v="0.25"/>
    <x v="3"/>
    <n v="25.11"/>
    <n v="16.72"/>
    <n v="8.39"/>
    <n v="1"/>
    <n v="0"/>
    <n v="3"/>
    <n v="3"/>
  </r>
  <r>
    <s v="SW-103360"/>
    <d v="2025-05-11T00:00:00"/>
    <x v="1"/>
    <s v="Q2"/>
    <x v="4"/>
    <x v="1"/>
    <x v="1"/>
    <x v="1"/>
    <x v="4"/>
    <s v="Wireless Earbuds"/>
    <n v="3"/>
    <n v="588.41"/>
    <n v="0"/>
    <x v="2"/>
    <n v="1765.23"/>
    <n v="1440.99"/>
    <n v="324.24"/>
    <n v="1"/>
    <n v="0"/>
    <n v="5"/>
    <n v="5"/>
  </r>
  <r>
    <s v="SW-103361"/>
    <d v="2025-05-11T00:00:00"/>
    <x v="1"/>
    <s v="Q2"/>
    <x v="4"/>
    <x v="2"/>
    <x v="4"/>
    <x v="1"/>
    <x v="0"/>
    <s v="Cotton T-Shirt"/>
    <n v="1"/>
    <n v="19.41"/>
    <n v="0.05"/>
    <x v="0"/>
    <n v="18.440000000000001"/>
    <n v="10.199999999999999"/>
    <n v="8.24"/>
    <n v="1"/>
    <n v="0"/>
    <n v="9"/>
    <n v="3"/>
  </r>
  <r>
    <s v="SW-103362"/>
    <d v="2025-05-11T00:00:00"/>
    <x v="1"/>
    <s v="Q2"/>
    <x v="4"/>
    <x v="0"/>
    <x v="0"/>
    <x v="1"/>
    <x v="3"/>
    <s v="Camping Tent"/>
    <n v="3"/>
    <n v="83.06"/>
    <n v="0.05"/>
    <x v="0"/>
    <n v="236.72"/>
    <n v="166.95"/>
    <n v="69.77"/>
    <n v="1"/>
    <n v="0"/>
    <n v="3"/>
    <n v="4"/>
  </r>
  <r>
    <s v="SW-103363"/>
    <d v="2025-05-12T00:00:00"/>
    <x v="1"/>
    <s v="Q2"/>
    <x v="4"/>
    <x v="0"/>
    <x v="3"/>
    <x v="1"/>
    <x v="4"/>
    <s v="Smart Watch"/>
    <n v="1"/>
    <n v="216.08"/>
    <n v="0.05"/>
    <x v="0"/>
    <n v="205.28"/>
    <n v="171.39"/>
    <n v="33.89"/>
    <n v="1"/>
    <n v="0"/>
    <n v="4"/>
    <n v="4"/>
  </r>
  <r>
    <s v="SW-103364"/>
    <d v="2025-05-12T00:00:00"/>
    <x v="1"/>
    <s v="Q2"/>
    <x v="4"/>
    <x v="0"/>
    <x v="3"/>
    <x v="1"/>
    <x v="4"/>
    <s v="Smart Watch"/>
    <n v="4"/>
    <n v="216.08"/>
    <n v="0.1"/>
    <x v="0"/>
    <n v="777.89"/>
    <n v="696.51"/>
    <n v="81.38"/>
    <n v="1"/>
    <n v="0"/>
    <n v="2"/>
    <n v="5"/>
  </r>
  <r>
    <s v="SW-103365"/>
    <d v="2025-05-12T00:00:00"/>
    <x v="1"/>
    <s v="Q2"/>
    <x v="4"/>
    <x v="1"/>
    <x v="4"/>
    <x v="0"/>
    <x v="0"/>
    <s v="Denim Jacket"/>
    <n v="1"/>
    <n v="78.510000000000005"/>
    <n v="0.15"/>
    <x v="1"/>
    <n v="66.73"/>
    <n v="40.200000000000003"/>
    <n v="26.53"/>
    <n v="1"/>
    <n v="0"/>
    <n v="7"/>
    <n v="3"/>
  </r>
  <r>
    <s v="SW-103366"/>
    <d v="2025-05-12T00:00:00"/>
    <x v="1"/>
    <s v="Q2"/>
    <x v="4"/>
    <x v="0"/>
    <x v="2"/>
    <x v="1"/>
    <x v="2"/>
    <s v="Desk Lamp"/>
    <n v="1"/>
    <n v="117.63"/>
    <n v="0.2"/>
    <x v="1"/>
    <n v="94.1"/>
    <n v="83.42"/>
    <n v="10.68"/>
    <n v="1"/>
    <n v="0"/>
    <n v="4"/>
    <n v="4"/>
  </r>
  <r>
    <s v="SW-103367"/>
    <d v="2025-05-12T00:00:00"/>
    <x v="1"/>
    <s v="Q2"/>
    <x v="4"/>
    <x v="2"/>
    <x v="2"/>
    <x v="1"/>
    <x v="4"/>
    <s v="Smart Watch"/>
    <n v="1"/>
    <n v="216.08"/>
    <n v="0"/>
    <x v="2"/>
    <n v="216.08"/>
    <n v="175.41"/>
    <n v="40.67"/>
    <n v="1"/>
    <n v="0"/>
    <n v="4"/>
    <n v="5"/>
  </r>
  <r>
    <s v="SW-103368"/>
    <d v="2025-05-12T00:00:00"/>
    <x v="1"/>
    <s v="Q2"/>
    <x v="4"/>
    <x v="0"/>
    <x v="3"/>
    <x v="1"/>
    <x v="4"/>
    <s v="4K Action Camera"/>
    <n v="2"/>
    <n v="636.09"/>
    <n v="0.05"/>
    <x v="0"/>
    <n v="1208.57"/>
    <n v="992.8"/>
    <n v="215.77"/>
    <n v="1"/>
    <n v="0"/>
    <n v="3"/>
    <n v="5"/>
  </r>
  <r>
    <s v="SW-103369"/>
    <d v="2025-05-12T00:00:00"/>
    <x v="1"/>
    <s v="Q2"/>
    <x v="4"/>
    <x v="0"/>
    <x v="1"/>
    <x v="1"/>
    <x v="1"/>
    <s v="Makeup Kit"/>
    <n v="2"/>
    <n v="74.3"/>
    <n v="0"/>
    <x v="2"/>
    <n v="148.6"/>
    <n v="73.87"/>
    <n v="74.73"/>
    <n v="1"/>
    <n v="0"/>
    <n v="5"/>
    <n v="4"/>
  </r>
  <r>
    <s v="SW-103370"/>
    <d v="2025-05-12T00:00:00"/>
    <x v="1"/>
    <s v="Q2"/>
    <x v="4"/>
    <x v="0"/>
    <x v="0"/>
    <x v="1"/>
    <x v="0"/>
    <s v="Denim Jacket"/>
    <n v="1"/>
    <n v="78.510000000000005"/>
    <n v="0.15"/>
    <x v="1"/>
    <n v="66.73"/>
    <n v="44.09"/>
    <n v="22.64"/>
    <n v="1"/>
    <n v="0"/>
    <n v="3"/>
    <n v="4"/>
  </r>
  <r>
    <s v="SW-103371"/>
    <d v="2025-05-13T00:00:00"/>
    <x v="1"/>
    <s v="Q2"/>
    <x v="4"/>
    <x v="0"/>
    <x v="3"/>
    <x v="0"/>
    <x v="3"/>
    <s v="Camping Tent"/>
    <n v="1"/>
    <n v="83.06"/>
    <n v="0.05"/>
    <x v="0"/>
    <n v="78.91"/>
    <n v="55.85"/>
    <n v="23.06"/>
    <n v="1"/>
    <n v="0"/>
    <n v="2"/>
    <n v="5"/>
  </r>
  <r>
    <s v="SW-103372"/>
    <d v="2025-05-13T00:00:00"/>
    <x v="1"/>
    <s v="Q2"/>
    <x v="4"/>
    <x v="0"/>
    <x v="2"/>
    <x v="1"/>
    <x v="0"/>
    <s v="Cotton T-Shirt"/>
    <n v="1"/>
    <n v="19.41"/>
    <n v="0"/>
    <x v="2"/>
    <n v="19.41"/>
    <n v="10.3"/>
    <n v="9.11"/>
    <n v="1"/>
    <n v="0"/>
    <n v="7"/>
    <n v="4"/>
  </r>
  <r>
    <s v="SW-103373"/>
    <d v="2025-05-13T00:00:00"/>
    <x v="1"/>
    <s v="Q2"/>
    <x v="4"/>
    <x v="2"/>
    <x v="3"/>
    <x v="1"/>
    <x v="4"/>
    <s v="Bluetooth Speaker"/>
    <n v="2"/>
    <n v="177.65"/>
    <n v="0.3"/>
    <x v="3"/>
    <n v="248.71"/>
    <n v="290.92"/>
    <n v="-42.21"/>
    <n v="1"/>
    <n v="0"/>
    <n v="3"/>
    <n v="4"/>
  </r>
  <r>
    <s v="SW-103374"/>
    <d v="2025-05-14T00:00:00"/>
    <x v="1"/>
    <s v="Q2"/>
    <x v="4"/>
    <x v="0"/>
    <x v="1"/>
    <x v="1"/>
    <x v="0"/>
    <s v="Leather Handbag"/>
    <n v="2"/>
    <n v="138.5"/>
    <n v="0.2"/>
    <x v="1"/>
    <n v="221.6"/>
    <n v="148.26"/>
    <n v="73.34"/>
    <n v="1"/>
    <n v="1"/>
    <n v="7"/>
    <n v="3"/>
  </r>
  <r>
    <s v="SW-103375"/>
    <d v="2025-05-14T00:00:00"/>
    <x v="1"/>
    <s v="Q2"/>
    <x v="4"/>
    <x v="0"/>
    <x v="2"/>
    <x v="1"/>
    <x v="2"/>
    <s v="Coffee Maker"/>
    <n v="1"/>
    <n v="148.05000000000001"/>
    <n v="0.1"/>
    <x v="0"/>
    <n v="133.24"/>
    <n v="99.42"/>
    <n v="33.82"/>
    <n v="1"/>
    <n v="1"/>
    <n v="3"/>
    <n v="3"/>
  </r>
  <r>
    <s v="SW-103376"/>
    <d v="2025-05-14T00:00:00"/>
    <x v="1"/>
    <s v="Q2"/>
    <x v="4"/>
    <x v="2"/>
    <x v="2"/>
    <x v="1"/>
    <x v="2"/>
    <s v="Air Fryer"/>
    <n v="1"/>
    <n v="68.349999999999994"/>
    <n v="0"/>
    <x v="2"/>
    <n v="68.349999999999994"/>
    <n v="45.37"/>
    <n v="22.98"/>
    <n v="1"/>
    <n v="0"/>
    <n v="4"/>
    <n v="4"/>
  </r>
  <r>
    <s v="SW-103377"/>
    <d v="2025-05-14T00:00:00"/>
    <x v="1"/>
    <s v="Q2"/>
    <x v="4"/>
    <x v="0"/>
    <x v="3"/>
    <x v="1"/>
    <x v="0"/>
    <s v="Running Sneakers"/>
    <n v="1"/>
    <n v="94.85"/>
    <n v="0.1"/>
    <x v="0"/>
    <n v="85.36"/>
    <n v="50.9"/>
    <n v="34.46"/>
    <n v="1"/>
    <n v="0"/>
    <n v="2"/>
    <n v="5"/>
  </r>
  <r>
    <s v="SW-103378"/>
    <d v="2025-05-14T00:00:00"/>
    <x v="1"/>
    <s v="Q2"/>
    <x v="4"/>
    <x v="2"/>
    <x v="2"/>
    <x v="0"/>
    <x v="3"/>
    <s v="Fitness Tracker"/>
    <n v="1"/>
    <n v="74.459999999999994"/>
    <n v="0"/>
    <x v="2"/>
    <n v="74.459999999999994"/>
    <n v="50"/>
    <n v="24.46"/>
    <n v="1"/>
    <n v="0"/>
    <n v="5"/>
    <n v="4"/>
  </r>
  <r>
    <s v="SW-103379"/>
    <d v="2025-05-14T00:00:00"/>
    <x v="1"/>
    <s v="Q2"/>
    <x v="4"/>
    <x v="1"/>
    <x v="1"/>
    <x v="0"/>
    <x v="5"/>
    <s v="Bestseller Novel"/>
    <n v="1"/>
    <n v="45.28"/>
    <n v="0.25"/>
    <x v="3"/>
    <n v="33.96"/>
    <n v="32.520000000000003"/>
    <n v="1.44"/>
    <n v="1"/>
    <n v="1"/>
    <n v="7"/>
    <n v="2"/>
  </r>
  <r>
    <s v="SW-103380"/>
    <d v="2025-05-14T00:00:00"/>
    <x v="1"/>
    <s v="Q2"/>
    <x v="4"/>
    <x v="1"/>
    <x v="3"/>
    <x v="1"/>
    <x v="0"/>
    <s v="Denim Jacket"/>
    <n v="1"/>
    <n v="78.510000000000005"/>
    <n v="0.1"/>
    <x v="0"/>
    <n v="70.66"/>
    <n v="43.76"/>
    <n v="26.9"/>
    <n v="1"/>
    <n v="0"/>
    <n v="2"/>
    <n v="3"/>
  </r>
  <r>
    <s v="SW-103381"/>
    <d v="2025-05-15T00:00:00"/>
    <x v="1"/>
    <s v="Q2"/>
    <x v="4"/>
    <x v="1"/>
    <x v="4"/>
    <x v="0"/>
    <x v="0"/>
    <s v="Cotton T-Shirt"/>
    <n v="1"/>
    <n v="19.41"/>
    <n v="0"/>
    <x v="2"/>
    <n v="19.41"/>
    <n v="10.14"/>
    <n v="9.27"/>
    <n v="1"/>
    <n v="0"/>
    <n v="6"/>
    <n v="3"/>
  </r>
  <r>
    <s v="SW-103382"/>
    <d v="2025-05-15T00:00:00"/>
    <x v="1"/>
    <s v="Q2"/>
    <x v="4"/>
    <x v="1"/>
    <x v="4"/>
    <x v="1"/>
    <x v="4"/>
    <s v="Power Bank"/>
    <n v="1"/>
    <n v="508.8"/>
    <n v="0.1"/>
    <x v="0"/>
    <n v="457.92"/>
    <n v="404.93"/>
    <n v="52.99"/>
    <n v="1"/>
    <n v="0"/>
    <n v="7"/>
    <n v="3"/>
  </r>
  <r>
    <s v="SW-103383"/>
    <d v="2025-05-15T00:00:00"/>
    <x v="1"/>
    <s v="Q2"/>
    <x v="4"/>
    <x v="0"/>
    <x v="2"/>
    <x v="1"/>
    <x v="2"/>
    <s v="Coffee Maker"/>
    <n v="4"/>
    <n v="148.05000000000001"/>
    <n v="0"/>
    <x v="2"/>
    <n v="592.20000000000005"/>
    <n v="366.32"/>
    <n v="225.88"/>
    <n v="1"/>
    <n v="0"/>
    <n v="3"/>
    <n v="4"/>
  </r>
  <r>
    <s v="SW-103384"/>
    <d v="2025-05-15T00:00:00"/>
    <x v="1"/>
    <s v="Q2"/>
    <x v="4"/>
    <x v="0"/>
    <x v="4"/>
    <x v="1"/>
    <x v="0"/>
    <s v="Denim Jacket"/>
    <n v="3"/>
    <n v="78.510000000000005"/>
    <n v="0.1"/>
    <x v="0"/>
    <n v="211.98"/>
    <n v="127.08"/>
    <n v="84.9"/>
    <n v="1"/>
    <n v="0"/>
    <n v="5"/>
    <n v="5"/>
  </r>
  <r>
    <s v="SW-103385"/>
    <d v="2025-05-15T00:00:00"/>
    <x v="1"/>
    <s v="Q2"/>
    <x v="4"/>
    <x v="1"/>
    <x v="3"/>
    <x v="1"/>
    <x v="0"/>
    <s v="Running Sneakers"/>
    <n v="1"/>
    <n v="94.85"/>
    <n v="0.05"/>
    <x v="0"/>
    <n v="90.11"/>
    <n v="51.49"/>
    <n v="38.619999999999997"/>
    <n v="1"/>
    <n v="0"/>
    <n v="2"/>
    <n v="4"/>
  </r>
  <r>
    <s v="SW-103386"/>
    <d v="2025-05-16T00:00:00"/>
    <x v="1"/>
    <s v="Q2"/>
    <x v="4"/>
    <x v="0"/>
    <x v="3"/>
    <x v="0"/>
    <x v="2"/>
    <s v="Coffee Maker"/>
    <n v="1"/>
    <n v="148.05000000000001"/>
    <n v="0.25"/>
    <x v="3"/>
    <n v="111.04"/>
    <n v="100.14"/>
    <n v="10.9"/>
    <n v="1"/>
    <n v="0"/>
    <n v="4"/>
    <n v="4"/>
  </r>
  <r>
    <s v="SW-103387"/>
    <d v="2025-05-16T00:00:00"/>
    <x v="1"/>
    <s v="Q2"/>
    <x v="4"/>
    <x v="2"/>
    <x v="0"/>
    <x v="1"/>
    <x v="1"/>
    <s v="Face Serum"/>
    <n v="1"/>
    <n v="33.479999999999997"/>
    <n v="0.1"/>
    <x v="0"/>
    <n v="30.13"/>
    <n v="16.3"/>
    <n v="13.83"/>
    <n v="1"/>
    <n v="0"/>
    <n v="4"/>
    <n v="5"/>
  </r>
  <r>
    <s v="SW-103388"/>
    <d v="2025-05-16T00:00:00"/>
    <x v="1"/>
    <s v="Q2"/>
    <x v="4"/>
    <x v="2"/>
    <x v="2"/>
    <x v="1"/>
    <x v="2"/>
    <s v="Bed Sheet Set"/>
    <n v="1"/>
    <n v="90.75"/>
    <n v="0.05"/>
    <x v="0"/>
    <n v="86.21"/>
    <n v="60.35"/>
    <n v="25.86"/>
    <n v="1"/>
    <n v="0"/>
    <n v="4"/>
    <n v="4"/>
  </r>
  <r>
    <s v="SW-103389"/>
    <d v="2025-05-16T00:00:00"/>
    <x v="1"/>
    <s v="Q2"/>
    <x v="4"/>
    <x v="2"/>
    <x v="0"/>
    <x v="1"/>
    <x v="1"/>
    <s v="Face Serum"/>
    <n v="2"/>
    <n v="33.479999999999997"/>
    <n v="0.05"/>
    <x v="0"/>
    <n v="63.61"/>
    <n v="31.94"/>
    <n v="31.67"/>
    <n v="1"/>
    <n v="0"/>
    <n v="4"/>
    <n v="4"/>
  </r>
  <r>
    <s v="SW-103390"/>
    <d v="2025-05-16T00:00:00"/>
    <x v="1"/>
    <s v="Q2"/>
    <x v="4"/>
    <x v="1"/>
    <x v="2"/>
    <x v="1"/>
    <x v="2"/>
    <s v="Cookware Set"/>
    <n v="3"/>
    <n v="233.81"/>
    <n v="0"/>
    <x v="2"/>
    <n v="701.43"/>
    <n v="456.64"/>
    <n v="244.79"/>
    <n v="1"/>
    <n v="0"/>
    <n v="4"/>
    <n v="5"/>
  </r>
  <r>
    <s v="SW-103391"/>
    <d v="2025-05-16T00:00:00"/>
    <x v="1"/>
    <s v="Q2"/>
    <x v="4"/>
    <x v="0"/>
    <x v="2"/>
    <x v="1"/>
    <x v="2"/>
    <s v="Desk Lamp"/>
    <n v="1"/>
    <n v="117.63"/>
    <n v="0.1"/>
    <x v="0"/>
    <n v="105.87"/>
    <n v="78.67"/>
    <n v="27.2"/>
    <n v="1"/>
    <n v="0"/>
    <n v="3"/>
    <n v="5"/>
  </r>
  <r>
    <s v="SW-103392"/>
    <d v="2025-05-17T00:00:00"/>
    <x v="1"/>
    <s v="Q2"/>
    <x v="4"/>
    <x v="1"/>
    <x v="3"/>
    <x v="0"/>
    <x v="1"/>
    <s v="Face Serum"/>
    <n v="1"/>
    <n v="33.479999999999997"/>
    <n v="0.05"/>
    <x v="0"/>
    <n v="31.81"/>
    <n v="15.81"/>
    <n v="16"/>
    <n v="1"/>
    <n v="0"/>
    <n v="2"/>
    <n v="4"/>
  </r>
  <r>
    <s v="SW-103393"/>
    <d v="2025-05-17T00:00:00"/>
    <x v="1"/>
    <s v="Q2"/>
    <x v="4"/>
    <x v="1"/>
    <x v="4"/>
    <x v="1"/>
    <x v="4"/>
    <s v="Tablet 10in"/>
    <n v="2"/>
    <n v="490.3"/>
    <n v="0"/>
    <x v="2"/>
    <n v="980.6"/>
    <n v="773.74"/>
    <n v="206.86"/>
    <n v="1"/>
    <n v="0"/>
    <n v="5"/>
    <n v="3"/>
  </r>
  <r>
    <s v="SW-103394"/>
    <d v="2025-05-17T00:00:00"/>
    <x v="1"/>
    <s v="Q2"/>
    <x v="4"/>
    <x v="2"/>
    <x v="0"/>
    <x v="1"/>
    <x v="3"/>
    <s v="Yoga Mat"/>
    <n v="1"/>
    <n v="137.05000000000001"/>
    <n v="0"/>
    <x v="2"/>
    <n v="137.05000000000001"/>
    <n v="94.92"/>
    <n v="42.13"/>
    <n v="1"/>
    <n v="0"/>
    <n v="3"/>
    <n v="4"/>
  </r>
  <r>
    <s v="SW-103395"/>
    <d v="2025-05-17T00:00:00"/>
    <x v="1"/>
    <s v="Q2"/>
    <x v="4"/>
    <x v="0"/>
    <x v="3"/>
    <x v="0"/>
    <x v="4"/>
    <s v="Wireless Earbuds"/>
    <n v="1"/>
    <n v="588.41"/>
    <n v="0"/>
    <x v="2"/>
    <n v="588.41"/>
    <n v="478.39"/>
    <n v="110.02"/>
    <n v="1"/>
    <n v="0"/>
    <n v="2"/>
    <n v="4"/>
  </r>
  <r>
    <s v="SW-103396"/>
    <d v="2025-05-17T00:00:00"/>
    <x v="1"/>
    <s v="Q2"/>
    <x v="4"/>
    <x v="2"/>
    <x v="1"/>
    <x v="1"/>
    <x v="5"/>
    <s v="Bestseller Novel"/>
    <n v="1"/>
    <n v="45.28"/>
    <n v="0"/>
    <x v="2"/>
    <n v="45.28"/>
    <n v="30.38"/>
    <n v="14.9"/>
    <n v="1"/>
    <n v="0"/>
    <n v="5"/>
    <n v="4"/>
  </r>
  <r>
    <s v="SW-103397"/>
    <d v="2025-05-17T00:00:00"/>
    <x v="1"/>
    <s v="Q2"/>
    <x v="4"/>
    <x v="1"/>
    <x v="4"/>
    <x v="0"/>
    <x v="2"/>
    <s v="Desk Lamp"/>
    <n v="3"/>
    <n v="117.63"/>
    <n v="0.1"/>
    <x v="0"/>
    <n v="317.60000000000002"/>
    <n v="222.68"/>
    <n v="94.92"/>
    <n v="1"/>
    <n v="0"/>
    <n v="7"/>
    <n v="3"/>
  </r>
  <r>
    <s v="SW-103398"/>
    <d v="2025-05-17T00:00:00"/>
    <x v="1"/>
    <s v="Q2"/>
    <x v="4"/>
    <x v="1"/>
    <x v="3"/>
    <x v="1"/>
    <x v="0"/>
    <s v="Cotton T-Shirt"/>
    <n v="1"/>
    <n v="19.41"/>
    <n v="0.3"/>
    <x v="3"/>
    <n v="13.59"/>
    <n v="10.18"/>
    <n v="3.41"/>
    <n v="1"/>
    <n v="0"/>
    <n v="2"/>
    <n v="4"/>
  </r>
  <r>
    <s v="SW-103399"/>
    <d v="2025-05-17T00:00:00"/>
    <x v="1"/>
    <s v="Q2"/>
    <x v="4"/>
    <x v="2"/>
    <x v="4"/>
    <x v="1"/>
    <x v="1"/>
    <s v="Hair Dryer"/>
    <n v="1"/>
    <n v="33.18"/>
    <n v="0.15"/>
    <x v="1"/>
    <n v="28.2"/>
    <n v="15.8"/>
    <n v="12.4"/>
    <n v="1"/>
    <n v="0"/>
    <n v="6"/>
    <n v="3"/>
  </r>
  <r>
    <s v="SW-103400"/>
    <d v="2025-05-17T00:00:00"/>
    <x v="1"/>
    <s v="Q2"/>
    <x v="4"/>
    <x v="1"/>
    <x v="4"/>
    <x v="0"/>
    <x v="4"/>
    <s v="Bluetooth Speaker"/>
    <n v="1"/>
    <n v="177.65"/>
    <n v="0"/>
    <x v="2"/>
    <n v="177.65"/>
    <n v="136.35"/>
    <n v="41.3"/>
    <n v="1"/>
    <n v="0"/>
    <n v="5"/>
    <n v="4"/>
  </r>
  <r>
    <s v="SW-103401"/>
    <d v="2025-05-17T00:00:00"/>
    <x v="1"/>
    <s v="Q2"/>
    <x v="4"/>
    <x v="1"/>
    <x v="3"/>
    <x v="0"/>
    <x v="5"/>
    <s v="Bestseller Novel"/>
    <n v="1"/>
    <n v="45.28"/>
    <n v="0.15"/>
    <x v="1"/>
    <n v="38.49"/>
    <n v="32.369999999999997"/>
    <n v="6.12"/>
    <n v="1"/>
    <n v="0"/>
    <n v="2"/>
    <n v="4"/>
  </r>
  <r>
    <s v="SW-103402"/>
    <d v="2025-05-17T00:00:00"/>
    <x v="1"/>
    <s v="Q2"/>
    <x v="4"/>
    <x v="0"/>
    <x v="3"/>
    <x v="0"/>
    <x v="3"/>
    <s v="Dumbbell Set"/>
    <n v="1"/>
    <n v="198.42"/>
    <n v="0.05"/>
    <x v="0"/>
    <n v="188.5"/>
    <n v="125.78"/>
    <n v="62.72"/>
    <n v="1"/>
    <n v="0"/>
    <n v="2"/>
    <n v="5"/>
  </r>
  <r>
    <s v="SW-103403"/>
    <d v="2025-05-17T00:00:00"/>
    <x v="1"/>
    <s v="Q2"/>
    <x v="4"/>
    <x v="1"/>
    <x v="0"/>
    <x v="0"/>
    <x v="0"/>
    <s v="Running Sneakers"/>
    <n v="2"/>
    <n v="94.85"/>
    <n v="0"/>
    <x v="2"/>
    <n v="189.7"/>
    <n v="100.65"/>
    <n v="89.05"/>
    <n v="1"/>
    <n v="0"/>
    <n v="4"/>
    <n v="5"/>
  </r>
  <r>
    <s v="SW-103404"/>
    <d v="2025-05-17T00:00:00"/>
    <x v="1"/>
    <s v="Q2"/>
    <x v="4"/>
    <x v="1"/>
    <x v="3"/>
    <x v="0"/>
    <x v="3"/>
    <s v="Camping Tent"/>
    <n v="1"/>
    <n v="83.06"/>
    <n v="0.2"/>
    <x v="1"/>
    <n v="66.45"/>
    <n v="56.81"/>
    <n v="9.64"/>
    <n v="1"/>
    <n v="0"/>
    <n v="4"/>
    <n v="5"/>
  </r>
  <r>
    <s v="SW-103405"/>
    <d v="2025-05-18T00:00:00"/>
    <x v="1"/>
    <s v="Q2"/>
    <x v="4"/>
    <x v="0"/>
    <x v="0"/>
    <x v="1"/>
    <x v="0"/>
    <s v="Running Sneakers"/>
    <n v="4"/>
    <n v="94.85"/>
    <n v="0.2"/>
    <x v="1"/>
    <n v="303.52"/>
    <n v="209.31"/>
    <n v="94.21"/>
    <n v="1"/>
    <n v="0"/>
    <n v="3"/>
    <n v="4"/>
  </r>
  <r>
    <s v="SW-103406"/>
    <d v="2025-05-18T00:00:00"/>
    <x v="1"/>
    <s v="Q2"/>
    <x v="4"/>
    <x v="0"/>
    <x v="3"/>
    <x v="1"/>
    <x v="4"/>
    <s v="Power Bank"/>
    <n v="1"/>
    <n v="508.8"/>
    <n v="0"/>
    <x v="2"/>
    <n v="508.8"/>
    <n v="397.09"/>
    <n v="111.71"/>
    <n v="1"/>
    <n v="0"/>
    <n v="2"/>
    <n v="4"/>
  </r>
  <r>
    <s v="SW-103407"/>
    <d v="2025-05-18T00:00:00"/>
    <x v="1"/>
    <s v="Q2"/>
    <x v="4"/>
    <x v="1"/>
    <x v="1"/>
    <x v="1"/>
    <x v="2"/>
    <s v="Coffee Maker"/>
    <n v="1"/>
    <n v="148.05000000000001"/>
    <n v="0.05"/>
    <x v="0"/>
    <n v="140.65"/>
    <n v="100.45"/>
    <n v="40.200000000000003"/>
    <n v="1"/>
    <n v="0"/>
    <n v="8"/>
    <n v="3"/>
  </r>
  <r>
    <s v="SW-103408"/>
    <d v="2025-05-18T00:00:00"/>
    <x v="1"/>
    <s v="Q2"/>
    <x v="4"/>
    <x v="1"/>
    <x v="3"/>
    <x v="0"/>
    <x v="2"/>
    <s v="Desk Lamp"/>
    <n v="1"/>
    <n v="117.63"/>
    <n v="0.15"/>
    <x v="1"/>
    <n v="99.99"/>
    <n v="80.739999999999995"/>
    <n v="19.25"/>
    <n v="1"/>
    <n v="0"/>
    <n v="4"/>
    <n v="5"/>
  </r>
  <r>
    <s v="SW-103409"/>
    <d v="2025-05-18T00:00:00"/>
    <x v="1"/>
    <s v="Q2"/>
    <x v="4"/>
    <x v="1"/>
    <x v="0"/>
    <x v="0"/>
    <x v="0"/>
    <s v="Cotton T-Shirt"/>
    <n v="2"/>
    <n v="19.41"/>
    <n v="0.05"/>
    <x v="0"/>
    <n v="36.880000000000003"/>
    <n v="21.64"/>
    <n v="15.24"/>
    <n v="1"/>
    <n v="0"/>
    <n v="3"/>
    <n v="3"/>
  </r>
  <r>
    <s v="SW-103410"/>
    <d v="2025-05-18T00:00:00"/>
    <x v="1"/>
    <s v="Q2"/>
    <x v="4"/>
    <x v="0"/>
    <x v="3"/>
    <x v="1"/>
    <x v="2"/>
    <s v="Bed Sheet Set"/>
    <n v="1"/>
    <n v="90.75"/>
    <n v="0.05"/>
    <x v="0"/>
    <n v="86.21"/>
    <n v="61.22"/>
    <n v="24.99"/>
    <n v="1"/>
    <n v="0"/>
    <n v="2"/>
    <n v="5"/>
  </r>
  <r>
    <s v="SW-103411"/>
    <d v="2025-05-18T00:00:00"/>
    <x v="1"/>
    <s v="Q2"/>
    <x v="4"/>
    <x v="1"/>
    <x v="4"/>
    <x v="1"/>
    <x v="1"/>
    <s v="Perfume 100ml"/>
    <n v="2"/>
    <n v="54.56"/>
    <n v="0.25"/>
    <x v="3"/>
    <n v="81.84"/>
    <n v="53.69"/>
    <n v="28.15"/>
    <n v="1"/>
    <n v="0"/>
    <n v="6"/>
    <n v="4"/>
  </r>
  <r>
    <s v="SW-103412"/>
    <d v="2025-05-18T00:00:00"/>
    <x v="1"/>
    <s v="Q2"/>
    <x v="4"/>
    <x v="0"/>
    <x v="3"/>
    <x v="1"/>
    <x v="1"/>
    <s v="Face Serum"/>
    <n v="1"/>
    <n v="33.479999999999997"/>
    <n v="0.05"/>
    <x v="0"/>
    <n v="31.81"/>
    <n v="16.16"/>
    <n v="15.65"/>
    <n v="1"/>
    <n v="0"/>
    <n v="3"/>
    <n v="4"/>
  </r>
  <r>
    <s v="SW-103413"/>
    <d v="2025-05-18T00:00:00"/>
    <x v="1"/>
    <s v="Q2"/>
    <x v="4"/>
    <x v="1"/>
    <x v="2"/>
    <x v="1"/>
    <x v="3"/>
    <s v="Yoga Mat"/>
    <n v="1"/>
    <n v="137.05000000000001"/>
    <n v="0"/>
    <x v="2"/>
    <n v="137.05000000000001"/>
    <n v="91.36"/>
    <n v="45.69"/>
    <n v="1"/>
    <n v="0"/>
    <n v="3"/>
    <n v="4"/>
  </r>
  <r>
    <s v="SW-103414"/>
    <d v="2025-05-19T00:00:00"/>
    <x v="1"/>
    <s v="Q2"/>
    <x v="4"/>
    <x v="2"/>
    <x v="4"/>
    <x v="0"/>
    <x v="0"/>
    <s v="Running Sneakers"/>
    <n v="1"/>
    <n v="94.85"/>
    <n v="0.15"/>
    <x v="1"/>
    <n v="80.62"/>
    <n v="50.59"/>
    <n v="30.03"/>
    <n v="1"/>
    <n v="0"/>
    <n v="5"/>
    <n v="5"/>
  </r>
  <r>
    <s v="SW-103415"/>
    <d v="2025-05-19T00:00:00"/>
    <x v="1"/>
    <s v="Q2"/>
    <x v="4"/>
    <x v="1"/>
    <x v="3"/>
    <x v="0"/>
    <x v="4"/>
    <s v="Smart Watch"/>
    <n v="1"/>
    <n v="216.08"/>
    <n v="0.05"/>
    <x v="0"/>
    <n v="205.28"/>
    <n v="163.62"/>
    <n v="41.66"/>
    <n v="1"/>
    <n v="0"/>
    <n v="3"/>
    <n v="5"/>
  </r>
  <r>
    <s v="SW-103416"/>
    <d v="2025-05-19T00:00:00"/>
    <x v="1"/>
    <s v="Q2"/>
    <x v="4"/>
    <x v="2"/>
    <x v="4"/>
    <x v="1"/>
    <x v="4"/>
    <s v="Smart Watch"/>
    <n v="1"/>
    <n v="216.08"/>
    <n v="0.15"/>
    <x v="1"/>
    <n v="183.67"/>
    <n v="176.17"/>
    <n v="7.5"/>
    <n v="1"/>
    <n v="0"/>
    <n v="5"/>
    <n v="5"/>
  </r>
  <r>
    <s v="SW-103417"/>
    <d v="2025-05-19T00:00:00"/>
    <x v="1"/>
    <s v="Q2"/>
    <x v="4"/>
    <x v="1"/>
    <x v="2"/>
    <x v="0"/>
    <x v="2"/>
    <s v="Desk Lamp"/>
    <n v="3"/>
    <n v="117.63"/>
    <n v="0.05"/>
    <x v="0"/>
    <n v="335.25"/>
    <n v="224.34"/>
    <n v="110.91"/>
    <n v="1"/>
    <n v="0"/>
    <n v="3"/>
    <n v="4"/>
  </r>
  <r>
    <s v="SW-103418"/>
    <d v="2025-05-19T00:00:00"/>
    <x v="1"/>
    <s v="Q2"/>
    <x v="4"/>
    <x v="2"/>
    <x v="3"/>
    <x v="1"/>
    <x v="1"/>
    <s v="Face Serum"/>
    <n v="1"/>
    <n v="33.479999999999997"/>
    <n v="0"/>
    <x v="2"/>
    <n v="33.479999999999997"/>
    <n v="16.260000000000002"/>
    <n v="17.22"/>
    <n v="1"/>
    <n v="0"/>
    <n v="4"/>
    <n v="5"/>
  </r>
  <r>
    <s v="SW-103419"/>
    <d v="2025-05-19T00:00:00"/>
    <x v="1"/>
    <s v="Q2"/>
    <x v="4"/>
    <x v="1"/>
    <x v="0"/>
    <x v="1"/>
    <x v="3"/>
    <s v="Fitness Tracker"/>
    <n v="1"/>
    <n v="74.459999999999994"/>
    <n v="0.15"/>
    <x v="1"/>
    <n v="63.29"/>
    <n v="50.23"/>
    <n v="13.06"/>
    <n v="1"/>
    <n v="0"/>
    <n v="5"/>
    <n v="5"/>
  </r>
  <r>
    <s v="SW-103420"/>
    <d v="2025-05-19T00:00:00"/>
    <x v="1"/>
    <s v="Q2"/>
    <x v="4"/>
    <x v="1"/>
    <x v="4"/>
    <x v="1"/>
    <x v="0"/>
    <s v="Cotton T-Shirt"/>
    <n v="1"/>
    <n v="19.41"/>
    <n v="0"/>
    <x v="2"/>
    <n v="19.41"/>
    <n v="10.57"/>
    <n v="8.84"/>
    <n v="1"/>
    <n v="0"/>
    <n v="8"/>
    <n v="4"/>
  </r>
  <r>
    <s v="SW-103421"/>
    <d v="2025-05-20T00:00:00"/>
    <x v="1"/>
    <s v="Q2"/>
    <x v="4"/>
    <x v="0"/>
    <x v="4"/>
    <x v="1"/>
    <x v="3"/>
    <s v="Fitness Tracker"/>
    <n v="3"/>
    <n v="74.459999999999994"/>
    <n v="0.2"/>
    <x v="1"/>
    <n v="178.7"/>
    <n v="147.62"/>
    <n v="31.08"/>
    <n v="1"/>
    <n v="0"/>
    <n v="5"/>
    <n v="3"/>
  </r>
  <r>
    <s v="SW-103422"/>
    <d v="2025-05-20T00:00:00"/>
    <x v="1"/>
    <s v="Q2"/>
    <x v="4"/>
    <x v="1"/>
    <x v="3"/>
    <x v="1"/>
    <x v="1"/>
    <s v="Perfume 100ml"/>
    <n v="2"/>
    <n v="54.56"/>
    <n v="0.1"/>
    <x v="0"/>
    <n v="98.21"/>
    <n v="52.26"/>
    <n v="45.95"/>
    <n v="1"/>
    <n v="0"/>
    <n v="3"/>
    <n v="4"/>
  </r>
  <r>
    <s v="SW-103423"/>
    <d v="2025-05-20T00:00:00"/>
    <x v="1"/>
    <s v="Q2"/>
    <x v="4"/>
    <x v="1"/>
    <x v="1"/>
    <x v="1"/>
    <x v="4"/>
    <s v="Power Bank"/>
    <n v="1"/>
    <n v="508.8"/>
    <n v="0.05"/>
    <x v="0"/>
    <n v="483.36"/>
    <n v="407.47"/>
    <n v="75.89"/>
    <n v="1"/>
    <n v="0"/>
    <n v="5"/>
    <n v="5"/>
  </r>
  <r>
    <s v="SW-103424"/>
    <d v="2025-05-21T00:00:00"/>
    <x v="1"/>
    <s v="Q2"/>
    <x v="4"/>
    <x v="2"/>
    <x v="3"/>
    <x v="1"/>
    <x v="5"/>
    <s v="Bestseller Novel"/>
    <n v="2"/>
    <n v="45.28"/>
    <n v="0"/>
    <x v="2"/>
    <n v="90.56"/>
    <n v="63.85"/>
    <n v="26.71"/>
    <n v="1"/>
    <n v="0"/>
    <n v="3"/>
    <n v="4"/>
  </r>
  <r>
    <s v="SW-103425"/>
    <d v="2025-05-21T00:00:00"/>
    <x v="1"/>
    <s v="Q2"/>
    <x v="4"/>
    <x v="1"/>
    <x v="0"/>
    <x v="1"/>
    <x v="4"/>
    <s v="Wireless Earbuds"/>
    <n v="1"/>
    <n v="588.41"/>
    <n v="0.05"/>
    <x v="0"/>
    <n v="558.99"/>
    <n v="474.31"/>
    <n v="84.68"/>
    <n v="1"/>
    <n v="0"/>
    <n v="4"/>
    <n v="5"/>
  </r>
  <r>
    <s v="SW-103426"/>
    <d v="2025-05-21T00:00:00"/>
    <x v="1"/>
    <s v="Q2"/>
    <x v="4"/>
    <x v="0"/>
    <x v="3"/>
    <x v="1"/>
    <x v="0"/>
    <s v="Summer Dress"/>
    <n v="2"/>
    <n v="33.99"/>
    <n v="0"/>
    <x v="2"/>
    <n v="67.98"/>
    <n v="35.770000000000003"/>
    <n v="32.21"/>
    <n v="1"/>
    <n v="0"/>
    <n v="5"/>
    <n v="4"/>
  </r>
  <r>
    <s v="SW-103427"/>
    <d v="2025-05-22T00:00:00"/>
    <x v="1"/>
    <s v="Q2"/>
    <x v="4"/>
    <x v="1"/>
    <x v="3"/>
    <x v="0"/>
    <x v="4"/>
    <s v="Bluetooth Speaker"/>
    <n v="2"/>
    <n v="177.65"/>
    <n v="0.05"/>
    <x v="0"/>
    <n v="337.54"/>
    <n v="284.82"/>
    <n v="52.72"/>
    <n v="1"/>
    <n v="0"/>
    <n v="6"/>
    <n v="3"/>
  </r>
  <r>
    <s v="SW-103428"/>
    <d v="2025-05-22T00:00:00"/>
    <x v="1"/>
    <s v="Q2"/>
    <x v="4"/>
    <x v="1"/>
    <x v="0"/>
    <x v="1"/>
    <x v="3"/>
    <s v="Dumbbell Set"/>
    <n v="2"/>
    <n v="198.42"/>
    <n v="0.15"/>
    <x v="1"/>
    <n v="337.31"/>
    <n v="281.95999999999998"/>
    <n v="55.35"/>
    <n v="1"/>
    <n v="0"/>
    <n v="4"/>
    <n v="5"/>
  </r>
  <r>
    <s v="SW-103429"/>
    <d v="2025-05-22T00:00:00"/>
    <x v="1"/>
    <s v="Q2"/>
    <x v="4"/>
    <x v="1"/>
    <x v="0"/>
    <x v="1"/>
    <x v="0"/>
    <s v="Sunglasses"/>
    <n v="1"/>
    <n v="104.94"/>
    <n v="0"/>
    <x v="2"/>
    <n v="104.94"/>
    <n v="56.82"/>
    <n v="48.12"/>
    <n v="1"/>
    <n v="0"/>
    <n v="5"/>
    <n v="4"/>
  </r>
  <r>
    <s v="SW-103430"/>
    <d v="2025-05-22T00:00:00"/>
    <x v="1"/>
    <s v="Q2"/>
    <x v="4"/>
    <x v="0"/>
    <x v="4"/>
    <x v="0"/>
    <x v="4"/>
    <s v="Bluetooth Speaker"/>
    <n v="1"/>
    <n v="177.65"/>
    <n v="0.05"/>
    <x v="0"/>
    <n v="168.77"/>
    <n v="148.84"/>
    <n v="19.93"/>
    <n v="1"/>
    <n v="0"/>
    <n v="6"/>
    <n v="3"/>
  </r>
  <r>
    <s v="SW-103431"/>
    <d v="2025-05-22T00:00:00"/>
    <x v="1"/>
    <s v="Q2"/>
    <x v="4"/>
    <x v="1"/>
    <x v="1"/>
    <x v="1"/>
    <x v="1"/>
    <s v="Perfume 100ml"/>
    <n v="1"/>
    <n v="54.56"/>
    <n v="0.2"/>
    <x v="1"/>
    <n v="43.65"/>
    <n v="25.3"/>
    <n v="18.350000000000001"/>
    <n v="1"/>
    <n v="0"/>
    <n v="6"/>
    <n v="4"/>
  </r>
  <r>
    <s v="SW-103432"/>
    <d v="2025-05-22T00:00:00"/>
    <x v="1"/>
    <s v="Q2"/>
    <x v="4"/>
    <x v="0"/>
    <x v="3"/>
    <x v="0"/>
    <x v="2"/>
    <s v="Coffee Maker"/>
    <n v="1"/>
    <n v="148.05000000000001"/>
    <n v="0"/>
    <x v="2"/>
    <n v="148.05000000000001"/>
    <n v="99.79"/>
    <n v="48.26"/>
    <n v="1"/>
    <n v="0"/>
    <n v="6"/>
    <n v="3"/>
  </r>
  <r>
    <s v="SW-103433"/>
    <d v="2025-05-22T00:00:00"/>
    <x v="1"/>
    <s v="Q2"/>
    <x v="4"/>
    <x v="1"/>
    <x v="2"/>
    <x v="0"/>
    <x v="1"/>
    <s v="Perfume 100ml"/>
    <n v="1"/>
    <n v="54.56"/>
    <n v="0.05"/>
    <x v="0"/>
    <n v="51.83"/>
    <n v="27.23"/>
    <n v="24.6"/>
    <n v="1"/>
    <n v="0"/>
    <n v="4"/>
    <n v="5"/>
  </r>
  <r>
    <s v="SW-103434"/>
    <d v="2025-05-22T00:00:00"/>
    <x v="1"/>
    <s v="Q2"/>
    <x v="4"/>
    <x v="0"/>
    <x v="4"/>
    <x v="0"/>
    <x v="4"/>
    <s v="Wireless Earbuds"/>
    <n v="1"/>
    <n v="588.41"/>
    <n v="0"/>
    <x v="2"/>
    <n v="588.41"/>
    <n v="475.79"/>
    <n v="112.62"/>
    <n v="1"/>
    <n v="0"/>
    <n v="7"/>
    <n v="4"/>
  </r>
  <r>
    <s v="SW-103435"/>
    <d v="2025-05-22T00:00:00"/>
    <x v="1"/>
    <s v="Q2"/>
    <x v="4"/>
    <x v="1"/>
    <x v="0"/>
    <x v="1"/>
    <x v="0"/>
    <s v="Leather Handbag"/>
    <n v="1"/>
    <n v="138.5"/>
    <n v="0.3"/>
    <x v="3"/>
    <n v="96.95"/>
    <n v="72.66"/>
    <n v="24.29"/>
    <n v="1"/>
    <n v="0"/>
    <n v="4"/>
    <n v="4"/>
  </r>
  <r>
    <s v="SW-103436"/>
    <d v="2025-05-22T00:00:00"/>
    <x v="1"/>
    <s v="Q2"/>
    <x v="4"/>
    <x v="1"/>
    <x v="2"/>
    <x v="0"/>
    <x v="3"/>
    <s v="Fitness Tracker"/>
    <n v="1"/>
    <n v="74.459999999999994"/>
    <n v="0.05"/>
    <x v="0"/>
    <n v="70.739999999999995"/>
    <n v="51.66"/>
    <n v="19.079999999999998"/>
    <n v="1"/>
    <n v="0"/>
    <n v="4"/>
    <n v="4"/>
  </r>
  <r>
    <s v="SW-103437"/>
    <d v="2025-05-22T00:00:00"/>
    <x v="1"/>
    <s v="Q2"/>
    <x v="4"/>
    <x v="0"/>
    <x v="4"/>
    <x v="1"/>
    <x v="2"/>
    <s v="Coffee Maker"/>
    <n v="2"/>
    <n v="148.05000000000001"/>
    <n v="0.05"/>
    <x v="0"/>
    <n v="281.3"/>
    <n v="200.69"/>
    <n v="80.61"/>
    <n v="1"/>
    <n v="0"/>
    <n v="6"/>
    <n v="4"/>
  </r>
  <r>
    <s v="SW-103438"/>
    <d v="2025-05-22T00:00:00"/>
    <x v="1"/>
    <s v="Q2"/>
    <x v="4"/>
    <x v="0"/>
    <x v="3"/>
    <x v="0"/>
    <x v="1"/>
    <s v="Hair Dryer"/>
    <n v="3"/>
    <n v="33.18"/>
    <n v="0.1"/>
    <x v="0"/>
    <n v="89.59"/>
    <n v="45.51"/>
    <n v="44.08"/>
    <n v="1"/>
    <n v="0"/>
    <n v="2"/>
    <n v="4"/>
  </r>
  <r>
    <s v="SW-103439"/>
    <d v="2025-05-22T00:00:00"/>
    <x v="1"/>
    <s v="Q2"/>
    <x v="4"/>
    <x v="0"/>
    <x v="4"/>
    <x v="1"/>
    <x v="4"/>
    <s v="4K Action Camera"/>
    <n v="1"/>
    <n v="636.09"/>
    <n v="0"/>
    <x v="2"/>
    <n v="636.09"/>
    <n v="523.48"/>
    <n v="112.61"/>
    <n v="1"/>
    <n v="0"/>
    <n v="6"/>
    <n v="5"/>
  </r>
  <r>
    <s v="SW-103440"/>
    <d v="2025-05-22T00:00:00"/>
    <x v="1"/>
    <s v="Q2"/>
    <x v="4"/>
    <x v="2"/>
    <x v="3"/>
    <x v="1"/>
    <x v="3"/>
    <s v="Cycling Helmet"/>
    <n v="1"/>
    <n v="85.42"/>
    <n v="0.2"/>
    <x v="1"/>
    <n v="68.34"/>
    <n v="58.61"/>
    <n v="9.73"/>
    <n v="1"/>
    <n v="1"/>
    <n v="3"/>
    <n v="3"/>
  </r>
  <r>
    <s v="SW-103441"/>
    <d v="2025-05-22T00:00:00"/>
    <x v="1"/>
    <s v="Q2"/>
    <x v="4"/>
    <x v="1"/>
    <x v="3"/>
    <x v="1"/>
    <x v="1"/>
    <s v="Skin Care Bundle"/>
    <n v="1"/>
    <n v="92.54"/>
    <n v="0.3"/>
    <x v="3"/>
    <n v="64.78"/>
    <n v="42.28"/>
    <n v="22.5"/>
    <n v="1"/>
    <n v="0"/>
    <n v="3"/>
    <n v="4"/>
  </r>
  <r>
    <s v="SW-103442"/>
    <d v="2025-05-22T00:00:00"/>
    <x v="1"/>
    <s v="Q2"/>
    <x v="4"/>
    <x v="1"/>
    <x v="0"/>
    <x v="1"/>
    <x v="5"/>
    <s v="Kids Puzzle"/>
    <n v="1"/>
    <n v="16.97"/>
    <n v="0.1"/>
    <x v="0"/>
    <n v="15.27"/>
    <n v="12.6"/>
    <n v="2.67"/>
    <n v="1"/>
    <n v="0"/>
    <n v="4"/>
    <n v="5"/>
  </r>
  <r>
    <s v="SW-103443"/>
    <d v="2025-05-22T00:00:00"/>
    <x v="1"/>
    <s v="Q2"/>
    <x v="4"/>
    <x v="0"/>
    <x v="0"/>
    <x v="1"/>
    <x v="2"/>
    <s v="Storage Boxes"/>
    <n v="2"/>
    <n v="154.66"/>
    <n v="0"/>
    <x v="2"/>
    <n v="309.32"/>
    <n v="209.01"/>
    <n v="100.31"/>
    <n v="1"/>
    <n v="0"/>
    <n v="4"/>
    <n v="4"/>
  </r>
  <r>
    <s v="SW-103444"/>
    <d v="2025-05-22T00:00:00"/>
    <x v="1"/>
    <s v="Q2"/>
    <x v="4"/>
    <x v="0"/>
    <x v="2"/>
    <x v="1"/>
    <x v="3"/>
    <s v="Yoga Mat"/>
    <n v="1"/>
    <n v="137.05000000000001"/>
    <n v="0.15"/>
    <x v="1"/>
    <n v="116.49"/>
    <n v="91.79"/>
    <n v="24.7"/>
    <n v="1"/>
    <n v="0"/>
    <n v="3"/>
    <n v="5"/>
  </r>
  <r>
    <s v="SW-103445"/>
    <d v="2025-05-23T00:00:00"/>
    <x v="1"/>
    <s v="Q2"/>
    <x v="4"/>
    <x v="0"/>
    <x v="3"/>
    <x v="1"/>
    <x v="3"/>
    <s v="Fitness Tracker"/>
    <n v="2"/>
    <n v="74.459999999999994"/>
    <n v="0"/>
    <x v="2"/>
    <n v="148.91999999999999"/>
    <n v="100.42"/>
    <n v="48.5"/>
    <n v="1"/>
    <n v="0"/>
    <n v="5"/>
    <n v="5"/>
  </r>
  <r>
    <s v="SW-103446"/>
    <d v="2025-05-23T00:00:00"/>
    <x v="1"/>
    <s v="Q2"/>
    <x v="4"/>
    <x v="1"/>
    <x v="3"/>
    <x v="0"/>
    <x v="0"/>
    <s v="Summer Dress"/>
    <n v="1"/>
    <n v="33.99"/>
    <n v="0.05"/>
    <x v="0"/>
    <n v="32.29"/>
    <n v="19.45"/>
    <n v="12.84"/>
    <n v="1"/>
    <n v="1"/>
    <n v="3"/>
    <n v="2"/>
  </r>
  <r>
    <s v="SW-103447"/>
    <d v="2025-05-23T00:00:00"/>
    <x v="1"/>
    <s v="Q2"/>
    <x v="4"/>
    <x v="0"/>
    <x v="3"/>
    <x v="1"/>
    <x v="5"/>
    <s v="Board Game"/>
    <n v="1"/>
    <n v="57.92"/>
    <n v="0.2"/>
    <x v="1"/>
    <n v="46.34"/>
    <n v="43.17"/>
    <n v="3.17"/>
    <n v="1"/>
    <n v="0"/>
    <n v="3"/>
    <n v="4"/>
  </r>
  <r>
    <s v="SW-103448"/>
    <d v="2025-05-23T00:00:00"/>
    <x v="1"/>
    <s v="Q2"/>
    <x v="4"/>
    <x v="0"/>
    <x v="0"/>
    <x v="0"/>
    <x v="2"/>
    <s v="Storage Boxes"/>
    <n v="1"/>
    <n v="154.66"/>
    <n v="0"/>
    <x v="2"/>
    <n v="154.66"/>
    <n v="105.01"/>
    <n v="49.65"/>
    <n v="1"/>
    <n v="0"/>
    <n v="6"/>
    <n v="3"/>
  </r>
  <r>
    <s v="SW-103449"/>
    <d v="2025-05-23T00:00:00"/>
    <x v="1"/>
    <s v="Q2"/>
    <x v="4"/>
    <x v="0"/>
    <x v="2"/>
    <x v="1"/>
    <x v="0"/>
    <s v="Sunglasses"/>
    <n v="1"/>
    <n v="104.94"/>
    <n v="0.15"/>
    <x v="1"/>
    <n v="89.2"/>
    <n v="58.53"/>
    <n v="30.67"/>
    <n v="1"/>
    <n v="0"/>
    <n v="3"/>
    <n v="4"/>
  </r>
  <r>
    <s v="SW-103450"/>
    <d v="2025-05-23T00:00:00"/>
    <x v="1"/>
    <s v="Q2"/>
    <x v="4"/>
    <x v="0"/>
    <x v="2"/>
    <x v="0"/>
    <x v="2"/>
    <s v="Storage Boxes"/>
    <n v="2"/>
    <n v="154.66"/>
    <n v="0"/>
    <x v="2"/>
    <n v="309.32"/>
    <n v="207.91"/>
    <n v="101.41"/>
    <n v="1"/>
    <n v="0"/>
    <n v="5"/>
    <n v="4"/>
  </r>
  <r>
    <s v="SW-103451"/>
    <d v="2025-05-23T00:00:00"/>
    <x v="1"/>
    <s v="Q2"/>
    <x v="4"/>
    <x v="1"/>
    <x v="4"/>
    <x v="0"/>
    <x v="2"/>
    <s v="Bed Sheet Set"/>
    <n v="1"/>
    <n v="90.75"/>
    <n v="0.05"/>
    <x v="0"/>
    <n v="86.21"/>
    <n v="58.44"/>
    <n v="27.77"/>
    <n v="1"/>
    <n v="0"/>
    <n v="7"/>
    <n v="3"/>
  </r>
  <r>
    <s v="SW-103452"/>
    <d v="2025-05-23T00:00:00"/>
    <x v="1"/>
    <s v="Q2"/>
    <x v="4"/>
    <x v="1"/>
    <x v="0"/>
    <x v="1"/>
    <x v="0"/>
    <s v="Leather Handbag"/>
    <n v="1"/>
    <n v="138.5"/>
    <n v="0.05"/>
    <x v="0"/>
    <n v="131.57"/>
    <n v="76.03"/>
    <n v="55.54"/>
    <n v="1"/>
    <n v="0"/>
    <n v="5"/>
    <n v="5"/>
  </r>
  <r>
    <s v="SW-103453"/>
    <d v="2025-05-23T00:00:00"/>
    <x v="1"/>
    <s v="Q2"/>
    <x v="4"/>
    <x v="0"/>
    <x v="2"/>
    <x v="1"/>
    <x v="0"/>
    <s v="Cotton T-Shirt"/>
    <n v="1"/>
    <n v="19.41"/>
    <n v="0.2"/>
    <x v="1"/>
    <n v="15.53"/>
    <n v="10.44"/>
    <n v="5.09"/>
    <n v="1"/>
    <n v="0"/>
    <n v="4"/>
    <n v="4"/>
  </r>
  <r>
    <s v="SW-103454"/>
    <d v="2025-05-23T00:00:00"/>
    <x v="1"/>
    <s v="Q2"/>
    <x v="4"/>
    <x v="1"/>
    <x v="0"/>
    <x v="1"/>
    <x v="2"/>
    <s v="Cookware Set"/>
    <n v="1"/>
    <n v="233.81"/>
    <n v="0.3"/>
    <x v="3"/>
    <n v="163.66999999999999"/>
    <n v="155.04"/>
    <n v="8.6300000000000008"/>
    <n v="1"/>
    <n v="0"/>
    <n v="5"/>
    <n v="4"/>
  </r>
  <r>
    <s v="SW-103455"/>
    <d v="2025-05-23T00:00:00"/>
    <x v="1"/>
    <s v="Q2"/>
    <x v="4"/>
    <x v="0"/>
    <x v="2"/>
    <x v="1"/>
    <x v="3"/>
    <s v="Yoga Mat"/>
    <n v="2"/>
    <n v="137.05000000000001"/>
    <n v="0.15"/>
    <x v="1"/>
    <n v="232.98"/>
    <n v="174.36"/>
    <n v="58.62"/>
    <n v="1"/>
    <n v="0"/>
    <n v="4"/>
    <n v="5"/>
  </r>
  <r>
    <s v="SW-103456"/>
    <d v="2025-05-24T00:00:00"/>
    <x v="1"/>
    <s v="Q2"/>
    <x v="4"/>
    <x v="0"/>
    <x v="4"/>
    <x v="0"/>
    <x v="4"/>
    <s v="4K Action Camera"/>
    <n v="1"/>
    <n v="636.09"/>
    <n v="0"/>
    <x v="2"/>
    <n v="636.09"/>
    <n v="502.83"/>
    <n v="133.26"/>
    <n v="1"/>
    <n v="0"/>
    <n v="7"/>
    <n v="4"/>
  </r>
  <r>
    <s v="SW-103457"/>
    <d v="2025-05-24T00:00:00"/>
    <x v="1"/>
    <s v="Q2"/>
    <x v="4"/>
    <x v="0"/>
    <x v="4"/>
    <x v="1"/>
    <x v="4"/>
    <s v="Bluetooth Speaker"/>
    <n v="2"/>
    <n v="177.65"/>
    <n v="0"/>
    <x v="2"/>
    <n v="355.3"/>
    <n v="276.26"/>
    <n v="79.040000000000006"/>
    <n v="1"/>
    <n v="0"/>
    <n v="5"/>
    <n v="4"/>
  </r>
  <r>
    <s v="SW-103458"/>
    <d v="2025-05-24T00:00:00"/>
    <x v="1"/>
    <s v="Q2"/>
    <x v="4"/>
    <x v="1"/>
    <x v="2"/>
    <x v="0"/>
    <x v="0"/>
    <s v="Denim Jacket"/>
    <n v="1"/>
    <n v="78.510000000000005"/>
    <n v="0.1"/>
    <x v="0"/>
    <n v="70.66"/>
    <n v="45.45"/>
    <n v="25.21"/>
    <n v="1"/>
    <n v="0"/>
    <n v="4"/>
    <n v="3"/>
  </r>
  <r>
    <s v="SW-103459"/>
    <d v="2025-05-24T00:00:00"/>
    <x v="1"/>
    <s v="Q2"/>
    <x v="4"/>
    <x v="2"/>
    <x v="2"/>
    <x v="1"/>
    <x v="1"/>
    <s v="Hair Dryer"/>
    <n v="2"/>
    <n v="33.18"/>
    <n v="0"/>
    <x v="2"/>
    <n v="66.36"/>
    <n v="30.63"/>
    <n v="35.729999999999997"/>
    <n v="1"/>
    <n v="0"/>
    <n v="4"/>
    <n v="5"/>
  </r>
  <r>
    <s v="SW-103460"/>
    <d v="2025-05-24T00:00:00"/>
    <x v="1"/>
    <s v="Q2"/>
    <x v="4"/>
    <x v="1"/>
    <x v="0"/>
    <x v="1"/>
    <x v="2"/>
    <s v="Desk Lamp"/>
    <n v="1"/>
    <n v="117.63"/>
    <n v="0"/>
    <x v="2"/>
    <n v="117.63"/>
    <n v="74.569999999999993"/>
    <n v="43.06"/>
    <n v="1"/>
    <n v="0"/>
    <n v="4"/>
    <n v="4"/>
  </r>
  <r>
    <s v="SW-103461"/>
    <d v="2025-05-24T00:00:00"/>
    <x v="1"/>
    <s v="Q2"/>
    <x v="4"/>
    <x v="0"/>
    <x v="4"/>
    <x v="1"/>
    <x v="4"/>
    <s v="Smart Watch"/>
    <n v="1"/>
    <n v="216.08"/>
    <n v="0.05"/>
    <x v="0"/>
    <n v="205.28"/>
    <n v="169.66"/>
    <n v="35.619999999999997"/>
    <n v="1"/>
    <n v="0"/>
    <n v="7"/>
    <n v="4"/>
  </r>
  <r>
    <s v="SW-103462"/>
    <d v="2025-05-24T00:00:00"/>
    <x v="1"/>
    <s v="Q2"/>
    <x v="4"/>
    <x v="1"/>
    <x v="2"/>
    <x v="0"/>
    <x v="0"/>
    <s v="Cotton T-Shirt"/>
    <n v="2"/>
    <n v="19.41"/>
    <n v="0.05"/>
    <x v="0"/>
    <n v="36.880000000000003"/>
    <n v="21.12"/>
    <n v="15.76"/>
    <n v="1"/>
    <n v="0"/>
    <n v="4"/>
    <n v="5"/>
  </r>
  <r>
    <s v="SW-103463"/>
    <d v="2025-05-24T00:00:00"/>
    <x v="1"/>
    <s v="Q2"/>
    <x v="4"/>
    <x v="2"/>
    <x v="2"/>
    <x v="0"/>
    <x v="4"/>
    <s v="Wireless Earbuds"/>
    <n v="1"/>
    <n v="588.41"/>
    <n v="0.15"/>
    <x v="1"/>
    <n v="500.15"/>
    <n v="459.56"/>
    <n v="40.590000000000003"/>
    <n v="1"/>
    <n v="0"/>
    <n v="3"/>
    <n v="4"/>
  </r>
  <r>
    <s v="SW-103464"/>
    <d v="2025-05-24T00:00:00"/>
    <x v="1"/>
    <s v="Q2"/>
    <x v="4"/>
    <x v="1"/>
    <x v="2"/>
    <x v="1"/>
    <x v="5"/>
    <s v="Bestseller Novel"/>
    <n v="2"/>
    <n v="45.28"/>
    <n v="0"/>
    <x v="2"/>
    <n v="90.56"/>
    <n v="65.290000000000006"/>
    <n v="25.27"/>
    <n v="1"/>
    <n v="0"/>
    <n v="3"/>
    <n v="4"/>
  </r>
  <r>
    <s v="SW-103465"/>
    <d v="2025-05-24T00:00:00"/>
    <x v="1"/>
    <s v="Q2"/>
    <x v="4"/>
    <x v="0"/>
    <x v="2"/>
    <x v="1"/>
    <x v="2"/>
    <s v="Cookware Set"/>
    <n v="1"/>
    <n v="233.81"/>
    <n v="0"/>
    <x v="2"/>
    <n v="233.81"/>
    <n v="157.88999999999999"/>
    <n v="75.92"/>
    <n v="1"/>
    <n v="0"/>
    <n v="4"/>
    <n v="4"/>
  </r>
  <r>
    <s v="SW-103466"/>
    <d v="2025-05-24T00:00:00"/>
    <x v="1"/>
    <s v="Q2"/>
    <x v="4"/>
    <x v="1"/>
    <x v="0"/>
    <x v="0"/>
    <x v="0"/>
    <s v="Sunglasses"/>
    <n v="2"/>
    <n v="104.94"/>
    <n v="0"/>
    <x v="2"/>
    <n v="209.88"/>
    <n v="116.79"/>
    <n v="93.09"/>
    <n v="1"/>
    <n v="1"/>
    <n v="3"/>
    <n v="2"/>
  </r>
  <r>
    <s v="SW-103467"/>
    <d v="2025-05-25T00:00:00"/>
    <x v="1"/>
    <s v="Q2"/>
    <x v="4"/>
    <x v="0"/>
    <x v="0"/>
    <x v="1"/>
    <x v="0"/>
    <s v="Denim Jacket"/>
    <n v="1"/>
    <n v="78.510000000000005"/>
    <n v="0"/>
    <x v="2"/>
    <n v="78.510000000000005"/>
    <n v="42.53"/>
    <n v="35.979999999999997"/>
    <n v="1"/>
    <n v="0"/>
    <n v="4"/>
    <n v="4"/>
  </r>
  <r>
    <s v="SW-103468"/>
    <d v="2025-05-25T00:00:00"/>
    <x v="1"/>
    <s v="Q2"/>
    <x v="4"/>
    <x v="1"/>
    <x v="2"/>
    <x v="0"/>
    <x v="4"/>
    <s v="Bluetooth Speaker"/>
    <n v="1"/>
    <n v="177.65"/>
    <n v="0.15"/>
    <x v="1"/>
    <n v="151"/>
    <n v="137.16999999999999"/>
    <n v="13.83"/>
    <n v="1"/>
    <n v="0"/>
    <n v="5"/>
    <n v="5"/>
  </r>
  <r>
    <s v="SW-103469"/>
    <d v="2025-05-25T00:00:00"/>
    <x v="1"/>
    <s v="Q2"/>
    <x v="4"/>
    <x v="1"/>
    <x v="2"/>
    <x v="1"/>
    <x v="1"/>
    <s v="Face Serum"/>
    <n v="3"/>
    <n v="33.479999999999997"/>
    <n v="0.2"/>
    <x v="1"/>
    <n v="80.349999999999994"/>
    <n v="46.56"/>
    <n v="33.79"/>
    <n v="1"/>
    <n v="0"/>
    <n v="3"/>
    <n v="5"/>
  </r>
  <r>
    <s v="SW-103470"/>
    <d v="2025-05-25T00:00:00"/>
    <x v="1"/>
    <s v="Q2"/>
    <x v="4"/>
    <x v="1"/>
    <x v="3"/>
    <x v="1"/>
    <x v="4"/>
    <s v="Power Bank"/>
    <n v="1"/>
    <n v="508.8"/>
    <n v="0"/>
    <x v="2"/>
    <n v="508.8"/>
    <n v="406.47"/>
    <n v="102.33"/>
    <n v="1"/>
    <n v="0"/>
    <n v="3"/>
    <n v="5"/>
  </r>
  <r>
    <s v="SW-103471"/>
    <d v="2025-05-25T00:00:00"/>
    <x v="1"/>
    <s v="Q2"/>
    <x v="4"/>
    <x v="2"/>
    <x v="3"/>
    <x v="0"/>
    <x v="2"/>
    <s v="Desk Lamp"/>
    <n v="1"/>
    <n v="117.63"/>
    <n v="0"/>
    <x v="2"/>
    <n v="117.63"/>
    <n v="76.91"/>
    <n v="40.72"/>
    <n v="1"/>
    <n v="0"/>
    <n v="2"/>
    <n v="3"/>
  </r>
  <r>
    <s v="SW-103472"/>
    <d v="2025-05-26T00:00:00"/>
    <x v="1"/>
    <s v="Q2"/>
    <x v="4"/>
    <x v="1"/>
    <x v="1"/>
    <x v="1"/>
    <x v="3"/>
    <s v="Dumbbell Set"/>
    <n v="1"/>
    <n v="198.42"/>
    <n v="0"/>
    <x v="2"/>
    <n v="198.42"/>
    <n v="131.72999999999999"/>
    <n v="66.69"/>
    <n v="1"/>
    <n v="0"/>
    <n v="8"/>
    <n v="4"/>
  </r>
  <r>
    <s v="SW-103473"/>
    <d v="2025-05-26T00:00:00"/>
    <x v="1"/>
    <s v="Q2"/>
    <x v="4"/>
    <x v="2"/>
    <x v="1"/>
    <x v="1"/>
    <x v="3"/>
    <s v="Camping Tent"/>
    <n v="1"/>
    <n v="83.06"/>
    <n v="0.3"/>
    <x v="3"/>
    <n v="58.14"/>
    <n v="51.86"/>
    <n v="6.28"/>
    <n v="1"/>
    <n v="0"/>
    <n v="6"/>
    <n v="3"/>
  </r>
  <r>
    <s v="SW-103474"/>
    <d v="2025-05-26T00:00:00"/>
    <x v="1"/>
    <s v="Q2"/>
    <x v="4"/>
    <x v="0"/>
    <x v="2"/>
    <x v="1"/>
    <x v="3"/>
    <s v="Camping Tent"/>
    <n v="2"/>
    <n v="83.06"/>
    <n v="0"/>
    <x v="2"/>
    <n v="166.12"/>
    <n v="115.37"/>
    <n v="50.75"/>
    <n v="1"/>
    <n v="0"/>
    <n v="4"/>
    <n v="3"/>
  </r>
  <r>
    <s v="SW-103475"/>
    <d v="2025-05-26T00:00:00"/>
    <x v="1"/>
    <s v="Q2"/>
    <x v="4"/>
    <x v="1"/>
    <x v="0"/>
    <x v="1"/>
    <x v="1"/>
    <s v="Perfume 100ml"/>
    <n v="1"/>
    <n v="54.56"/>
    <n v="0.05"/>
    <x v="0"/>
    <n v="51.83"/>
    <n v="26.33"/>
    <n v="25.5"/>
    <n v="1"/>
    <n v="0"/>
    <n v="3"/>
    <n v="5"/>
  </r>
  <r>
    <s v="SW-103476"/>
    <d v="2025-05-26T00:00:00"/>
    <x v="1"/>
    <s v="Q2"/>
    <x v="4"/>
    <x v="2"/>
    <x v="2"/>
    <x v="0"/>
    <x v="5"/>
    <s v="Kids Puzzle"/>
    <n v="1"/>
    <n v="16.97"/>
    <n v="0.2"/>
    <x v="1"/>
    <n v="13.58"/>
    <n v="12.11"/>
    <n v="1.47"/>
    <n v="1"/>
    <n v="0"/>
    <n v="4"/>
    <n v="4"/>
  </r>
  <r>
    <s v="SW-103477"/>
    <d v="2025-05-26T00:00:00"/>
    <x v="1"/>
    <s v="Q2"/>
    <x v="4"/>
    <x v="1"/>
    <x v="2"/>
    <x v="0"/>
    <x v="1"/>
    <s v="Makeup Kit"/>
    <n v="1"/>
    <n v="74.3"/>
    <n v="0.25"/>
    <x v="3"/>
    <n v="55.72"/>
    <n v="35.79"/>
    <n v="19.93"/>
    <n v="1"/>
    <n v="0"/>
    <n v="3"/>
    <n v="5"/>
  </r>
  <r>
    <s v="SW-103478"/>
    <d v="2025-05-26T00:00:00"/>
    <x v="1"/>
    <s v="Q2"/>
    <x v="4"/>
    <x v="0"/>
    <x v="2"/>
    <x v="1"/>
    <x v="2"/>
    <s v="Coffee Maker"/>
    <n v="1"/>
    <n v="148.05000000000001"/>
    <n v="0.15"/>
    <x v="1"/>
    <n v="125.84"/>
    <n v="102.41"/>
    <n v="23.43"/>
    <n v="1"/>
    <n v="0"/>
    <n v="3"/>
    <n v="5"/>
  </r>
  <r>
    <s v="SW-103479"/>
    <d v="2025-05-27T00:00:00"/>
    <x v="1"/>
    <s v="Q2"/>
    <x v="4"/>
    <x v="1"/>
    <x v="3"/>
    <x v="0"/>
    <x v="3"/>
    <s v="Yoga Mat"/>
    <n v="1"/>
    <n v="137.05000000000001"/>
    <n v="0.15"/>
    <x v="1"/>
    <n v="116.49"/>
    <n v="95.15"/>
    <n v="21.34"/>
    <n v="1"/>
    <n v="0"/>
    <n v="3"/>
    <n v="5"/>
  </r>
  <r>
    <s v="SW-103480"/>
    <d v="2025-05-27T00:00:00"/>
    <x v="1"/>
    <s v="Q2"/>
    <x v="4"/>
    <x v="0"/>
    <x v="1"/>
    <x v="1"/>
    <x v="3"/>
    <s v="Cycling Helmet"/>
    <n v="1"/>
    <n v="85.42"/>
    <n v="0.2"/>
    <x v="1"/>
    <n v="68.34"/>
    <n v="56.94"/>
    <n v="11.4"/>
    <n v="1"/>
    <n v="0"/>
    <n v="5"/>
    <n v="5"/>
  </r>
  <r>
    <s v="SW-103481"/>
    <d v="2025-05-27T00:00:00"/>
    <x v="1"/>
    <s v="Q2"/>
    <x v="4"/>
    <x v="0"/>
    <x v="4"/>
    <x v="0"/>
    <x v="0"/>
    <s v="Sunglasses"/>
    <n v="4"/>
    <n v="104.94"/>
    <n v="0.05"/>
    <x v="0"/>
    <n v="398.77"/>
    <n v="205.39"/>
    <n v="193.38"/>
    <n v="1"/>
    <n v="0"/>
    <n v="5"/>
    <n v="5"/>
  </r>
  <r>
    <s v="SW-103482"/>
    <d v="2025-05-27T00:00:00"/>
    <x v="1"/>
    <s v="Q2"/>
    <x v="4"/>
    <x v="0"/>
    <x v="0"/>
    <x v="0"/>
    <x v="1"/>
    <s v="Perfume 100ml"/>
    <n v="1"/>
    <n v="54.56"/>
    <n v="0.3"/>
    <x v="3"/>
    <n v="38.19"/>
    <n v="25.38"/>
    <n v="12.81"/>
    <n v="1"/>
    <n v="0"/>
    <n v="6"/>
    <n v="4"/>
  </r>
  <r>
    <s v="SW-103483"/>
    <d v="2025-05-27T00:00:00"/>
    <x v="1"/>
    <s v="Q2"/>
    <x v="4"/>
    <x v="0"/>
    <x v="3"/>
    <x v="0"/>
    <x v="2"/>
    <s v="Bed Sheet Set"/>
    <n v="2"/>
    <n v="90.75"/>
    <n v="0"/>
    <x v="2"/>
    <n v="181.5"/>
    <n v="122.66"/>
    <n v="58.84"/>
    <n v="1"/>
    <n v="0"/>
    <n v="3"/>
    <n v="5"/>
  </r>
  <r>
    <s v="SW-103484"/>
    <d v="2025-05-27T00:00:00"/>
    <x v="1"/>
    <s v="Q2"/>
    <x v="4"/>
    <x v="0"/>
    <x v="1"/>
    <x v="0"/>
    <x v="5"/>
    <s v="Bestseller Novel"/>
    <n v="1"/>
    <n v="45.28"/>
    <n v="0.25"/>
    <x v="3"/>
    <n v="33.96"/>
    <n v="34.08"/>
    <n v="-0.12"/>
    <n v="1"/>
    <n v="0"/>
    <n v="5"/>
    <n v="4"/>
  </r>
  <r>
    <s v="SW-103485"/>
    <d v="2025-05-27T00:00:00"/>
    <x v="1"/>
    <s v="Q2"/>
    <x v="4"/>
    <x v="0"/>
    <x v="0"/>
    <x v="0"/>
    <x v="1"/>
    <s v="Hair Dryer"/>
    <n v="1"/>
    <n v="33.18"/>
    <n v="0"/>
    <x v="2"/>
    <n v="33.18"/>
    <n v="16.149999999999999"/>
    <n v="17.03"/>
    <n v="1"/>
    <n v="0"/>
    <n v="5"/>
    <n v="3"/>
  </r>
  <r>
    <s v="SW-103486"/>
    <d v="2025-05-27T00:00:00"/>
    <x v="1"/>
    <s v="Q2"/>
    <x v="4"/>
    <x v="1"/>
    <x v="0"/>
    <x v="1"/>
    <x v="1"/>
    <s v="Perfume 100ml"/>
    <n v="2"/>
    <n v="54.56"/>
    <n v="0.05"/>
    <x v="0"/>
    <n v="103.66"/>
    <n v="53.94"/>
    <n v="49.72"/>
    <n v="1"/>
    <n v="0"/>
    <n v="4"/>
    <n v="5"/>
  </r>
  <r>
    <s v="SW-103487"/>
    <d v="2025-05-28T00:00:00"/>
    <x v="1"/>
    <s v="Q2"/>
    <x v="4"/>
    <x v="0"/>
    <x v="1"/>
    <x v="1"/>
    <x v="1"/>
    <s v="Makeup Kit"/>
    <n v="1"/>
    <n v="74.3"/>
    <n v="0.15"/>
    <x v="1"/>
    <n v="63.15"/>
    <n v="35.97"/>
    <n v="27.18"/>
    <n v="1"/>
    <n v="0"/>
    <n v="5"/>
    <n v="4"/>
  </r>
  <r>
    <s v="SW-103488"/>
    <d v="2025-05-28T00:00:00"/>
    <x v="1"/>
    <s v="Q2"/>
    <x v="4"/>
    <x v="0"/>
    <x v="1"/>
    <x v="1"/>
    <x v="5"/>
    <s v="Bestseller Novel"/>
    <n v="2"/>
    <n v="45.28"/>
    <n v="0"/>
    <x v="2"/>
    <n v="90.56"/>
    <n v="67.09"/>
    <n v="23.47"/>
    <n v="1"/>
    <n v="0"/>
    <n v="5"/>
    <n v="4"/>
  </r>
  <r>
    <s v="SW-103489"/>
    <d v="2025-05-28T00:00:00"/>
    <x v="1"/>
    <s v="Q2"/>
    <x v="4"/>
    <x v="1"/>
    <x v="0"/>
    <x v="1"/>
    <x v="0"/>
    <s v="Running Sneakers"/>
    <n v="1"/>
    <n v="94.85"/>
    <n v="0.05"/>
    <x v="0"/>
    <n v="90.11"/>
    <n v="51.12"/>
    <n v="38.99"/>
    <n v="1"/>
    <n v="0"/>
    <n v="4"/>
    <n v="5"/>
  </r>
  <r>
    <s v="SW-103490"/>
    <d v="2025-05-28T00:00:00"/>
    <x v="1"/>
    <s v="Q2"/>
    <x v="4"/>
    <x v="0"/>
    <x v="0"/>
    <x v="0"/>
    <x v="0"/>
    <s v="Summer Dress"/>
    <n v="1"/>
    <n v="33.99"/>
    <n v="0.05"/>
    <x v="0"/>
    <n v="32.29"/>
    <n v="18.43"/>
    <n v="13.86"/>
    <n v="1"/>
    <n v="0"/>
    <n v="4"/>
    <n v="4"/>
  </r>
  <r>
    <s v="SW-103491"/>
    <d v="2025-05-28T00:00:00"/>
    <x v="1"/>
    <s v="Q2"/>
    <x v="4"/>
    <x v="1"/>
    <x v="3"/>
    <x v="0"/>
    <x v="0"/>
    <s v="Summer Dress"/>
    <n v="2"/>
    <n v="33.99"/>
    <n v="0.05"/>
    <x v="0"/>
    <n v="64.58"/>
    <n v="37.32"/>
    <n v="27.26"/>
    <n v="1"/>
    <n v="1"/>
    <n v="2"/>
    <n v="4"/>
  </r>
  <r>
    <s v="SW-103492"/>
    <d v="2025-05-28T00:00:00"/>
    <x v="1"/>
    <s v="Q2"/>
    <x v="4"/>
    <x v="2"/>
    <x v="4"/>
    <x v="0"/>
    <x v="2"/>
    <s v="Desk Lamp"/>
    <n v="1"/>
    <n v="117.63"/>
    <n v="0.15"/>
    <x v="1"/>
    <n v="99.99"/>
    <n v="78.739999999999995"/>
    <n v="21.25"/>
    <n v="1"/>
    <n v="0"/>
    <n v="6"/>
    <n v="3"/>
  </r>
  <r>
    <s v="SW-103493"/>
    <d v="2025-05-28T00:00:00"/>
    <x v="1"/>
    <s v="Q2"/>
    <x v="4"/>
    <x v="1"/>
    <x v="3"/>
    <x v="0"/>
    <x v="0"/>
    <s v="Running Sneakers"/>
    <n v="1"/>
    <n v="94.85"/>
    <n v="0.1"/>
    <x v="0"/>
    <n v="85.36"/>
    <n v="53.56"/>
    <n v="31.8"/>
    <n v="1"/>
    <n v="0"/>
    <n v="4"/>
    <n v="4"/>
  </r>
  <r>
    <s v="SW-103494"/>
    <d v="2025-05-28T00:00:00"/>
    <x v="1"/>
    <s v="Q2"/>
    <x v="4"/>
    <x v="1"/>
    <x v="3"/>
    <x v="0"/>
    <x v="3"/>
    <s v="Camping Tent"/>
    <n v="1"/>
    <n v="83.06"/>
    <n v="0.1"/>
    <x v="0"/>
    <n v="74.75"/>
    <n v="55.1"/>
    <n v="19.649999999999999"/>
    <n v="1"/>
    <n v="0"/>
    <n v="3"/>
    <n v="5"/>
  </r>
  <r>
    <s v="SW-103495"/>
    <d v="2025-05-28T00:00:00"/>
    <x v="1"/>
    <s v="Q2"/>
    <x v="4"/>
    <x v="1"/>
    <x v="3"/>
    <x v="1"/>
    <x v="3"/>
    <s v="Dumbbell Set"/>
    <n v="1"/>
    <n v="198.42"/>
    <n v="0.15"/>
    <x v="1"/>
    <n v="168.66"/>
    <n v="128"/>
    <n v="40.659999999999997"/>
    <n v="1"/>
    <n v="0"/>
    <n v="3"/>
    <n v="4"/>
  </r>
  <r>
    <s v="SW-103496"/>
    <d v="2025-05-28T00:00:00"/>
    <x v="1"/>
    <s v="Q2"/>
    <x v="4"/>
    <x v="2"/>
    <x v="2"/>
    <x v="1"/>
    <x v="3"/>
    <s v="Fitness Tracker"/>
    <n v="2"/>
    <n v="74.459999999999994"/>
    <n v="0.05"/>
    <x v="0"/>
    <n v="141.47"/>
    <n v="98.45"/>
    <n v="43.02"/>
    <n v="1"/>
    <n v="0"/>
    <n v="3"/>
    <n v="4"/>
  </r>
  <r>
    <s v="SW-103497"/>
    <d v="2025-05-29T00:00:00"/>
    <x v="1"/>
    <s v="Q2"/>
    <x v="4"/>
    <x v="0"/>
    <x v="2"/>
    <x v="1"/>
    <x v="4"/>
    <s v="Tablet 10in"/>
    <n v="1"/>
    <n v="490.3"/>
    <n v="0.05"/>
    <x v="0"/>
    <n v="465.78"/>
    <n v="408.63"/>
    <n v="57.15"/>
    <n v="1"/>
    <n v="0"/>
    <n v="4"/>
    <n v="4"/>
  </r>
  <r>
    <s v="SW-103498"/>
    <d v="2025-05-29T00:00:00"/>
    <x v="1"/>
    <s v="Q2"/>
    <x v="4"/>
    <x v="1"/>
    <x v="4"/>
    <x v="1"/>
    <x v="3"/>
    <s v="Cycling Helmet"/>
    <n v="1"/>
    <n v="85.42"/>
    <n v="0.05"/>
    <x v="0"/>
    <n v="81.150000000000006"/>
    <n v="57.19"/>
    <n v="23.96"/>
    <n v="1"/>
    <n v="0"/>
    <n v="7"/>
    <n v="3"/>
  </r>
  <r>
    <s v="SW-103499"/>
    <d v="2025-05-29T00:00:00"/>
    <x v="1"/>
    <s v="Q2"/>
    <x v="4"/>
    <x v="1"/>
    <x v="0"/>
    <x v="1"/>
    <x v="3"/>
    <s v="Dumbbell Set"/>
    <n v="2"/>
    <n v="198.42"/>
    <n v="0"/>
    <x v="2"/>
    <n v="396.84"/>
    <n v="260.39999999999998"/>
    <n v="136.44"/>
    <n v="1"/>
    <n v="1"/>
    <n v="3"/>
    <n v="3"/>
  </r>
  <r>
    <s v="SW-103500"/>
    <d v="2025-05-29T00:00:00"/>
    <x v="1"/>
    <s v="Q2"/>
    <x v="4"/>
    <x v="2"/>
    <x v="2"/>
    <x v="0"/>
    <x v="3"/>
    <s v="Yoga Mat"/>
    <n v="1"/>
    <n v="137.05000000000001"/>
    <n v="0.15"/>
    <x v="1"/>
    <n v="116.49"/>
    <n v="92.99"/>
    <n v="23.5"/>
    <n v="1"/>
    <n v="1"/>
    <n v="4"/>
    <n v="3"/>
  </r>
  <r>
    <s v="SW-103501"/>
    <d v="2025-05-29T00:00:00"/>
    <x v="1"/>
    <s v="Q2"/>
    <x v="4"/>
    <x v="1"/>
    <x v="1"/>
    <x v="1"/>
    <x v="4"/>
    <s v="Power Bank"/>
    <n v="2"/>
    <n v="508.8"/>
    <n v="0"/>
    <x v="2"/>
    <n v="1017.6"/>
    <n v="794.99"/>
    <n v="222.61"/>
    <n v="1"/>
    <n v="0"/>
    <n v="5"/>
    <n v="4"/>
  </r>
  <r>
    <s v="SW-103502"/>
    <d v="2025-05-29T00:00:00"/>
    <x v="1"/>
    <s v="Q2"/>
    <x v="4"/>
    <x v="0"/>
    <x v="0"/>
    <x v="0"/>
    <x v="0"/>
    <s v="Denim Jacket"/>
    <n v="1"/>
    <n v="78.510000000000005"/>
    <n v="0.1"/>
    <x v="0"/>
    <n v="70.66"/>
    <n v="43.31"/>
    <n v="27.35"/>
    <n v="1"/>
    <n v="0"/>
    <n v="5"/>
    <n v="4"/>
  </r>
  <r>
    <s v="SW-103503"/>
    <d v="2025-05-29T00:00:00"/>
    <x v="1"/>
    <s v="Q2"/>
    <x v="4"/>
    <x v="1"/>
    <x v="0"/>
    <x v="1"/>
    <x v="0"/>
    <s v="Denim Jacket"/>
    <n v="1"/>
    <n v="78.510000000000005"/>
    <n v="0"/>
    <x v="2"/>
    <n v="78.510000000000005"/>
    <n v="41.56"/>
    <n v="36.950000000000003"/>
    <n v="1"/>
    <n v="0"/>
    <n v="6"/>
    <n v="3"/>
  </r>
  <r>
    <s v="SW-103504"/>
    <d v="2025-05-30T00:00:00"/>
    <x v="1"/>
    <s v="Q2"/>
    <x v="4"/>
    <x v="1"/>
    <x v="3"/>
    <x v="0"/>
    <x v="0"/>
    <s v="Sunglasses"/>
    <n v="1"/>
    <n v="104.94"/>
    <n v="0.05"/>
    <x v="0"/>
    <n v="99.69"/>
    <n v="54.93"/>
    <n v="44.76"/>
    <n v="1"/>
    <n v="0"/>
    <n v="3"/>
    <n v="3"/>
  </r>
  <r>
    <s v="SW-103505"/>
    <d v="2025-05-30T00:00:00"/>
    <x v="1"/>
    <s v="Q2"/>
    <x v="4"/>
    <x v="1"/>
    <x v="3"/>
    <x v="1"/>
    <x v="4"/>
    <s v="Power Bank"/>
    <n v="1"/>
    <n v="508.8"/>
    <n v="0.15"/>
    <x v="1"/>
    <n v="432.48"/>
    <n v="412.73"/>
    <n v="19.75"/>
    <n v="1"/>
    <n v="0"/>
    <n v="3"/>
    <n v="5"/>
  </r>
  <r>
    <s v="SW-103506"/>
    <d v="2025-05-30T00:00:00"/>
    <x v="1"/>
    <s v="Q2"/>
    <x v="4"/>
    <x v="1"/>
    <x v="3"/>
    <x v="0"/>
    <x v="0"/>
    <s v="Leather Handbag"/>
    <n v="1"/>
    <n v="138.5"/>
    <n v="0.2"/>
    <x v="1"/>
    <n v="110.8"/>
    <n v="72.73"/>
    <n v="38.07"/>
    <n v="1"/>
    <n v="0"/>
    <n v="2"/>
    <n v="5"/>
  </r>
  <r>
    <s v="SW-103507"/>
    <d v="2025-05-30T00:00:00"/>
    <x v="1"/>
    <s v="Q2"/>
    <x v="4"/>
    <x v="0"/>
    <x v="3"/>
    <x v="1"/>
    <x v="0"/>
    <s v="Cotton T-Shirt"/>
    <n v="2"/>
    <n v="19.41"/>
    <n v="0"/>
    <x v="2"/>
    <n v="38.82"/>
    <n v="22.04"/>
    <n v="16.78"/>
    <n v="1"/>
    <n v="0"/>
    <n v="2"/>
    <n v="5"/>
  </r>
  <r>
    <s v="SW-103508"/>
    <d v="2025-05-30T00:00:00"/>
    <x v="1"/>
    <s v="Q2"/>
    <x v="4"/>
    <x v="1"/>
    <x v="3"/>
    <x v="1"/>
    <x v="0"/>
    <s v="Sunglasses"/>
    <n v="2"/>
    <n v="104.94"/>
    <n v="0.1"/>
    <x v="0"/>
    <n v="188.89"/>
    <n v="115.74"/>
    <n v="73.150000000000006"/>
    <n v="1"/>
    <n v="0"/>
    <n v="4"/>
    <n v="4"/>
  </r>
  <r>
    <s v="SW-103509"/>
    <d v="2025-05-30T00:00:00"/>
    <x v="1"/>
    <s v="Q2"/>
    <x v="4"/>
    <x v="0"/>
    <x v="4"/>
    <x v="1"/>
    <x v="3"/>
    <s v="Fitness Tracker"/>
    <n v="1"/>
    <n v="74.459999999999994"/>
    <n v="0.25"/>
    <x v="3"/>
    <n v="55.84"/>
    <n v="47.84"/>
    <n v="8"/>
    <n v="1"/>
    <n v="0"/>
    <n v="7"/>
    <n v="3"/>
  </r>
  <r>
    <s v="SW-103510"/>
    <d v="2025-05-30T00:00:00"/>
    <x v="1"/>
    <s v="Q2"/>
    <x v="4"/>
    <x v="0"/>
    <x v="2"/>
    <x v="0"/>
    <x v="5"/>
    <s v="Story Book Set"/>
    <n v="2"/>
    <n v="10.76"/>
    <n v="0.2"/>
    <x v="1"/>
    <n v="17.22"/>
    <n v="16.11"/>
    <n v="1.1100000000000001"/>
    <n v="1"/>
    <n v="0"/>
    <n v="4"/>
    <n v="5"/>
  </r>
  <r>
    <s v="SW-103511"/>
    <d v="2025-05-30T00:00:00"/>
    <x v="1"/>
    <s v="Q2"/>
    <x v="4"/>
    <x v="1"/>
    <x v="0"/>
    <x v="0"/>
    <x v="4"/>
    <s v="4K Action Camera"/>
    <n v="2"/>
    <n v="636.09"/>
    <n v="0.15"/>
    <x v="1"/>
    <n v="1081.3499999999999"/>
    <n v="1000.39"/>
    <n v="80.959999999999994"/>
    <n v="1"/>
    <n v="0"/>
    <n v="3"/>
    <n v="4"/>
  </r>
  <r>
    <s v="SW-103512"/>
    <d v="2025-05-30T00:00:00"/>
    <x v="1"/>
    <s v="Q2"/>
    <x v="4"/>
    <x v="1"/>
    <x v="3"/>
    <x v="0"/>
    <x v="0"/>
    <s v="Denim Jacket"/>
    <n v="2"/>
    <n v="78.510000000000005"/>
    <n v="0.25"/>
    <x v="3"/>
    <n v="117.77"/>
    <n v="88.96"/>
    <n v="28.81"/>
    <n v="1"/>
    <n v="0"/>
    <n v="3"/>
    <n v="4"/>
  </r>
  <r>
    <s v="SW-103513"/>
    <d v="2025-05-31T00:00:00"/>
    <x v="1"/>
    <s v="Q2"/>
    <x v="4"/>
    <x v="1"/>
    <x v="0"/>
    <x v="1"/>
    <x v="1"/>
    <s v="Perfume 100ml"/>
    <n v="4"/>
    <n v="54.56"/>
    <n v="0.2"/>
    <x v="1"/>
    <n v="174.59"/>
    <n v="107.57"/>
    <n v="67.02"/>
    <n v="1"/>
    <n v="0"/>
    <n v="4"/>
    <n v="5"/>
  </r>
  <r>
    <s v="SW-103514"/>
    <d v="2025-05-31T00:00:00"/>
    <x v="1"/>
    <s v="Q2"/>
    <x v="4"/>
    <x v="1"/>
    <x v="1"/>
    <x v="0"/>
    <x v="4"/>
    <s v="4K Action Camera"/>
    <n v="1"/>
    <n v="636.09"/>
    <n v="0.1"/>
    <x v="0"/>
    <n v="572.48"/>
    <n v="500.54"/>
    <n v="71.94"/>
    <n v="1"/>
    <n v="0"/>
    <n v="5"/>
    <n v="4"/>
  </r>
  <r>
    <s v="SW-103515"/>
    <d v="2025-05-31T00:00:00"/>
    <x v="1"/>
    <s v="Q2"/>
    <x v="4"/>
    <x v="1"/>
    <x v="0"/>
    <x v="1"/>
    <x v="1"/>
    <s v="Skin Care Bundle"/>
    <n v="1"/>
    <n v="92.54"/>
    <n v="0.2"/>
    <x v="1"/>
    <n v="74.03"/>
    <n v="44.07"/>
    <n v="29.96"/>
    <n v="1"/>
    <n v="0"/>
    <n v="3"/>
    <n v="5"/>
  </r>
  <r>
    <s v="SW-103516"/>
    <d v="2025-06-01T00:00:00"/>
    <x v="1"/>
    <s v="Q2"/>
    <x v="5"/>
    <x v="1"/>
    <x v="3"/>
    <x v="1"/>
    <x v="5"/>
    <s v="Board Game"/>
    <n v="1"/>
    <n v="57.92"/>
    <n v="0.05"/>
    <x v="0"/>
    <n v="55.02"/>
    <n v="42.22"/>
    <n v="12.8"/>
    <n v="1"/>
    <n v="0"/>
    <n v="2"/>
    <n v="5"/>
  </r>
  <r>
    <s v="SW-103517"/>
    <d v="2025-06-01T00:00:00"/>
    <x v="1"/>
    <s v="Q2"/>
    <x v="5"/>
    <x v="1"/>
    <x v="0"/>
    <x v="1"/>
    <x v="5"/>
    <s v="Bestseller Novel"/>
    <n v="1"/>
    <n v="45.28"/>
    <n v="0.1"/>
    <x v="0"/>
    <n v="40.75"/>
    <n v="32.31"/>
    <n v="8.44"/>
    <n v="1"/>
    <n v="0"/>
    <n v="4"/>
    <n v="4"/>
  </r>
  <r>
    <s v="SW-103518"/>
    <d v="2025-06-01T00:00:00"/>
    <x v="1"/>
    <s v="Q2"/>
    <x v="5"/>
    <x v="1"/>
    <x v="0"/>
    <x v="0"/>
    <x v="0"/>
    <s v="Running Sneakers"/>
    <n v="2"/>
    <n v="94.85"/>
    <n v="0.15"/>
    <x v="1"/>
    <n v="161.24"/>
    <n v="105.41"/>
    <n v="55.83"/>
    <n v="1"/>
    <n v="0"/>
    <n v="5"/>
    <n v="5"/>
  </r>
  <r>
    <s v="SW-103519"/>
    <d v="2025-06-01T00:00:00"/>
    <x v="1"/>
    <s v="Q2"/>
    <x v="5"/>
    <x v="1"/>
    <x v="4"/>
    <x v="1"/>
    <x v="4"/>
    <s v="Tablet 10in"/>
    <n v="1"/>
    <n v="490.3"/>
    <n v="0"/>
    <x v="2"/>
    <n v="490.3"/>
    <n v="365.95"/>
    <n v="124.35"/>
    <n v="1"/>
    <n v="0"/>
    <n v="9"/>
    <n v="3"/>
  </r>
  <r>
    <s v="SW-103520"/>
    <d v="2025-06-01T00:00:00"/>
    <x v="1"/>
    <s v="Q2"/>
    <x v="5"/>
    <x v="1"/>
    <x v="3"/>
    <x v="0"/>
    <x v="4"/>
    <s v="Smart Watch"/>
    <n v="1"/>
    <n v="216.08"/>
    <n v="0.1"/>
    <x v="0"/>
    <n v="194.47"/>
    <n v="173.24"/>
    <n v="21.23"/>
    <n v="1"/>
    <n v="0"/>
    <n v="2"/>
    <n v="4"/>
  </r>
  <r>
    <s v="SW-103521"/>
    <d v="2025-06-02T00:00:00"/>
    <x v="1"/>
    <s v="Q2"/>
    <x v="5"/>
    <x v="2"/>
    <x v="1"/>
    <x v="1"/>
    <x v="2"/>
    <s v="Cookware Set"/>
    <n v="1"/>
    <n v="233.81"/>
    <n v="0.1"/>
    <x v="0"/>
    <n v="210.43"/>
    <n v="162.30000000000001"/>
    <n v="48.13"/>
    <n v="1"/>
    <n v="0"/>
    <n v="5"/>
    <n v="5"/>
  </r>
  <r>
    <s v="SW-103522"/>
    <d v="2025-06-02T00:00:00"/>
    <x v="1"/>
    <s v="Q2"/>
    <x v="5"/>
    <x v="0"/>
    <x v="2"/>
    <x v="1"/>
    <x v="5"/>
    <s v="Building Blocks"/>
    <n v="1"/>
    <n v="48.86"/>
    <n v="0"/>
    <x v="2"/>
    <n v="48.86"/>
    <n v="34.590000000000003"/>
    <n v="14.27"/>
    <n v="1"/>
    <n v="0"/>
    <n v="5"/>
    <n v="4"/>
  </r>
  <r>
    <s v="SW-103523"/>
    <d v="2025-06-02T00:00:00"/>
    <x v="1"/>
    <s v="Q2"/>
    <x v="5"/>
    <x v="1"/>
    <x v="4"/>
    <x v="0"/>
    <x v="4"/>
    <s v="Wireless Earbuds"/>
    <n v="1"/>
    <n v="588.41"/>
    <n v="0"/>
    <x v="2"/>
    <n v="588.41"/>
    <n v="462.73"/>
    <n v="125.68"/>
    <n v="1"/>
    <n v="0"/>
    <n v="7"/>
    <n v="3"/>
  </r>
  <r>
    <s v="SW-103524"/>
    <d v="2025-06-02T00:00:00"/>
    <x v="1"/>
    <s v="Q2"/>
    <x v="5"/>
    <x v="0"/>
    <x v="4"/>
    <x v="1"/>
    <x v="1"/>
    <s v="Makeup Kit"/>
    <n v="1"/>
    <n v="74.3"/>
    <n v="0"/>
    <x v="2"/>
    <n v="74.3"/>
    <n v="36.26"/>
    <n v="38.04"/>
    <n v="1"/>
    <n v="0"/>
    <n v="6"/>
    <n v="3"/>
  </r>
  <r>
    <s v="SW-103525"/>
    <d v="2025-06-03T00:00:00"/>
    <x v="1"/>
    <s v="Q2"/>
    <x v="5"/>
    <x v="0"/>
    <x v="3"/>
    <x v="0"/>
    <x v="4"/>
    <s v="Power Bank"/>
    <n v="1"/>
    <n v="508.8"/>
    <n v="0"/>
    <x v="2"/>
    <n v="508.8"/>
    <n v="402.15"/>
    <n v="106.65"/>
    <n v="1"/>
    <n v="1"/>
    <n v="3"/>
    <n v="3"/>
  </r>
  <r>
    <s v="SW-103526"/>
    <d v="2025-06-03T00:00:00"/>
    <x v="1"/>
    <s v="Q2"/>
    <x v="5"/>
    <x v="0"/>
    <x v="2"/>
    <x v="1"/>
    <x v="1"/>
    <s v="Hair Dryer"/>
    <n v="1"/>
    <n v="33.18"/>
    <n v="0.15"/>
    <x v="1"/>
    <n v="28.2"/>
    <n v="16.04"/>
    <n v="12.16"/>
    <n v="1"/>
    <n v="0"/>
    <n v="3"/>
    <n v="5"/>
  </r>
  <r>
    <s v="SW-103527"/>
    <d v="2025-06-03T00:00:00"/>
    <x v="1"/>
    <s v="Q2"/>
    <x v="5"/>
    <x v="0"/>
    <x v="3"/>
    <x v="1"/>
    <x v="0"/>
    <s v="Summer Dress"/>
    <n v="1"/>
    <n v="33.99"/>
    <n v="0.05"/>
    <x v="0"/>
    <n v="32.29"/>
    <n v="17.579999999999998"/>
    <n v="14.71"/>
    <n v="1"/>
    <n v="0"/>
    <n v="3"/>
    <n v="5"/>
  </r>
  <r>
    <s v="SW-103528"/>
    <d v="2025-06-03T00:00:00"/>
    <x v="1"/>
    <s v="Q2"/>
    <x v="5"/>
    <x v="0"/>
    <x v="2"/>
    <x v="0"/>
    <x v="1"/>
    <s v="Hair Dryer"/>
    <n v="1"/>
    <n v="33.18"/>
    <n v="0.3"/>
    <x v="3"/>
    <n v="23.23"/>
    <n v="15.93"/>
    <n v="7.3"/>
    <n v="1"/>
    <n v="0"/>
    <n v="3"/>
    <n v="5"/>
  </r>
  <r>
    <s v="SW-103529"/>
    <d v="2025-06-03T00:00:00"/>
    <x v="1"/>
    <s v="Q2"/>
    <x v="5"/>
    <x v="0"/>
    <x v="0"/>
    <x v="1"/>
    <x v="4"/>
    <s v="4K Action Camera"/>
    <n v="2"/>
    <n v="636.09"/>
    <n v="0"/>
    <x v="2"/>
    <n v="1272.18"/>
    <n v="1034.6300000000001"/>
    <n v="237.55"/>
    <n v="1"/>
    <n v="1"/>
    <n v="4"/>
    <n v="3"/>
  </r>
  <r>
    <s v="SW-103530"/>
    <d v="2025-06-03T00:00:00"/>
    <x v="1"/>
    <s v="Q2"/>
    <x v="5"/>
    <x v="0"/>
    <x v="2"/>
    <x v="1"/>
    <x v="0"/>
    <s v="Leather Handbag"/>
    <n v="1"/>
    <n v="138.5"/>
    <n v="0"/>
    <x v="2"/>
    <n v="138.5"/>
    <n v="77.010000000000005"/>
    <n v="61.49"/>
    <n v="1"/>
    <n v="0"/>
    <n v="4"/>
    <n v="4"/>
  </r>
  <r>
    <s v="SW-103531"/>
    <d v="2025-06-03T00:00:00"/>
    <x v="1"/>
    <s v="Q2"/>
    <x v="5"/>
    <x v="0"/>
    <x v="0"/>
    <x v="1"/>
    <x v="1"/>
    <s v="Face Serum"/>
    <n v="1"/>
    <n v="33.479999999999997"/>
    <n v="0"/>
    <x v="2"/>
    <n v="33.479999999999997"/>
    <n v="15.58"/>
    <n v="17.899999999999999"/>
    <n v="1"/>
    <n v="0"/>
    <n v="4"/>
    <n v="4"/>
  </r>
  <r>
    <s v="SW-103532"/>
    <d v="2025-06-03T00:00:00"/>
    <x v="1"/>
    <s v="Q2"/>
    <x v="5"/>
    <x v="1"/>
    <x v="3"/>
    <x v="1"/>
    <x v="2"/>
    <s v="Coffee Maker"/>
    <n v="1"/>
    <n v="148.05000000000001"/>
    <n v="0"/>
    <x v="2"/>
    <n v="148.05000000000001"/>
    <n v="95.66"/>
    <n v="52.39"/>
    <n v="1"/>
    <n v="0"/>
    <n v="3"/>
    <n v="5"/>
  </r>
  <r>
    <s v="SW-103533"/>
    <d v="2025-06-03T00:00:00"/>
    <x v="1"/>
    <s v="Q2"/>
    <x v="5"/>
    <x v="1"/>
    <x v="3"/>
    <x v="0"/>
    <x v="0"/>
    <s v="Cotton T-Shirt"/>
    <n v="4"/>
    <n v="19.41"/>
    <n v="0.15"/>
    <x v="1"/>
    <n v="65.989999999999995"/>
    <n v="42.27"/>
    <n v="23.72"/>
    <n v="1"/>
    <n v="0"/>
    <n v="3"/>
    <n v="5"/>
  </r>
  <r>
    <s v="SW-103534"/>
    <d v="2025-06-04T00:00:00"/>
    <x v="1"/>
    <s v="Q2"/>
    <x v="5"/>
    <x v="2"/>
    <x v="2"/>
    <x v="1"/>
    <x v="3"/>
    <s v="Camping Tent"/>
    <n v="1"/>
    <n v="83.06"/>
    <n v="0.1"/>
    <x v="0"/>
    <n v="74.75"/>
    <n v="57.16"/>
    <n v="17.59"/>
    <n v="1"/>
    <n v="0"/>
    <n v="4"/>
    <n v="5"/>
  </r>
  <r>
    <s v="SW-103535"/>
    <d v="2025-06-04T00:00:00"/>
    <x v="1"/>
    <s v="Q2"/>
    <x v="5"/>
    <x v="1"/>
    <x v="2"/>
    <x v="1"/>
    <x v="5"/>
    <s v="Kids Puzzle"/>
    <n v="1"/>
    <n v="16.97"/>
    <n v="0"/>
    <x v="2"/>
    <n v="16.97"/>
    <n v="12.27"/>
    <n v="4.7"/>
    <n v="1"/>
    <n v="0"/>
    <n v="3"/>
    <n v="5"/>
  </r>
  <r>
    <s v="SW-103536"/>
    <d v="2025-06-04T00:00:00"/>
    <x v="1"/>
    <s v="Q2"/>
    <x v="5"/>
    <x v="2"/>
    <x v="0"/>
    <x v="0"/>
    <x v="3"/>
    <s v="Camping Tent"/>
    <n v="1"/>
    <n v="83.06"/>
    <n v="0.05"/>
    <x v="0"/>
    <n v="78.91"/>
    <n v="54.26"/>
    <n v="24.65"/>
    <n v="1"/>
    <n v="0"/>
    <n v="6"/>
    <n v="4"/>
  </r>
  <r>
    <s v="SW-103537"/>
    <d v="2025-06-04T00:00:00"/>
    <x v="1"/>
    <s v="Q2"/>
    <x v="5"/>
    <x v="0"/>
    <x v="0"/>
    <x v="1"/>
    <x v="1"/>
    <s v="Skin Care Bundle"/>
    <n v="2"/>
    <n v="92.54"/>
    <n v="0"/>
    <x v="2"/>
    <n v="185.08"/>
    <n v="90.14"/>
    <n v="94.94"/>
    <n v="1"/>
    <n v="0"/>
    <n v="4"/>
    <n v="5"/>
  </r>
  <r>
    <s v="SW-103538"/>
    <d v="2025-06-04T00:00:00"/>
    <x v="1"/>
    <s v="Q2"/>
    <x v="5"/>
    <x v="0"/>
    <x v="3"/>
    <x v="0"/>
    <x v="2"/>
    <s v="Air Fryer"/>
    <n v="1"/>
    <n v="68.349999999999994"/>
    <n v="0"/>
    <x v="2"/>
    <n v="68.349999999999994"/>
    <n v="46.12"/>
    <n v="22.23"/>
    <n v="1"/>
    <n v="0"/>
    <n v="4"/>
    <n v="5"/>
  </r>
  <r>
    <s v="SW-103539"/>
    <d v="2025-06-05T00:00:00"/>
    <x v="1"/>
    <s v="Q2"/>
    <x v="5"/>
    <x v="1"/>
    <x v="4"/>
    <x v="1"/>
    <x v="0"/>
    <s v="Sunglasses"/>
    <n v="1"/>
    <n v="104.94"/>
    <n v="0"/>
    <x v="2"/>
    <n v="104.94"/>
    <n v="56.79"/>
    <n v="48.15"/>
    <n v="1"/>
    <n v="0"/>
    <n v="6"/>
    <n v="4"/>
  </r>
  <r>
    <s v="SW-103540"/>
    <d v="2025-06-05T00:00:00"/>
    <x v="1"/>
    <s v="Q2"/>
    <x v="5"/>
    <x v="1"/>
    <x v="3"/>
    <x v="1"/>
    <x v="2"/>
    <s v="Air Fryer"/>
    <n v="2"/>
    <n v="68.349999999999994"/>
    <n v="0"/>
    <x v="2"/>
    <n v="136.69999999999999"/>
    <n v="88.26"/>
    <n v="48.44"/>
    <n v="1"/>
    <n v="0"/>
    <n v="5"/>
    <n v="5"/>
  </r>
  <r>
    <s v="SW-103541"/>
    <d v="2025-06-05T00:00:00"/>
    <x v="1"/>
    <s v="Q2"/>
    <x v="5"/>
    <x v="1"/>
    <x v="2"/>
    <x v="0"/>
    <x v="0"/>
    <s v="Sunglasses"/>
    <n v="1"/>
    <n v="104.94"/>
    <n v="0.15"/>
    <x v="1"/>
    <n v="89.2"/>
    <n v="55.9"/>
    <n v="33.299999999999997"/>
    <n v="1"/>
    <n v="0"/>
    <n v="3"/>
    <n v="5"/>
  </r>
  <r>
    <s v="SW-103542"/>
    <d v="2025-06-06T00:00:00"/>
    <x v="1"/>
    <s v="Q2"/>
    <x v="5"/>
    <x v="2"/>
    <x v="3"/>
    <x v="0"/>
    <x v="4"/>
    <s v="4K Action Camera"/>
    <n v="1"/>
    <n v="636.09"/>
    <n v="0"/>
    <x v="2"/>
    <n v="636.09"/>
    <n v="515.12"/>
    <n v="120.97"/>
    <n v="1"/>
    <n v="0"/>
    <n v="3"/>
    <n v="5"/>
  </r>
  <r>
    <s v="SW-103543"/>
    <d v="2025-06-06T00:00:00"/>
    <x v="1"/>
    <s v="Q2"/>
    <x v="5"/>
    <x v="2"/>
    <x v="3"/>
    <x v="1"/>
    <x v="0"/>
    <s v="Running Sneakers"/>
    <n v="3"/>
    <n v="94.85"/>
    <n v="0.15"/>
    <x v="1"/>
    <n v="241.87"/>
    <n v="155.88"/>
    <n v="85.99"/>
    <n v="1"/>
    <n v="1"/>
    <n v="2"/>
    <n v="4"/>
  </r>
  <r>
    <s v="SW-103544"/>
    <d v="2025-06-06T00:00:00"/>
    <x v="1"/>
    <s v="Q2"/>
    <x v="5"/>
    <x v="1"/>
    <x v="4"/>
    <x v="0"/>
    <x v="2"/>
    <s v="Coffee Maker"/>
    <n v="2"/>
    <n v="148.05000000000001"/>
    <n v="0.1"/>
    <x v="0"/>
    <n v="266.49"/>
    <n v="196.11"/>
    <n v="70.38"/>
    <n v="1"/>
    <n v="0"/>
    <n v="6"/>
    <n v="3"/>
  </r>
  <r>
    <s v="SW-103545"/>
    <d v="2025-06-06T00:00:00"/>
    <x v="1"/>
    <s v="Q2"/>
    <x v="5"/>
    <x v="1"/>
    <x v="3"/>
    <x v="1"/>
    <x v="0"/>
    <s v="Running Sneakers"/>
    <n v="1"/>
    <n v="94.85"/>
    <n v="0.1"/>
    <x v="0"/>
    <n v="85.36"/>
    <n v="50.22"/>
    <n v="35.14"/>
    <n v="1"/>
    <n v="0"/>
    <n v="2"/>
    <n v="5"/>
  </r>
  <r>
    <s v="SW-103546"/>
    <d v="2025-06-07T00:00:00"/>
    <x v="1"/>
    <s v="Q2"/>
    <x v="5"/>
    <x v="2"/>
    <x v="0"/>
    <x v="0"/>
    <x v="1"/>
    <s v="Skin Care Bundle"/>
    <n v="1"/>
    <n v="92.54"/>
    <n v="0.15"/>
    <x v="1"/>
    <n v="78.66"/>
    <n v="45.28"/>
    <n v="33.380000000000003"/>
    <n v="1"/>
    <n v="0"/>
    <n v="7"/>
    <n v="3"/>
  </r>
  <r>
    <s v="SW-103547"/>
    <d v="2025-06-07T00:00:00"/>
    <x v="1"/>
    <s v="Q2"/>
    <x v="5"/>
    <x v="0"/>
    <x v="3"/>
    <x v="0"/>
    <x v="2"/>
    <s v="Cookware Set"/>
    <n v="1"/>
    <n v="233.81"/>
    <n v="0"/>
    <x v="2"/>
    <n v="233.81"/>
    <n v="147.08000000000001"/>
    <n v="86.73"/>
    <n v="1"/>
    <n v="0"/>
    <n v="4"/>
    <n v="5"/>
  </r>
  <r>
    <s v="SW-103548"/>
    <d v="2025-06-07T00:00:00"/>
    <x v="1"/>
    <s v="Q2"/>
    <x v="5"/>
    <x v="1"/>
    <x v="4"/>
    <x v="0"/>
    <x v="4"/>
    <s v="Smart Watch"/>
    <n v="1"/>
    <n v="216.08"/>
    <n v="0"/>
    <x v="2"/>
    <n v="216.08"/>
    <n v="173.94"/>
    <n v="42.14"/>
    <n v="1"/>
    <n v="0"/>
    <n v="7"/>
    <n v="3"/>
  </r>
  <r>
    <s v="SW-103549"/>
    <d v="2025-06-07T00:00:00"/>
    <x v="1"/>
    <s v="Q2"/>
    <x v="5"/>
    <x v="0"/>
    <x v="2"/>
    <x v="1"/>
    <x v="2"/>
    <s v="Bed Sheet Set"/>
    <n v="3"/>
    <n v="90.75"/>
    <n v="0.25"/>
    <x v="3"/>
    <n v="204.19"/>
    <n v="179.09"/>
    <n v="25.1"/>
    <n v="1"/>
    <n v="0"/>
    <n v="4"/>
    <n v="4"/>
  </r>
  <r>
    <s v="SW-103550"/>
    <d v="2025-06-07T00:00:00"/>
    <x v="1"/>
    <s v="Q2"/>
    <x v="5"/>
    <x v="1"/>
    <x v="2"/>
    <x v="1"/>
    <x v="4"/>
    <s v="Tablet 10in"/>
    <n v="1"/>
    <n v="490.3"/>
    <n v="0.1"/>
    <x v="0"/>
    <n v="441.27"/>
    <n v="389.69"/>
    <n v="51.58"/>
    <n v="1"/>
    <n v="0"/>
    <n v="4"/>
    <n v="5"/>
  </r>
  <r>
    <s v="SW-103551"/>
    <d v="2025-06-07T00:00:00"/>
    <x v="1"/>
    <s v="Q2"/>
    <x v="5"/>
    <x v="0"/>
    <x v="3"/>
    <x v="1"/>
    <x v="0"/>
    <s v="Sunglasses"/>
    <n v="1"/>
    <n v="104.94"/>
    <n v="0.25"/>
    <x v="3"/>
    <n v="78.7"/>
    <n v="60.4"/>
    <n v="18.3"/>
    <n v="1"/>
    <n v="0"/>
    <n v="2"/>
    <n v="4"/>
  </r>
  <r>
    <s v="SW-103552"/>
    <d v="2025-06-07T00:00:00"/>
    <x v="1"/>
    <s v="Q2"/>
    <x v="5"/>
    <x v="1"/>
    <x v="0"/>
    <x v="1"/>
    <x v="4"/>
    <s v="Tablet 10in"/>
    <n v="3"/>
    <n v="490.3"/>
    <n v="0.1"/>
    <x v="0"/>
    <n v="1323.81"/>
    <n v="1277.1199999999999"/>
    <n v="46.69"/>
    <n v="1"/>
    <n v="0"/>
    <n v="3"/>
    <n v="4"/>
  </r>
  <r>
    <s v="SW-103553"/>
    <d v="2025-06-07T00:00:00"/>
    <x v="1"/>
    <s v="Q2"/>
    <x v="5"/>
    <x v="2"/>
    <x v="2"/>
    <x v="0"/>
    <x v="2"/>
    <s v="Air Fryer"/>
    <n v="3"/>
    <n v="68.349999999999994"/>
    <n v="0.05"/>
    <x v="0"/>
    <n v="194.8"/>
    <n v="135.74"/>
    <n v="59.06"/>
    <n v="1"/>
    <n v="0"/>
    <n v="4"/>
    <n v="4"/>
  </r>
  <r>
    <s v="SW-103554"/>
    <d v="2025-06-07T00:00:00"/>
    <x v="1"/>
    <s v="Q2"/>
    <x v="5"/>
    <x v="2"/>
    <x v="4"/>
    <x v="0"/>
    <x v="4"/>
    <s v="Tablet 10in"/>
    <n v="1"/>
    <n v="490.3"/>
    <n v="0"/>
    <x v="2"/>
    <n v="490.3"/>
    <n v="385.71"/>
    <n v="104.59"/>
    <n v="1"/>
    <n v="0"/>
    <n v="5"/>
    <n v="4"/>
  </r>
  <r>
    <s v="SW-103555"/>
    <d v="2025-06-07T00:00:00"/>
    <x v="1"/>
    <s v="Q2"/>
    <x v="5"/>
    <x v="0"/>
    <x v="0"/>
    <x v="1"/>
    <x v="0"/>
    <s v="Denim Jacket"/>
    <n v="2"/>
    <n v="78.510000000000005"/>
    <n v="0.05"/>
    <x v="0"/>
    <n v="149.16999999999999"/>
    <n v="84.42"/>
    <n v="64.75"/>
    <n v="1"/>
    <n v="0"/>
    <n v="3"/>
    <n v="4"/>
  </r>
  <r>
    <s v="SW-103556"/>
    <d v="2025-06-07T00:00:00"/>
    <x v="1"/>
    <s v="Q2"/>
    <x v="5"/>
    <x v="1"/>
    <x v="2"/>
    <x v="1"/>
    <x v="0"/>
    <s v="Leather Handbag"/>
    <n v="1"/>
    <n v="138.5"/>
    <n v="0"/>
    <x v="2"/>
    <n v="138.5"/>
    <n v="74.790000000000006"/>
    <n v="63.71"/>
    <n v="1"/>
    <n v="0"/>
    <n v="3"/>
    <n v="4"/>
  </r>
  <r>
    <s v="SW-103557"/>
    <d v="2025-06-07T00:00:00"/>
    <x v="1"/>
    <s v="Q2"/>
    <x v="5"/>
    <x v="0"/>
    <x v="0"/>
    <x v="0"/>
    <x v="3"/>
    <s v="Cycling Helmet"/>
    <n v="1"/>
    <n v="85.42"/>
    <n v="0.05"/>
    <x v="0"/>
    <n v="81.150000000000006"/>
    <n v="56.89"/>
    <n v="24.26"/>
    <n v="1"/>
    <n v="0"/>
    <n v="4"/>
    <n v="5"/>
  </r>
  <r>
    <s v="SW-103558"/>
    <d v="2025-06-08T00:00:00"/>
    <x v="1"/>
    <s v="Q2"/>
    <x v="5"/>
    <x v="0"/>
    <x v="0"/>
    <x v="1"/>
    <x v="2"/>
    <s v="Cookware Set"/>
    <n v="2"/>
    <n v="233.81"/>
    <n v="0.15"/>
    <x v="1"/>
    <n v="397.48"/>
    <n v="313.07"/>
    <n v="84.41"/>
    <n v="1"/>
    <n v="0"/>
    <n v="4"/>
    <n v="3"/>
  </r>
  <r>
    <s v="SW-103559"/>
    <d v="2025-06-08T00:00:00"/>
    <x v="1"/>
    <s v="Q2"/>
    <x v="5"/>
    <x v="1"/>
    <x v="4"/>
    <x v="0"/>
    <x v="0"/>
    <s v="Cotton T-Shirt"/>
    <n v="2"/>
    <n v="19.41"/>
    <n v="0.15"/>
    <x v="1"/>
    <n v="33"/>
    <n v="21.22"/>
    <n v="11.78"/>
    <n v="1"/>
    <n v="0"/>
    <n v="5"/>
    <n v="5"/>
  </r>
  <r>
    <s v="SW-103560"/>
    <d v="2025-06-08T00:00:00"/>
    <x v="1"/>
    <s v="Q2"/>
    <x v="5"/>
    <x v="0"/>
    <x v="4"/>
    <x v="0"/>
    <x v="2"/>
    <s v="Cookware Set"/>
    <n v="2"/>
    <n v="233.81"/>
    <n v="0.15"/>
    <x v="1"/>
    <n v="397.48"/>
    <n v="321.51"/>
    <n v="75.97"/>
    <n v="1"/>
    <n v="1"/>
    <n v="6"/>
    <n v="3"/>
  </r>
  <r>
    <s v="SW-103561"/>
    <d v="2025-06-08T00:00:00"/>
    <x v="1"/>
    <s v="Q2"/>
    <x v="5"/>
    <x v="1"/>
    <x v="3"/>
    <x v="1"/>
    <x v="5"/>
    <s v="Story Book Set"/>
    <n v="1"/>
    <n v="10.76"/>
    <n v="0"/>
    <x v="2"/>
    <n v="10.76"/>
    <n v="7.56"/>
    <n v="3.2"/>
    <n v="1"/>
    <n v="0"/>
    <n v="2"/>
    <n v="4"/>
  </r>
  <r>
    <s v="SW-103562"/>
    <d v="2025-06-08T00:00:00"/>
    <x v="1"/>
    <s v="Q2"/>
    <x v="5"/>
    <x v="2"/>
    <x v="0"/>
    <x v="1"/>
    <x v="3"/>
    <s v="Camping Tent"/>
    <n v="1"/>
    <n v="83.06"/>
    <n v="0"/>
    <x v="2"/>
    <n v="83.06"/>
    <n v="54.03"/>
    <n v="29.03"/>
    <n v="1"/>
    <n v="0"/>
    <n v="4"/>
    <n v="4"/>
  </r>
  <r>
    <s v="SW-103563"/>
    <d v="2025-06-09T00:00:00"/>
    <x v="1"/>
    <s v="Q2"/>
    <x v="5"/>
    <x v="1"/>
    <x v="0"/>
    <x v="1"/>
    <x v="4"/>
    <s v="4K Action Camera"/>
    <n v="1"/>
    <n v="636.09"/>
    <n v="0.15"/>
    <x v="1"/>
    <n v="540.67999999999995"/>
    <n v="536.03"/>
    <n v="4.6500000000000004"/>
    <n v="1"/>
    <n v="0"/>
    <n v="3"/>
    <n v="4"/>
  </r>
  <r>
    <s v="SW-103564"/>
    <d v="2025-06-09T00:00:00"/>
    <x v="1"/>
    <s v="Q2"/>
    <x v="5"/>
    <x v="1"/>
    <x v="0"/>
    <x v="1"/>
    <x v="5"/>
    <s v="Bestseller Novel"/>
    <n v="1"/>
    <n v="45.28"/>
    <n v="0.05"/>
    <x v="0"/>
    <n v="43.02"/>
    <n v="33.54"/>
    <n v="9.48"/>
    <n v="1"/>
    <n v="0"/>
    <n v="4"/>
    <n v="3"/>
  </r>
  <r>
    <s v="SW-103565"/>
    <d v="2025-06-09T00:00:00"/>
    <x v="1"/>
    <s v="Q2"/>
    <x v="5"/>
    <x v="1"/>
    <x v="4"/>
    <x v="1"/>
    <x v="2"/>
    <s v="Desk Lamp"/>
    <n v="3"/>
    <n v="117.63"/>
    <n v="0"/>
    <x v="2"/>
    <n v="352.89"/>
    <n v="240.01"/>
    <n v="112.88"/>
    <n v="1"/>
    <n v="0"/>
    <n v="5"/>
    <n v="4"/>
  </r>
  <r>
    <s v="SW-103566"/>
    <d v="2025-06-10T00:00:00"/>
    <x v="1"/>
    <s v="Q2"/>
    <x v="5"/>
    <x v="0"/>
    <x v="3"/>
    <x v="0"/>
    <x v="1"/>
    <s v="Face Serum"/>
    <n v="1"/>
    <n v="33.479999999999997"/>
    <n v="0.25"/>
    <x v="3"/>
    <n v="25.11"/>
    <n v="16.37"/>
    <n v="8.74"/>
    <n v="1"/>
    <n v="0"/>
    <n v="2"/>
    <n v="5"/>
  </r>
  <r>
    <s v="SW-103567"/>
    <d v="2025-06-10T00:00:00"/>
    <x v="1"/>
    <s v="Q2"/>
    <x v="5"/>
    <x v="0"/>
    <x v="3"/>
    <x v="1"/>
    <x v="2"/>
    <s v="Cookware Set"/>
    <n v="3"/>
    <n v="233.81"/>
    <n v="0.2"/>
    <x v="1"/>
    <n v="561.14"/>
    <n v="459.99"/>
    <n v="101.15"/>
    <n v="1"/>
    <n v="1"/>
    <n v="4"/>
    <n v="4"/>
  </r>
  <r>
    <s v="SW-103568"/>
    <d v="2025-06-10T00:00:00"/>
    <x v="1"/>
    <s v="Q2"/>
    <x v="5"/>
    <x v="0"/>
    <x v="2"/>
    <x v="1"/>
    <x v="2"/>
    <s v="Desk Lamp"/>
    <n v="2"/>
    <n v="117.63"/>
    <n v="0"/>
    <x v="2"/>
    <n v="235.26"/>
    <n v="153.52000000000001"/>
    <n v="81.739999999999995"/>
    <n v="1"/>
    <n v="0"/>
    <n v="4"/>
    <n v="4"/>
  </r>
  <r>
    <s v="SW-103569"/>
    <d v="2025-06-10T00:00:00"/>
    <x v="1"/>
    <s v="Q2"/>
    <x v="5"/>
    <x v="1"/>
    <x v="2"/>
    <x v="0"/>
    <x v="0"/>
    <s v="Denim Jacket"/>
    <n v="2"/>
    <n v="78.510000000000005"/>
    <n v="0"/>
    <x v="2"/>
    <n v="157.02000000000001"/>
    <n v="83.68"/>
    <n v="73.34"/>
    <n v="1"/>
    <n v="0"/>
    <n v="3"/>
    <n v="4"/>
  </r>
  <r>
    <s v="SW-103570"/>
    <d v="2025-06-10T00:00:00"/>
    <x v="1"/>
    <s v="Q2"/>
    <x v="5"/>
    <x v="0"/>
    <x v="0"/>
    <x v="0"/>
    <x v="4"/>
    <s v="Tablet 10in"/>
    <n v="1"/>
    <n v="490.3"/>
    <n v="0.25"/>
    <x v="3"/>
    <n v="367.72"/>
    <n v="387.25"/>
    <n v="-19.53"/>
    <n v="1"/>
    <n v="0"/>
    <n v="3"/>
    <n v="4"/>
  </r>
  <r>
    <s v="SW-103571"/>
    <d v="2025-06-10T00:00:00"/>
    <x v="1"/>
    <s v="Q2"/>
    <x v="5"/>
    <x v="1"/>
    <x v="3"/>
    <x v="1"/>
    <x v="2"/>
    <s v="Storage Boxes"/>
    <n v="1"/>
    <n v="154.66"/>
    <n v="0.15"/>
    <x v="1"/>
    <n v="131.46"/>
    <n v="106.61"/>
    <n v="24.85"/>
    <n v="1"/>
    <n v="0"/>
    <n v="3"/>
    <n v="5"/>
  </r>
  <r>
    <s v="SW-103572"/>
    <d v="2025-06-10T00:00:00"/>
    <x v="1"/>
    <s v="Q2"/>
    <x v="5"/>
    <x v="0"/>
    <x v="2"/>
    <x v="1"/>
    <x v="0"/>
    <s v="Leather Handbag"/>
    <n v="3"/>
    <n v="138.5"/>
    <n v="0"/>
    <x v="2"/>
    <n v="415.5"/>
    <n v="217.33"/>
    <n v="198.17"/>
    <n v="1"/>
    <n v="0"/>
    <n v="3"/>
    <n v="5"/>
  </r>
  <r>
    <s v="SW-103573"/>
    <d v="2025-06-10T00:00:00"/>
    <x v="1"/>
    <s v="Q2"/>
    <x v="5"/>
    <x v="1"/>
    <x v="0"/>
    <x v="0"/>
    <x v="4"/>
    <s v="Tablet 10in"/>
    <n v="1"/>
    <n v="490.3"/>
    <n v="0.1"/>
    <x v="0"/>
    <n v="441.27"/>
    <n v="389.19"/>
    <n v="52.08"/>
    <n v="1"/>
    <n v="0"/>
    <n v="4"/>
    <n v="4"/>
  </r>
  <r>
    <s v="SW-103574"/>
    <d v="2025-06-11T00:00:00"/>
    <x v="1"/>
    <s v="Q2"/>
    <x v="5"/>
    <x v="1"/>
    <x v="0"/>
    <x v="1"/>
    <x v="1"/>
    <s v="Perfume 100ml"/>
    <n v="3"/>
    <n v="54.56"/>
    <n v="0"/>
    <x v="2"/>
    <n v="163.68"/>
    <n v="79.62"/>
    <n v="84.06"/>
    <n v="1"/>
    <n v="0"/>
    <n v="4"/>
    <n v="4"/>
  </r>
  <r>
    <s v="SW-103575"/>
    <d v="2025-06-11T00:00:00"/>
    <x v="1"/>
    <s v="Q2"/>
    <x v="5"/>
    <x v="1"/>
    <x v="0"/>
    <x v="0"/>
    <x v="0"/>
    <s v="Denim Jacket"/>
    <n v="4"/>
    <n v="78.510000000000005"/>
    <n v="0.1"/>
    <x v="0"/>
    <n v="282.64"/>
    <n v="177.28"/>
    <n v="105.36"/>
    <n v="1"/>
    <n v="1"/>
    <n v="5"/>
    <n v="4"/>
  </r>
  <r>
    <s v="SW-103576"/>
    <d v="2025-06-11T00:00:00"/>
    <x v="1"/>
    <s v="Q2"/>
    <x v="5"/>
    <x v="1"/>
    <x v="2"/>
    <x v="0"/>
    <x v="3"/>
    <s v="Fitness Tracker"/>
    <n v="2"/>
    <n v="74.459999999999994"/>
    <n v="0.1"/>
    <x v="0"/>
    <n v="134.03"/>
    <n v="99.81"/>
    <n v="34.22"/>
    <n v="1"/>
    <n v="0"/>
    <n v="5"/>
    <n v="3"/>
  </r>
  <r>
    <s v="SW-103577"/>
    <d v="2025-06-11T00:00:00"/>
    <x v="1"/>
    <s v="Q2"/>
    <x v="5"/>
    <x v="1"/>
    <x v="0"/>
    <x v="0"/>
    <x v="4"/>
    <s v="Tablet 10in"/>
    <n v="1"/>
    <n v="490.3"/>
    <n v="0"/>
    <x v="2"/>
    <n v="490.3"/>
    <n v="401.36"/>
    <n v="88.94"/>
    <n v="1"/>
    <n v="1"/>
    <n v="3"/>
    <n v="2"/>
  </r>
  <r>
    <s v="SW-103578"/>
    <d v="2025-06-11T00:00:00"/>
    <x v="1"/>
    <s v="Q2"/>
    <x v="5"/>
    <x v="0"/>
    <x v="0"/>
    <x v="0"/>
    <x v="3"/>
    <s v="Yoga Mat"/>
    <n v="3"/>
    <n v="137.05000000000001"/>
    <n v="0.05"/>
    <x v="0"/>
    <n v="390.59"/>
    <n v="274.7"/>
    <n v="115.89"/>
    <n v="1"/>
    <n v="0"/>
    <n v="4"/>
    <n v="4"/>
  </r>
  <r>
    <s v="SW-103579"/>
    <d v="2025-06-11T00:00:00"/>
    <x v="1"/>
    <s v="Q2"/>
    <x v="5"/>
    <x v="0"/>
    <x v="3"/>
    <x v="1"/>
    <x v="1"/>
    <s v="Hair Dryer"/>
    <n v="3"/>
    <n v="33.18"/>
    <n v="0.15"/>
    <x v="1"/>
    <n v="84.61"/>
    <n v="49.18"/>
    <n v="35.43"/>
    <n v="1"/>
    <n v="0"/>
    <n v="2"/>
    <n v="4"/>
  </r>
  <r>
    <s v="SW-103580"/>
    <d v="2025-06-11T00:00:00"/>
    <x v="1"/>
    <s v="Q2"/>
    <x v="5"/>
    <x v="1"/>
    <x v="0"/>
    <x v="1"/>
    <x v="5"/>
    <s v="Kids Puzzle"/>
    <n v="1"/>
    <n v="16.97"/>
    <n v="0"/>
    <x v="2"/>
    <n v="16.97"/>
    <n v="12.1"/>
    <n v="4.87"/>
    <n v="1"/>
    <n v="0"/>
    <n v="5"/>
    <n v="4"/>
  </r>
  <r>
    <s v="SW-103581"/>
    <d v="2025-06-11T00:00:00"/>
    <x v="1"/>
    <s v="Q2"/>
    <x v="5"/>
    <x v="0"/>
    <x v="3"/>
    <x v="1"/>
    <x v="2"/>
    <s v="Cookware Set"/>
    <n v="2"/>
    <n v="233.81"/>
    <n v="0.15"/>
    <x v="1"/>
    <n v="397.48"/>
    <n v="303.77999999999997"/>
    <n v="93.7"/>
    <n v="1"/>
    <n v="0"/>
    <n v="3"/>
    <n v="4"/>
  </r>
  <r>
    <s v="SW-103582"/>
    <d v="2025-06-11T00:00:00"/>
    <x v="1"/>
    <s v="Q2"/>
    <x v="5"/>
    <x v="1"/>
    <x v="1"/>
    <x v="0"/>
    <x v="5"/>
    <s v="Board Game"/>
    <n v="1"/>
    <n v="57.92"/>
    <n v="0"/>
    <x v="2"/>
    <n v="57.92"/>
    <n v="43.93"/>
    <n v="13.99"/>
    <n v="1"/>
    <n v="0"/>
    <n v="5"/>
    <n v="4"/>
  </r>
  <r>
    <s v="SW-103583"/>
    <d v="2025-06-12T00:00:00"/>
    <x v="1"/>
    <s v="Q2"/>
    <x v="5"/>
    <x v="0"/>
    <x v="3"/>
    <x v="1"/>
    <x v="4"/>
    <s v="Power Bank"/>
    <n v="2"/>
    <n v="508.8"/>
    <n v="0"/>
    <x v="2"/>
    <n v="1017.6"/>
    <n v="830.61"/>
    <n v="186.99"/>
    <n v="1"/>
    <n v="0"/>
    <n v="3"/>
    <n v="5"/>
  </r>
  <r>
    <s v="SW-103584"/>
    <d v="2025-06-12T00:00:00"/>
    <x v="1"/>
    <s v="Q2"/>
    <x v="5"/>
    <x v="1"/>
    <x v="2"/>
    <x v="0"/>
    <x v="3"/>
    <s v="Dumbbell Set"/>
    <n v="3"/>
    <n v="198.42"/>
    <n v="0"/>
    <x v="2"/>
    <n v="595.26"/>
    <n v="393.04"/>
    <n v="202.22"/>
    <n v="1"/>
    <n v="0"/>
    <n v="4"/>
    <n v="5"/>
  </r>
  <r>
    <s v="SW-103585"/>
    <d v="2025-06-12T00:00:00"/>
    <x v="1"/>
    <s v="Q2"/>
    <x v="5"/>
    <x v="0"/>
    <x v="2"/>
    <x v="1"/>
    <x v="1"/>
    <s v="Hair Dryer"/>
    <n v="2"/>
    <n v="33.18"/>
    <n v="0.3"/>
    <x v="3"/>
    <n v="46.45"/>
    <n v="31.26"/>
    <n v="15.19"/>
    <n v="1"/>
    <n v="0"/>
    <n v="4"/>
    <n v="5"/>
  </r>
  <r>
    <s v="SW-103586"/>
    <d v="2025-06-12T00:00:00"/>
    <x v="1"/>
    <s v="Q2"/>
    <x v="5"/>
    <x v="1"/>
    <x v="2"/>
    <x v="1"/>
    <x v="0"/>
    <s v="Summer Dress"/>
    <n v="1"/>
    <n v="33.99"/>
    <n v="0"/>
    <x v="2"/>
    <n v="33.99"/>
    <n v="17.579999999999998"/>
    <n v="16.41"/>
    <n v="1"/>
    <n v="0"/>
    <n v="5"/>
    <n v="4"/>
  </r>
  <r>
    <s v="SW-103587"/>
    <d v="2025-06-12T00:00:00"/>
    <x v="1"/>
    <s v="Q2"/>
    <x v="5"/>
    <x v="0"/>
    <x v="0"/>
    <x v="0"/>
    <x v="2"/>
    <s v="Bed Sheet Set"/>
    <n v="1"/>
    <n v="90.75"/>
    <n v="0"/>
    <x v="2"/>
    <n v="90.75"/>
    <n v="60.68"/>
    <n v="30.07"/>
    <n v="1"/>
    <n v="0"/>
    <n v="3"/>
    <n v="5"/>
  </r>
  <r>
    <s v="SW-103588"/>
    <d v="2025-06-12T00:00:00"/>
    <x v="1"/>
    <s v="Q2"/>
    <x v="5"/>
    <x v="2"/>
    <x v="0"/>
    <x v="0"/>
    <x v="2"/>
    <s v="Bed Sheet Set"/>
    <n v="1"/>
    <n v="90.75"/>
    <n v="0"/>
    <x v="2"/>
    <n v="90.75"/>
    <n v="58.94"/>
    <n v="31.81"/>
    <n v="1"/>
    <n v="0"/>
    <n v="4"/>
    <n v="5"/>
  </r>
  <r>
    <s v="SW-103589"/>
    <d v="2025-06-12T00:00:00"/>
    <x v="1"/>
    <s v="Q2"/>
    <x v="5"/>
    <x v="0"/>
    <x v="3"/>
    <x v="1"/>
    <x v="0"/>
    <s v="Summer Dress"/>
    <n v="3"/>
    <n v="33.99"/>
    <n v="0"/>
    <x v="2"/>
    <n v="101.97"/>
    <n v="53.62"/>
    <n v="48.35"/>
    <n v="1"/>
    <n v="0"/>
    <n v="3"/>
    <n v="4"/>
  </r>
  <r>
    <s v="SW-103590"/>
    <d v="2025-06-12T00:00:00"/>
    <x v="1"/>
    <s v="Q2"/>
    <x v="5"/>
    <x v="0"/>
    <x v="2"/>
    <x v="1"/>
    <x v="3"/>
    <s v="Cycling Helmet"/>
    <n v="2"/>
    <n v="85.42"/>
    <n v="0"/>
    <x v="2"/>
    <n v="170.84"/>
    <n v="110.49"/>
    <n v="60.35"/>
    <n v="1"/>
    <n v="0"/>
    <n v="4"/>
    <n v="5"/>
  </r>
  <r>
    <s v="SW-103591"/>
    <d v="2025-06-13T00:00:00"/>
    <x v="1"/>
    <s v="Q2"/>
    <x v="5"/>
    <x v="1"/>
    <x v="4"/>
    <x v="0"/>
    <x v="0"/>
    <s v="Denim Jacket"/>
    <n v="1"/>
    <n v="78.510000000000005"/>
    <n v="0.05"/>
    <x v="0"/>
    <n v="74.58"/>
    <n v="40.770000000000003"/>
    <n v="33.81"/>
    <n v="1"/>
    <n v="0"/>
    <n v="6"/>
    <n v="5"/>
  </r>
  <r>
    <s v="SW-103592"/>
    <d v="2025-06-13T00:00:00"/>
    <x v="1"/>
    <s v="Q2"/>
    <x v="5"/>
    <x v="1"/>
    <x v="2"/>
    <x v="1"/>
    <x v="1"/>
    <s v="Hair Dryer"/>
    <n v="3"/>
    <n v="33.18"/>
    <n v="0.1"/>
    <x v="0"/>
    <n v="89.59"/>
    <n v="48.85"/>
    <n v="40.74"/>
    <n v="1"/>
    <n v="0"/>
    <n v="3"/>
    <n v="4"/>
  </r>
  <r>
    <s v="SW-103593"/>
    <d v="2025-06-13T00:00:00"/>
    <x v="1"/>
    <s v="Q2"/>
    <x v="5"/>
    <x v="0"/>
    <x v="1"/>
    <x v="0"/>
    <x v="4"/>
    <s v="Tablet 10in"/>
    <n v="1"/>
    <n v="490.3"/>
    <n v="0.05"/>
    <x v="0"/>
    <n v="465.78"/>
    <n v="387.32"/>
    <n v="78.459999999999994"/>
    <n v="1"/>
    <n v="0"/>
    <n v="7"/>
    <n v="4"/>
  </r>
  <r>
    <s v="SW-103594"/>
    <d v="2025-06-13T00:00:00"/>
    <x v="1"/>
    <s v="Q2"/>
    <x v="5"/>
    <x v="0"/>
    <x v="0"/>
    <x v="0"/>
    <x v="2"/>
    <s v="Cookware Set"/>
    <n v="1"/>
    <n v="233.81"/>
    <n v="0"/>
    <x v="2"/>
    <n v="233.81"/>
    <n v="153.34"/>
    <n v="80.47"/>
    <n v="1"/>
    <n v="0"/>
    <n v="4"/>
    <n v="5"/>
  </r>
  <r>
    <s v="SW-103595"/>
    <d v="2025-06-13T00:00:00"/>
    <x v="1"/>
    <s v="Q2"/>
    <x v="5"/>
    <x v="0"/>
    <x v="1"/>
    <x v="1"/>
    <x v="4"/>
    <s v="Smart Watch"/>
    <n v="1"/>
    <n v="216.08"/>
    <n v="0.05"/>
    <x v="0"/>
    <n v="205.28"/>
    <n v="165.9"/>
    <n v="39.380000000000003"/>
    <n v="1"/>
    <n v="0"/>
    <n v="6"/>
    <n v="3"/>
  </r>
  <r>
    <s v="SW-103596"/>
    <d v="2025-06-13T00:00:00"/>
    <x v="1"/>
    <s v="Q2"/>
    <x v="5"/>
    <x v="1"/>
    <x v="4"/>
    <x v="1"/>
    <x v="2"/>
    <s v="Desk Lamp"/>
    <n v="1"/>
    <n v="117.63"/>
    <n v="0.1"/>
    <x v="0"/>
    <n v="105.87"/>
    <n v="77.36"/>
    <n v="28.51"/>
    <n v="1"/>
    <n v="0"/>
    <n v="7"/>
    <n v="3"/>
  </r>
  <r>
    <s v="SW-103597"/>
    <d v="2025-06-13T00:00:00"/>
    <x v="1"/>
    <s v="Q2"/>
    <x v="5"/>
    <x v="0"/>
    <x v="3"/>
    <x v="1"/>
    <x v="2"/>
    <s v="Coffee Maker"/>
    <n v="3"/>
    <n v="148.05000000000001"/>
    <n v="0.05"/>
    <x v="0"/>
    <n v="421.94"/>
    <n v="287.94"/>
    <n v="134"/>
    <n v="1"/>
    <n v="0"/>
    <n v="3"/>
    <n v="4"/>
  </r>
  <r>
    <s v="SW-103598"/>
    <d v="2025-06-13T00:00:00"/>
    <x v="1"/>
    <s v="Q2"/>
    <x v="5"/>
    <x v="1"/>
    <x v="3"/>
    <x v="0"/>
    <x v="4"/>
    <s v="Smart Watch"/>
    <n v="1"/>
    <n v="216.08"/>
    <n v="0.1"/>
    <x v="0"/>
    <n v="194.47"/>
    <n v="175.22"/>
    <n v="19.25"/>
    <n v="1"/>
    <n v="0"/>
    <n v="3"/>
    <n v="4"/>
  </r>
  <r>
    <s v="SW-103599"/>
    <d v="2025-06-13T00:00:00"/>
    <x v="1"/>
    <s v="Q2"/>
    <x v="5"/>
    <x v="0"/>
    <x v="0"/>
    <x v="1"/>
    <x v="0"/>
    <s v="Denim Jacket"/>
    <n v="3"/>
    <n v="78.510000000000005"/>
    <n v="0.25"/>
    <x v="3"/>
    <n v="176.65"/>
    <n v="127.57"/>
    <n v="49.08"/>
    <n v="1"/>
    <n v="0"/>
    <n v="4"/>
    <n v="4"/>
  </r>
  <r>
    <s v="SW-103600"/>
    <d v="2025-06-14T00:00:00"/>
    <x v="1"/>
    <s v="Q2"/>
    <x v="5"/>
    <x v="0"/>
    <x v="3"/>
    <x v="1"/>
    <x v="4"/>
    <s v="Power Bank"/>
    <n v="1"/>
    <n v="508.8"/>
    <n v="0.05"/>
    <x v="0"/>
    <n v="483.36"/>
    <n v="409.94"/>
    <n v="73.42"/>
    <n v="1"/>
    <n v="1"/>
    <n v="2"/>
    <n v="4"/>
  </r>
  <r>
    <s v="SW-103601"/>
    <d v="2025-06-14T00:00:00"/>
    <x v="1"/>
    <s v="Q2"/>
    <x v="5"/>
    <x v="1"/>
    <x v="2"/>
    <x v="1"/>
    <x v="4"/>
    <s v="Bluetooth Speaker"/>
    <n v="2"/>
    <n v="177.65"/>
    <n v="0.15"/>
    <x v="1"/>
    <n v="302"/>
    <n v="273.39999999999998"/>
    <n v="28.6"/>
    <n v="1"/>
    <n v="0"/>
    <n v="5"/>
    <n v="4"/>
  </r>
  <r>
    <s v="SW-103602"/>
    <d v="2025-06-14T00:00:00"/>
    <x v="1"/>
    <s v="Q2"/>
    <x v="5"/>
    <x v="1"/>
    <x v="0"/>
    <x v="0"/>
    <x v="2"/>
    <s v="Coffee Maker"/>
    <n v="1"/>
    <n v="148.05000000000001"/>
    <n v="0"/>
    <x v="2"/>
    <n v="148.05000000000001"/>
    <n v="99.73"/>
    <n v="48.32"/>
    <n v="1"/>
    <n v="0"/>
    <n v="4"/>
    <n v="4"/>
  </r>
  <r>
    <s v="SW-103603"/>
    <d v="2025-06-14T00:00:00"/>
    <x v="1"/>
    <s v="Q2"/>
    <x v="5"/>
    <x v="0"/>
    <x v="0"/>
    <x v="0"/>
    <x v="1"/>
    <s v="Makeup Kit"/>
    <n v="1"/>
    <n v="74.3"/>
    <n v="0.05"/>
    <x v="0"/>
    <n v="70.58"/>
    <n v="35.36"/>
    <n v="35.22"/>
    <n v="1"/>
    <n v="0"/>
    <n v="6"/>
    <n v="4"/>
  </r>
  <r>
    <s v="SW-103604"/>
    <d v="2025-06-14T00:00:00"/>
    <x v="1"/>
    <s v="Q2"/>
    <x v="5"/>
    <x v="1"/>
    <x v="2"/>
    <x v="1"/>
    <x v="2"/>
    <s v="Air Fryer"/>
    <n v="2"/>
    <n v="68.349999999999994"/>
    <n v="0.1"/>
    <x v="0"/>
    <n v="123.03"/>
    <n v="94.91"/>
    <n v="28.12"/>
    <n v="1"/>
    <n v="0"/>
    <n v="3"/>
    <n v="4"/>
  </r>
  <r>
    <s v="SW-103605"/>
    <d v="2025-06-15T00:00:00"/>
    <x v="1"/>
    <s v="Q2"/>
    <x v="5"/>
    <x v="2"/>
    <x v="1"/>
    <x v="0"/>
    <x v="0"/>
    <s v="Cotton T-Shirt"/>
    <n v="2"/>
    <n v="19.41"/>
    <n v="0.2"/>
    <x v="1"/>
    <n v="31.06"/>
    <n v="21.69"/>
    <n v="9.3699999999999992"/>
    <n v="1"/>
    <n v="1"/>
    <n v="6"/>
    <n v="3"/>
  </r>
  <r>
    <s v="SW-103606"/>
    <d v="2025-06-15T00:00:00"/>
    <x v="1"/>
    <s v="Q2"/>
    <x v="5"/>
    <x v="0"/>
    <x v="0"/>
    <x v="1"/>
    <x v="3"/>
    <s v="Camping Tent"/>
    <n v="2"/>
    <n v="83.06"/>
    <n v="0.25"/>
    <x v="3"/>
    <n v="124.59"/>
    <n v="114.24"/>
    <n v="10.35"/>
    <n v="1"/>
    <n v="0"/>
    <n v="5"/>
    <n v="5"/>
  </r>
  <r>
    <s v="SW-103607"/>
    <d v="2025-06-15T00:00:00"/>
    <x v="1"/>
    <s v="Q2"/>
    <x v="5"/>
    <x v="0"/>
    <x v="4"/>
    <x v="1"/>
    <x v="4"/>
    <s v="4K Action Camera"/>
    <n v="1"/>
    <n v="636.09"/>
    <n v="0.1"/>
    <x v="0"/>
    <n v="572.48"/>
    <n v="494.61"/>
    <n v="77.87"/>
    <n v="1"/>
    <n v="0"/>
    <n v="6"/>
    <n v="4"/>
  </r>
  <r>
    <s v="SW-103608"/>
    <d v="2025-06-15T00:00:00"/>
    <x v="1"/>
    <s v="Q2"/>
    <x v="5"/>
    <x v="0"/>
    <x v="3"/>
    <x v="1"/>
    <x v="0"/>
    <s v="Cotton T-Shirt"/>
    <n v="1"/>
    <n v="19.41"/>
    <n v="0"/>
    <x v="2"/>
    <n v="19.41"/>
    <n v="10.28"/>
    <n v="9.1300000000000008"/>
    <n v="1"/>
    <n v="0"/>
    <n v="2"/>
    <n v="4"/>
  </r>
  <r>
    <s v="SW-103609"/>
    <d v="2025-06-15T00:00:00"/>
    <x v="1"/>
    <s v="Q2"/>
    <x v="5"/>
    <x v="1"/>
    <x v="4"/>
    <x v="0"/>
    <x v="5"/>
    <s v="Building Blocks"/>
    <n v="1"/>
    <n v="48.86"/>
    <n v="0"/>
    <x v="2"/>
    <n v="48.86"/>
    <n v="35.03"/>
    <n v="13.83"/>
    <n v="1"/>
    <n v="0"/>
    <n v="7"/>
    <n v="4"/>
  </r>
  <r>
    <s v="SW-103610"/>
    <d v="2025-06-15T00:00:00"/>
    <x v="1"/>
    <s v="Q2"/>
    <x v="5"/>
    <x v="1"/>
    <x v="3"/>
    <x v="1"/>
    <x v="4"/>
    <s v="Wireless Earbuds"/>
    <n v="1"/>
    <n v="588.41"/>
    <n v="0"/>
    <x v="2"/>
    <n v="588.41"/>
    <n v="454.61"/>
    <n v="133.80000000000001"/>
    <n v="1"/>
    <n v="0"/>
    <n v="3"/>
    <n v="5"/>
  </r>
  <r>
    <s v="SW-103611"/>
    <d v="2025-06-15T00:00:00"/>
    <x v="1"/>
    <s v="Q2"/>
    <x v="5"/>
    <x v="1"/>
    <x v="3"/>
    <x v="0"/>
    <x v="5"/>
    <s v="Story Book Set"/>
    <n v="1"/>
    <n v="10.76"/>
    <n v="0.3"/>
    <x v="3"/>
    <n v="7.53"/>
    <n v="7.78"/>
    <n v="-0.25"/>
    <n v="1"/>
    <n v="0"/>
    <n v="3"/>
    <n v="5"/>
  </r>
  <r>
    <s v="SW-103612"/>
    <d v="2025-06-15T00:00:00"/>
    <x v="1"/>
    <s v="Q2"/>
    <x v="5"/>
    <x v="0"/>
    <x v="2"/>
    <x v="1"/>
    <x v="3"/>
    <s v="Yoga Mat"/>
    <n v="1"/>
    <n v="137.05000000000001"/>
    <n v="0.15"/>
    <x v="1"/>
    <n v="116.49"/>
    <n v="88.5"/>
    <n v="27.99"/>
    <n v="1"/>
    <n v="0"/>
    <n v="4"/>
    <n v="4"/>
  </r>
  <r>
    <s v="SW-103613"/>
    <d v="2025-06-15T00:00:00"/>
    <x v="1"/>
    <s v="Q2"/>
    <x v="5"/>
    <x v="1"/>
    <x v="3"/>
    <x v="1"/>
    <x v="4"/>
    <s v="Wireless Earbuds"/>
    <n v="4"/>
    <n v="588.41"/>
    <n v="0.05"/>
    <x v="0"/>
    <n v="2235.96"/>
    <n v="1843"/>
    <n v="392.96"/>
    <n v="1"/>
    <n v="0"/>
    <n v="5"/>
    <n v="4"/>
  </r>
  <r>
    <s v="SW-103614"/>
    <d v="2025-06-15T00:00:00"/>
    <x v="1"/>
    <s v="Q2"/>
    <x v="5"/>
    <x v="0"/>
    <x v="2"/>
    <x v="0"/>
    <x v="1"/>
    <s v="Makeup Kit"/>
    <n v="1"/>
    <n v="74.3"/>
    <n v="0"/>
    <x v="2"/>
    <n v="74.3"/>
    <n v="35.35"/>
    <n v="38.950000000000003"/>
    <n v="1"/>
    <n v="0"/>
    <n v="3"/>
    <n v="4"/>
  </r>
  <r>
    <s v="SW-103615"/>
    <d v="2025-06-15T00:00:00"/>
    <x v="1"/>
    <s v="Q2"/>
    <x v="5"/>
    <x v="1"/>
    <x v="0"/>
    <x v="1"/>
    <x v="1"/>
    <s v="Face Serum"/>
    <n v="1"/>
    <n v="33.479999999999997"/>
    <n v="0.25"/>
    <x v="3"/>
    <n v="25.11"/>
    <n v="15.45"/>
    <n v="9.66"/>
    <n v="1"/>
    <n v="0"/>
    <n v="3"/>
    <n v="4"/>
  </r>
  <r>
    <s v="SW-103616"/>
    <d v="2025-06-15T00:00:00"/>
    <x v="1"/>
    <s v="Q2"/>
    <x v="5"/>
    <x v="0"/>
    <x v="3"/>
    <x v="0"/>
    <x v="3"/>
    <s v="Fitness Tracker"/>
    <n v="1"/>
    <n v="74.459999999999994"/>
    <n v="0.05"/>
    <x v="0"/>
    <n v="70.739999999999995"/>
    <n v="50.84"/>
    <n v="19.899999999999999"/>
    <n v="1"/>
    <n v="0"/>
    <n v="2"/>
    <n v="4"/>
  </r>
  <r>
    <s v="SW-103617"/>
    <d v="2025-06-15T00:00:00"/>
    <x v="1"/>
    <s v="Q2"/>
    <x v="5"/>
    <x v="0"/>
    <x v="3"/>
    <x v="1"/>
    <x v="4"/>
    <s v="Wireless Earbuds"/>
    <n v="1"/>
    <n v="588.41"/>
    <n v="0"/>
    <x v="2"/>
    <n v="588.41"/>
    <n v="455.27"/>
    <n v="133.13999999999999"/>
    <n v="1"/>
    <n v="0"/>
    <n v="2"/>
    <n v="5"/>
  </r>
  <r>
    <s v="SW-103618"/>
    <d v="2025-06-16T00:00:00"/>
    <x v="1"/>
    <s v="Q2"/>
    <x v="5"/>
    <x v="2"/>
    <x v="4"/>
    <x v="0"/>
    <x v="4"/>
    <s v="Power Bank"/>
    <n v="1"/>
    <n v="508.8"/>
    <n v="0.15"/>
    <x v="1"/>
    <n v="432.48"/>
    <n v="393.52"/>
    <n v="38.96"/>
    <n v="1"/>
    <n v="0"/>
    <n v="5"/>
    <n v="5"/>
  </r>
  <r>
    <s v="SW-103619"/>
    <d v="2025-06-16T00:00:00"/>
    <x v="1"/>
    <s v="Q2"/>
    <x v="5"/>
    <x v="1"/>
    <x v="0"/>
    <x v="1"/>
    <x v="0"/>
    <s v="Denim Jacket"/>
    <n v="2"/>
    <n v="78.510000000000005"/>
    <n v="0.05"/>
    <x v="0"/>
    <n v="149.16999999999999"/>
    <n v="85.46"/>
    <n v="63.71"/>
    <n v="1"/>
    <n v="0"/>
    <n v="4"/>
    <n v="5"/>
  </r>
  <r>
    <s v="SW-103620"/>
    <d v="2025-06-16T00:00:00"/>
    <x v="1"/>
    <s v="Q2"/>
    <x v="5"/>
    <x v="0"/>
    <x v="2"/>
    <x v="0"/>
    <x v="2"/>
    <s v="Coffee Maker"/>
    <n v="1"/>
    <n v="148.05000000000001"/>
    <n v="0"/>
    <x v="2"/>
    <n v="148.05000000000001"/>
    <n v="96.98"/>
    <n v="51.07"/>
    <n v="1"/>
    <n v="0"/>
    <n v="5"/>
    <n v="5"/>
  </r>
  <r>
    <s v="SW-103621"/>
    <d v="2025-06-16T00:00:00"/>
    <x v="1"/>
    <s v="Q2"/>
    <x v="5"/>
    <x v="0"/>
    <x v="3"/>
    <x v="1"/>
    <x v="3"/>
    <s v="Cycling Helmet"/>
    <n v="3"/>
    <n v="85.42"/>
    <n v="0.05"/>
    <x v="0"/>
    <n v="243.45"/>
    <n v="175.46"/>
    <n v="67.989999999999995"/>
    <n v="1"/>
    <n v="0"/>
    <n v="3"/>
    <n v="4"/>
  </r>
  <r>
    <s v="SW-103622"/>
    <d v="2025-06-16T00:00:00"/>
    <x v="1"/>
    <s v="Q2"/>
    <x v="5"/>
    <x v="1"/>
    <x v="3"/>
    <x v="0"/>
    <x v="2"/>
    <s v="Desk Lamp"/>
    <n v="2"/>
    <n v="117.63"/>
    <n v="0.1"/>
    <x v="0"/>
    <n v="211.73"/>
    <n v="149.41999999999999"/>
    <n v="62.31"/>
    <n v="1"/>
    <n v="0"/>
    <n v="3"/>
    <n v="5"/>
  </r>
  <r>
    <s v="SW-103623"/>
    <d v="2025-06-17T00:00:00"/>
    <x v="1"/>
    <s v="Q2"/>
    <x v="5"/>
    <x v="0"/>
    <x v="0"/>
    <x v="0"/>
    <x v="0"/>
    <s v="Leather Handbag"/>
    <n v="1"/>
    <n v="138.5"/>
    <n v="0.1"/>
    <x v="0"/>
    <n v="124.65"/>
    <n v="72.180000000000007"/>
    <n v="52.47"/>
    <n v="1"/>
    <n v="1"/>
    <n v="4"/>
    <n v="4"/>
  </r>
  <r>
    <s v="SW-103624"/>
    <d v="2025-06-17T00:00:00"/>
    <x v="1"/>
    <s v="Q2"/>
    <x v="5"/>
    <x v="1"/>
    <x v="3"/>
    <x v="1"/>
    <x v="0"/>
    <s v="Sunglasses"/>
    <n v="1"/>
    <n v="104.94"/>
    <n v="0"/>
    <x v="2"/>
    <n v="104.94"/>
    <n v="56.21"/>
    <n v="48.73"/>
    <n v="1"/>
    <n v="0"/>
    <n v="2"/>
    <n v="5"/>
  </r>
  <r>
    <s v="SW-103625"/>
    <d v="2025-06-17T00:00:00"/>
    <x v="1"/>
    <s v="Q2"/>
    <x v="5"/>
    <x v="0"/>
    <x v="0"/>
    <x v="1"/>
    <x v="3"/>
    <s v="Camping Tent"/>
    <n v="1"/>
    <n v="83.06"/>
    <n v="0.3"/>
    <x v="3"/>
    <n v="58.14"/>
    <n v="51.97"/>
    <n v="6.17"/>
    <n v="1"/>
    <n v="1"/>
    <n v="4"/>
    <n v="4"/>
  </r>
  <r>
    <s v="SW-103626"/>
    <d v="2025-06-17T00:00:00"/>
    <x v="1"/>
    <s v="Q2"/>
    <x v="5"/>
    <x v="0"/>
    <x v="2"/>
    <x v="0"/>
    <x v="0"/>
    <s v="Sunglasses"/>
    <n v="1"/>
    <n v="104.94"/>
    <n v="0.1"/>
    <x v="0"/>
    <n v="94.45"/>
    <n v="57.92"/>
    <n v="36.53"/>
    <n v="1"/>
    <n v="0"/>
    <n v="6"/>
    <n v="3"/>
  </r>
  <r>
    <s v="SW-103627"/>
    <d v="2025-06-17T00:00:00"/>
    <x v="1"/>
    <s v="Q2"/>
    <x v="5"/>
    <x v="2"/>
    <x v="2"/>
    <x v="1"/>
    <x v="2"/>
    <s v="Coffee Maker"/>
    <n v="1"/>
    <n v="148.05000000000001"/>
    <n v="0.25"/>
    <x v="3"/>
    <n v="111.04"/>
    <n v="96.7"/>
    <n v="14.34"/>
    <n v="1"/>
    <n v="1"/>
    <n v="4"/>
    <n v="3"/>
  </r>
  <r>
    <s v="SW-103628"/>
    <d v="2025-06-18T00:00:00"/>
    <x v="1"/>
    <s v="Q2"/>
    <x v="5"/>
    <x v="1"/>
    <x v="0"/>
    <x v="1"/>
    <x v="0"/>
    <s v="Cotton T-Shirt"/>
    <n v="1"/>
    <n v="19.41"/>
    <n v="0"/>
    <x v="2"/>
    <n v="19.41"/>
    <n v="10.99"/>
    <n v="8.42"/>
    <n v="1"/>
    <n v="0"/>
    <n v="3"/>
    <n v="4"/>
  </r>
  <r>
    <s v="SW-103629"/>
    <d v="2025-06-18T00:00:00"/>
    <x v="1"/>
    <s v="Q2"/>
    <x v="5"/>
    <x v="0"/>
    <x v="3"/>
    <x v="1"/>
    <x v="4"/>
    <s v="Power Bank"/>
    <n v="1"/>
    <n v="508.8"/>
    <n v="0.1"/>
    <x v="0"/>
    <n v="457.92"/>
    <n v="423.29"/>
    <n v="34.630000000000003"/>
    <n v="1"/>
    <n v="0"/>
    <n v="4"/>
    <n v="4"/>
  </r>
  <r>
    <s v="SW-103630"/>
    <d v="2025-06-18T00:00:00"/>
    <x v="1"/>
    <s v="Q2"/>
    <x v="5"/>
    <x v="1"/>
    <x v="3"/>
    <x v="0"/>
    <x v="0"/>
    <s v="Summer Dress"/>
    <n v="2"/>
    <n v="33.99"/>
    <n v="0"/>
    <x v="2"/>
    <n v="67.98"/>
    <n v="35.24"/>
    <n v="32.74"/>
    <n v="1"/>
    <n v="0"/>
    <n v="3"/>
    <n v="5"/>
  </r>
  <r>
    <s v="SW-103631"/>
    <d v="2025-06-18T00:00:00"/>
    <x v="1"/>
    <s v="Q2"/>
    <x v="5"/>
    <x v="0"/>
    <x v="2"/>
    <x v="1"/>
    <x v="2"/>
    <s v="Desk Lamp"/>
    <n v="1"/>
    <n v="117.63"/>
    <n v="0.05"/>
    <x v="0"/>
    <n v="111.75"/>
    <n v="76.69"/>
    <n v="35.06"/>
    <n v="1"/>
    <n v="0"/>
    <n v="4"/>
    <n v="4"/>
  </r>
  <r>
    <s v="SW-103632"/>
    <d v="2025-06-18T00:00:00"/>
    <x v="1"/>
    <s v="Q2"/>
    <x v="5"/>
    <x v="0"/>
    <x v="3"/>
    <x v="1"/>
    <x v="3"/>
    <s v="Yoga Mat"/>
    <n v="1"/>
    <n v="137.05000000000001"/>
    <n v="0.15"/>
    <x v="1"/>
    <n v="116.49"/>
    <n v="88.25"/>
    <n v="28.24"/>
    <n v="1"/>
    <n v="1"/>
    <n v="5"/>
    <n v="3"/>
  </r>
  <r>
    <s v="SW-103633"/>
    <d v="2025-06-18T00:00:00"/>
    <x v="1"/>
    <s v="Q2"/>
    <x v="5"/>
    <x v="0"/>
    <x v="0"/>
    <x v="0"/>
    <x v="1"/>
    <s v="Skin Care Bundle"/>
    <n v="1"/>
    <n v="92.54"/>
    <n v="0"/>
    <x v="2"/>
    <n v="92.54"/>
    <n v="45.07"/>
    <n v="47.47"/>
    <n v="1"/>
    <n v="0"/>
    <n v="4"/>
    <n v="3"/>
  </r>
  <r>
    <s v="SW-103634"/>
    <d v="2025-06-18T00:00:00"/>
    <x v="1"/>
    <s v="Q2"/>
    <x v="5"/>
    <x v="0"/>
    <x v="1"/>
    <x v="0"/>
    <x v="4"/>
    <s v="Smart Watch"/>
    <n v="3"/>
    <n v="216.08"/>
    <n v="0.05"/>
    <x v="0"/>
    <n v="615.83000000000004"/>
    <n v="511.45"/>
    <n v="104.38"/>
    <n v="1"/>
    <n v="0"/>
    <n v="6"/>
    <n v="4"/>
  </r>
  <r>
    <s v="SW-103635"/>
    <d v="2025-06-18T00:00:00"/>
    <x v="1"/>
    <s v="Q2"/>
    <x v="5"/>
    <x v="1"/>
    <x v="3"/>
    <x v="1"/>
    <x v="5"/>
    <s v="Bestseller Novel"/>
    <n v="4"/>
    <n v="45.28"/>
    <n v="0.15"/>
    <x v="1"/>
    <n v="153.94999999999999"/>
    <n v="133.69999999999999"/>
    <n v="20.25"/>
    <n v="1"/>
    <n v="0"/>
    <n v="3"/>
    <n v="4"/>
  </r>
  <r>
    <s v="SW-103636"/>
    <d v="2025-06-19T00:00:00"/>
    <x v="1"/>
    <s v="Q2"/>
    <x v="5"/>
    <x v="0"/>
    <x v="2"/>
    <x v="0"/>
    <x v="0"/>
    <s v="Summer Dress"/>
    <n v="1"/>
    <n v="33.99"/>
    <n v="0"/>
    <x v="2"/>
    <n v="33.99"/>
    <n v="18.13"/>
    <n v="15.86"/>
    <n v="1"/>
    <n v="0"/>
    <n v="4"/>
    <n v="3"/>
  </r>
  <r>
    <s v="SW-103637"/>
    <d v="2025-06-19T00:00:00"/>
    <x v="1"/>
    <s v="Q2"/>
    <x v="5"/>
    <x v="1"/>
    <x v="2"/>
    <x v="1"/>
    <x v="2"/>
    <s v="Air Fryer"/>
    <n v="2"/>
    <n v="68.349999999999994"/>
    <n v="0.25"/>
    <x v="3"/>
    <n v="102.52"/>
    <n v="85.78"/>
    <n v="16.739999999999998"/>
    <n v="1"/>
    <n v="0"/>
    <n v="4"/>
    <n v="5"/>
  </r>
  <r>
    <s v="SW-103638"/>
    <d v="2025-06-19T00:00:00"/>
    <x v="1"/>
    <s v="Q2"/>
    <x v="5"/>
    <x v="1"/>
    <x v="2"/>
    <x v="0"/>
    <x v="0"/>
    <s v="Summer Dress"/>
    <n v="2"/>
    <n v="33.99"/>
    <n v="0.3"/>
    <x v="3"/>
    <n v="47.59"/>
    <n v="37.229999999999997"/>
    <n v="10.36"/>
    <n v="1"/>
    <n v="0"/>
    <n v="3"/>
    <n v="4"/>
  </r>
  <r>
    <s v="SW-103639"/>
    <d v="2025-06-19T00:00:00"/>
    <x v="1"/>
    <s v="Q2"/>
    <x v="5"/>
    <x v="2"/>
    <x v="3"/>
    <x v="0"/>
    <x v="4"/>
    <s v="Power Bank"/>
    <n v="1"/>
    <n v="508.8"/>
    <n v="0"/>
    <x v="2"/>
    <n v="508.8"/>
    <n v="401.45"/>
    <n v="107.35"/>
    <n v="1"/>
    <n v="0"/>
    <n v="3"/>
    <n v="5"/>
  </r>
  <r>
    <s v="SW-103640"/>
    <d v="2025-06-19T00:00:00"/>
    <x v="1"/>
    <s v="Q2"/>
    <x v="5"/>
    <x v="0"/>
    <x v="0"/>
    <x v="1"/>
    <x v="2"/>
    <s v="Coffee Maker"/>
    <n v="3"/>
    <n v="148.05000000000001"/>
    <n v="0.15"/>
    <x v="1"/>
    <n v="377.53"/>
    <n v="299.23"/>
    <n v="78.3"/>
    <n v="1"/>
    <n v="0"/>
    <n v="4"/>
    <n v="5"/>
  </r>
  <r>
    <s v="SW-103641"/>
    <d v="2025-06-20T00:00:00"/>
    <x v="1"/>
    <s v="Q2"/>
    <x v="5"/>
    <x v="0"/>
    <x v="0"/>
    <x v="1"/>
    <x v="5"/>
    <s v="Story Book Set"/>
    <n v="1"/>
    <n v="10.76"/>
    <n v="0.2"/>
    <x v="1"/>
    <n v="8.61"/>
    <n v="7.66"/>
    <n v="0.95"/>
    <n v="1"/>
    <n v="0"/>
    <n v="5"/>
    <n v="4"/>
  </r>
  <r>
    <s v="SW-103642"/>
    <d v="2025-06-20T00:00:00"/>
    <x v="1"/>
    <s v="Q2"/>
    <x v="5"/>
    <x v="1"/>
    <x v="3"/>
    <x v="1"/>
    <x v="1"/>
    <s v="Skin Care Bundle"/>
    <n v="1"/>
    <n v="92.54"/>
    <n v="0.15"/>
    <x v="1"/>
    <n v="78.66"/>
    <n v="43.58"/>
    <n v="35.08"/>
    <n v="1"/>
    <n v="0"/>
    <n v="2"/>
    <n v="4"/>
  </r>
  <r>
    <s v="SW-103643"/>
    <d v="2025-06-20T00:00:00"/>
    <x v="1"/>
    <s v="Q2"/>
    <x v="5"/>
    <x v="0"/>
    <x v="3"/>
    <x v="0"/>
    <x v="2"/>
    <s v="Bed Sheet Set"/>
    <n v="2"/>
    <n v="90.75"/>
    <n v="0"/>
    <x v="2"/>
    <n v="181.5"/>
    <n v="119.65"/>
    <n v="61.85"/>
    <n v="1"/>
    <n v="0"/>
    <n v="4"/>
    <n v="5"/>
  </r>
  <r>
    <s v="SW-103644"/>
    <d v="2025-06-20T00:00:00"/>
    <x v="1"/>
    <s v="Q2"/>
    <x v="5"/>
    <x v="2"/>
    <x v="3"/>
    <x v="0"/>
    <x v="4"/>
    <s v="Smart Watch"/>
    <n v="2"/>
    <n v="216.08"/>
    <n v="0"/>
    <x v="2"/>
    <n v="432.16"/>
    <n v="379.03"/>
    <n v="53.13"/>
    <n v="1"/>
    <n v="0"/>
    <n v="2"/>
    <n v="4"/>
  </r>
  <r>
    <s v="SW-103645"/>
    <d v="2025-06-20T00:00:00"/>
    <x v="1"/>
    <s v="Q2"/>
    <x v="5"/>
    <x v="2"/>
    <x v="3"/>
    <x v="0"/>
    <x v="2"/>
    <s v="Desk Lamp"/>
    <n v="2"/>
    <n v="117.63"/>
    <n v="0.2"/>
    <x v="1"/>
    <n v="188.21"/>
    <n v="151.02000000000001"/>
    <n v="37.19"/>
    <n v="1"/>
    <n v="0"/>
    <n v="2"/>
    <n v="5"/>
  </r>
  <r>
    <s v="SW-103646"/>
    <d v="2025-06-20T00:00:00"/>
    <x v="1"/>
    <s v="Q2"/>
    <x v="5"/>
    <x v="1"/>
    <x v="3"/>
    <x v="1"/>
    <x v="4"/>
    <s v="Bluetooth Speaker"/>
    <n v="2"/>
    <n v="177.65"/>
    <n v="0.1"/>
    <x v="0"/>
    <n v="319.77"/>
    <n v="277.99"/>
    <n v="41.78"/>
    <n v="1"/>
    <n v="0"/>
    <n v="2"/>
    <n v="4"/>
  </r>
  <r>
    <s v="SW-103647"/>
    <d v="2025-06-21T00:00:00"/>
    <x v="1"/>
    <s v="Q2"/>
    <x v="5"/>
    <x v="0"/>
    <x v="2"/>
    <x v="0"/>
    <x v="3"/>
    <s v="Cycling Helmet"/>
    <n v="1"/>
    <n v="85.42"/>
    <n v="0"/>
    <x v="2"/>
    <n v="85.42"/>
    <n v="56.66"/>
    <n v="28.76"/>
    <n v="1"/>
    <n v="0"/>
    <n v="4"/>
    <n v="4"/>
  </r>
  <r>
    <s v="SW-103648"/>
    <d v="2025-06-21T00:00:00"/>
    <x v="1"/>
    <s v="Q2"/>
    <x v="5"/>
    <x v="2"/>
    <x v="1"/>
    <x v="0"/>
    <x v="0"/>
    <s v="Sunglasses"/>
    <n v="1"/>
    <n v="104.94"/>
    <n v="0.15"/>
    <x v="1"/>
    <n v="89.2"/>
    <n v="55.59"/>
    <n v="33.61"/>
    <n v="1"/>
    <n v="0"/>
    <n v="6"/>
    <n v="3"/>
  </r>
  <r>
    <s v="SW-103649"/>
    <d v="2025-06-21T00:00:00"/>
    <x v="1"/>
    <s v="Q2"/>
    <x v="5"/>
    <x v="0"/>
    <x v="0"/>
    <x v="1"/>
    <x v="0"/>
    <s v="Sunglasses"/>
    <n v="3"/>
    <n v="104.94"/>
    <n v="0.05"/>
    <x v="0"/>
    <n v="299.08"/>
    <n v="170.79"/>
    <n v="128.29"/>
    <n v="1"/>
    <n v="0"/>
    <n v="5"/>
    <n v="4"/>
  </r>
  <r>
    <s v="SW-103650"/>
    <d v="2025-06-21T00:00:00"/>
    <x v="1"/>
    <s v="Q2"/>
    <x v="5"/>
    <x v="0"/>
    <x v="2"/>
    <x v="1"/>
    <x v="0"/>
    <s v="Leather Handbag"/>
    <n v="1"/>
    <n v="138.5"/>
    <n v="0"/>
    <x v="2"/>
    <n v="138.5"/>
    <n v="74.459999999999994"/>
    <n v="64.040000000000006"/>
    <n v="1"/>
    <n v="0"/>
    <n v="5"/>
    <n v="5"/>
  </r>
  <r>
    <s v="SW-103651"/>
    <d v="2025-06-21T00:00:00"/>
    <x v="1"/>
    <s v="Q2"/>
    <x v="5"/>
    <x v="0"/>
    <x v="0"/>
    <x v="1"/>
    <x v="4"/>
    <s v="4K Action Camera"/>
    <n v="2"/>
    <n v="636.09"/>
    <n v="0"/>
    <x v="2"/>
    <n v="1272.18"/>
    <n v="1041.07"/>
    <n v="231.11"/>
    <n v="1"/>
    <n v="0"/>
    <n v="3"/>
    <n v="5"/>
  </r>
  <r>
    <s v="SW-103652"/>
    <d v="2025-06-21T00:00:00"/>
    <x v="1"/>
    <s v="Q2"/>
    <x v="5"/>
    <x v="1"/>
    <x v="4"/>
    <x v="1"/>
    <x v="2"/>
    <s v="Storage Boxes"/>
    <n v="1"/>
    <n v="154.66"/>
    <n v="0.2"/>
    <x v="1"/>
    <n v="123.73"/>
    <n v="97.15"/>
    <n v="26.58"/>
    <n v="1"/>
    <n v="0"/>
    <n v="8"/>
    <n v="3"/>
  </r>
  <r>
    <s v="SW-103653"/>
    <d v="2025-06-21T00:00:00"/>
    <x v="1"/>
    <s v="Q2"/>
    <x v="5"/>
    <x v="2"/>
    <x v="1"/>
    <x v="1"/>
    <x v="4"/>
    <s v="Tablet 10in"/>
    <n v="4"/>
    <n v="490.3"/>
    <n v="0.3"/>
    <x v="3"/>
    <n v="1372.84"/>
    <n v="1556.44"/>
    <n v="-183.6"/>
    <n v="1"/>
    <n v="1"/>
    <n v="6"/>
    <n v="2"/>
  </r>
  <r>
    <s v="SW-103654"/>
    <d v="2025-06-21T00:00:00"/>
    <x v="1"/>
    <s v="Q2"/>
    <x v="5"/>
    <x v="1"/>
    <x v="1"/>
    <x v="0"/>
    <x v="2"/>
    <s v="Coffee Maker"/>
    <n v="1"/>
    <n v="148.05000000000001"/>
    <n v="0.1"/>
    <x v="0"/>
    <n v="133.24"/>
    <n v="97.23"/>
    <n v="36.01"/>
    <n v="1"/>
    <n v="0"/>
    <n v="7"/>
    <n v="4"/>
  </r>
  <r>
    <s v="SW-103655"/>
    <d v="2025-06-21T00:00:00"/>
    <x v="1"/>
    <s v="Q2"/>
    <x v="5"/>
    <x v="1"/>
    <x v="3"/>
    <x v="1"/>
    <x v="2"/>
    <s v="Desk Lamp"/>
    <n v="2"/>
    <n v="117.63"/>
    <n v="0.05"/>
    <x v="0"/>
    <n v="223.5"/>
    <n v="151.46"/>
    <n v="72.040000000000006"/>
    <n v="1"/>
    <n v="0"/>
    <n v="3"/>
    <n v="4"/>
  </r>
  <r>
    <s v="SW-103656"/>
    <d v="2025-06-21T00:00:00"/>
    <x v="1"/>
    <s v="Q2"/>
    <x v="5"/>
    <x v="0"/>
    <x v="3"/>
    <x v="1"/>
    <x v="1"/>
    <s v="Makeup Kit"/>
    <n v="1"/>
    <n v="74.3"/>
    <n v="0.2"/>
    <x v="1"/>
    <n v="59.44"/>
    <n v="33.67"/>
    <n v="25.77"/>
    <n v="1"/>
    <n v="0"/>
    <n v="2"/>
    <n v="5"/>
  </r>
  <r>
    <s v="SW-103657"/>
    <d v="2025-06-21T00:00:00"/>
    <x v="1"/>
    <s v="Q2"/>
    <x v="5"/>
    <x v="0"/>
    <x v="3"/>
    <x v="0"/>
    <x v="0"/>
    <s v="Cotton T-Shirt"/>
    <n v="2"/>
    <n v="19.41"/>
    <n v="0"/>
    <x v="2"/>
    <n v="38.82"/>
    <n v="21.93"/>
    <n v="16.89"/>
    <n v="1"/>
    <n v="0"/>
    <n v="2"/>
    <n v="5"/>
  </r>
  <r>
    <s v="SW-103658"/>
    <d v="2025-06-22T00:00:00"/>
    <x v="1"/>
    <s v="Q2"/>
    <x v="5"/>
    <x v="0"/>
    <x v="3"/>
    <x v="0"/>
    <x v="2"/>
    <s v="Air Fryer"/>
    <n v="3"/>
    <n v="68.349999999999994"/>
    <n v="0.05"/>
    <x v="0"/>
    <n v="194.8"/>
    <n v="134.32"/>
    <n v="60.48"/>
    <n v="1"/>
    <n v="0"/>
    <n v="2"/>
    <n v="4"/>
  </r>
  <r>
    <s v="SW-103659"/>
    <d v="2025-06-22T00:00:00"/>
    <x v="1"/>
    <s v="Q2"/>
    <x v="5"/>
    <x v="0"/>
    <x v="3"/>
    <x v="0"/>
    <x v="3"/>
    <s v="Dumbbell Set"/>
    <n v="1"/>
    <n v="198.42"/>
    <n v="0.05"/>
    <x v="0"/>
    <n v="188.5"/>
    <n v="126.5"/>
    <n v="62"/>
    <n v="1"/>
    <n v="0"/>
    <n v="3"/>
    <n v="4"/>
  </r>
  <r>
    <s v="SW-103660"/>
    <d v="2025-06-22T00:00:00"/>
    <x v="1"/>
    <s v="Q2"/>
    <x v="5"/>
    <x v="0"/>
    <x v="4"/>
    <x v="1"/>
    <x v="3"/>
    <s v="Fitness Tracker"/>
    <n v="1"/>
    <n v="74.459999999999994"/>
    <n v="0.05"/>
    <x v="0"/>
    <n v="70.739999999999995"/>
    <n v="50.1"/>
    <n v="20.64"/>
    <n v="1"/>
    <n v="0"/>
    <n v="6"/>
    <n v="4"/>
  </r>
  <r>
    <s v="SW-103661"/>
    <d v="2025-06-22T00:00:00"/>
    <x v="1"/>
    <s v="Q2"/>
    <x v="5"/>
    <x v="1"/>
    <x v="4"/>
    <x v="1"/>
    <x v="2"/>
    <s v="Coffee Maker"/>
    <n v="1"/>
    <n v="148.05000000000001"/>
    <n v="0.15"/>
    <x v="1"/>
    <n v="125.84"/>
    <n v="100.38"/>
    <n v="25.46"/>
    <n v="1"/>
    <n v="0"/>
    <n v="5"/>
    <n v="5"/>
  </r>
  <r>
    <s v="SW-103662"/>
    <d v="2025-06-22T00:00:00"/>
    <x v="1"/>
    <s v="Q2"/>
    <x v="5"/>
    <x v="1"/>
    <x v="4"/>
    <x v="1"/>
    <x v="5"/>
    <s v="Bestseller Novel"/>
    <n v="1"/>
    <n v="45.28"/>
    <n v="0"/>
    <x v="2"/>
    <n v="45.28"/>
    <n v="32.14"/>
    <n v="13.14"/>
    <n v="1"/>
    <n v="0"/>
    <n v="6"/>
    <n v="3"/>
  </r>
  <r>
    <s v="SW-103663"/>
    <d v="2025-06-22T00:00:00"/>
    <x v="1"/>
    <s v="Q2"/>
    <x v="5"/>
    <x v="1"/>
    <x v="1"/>
    <x v="1"/>
    <x v="4"/>
    <s v="Tablet 10in"/>
    <n v="1"/>
    <n v="490.3"/>
    <n v="0.1"/>
    <x v="0"/>
    <n v="441.27"/>
    <n v="393.55"/>
    <n v="47.72"/>
    <n v="1"/>
    <n v="0"/>
    <n v="5"/>
    <n v="4"/>
  </r>
  <r>
    <s v="SW-103664"/>
    <d v="2025-06-22T00:00:00"/>
    <x v="1"/>
    <s v="Q2"/>
    <x v="5"/>
    <x v="2"/>
    <x v="3"/>
    <x v="0"/>
    <x v="0"/>
    <s v="Running Sneakers"/>
    <n v="3"/>
    <n v="94.85"/>
    <n v="0.1"/>
    <x v="0"/>
    <n v="256.08999999999997"/>
    <n v="153.33000000000001"/>
    <n v="102.76"/>
    <n v="1"/>
    <n v="0"/>
    <n v="3"/>
    <n v="5"/>
  </r>
  <r>
    <s v="SW-103665"/>
    <d v="2025-06-22T00:00:00"/>
    <x v="1"/>
    <s v="Q2"/>
    <x v="5"/>
    <x v="0"/>
    <x v="3"/>
    <x v="1"/>
    <x v="1"/>
    <s v="Skin Care Bundle"/>
    <n v="4"/>
    <n v="92.54"/>
    <n v="0.15"/>
    <x v="1"/>
    <n v="314.64"/>
    <n v="178.83"/>
    <n v="135.81"/>
    <n v="1"/>
    <n v="0"/>
    <n v="4"/>
    <n v="4"/>
  </r>
  <r>
    <s v="SW-103666"/>
    <d v="2025-06-22T00:00:00"/>
    <x v="1"/>
    <s v="Q2"/>
    <x v="5"/>
    <x v="1"/>
    <x v="3"/>
    <x v="1"/>
    <x v="2"/>
    <s v="Coffee Maker"/>
    <n v="4"/>
    <n v="148.05000000000001"/>
    <n v="0"/>
    <x v="2"/>
    <n v="592.20000000000005"/>
    <n v="393.15"/>
    <n v="199.05"/>
    <n v="1"/>
    <n v="0"/>
    <n v="2"/>
    <n v="4"/>
  </r>
  <r>
    <s v="SW-103667"/>
    <d v="2025-06-23T00:00:00"/>
    <x v="1"/>
    <s v="Q2"/>
    <x v="5"/>
    <x v="0"/>
    <x v="3"/>
    <x v="0"/>
    <x v="2"/>
    <s v="Bed Sheet Set"/>
    <n v="1"/>
    <n v="90.75"/>
    <n v="0.05"/>
    <x v="0"/>
    <n v="86.21"/>
    <n v="59.6"/>
    <n v="26.61"/>
    <n v="1"/>
    <n v="0"/>
    <n v="2"/>
    <n v="4"/>
  </r>
  <r>
    <s v="SW-103668"/>
    <d v="2025-06-23T00:00:00"/>
    <x v="1"/>
    <s v="Q2"/>
    <x v="5"/>
    <x v="0"/>
    <x v="2"/>
    <x v="1"/>
    <x v="2"/>
    <s v="Desk Lamp"/>
    <n v="1"/>
    <n v="117.63"/>
    <n v="0.1"/>
    <x v="0"/>
    <n v="105.87"/>
    <n v="73.260000000000005"/>
    <n v="32.61"/>
    <n v="1"/>
    <n v="0"/>
    <n v="4"/>
    <n v="5"/>
  </r>
  <r>
    <s v="SW-103669"/>
    <d v="2025-06-23T00:00:00"/>
    <x v="1"/>
    <s v="Q2"/>
    <x v="5"/>
    <x v="0"/>
    <x v="2"/>
    <x v="1"/>
    <x v="2"/>
    <s v="Bed Sheet Set"/>
    <n v="1"/>
    <n v="90.75"/>
    <n v="0.05"/>
    <x v="0"/>
    <n v="86.21"/>
    <n v="57.23"/>
    <n v="28.98"/>
    <n v="1"/>
    <n v="0"/>
    <n v="4"/>
    <n v="5"/>
  </r>
  <r>
    <s v="SW-103670"/>
    <d v="2025-06-24T00:00:00"/>
    <x v="1"/>
    <s v="Q2"/>
    <x v="5"/>
    <x v="1"/>
    <x v="0"/>
    <x v="1"/>
    <x v="5"/>
    <s v="Story Book Set"/>
    <n v="1"/>
    <n v="10.76"/>
    <n v="0.1"/>
    <x v="0"/>
    <n v="9.68"/>
    <n v="8.02"/>
    <n v="1.66"/>
    <n v="1"/>
    <n v="0"/>
    <n v="4"/>
    <n v="4"/>
  </r>
  <r>
    <s v="SW-103671"/>
    <d v="2025-06-24T00:00:00"/>
    <x v="1"/>
    <s v="Q2"/>
    <x v="5"/>
    <x v="2"/>
    <x v="3"/>
    <x v="1"/>
    <x v="1"/>
    <s v="Makeup Kit"/>
    <n v="1"/>
    <n v="74.3"/>
    <n v="0"/>
    <x v="2"/>
    <n v="74.3"/>
    <n v="37.5"/>
    <n v="36.799999999999997"/>
    <n v="1"/>
    <n v="0"/>
    <n v="5"/>
    <n v="5"/>
  </r>
  <r>
    <s v="SW-103672"/>
    <d v="2025-06-24T00:00:00"/>
    <x v="1"/>
    <s v="Q2"/>
    <x v="5"/>
    <x v="1"/>
    <x v="3"/>
    <x v="0"/>
    <x v="0"/>
    <s v="Running Sneakers"/>
    <n v="1"/>
    <n v="94.85"/>
    <n v="0.1"/>
    <x v="0"/>
    <n v="85.36"/>
    <n v="52.68"/>
    <n v="32.68"/>
    <n v="1"/>
    <n v="0"/>
    <n v="3"/>
    <n v="5"/>
  </r>
  <r>
    <s v="SW-103673"/>
    <d v="2025-06-24T00:00:00"/>
    <x v="1"/>
    <s v="Q2"/>
    <x v="5"/>
    <x v="2"/>
    <x v="0"/>
    <x v="1"/>
    <x v="4"/>
    <s v="Tablet 10in"/>
    <n v="2"/>
    <n v="490.3"/>
    <n v="0.05"/>
    <x v="0"/>
    <n v="931.57"/>
    <n v="772.33"/>
    <n v="159.24"/>
    <n v="1"/>
    <n v="1"/>
    <n v="7"/>
    <n v="2"/>
  </r>
  <r>
    <s v="SW-103674"/>
    <d v="2025-06-24T00:00:00"/>
    <x v="1"/>
    <s v="Q2"/>
    <x v="5"/>
    <x v="0"/>
    <x v="3"/>
    <x v="1"/>
    <x v="3"/>
    <s v="Yoga Mat"/>
    <n v="1"/>
    <n v="137.05000000000001"/>
    <n v="0.1"/>
    <x v="0"/>
    <n v="123.35"/>
    <n v="94.56"/>
    <n v="28.79"/>
    <n v="1"/>
    <n v="0"/>
    <n v="2"/>
    <n v="4"/>
  </r>
  <r>
    <s v="SW-103675"/>
    <d v="2025-06-24T00:00:00"/>
    <x v="1"/>
    <s v="Q2"/>
    <x v="5"/>
    <x v="2"/>
    <x v="0"/>
    <x v="1"/>
    <x v="0"/>
    <s v="Running Sneakers"/>
    <n v="2"/>
    <n v="94.85"/>
    <n v="0"/>
    <x v="2"/>
    <n v="189.7"/>
    <n v="102.8"/>
    <n v="86.9"/>
    <n v="1"/>
    <n v="0"/>
    <n v="4"/>
    <n v="5"/>
  </r>
  <r>
    <s v="SW-103676"/>
    <d v="2025-06-24T00:00:00"/>
    <x v="1"/>
    <s v="Q2"/>
    <x v="5"/>
    <x v="1"/>
    <x v="3"/>
    <x v="1"/>
    <x v="3"/>
    <s v="Fitness Tracker"/>
    <n v="1"/>
    <n v="74.459999999999994"/>
    <n v="0.05"/>
    <x v="0"/>
    <n v="70.739999999999995"/>
    <n v="48.27"/>
    <n v="22.47"/>
    <n v="1"/>
    <n v="1"/>
    <n v="3"/>
    <n v="3"/>
  </r>
  <r>
    <s v="SW-103677"/>
    <d v="2025-06-24T00:00:00"/>
    <x v="1"/>
    <s v="Q2"/>
    <x v="5"/>
    <x v="1"/>
    <x v="1"/>
    <x v="1"/>
    <x v="1"/>
    <s v="Hair Dryer"/>
    <n v="2"/>
    <n v="33.18"/>
    <n v="0.1"/>
    <x v="0"/>
    <n v="59.72"/>
    <n v="32.799999999999997"/>
    <n v="26.92"/>
    <n v="1"/>
    <n v="0"/>
    <n v="6"/>
    <n v="4"/>
  </r>
  <r>
    <s v="SW-103678"/>
    <d v="2025-06-24T00:00:00"/>
    <x v="1"/>
    <s v="Q2"/>
    <x v="5"/>
    <x v="0"/>
    <x v="3"/>
    <x v="0"/>
    <x v="3"/>
    <s v="Fitness Tracker"/>
    <n v="1"/>
    <n v="74.459999999999994"/>
    <n v="0"/>
    <x v="2"/>
    <n v="74.459999999999994"/>
    <n v="48.72"/>
    <n v="25.74"/>
    <n v="1"/>
    <n v="0"/>
    <n v="3"/>
    <n v="4"/>
  </r>
  <r>
    <s v="SW-103679"/>
    <d v="2025-06-24T00:00:00"/>
    <x v="1"/>
    <s v="Q2"/>
    <x v="5"/>
    <x v="0"/>
    <x v="0"/>
    <x v="0"/>
    <x v="0"/>
    <s v="Summer Dress"/>
    <n v="1"/>
    <n v="33.99"/>
    <n v="0.1"/>
    <x v="0"/>
    <n v="30.59"/>
    <n v="17.600000000000001"/>
    <n v="12.99"/>
    <n v="1"/>
    <n v="0"/>
    <n v="3"/>
    <n v="3"/>
  </r>
  <r>
    <s v="SW-103680"/>
    <d v="2025-06-24T00:00:00"/>
    <x v="1"/>
    <s v="Q2"/>
    <x v="5"/>
    <x v="0"/>
    <x v="3"/>
    <x v="1"/>
    <x v="2"/>
    <s v="Coffee Maker"/>
    <n v="4"/>
    <n v="148.05000000000001"/>
    <n v="0.15"/>
    <x v="1"/>
    <n v="503.37"/>
    <n v="386.24"/>
    <n v="117.13"/>
    <n v="1"/>
    <n v="0"/>
    <n v="3"/>
    <n v="5"/>
  </r>
  <r>
    <s v="SW-103681"/>
    <d v="2025-06-24T00:00:00"/>
    <x v="1"/>
    <s v="Q2"/>
    <x v="5"/>
    <x v="1"/>
    <x v="2"/>
    <x v="1"/>
    <x v="4"/>
    <s v="Power Bank"/>
    <n v="3"/>
    <n v="508.8"/>
    <n v="0"/>
    <x v="2"/>
    <n v="1526.4"/>
    <n v="1203.6500000000001"/>
    <n v="322.75"/>
    <n v="1"/>
    <n v="0"/>
    <n v="4"/>
    <n v="5"/>
  </r>
  <r>
    <s v="SW-103682"/>
    <d v="2025-06-24T00:00:00"/>
    <x v="1"/>
    <s v="Q2"/>
    <x v="5"/>
    <x v="0"/>
    <x v="2"/>
    <x v="0"/>
    <x v="5"/>
    <s v="Building Blocks"/>
    <n v="1"/>
    <n v="48.86"/>
    <n v="0"/>
    <x v="2"/>
    <n v="48.86"/>
    <n v="34.72"/>
    <n v="14.14"/>
    <n v="1"/>
    <n v="0"/>
    <n v="4"/>
    <n v="3"/>
  </r>
  <r>
    <s v="SW-103683"/>
    <d v="2025-06-24T00:00:00"/>
    <x v="1"/>
    <s v="Q2"/>
    <x v="5"/>
    <x v="2"/>
    <x v="0"/>
    <x v="1"/>
    <x v="0"/>
    <s v="Leather Handbag"/>
    <n v="1"/>
    <n v="138.5"/>
    <n v="0.2"/>
    <x v="1"/>
    <n v="110.8"/>
    <n v="72.19"/>
    <n v="38.61"/>
    <n v="1"/>
    <n v="0"/>
    <n v="4"/>
    <n v="4"/>
  </r>
  <r>
    <s v="SW-103684"/>
    <d v="2025-06-24T00:00:00"/>
    <x v="1"/>
    <s v="Q2"/>
    <x v="5"/>
    <x v="0"/>
    <x v="3"/>
    <x v="1"/>
    <x v="5"/>
    <s v="Kids Puzzle"/>
    <n v="1"/>
    <n v="16.97"/>
    <n v="0.05"/>
    <x v="0"/>
    <n v="16.12"/>
    <n v="12.5"/>
    <n v="3.62"/>
    <n v="1"/>
    <n v="0"/>
    <n v="2"/>
    <n v="4"/>
  </r>
  <r>
    <s v="SW-103685"/>
    <d v="2025-06-24T00:00:00"/>
    <x v="1"/>
    <s v="Q2"/>
    <x v="5"/>
    <x v="0"/>
    <x v="3"/>
    <x v="0"/>
    <x v="0"/>
    <s v="Leather Handbag"/>
    <n v="1"/>
    <n v="138.5"/>
    <n v="0.05"/>
    <x v="0"/>
    <n v="131.57"/>
    <n v="72.900000000000006"/>
    <n v="58.67"/>
    <n v="1"/>
    <n v="0"/>
    <n v="2"/>
    <n v="4"/>
  </r>
  <r>
    <s v="SW-103686"/>
    <d v="2025-06-25T00:00:00"/>
    <x v="1"/>
    <s v="Q2"/>
    <x v="5"/>
    <x v="0"/>
    <x v="3"/>
    <x v="1"/>
    <x v="4"/>
    <s v="4K Action Camera"/>
    <n v="1"/>
    <n v="636.09"/>
    <n v="0.1"/>
    <x v="0"/>
    <n v="572.48"/>
    <n v="537.91999999999996"/>
    <n v="34.56"/>
    <n v="1"/>
    <n v="0"/>
    <n v="3"/>
    <n v="5"/>
  </r>
  <r>
    <s v="SW-103687"/>
    <d v="2025-06-25T00:00:00"/>
    <x v="1"/>
    <s v="Q2"/>
    <x v="5"/>
    <x v="0"/>
    <x v="4"/>
    <x v="0"/>
    <x v="4"/>
    <s v="Power Bank"/>
    <n v="1"/>
    <n v="508.8"/>
    <n v="0"/>
    <x v="2"/>
    <n v="508.8"/>
    <n v="408.46"/>
    <n v="100.34"/>
    <n v="1"/>
    <n v="0"/>
    <n v="5"/>
    <n v="4"/>
  </r>
  <r>
    <s v="SW-103688"/>
    <d v="2025-06-25T00:00:00"/>
    <x v="1"/>
    <s v="Q2"/>
    <x v="5"/>
    <x v="1"/>
    <x v="2"/>
    <x v="1"/>
    <x v="2"/>
    <s v="Coffee Maker"/>
    <n v="2"/>
    <n v="148.05000000000001"/>
    <n v="0"/>
    <x v="2"/>
    <n v="296.10000000000002"/>
    <n v="207.26"/>
    <n v="88.84"/>
    <n v="1"/>
    <n v="0"/>
    <n v="5"/>
    <n v="5"/>
  </r>
  <r>
    <s v="SW-103689"/>
    <d v="2025-06-25T00:00:00"/>
    <x v="1"/>
    <s v="Q2"/>
    <x v="5"/>
    <x v="1"/>
    <x v="0"/>
    <x v="1"/>
    <x v="0"/>
    <s v="Sunglasses"/>
    <n v="1"/>
    <n v="104.94"/>
    <n v="0"/>
    <x v="2"/>
    <n v="104.94"/>
    <n v="54.21"/>
    <n v="50.73"/>
    <n v="1"/>
    <n v="0"/>
    <n v="5"/>
    <n v="4"/>
  </r>
  <r>
    <s v="SW-103690"/>
    <d v="2025-06-25T00:00:00"/>
    <x v="1"/>
    <s v="Q2"/>
    <x v="5"/>
    <x v="0"/>
    <x v="0"/>
    <x v="1"/>
    <x v="0"/>
    <s v="Denim Jacket"/>
    <n v="3"/>
    <n v="78.510000000000005"/>
    <n v="0.1"/>
    <x v="0"/>
    <n v="211.98"/>
    <n v="124.57"/>
    <n v="87.41"/>
    <n v="1"/>
    <n v="0"/>
    <n v="4"/>
    <n v="4"/>
  </r>
  <r>
    <s v="SW-103691"/>
    <d v="2025-06-25T00:00:00"/>
    <x v="1"/>
    <s v="Q2"/>
    <x v="5"/>
    <x v="0"/>
    <x v="3"/>
    <x v="0"/>
    <x v="1"/>
    <s v="Face Serum"/>
    <n v="3"/>
    <n v="33.479999999999997"/>
    <n v="0.1"/>
    <x v="0"/>
    <n v="90.4"/>
    <n v="48.57"/>
    <n v="41.83"/>
    <n v="1"/>
    <n v="1"/>
    <n v="4"/>
    <n v="4"/>
  </r>
  <r>
    <s v="SW-103692"/>
    <d v="2025-06-26T00:00:00"/>
    <x v="1"/>
    <s v="Q2"/>
    <x v="5"/>
    <x v="1"/>
    <x v="3"/>
    <x v="0"/>
    <x v="0"/>
    <s v="Sunglasses"/>
    <n v="1"/>
    <n v="104.94"/>
    <n v="0.05"/>
    <x v="0"/>
    <n v="99.69"/>
    <n v="57.67"/>
    <n v="42.02"/>
    <n v="1"/>
    <n v="0"/>
    <n v="3"/>
    <n v="5"/>
  </r>
  <r>
    <s v="SW-103693"/>
    <d v="2025-06-26T00:00:00"/>
    <x v="1"/>
    <s v="Q2"/>
    <x v="5"/>
    <x v="1"/>
    <x v="2"/>
    <x v="0"/>
    <x v="3"/>
    <s v="Yoga Mat"/>
    <n v="1"/>
    <n v="137.05000000000001"/>
    <n v="0.1"/>
    <x v="0"/>
    <n v="123.35"/>
    <n v="91.7"/>
    <n v="31.65"/>
    <n v="1"/>
    <n v="0"/>
    <n v="4"/>
    <n v="5"/>
  </r>
  <r>
    <s v="SW-103694"/>
    <d v="2025-06-26T00:00:00"/>
    <x v="1"/>
    <s v="Q2"/>
    <x v="5"/>
    <x v="1"/>
    <x v="2"/>
    <x v="0"/>
    <x v="4"/>
    <s v="Smart Watch"/>
    <n v="2"/>
    <n v="216.08"/>
    <n v="0.05"/>
    <x v="0"/>
    <n v="410.55"/>
    <n v="345.82"/>
    <n v="64.73"/>
    <n v="1"/>
    <n v="0"/>
    <n v="3"/>
    <n v="4"/>
  </r>
  <r>
    <s v="SW-103695"/>
    <d v="2025-06-26T00:00:00"/>
    <x v="1"/>
    <s v="Q2"/>
    <x v="5"/>
    <x v="0"/>
    <x v="4"/>
    <x v="1"/>
    <x v="4"/>
    <s v="Wireless Earbuds"/>
    <n v="1"/>
    <n v="588.41"/>
    <n v="0"/>
    <x v="2"/>
    <n v="588.41"/>
    <n v="473.63"/>
    <n v="114.78"/>
    <n v="1"/>
    <n v="0"/>
    <n v="5"/>
    <n v="4"/>
  </r>
  <r>
    <s v="SW-103696"/>
    <d v="2025-06-26T00:00:00"/>
    <x v="1"/>
    <s v="Q2"/>
    <x v="5"/>
    <x v="0"/>
    <x v="0"/>
    <x v="1"/>
    <x v="1"/>
    <s v="Makeup Kit"/>
    <n v="1"/>
    <n v="74.3"/>
    <n v="0.25"/>
    <x v="3"/>
    <n v="55.72"/>
    <n v="36.520000000000003"/>
    <n v="19.2"/>
    <n v="1"/>
    <n v="0"/>
    <n v="4"/>
    <n v="5"/>
  </r>
  <r>
    <s v="SW-103697"/>
    <d v="2025-06-26T00:00:00"/>
    <x v="1"/>
    <s v="Q2"/>
    <x v="5"/>
    <x v="2"/>
    <x v="2"/>
    <x v="1"/>
    <x v="5"/>
    <s v="Kids Puzzle"/>
    <n v="2"/>
    <n v="16.97"/>
    <n v="0.05"/>
    <x v="0"/>
    <n v="32.24"/>
    <n v="24.92"/>
    <n v="7.32"/>
    <n v="1"/>
    <n v="0"/>
    <n v="5"/>
    <n v="5"/>
  </r>
  <r>
    <s v="SW-103698"/>
    <d v="2025-06-27T00:00:00"/>
    <x v="1"/>
    <s v="Q2"/>
    <x v="5"/>
    <x v="0"/>
    <x v="3"/>
    <x v="0"/>
    <x v="0"/>
    <s v="Cotton T-Shirt"/>
    <n v="1"/>
    <n v="19.41"/>
    <n v="0.05"/>
    <x v="0"/>
    <n v="18.440000000000001"/>
    <n v="10.39"/>
    <n v="8.0500000000000007"/>
    <n v="1"/>
    <n v="0"/>
    <n v="4"/>
    <n v="5"/>
  </r>
  <r>
    <s v="SW-103699"/>
    <d v="2025-06-27T00:00:00"/>
    <x v="1"/>
    <s v="Q2"/>
    <x v="5"/>
    <x v="1"/>
    <x v="4"/>
    <x v="1"/>
    <x v="0"/>
    <s v="Cotton T-Shirt"/>
    <n v="2"/>
    <n v="19.41"/>
    <n v="0"/>
    <x v="2"/>
    <n v="38.82"/>
    <n v="21.68"/>
    <n v="17.14"/>
    <n v="1"/>
    <n v="0"/>
    <n v="6"/>
    <n v="4"/>
  </r>
  <r>
    <s v="SW-103700"/>
    <d v="2025-06-27T00:00:00"/>
    <x v="1"/>
    <s v="Q2"/>
    <x v="5"/>
    <x v="1"/>
    <x v="0"/>
    <x v="0"/>
    <x v="5"/>
    <s v="Story Book Set"/>
    <n v="2"/>
    <n v="10.76"/>
    <n v="0"/>
    <x v="2"/>
    <n v="21.52"/>
    <n v="15.89"/>
    <n v="5.63"/>
    <n v="1"/>
    <n v="0"/>
    <n v="3"/>
    <n v="4"/>
  </r>
  <r>
    <s v="SW-103701"/>
    <d v="2025-06-27T00:00:00"/>
    <x v="1"/>
    <s v="Q2"/>
    <x v="5"/>
    <x v="1"/>
    <x v="3"/>
    <x v="1"/>
    <x v="5"/>
    <s v="Board Game"/>
    <n v="2"/>
    <n v="57.92"/>
    <n v="0"/>
    <x v="2"/>
    <n v="115.84"/>
    <n v="84.96"/>
    <n v="30.88"/>
    <n v="1"/>
    <n v="0"/>
    <n v="3"/>
    <n v="5"/>
  </r>
  <r>
    <s v="SW-103702"/>
    <d v="2025-06-27T00:00:00"/>
    <x v="1"/>
    <s v="Q2"/>
    <x v="5"/>
    <x v="1"/>
    <x v="4"/>
    <x v="1"/>
    <x v="4"/>
    <s v="4K Action Camera"/>
    <n v="1"/>
    <n v="636.09"/>
    <n v="0.15"/>
    <x v="1"/>
    <n v="540.67999999999995"/>
    <n v="513.85"/>
    <n v="26.83"/>
    <n v="1"/>
    <n v="0"/>
    <n v="5"/>
    <n v="4"/>
  </r>
  <r>
    <s v="SW-103703"/>
    <d v="2025-06-27T00:00:00"/>
    <x v="1"/>
    <s v="Q2"/>
    <x v="5"/>
    <x v="1"/>
    <x v="2"/>
    <x v="1"/>
    <x v="2"/>
    <s v="Cookware Set"/>
    <n v="4"/>
    <n v="233.81"/>
    <n v="0.05"/>
    <x v="0"/>
    <n v="888.48"/>
    <n v="633.12"/>
    <n v="255.36"/>
    <n v="1"/>
    <n v="0"/>
    <n v="4"/>
    <n v="4"/>
  </r>
  <r>
    <s v="SW-103704"/>
    <d v="2025-06-27T00:00:00"/>
    <x v="1"/>
    <s v="Q2"/>
    <x v="5"/>
    <x v="1"/>
    <x v="0"/>
    <x v="0"/>
    <x v="4"/>
    <s v="Smart Watch"/>
    <n v="1"/>
    <n v="216.08"/>
    <n v="0"/>
    <x v="2"/>
    <n v="216.08"/>
    <n v="170.75"/>
    <n v="45.33"/>
    <n v="1"/>
    <n v="0"/>
    <n v="5"/>
    <n v="5"/>
  </r>
  <r>
    <s v="SW-103705"/>
    <d v="2025-06-27T00:00:00"/>
    <x v="1"/>
    <s v="Q2"/>
    <x v="5"/>
    <x v="1"/>
    <x v="0"/>
    <x v="1"/>
    <x v="1"/>
    <s v="Face Serum"/>
    <n v="2"/>
    <n v="33.479999999999997"/>
    <n v="0.05"/>
    <x v="0"/>
    <n v="63.61"/>
    <n v="33.049999999999997"/>
    <n v="30.56"/>
    <n v="1"/>
    <n v="0"/>
    <n v="3"/>
    <n v="4"/>
  </r>
  <r>
    <s v="SW-103706"/>
    <d v="2025-06-27T00:00:00"/>
    <x v="1"/>
    <s v="Q2"/>
    <x v="5"/>
    <x v="0"/>
    <x v="1"/>
    <x v="1"/>
    <x v="1"/>
    <s v="Perfume 100ml"/>
    <n v="1"/>
    <n v="54.56"/>
    <n v="0"/>
    <x v="2"/>
    <n v="54.56"/>
    <n v="27.76"/>
    <n v="26.8"/>
    <n v="1"/>
    <n v="0"/>
    <n v="7"/>
    <n v="3"/>
  </r>
  <r>
    <s v="SW-103707"/>
    <d v="2025-06-27T00:00:00"/>
    <x v="1"/>
    <s v="Q2"/>
    <x v="5"/>
    <x v="0"/>
    <x v="3"/>
    <x v="1"/>
    <x v="2"/>
    <s v="Cookware Set"/>
    <n v="1"/>
    <n v="233.81"/>
    <n v="0.25"/>
    <x v="3"/>
    <n v="175.36"/>
    <n v="153.44"/>
    <n v="21.92"/>
    <n v="1"/>
    <n v="0"/>
    <n v="4"/>
    <n v="5"/>
  </r>
  <r>
    <s v="SW-103708"/>
    <d v="2025-06-27T00:00:00"/>
    <x v="1"/>
    <s v="Q2"/>
    <x v="5"/>
    <x v="1"/>
    <x v="3"/>
    <x v="0"/>
    <x v="2"/>
    <s v="Coffee Maker"/>
    <n v="1"/>
    <n v="148.05000000000001"/>
    <n v="0.05"/>
    <x v="0"/>
    <n v="140.65"/>
    <n v="97.4"/>
    <n v="43.25"/>
    <n v="1"/>
    <n v="0"/>
    <n v="2"/>
    <n v="4"/>
  </r>
  <r>
    <s v="SW-103709"/>
    <d v="2025-06-27T00:00:00"/>
    <x v="1"/>
    <s v="Q2"/>
    <x v="5"/>
    <x v="2"/>
    <x v="0"/>
    <x v="0"/>
    <x v="1"/>
    <s v="Face Serum"/>
    <n v="4"/>
    <n v="33.479999999999997"/>
    <n v="0.05"/>
    <x v="0"/>
    <n v="127.22"/>
    <n v="63.56"/>
    <n v="63.66"/>
    <n v="1"/>
    <n v="0"/>
    <n v="3"/>
    <n v="5"/>
  </r>
  <r>
    <s v="SW-103710"/>
    <d v="2025-06-27T00:00:00"/>
    <x v="1"/>
    <s v="Q2"/>
    <x v="5"/>
    <x v="1"/>
    <x v="4"/>
    <x v="0"/>
    <x v="4"/>
    <s v="Tablet 10in"/>
    <n v="1"/>
    <n v="490.3"/>
    <n v="0"/>
    <x v="2"/>
    <n v="490.3"/>
    <n v="387.18"/>
    <n v="103.12"/>
    <n v="1"/>
    <n v="0"/>
    <n v="6"/>
    <n v="4"/>
  </r>
  <r>
    <s v="SW-103711"/>
    <d v="2025-06-28T00:00:00"/>
    <x v="1"/>
    <s v="Q2"/>
    <x v="5"/>
    <x v="0"/>
    <x v="4"/>
    <x v="1"/>
    <x v="3"/>
    <s v="Dumbbell Set"/>
    <n v="2"/>
    <n v="198.42"/>
    <n v="0"/>
    <x v="2"/>
    <n v="396.84"/>
    <n v="261.74"/>
    <n v="135.1"/>
    <n v="1"/>
    <n v="0"/>
    <n v="5"/>
    <n v="4"/>
  </r>
  <r>
    <s v="SW-103712"/>
    <d v="2025-06-28T00:00:00"/>
    <x v="1"/>
    <s v="Q2"/>
    <x v="5"/>
    <x v="0"/>
    <x v="2"/>
    <x v="0"/>
    <x v="4"/>
    <s v="Wireless Earbuds"/>
    <n v="1"/>
    <n v="588.41"/>
    <n v="0"/>
    <x v="2"/>
    <n v="588.41"/>
    <n v="485.78"/>
    <n v="102.63"/>
    <n v="1"/>
    <n v="0"/>
    <n v="4"/>
    <n v="5"/>
  </r>
  <r>
    <s v="SW-103713"/>
    <d v="2025-06-28T00:00:00"/>
    <x v="1"/>
    <s v="Q2"/>
    <x v="5"/>
    <x v="0"/>
    <x v="3"/>
    <x v="0"/>
    <x v="0"/>
    <s v="Leather Handbag"/>
    <n v="1"/>
    <n v="138.5"/>
    <n v="0"/>
    <x v="2"/>
    <n v="138.5"/>
    <n v="74.459999999999994"/>
    <n v="64.040000000000006"/>
    <n v="1"/>
    <n v="0"/>
    <n v="3"/>
    <n v="5"/>
  </r>
  <r>
    <s v="SW-103714"/>
    <d v="2025-06-28T00:00:00"/>
    <x v="1"/>
    <s v="Q2"/>
    <x v="5"/>
    <x v="1"/>
    <x v="3"/>
    <x v="0"/>
    <x v="2"/>
    <s v="Air Fryer"/>
    <n v="1"/>
    <n v="68.349999999999994"/>
    <n v="0.05"/>
    <x v="0"/>
    <n v="64.930000000000007"/>
    <n v="45.46"/>
    <n v="19.47"/>
    <n v="1"/>
    <n v="0"/>
    <n v="3"/>
    <n v="5"/>
  </r>
  <r>
    <s v="SW-103715"/>
    <d v="2025-06-28T00:00:00"/>
    <x v="1"/>
    <s v="Q2"/>
    <x v="5"/>
    <x v="1"/>
    <x v="0"/>
    <x v="1"/>
    <x v="4"/>
    <s v="Bluetooth Speaker"/>
    <n v="1"/>
    <n v="177.65"/>
    <n v="0.1"/>
    <x v="0"/>
    <n v="159.88999999999999"/>
    <n v="141.38999999999999"/>
    <n v="18.5"/>
    <n v="1"/>
    <n v="0"/>
    <n v="4"/>
    <n v="5"/>
  </r>
  <r>
    <s v="SW-103716"/>
    <d v="2025-06-28T00:00:00"/>
    <x v="1"/>
    <s v="Q2"/>
    <x v="5"/>
    <x v="0"/>
    <x v="4"/>
    <x v="1"/>
    <x v="2"/>
    <s v="Storage Boxes"/>
    <n v="1"/>
    <n v="154.66"/>
    <n v="0"/>
    <x v="2"/>
    <n v="154.66"/>
    <n v="98.58"/>
    <n v="56.08"/>
    <n v="1"/>
    <n v="0"/>
    <n v="6"/>
    <n v="3"/>
  </r>
  <r>
    <s v="SW-103717"/>
    <d v="2025-06-28T00:00:00"/>
    <x v="1"/>
    <s v="Q2"/>
    <x v="5"/>
    <x v="1"/>
    <x v="0"/>
    <x v="0"/>
    <x v="4"/>
    <s v="4K Action Camera"/>
    <n v="1"/>
    <n v="636.09"/>
    <n v="0.05"/>
    <x v="0"/>
    <n v="604.29"/>
    <n v="512.57000000000005"/>
    <n v="91.72"/>
    <n v="1"/>
    <n v="0"/>
    <n v="3"/>
    <n v="5"/>
  </r>
  <r>
    <s v="SW-103718"/>
    <d v="2025-06-28T00:00:00"/>
    <x v="1"/>
    <s v="Q2"/>
    <x v="5"/>
    <x v="0"/>
    <x v="4"/>
    <x v="1"/>
    <x v="1"/>
    <s v="Skin Care Bundle"/>
    <n v="1"/>
    <n v="92.54"/>
    <n v="0.3"/>
    <x v="3"/>
    <n v="64.78"/>
    <n v="43.51"/>
    <n v="21.27"/>
    <n v="1"/>
    <n v="0"/>
    <n v="5"/>
    <n v="4"/>
  </r>
  <r>
    <s v="SW-103719"/>
    <d v="2025-06-28T00:00:00"/>
    <x v="1"/>
    <s v="Q2"/>
    <x v="5"/>
    <x v="0"/>
    <x v="1"/>
    <x v="1"/>
    <x v="4"/>
    <s v="Tablet 10in"/>
    <n v="4"/>
    <n v="490.3"/>
    <n v="0"/>
    <x v="2"/>
    <n v="1961.2"/>
    <n v="1582.13"/>
    <n v="379.07"/>
    <n v="1"/>
    <n v="0"/>
    <n v="6"/>
    <n v="4"/>
  </r>
  <r>
    <s v="SW-103720"/>
    <d v="2025-06-28T00:00:00"/>
    <x v="1"/>
    <s v="Q2"/>
    <x v="5"/>
    <x v="1"/>
    <x v="1"/>
    <x v="1"/>
    <x v="3"/>
    <s v="Yoga Mat"/>
    <n v="2"/>
    <n v="137.05000000000001"/>
    <n v="0.15"/>
    <x v="1"/>
    <n v="232.98"/>
    <n v="177.02"/>
    <n v="55.96"/>
    <n v="1"/>
    <n v="0"/>
    <n v="5"/>
    <n v="4"/>
  </r>
  <r>
    <s v="SW-103721"/>
    <d v="2025-06-29T00:00:00"/>
    <x v="1"/>
    <s v="Q2"/>
    <x v="5"/>
    <x v="1"/>
    <x v="4"/>
    <x v="1"/>
    <x v="5"/>
    <s v="Story Book Set"/>
    <n v="1"/>
    <n v="10.76"/>
    <n v="0.1"/>
    <x v="0"/>
    <n v="9.68"/>
    <n v="8.17"/>
    <n v="1.51"/>
    <n v="1"/>
    <n v="0"/>
    <n v="6"/>
    <n v="4"/>
  </r>
  <r>
    <s v="SW-103722"/>
    <d v="2025-06-29T00:00:00"/>
    <x v="1"/>
    <s v="Q2"/>
    <x v="5"/>
    <x v="1"/>
    <x v="1"/>
    <x v="1"/>
    <x v="4"/>
    <s v="Smart Watch"/>
    <n v="2"/>
    <n v="216.08"/>
    <n v="0.05"/>
    <x v="0"/>
    <n v="410.55"/>
    <n v="335.69"/>
    <n v="74.86"/>
    <n v="1"/>
    <n v="0"/>
    <n v="5"/>
    <n v="4"/>
  </r>
  <r>
    <s v="SW-103723"/>
    <d v="2025-06-29T00:00:00"/>
    <x v="1"/>
    <s v="Q2"/>
    <x v="5"/>
    <x v="0"/>
    <x v="2"/>
    <x v="0"/>
    <x v="0"/>
    <s v="Running Sneakers"/>
    <n v="1"/>
    <n v="94.85"/>
    <n v="0"/>
    <x v="2"/>
    <n v="94.85"/>
    <n v="50.58"/>
    <n v="44.27"/>
    <n v="1"/>
    <n v="0"/>
    <n v="3"/>
    <n v="5"/>
  </r>
  <r>
    <s v="SW-103724"/>
    <d v="2025-06-29T00:00:00"/>
    <x v="1"/>
    <s v="Q2"/>
    <x v="5"/>
    <x v="0"/>
    <x v="4"/>
    <x v="1"/>
    <x v="5"/>
    <s v="Bestseller Novel"/>
    <n v="1"/>
    <n v="45.28"/>
    <n v="0"/>
    <x v="2"/>
    <n v="45.28"/>
    <n v="32.14"/>
    <n v="13.14"/>
    <n v="1"/>
    <n v="0"/>
    <n v="7"/>
    <n v="4"/>
  </r>
  <r>
    <s v="SW-103725"/>
    <d v="2025-06-29T00:00:00"/>
    <x v="1"/>
    <s v="Q2"/>
    <x v="5"/>
    <x v="0"/>
    <x v="1"/>
    <x v="0"/>
    <x v="2"/>
    <s v="Storage Boxes"/>
    <n v="1"/>
    <n v="154.66"/>
    <n v="0.15"/>
    <x v="1"/>
    <n v="131.46"/>
    <n v="103.85"/>
    <n v="27.61"/>
    <n v="1"/>
    <n v="0"/>
    <n v="7"/>
    <n v="3"/>
  </r>
  <r>
    <s v="SW-103726"/>
    <d v="2025-06-30T00:00:00"/>
    <x v="1"/>
    <s v="Q2"/>
    <x v="5"/>
    <x v="1"/>
    <x v="4"/>
    <x v="1"/>
    <x v="1"/>
    <s v="Makeup Kit"/>
    <n v="1"/>
    <n v="74.3"/>
    <n v="0.05"/>
    <x v="0"/>
    <n v="70.58"/>
    <n v="36.799999999999997"/>
    <n v="33.78"/>
    <n v="1"/>
    <n v="0"/>
    <n v="6"/>
    <n v="5"/>
  </r>
  <r>
    <s v="SW-103727"/>
    <d v="2025-06-30T00:00:00"/>
    <x v="1"/>
    <s v="Q2"/>
    <x v="5"/>
    <x v="1"/>
    <x v="2"/>
    <x v="0"/>
    <x v="2"/>
    <s v="Storage Boxes"/>
    <n v="1"/>
    <n v="154.66"/>
    <n v="0.05"/>
    <x v="0"/>
    <n v="146.93"/>
    <n v="107.08"/>
    <n v="39.85"/>
    <n v="1"/>
    <n v="1"/>
    <n v="3"/>
    <n v="3"/>
  </r>
  <r>
    <s v="SW-103728"/>
    <d v="2025-06-30T00:00:00"/>
    <x v="1"/>
    <s v="Q2"/>
    <x v="5"/>
    <x v="0"/>
    <x v="0"/>
    <x v="0"/>
    <x v="1"/>
    <s v="Makeup Kit"/>
    <n v="1"/>
    <n v="74.3"/>
    <n v="0"/>
    <x v="2"/>
    <n v="74.3"/>
    <n v="36.78"/>
    <n v="37.520000000000003"/>
    <n v="1"/>
    <n v="0"/>
    <n v="5"/>
    <n v="4"/>
  </r>
  <r>
    <s v="SW-103729"/>
    <d v="2025-07-01T00:00:00"/>
    <x v="1"/>
    <s v="Q3"/>
    <x v="6"/>
    <x v="0"/>
    <x v="0"/>
    <x v="0"/>
    <x v="5"/>
    <s v="Board Game"/>
    <n v="3"/>
    <n v="57.92"/>
    <n v="0.2"/>
    <x v="1"/>
    <n v="139.01"/>
    <n v="126.85"/>
    <n v="12.16"/>
    <n v="1"/>
    <n v="0"/>
    <n v="3"/>
    <n v="4"/>
  </r>
  <r>
    <s v="SW-103730"/>
    <d v="2025-07-01T00:00:00"/>
    <x v="1"/>
    <s v="Q3"/>
    <x v="6"/>
    <x v="0"/>
    <x v="4"/>
    <x v="1"/>
    <x v="0"/>
    <s v="Leather Handbag"/>
    <n v="1"/>
    <n v="138.5"/>
    <n v="0.05"/>
    <x v="0"/>
    <n v="131.57"/>
    <n v="76.84"/>
    <n v="54.73"/>
    <n v="1"/>
    <n v="0"/>
    <n v="8"/>
    <n v="3"/>
  </r>
  <r>
    <s v="SW-103731"/>
    <d v="2025-07-01T00:00:00"/>
    <x v="1"/>
    <s v="Q3"/>
    <x v="6"/>
    <x v="1"/>
    <x v="3"/>
    <x v="1"/>
    <x v="4"/>
    <s v="Power Bank"/>
    <n v="2"/>
    <n v="508.8"/>
    <n v="0"/>
    <x v="2"/>
    <n v="1017.6"/>
    <n v="799.23"/>
    <n v="218.37"/>
    <n v="1"/>
    <n v="0"/>
    <n v="2"/>
    <n v="4"/>
  </r>
  <r>
    <s v="SW-103732"/>
    <d v="2025-07-02T00:00:00"/>
    <x v="1"/>
    <s v="Q3"/>
    <x v="6"/>
    <x v="2"/>
    <x v="0"/>
    <x v="1"/>
    <x v="1"/>
    <s v="Makeup Kit"/>
    <n v="1"/>
    <n v="74.3"/>
    <n v="0.25"/>
    <x v="3"/>
    <n v="55.72"/>
    <n v="34.33"/>
    <n v="21.39"/>
    <n v="1"/>
    <n v="0"/>
    <n v="4"/>
    <n v="5"/>
  </r>
  <r>
    <s v="SW-103733"/>
    <d v="2025-07-02T00:00:00"/>
    <x v="1"/>
    <s v="Q3"/>
    <x v="6"/>
    <x v="0"/>
    <x v="2"/>
    <x v="0"/>
    <x v="2"/>
    <s v="Coffee Maker"/>
    <n v="1"/>
    <n v="148.05000000000001"/>
    <n v="0"/>
    <x v="2"/>
    <n v="148.05000000000001"/>
    <n v="98.1"/>
    <n v="49.95"/>
    <n v="1"/>
    <n v="1"/>
    <n v="3"/>
    <n v="2"/>
  </r>
  <r>
    <s v="SW-103734"/>
    <d v="2025-07-02T00:00:00"/>
    <x v="1"/>
    <s v="Q3"/>
    <x v="6"/>
    <x v="0"/>
    <x v="3"/>
    <x v="0"/>
    <x v="5"/>
    <s v="Bestseller Novel"/>
    <n v="1"/>
    <n v="45.28"/>
    <n v="0.05"/>
    <x v="0"/>
    <n v="43.02"/>
    <n v="31.8"/>
    <n v="11.22"/>
    <n v="1"/>
    <n v="0"/>
    <n v="3"/>
    <n v="4"/>
  </r>
  <r>
    <s v="SW-103735"/>
    <d v="2025-07-02T00:00:00"/>
    <x v="1"/>
    <s v="Q3"/>
    <x v="6"/>
    <x v="1"/>
    <x v="2"/>
    <x v="1"/>
    <x v="1"/>
    <s v="Hair Dryer"/>
    <n v="1"/>
    <n v="33.18"/>
    <n v="0.3"/>
    <x v="3"/>
    <n v="23.23"/>
    <n v="15.84"/>
    <n v="7.39"/>
    <n v="1"/>
    <n v="0"/>
    <n v="3"/>
    <n v="4"/>
  </r>
  <r>
    <s v="SW-103736"/>
    <d v="2025-07-02T00:00:00"/>
    <x v="1"/>
    <s v="Q3"/>
    <x v="6"/>
    <x v="2"/>
    <x v="2"/>
    <x v="0"/>
    <x v="0"/>
    <s v="Sunglasses"/>
    <n v="1"/>
    <n v="104.94"/>
    <n v="0.1"/>
    <x v="0"/>
    <n v="94.45"/>
    <n v="55.82"/>
    <n v="38.630000000000003"/>
    <n v="1"/>
    <n v="0"/>
    <n v="3"/>
    <n v="3"/>
  </r>
  <r>
    <s v="SW-103737"/>
    <d v="2025-07-02T00:00:00"/>
    <x v="1"/>
    <s v="Q3"/>
    <x v="6"/>
    <x v="0"/>
    <x v="0"/>
    <x v="0"/>
    <x v="4"/>
    <s v="Smart Watch"/>
    <n v="1"/>
    <n v="216.08"/>
    <n v="0.05"/>
    <x v="0"/>
    <n v="205.28"/>
    <n v="176.2"/>
    <n v="29.08"/>
    <n v="1"/>
    <n v="0"/>
    <n v="3"/>
    <n v="4"/>
  </r>
  <r>
    <s v="SW-103738"/>
    <d v="2025-07-02T00:00:00"/>
    <x v="1"/>
    <s v="Q3"/>
    <x v="6"/>
    <x v="2"/>
    <x v="3"/>
    <x v="1"/>
    <x v="2"/>
    <s v="Storage Boxes"/>
    <n v="2"/>
    <n v="154.66"/>
    <n v="0.1"/>
    <x v="0"/>
    <n v="278.39"/>
    <n v="209.91"/>
    <n v="68.48"/>
    <n v="1"/>
    <n v="0"/>
    <n v="2"/>
    <n v="5"/>
  </r>
  <r>
    <s v="SW-103739"/>
    <d v="2025-07-02T00:00:00"/>
    <x v="1"/>
    <s v="Q3"/>
    <x v="6"/>
    <x v="0"/>
    <x v="0"/>
    <x v="0"/>
    <x v="3"/>
    <s v="Fitness Tracker"/>
    <n v="1"/>
    <n v="74.459999999999994"/>
    <n v="0.1"/>
    <x v="0"/>
    <n v="67.010000000000005"/>
    <n v="48.84"/>
    <n v="18.170000000000002"/>
    <n v="1"/>
    <n v="0"/>
    <n v="7"/>
    <n v="3"/>
  </r>
  <r>
    <s v="SW-103740"/>
    <d v="2025-07-02T00:00:00"/>
    <x v="1"/>
    <s v="Q3"/>
    <x v="6"/>
    <x v="0"/>
    <x v="2"/>
    <x v="1"/>
    <x v="0"/>
    <s v="Summer Dress"/>
    <n v="1"/>
    <n v="33.99"/>
    <n v="0"/>
    <x v="2"/>
    <n v="33.99"/>
    <n v="17.88"/>
    <n v="16.11"/>
    <n v="1"/>
    <n v="0"/>
    <n v="6"/>
    <n v="3"/>
  </r>
  <r>
    <s v="SW-103741"/>
    <d v="2025-07-02T00:00:00"/>
    <x v="1"/>
    <s v="Q3"/>
    <x v="6"/>
    <x v="1"/>
    <x v="2"/>
    <x v="1"/>
    <x v="4"/>
    <s v="Smart Watch"/>
    <n v="4"/>
    <n v="216.08"/>
    <n v="0"/>
    <x v="2"/>
    <n v="864.32"/>
    <n v="675.02"/>
    <n v="189.3"/>
    <n v="1"/>
    <n v="0"/>
    <n v="4"/>
    <n v="4"/>
  </r>
  <r>
    <s v="SW-103742"/>
    <d v="2025-07-03T00:00:00"/>
    <x v="1"/>
    <s v="Q3"/>
    <x v="6"/>
    <x v="2"/>
    <x v="3"/>
    <x v="1"/>
    <x v="0"/>
    <s v="Leather Handbag"/>
    <n v="2"/>
    <n v="138.5"/>
    <n v="0.25"/>
    <x v="3"/>
    <n v="207.75"/>
    <n v="155.41999999999999"/>
    <n v="52.33"/>
    <n v="1"/>
    <n v="0"/>
    <n v="5"/>
    <n v="4"/>
  </r>
  <r>
    <s v="SW-103743"/>
    <d v="2025-07-03T00:00:00"/>
    <x v="1"/>
    <s v="Q3"/>
    <x v="6"/>
    <x v="0"/>
    <x v="4"/>
    <x v="1"/>
    <x v="1"/>
    <s v="Hair Dryer"/>
    <n v="1"/>
    <n v="33.18"/>
    <n v="0.25"/>
    <x v="3"/>
    <n v="24.88"/>
    <n v="15.98"/>
    <n v="8.9"/>
    <n v="1"/>
    <n v="0"/>
    <n v="6"/>
    <n v="3"/>
  </r>
  <r>
    <s v="SW-103744"/>
    <d v="2025-07-03T00:00:00"/>
    <x v="1"/>
    <s v="Q3"/>
    <x v="6"/>
    <x v="0"/>
    <x v="2"/>
    <x v="1"/>
    <x v="2"/>
    <s v="Air Fryer"/>
    <n v="1"/>
    <n v="68.349999999999994"/>
    <n v="0"/>
    <x v="2"/>
    <n v="68.349999999999994"/>
    <n v="44.45"/>
    <n v="23.9"/>
    <n v="1"/>
    <n v="0"/>
    <n v="3"/>
    <n v="5"/>
  </r>
  <r>
    <s v="SW-103745"/>
    <d v="2025-07-03T00:00:00"/>
    <x v="1"/>
    <s v="Q3"/>
    <x v="6"/>
    <x v="0"/>
    <x v="0"/>
    <x v="1"/>
    <x v="5"/>
    <s v="Bestseller Novel"/>
    <n v="2"/>
    <n v="45.28"/>
    <n v="0.05"/>
    <x v="0"/>
    <n v="86.03"/>
    <n v="62.32"/>
    <n v="23.71"/>
    <n v="1"/>
    <n v="0"/>
    <n v="4"/>
    <n v="4"/>
  </r>
  <r>
    <s v="SW-103746"/>
    <d v="2025-07-04T00:00:00"/>
    <x v="1"/>
    <s v="Q3"/>
    <x v="6"/>
    <x v="0"/>
    <x v="0"/>
    <x v="1"/>
    <x v="5"/>
    <s v="Bestseller Novel"/>
    <n v="1"/>
    <n v="45.28"/>
    <n v="0"/>
    <x v="2"/>
    <n v="45.28"/>
    <n v="32.99"/>
    <n v="12.29"/>
    <n v="1"/>
    <n v="0"/>
    <n v="4"/>
    <n v="5"/>
  </r>
  <r>
    <s v="SW-103747"/>
    <d v="2025-07-04T00:00:00"/>
    <x v="1"/>
    <s v="Q3"/>
    <x v="6"/>
    <x v="1"/>
    <x v="2"/>
    <x v="1"/>
    <x v="0"/>
    <s v="Summer Dress"/>
    <n v="1"/>
    <n v="33.99"/>
    <n v="0.05"/>
    <x v="0"/>
    <n v="32.29"/>
    <n v="18.14"/>
    <n v="14.15"/>
    <n v="1"/>
    <n v="0"/>
    <n v="3"/>
    <n v="4"/>
  </r>
  <r>
    <s v="SW-103748"/>
    <d v="2025-07-04T00:00:00"/>
    <x v="1"/>
    <s v="Q3"/>
    <x v="6"/>
    <x v="1"/>
    <x v="1"/>
    <x v="0"/>
    <x v="4"/>
    <s v="4K Action Camera"/>
    <n v="1"/>
    <n v="636.09"/>
    <n v="0.1"/>
    <x v="0"/>
    <n v="572.48"/>
    <n v="515.12"/>
    <n v="57.36"/>
    <n v="1"/>
    <n v="0"/>
    <n v="5"/>
    <n v="4"/>
  </r>
  <r>
    <s v="SW-103749"/>
    <d v="2025-07-04T00:00:00"/>
    <x v="1"/>
    <s v="Q3"/>
    <x v="6"/>
    <x v="1"/>
    <x v="0"/>
    <x v="0"/>
    <x v="0"/>
    <s v="Sunglasses"/>
    <n v="2"/>
    <n v="104.94"/>
    <n v="0.05"/>
    <x v="0"/>
    <n v="199.39"/>
    <n v="115.07"/>
    <n v="84.32"/>
    <n v="1"/>
    <n v="0"/>
    <n v="6"/>
    <n v="4"/>
  </r>
  <r>
    <s v="SW-103750"/>
    <d v="2025-07-04T00:00:00"/>
    <x v="1"/>
    <s v="Q3"/>
    <x v="6"/>
    <x v="2"/>
    <x v="0"/>
    <x v="0"/>
    <x v="0"/>
    <s v="Cotton T-Shirt"/>
    <n v="3"/>
    <n v="19.41"/>
    <n v="0.1"/>
    <x v="0"/>
    <n v="52.41"/>
    <n v="32.119999999999997"/>
    <n v="20.29"/>
    <n v="1"/>
    <n v="0"/>
    <n v="4"/>
    <n v="5"/>
  </r>
  <r>
    <s v="SW-103751"/>
    <d v="2025-07-04T00:00:00"/>
    <x v="1"/>
    <s v="Q3"/>
    <x v="6"/>
    <x v="2"/>
    <x v="0"/>
    <x v="1"/>
    <x v="4"/>
    <s v="Tablet 10in"/>
    <n v="1"/>
    <n v="490.3"/>
    <n v="0.05"/>
    <x v="0"/>
    <n v="465.78"/>
    <n v="403.38"/>
    <n v="62.4"/>
    <n v="1"/>
    <n v="0"/>
    <n v="5"/>
    <n v="5"/>
  </r>
  <r>
    <s v="SW-103752"/>
    <d v="2025-07-04T00:00:00"/>
    <x v="1"/>
    <s v="Q3"/>
    <x v="6"/>
    <x v="1"/>
    <x v="3"/>
    <x v="0"/>
    <x v="4"/>
    <s v="Tablet 10in"/>
    <n v="1"/>
    <n v="490.3"/>
    <n v="0"/>
    <x v="2"/>
    <n v="490.3"/>
    <n v="394.98"/>
    <n v="95.32"/>
    <n v="1"/>
    <n v="0"/>
    <n v="2"/>
    <n v="5"/>
  </r>
  <r>
    <s v="SW-103753"/>
    <d v="2025-07-05T00:00:00"/>
    <x v="1"/>
    <s v="Q3"/>
    <x v="6"/>
    <x v="1"/>
    <x v="2"/>
    <x v="0"/>
    <x v="4"/>
    <s v="Power Bank"/>
    <n v="1"/>
    <n v="508.8"/>
    <n v="0.1"/>
    <x v="0"/>
    <n v="457.92"/>
    <n v="431.66"/>
    <n v="26.26"/>
    <n v="1"/>
    <n v="0"/>
    <n v="4"/>
    <n v="4"/>
  </r>
  <r>
    <s v="SW-103754"/>
    <d v="2025-07-05T00:00:00"/>
    <x v="1"/>
    <s v="Q3"/>
    <x v="6"/>
    <x v="0"/>
    <x v="3"/>
    <x v="0"/>
    <x v="2"/>
    <s v="Coffee Maker"/>
    <n v="2"/>
    <n v="148.05000000000001"/>
    <n v="0"/>
    <x v="2"/>
    <n v="296.10000000000002"/>
    <n v="188.59"/>
    <n v="107.51"/>
    <n v="1"/>
    <n v="0"/>
    <n v="2"/>
    <n v="5"/>
  </r>
  <r>
    <s v="SW-103755"/>
    <d v="2025-07-05T00:00:00"/>
    <x v="1"/>
    <s v="Q3"/>
    <x v="6"/>
    <x v="0"/>
    <x v="3"/>
    <x v="1"/>
    <x v="5"/>
    <s v="Building Blocks"/>
    <n v="1"/>
    <n v="48.86"/>
    <n v="0.1"/>
    <x v="0"/>
    <n v="43.97"/>
    <n v="34.54"/>
    <n v="9.43"/>
    <n v="1"/>
    <n v="0"/>
    <n v="3"/>
    <n v="5"/>
  </r>
  <r>
    <s v="SW-103756"/>
    <d v="2025-07-05T00:00:00"/>
    <x v="1"/>
    <s v="Q3"/>
    <x v="6"/>
    <x v="0"/>
    <x v="0"/>
    <x v="1"/>
    <x v="4"/>
    <s v="Wireless Earbuds"/>
    <n v="1"/>
    <n v="588.41"/>
    <n v="0.1"/>
    <x v="0"/>
    <n v="529.57000000000005"/>
    <n v="473.87"/>
    <n v="55.7"/>
    <n v="1"/>
    <n v="0"/>
    <n v="3"/>
    <n v="5"/>
  </r>
  <r>
    <s v="SW-103757"/>
    <d v="2025-07-05T00:00:00"/>
    <x v="1"/>
    <s v="Q3"/>
    <x v="6"/>
    <x v="0"/>
    <x v="3"/>
    <x v="1"/>
    <x v="5"/>
    <s v="Kids Puzzle"/>
    <n v="1"/>
    <n v="16.97"/>
    <n v="0.1"/>
    <x v="0"/>
    <n v="15.27"/>
    <n v="11.82"/>
    <n v="3.45"/>
    <n v="1"/>
    <n v="0"/>
    <n v="2"/>
    <n v="5"/>
  </r>
  <r>
    <s v="SW-103758"/>
    <d v="2025-07-05T00:00:00"/>
    <x v="1"/>
    <s v="Q3"/>
    <x v="6"/>
    <x v="1"/>
    <x v="2"/>
    <x v="1"/>
    <x v="4"/>
    <s v="Tablet 10in"/>
    <n v="1"/>
    <n v="490.3"/>
    <n v="0.1"/>
    <x v="0"/>
    <n v="441.27"/>
    <n v="389.02"/>
    <n v="52.25"/>
    <n v="1"/>
    <n v="0"/>
    <n v="6"/>
    <n v="2"/>
  </r>
  <r>
    <s v="SW-103759"/>
    <d v="2025-07-05T00:00:00"/>
    <x v="1"/>
    <s v="Q3"/>
    <x v="6"/>
    <x v="2"/>
    <x v="3"/>
    <x v="0"/>
    <x v="1"/>
    <s v="Skin Care Bundle"/>
    <n v="1"/>
    <n v="92.54"/>
    <n v="0.1"/>
    <x v="0"/>
    <n v="83.29"/>
    <n v="44.35"/>
    <n v="38.94"/>
    <n v="1"/>
    <n v="0"/>
    <n v="3"/>
    <n v="5"/>
  </r>
  <r>
    <s v="SW-103760"/>
    <d v="2025-07-05T00:00:00"/>
    <x v="1"/>
    <s v="Q3"/>
    <x v="6"/>
    <x v="1"/>
    <x v="2"/>
    <x v="0"/>
    <x v="4"/>
    <s v="Tablet 10in"/>
    <n v="2"/>
    <n v="490.3"/>
    <n v="0"/>
    <x v="2"/>
    <n v="980.6"/>
    <n v="779.63"/>
    <n v="200.97"/>
    <n v="1"/>
    <n v="0"/>
    <n v="3"/>
    <n v="5"/>
  </r>
  <r>
    <s v="SW-103761"/>
    <d v="2025-07-05T00:00:00"/>
    <x v="1"/>
    <s v="Q3"/>
    <x v="6"/>
    <x v="0"/>
    <x v="4"/>
    <x v="0"/>
    <x v="4"/>
    <s v="Tablet 10in"/>
    <n v="1"/>
    <n v="490.3"/>
    <n v="0.1"/>
    <x v="0"/>
    <n v="441.27"/>
    <n v="409.19"/>
    <n v="32.08"/>
    <n v="1"/>
    <n v="0"/>
    <n v="6"/>
    <n v="3"/>
  </r>
  <r>
    <s v="SW-103762"/>
    <d v="2025-07-05T00:00:00"/>
    <x v="1"/>
    <s v="Q3"/>
    <x v="6"/>
    <x v="1"/>
    <x v="4"/>
    <x v="0"/>
    <x v="0"/>
    <s v="Cotton T-Shirt"/>
    <n v="1"/>
    <n v="19.41"/>
    <n v="0.15"/>
    <x v="1"/>
    <n v="16.5"/>
    <n v="10.53"/>
    <n v="5.97"/>
    <n v="1"/>
    <n v="0"/>
    <n v="6"/>
    <n v="3"/>
  </r>
  <r>
    <s v="SW-103763"/>
    <d v="2025-07-05T00:00:00"/>
    <x v="1"/>
    <s v="Q3"/>
    <x v="6"/>
    <x v="1"/>
    <x v="3"/>
    <x v="1"/>
    <x v="4"/>
    <s v="Smart Watch"/>
    <n v="1"/>
    <n v="216.08"/>
    <n v="0.15"/>
    <x v="1"/>
    <n v="183.67"/>
    <n v="178.76"/>
    <n v="4.91"/>
    <n v="1"/>
    <n v="0"/>
    <n v="2"/>
    <n v="3"/>
  </r>
  <r>
    <s v="SW-103764"/>
    <d v="2025-07-05T00:00:00"/>
    <x v="1"/>
    <s v="Q3"/>
    <x v="6"/>
    <x v="2"/>
    <x v="2"/>
    <x v="1"/>
    <x v="4"/>
    <s v="Wireless Earbuds"/>
    <n v="2"/>
    <n v="588.41"/>
    <n v="0"/>
    <x v="2"/>
    <n v="1176.82"/>
    <n v="934.56"/>
    <n v="242.26"/>
    <n v="1"/>
    <n v="0"/>
    <n v="3"/>
    <n v="5"/>
  </r>
  <r>
    <s v="SW-103765"/>
    <d v="2025-07-06T00:00:00"/>
    <x v="1"/>
    <s v="Q3"/>
    <x v="6"/>
    <x v="2"/>
    <x v="0"/>
    <x v="1"/>
    <x v="2"/>
    <s v="Storage Boxes"/>
    <n v="3"/>
    <n v="154.66"/>
    <n v="0"/>
    <x v="2"/>
    <n v="463.98"/>
    <n v="298.97000000000003"/>
    <n v="165.01"/>
    <n v="1"/>
    <n v="0"/>
    <n v="6"/>
    <n v="3"/>
  </r>
  <r>
    <s v="SW-103766"/>
    <d v="2025-07-06T00:00:00"/>
    <x v="1"/>
    <s v="Q3"/>
    <x v="6"/>
    <x v="2"/>
    <x v="4"/>
    <x v="0"/>
    <x v="4"/>
    <s v="Power Bank"/>
    <n v="1"/>
    <n v="508.8"/>
    <n v="0"/>
    <x v="2"/>
    <n v="508.8"/>
    <n v="400.49"/>
    <n v="108.31"/>
    <n v="1"/>
    <n v="0"/>
    <n v="5"/>
    <n v="4"/>
  </r>
  <r>
    <s v="SW-103767"/>
    <d v="2025-07-06T00:00:00"/>
    <x v="1"/>
    <s v="Q3"/>
    <x v="6"/>
    <x v="2"/>
    <x v="2"/>
    <x v="0"/>
    <x v="0"/>
    <s v="Summer Dress"/>
    <n v="2"/>
    <n v="33.99"/>
    <n v="0"/>
    <x v="2"/>
    <n v="67.98"/>
    <n v="37.43"/>
    <n v="30.55"/>
    <n v="1"/>
    <n v="0"/>
    <n v="4"/>
    <n v="5"/>
  </r>
  <r>
    <s v="SW-103768"/>
    <d v="2025-07-06T00:00:00"/>
    <x v="1"/>
    <s v="Q3"/>
    <x v="6"/>
    <x v="1"/>
    <x v="0"/>
    <x v="0"/>
    <x v="4"/>
    <s v="Power Bank"/>
    <n v="2"/>
    <n v="508.8"/>
    <n v="0"/>
    <x v="2"/>
    <n v="1017.6"/>
    <n v="830.56"/>
    <n v="187.04"/>
    <n v="1"/>
    <n v="0"/>
    <n v="4"/>
    <n v="4"/>
  </r>
  <r>
    <s v="SW-103769"/>
    <d v="2025-07-07T00:00:00"/>
    <x v="1"/>
    <s v="Q3"/>
    <x v="6"/>
    <x v="1"/>
    <x v="2"/>
    <x v="0"/>
    <x v="2"/>
    <s v="Air Fryer"/>
    <n v="2"/>
    <n v="68.349999999999994"/>
    <n v="0.3"/>
    <x v="3"/>
    <n v="95.69"/>
    <n v="97.52"/>
    <n v="-1.83"/>
    <n v="1"/>
    <n v="0"/>
    <n v="6"/>
    <n v="4"/>
  </r>
  <r>
    <s v="SW-103770"/>
    <d v="2025-07-07T00:00:00"/>
    <x v="1"/>
    <s v="Q3"/>
    <x v="6"/>
    <x v="0"/>
    <x v="3"/>
    <x v="1"/>
    <x v="2"/>
    <s v="Storage Boxes"/>
    <n v="1"/>
    <n v="154.66"/>
    <n v="0"/>
    <x v="2"/>
    <n v="154.66"/>
    <n v="98.14"/>
    <n v="56.52"/>
    <n v="1"/>
    <n v="0"/>
    <n v="2"/>
    <n v="5"/>
  </r>
  <r>
    <s v="SW-103771"/>
    <d v="2025-07-07T00:00:00"/>
    <x v="1"/>
    <s v="Q3"/>
    <x v="6"/>
    <x v="1"/>
    <x v="2"/>
    <x v="1"/>
    <x v="3"/>
    <s v="Cycling Helmet"/>
    <n v="1"/>
    <n v="85.42"/>
    <n v="0.2"/>
    <x v="1"/>
    <n v="68.34"/>
    <n v="57.89"/>
    <n v="10.45"/>
    <n v="1"/>
    <n v="0"/>
    <n v="4"/>
    <n v="4"/>
  </r>
  <r>
    <s v="SW-103772"/>
    <d v="2025-07-07T00:00:00"/>
    <x v="1"/>
    <s v="Q3"/>
    <x v="6"/>
    <x v="1"/>
    <x v="2"/>
    <x v="1"/>
    <x v="2"/>
    <s v="Desk Lamp"/>
    <n v="2"/>
    <n v="117.63"/>
    <n v="0"/>
    <x v="2"/>
    <n v="235.26"/>
    <n v="161.19"/>
    <n v="74.069999999999993"/>
    <n v="1"/>
    <n v="0"/>
    <n v="3"/>
    <n v="3"/>
  </r>
  <r>
    <s v="SW-103773"/>
    <d v="2025-07-08T00:00:00"/>
    <x v="1"/>
    <s v="Q3"/>
    <x v="6"/>
    <x v="0"/>
    <x v="0"/>
    <x v="0"/>
    <x v="5"/>
    <s v="Board Game"/>
    <n v="1"/>
    <n v="57.92"/>
    <n v="0"/>
    <x v="2"/>
    <n v="57.92"/>
    <n v="42.02"/>
    <n v="15.9"/>
    <n v="1"/>
    <n v="0"/>
    <n v="4"/>
    <n v="5"/>
  </r>
  <r>
    <s v="SW-103774"/>
    <d v="2025-07-08T00:00:00"/>
    <x v="1"/>
    <s v="Q3"/>
    <x v="6"/>
    <x v="1"/>
    <x v="2"/>
    <x v="1"/>
    <x v="4"/>
    <s v="Power Bank"/>
    <n v="1"/>
    <n v="508.8"/>
    <n v="0"/>
    <x v="2"/>
    <n v="508.8"/>
    <n v="424.39"/>
    <n v="84.41"/>
    <n v="1"/>
    <n v="0"/>
    <n v="4"/>
    <n v="5"/>
  </r>
  <r>
    <s v="SW-103775"/>
    <d v="2025-07-08T00:00:00"/>
    <x v="1"/>
    <s v="Q3"/>
    <x v="6"/>
    <x v="1"/>
    <x v="4"/>
    <x v="1"/>
    <x v="3"/>
    <s v="Camping Tent"/>
    <n v="1"/>
    <n v="83.06"/>
    <n v="0.1"/>
    <x v="0"/>
    <n v="74.75"/>
    <n v="54.94"/>
    <n v="19.809999999999999"/>
    <n v="1"/>
    <n v="0"/>
    <n v="7"/>
    <n v="3"/>
  </r>
  <r>
    <s v="SW-103776"/>
    <d v="2025-07-08T00:00:00"/>
    <x v="1"/>
    <s v="Q3"/>
    <x v="6"/>
    <x v="1"/>
    <x v="2"/>
    <x v="1"/>
    <x v="4"/>
    <s v="Tablet 10in"/>
    <n v="1"/>
    <n v="490.3"/>
    <n v="0"/>
    <x v="2"/>
    <n v="490.3"/>
    <n v="381.71"/>
    <n v="108.59"/>
    <n v="1"/>
    <n v="0"/>
    <n v="4"/>
    <n v="5"/>
  </r>
  <r>
    <s v="SW-103777"/>
    <d v="2025-07-08T00:00:00"/>
    <x v="1"/>
    <s v="Q3"/>
    <x v="6"/>
    <x v="1"/>
    <x v="0"/>
    <x v="0"/>
    <x v="1"/>
    <s v="Skin Care Bundle"/>
    <n v="1"/>
    <n v="92.54"/>
    <n v="0.15"/>
    <x v="1"/>
    <n v="78.66"/>
    <n v="42.91"/>
    <n v="35.75"/>
    <n v="1"/>
    <n v="0"/>
    <n v="3"/>
    <n v="3"/>
  </r>
  <r>
    <s v="SW-103778"/>
    <d v="2025-07-08T00:00:00"/>
    <x v="1"/>
    <s v="Q3"/>
    <x v="6"/>
    <x v="2"/>
    <x v="3"/>
    <x v="1"/>
    <x v="4"/>
    <s v="4K Action Camera"/>
    <n v="1"/>
    <n v="636.09"/>
    <n v="0"/>
    <x v="2"/>
    <n v="636.09"/>
    <n v="504.64"/>
    <n v="131.44999999999999"/>
    <n v="1"/>
    <n v="0"/>
    <n v="4"/>
    <n v="4"/>
  </r>
  <r>
    <s v="SW-103779"/>
    <d v="2025-07-08T00:00:00"/>
    <x v="1"/>
    <s v="Q3"/>
    <x v="6"/>
    <x v="0"/>
    <x v="1"/>
    <x v="0"/>
    <x v="3"/>
    <s v="Fitness Tracker"/>
    <n v="1"/>
    <n v="74.459999999999994"/>
    <n v="0"/>
    <x v="2"/>
    <n v="74.459999999999994"/>
    <n v="50.13"/>
    <n v="24.33"/>
    <n v="1"/>
    <n v="0"/>
    <n v="6"/>
    <n v="3"/>
  </r>
  <r>
    <s v="SW-103780"/>
    <d v="2025-07-08T00:00:00"/>
    <x v="1"/>
    <s v="Q3"/>
    <x v="6"/>
    <x v="2"/>
    <x v="0"/>
    <x v="0"/>
    <x v="4"/>
    <s v="Wireless Earbuds"/>
    <n v="1"/>
    <n v="588.41"/>
    <n v="0"/>
    <x v="2"/>
    <n v="588.41"/>
    <n v="485.04"/>
    <n v="103.37"/>
    <n v="1"/>
    <n v="0"/>
    <n v="3"/>
    <n v="5"/>
  </r>
  <r>
    <s v="SW-103781"/>
    <d v="2025-07-08T00:00:00"/>
    <x v="1"/>
    <s v="Q3"/>
    <x v="6"/>
    <x v="2"/>
    <x v="2"/>
    <x v="1"/>
    <x v="1"/>
    <s v="Hair Dryer"/>
    <n v="1"/>
    <n v="33.18"/>
    <n v="0.2"/>
    <x v="1"/>
    <n v="26.54"/>
    <n v="15.99"/>
    <n v="10.55"/>
    <n v="1"/>
    <n v="0"/>
    <n v="4"/>
    <n v="3"/>
  </r>
  <r>
    <s v="SW-103782"/>
    <d v="2025-07-09T00:00:00"/>
    <x v="1"/>
    <s v="Q3"/>
    <x v="6"/>
    <x v="0"/>
    <x v="0"/>
    <x v="0"/>
    <x v="1"/>
    <s v="Makeup Kit"/>
    <n v="2"/>
    <n v="74.3"/>
    <n v="0.1"/>
    <x v="0"/>
    <n v="133.74"/>
    <n v="68.19"/>
    <n v="65.55"/>
    <n v="1"/>
    <n v="0"/>
    <n v="3"/>
    <n v="5"/>
  </r>
  <r>
    <s v="SW-103783"/>
    <d v="2025-07-09T00:00:00"/>
    <x v="1"/>
    <s v="Q3"/>
    <x v="6"/>
    <x v="0"/>
    <x v="2"/>
    <x v="1"/>
    <x v="4"/>
    <s v="4K Action Camera"/>
    <n v="3"/>
    <n v="636.09"/>
    <n v="0"/>
    <x v="2"/>
    <n v="1908.27"/>
    <n v="1562.97"/>
    <n v="345.3"/>
    <n v="1"/>
    <n v="0"/>
    <n v="3"/>
    <n v="4"/>
  </r>
  <r>
    <s v="SW-103784"/>
    <d v="2025-07-09T00:00:00"/>
    <x v="1"/>
    <s v="Q3"/>
    <x v="6"/>
    <x v="0"/>
    <x v="3"/>
    <x v="0"/>
    <x v="1"/>
    <s v="Makeup Kit"/>
    <n v="4"/>
    <n v="74.3"/>
    <n v="0.2"/>
    <x v="1"/>
    <n v="237.76"/>
    <n v="143.9"/>
    <n v="93.86"/>
    <n v="1"/>
    <n v="0"/>
    <n v="4"/>
    <n v="5"/>
  </r>
  <r>
    <s v="SW-103785"/>
    <d v="2025-07-09T00:00:00"/>
    <x v="1"/>
    <s v="Q3"/>
    <x v="6"/>
    <x v="2"/>
    <x v="3"/>
    <x v="1"/>
    <x v="2"/>
    <s v="Desk Lamp"/>
    <n v="1"/>
    <n v="117.63"/>
    <n v="0.15"/>
    <x v="1"/>
    <n v="99.99"/>
    <n v="79.540000000000006"/>
    <n v="20.45"/>
    <n v="1"/>
    <n v="0"/>
    <n v="3"/>
    <n v="4"/>
  </r>
  <r>
    <s v="SW-103786"/>
    <d v="2025-07-09T00:00:00"/>
    <x v="1"/>
    <s v="Q3"/>
    <x v="6"/>
    <x v="0"/>
    <x v="4"/>
    <x v="0"/>
    <x v="3"/>
    <s v="Dumbbell Set"/>
    <n v="1"/>
    <n v="198.42"/>
    <n v="0.15"/>
    <x v="1"/>
    <n v="168.66"/>
    <n v="129.27000000000001"/>
    <n v="39.39"/>
    <n v="1"/>
    <n v="0"/>
    <n v="6"/>
    <n v="4"/>
  </r>
  <r>
    <s v="SW-103787"/>
    <d v="2025-07-10T00:00:00"/>
    <x v="1"/>
    <s v="Q3"/>
    <x v="6"/>
    <x v="1"/>
    <x v="3"/>
    <x v="0"/>
    <x v="3"/>
    <s v="Yoga Mat"/>
    <n v="2"/>
    <n v="137.05000000000001"/>
    <n v="0.15"/>
    <x v="1"/>
    <n v="232.98"/>
    <n v="187"/>
    <n v="45.98"/>
    <n v="1"/>
    <n v="0"/>
    <n v="3"/>
    <n v="5"/>
  </r>
  <r>
    <s v="SW-103788"/>
    <d v="2025-07-10T00:00:00"/>
    <x v="1"/>
    <s v="Q3"/>
    <x v="6"/>
    <x v="0"/>
    <x v="3"/>
    <x v="1"/>
    <x v="4"/>
    <s v="Smart Watch"/>
    <n v="4"/>
    <n v="216.08"/>
    <n v="0"/>
    <x v="2"/>
    <n v="864.32"/>
    <n v="693.41"/>
    <n v="170.91"/>
    <n v="1"/>
    <n v="0"/>
    <n v="4"/>
    <n v="5"/>
  </r>
  <r>
    <s v="SW-103789"/>
    <d v="2025-07-10T00:00:00"/>
    <x v="1"/>
    <s v="Q3"/>
    <x v="6"/>
    <x v="1"/>
    <x v="2"/>
    <x v="0"/>
    <x v="2"/>
    <s v="Storage Boxes"/>
    <n v="1"/>
    <n v="154.66"/>
    <n v="0"/>
    <x v="2"/>
    <n v="154.66"/>
    <n v="101.59"/>
    <n v="53.07"/>
    <n v="1"/>
    <n v="0"/>
    <n v="3"/>
    <n v="4"/>
  </r>
  <r>
    <s v="SW-103790"/>
    <d v="2025-07-10T00:00:00"/>
    <x v="1"/>
    <s v="Q3"/>
    <x v="6"/>
    <x v="1"/>
    <x v="0"/>
    <x v="0"/>
    <x v="0"/>
    <s v="Running Sneakers"/>
    <n v="1"/>
    <n v="94.85"/>
    <n v="0.2"/>
    <x v="1"/>
    <n v="75.88"/>
    <n v="49.76"/>
    <n v="26.12"/>
    <n v="1"/>
    <n v="1"/>
    <n v="6"/>
    <n v="3"/>
  </r>
  <r>
    <s v="SW-103791"/>
    <d v="2025-07-10T00:00:00"/>
    <x v="1"/>
    <s v="Q3"/>
    <x v="6"/>
    <x v="1"/>
    <x v="1"/>
    <x v="0"/>
    <x v="0"/>
    <s v="Cotton T-Shirt"/>
    <n v="3"/>
    <n v="19.41"/>
    <n v="0.1"/>
    <x v="0"/>
    <n v="52.41"/>
    <n v="29.5"/>
    <n v="22.91"/>
    <n v="1"/>
    <n v="0"/>
    <n v="5"/>
    <n v="5"/>
  </r>
  <r>
    <s v="SW-103792"/>
    <d v="2025-07-10T00:00:00"/>
    <x v="1"/>
    <s v="Q3"/>
    <x v="6"/>
    <x v="0"/>
    <x v="2"/>
    <x v="1"/>
    <x v="3"/>
    <s v="Dumbbell Set"/>
    <n v="3"/>
    <n v="198.42"/>
    <n v="0"/>
    <x v="2"/>
    <n v="595.26"/>
    <n v="393.7"/>
    <n v="201.56"/>
    <n v="1"/>
    <n v="0"/>
    <n v="4"/>
    <n v="3"/>
  </r>
  <r>
    <s v="SW-103793"/>
    <d v="2025-07-10T00:00:00"/>
    <x v="1"/>
    <s v="Q3"/>
    <x v="6"/>
    <x v="2"/>
    <x v="4"/>
    <x v="1"/>
    <x v="4"/>
    <s v="Power Bank"/>
    <n v="1"/>
    <n v="508.8"/>
    <n v="0.1"/>
    <x v="0"/>
    <n v="457.92"/>
    <n v="419.44"/>
    <n v="38.479999999999997"/>
    <n v="1"/>
    <n v="0"/>
    <n v="6"/>
    <n v="4"/>
  </r>
  <r>
    <s v="SW-103794"/>
    <d v="2025-07-10T00:00:00"/>
    <x v="1"/>
    <s v="Q3"/>
    <x v="6"/>
    <x v="1"/>
    <x v="3"/>
    <x v="1"/>
    <x v="5"/>
    <s v="Board Game"/>
    <n v="1"/>
    <n v="57.92"/>
    <n v="0"/>
    <x v="2"/>
    <n v="57.92"/>
    <n v="42.17"/>
    <n v="15.75"/>
    <n v="1"/>
    <n v="1"/>
    <n v="4"/>
    <n v="4"/>
  </r>
  <r>
    <s v="SW-103795"/>
    <d v="2025-07-11T00:00:00"/>
    <x v="1"/>
    <s v="Q3"/>
    <x v="6"/>
    <x v="2"/>
    <x v="2"/>
    <x v="0"/>
    <x v="1"/>
    <s v="Face Serum"/>
    <n v="1"/>
    <n v="33.479999999999997"/>
    <n v="0.05"/>
    <x v="0"/>
    <n v="31.81"/>
    <n v="15.41"/>
    <n v="16.399999999999999"/>
    <n v="1"/>
    <n v="1"/>
    <n v="3"/>
    <n v="3"/>
  </r>
  <r>
    <s v="SW-103796"/>
    <d v="2025-07-11T00:00:00"/>
    <x v="1"/>
    <s v="Q3"/>
    <x v="6"/>
    <x v="1"/>
    <x v="3"/>
    <x v="1"/>
    <x v="2"/>
    <s v="Coffee Maker"/>
    <n v="1"/>
    <n v="148.05000000000001"/>
    <n v="0.25"/>
    <x v="3"/>
    <n v="111.04"/>
    <n v="98.36"/>
    <n v="12.68"/>
    <n v="1"/>
    <n v="0"/>
    <n v="2"/>
    <n v="4"/>
  </r>
  <r>
    <s v="SW-103797"/>
    <d v="2025-07-11T00:00:00"/>
    <x v="1"/>
    <s v="Q3"/>
    <x v="6"/>
    <x v="1"/>
    <x v="1"/>
    <x v="1"/>
    <x v="4"/>
    <s v="4K Action Camera"/>
    <n v="1"/>
    <n v="636.09"/>
    <n v="0.1"/>
    <x v="0"/>
    <n v="572.48"/>
    <n v="498.29"/>
    <n v="74.19"/>
    <n v="1"/>
    <n v="0"/>
    <n v="6"/>
    <n v="4"/>
  </r>
  <r>
    <s v="SW-103798"/>
    <d v="2025-07-11T00:00:00"/>
    <x v="1"/>
    <s v="Q3"/>
    <x v="6"/>
    <x v="1"/>
    <x v="3"/>
    <x v="1"/>
    <x v="0"/>
    <s v="Summer Dress"/>
    <n v="1"/>
    <n v="33.99"/>
    <n v="0.1"/>
    <x v="0"/>
    <n v="30.59"/>
    <n v="19.260000000000002"/>
    <n v="11.33"/>
    <n v="1"/>
    <n v="0"/>
    <n v="2"/>
    <n v="4"/>
  </r>
  <r>
    <s v="SW-103799"/>
    <d v="2025-07-11T00:00:00"/>
    <x v="1"/>
    <s v="Q3"/>
    <x v="6"/>
    <x v="0"/>
    <x v="2"/>
    <x v="1"/>
    <x v="4"/>
    <s v="Smart Watch"/>
    <n v="1"/>
    <n v="216.08"/>
    <n v="0"/>
    <x v="2"/>
    <n v="216.08"/>
    <n v="179.82"/>
    <n v="36.26"/>
    <n v="1"/>
    <n v="0"/>
    <n v="4"/>
    <n v="4"/>
  </r>
  <r>
    <s v="SW-103800"/>
    <d v="2025-07-11T00:00:00"/>
    <x v="1"/>
    <s v="Q3"/>
    <x v="6"/>
    <x v="1"/>
    <x v="2"/>
    <x v="1"/>
    <x v="3"/>
    <s v="Cycling Helmet"/>
    <n v="1"/>
    <n v="85.42"/>
    <n v="0"/>
    <x v="2"/>
    <n v="85.42"/>
    <n v="57.48"/>
    <n v="27.94"/>
    <n v="1"/>
    <n v="1"/>
    <n v="3"/>
    <n v="2"/>
  </r>
  <r>
    <s v="SW-103801"/>
    <d v="2025-07-12T00:00:00"/>
    <x v="1"/>
    <s v="Q3"/>
    <x v="6"/>
    <x v="2"/>
    <x v="0"/>
    <x v="1"/>
    <x v="3"/>
    <s v="Yoga Mat"/>
    <n v="1"/>
    <n v="137.05000000000001"/>
    <n v="0.05"/>
    <x v="0"/>
    <n v="130.19999999999999"/>
    <n v="92.5"/>
    <n v="37.700000000000003"/>
    <n v="1"/>
    <n v="0"/>
    <n v="3"/>
    <n v="4"/>
  </r>
  <r>
    <s v="SW-103802"/>
    <d v="2025-07-12T00:00:00"/>
    <x v="1"/>
    <s v="Q3"/>
    <x v="6"/>
    <x v="0"/>
    <x v="3"/>
    <x v="0"/>
    <x v="2"/>
    <s v="Cookware Set"/>
    <n v="1"/>
    <n v="233.81"/>
    <n v="0.05"/>
    <x v="0"/>
    <n v="222.12"/>
    <n v="161.47"/>
    <n v="60.65"/>
    <n v="1"/>
    <n v="0"/>
    <n v="2"/>
    <n v="4"/>
  </r>
  <r>
    <s v="SW-103803"/>
    <d v="2025-07-12T00:00:00"/>
    <x v="1"/>
    <s v="Q3"/>
    <x v="6"/>
    <x v="0"/>
    <x v="0"/>
    <x v="0"/>
    <x v="1"/>
    <s v="Makeup Kit"/>
    <n v="2"/>
    <n v="74.3"/>
    <n v="0.05"/>
    <x v="0"/>
    <n v="141.16999999999999"/>
    <n v="69.77"/>
    <n v="71.400000000000006"/>
    <n v="1"/>
    <n v="0"/>
    <n v="5"/>
    <n v="3"/>
  </r>
  <r>
    <s v="SW-103804"/>
    <d v="2025-07-12T00:00:00"/>
    <x v="1"/>
    <s v="Q3"/>
    <x v="6"/>
    <x v="1"/>
    <x v="0"/>
    <x v="1"/>
    <x v="0"/>
    <s v="Summer Dress"/>
    <n v="1"/>
    <n v="33.99"/>
    <n v="0.05"/>
    <x v="0"/>
    <n v="32.29"/>
    <n v="18.010000000000002"/>
    <n v="14.28"/>
    <n v="1"/>
    <n v="0"/>
    <n v="4"/>
    <n v="5"/>
  </r>
  <r>
    <s v="SW-103805"/>
    <d v="2025-07-12T00:00:00"/>
    <x v="1"/>
    <s v="Q3"/>
    <x v="6"/>
    <x v="1"/>
    <x v="0"/>
    <x v="1"/>
    <x v="4"/>
    <s v="Power Bank"/>
    <n v="2"/>
    <n v="508.8"/>
    <n v="0"/>
    <x v="2"/>
    <n v="1017.6"/>
    <n v="812.2"/>
    <n v="205.4"/>
    <n v="1"/>
    <n v="0"/>
    <n v="4"/>
    <n v="5"/>
  </r>
  <r>
    <s v="SW-103806"/>
    <d v="2025-07-12T00:00:00"/>
    <x v="1"/>
    <s v="Q3"/>
    <x v="6"/>
    <x v="0"/>
    <x v="0"/>
    <x v="0"/>
    <x v="1"/>
    <s v="Hair Dryer"/>
    <n v="1"/>
    <n v="33.18"/>
    <n v="0.2"/>
    <x v="1"/>
    <n v="26.54"/>
    <n v="16"/>
    <n v="10.54"/>
    <n v="1"/>
    <n v="0"/>
    <n v="6"/>
    <n v="3"/>
  </r>
  <r>
    <s v="SW-103807"/>
    <d v="2025-07-12T00:00:00"/>
    <x v="1"/>
    <s v="Q3"/>
    <x v="6"/>
    <x v="1"/>
    <x v="1"/>
    <x v="1"/>
    <x v="0"/>
    <s v="Leather Handbag"/>
    <n v="1"/>
    <n v="138.5"/>
    <n v="0.15"/>
    <x v="1"/>
    <n v="117.72"/>
    <n v="74.209999999999994"/>
    <n v="43.51"/>
    <n v="1"/>
    <n v="0"/>
    <n v="6"/>
    <n v="4"/>
  </r>
  <r>
    <s v="SW-103808"/>
    <d v="2025-07-12T00:00:00"/>
    <x v="1"/>
    <s v="Q3"/>
    <x v="6"/>
    <x v="2"/>
    <x v="1"/>
    <x v="1"/>
    <x v="5"/>
    <s v="Building Blocks"/>
    <n v="1"/>
    <n v="48.86"/>
    <n v="0"/>
    <x v="2"/>
    <n v="48.86"/>
    <n v="35.130000000000003"/>
    <n v="13.73"/>
    <n v="1"/>
    <n v="0"/>
    <n v="6"/>
    <n v="3"/>
  </r>
  <r>
    <s v="SW-103809"/>
    <d v="2025-07-13T00:00:00"/>
    <x v="1"/>
    <s v="Q3"/>
    <x v="6"/>
    <x v="0"/>
    <x v="0"/>
    <x v="1"/>
    <x v="2"/>
    <s v="Cookware Set"/>
    <n v="1"/>
    <n v="233.81"/>
    <n v="0.15"/>
    <x v="1"/>
    <n v="198.74"/>
    <n v="151.31"/>
    <n v="47.43"/>
    <n v="1"/>
    <n v="0"/>
    <n v="5"/>
    <n v="5"/>
  </r>
  <r>
    <s v="SW-103810"/>
    <d v="2025-07-13T00:00:00"/>
    <x v="1"/>
    <s v="Q3"/>
    <x v="6"/>
    <x v="2"/>
    <x v="0"/>
    <x v="1"/>
    <x v="3"/>
    <s v="Camping Tent"/>
    <n v="1"/>
    <n v="83.06"/>
    <n v="0.05"/>
    <x v="0"/>
    <n v="78.91"/>
    <n v="53.65"/>
    <n v="25.26"/>
    <n v="1"/>
    <n v="1"/>
    <n v="3"/>
    <n v="3"/>
  </r>
  <r>
    <s v="SW-103811"/>
    <d v="2025-07-13T00:00:00"/>
    <x v="1"/>
    <s v="Q3"/>
    <x v="6"/>
    <x v="0"/>
    <x v="3"/>
    <x v="1"/>
    <x v="4"/>
    <s v="Wireless Earbuds"/>
    <n v="2"/>
    <n v="588.41"/>
    <n v="0"/>
    <x v="2"/>
    <n v="1176.82"/>
    <n v="955.88"/>
    <n v="220.94"/>
    <n v="1"/>
    <n v="0"/>
    <n v="3"/>
    <n v="4"/>
  </r>
  <r>
    <s v="SW-103812"/>
    <d v="2025-07-13T00:00:00"/>
    <x v="1"/>
    <s v="Q3"/>
    <x v="6"/>
    <x v="0"/>
    <x v="0"/>
    <x v="0"/>
    <x v="3"/>
    <s v="Dumbbell Set"/>
    <n v="4"/>
    <n v="198.42"/>
    <n v="0"/>
    <x v="2"/>
    <n v="793.68"/>
    <n v="507.59"/>
    <n v="286.08999999999997"/>
    <n v="1"/>
    <n v="0"/>
    <n v="4"/>
    <n v="4"/>
  </r>
  <r>
    <s v="SW-103813"/>
    <d v="2025-07-13T00:00:00"/>
    <x v="1"/>
    <s v="Q3"/>
    <x v="6"/>
    <x v="2"/>
    <x v="3"/>
    <x v="1"/>
    <x v="0"/>
    <s v="Sunglasses"/>
    <n v="1"/>
    <n v="104.94"/>
    <n v="0.1"/>
    <x v="0"/>
    <n v="94.45"/>
    <n v="57.45"/>
    <n v="37"/>
    <n v="1"/>
    <n v="0"/>
    <n v="2"/>
    <n v="4"/>
  </r>
  <r>
    <s v="SW-103814"/>
    <d v="2025-07-13T00:00:00"/>
    <x v="1"/>
    <s v="Q3"/>
    <x v="6"/>
    <x v="1"/>
    <x v="0"/>
    <x v="0"/>
    <x v="0"/>
    <s v="Denim Jacket"/>
    <n v="1"/>
    <n v="78.510000000000005"/>
    <n v="0"/>
    <x v="2"/>
    <n v="78.510000000000005"/>
    <n v="42.15"/>
    <n v="36.36"/>
    <n v="1"/>
    <n v="1"/>
    <n v="3"/>
    <n v="4"/>
  </r>
  <r>
    <s v="SW-103815"/>
    <d v="2025-07-14T00:00:00"/>
    <x v="1"/>
    <s v="Q3"/>
    <x v="6"/>
    <x v="2"/>
    <x v="3"/>
    <x v="1"/>
    <x v="4"/>
    <s v="Wireless Earbuds"/>
    <n v="1"/>
    <n v="588.41"/>
    <n v="0.2"/>
    <x v="1"/>
    <n v="470.73"/>
    <n v="484.81"/>
    <n v="-14.08"/>
    <n v="1"/>
    <n v="0"/>
    <n v="4"/>
    <n v="5"/>
  </r>
  <r>
    <s v="SW-103816"/>
    <d v="2025-07-14T00:00:00"/>
    <x v="1"/>
    <s v="Q3"/>
    <x v="6"/>
    <x v="0"/>
    <x v="4"/>
    <x v="1"/>
    <x v="4"/>
    <s v="4K Action Camera"/>
    <n v="1"/>
    <n v="636.09"/>
    <n v="0"/>
    <x v="2"/>
    <n v="636.09"/>
    <n v="501.6"/>
    <n v="134.49"/>
    <n v="1"/>
    <n v="1"/>
    <n v="8"/>
    <n v="2"/>
  </r>
  <r>
    <s v="SW-103817"/>
    <d v="2025-07-14T00:00:00"/>
    <x v="1"/>
    <s v="Q3"/>
    <x v="6"/>
    <x v="1"/>
    <x v="2"/>
    <x v="1"/>
    <x v="3"/>
    <s v="Cycling Helmet"/>
    <n v="2"/>
    <n v="85.42"/>
    <n v="0"/>
    <x v="2"/>
    <n v="170.84"/>
    <n v="114.72"/>
    <n v="56.12"/>
    <n v="1"/>
    <n v="0"/>
    <n v="5"/>
    <n v="5"/>
  </r>
  <r>
    <s v="SW-103818"/>
    <d v="2025-07-14T00:00:00"/>
    <x v="1"/>
    <s v="Q3"/>
    <x v="6"/>
    <x v="0"/>
    <x v="4"/>
    <x v="0"/>
    <x v="4"/>
    <s v="4K Action Camera"/>
    <n v="1"/>
    <n v="636.09"/>
    <n v="0"/>
    <x v="2"/>
    <n v="636.09"/>
    <n v="500.57"/>
    <n v="135.52000000000001"/>
    <n v="1"/>
    <n v="0"/>
    <n v="6"/>
    <n v="3"/>
  </r>
  <r>
    <s v="SW-103819"/>
    <d v="2025-07-14T00:00:00"/>
    <x v="1"/>
    <s v="Q3"/>
    <x v="6"/>
    <x v="1"/>
    <x v="4"/>
    <x v="1"/>
    <x v="0"/>
    <s v="Running Sneakers"/>
    <n v="1"/>
    <n v="94.85"/>
    <n v="0"/>
    <x v="2"/>
    <n v="94.85"/>
    <n v="47.93"/>
    <n v="46.92"/>
    <n v="1"/>
    <n v="1"/>
    <n v="7"/>
    <n v="3"/>
  </r>
  <r>
    <s v="SW-103820"/>
    <d v="2025-07-14T00:00:00"/>
    <x v="1"/>
    <s v="Q3"/>
    <x v="6"/>
    <x v="0"/>
    <x v="4"/>
    <x v="1"/>
    <x v="0"/>
    <s v="Denim Jacket"/>
    <n v="2"/>
    <n v="78.510000000000005"/>
    <n v="0"/>
    <x v="2"/>
    <n v="157.02000000000001"/>
    <n v="84.18"/>
    <n v="72.84"/>
    <n v="1"/>
    <n v="0"/>
    <n v="5"/>
    <n v="5"/>
  </r>
  <r>
    <s v="SW-103821"/>
    <d v="2025-07-15T00:00:00"/>
    <x v="1"/>
    <s v="Q3"/>
    <x v="6"/>
    <x v="1"/>
    <x v="0"/>
    <x v="0"/>
    <x v="2"/>
    <s v="Storage Boxes"/>
    <n v="1"/>
    <n v="154.66"/>
    <n v="0.05"/>
    <x v="0"/>
    <n v="146.93"/>
    <n v="96.95"/>
    <n v="49.98"/>
    <n v="1"/>
    <n v="0"/>
    <n v="3"/>
    <n v="4"/>
  </r>
  <r>
    <s v="SW-103822"/>
    <d v="2025-07-15T00:00:00"/>
    <x v="1"/>
    <s v="Q3"/>
    <x v="6"/>
    <x v="1"/>
    <x v="0"/>
    <x v="1"/>
    <x v="0"/>
    <s v="Summer Dress"/>
    <n v="2"/>
    <n v="33.99"/>
    <n v="0.05"/>
    <x v="0"/>
    <n v="64.58"/>
    <n v="37.81"/>
    <n v="26.77"/>
    <n v="1"/>
    <n v="0"/>
    <n v="5"/>
    <n v="4"/>
  </r>
  <r>
    <s v="SW-103823"/>
    <d v="2025-07-15T00:00:00"/>
    <x v="1"/>
    <s v="Q3"/>
    <x v="6"/>
    <x v="0"/>
    <x v="3"/>
    <x v="1"/>
    <x v="2"/>
    <s v="Air Fryer"/>
    <n v="1"/>
    <n v="68.349999999999994"/>
    <n v="0"/>
    <x v="2"/>
    <n v="68.349999999999994"/>
    <n v="45.6"/>
    <n v="22.75"/>
    <n v="1"/>
    <n v="0"/>
    <n v="3"/>
    <n v="4"/>
  </r>
  <r>
    <s v="SW-103824"/>
    <d v="2025-07-15T00:00:00"/>
    <x v="1"/>
    <s v="Q3"/>
    <x v="6"/>
    <x v="0"/>
    <x v="0"/>
    <x v="1"/>
    <x v="0"/>
    <s v="Leather Handbag"/>
    <n v="1"/>
    <n v="138.5"/>
    <n v="0.15"/>
    <x v="1"/>
    <n v="117.72"/>
    <n v="75.31"/>
    <n v="42.41"/>
    <n v="1"/>
    <n v="0"/>
    <n v="3"/>
    <n v="5"/>
  </r>
  <r>
    <s v="SW-103825"/>
    <d v="2025-07-15T00:00:00"/>
    <x v="1"/>
    <s v="Q3"/>
    <x v="6"/>
    <x v="0"/>
    <x v="1"/>
    <x v="1"/>
    <x v="2"/>
    <s v="Cookware Set"/>
    <n v="4"/>
    <n v="233.81"/>
    <n v="0.15"/>
    <x v="1"/>
    <n v="794.95"/>
    <n v="634.12"/>
    <n v="160.83000000000001"/>
    <n v="1"/>
    <n v="0"/>
    <n v="6"/>
    <n v="2"/>
  </r>
  <r>
    <s v="SW-103826"/>
    <d v="2025-07-15T00:00:00"/>
    <x v="1"/>
    <s v="Q3"/>
    <x v="6"/>
    <x v="0"/>
    <x v="1"/>
    <x v="1"/>
    <x v="1"/>
    <s v="Skin Care Bundle"/>
    <n v="1"/>
    <n v="92.54"/>
    <n v="0.2"/>
    <x v="1"/>
    <n v="74.03"/>
    <n v="43.67"/>
    <n v="30.36"/>
    <n v="1"/>
    <n v="0"/>
    <n v="6"/>
    <n v="3"/>
  </r>
  <r>
    <s v="SW-103827"/>
    <d v="2025-07-15T00:00:00"/>
    <x v="1"/>
    <s v="Q3"/>
    <x v="6"/>
    <x v="2"/>
    <x v="3"/>
    <x v="1"/>
    <x v="4"/>
    <s v="Smart Watch"/>
    <n v="1"/>
    <n v="216.08"/>
    <n v="0"/>
    <x v="2"/>
    <n v="216.08"/>
    <n v="175.93"/>
    <n v="40.15"/>
    <n v="1"/>
    <n v="0"/>
    <n v="2"/>
    <n v="4"/>
  </r>
  <r>
    <s v="SW-103828"/>
    <d v="2025-07-15T00:00:00"/>
    <x v="1"/>
    <s v="Q3"/>
    <x v="6"/>
    <x v="1"/>
    <x v="1"/>
    <x v="1"/>
    <x v="0"/>
    <s v="Summer Dress"/>
    <n v="1"/>
    <n v="33.99"/>
    <n v="0"/>
    <x v="2"/>
    <n v="33.99"/>
    <n v="17.91"/>
    <n v="16.079999999999998"/>
    <n v="1"/>
    <n v="1"/>
    <n v="5"/>
    <n v="4"/>
  </r>
  <r>
    <s v="SW-103829"/>
    <d v="2025-07-16T00:00:00"/>
    <x v="1"/>
    <s v="Q3"/>
    <x v="6"/>
    <x v="2"/>
    <x v="3"/>
    <x v="1"/>
    <x v="2"/>
    <s v="Bed Sheet Set"/>
    <n v="1"/>
    <n v="90.75"/>
    <n v="0"/>
    <x v="2"/>
    <n v="90.75"/>
    <n v="62.26"/>
    <n v="28.49"/>
    <n v="1"/>
    <n v="0"/>
    <n v="3"/>
    <n v="4"/>
  </r>
  <r>
    <s v="SW-103830"/>
    <d v="2025-07-16T00:00:00"/>
    <x v="1"/>
    <s v="Q3"/>
    <x v="6"/>
    <x v="1"/>
    <x v="0"/>
    <x v="0"/>
    <x v="1"/>
    <s v="Skin Care Bundle"/>
    <n v="1"/>
    <n v="92.54"/>
    <n v="0"/>
    <x v="2"/>
    <n v="92.54"/>
    <n v="44.11"/>
    <n v="48.43"/>
    <n v="1"/>
    <n v="0"/>
    <n v="3"/>
    <n v="5"/>
  </r>
  <r>
    <s v="SW-103831"/>
    <d v="2025-07-16T00:00:00"/>
    <x v="1"/>
    <s v="Q3"/>
    <x v="6"/>
    <x v="2"/>
    <x v="3"/>
    <x v="1"/>
    <x v="1"/>
    <s v="Hair Dryer"/>
    <n v="2"/>
    <n v="33.18"/>
    <n v="0.05"/>
    <x v="0"/>
    <n v="63.04"/>
    <n v="32.31"/>
    <n v="30.73"/>
    <n v="1"/>
    <n v="0"/>
    <n v="2"/>
    <n v="4"/>
  </r>
  <r>
    <s v="SW-103832"/>
    <d v="2025-07-16T00:00:00"/>
    <x v="1"/>
    <s v="Q3"/>
    <x v="6"/>
    <x v="0"/>
    <x v="3"/>
    <x v="0"/>
    <x v="5"/>
    <s v="Kids Puzzle"/>
    <n v="3"/>
    <n v="16.97"/>
    <n v="0"/>
    <x v="2"/>
    <n v="50.91"/>
    <n v="36.78"/>
    <n v="14.13"/>
    <n v="1"/>
    <n v="0"/>
    <n v="4"/>
    <n v="4"/>
  </r>
  <r>
    <s v="SW-103833"/>
    <d v="2025-07-17T00:00:00"/>
    <x v="1"/>
    <s v="Q3"/>
    <x v="6"/>
    <x v="0"/>
    <x v="0"/>
    <x v="1"/>
    <x v="4"/>
    <s v="Power Bank"/>
    <n v="1"/>
    <n v="508.8"/>
    <n v="0.15"/>
    <x v="1"/>
    <n v="432.48"/>
    <n v="409.1"/>
    <n v="23.38"/>
    <n v="1"/>
    <n v="1"/>
    <n v="3"/>
    <n v="4"/>
  </r>
  <r>
    <s v="SW-103834"/>
    <d v="2025-07-17T00:00:00"/>
    <x v="1"/>
    <s v="Q3"/>
    <x v="6"/>
    <x v="2"/>
    <x v="2"/>
    <x v="1"/>
    <x v="0"/>
    <s v="Leather Handbag"/>
    <n v="1"/>
    <n v="138.5"/>
    <n v="0"/>
    <x v="2"/>
    <n v="138.5"/>
    <n v="78.09"/>
    <n v="60.41"/>
    <n v="1"/>
    <n v="0"/>
    <n v="3"/>
    <n v="4"/>
  </r>
  <r>
    <s v="SW-103835"/>
    <d v="2025-07-17T00:00:00"/>
    <x v="1"/>
    <s v="Q3"/>
    <x v="6"/>
    <x v="0"/>
    <x v="3"/>
    <x v="0"/>
    <x v="2"/>
    <s v="Coffee Maker"/>
    <n v="1"/>
    <n v="148.05000000000001"/>
    <n v="0.05"/>
    <x v="0"/>
    <n v="140.65"/>
    <n v="94.99"/>
    <n v="45.66"/>
    <n v="1"/>
    <n v="0"/>
    <n v="4"/>
    <n v="4"/>
  </r>
  <r>
    <s v="SW-103836"/>
    <d v="2025-07-17T00:00:00"/>
    <x v="1"/>
    <s v="Q3"/>
    <x v="6"/>
    <x v="1"/>
    <x v="1"/>
    <x v="1"/>
    <x v="4"/>
    <s v="Power Bank"/>
    <n v="1"/>
    <n v="508.8"/>
    <n v="0.15"/>
    <x v="1"/>
    <n v="432.48"/>
    <n v="404.86"/>
    <n v="27.62"/>
    <n v="1"/>
    <n v="0"/>
    <n v="5"/>
    <n v="4"/>
  </r>
  <r>
    <s v="SW-103837"/>
    <d v="2025-07-17T00:00:00"/>
    <x v="1"/>
    <s v="Q3"/>
    <x v="6"/>
    <x v="0"/>
    <x v="0"/>
    <x v="1"/>
    <x v="0"/>
    <s v="Running Sneakers"/>
    <n v="2"/>
    <n v="94.85"/>
    <n v="0.15"/>
    <x v="1"/>
    <n v="161.24"/>
    <n v="100.51"/>
    <n v="60.73"/>
    <n v="1"/>
    <n v="0"/>
    <n v="3"/>
    <n v="4"/>
  </r>
  <r>
    <s v="SW-103838"/>
    <d v="2025-07-17T00:00:00"/>
    <x v="1"/>
    <s v="Q3"/>
    <x v="6"/>
    <x v="2"/>
    <x v="0"/>
    <x v="1"/>
    <x v="2"/>
    <s v="Cookware Set"/>
    <n v="1"/>
    <n v="233.81"/>
    <n v="0.25"/>
    <x v="3"/>
    <n v="175.36"/>
    <n v="152.02000000000001"/>
    <n v="23.34"/>
    <n v="1"/>
    <n v="0"/>
    <n v="4"/>
    <n v="5"/>
  </r>
  <r>
    <s v="SW-103839"/>
    <d v="2025-07-17T00:00:00"/>
    <x v="1"/>
    <s v="Q3"/>
    <x v="6"/>
    <x v="2"/>
    <x v="0"/>
    <x v="0"/>
    <x v="1"/>
    <s v="Makeup Kit"/>
    <n v="1"/>
    <n v="74.3"/>
    <n v="0.15"/>
    <x v="1"/>
    <n v="63.15"/>
    <n v="35.770000000000003"/>
    <n v="27.38"/>
    <n v="1"/>
    <n v="0"/>
    <n v="3"/>
    <n v="5"/>
  </r>
  <r>
    <s v="SW-103840"/>
    <d v="2025-07-17T00:00:00"/>
    <x v="1"/>
    <s v="Q3"/>
    <x v="6"/>
    <x v="1"/>
    <x v="1"/>
    <x v="1"/>
    <x v="1"/>
    <s v="Face Serum"/>
    <n v="1"/>
    <n v="33.479999999999997"/>
    <n v="0"/>
    <x v="2"/>
    <n v="33.479999999999997"/>
    <n v="16.809999999999999"/>
    <n v="16.670000000000002"/>
    <n v="1"/>
    <n v="0"/>
    <n v="5"/>
    <n v="5"/>
  </r>
  <r>
    <s v="SW-103841"/>
    <d v="2025-07-18T00:00:00"/>
    <x v="1"/>
    <s v="Q3"/>
    <x v="6"/>
    <x v="1"/>
    <x v="2"/>
    <x v="0"/>
    <x v="3"/>
    <s v="Cycling Helmet"/>
    <n v="2"/>
    <n v="85.42"/>
    <n v="0.05"/>
    <x v="0"/>
    <n v="162.30000000000001"/>
    <n v="103.55"/>
    <n v="58.75"/>
    <n v="1"/>
    <n v="0"/>
    <n v="3"/>
    <n v="5"/>
  </r>
  <r>
    <s v="SW-103842"/>
    <d v="2025-07-18T00:00:00"/>
    <x v="1"/>
    <s v="Q3"/>
    <x v="6"/>
    <x v="1"/>
    <x v="3"/>
    <x v="0"/>
    <x v="5"/>
    <s v="Board Game"/>
    <n v="1"/>
    <n v="57.92"/>
    <n v="0.1"/>
    <x v="0"/>
    <n v="52.13"/>
    <n v="42.9"/>
    <n v="9.23"/>
    <n v="1"/>
    <n v="1"/>
    <n v="2"/>
    <n v="4"/>
  </r>
  <r>
    <s v="SW-103843"/>
    <d v="2025-07-18T00:00:00"/>
    <x v="1"/>
    <s v="Q3"/>
    <x v="6"/>
    <x v="0"/>
    <x v="1"/>
    <x v="0"/>
    <x v="4"/>
    <s v="Bluetooth Speaker"/>
    <n v="1"/>
    <n v="177.65"/>
    <n v="0"/>
    <x v="2"/>
    <n v="177.65"/>
    <n v="145.96"/>
    <n v="31.69"/>
    <n v="1"/>
    <n v="0"/>
    <n v="7"/>
    <n v="3"/>
  </r>
  <r>
    <s v="SW-103844"/>
    <d v="2025-07-18T00:00:00"/>
    <x v="1"/>
    <s v="Q3"/>
    <x v="6"/>
    <x v="1"/>
    <x v="3"/>
    <x v="0"/>
    <x v="3"/>
    <s v="Dumbbell Set"/>
    <n v="4"/>
    <n v="198.42"/>
    <n v="0.2"/>
    <x v="1"/>
    <n v="634.94000000000005"/>
    <n v="534.54"/>
    <n v="100.4"/>
    <n v="1"/>
    <n v="0"/>
    <n v="2"/>
    <n v="4"/>
  </r>
  <r>
    <s v="SW-103845"/>
    <d v="2025-07-18T00:00:00"/>
    <x v="1"/>
    <s v="Q3"/>
    <x v="6"/>
    <x v="1"/>
    <x v="2"/>
    <x v="0"/>
    <x v="4"/>
    <s v="Smart Watch"/>
    <n v="1"/>
    <n v="216.08"/>
    <n v="0.05"/>
    <x v="0"/>
    <n v="205.28"/>
    <n v="165.26"/>
    <n v="40.020000000000003"/>
    <n v="1"/>
    <n v="0"/>
    <n v="4"/>
    <n v="4"/>
  </r>
  <r>
    <s v="SW-103846"/>
    <d v="2025-07-19T00:00:00"/>
    <x v="1"/>
    <s v="Q3"/>
    <x v="6"/>
    <x v="1"/>
    <x v="2"/>
    <x v="0"/>
    <x v="4"/>
    <s v="4K Action Camera"/>
    <n v="2"/>
    <n v="636.09"/>
    <n v="0"/>
    <x v="2"/>
    <n v="1272.18"/>
    <n v="1007.87"/>
    <n v="264.31"/>
    <n v="1"/>
    <n v="0"/>
    <n v="3"/>
    <n v="3"/>
  </r>
  <r>
    <s v="SW-103847"/>
    <d v="2025-07-19T00:00:00"/>
    <x v="1"/>
    <s v="Q3"/>
    <x v="6"/>
    <x v="1"/>
    <x v="4"/>
    <x v="1"/>
    <x v="5"/>
    <s v="Kids Puzzle"/>
    <n v="1"/>
    <n v="16.97"/>
    <n v="0.05"/>
    <x v="0"/>
    <n v="16.12"/>
    <n v="11.63"/>
    <n v="4.49"/>
    <n v="1"/>
    <n v="0"/>
    <n v="5"/>
    <n v="3"/>
  </r>
  <r>
    <s v="SW-103848"/>
    <d v="2025-07-19T00:00:00"/>
    <x v="1"/>
    <s v="Q3"/>
    <x v="6"/>
    <x v="1"/>
    <x v="4"/>
    <x v="1"/>
    <x v="4"/>
    <s v="Bluetooth Speaker"/>
    <n v="1"/>
    <n v="177.65"/>
    <n v="0.05"/>
    <x v="0"/>
    <n v="168.77"/>
    <n v="140.72999999999999"/>
    <n v="28.04"/>
    <n v="1"/>
    <n v="1"/>
    <n v="8"/>
    <n v="3"/>
  </r>
  <r>
    <s v="SW-103849"/>
    <d v="2025-07-19T00:00:00"/>
    <x v="1"/>
    <s v="Q3"/>
    <x v="6"/>
    <x v="2"/>
    <x v="0"/>
    <x v="1"/>
    <x v="4"/>
    <s v="Tablet 10in"/>
    <n v="2"/>
    <n v="490.3"/>
    <n v="0.15"/>
    <x v="1"/>
    <n v="833.51"/>
    <n v="787.31"/>
    <n v="46.2"/>
    <n v="1"/>
    <n v="0"/>
    <n v="6"/>
    <n v="3"/>
  </r>
  <r>
    <s v="SW-103850"/>
    <d v="2025-07-19T00:00:00"/>
    <x v="1"/>
    <s v="Q3"/>
    <x v="6"/>
    <x v="0"/>
    <x v="3"/>
    <x v="1"/>
    <x v="5"/>
    <s v="Kids Puzzle"/>
    <n v="1"/>
    <n v="16.97"/>
    <n v="0.25"/>
    <x v="3"/>
    <n v="12.73"/>
    <n v="12.44"/>
    <n v="0.28999999999999998"/>
    <n v="1"/>
    <n v="0"/>
    <n v="3"/>
    <n v="5"/>
  </r>
  <r>
    <s v="SW-103851"/>
    <d v="2025-07-19T00:00:00"/>
    <x v="1"/>
    <s v="Q3"/>
    <x v="6"/>
    <x v="1"/>
    <x v="1"/>
    <x v="1"/>
    <x v="2"/>
    <s v="Air Fryer"/>
    <n v="1"/>
    <n v="68.349999999999994"/>
    <n v="0.05"/>
    <x v="0"/>
    <n v="64.930000000000007"/>
    <n v="44.92"/>
    <n v="20.010000000000002"/>
    <n v="1"/>
    <n v="0"/>
    <n v="6"/>
    <n v="4"/>
  </r>
  <r>
    <s v="SW-103852"/>
    <d v="2025-07-19T00:00:00"/>
    <x v="1"/>
    <s v="Q3"/>
    <x v="6"/>
    <x v="1"/>
    <x v="0"/>
    <x v="0"/>
    <x v="0"/>
    <s v="Denim Jacket"/>
    <n v="1"/>
    <n v="78.510000000000005"/>
    <n v="0.05"/>
    <x v="0"/>
    <n v="74.58"/>
    <n v="41.44"/>
    <n v="33.14"/>
    <n v="1"/>
    <n v="0"/>
    <n v="3"/>
    <n v="5"/>
  </r>
  <r>
    <s v="SW-103853"/>
    <d v="2025-07-20T00:00:00"/>
    <x v="1"/>
    <s v="Q3"/>
    <x v="6"/>
    <x v="1"/>
    <x v="4"/>
    <x v="0"/>
    <x v="0"/>
    <s v="Running Sneakers"/>
    <n v="2"/>
    <n v="94.85"/>
    <n v="0.1"/>
    <x v="0"/>
    <n v="170.73"/>
    <n v="102.03"/>
    <n v="68.7"/>
    <n v="1"/>
    <n v="0"/>
    <n v="5"/>
    <n v="4"/>
  </r>
  <r>
    <s v="SW-103854"/>
    <d v="2025-07-20T00:00:00"/>
    <x v="1"/>
    <s v="Q3"/>
    <x v="6"/>
    <x v="1"/>
    <x v="2"/>
    <x v="1"/>
    <x v="3"/>
    <s v="Cycling Helmet"/>
    <n v="1"/>
    <n v="85.42"/>
    <n v="0"/>
    <x v="2"/>
    <n v="85.42"/>
    <n v="57.63"/>
    <n v="27.79"/>
    <n v="1"/>
    <n v="0"/>
    <n v="3"/>
    <n v="4"/>
  </r>
  <r>
    <s v="SW-103855"/>
    <d v="2025-07-20T00:00:00"/>
    <x v="1"/>
    <s v="Q3"/>
    <x v="6"/>
    <x v="0"/>
    <x v="0"/>
    <x v="0"/>
    <x v="1"/>
    <s v="Perfume 100ml"/>
    <n v="1"/>
    <n v="54.56"/>
    <n v="0"/>
    <x v="2"/>
    <n v="54.56"/>
    <n v="26.45"/>
    <n v="28.11"/>
    <n v="1"/>
    <n v="0"/>
    <n v="3"/>
    <n v="2"/>
  </r>
  <r>
    <s v="SW-103856"/>
    <d v="2025-07-20T00:00:00"/>
    <x v="1"/>
    <s v="Q3"/>
    <x v="6"/>
    <x v="1"/>
    <x v="3"/>
    <x v="1"/>
    <x v="2"/>
    <s v="Desk Lamp"/>
    <n v="2"/>
    <n v="117.63"/>
    <n v="0.05"/>
    <x v="0"/>
    <n v="223.5"/>
    <n v="152.94"/>
    <n v="70.56"/>
    <n v="1"/>
    <n v="0"/>
    <n v="4"/>
    <n v="5"/>
  </r>
  <r>
    <s v="SW-103857"/>
    <d v="2025-07-20T00:00:00"/>
    <x v="1"/>
    <s v="Q3"/>
    <x v="6"/>
    <x v="1"/>
    <x v="0"/>
    <x v="0"/>
    <x v="3"/>
    <s v="Cycling Helmet"/>
    <n v="2"/>
    <n v="85.42"/>
    <n v="0"/>
    <x v="2"/>
    <n v="170.84"/>
    <n v="120.67"/>
    <n v="50.17"/>
    <n v="1"/>
    <n v="0"/>
    <n v="3"/>
    <n v="4"/>
  </r>
  <r>
    <s v="SW-103858"/>
    <d v="2025-07-21T00:00:00"/>
    <x v="1"/>
    <s v="Q3"/>
    <x v="6"/>
    <x v="1"/>
    <x v="3"/>
    <x v="0"/>
    <x v="0"/>
    <s v="Denim Jacket"/>
    <n v="2"/>
    <n v="78.510000000000005"/>
    <n v="0"/>
    <x v="2"/>
    <n v="157.02000000000001"/>
    <n v="85.6"/>
    <n v="71.42"/>
    <n v="1"/>
    <n v="0"/>
    <n v="5"/>
    <n v="4"/>
  </r>
  <r>
    <s v="SW-103859"/>
    <d v="2025-07-21T00:00:00"/>
    <x v="1"/>
    <s v="Q3"/>
    <x v="6"/>
    <x v="1"/>
    <x v="1"/>
    <x v="1"/>
    <x v="0"/>
    <s v="Leather Handbag"/>
    <n v="1"/>
    <n v="138.5"/>
    <n v="0"/>
    <x v="2"/>
    <n v="138.5"/>
    <n v="74.33"/>
    <n v="64.17"/>
    <n v="1"/>
    <n v="0"/>
    <n v="5"/>
    <n v="4"/>
  </r>
  <r>
    <s v="SW-103860"/>
    <d v="2025-07-21T00:00:00"/>
    <x v="1"/>
    <s v="Q3"/>
    <x v="6"/>
    <x v="1"/>
    <x v="0"/>
    <x v="0"/>
    <x v="1"/>
    <s v="Perfume 100ml"/>
    <n v="3"/>
    <n v="54.56"/>
    <n v="0.1"/>
    <x v="0"/>
    <n v="147.31"/>
    <n v="77.89"/>
    <n v="69.42"/>
    <n v="1"/>
    <n v="0"/>
    <n v="3"/>
    <n v="5"/>
  </r>
  <r>
    <s v="SW-103861"/>
    <d v="2025-07-21T00:00:00"/>
    <x v="1"/>
    <s v="Q3"/>
    <x v="6"/>
    <x v="1"/>
    <x v="2"/>
    <x v="0"/>
    <x v="5"/>
    <s v="Board Game"/>
    <n v="1"/>
    <n v="57.92"/>
    <n v="0.1"/>
    <x v="0"/>
    <n v="52.13"/>
    <n v="42.4"/>
    <n v="9.73"/>
    <n v="1"/>
    <n v="0"/>
    <n v="3"/>
    <n v="5"/>
  </r>
  <r>
    <s v="SW-103862"/>
    <d v="2025-07-21T00:00:00"/>
    <x v="1"/>
    <s v="Q3"/>
    <x v="6"/>
    <x v="0"/>
    <x v="3"/>
    <x v="0"/>
    <x v="0"/>
    <s v="Denim Jacket"/>
    <n v="1"/>
    <n v="78.510000000000005"/>
    <n v="0.15"/>
    <x v="1"/>
    <n v="66.73"/>
    <n v="44.03"/>
    <n v="22.7"/>
    <n v="1"/>
    <n v="0"/>
    <n v="2"/>
    <n v="3"/>
  </r>
  <r>
    <s v="SW-103863"/>
    <d v="2025-07-21T00:00:00"/>
    <x v="1"/>
    <s v="Q3"/>
    <x v="6"/>
    <x v="1"/>
    <x v="2"/>
    <x v="1"/>
    <x v="4"/>
    <s v="Bluetooth Speaker"/>
    <n v="1"/>
    <n v="177.65"/>
    <n v="0.1"/>
    <x v="0"/>
    <n v="159.88999999999999"/>
    <n v="142.41999999999999"/>
    <n v="17.47"/>
    <n v="1"/>
    <n v="1"/>
    <n v="4"/>
    <n v="4"/>
  </r>
  <r>
    <s v="SW-103864"/>
    <d v="2025-07-22T00:00:00"/>
    <x v="1"/>
    <s v="Q3"/>
    <x v="6"/>
    <x v="2"/>
    <x v="4"/>
    <x v="1"/>
    <x v="2"/>
    <s v="Coffee Maker"/>
    <n v="1"/>
    <n v="148.05000000000001"/>
    <n v="0.15"/>
    <x v="1"/>
    <n v="125.84"/>
    <n v="101.13"/>
    <n v="24.71"/>
    <n v="1"/>
    <n v="0"/>
    <n v="7"/>
    <n v="4"/>
  </r>
  <r>
    <s v="SW-103865"/>
    <d v="2025-07-22T00:00:00"/>
    <x v="1"/>
    <s v="Q3"/>
    <x v="6"/>
    <x v="1"/>
    <x v="0"/>
    <x v="1"/>
    <x v="0"/>
    <s v="Cotton T-Shirt"/>
    <n v="1"/>
    <n v="19.41"/>
    <n v="0.1"/>
    <x v="0"/>
    <n v="17.47"/>
    <n v="10.91"/>
    <n v="6.56"/>
    <n v="1"/>
    <n v="0"/>
    <n v="6"/>
    <n v="2"/>
  </r>
  <r>
    <s v="SW-103866"/>
    <d v="2025-07-22T00:00:00"/>
    <x v="1"/>
    <s v="Q3"/>
    <x v="6"/>
    <x v="2"/>
    <x v="1"/>
    <x v="0"/>
    <x v="4"/>
    <s v="Smart Watch"/>
    <n v="4"/>
    <n v="216.08"/>
    <n v="0"/>
    <x v="2"/>
    <n v="864.32"/>
    <n v="714.4"/>
    <n v="149.91999999999999"/>
    <n v="1"/>
    <n v="0"/>
    <n v="6"/>
    <n v="3"/>
  </r>
  <r>
    <s v="SW-103867"/>
    <d v="2025-07-22T00:00:00"/>
    <x v="1"/>
    <s v="Q3"/>
    <x v="6"/>
    <x v="2"/>
    <x v="0"/>
    <x v="1"/>
    <x v="2"/>
    <s v="Coffee Maker"/>
    <n v="1"/>
    <n v="148.05000000000001"/>
    <n v="0.1"/>
    <x v="0"/>
    <n v="133.24"/>
    <n v="95.99"/>
    <n v="37.25"/>
    <n v="1"/>
    <n v="0"/>
    <n v="6"/>
    <n v="4"/>
  </r>
  <r>
    <s v="SW-103868"/>
    <d v="2025-07-22T00:00:00"/>
    <x v="1"/>
    <s v="Q3"/>
    <x v="6"/>
    <x v="1"/>
    <x v="3"/>
    <x v="1"/>
    <x v="5"/>
    <s v="Building Blocks"/>
    <n v="1"/>
    <n v="48.86"/>
    <n v="0.05"/>
    <x v="0"/>
    <n v="46.42"/>
    <n v="35.96"/>
    <n v="10.46"/>
    <n v="1"/>
    <n v="0"/>
    <n v="4"/>
    <n v="5"/>
  </r>
  <r>
    <s v="SW-103869"/>
    <d v="2025-07-23T00:00:00"/>
    <x v="1"/>
    <s v="Q3"/>
    <x v="6"/>
    <x v="0"/>
    <x v="3"/>
    <x v="0"/>
    <x v="2"/>
    <s v="Cookware Set"/>
    <n v="1"/>
    <n v="233.81"/>
    <n v="0.1"/>
    <x v="0"/>
    <n v="210.43"/>
    <n v="158.22"/>
    <n v="52.21"/>
    <n v="1"/>
    <n v="0"/>
    <n v="4"/>
    <n v="5"/>
  </r>
  <r>
    <s v="SW-103870"/>
    <d v="2025-07-23T00:00:00"/>
    <x v="1"/>
    <s v="Q3"/>
    <x v="6"/>
    <x v="1"/>
    <x v="1"/>
    <x v="0"/>
    <x v="0"/>
    <s v="Cotton T-Shirt"/>
    <n v="1"/>
    <n v="19.41"/>
    <n v="0"/>
    <x v="2"/>
    <n v="19.41"/>
    <n v="10.55"/>
    <n v="8.86"/>
    <n v="1"/>
    <n v="1"/>
    <n v="7"/>
    <n v="3"/>
  </r>
  <r>
    <s v="SW-103871"/>
    <d v="2025-07-23T00:00:00"/>
    <x v="1"/>
    <s v="Q3"/>
    <x v="6"/>
    <x v="1"/>
    <x v="4"/>
    <x v="0"/>
    <x v="4"/>
    <s v="Wireless Earbuds"/>
    <n v="1"/>
    <n v="588.41"/>
    <n v="0"/>
    <x v="2"/>
    <n v="588.41"/>
    <n v="456.81"/>
    <n v="131.6"/>
    <n v="1"/>
    <n v="1"/>
    <n v="5"/>
    <n v="3"/>
  </r>
  <r>
    <s v="SW-103872"/>
    <d v="2025-07-23T00:00:00"/>
    <x v="1"/>
    <s v="Q3"/>
    <x v="6"/>
    <x v="1"/>
    <x v="3"/>
    <x v="1"/>
    <x v="5"/>
    <s v="Story Book Set"/>
    <n v="2"/>
    <n v="10.76"/>
    <n v="0"/>
    <x v="2"/>
    <n v="21.52"/>
    <n v="16.78"/>
    <n v="4.74"/>
    <n v="1"/>
    <n v="0"/>
    <n v="2"/>
    <n v="5"/>
  </r>
  <r>
    <s v="SW-103873"/>
    <d v="2025-07-23T00:00:00"/>
    <x v="1"/>
    <s v="Q3"/>
    <x v="6"/>
    <x v="0"/>
    <x v="0"/>
    <x v="1"/>
    <x v="3"/>
    <s v="Yoga Mat"/>
    <n v="1"/>
    <n v="137.05000000000001"/>
    <n v="0"/>
    <x v="2"/>
    <n v="137.05000000000001"/>
    <n v="89.08"/>
    <n v="47.97"/>
    <n v="1"/>
    <n v="0"/>
    <n v="3"/>
    <n v="5"/>
  </r>
  <r>
    <s v="SW-103874"/>
    <d v="2025-07-23T00:00:00"/>
    <x v="1"/>
    <s v="Q3"/>
    <x v="6"/>
    <x v="0"/>
    <x v="0"/>
    <x v="1"/>
    <x v="1"/>
    <s v="Skin Care Bundle"/>
    <n v="2"/>
    <n v="92.54"/>
    <n v="0.25"/>
    <x v="3"/>
    <n v="138.81"/>
    <n v="90.86"/>
    <n v="47.95"/>
    <n v="1"/>
    <n v="0"/>
    <n v="4"/>
    <n v="4"/>
  </r>
  <r>
    <s v="SW-103875"/>
    <d v="2025-07-24T00:00:00"/>
    <x v="1"/>
    <s v="Q3"/>
    <x v="6"/>
    <x v="0"/>
    <x v="0"/>
    <x v="0"/>
    <x v="4"/>
    <s v="Wireless Earbuds"/>
    <n v="1"/>
    <n v="588.41"/>
    <n v="0"/>
    <x v="2"/>
    <n v="588.41"/>
    <n v="478.09"/>
    <n v="110.32"/>
    <n v="1"/>
    <n v="1"/>
    <n v="3"/>
    <n v="4"/>
  </r>
  <r>
    <s v="SW-103876"/>
    <d v="2025-07-24T00:00:00"/>
    <x v="1"/>
    <s v="Q3"/>
    <x v="6"/>
    <x v="2"/>
    <x v="4"/>
    <x v="1"/>
    <x v="0"/>
    <s v="Running Sneakers"/>
    <n v="1"/>
    <n v="94.85"/>
    <n v="0.2"/>
    <x v="1"/>
    <n v="75.88"/>
    <n v="48.68"/>
    <n v="27.2"/>
    <n v="1"/>
    <n v="0"/>
    <n v="6"/>
    <n v="2"/>
  </r>
  <r>
    <s v="SW-103877"/>
    <d v="2025-07-24T00:00:00"/>
    <x v="1"/>
    <s v="Q3"/>
    <x v="6"/>
    <x v="2"/>
    <x v="4"/>
    <x v="1"/>
    <x v="4"/>
    <s v="Bluetooth Speaker"/>
    <n v="1"/>
    <n v="177.65"/>
    <n v="0.1"/>
    <x v="0"/>
    <n v="159.88999999999999"/>
    <n v="142.02000000000001"/>
    <n v="17.87"/>
    <n v="1"/>
    <n v="0"/>
    <n v="5"/>
    <n v="4"/>
  </r>
  <r>
    <s v="SW-103878"/>
    <d v="2025-07-24T00:00:00"/>
    <x v="1"/>
    <s v="Q3"/>
    <x v="6"/>
    <x v="1"/>
    <x v="1"/>
    <x v="0"/>
    <x v="4"/>
    <s v="Tablet 10in"/>
    <n v="2"/>
    <n v="490.3"/>
    <n v="0.1"/>
    <x v="0"/>
    <n v="882.54"/>
    <n v="818.32"/>
    <n v="64.22"/>
    <n v="1"/>
    <n v="0"/>
    <n v="5"/>
    <n v="5"/>
  </r>
  <r>
    <s v="SW-103879"/>
    <d v="2025-07-24T00:00:00"/>
    <x v="1"/>
    <s v="Q3"/>
    <x v="6"/>
    <x v="0"/>
    <x v="3"/>
    <x v="0"/>
    <x v="3"/>
    <s v="Yoga Mat"/>
    <n v="1"/>
    <n v="137.05000000000001"/>
    <n v="0.1"/>
    <x v="0"/>
    <n v="123.35"/>
    <n v="90.42"/>
    <n v="32.93"/>
    <n v="1"/>
    <n v="0"/>
    <n v="3"/>
    <n v="5"/>
  </r>
  <r>
    <s v="SW-103880"/>
    <d v="2025-07-24T00:00:00"/>
    <x v="1"/>
    <s v="Q3"/>
    <x v="6"/>
    <x v="0"/>
    <x v="3"/>
    <x v="1"/>
    <x v="3"/>
    <s v="Yoga Mat"/>
    <n v="2"/>
    <n v="137.05000000000001"/>
    <n v="0"/>
    <x v="2"/>
    <n v="274.10000000000002"/>
    <n v="184.8"/>
    <n v="89.3"/>
    <n v="1"/>
    <n v="0"/>
    <n v="2"/>
    <n v="4"/>
  </r>
  <r>
    <s v="SW-103881"/>
    <d v="2025-07-24T00:00:00"/>
    <x v="1"/>
    <s v="Q3"/>
    <x v="6"/>
    <x v="1"/>
    <x v="4"/>
    <x v="0"/>
    <x v="0"/>
    <s v="Summer Dress"/>
    <n v="1"/>
    <n v="33.99"/>
    <n v="0.05"/>
    <x v="0"/>
    <n v="32.29"/>
    <n v="18.12"/>
    <n v="14.17"/>
    <n v="1"/>
    <n v="1"/>
    <n v="9"/>
    <n v="3"/>
  </r>
  <r>
    <s v="SW-103882"/>
    <d v="2025-07-25T00:00:00"/>
    <x v="1"/>
    <s v="Q3"/>
    <x v="6"/>
    <x v="1"/>
    <x v="0"/>
    <x v="0"/>
    <x v="0"/>
    <s v="Denim Jacket"/>
    <n v="2"/>
    <n v="78.510000000000005"/>
    <n v="0.15"/>
    <x v="1"/>
    <n v="133.47"/>
    <n v="86.07"/>
    <n v="47.4"/>
    <n v="1"/>
    <n v="0"/>
    <n v="4"/>
    <n v="4"/>
  </r>
  <r>
    <s v="SW-103883"/>
    <d v="2025-07-25T00:00:00"/>
    <x v="1"/>
    <s v="Q3"/>
    <x v="6"/>
    <x v="1"/>
    <x v="2"/>
    <x v="0"/>
    <x v="3"/>
    <s v="Camping Tent"/>
    <n v="1"/>
    <n v="83.06"/>
    <n v="0.05"/>
    <x v="0"/>
    <n v="78.91"/>
    <n v="53.4"/>
    <n v="25.51"/>
    <n v="1"/>
    <n v="0"/>
    <n v="6"/>
    <n v="5"/>
  </r>
  <r>
    <s v="SW-103884"/>
    <d v="2025-07-25T00:00:00"/>
    <x v="1"/>
    <s v="Q3"/>
    <x v="6"/>
    <x v="2"/>
    <x v="3"/>
    <x v="0"/>
    <x v="0"/>
    <s v="Sunglasses"/>
    <n v="1"/>
    <n v="104.94"/>
    <n v="0.1"/>
    <x v="0"/>
    <n v="94.45"/>
    <n v="57.15"/>
    <n v="37.299999999999997"/>
    <n v="1"/>
    <n v="0"/>
    <n v="3"/>
    <n v="4"/>
  </r>
  <r>
    <s v="SW-103885"/>
    <d v="2025-07-25T00:00:00"/>
    <x v="1"/>
    <s v="Q3"/>
    <x v="6"/>
    <x v="0"/>
    <x v="0"/>
    <x v="1"/>
    <x v="4"/>
    <s v="4K Action Camera"/>
    <n v="1"/>
    <n v="636.09"/>
    <n v="0"/>
    <x v="2"/>
    <n v="636.09"/>
    <n v="502.45"/>
    <n v="133.63999999999999"/>
    <n v="1"/>
    <n v="0"/>
    <n v="4"/>
    <n v="4"/>
  </r>
  <r>
    <s v="SW-103886"/>
    <d v="2025-07-25T00:00:00"/>
    <x v="1"/>
    <s v="Q3"/>
    <x v="6"/>
    <x v="1"/>
    <x v="2"/>
    <x v="1"/>
    <x v="2"/>
    <s v="Bed Sheet Set"/>
    <n v="2"/>
    <n v="90.75"/>
    <n v="0.1"/>
    <x v="0"/>
    <n v="163.35"/>
    <n v="119.99"/>
    <n v="43.36"/>
    <n v="1"/>
    <n v="0"/>
    <n v="4"/>
    <n v="5"/>
  </r>
  <r>
    <s v="SW-103887"/>
    <d v="2025-07-25T00:00:00"/>
    <x v="1"/>
    <s v="Q3"/>
    <x v="6"/>
    <x v="1"/>
    <x v="4"/>
    <x v="1"/>
    <x v="2"/>
    <s v="Storage Boxes"/>
    <n v="1"/>
    <n v="154.66"/>
    <n v="0.2"/>
    <x v="1"/>
    <n v="123.73"/>
    <n v="99.79"/>
    <n v="23.94"/>
    <n v="1"/>
    <n v="0"/>
    <n v="6"/>
    <n v="3"/>
  </r>
  <r>
    <s v="SW-103888"/>
    <d v="2025-07-26T00:00:00"/>
    <x v="1"/>
    <s v="Q3"/>
    <x v="6"/>
    <x v="1"/>
    <x v="3"/>
    <x v="1"/>
    <x v="3"/>
    <s v="Dumbbell Set"/>
    <n v="1"/>
    <n v="198.42"/>
    <n v="0.25"/>
    <x v="3"/>
    <n v="148.82"/>
    <n v="131.09"/>
    <n v="17.73"/>
    <n v="1"/>
    <n v="0"/>
    <n v="4"/>
    <n v="5"/>
  </r>
  <r>
    <s v="SW-103889"/>
    <d v="2025-07-26T00:00:00"/>
    <x v="1"/>
    <s v="Q3"/>
    <x v="6"/>
    <x v="0"/>
    <x v="0"/>
    <x v="1"/>
    <x v="1"/>
    <s v="Hair Dryer"/>
    <n v="1"/>
    <n v="33.18"/>
    <n v="0.1"/>
    <x v="0"/>
    <n v="29.86"/>
    <n v="16"/>
    <n v="13.86"/>
    <n v="1"/>
    <n v="0"/>
    <n v="3"/>
    <n v="5"/>
  </r>
  <r>
    <s v="SW-103890"/>
    <d v="2025-07-26T00:00:00"/>
    <x v="1"/>
    <s v="Q3"/>
    <x v="6"/>
    <x v="2"/>
    <x v="3"/>
    <x v="1"/>
    <x v="2"/>
    <s v="Bed Sheet Set"/>
    <n v="1"/>
    <n v="90.75"/>
    <n v="0.2"/>
    <x v="1"/>
    <n v="72.599999999999994"/>
    <n v="62.65"/>
    <n v="9.9499999999999993"/>
    <n v="1"/>
    <n v="0"/>
    <n v="2"/>
    <n v="5"/>
  </r>
  <r>
    <s v="SW-103891"/>
    <d v="2025-07-26T00:00:00"/>
    <x v="1"/>
    <s v="Q3"/>
    <x v="6"/>
    <x v="0"/>
    <x v="3"/>
    <x v="1"/>
    <x v="4"/>
    <s v="Smart Watch"/>
    <n v="4"/>
    <n v="216.08"/>
    <n v="0.05"/>
    <x v="0"/>
    <n v="821.1"/>
    <n v="723.59"/>
    <n v="97.51"/>
    <n v="1"/>
    <n v="0"/>
    <n v="4"/>
    <n v="4"/>
  </r>
  <r>
    <s v="SW-103892"/>
    <d v="2025-07-26T00:00:00"/>
    <x v="1"/>
    <s v="Q3"/>
    <x v="6"/>
    <x v="2"/>
    <x v="3"/>
    <x v="1"/>
    <x v="4"/>
    <s v="Wireless Earbuds"/>
    <n v="2"/>
    <n v="588.41"/>
    <n v="0"/>
    <x v="2"/>
    <n v="1176.82"/>
    <n v="966.16"/>
    <n v="210.66"/>
    <n v="1"/>
    <n v="0"/>
    <n v="4"/>
    <n v="4"/>
  </r>
  <r>
    <s v="SW-103893"/>
    <d v="2025-07-26T00:00:00"/>
    <x v="1"/>
    <s v="Q3"/>
    <x v="6"/>
    <x v="1"/>
    <x v="2"/>
    <x v="1"/>
    <x v="0"/>
    <s v="Cotton T-Shirt"/>
    <n v="1"/>
    <n v="19.41"/>
    <n v="0.15"/>
    <x v="1"/>
    <n v="16.5"/>
    <n v="10.71"/>
    <n v="5.79"/>
    <n v="1"/>
    <n v="0"/>
    <n v="4"/>
    <n v="5"/>
  </r>
  <r>
    <s v="SW-103894"/>
    <d v="2025-07-26T00:00:00"/>
    <x v="1"/>
    <s v="Q3"/>
    <x v="6"/>
    <x v="0"/>
    <x v="3"/>
    <x v="0"/>
    <x v="0"/>
    <s v="Denim Jacket"/>
    <n v="1"/>
    <n v="78.510000000000005"/>
    <n v="0.1"/>
    <x v="0"/>
    <n v="70.66"/>
    <n v="43.01"/>
    <n v="27.65"/>
    <n v="1"/>
    <n v="0"/>
    <n v="2"/>
    <n v="5"/>
  </r>
  <r>
    <s v="SW-103895"/>
    <d v="2025-07-26T00:00:00"/>
    <x v="1"/>
    <s v="Q3"/>
    <x v="6"/>
    <x v="0"/>
    <x v="3"/>
    <x v="1"/>
    <x v="3"/>
    <s v="Dumbbell Set"/>
    <n v="4"/>
    <n v="198.42"/>
    <n v="0.3"/>
    <x v="3"/>
    <n v="555.58000000000004"/>
    <n v="536.35"/>
    <n v="19.23"/>
    <n v="1"/>
    <n v="0"/>
    <n v="4"/>
    <n v="5"/>
  </r>
  <r>
    <s v="SW-103896"/>
    <d v="2025-07-27T00:00:00"/>
    <x v="1"/>
    <s v="Q3"/>
    <x v="6"/>
    <x v="1"/>
    <x v="2"/>
    <x v="1"/>
    <x v="0"/>
    <s v="Leather Handbag"/>
    <n v="3"/>
    <n v="138.5"/>
    <n v="0.1"/>
    <x v="0"/>
    <n v="373.95"/>
    <n v="226.78"/>
    <n v="147.16999999999999"/>
    <n v="1"/>
    <n v="0"/>
    <n v="5"/>
    <n v="4"/>
  </r>
  <r>
    <s v="SW-103897"/>
    <d v="2025-07-27T00:00:00"/>
    <x v="1"/>
    <s v="Q3"/>
    <x v="6"/>
    <x v="2"/>
    <x v="2"/>
    <x v="1"/>
    <x v="2"/>
    <s v="Storage Boxes"/>
    <n v="1"/>
    <n v="154.66"/>
    <n v="0"/>
    <x v="2"/>
    <n v="154.66"/>
    <n v="100.94"/>
    <n v="53.72"/>
    <n v="1"/>
    <n v="0"/>
    <n v="5"/>
    <n v="3"/>
  </r>
  <r>
    <s v="SW-103898"/>
    <d v="2025-07-27T00:00:00"/>
    <x v="1"/>
    <s v="Q3"/>
    <x v="6"/>
    <x v="2"/>
    <x v="1"/>
    <x v="0"/>
    <x v="3"/>
    <s v="Dumbbell Set"/>
    <n v="2"/>
    <n v="198.42"/>
    <n v="0"/>
    <x v="2"/>
    <n v="396.84"/>
    <n v="258.08"/>
    <n v="138.76"/>
    <n v="1"/>
    <n v="0"/>
    <n v="6"/>
    <n v="2"/>
  </r>
  <r>
    <s v="SW-103899"/>
    <d v="2025-07-27T00:00:00"/>
    <x v="1"/>
    <s v="Q3"/>
    <x v="6"/>
    <x v="1"/>
    <x v="0"/>
    <x v="1"/>
    <x v="0"/>
    <s v="Sunglasses"/>
    <n v="2"/>
    <n v="104.94"/>
    <n v="0.05"/>
    <x v="0"/>
    <n v="199.39"/>
    <n v="114.95"/>
    <n v="84.44"/>
    <n v="1"/>
    <n v="0"/>
    <n v="6"/>
    <n v="4"/>
  </r>
  <r>
    <s v="SW-103900"/>
    <d v="2025-07-27T00:00:00"/>
    <x v="1"/>
    <s v="Q3"/>
    <x v="6"/>
    <x v="0"/>
    <x v="0"/>
    <x v="0"/>
    <x v="4"/>
    <s v="Power Bank"/>
    <n v="1"/>
    <n v="508.8"/>
    <n v="0.05"/>
    <x v="0"/>
    <n v="483.36"/>
    <n v="400.94"/>
    <n v="82.42"/>
    <n v="1"/>
    <n v="0"/>
    <n v="4"/>
    <n v="3"/>
  </r>
  <r>
    <s v="SW-103901"/>
    <d v="2025-07-27T00:00:00"/>
    <x v="1"/>
    <s v="Q3"/>
    <x v="6"/>
    <x v="1"/>
    <x v="0"/>
    <x v="1"/>
    <x v="4"/>
    <s v="4K Action Camera"/>
    <n v="1"/>
    <n v="636.09"/>
    <n v="0.1"/>
    <x v="0"/>
    <n v="572.48"/>
    <n v="507.23"/>
    <n v="65.25"/>
    <n v="1"/>
    <n v="0"/>
    <n v="5"/>
    <n v="4"/>
  </r>
  <r>
    <s v="SW-103902"/>
    <d v="2025-07-27T00:00:00"/>
    <x v="1"/>
    <s v="Q3"/>
    <x v="6"/>
    <x v="1"/>
    <x v="2"/>
    <x v="1"/>
    <x v="2"/>
    <s v="Bed Sheet Set"/>
    <n v="1"/>
    <n v="90.75"/>
    <n v="0.05"/>
    <x v="0"/>
    <n v="86.21"/>
    <n v="57.66"/>
    <n v="28.55"/>
    <n v="1"/>
    <n v="0"/>
    <n v="3"/>
    <n v="4"/>
  </r>
  <r>
    <s v="SW-103903"/>
    <d v="2025-07-28T00:00:00"/>
    <x v="1"/>
    <s v="Q3"/>
    <x v="6"/>
    <x v="0"/>
    <x v="3"/>
    <x v="1"/>
    <x v="4"/>
    <s v="Wireless Earbuds"/>
    <n v="1"/>
    <n v="588.41"/>
    <n v="0"/>
    <x v="2"/>
    <n v="588.41"/>
    <n v="447.26"/>
    <n v="141.15"/>
    <n v="1"/>
    <n v="0"/>
    <n v="5"/>
    <n v="5"/>
  </r>
  <r>
    <s v="SW-103904"/>
    <d v="2025-07-28T00:00:00"/>
    <x v="1"/>
    <s v="Q3"/>
    <x v="6"/>
    <x v="0"/>
    <x v="0"/>
    <x v="0"/>
    <x v="4"/>
    <s v="Tablet 10in"/>
    <n v="1"/>
    <n v="490.3"/>
    <n v="0"/>
    <x v="2"/>
    <n v="490.3"/>
    <n v="379.73"/>
    <n v="110.57"/>
    <n v="1"/>
    <n v="0"/>
    <n v="3"/>
    <n v="4"/>
  </r>
  <r>
    <s v="SW-103905"/>
    <d v="2025-07-28T00:00:00"/>
    <x v="1"/>
    <s v="Q3"/>
    <x v="6"/>
    <x v="2"/>
    <x v="2"/>
    <x v="0"/>
    <x v="3"/>
    <s v="Fitness Tracker"/>
    <n v="1"/>
    <n v="74.459999999999994"/>
    <n v="0.05"/>
    <x v="0"/>
    <n v="70.739999999999995"/>
    <n v="49.9"/>
    <n v="20.84"/>
    <n v="1"/>
    <n v="0"/>
    <n v="5"/>
    <n v="5"/>
  </r>
  <r>
    <s v="SW-103906"/>
    <d v="2025-07-28T00:00:00"/>
    <x v="1"/>
    <s v="Q3"/>
    <x v="6"/>
    <x v="0"/>
    <x v="2"/>
    <x v="0"/>
    <x v="2"/>
    <s v="Storage Boxes"/>
    <n v="1"/>
    <n v="154.66"/>
    <n v="0.1"/>
    <x v="0"/>
    <n v="139.19"/>
    <n v="101.32"/>
    <n v="37.869999999999997"/>
    <n v="1"/>
    <n v="0"/>
    <n v="3"/>
    <n v="4"/>
  </r>
  <r>
    <s v="SW-103907"/>
    <d v="2025-07-28T00:00:00"/>
    <x v="1"/>
    <s v="Q3"/>
    <x v="6"/>
    <x v="2"/>
    <x v="3"/>
    <x v="1"/>
    <x v="1"/>
    <s v="Perfume 100ml"/>
    <n v="4"/>
    <n v="54.56"/>
    <n v="0.15"/>
    <x v="1"/>
    <n v="185.5"/>
    <n v="103.14"/>
    <n v="82.36"/>
    <n v="1"/>
    <n v="0"/>
    <n v="2"/>
    <n v="4"/>
  </r>
  <r>
    <s v="SW-103908"/>
    <d v="2025-07-28T00:00:00"/>
    <x v="1"/>
    <s v="Q3"/>
    <x v="6"/>
    <x v="0"/>
    <x v="0"/>
    <x v="0"/>
    <x v="0"/>
    <s v="Cotton T-Shirt"/>
    <n v="1"/>
    <n v="19.41"/>
    <n v="0.15"/>
    <x v="1"/>
    <n v="16.5"/>
    <n v="10.85"/>
    <n v="5.65"/>
    <n v="1"/>
    <n v="0"/>
    <n v="4"/>
    <n v="5"/>
  </r>
  <r>
    <s v="SW-103909"/>
    <d v="2025-07-28T00:00:00"/>
    <x v="1"/>
    <s v="Q3"/>
    <x v="6"/>
    <x v="0"/>
    <x v="4"/>
    <x v="1"/>
    <x v="3"/>
    <s v="Dumbbell Set"/>
    <n v="1"/>
    <n v="198.42"/>
    <n v="0.05"/>
    <x v="0"/>
    <n v="188.5"/>
    <n v="137.66999999999999"/>
    <n v="50.83"/>
    <n v="1"/>
    <n v="0"/>
    <n v="5"/>
    <n v="5"/>
  </r>
  <r>
    <s v="SW-103910"/>
    <d v="2025-07-28T00:00:00"/>
    <x v="1"/>
    <s v="Q3"/>
    <x v="6"/>
    <x v="0"/>
    <x v="4"/>
    <x v="0"/>
    <x v="3"/>
    <s v="Dumbbell Set"/>
    <n v="4"/>
    <n v="198.42"/>
    <n v="0"/>
    <x v="2"/>
    <n v="793.68"/>
    <n v="518.58000000000004"/>
    <n v="275.10000000000002"/>
    <n v="1"/>
    <n v="0"/>
    <n v="6"/>
    <n v="2"/>
  </r>
  <r>
    <s v="SW-103911"/>
    <d v="2025-07-29T00:00:00"/>
    <x v="1"/>
    <s v="Q3"/>
    <x v="6"/>
    <x v="0"/>
    <x v="3"/>
    <x v="0"/>
    <x v="4"/>
    <s v="Tablet 10in"/>
    <n v="1"/>
    <n v="490.3"/>
    <n v="0"/>
    <x v="2"/>
    <n v="490.3"/>
    <n v="393.37"/>
    <n v="96.93"/>
    <n v="1"/>
    <n v="0"/>
    <n v="6"/>
    <n v="4"/>
  </r>
  <r>
    <s v="SW-103912"/>
    <d v="2025-07-29T00:00:00"/>
    <x v="1"/>
    <s v="Q3"/>
    <x v="6"/>
    <x v="0"/>
    <x v="3"/>
    <x v="1"/>
    <x v="0"/>
    <s v="Sunglasses"/>
    <n v="1"/>
    <n v="104.94"/>
    <n v="0"/>
    <x v="2"/>
    <n v="104.94"/>
    <n v="56.45"/>
    <n v="48.49"/>
    <n v="1"/>
    <n v="1"/>
    <n v="3"/>
    <n v="4"/>
  </r>
  <r>
    <s v="SW-103913"/>
    <d v="2025-07-29T00:00:00"/>
    <x v="1"/>
    <s v="Q3"/>
    <x v="6"/>
    <x v="0"/>
    <x v="4"/>
    <x v="1"/>
    <x v="0"/>
    <s v="Denim Jacket"/>
    <n v="1"/>
    <n v="78.510000000000005"/>
    <n v="0.2"/>
    <x v="1"/>
    <n v="62.81"/>
    <n v="42.71"/>
    <n v="20.100000000000001"/>
    <n v="1"/>
    <n v="0"/>
    <n v="6"/>
    <n v="3"/>
  </r>
  <r>
    <s v="SW-103914"/>
    <d v="2025-07-30T00:00:00"/>
    <x v="1"/>
    <s v="Q3"/>
    <x v="6"/>
    <x v="2"/>
    <x v="4"/>
    <x v="1"/>
    <x v="2"/>
    <s v="Storage Boxes"/>
    <n v="2"/>
    <n v="154.66"/>
    <n v="0"/>
    <x v="2"/>
    <n v="309.32"/>
    <n v="214.66"/>
    <n v="94.66"/>
    <n v="1"/>
    <n v="0"/>
    <n v="7"/>
    <n v="4"/>
  </r>
  <r>
    <s v="SW-103915"/>
    <d v="2025-07-30T00:00:00"/>
    <x v="1"/>
    <s v="Q3"/>
    <x v="6"/>
    <x v="0"/>
    <x v="0"/>
    <x v="0"/>
    <x v="2"/>
    <s v="Desk Lamp"/>
    <n v="3"/>
    <n v="117.63"/>
    <n v="0.05"/>
    <x v="0"/>
    <n v="335.25"/>
    <n v="231.53"/>
    <n v="103.72"/>
    <n v="1"/>
    <n v="1"/>
    <n v="4"/>
    <n v="2"/>
  </r>
  <r>
    <s v="SW-103916"/>
    <d v="2025-07-30T00:00:00"/>
    <x v="1"/>
    <s v="Q3"/>
    <x v="6"/>
    <x v="0"/>
    <x v="3"/>
    <x v="1"/>
    <x v="5"/>
    <s v="Kids Puzzle"/>
    <n v="1"/>
    <n v="16.97"/>
    <n v="0.1"/>
    <x v="0"/>
    <n v="15.27"/>
    <n v="12.18"/>
    <n v="3.09"/>
    <n v="1"/>
    <n v="0"/>
    <n v="4"/>
    <n v="5"/>
  </r>
  <r>
    <s v="SW-103917"/>
    <d v="2025-07-30T00:00:00"/>
    <x v="1"/>
    <s v="Q3"/>
    <x v="6"/>
    <x v="1"/>
    <x v="0"/>
    <x v="1"/>
    <x v="1"/>
    <s v="Makeup Kit"/>
    <n v="1"/>
    <n v="74.3"/>
    <n v="0.05"/>
    <x v="0"/>
    <n v="70.58"/>
    <n v="35.770000000000003"/>
    <n v="34.81"/>
    <n v="1"/>
    <n v="0"/>
    <n v="4"/>
    <n v="3"/>
  </r>
  <r>
    <s v="SW-103918"/>
    <d v="2025-07-31T00:00:00"/>
    <x v="1"/>
    <s v="Q3"/>
    <x v="6"/>
    <x v="0"/>
    <x v="3"/>
    <x v="1"/>
    <x v="2"/>
    <s v="Air Fryer"/>
    <n v="1"/>
    <n v="68.349999999999994"/>
    <n v="0"/>
    <x v="2"/>
    <n v="68.349999999999994"/>
    <n v="45.03"/>
    <n v="23.32"/>
    <n v="1"/>
    <n v="0"/>
    <n v="2"/>
    <n v="4"/>
  </r>
  <r>
    <s v="SW-103919"/>
    <d v="2025-07-31T00:00:00"/>
    <x v="1"/>
    <s v="Q3"/>
    <x v="6"/>
    <x v="0"/>
    <x v="2"/>
    <x v="1"/>
    <x v="4"/>
    <s v="4K Action Camera"/>
    <n v="1"/>
    <n v="636.09"/>
    <n v="0.1"/>
    <x v="0"/>
    <n v="572.48"/>
    <n v="507.41"/>
    <n v="65.069999999999993"/>
    <n v="1"/>
    <n v="0"/>
    <n v="7"/>
    <n v="4"/>
  </r>
  <r>
    <s v="SW-103920"/>
    <d v="2025-07-31T00:00:00"/>
    <x v="1"/>
    <s v="Q3"/>
    <x v="6"/>
    <x v="1"/>
    <x v="2"/>
    <x v="0"/>
    <x v="0"/>
    <s v="Leather Handbag"/>
    <n v="4"/>
    <n v="138.5"/>
    <n v="0"/>
    <x v="2"/>
    <n v="554"/>
    <n v="290.76"/>
    <n v="263.24"/>
    <n v="1"/>
    <n v="0"/>
    <n v="3"/>
    <n v="5"/>
  </r>
  <r>
    <s v="SW-103921"/>
    <d v="2025-07-31T00:00:00"/>
    <x v="1"/>
    <s v="Q3"/>
    <x v="6"/>
    <x v="1"/>
    <x v="0"/>
    <x v="1"/>
    <x v="1"/>
    <s v="Hair Dryer"/>
    <n v="1"/>
    <n v="33.18"/>
    <n v="0.1"/>
    <x v="0"/>
    <n v="29.86"/>
    <n v="16.27"/>
    <n v="13.59"/>
    <n v="1"/>
    <n v="0"/>
    <n v="4"/>
    <n v="5"/>
  </r>
  <r>
    <s v="SW-103922"/>
    <d v="2025-07-31T00:00:00"/>
    <x v="1"/>
    <s v="Q3"/>
    <x v="6"/>
    <x v="1"/>
    <x v="1"/>
    <x v="1"/>
    <x v="1"/>
    <s v="Hair Dryer"/>
    <n v="1"/>
    <n v="33.18"/>
    <n v="0"/>
    <x v="2"/>
    <n v="33.18"/>
    <n v="16.27"/>
    <n v="16.91"/>
    <n v="1"/>
    <n v="0"/>
    <n v="7"/>
    <n v="4"/>
  </r>
  <r>
    <s v="SW-103923"/>
    <d v="2025-07-31T00:00:00"/>
    <x v="1"/>
    <s v="Q3"/>
    <x v="6"/>
    <x v="1"/>
    <x v="2"/>
    <x v="1"/>
    <x v="1"/>
    <s v="Hair Dryer"/>
    <n v="1"/>
    <n v="33.18"/>
    <n v="0"/>
    <x v="2"/>
    <n v="33.18"/>
    <n v="16.170000000000002"/>
    <n v="17.010000000000002"/>
    <n v="1"/>
    <n v="0"/>
    <n v="3"/>
    <n v="5"/>
  </r>
  <r>
    <s v="SW-103924"/>
    <d v="2025-08-01T00:00:00"/>
    <x v="1"/>
    <s v="Q3"/>
    <x v="7"/>
    <x v="1"/>
    <x v="2"/>
    <x v="0"/>
    <x v="4"/>
    <s v="Wireless Earbuds"/>
    <n v="1"/>
    <n v="588.41"/>
    <n v="0.1"/>
    <x v="0"/>
    <n v="529.57000000000005"/>
    <n v="495.66"/>
    <n v="33.909999999999997"/>
    <n v="1"/>
    <n v="0"/>
    <n v="3"/>
    <n v="5"/>
  </r>
  <r>
    <s v="SW-103925"/>
    <d v="2025-08-01T00:00:00"/>
    <x v="1"/>
    <s v="Q3"/>
    <x v="7"/>
    <x v="1"/>
    <x v="2"/>
    <x v="0"/>
    <x v="1"/>
    <s v="Hair Dryer"/>
    <n v="1"/>
    <n v="33.18"/>
    <n v="0.1"/>
    <x v="0"/>
    <n v="29.86"/>
    <n v="16"/>
    <n v="13.86"/>
    <n v="1"/>
    <n v="1"/>
    <n v="3"/>
    <n v="4"/>
  </r>
  <r>
    <s v="SW-103926"/>
    <d v="2025-08-01T00:00:00"/>
    <x v="1"/>
    <s v="Q3"/>
    <x v="7"/>
    <x v="0"/>
    <x v="1"/>
    <x v="1"/>
    <x v="3"/>
    <s v="Camping Tent"/>
    <n v="1"/>
    <n v="83.06"/>
    <n v="0"/>
    <x v="2"/>
    <n v="83.06"/>
    <n v="54.02"/>
    <n v="29.04"/>
    <n v="1"/>
    <n v="0"/>
    <n v="5"/>
    <n v="4"/>
  </r>
  <r>
    <s v="SW-103927"/>
    <d v="2025-08-01T00:00:00"/>
    <x v="1"/>
    <s v="Q3"/>
    <x v="7"/>
    <x v="0"/>
    <x v="3"/>
    <x v="1"/>
    <x v="4"/>
    <s v="Wireless Earbuds"/>
    <n v="1"/>
    <n v="588.41"/>
    <n v="0.25"/>
    <x v="3"/>
    <n v="441.31"/>
    <n v="452.8"/>
    <n v="-11.49"/>
    <n v="1"/>
    <n v="0"/>
    <n v="2"/>
    <n v="5"/>
  </r>
  <r>
    <s v="SW-103928"/>
    <d v="2025-08-01T00:00:00"/>
    <x v="1"/>
    <s v="Q3"/>
    <x v="7"/>
    <x v="1"/>
    <x v="0"/>
    <x v="1"/>
    <x v="2"/>
    <s v="Bed Sheet Set"/>
    <n v="4"/>
    <n v="90.75"/>
    <n v="0"/>
    <x v="2"/>
    <n v="363"/>
    <n v="238.08"/>
    <n v="124.92"/>
    <n v="1"/>
    <n v="0"/>
    <n v="3"/>
    <n v="4"/>
  </r>
  <r>
    <s v="SW-103929"/>
    <d v="2025-08-01T00:00:00"/>
    <x v="1"/>
    <s v="Q3"/>
    <x v="7"/>
    <x v="0"/>
    <x v="3"/>
    <x v="0"/>
    <x v="3"/>
    <s v="Fitness Tracker"/>
    <n v="2"/>
    <n v="74.459999999999994"/>
    <n v="0.05"/>
    <x v="0"/>
    <n v="141.47"/>
    <n v="104.84"/>
    <n v="36.630000000000003"/>
    <n v="1"/>
    <n v="0"/>
    <n v="4"/>
    <n v="5"/>
  </r>
  <r>
    <s v="SW-103930"/>
    <d v="2025-08-01T00:00:00"/>
    <x v="1"/>
    <s v="Q3"/>
    <x v="7"/>
    <x v="1"/>
    <x v="0"/>
    <x v="1"/>
    <x v="0"/>
    <s v="Sunglasses"/>
    <n v="1"/>
    <n v="104.94"/>
    <n v="0.25"/>
    <x v="3"/>
    <n v="78.7"/>
    <n v="57.48"/>
    <n v="21.22"/>
    <n v="1"/>
    <n v="0"/>
    <n v="5"/>
    <n v="4"/>
  </r>
  <r>
    <s v="SW-103931"/>
    <d v="2025-08-01T00:00:00"/>
    <x v="1"/>
    <s v="Q3"/>
    <x v="7"/>
    <x v="1"/>
    <x v="2"/>
    <x v="1"/>
    <x v="3"/>
    <s v="Dumbbell Set"/>
    <n v="1"/>
    <n v="198.42"/>
    <n v="0"/>
    <x v="2"/>
    <n v="198.42"/>
    <n v="136.22"/>
    <n v="62.2"/>
    <n v="1"/>
    <n v="1"/>
    <n v="3"/>
    <n v="3"/>
  </r>
  <r>
    <s v="SW-103932"/>
    <d v="2025-08-01T00:00:00"/>
    <x v="1"/>
    <s v="Q3"/>
    <x v="7"/>
    <x v="1"/>
    <x v="4"/>
    <x v="0"/>
    <x v="0"/>
    <s v="Summer Dress"/>
    <n v="2"/>
    <n v="33.99"/>
    <n v="0.25"/>
    <x v="3"/>
    <n v="50.98"/>
    <n v="36.31"/>
    <n v="14.67"/>
    <n v="1"/>
    <n v="0"/>
    <n v="6"/>
    <n v="3"/>
  </r>
  <r>
    <s v="SW-103933"/>
    <d v="2025-08-02T00:00:00"/>
    <x v="1"/>
    <s v="Q3"/>
    <x v="7"/>
    <x v="2"/>
    <x v="0"/>
    <x v="1"/>
    <x v="3"/>
    <s v="Camping Tent"/>
    <n v="1"/>
    <n v="83.06"/>
    <n v="0.1"/>
    <x v="0"/>
    <n v="74.75"/>
    <n v="56.86"/>
    <n v="17.89"/>
    <n v="1"/>
    <n v="0"/>
    <n v="3"/>
    <n v="3"/>
  </r>
  <r>
    <s v="SW-103934"/>
    <d v="2025-08-02T00:00:00"/>
    <x v="1"/>
    <s v="Q3"/>
    <x v="7"/>
    <x v="0"/>
    <x v="0"/>
    <x v="0"/>
    <x v="4"/>
    <s v="4K Action Camera"/>
    <n v="4"/>
    <n v="636.09"/>
    <n v="0"/>
    <x v="2"/>
    <n v="2544.36"/>
    <n v="2077.42"/>
    <n v="466.94"/>
    <n v="1"/>
    <n v="0"/>
    <n v="4"/>
    <n v="4"/>
  </r>
  <r>
    <s v="SW-103935"/>
    <d v="2025-08-02T00:00:00"/>
    <x v="1"/>
    <s v="Q3"/>
    <x v="7"/>
    <x v="1"/>
    <x v="1"/>
    <x v="0"/>
    <x v="4"/>
    <s v="Bluetooth Speaker"/>
    <n v="2"/>
    <n v="177.65"/>
    <n v="0.05"/>
    <x v="0"/>
    <n v="337.54"/>
    <n v="297.38"/>
    <n v="40.159999999999997"/>
    <n v="1"/>
    <n v="0"/>
    <n v="9"/>
    <n v="4"/>
  </r>
  <r>
    <s v="SW-103936"/>
    <d v="2025-08-02T00:00:00"/>
    <x v="1"/>
    <s v="Q3"/>
    <x v="7"/>
    <x v="2"/>
    <x v="0"/>
    <x v="1"/>
    <x v="2"/>
    <s v="Coffee Maker"/>
    <n v="3"/>
    <n v="148.05000000000001"/>
    <n v="0"/>
    <x v="2"/>
    <n v="444.15"/>
    <n v="283.07"/>
    <n v="161.08000000000001"/>
    <n v="1"/>
    <n v="0"/>
    <n v="3"/>
    <n v="4"/>
  </r>
  <r>
    <s v="SW-103937"/>
    <d v="2025-08-02T00:00:00"/>
    <x v="1"/>
    <s v="Q3"/>
    <x v="7"/>
    <x v="0"/>
    <x v="3"/>
    <x v="1"/>
    <x v="2"/>
    <s v="Air Fryer"/>
    <n v="3"/>
    <n v="68.349999999999994"/>
    <n v="0.05"/>
    <x v="0"/>
    <n v="194.8"/>
    <n v="137.13"/>
    <n v="57.67"/>
    <n v="1"/>
    <n v="0"/>
    <n v="2"/>
    <n v="5"/>
  </r>
  <r>
    <s v="SW-103938"/>
    <d v="2025-08-02T00:00:00"/>
    <x v="1"/>
    <s v="Q3"/>
    <x v="7"/>
    <x v="1"/>
    <x v="3"/>
    <x v="0"/>
    <x v="3"/>
    <s v="Camping Tent"/>
    <n v="4"/>
    <n v="83.06"/>
    <n v="0.2"/>
    <x v="1"/>
    <n v="265.79000000000002"/>
    <n v="224.42"/>
    <n v="41.37"/>
    <n v="1"/>
    <n v="0"/>
    <n v="2"/>
    <n v="5"/>
  </r>
  <r>
    <s v="SW-103939"/>
    <d v="2025-08-02T00:00:00"/>
    <x v="1"/>
    <s v="Q3"/>
    <x v="7"/>
    <x v="0"/>
    <x v="1"/>
    <x v="1"/>
    <x v="1"/>
    <s v="Face Serum"/>
    <n v="1"/>
    <n v="33.479999999999997"/>
    <n v="0"/>
    <x v="2"/>
    <n v="33.479999999999997"/>
    <n v="14.97"/>
    <n v="18.510000000000002"/>
    <n v="1"/>
    <n v="0"/>
    <n v="6"/>
    <n v="3"/>
  </r>
  <r>
    <s v="SW-103940"/>
    <d v="2025-08-02T00:00:00"/>
    <x v="1"/>
    <s v="Q3"/>
    <x v="7"/>
    <x v="1"/>
    <x v="3"/>
    <x v="1"/>
    <x v="0"/>
    <s v="Sunglasses"/>
    <n v="1"/>
    <n v="104.94"/>
    <n v="0"/>
    <x v="2"/>
    <n v="104.94"/>
    <n v="58.74"/>
    <n v="46.2"/>
    <n v="1"/>
    <n v="0"/>
    <n v="4"/>
    <n v="4"/>
  </r>
  <r>
    <s v="SW-103941"/>
    <d v="2025-08-03T00:00:00"/>
    <x v="1"/>
    <s v="Q3"/>
    <x v="7"/>
    <x v="2"/>
    <x v="3"/>
    <x v="0"/>
    <x v="2"/>
    <s v="Air Fryer"/>
    <n v="2"/>
    <n v="68.349999999999994"/>
    <n v="0.1"/>
    <x v="0"/>
    <n v="123.03"/>
    <n v="90.77"/>
    <n v="32.26"/>
    <n v="1"/>
    <n v="0"/>
    <n v="3"/>
    <n v="4"/>
  </r>
  <r>
    <s v="SW-103942"/>
    <d v="2025-08-03T00:00:00"/>
    <x v="1"/>
    <s v="Q3"/>
    <x v="7"/>
    <x v="1"/>
    <x v="3"/>
    <x v="0"/>
    <x v="2"/>
    <s v="Storage Boxes"/>
    <n v="1"/>
    <n v="154.66"/>
    <n v="0"/>
    <x v="2"/>
    <n v="154.66"/>
    <n v="103.35"/>
    <n v="51.31"/>
    <n v="1"/>
    <n v="0"/>
    <n v="2"/>
    <n v="3"/>
  </r>
  <r>
    <s v="SW-103943"/>
    <d v="2025-08-03T00:00:00"/>
    <x v="1"/>
    <s v="Q3"/>
    <x v="7"/>
    <x v="0"/>
    <x v="3"/>
    <x v="0"/>
    <x v="3"/>
    <s v="Cycling Helmet"/>
    <n v="2"/>
    <n v="85.42"/>
    <n v="0.05"/>
    <x v="0"/>
    <n v="162.30000000000001"/>
    <n v="113.47"/>
    <n v="48.83"/>
    <n v="1"/>
    <n v="0"/>
    <n v="2"/>
    <n v="4"/>
  </r>
  <r>
    <s v="SW-103944"/>
    <d v="2025-08-03T00:00:00"/>
    <x v="1"/>
    <s v="Q3"/>
    <x v="7"/>
    <x v="1"/>
    <x v="0"/>
    <x v="1"/>
    <x v="4"/>
    <s v="4K Action Camera"/>
    <n v="1"/>
    <n v="636.09"/>
    <n v="0.25"/>
    <x v="3"/>
    <n v="477.07"/>
    <n v="524.91"/>
    <n v="-47.84"/>
    <n v="1"/>
    <n v="0"/>
    <n v="5"/>
    <n v="4"/>
  </r>
  <r>
    <s v="SW-103945"/>
    <d v="2025-08-03T00:00:00"/>
    <x v="1"/>
    <s v="Q3"/>
    <x v="7"/>
    <x v="0"/>
    <x v="3"/>
    <x v="1"/>
    <x v="0"/>
    <s v="Sunglasses"/>
    <n v="1"/>
    <n v="104.94"/>
    <n v="0.1"/>
    <x v="0"/>
    <n v="94.45"/>
    <n v="58.57"/>
    <n v="35.880000000000003"/>
    <n v="1"/>
    <n v="0"/>
    <n v="4"/>
    <n v="4"/>
  </r>
  <r>
    <s v="SW-103946"/>
    <d v="2025-08-03T00:00:00"/>
    <x v="1"/>
    <s v="Q3"/>
    <x v="7"/>
    <x v="1"/>
    <x v="2"/>
    <x v="1"/>
    <x v="0"/>
    <s v="Summer Dress"/>
    <n v="2"/>
    <n v="33.99"/>
    <n v="0.25"/>
    <x v="3"/>
    <n v="50.98"/>
    <n v="36.71"/>
    <n v="14.27"/>
    <n v="1"/>
    <n v="0"/>
    <n v="5"/>
    <n v="4"/>
  </r>
  <r>
    <s v="SW-103947"/>
    <d v="2025-08-03T00:00:00"/>
    <x v="1"/>
    <s v="Q3"/>
    <x v="7"/>
    <x v="0"/>
    <x v="0"/>
    <x v="1"/>
    <x v="2"/>
    <s v="Storage Boxes"/>
    <n v="2"/>
    <n v="154.66"/>
    <n v="0"/>
    <x v="2"/>
    <n v="309.32"/>
    <n v="205.23"/>
    <n v="104.09"/>
    <n v="1"/>
    <n v="1"/>
    <n v="4"/>
    <n v="4"/>
  </r>
  <r>
    <s v="SW-103948"/>
    <d v="2025-08-04T00:00:00"/>
    <x v="1"/>
    <s v="Q3"/>
    <x v="7"/>
    <x v="1"/>
    <x v="2"/>
    <x v="1"/>
    <x v="4"/>
    <s v="Tablet 10in"/>
    <n v="1"/>
    <n v="490.3"/>
    <n v="0.05"/>
    <x v="0"/>
    <n v="465.78"/>
    <n v="374.98"/>
    <n v="90.8"/>
    <n v="1"/>
    <n v="0"/>
    <n v="3"/>
    <n v="4"/>
  </r>
  <r>
    <s v="SW-103949"/>
    <d v="2025-08-04T00:00:00"/>
    <x v="1"/>
    <s v="Q3"/>
    <x v="7"/>
    <x v="0"/>
    <x v="1"/>
    <x v="0"/>
    <x v="2"/>
    <s v="Storage Boxes"/>
    <n v="1"/>
    <n v="154.66"/>
    <n v="0.05"/>
    <x v="0"/>
    <n v="146.93"/>
    <n v="104.38"/>
    <n v="42.55"/>
    <n v="1"/>
    <n v="0"/>
    <n v="7"/>
    <n v="4"/>
  </r>
  <r>
    <s v="SW-103950"/>
    <d v="2025-08-04T00:00:00"/>
    <x v="1"/>
    <s v="Q3"/>
    <x v="7"/>
    <x v="0"/>
    <x v="2"/>
    <x v="0"/>
    <x v="4"/>
    <s v="Wireless Earbuds"/>
    <n v="1"/>
    <n v="588.41"/>
    <n v="0.2"/>
    <x v="1"/>
    <n v="470.73"/>
    <n v="495.74"/>
    <n v="-25.01"/>
    <n v="1"/>
    <n v="0"/>
    <n v="5"/>
    <n v="5"/>
  </r>
  <r>
    <s v="SW-103951"/>
    <d v="2025-08-04T00:00:00"/>
    <x v="1"/>
    <s v="Q3"/>
    <x v="7"/>
    <x v="1"/>
    <x v="1"/>
    <x v="1"/>
    <x v="4"/>
    <s v="Smart Watch"/>
    <n v="1"/>
    <n v="216.08"/>
    <n v="0.05"/>
    <x v="0"/>
    <n v="205.28"/>
    <n v="171.13"/>
    <n v="34.15"/>
    <n v="1"/>
    <n v="0"/>
    <n v="9"/>
    <n v="4"/>
  </r>
  <r>
    <s v="SW-103952"/>
    <d v="2025-08-05T00:00:00"/>
    <x v="1"/>
    <s v="Q3"/>
    <x v="7"/>
    <x v="0"/>
    <x v="0"/>
    <x v="1"/>
    <x v="4"/>
    <s v="Bluetooth Speaker"/>
    <n v="1"/>
    <n v="177.65"/>
    <n v="0.05"/>
    <x v="0"/>
    <n v="168.77"/>
    <n v="150.11000000000001"/>
    <n v="18.66"/>
    <n v="1"/>
    <n v="0"/>
    <n v="5"/>
    <n v="5"/>
  </r>
  <r>
    <s v="SW-103953"/>
    <d v="2025-08-05T00:00:00"/>
    <x v="1"/>
    <s v="Q3"/>
    <x v="7"/>
    <x v="1"/>
    <x v="2"/>
    <x v="1"/>
    <x v="1"/>
    <s v="Makeup Kit"/>
    <n v="1"/>
    <n v="74.3"/>
    <n v="0"/>
    <x v="2"/>
    <n v="74.3"/>
    <n v="37.380000000000003"/>
    <n v="36.92"/>
    <n v="1"/>
    <n v="0"/>
    <n v="3"/>
    <n v="4"/>
  </r>
  <r>
    <s v="SW-103954"/>
    <d v="2025-08-05T00:00:00"/>
    <x v="1"/>
    <s v="Q3"/>
    <x v="7"/>
    <x v="2"/>
    <x v="1"/>
    <x v="1"/>
    <x v="2"/>
    <s v="Coffee Maker"/>
    <n v="1"/>
    <n v="148.05000000000001"/>
    <n v="0.15"/>
    <x v="1"/>
    <n v="125.84"/>
    <n v="97.98"/>
    <n v="27.86"/>
    <n v="1"/>
    <n v="0"/>
    <n v="5"/>
    <n v="4"/>
  </r>
  <r>
    <s v="SW-103955"/>
    <d v="2025-08-05T00:00:00"/>
    <x v="1"/>
    <s v="Q3"/>
    <x v="7"/>
    <x v="2"/>
    <x v="1"/>
    <x v="0"/>
    <x v="5"/>
    <s v="Story Book Set"/>
    <n v="2"/>
    <n v="10.76"/>
    <n v="0.1"/>
    <x v="0"/>
    <n v="19.37"/>
    <n v="14.91"/>
    <n v="4.46"/>
    <n v="1"/>
    <n v="0"/>
    <n v="7"/>
    <n v="4"/>
  </r>
  <r>
    <s v="SW-103956"/>
    <d v="2025-08-05T00:00:00"/>
    <x v="1"/>
    <s v="Q3"/>
    <x v="7"/>
    <x v="1"/>
    <x v="4"/>
    <x v="1"/>
    <x v="0"/>
    <s v="Summer Dress"/>
    <n v="1"/>
    <n v="33.99"/>
    <n v="0.2"/>
    <x v="1"/>
    <n v="27.19"/>
    <n v="18.489999999999998"/>
    <n v="8.6999999999999993"/>
    <n v="1"/>
    <n v="0"/>
    <n v="8"/>
    <n v="4"/>
  </r>
  <r>
    <s v="SW-103957"/>
    <d v="2025-08-05T00:00:00"/>
    <x v="1"/>
    <s v="Q3"/>
    <x v="7"/>
    <x v="1"/>
    <x v="0"/>
    <x v="0"/>
    <x v="4"/>
    <s v="Bluetooth Speaker"/>
    <n v="1"/>
    <n v="177.65"/>
    <n v="0.1"/>
    <x v="0"/>
    <n v="159.88999999999999"/>
    <n v="141.57"/>
    <n v="18.32"/>
    <n v="1"/>
    <n v="0"/>
    <n v="3"/>
    <n v="4"/>
  </r>
  <r>
    <s v="SW-103958"/>
    <d v="2025-08-05T00:00:00"/>
    <x v="1"/>
    <s v="Q3"/>
    <x v="7"/>
    <x v="2"/>
    <x v="3"/>
    <x v="1"/>
    <x v="2"/>
    <s v="Bed Sheet Set"/>
    <n v="1"/>
    <n v="90.75"/>
    <n v="0.25"/>
    <x v="3"/>
    <n v="68.06"/>
    <n v="61.42"/>
    <n v="6.64"/>
    <n v="1"/>
    <n v="0"/>
    <n v="3"/>
    <n v="5"/>
  </r>
  <r>
    <s v="SW-103959"/>
    <d v="2025-08-05T00:00:00"/>
    <x v="1"/>
    <s v="Q3"/>
    <x v="7"/>
    <x v="1"/>
    <x v="1"/>
    <x v="0"/>
    <x v="4"/>
    <s v="4K Action Camera"/>
    <n v="1"/>
    <n v="636.09"/>
    <n v="0"/>
    <x v="2"/>
    <n v="636.09"/>
    <n v="479.5"/>
    <n v="156.59"/>
    <n v="1"/>
    <n v="1"/>
    <n v="5"/>
    <n v="3"/>
  </r>
  <r>
    <s v="SW-103960"/>
    <d v="2025-08-05T00:00:00"/>
    <x v="1"/>
    <s v="Q3"/>
    <x v="7"/>
    <x v="2"/>
    <x v="3"/>
    <x v="0"/>
    <x v="0"/>
    <s v="Summer Dress"/>
    <n v="1"/>
    <n v="33.99"/>
    <n v="0.2"/>
    <x v="1"/>
    <n v="27.19"/>
    <n v="17.71"/>
    <n v="9.48"/>
    <n v="1"/>
    <n v="0"/>
    <n v="3"/>
    <n v="4"/>
  </r>
  <r>
    <s v="SW-103961"/>
    <d v="2025-08-06T00:00:00"/>
    <x v="1"/>
    <s v="Q3"/>
    <x v="7"/>
    <x v="1"/>
    <x v="0"/>
    <x v="1"/>
    <x v="0"/>
    <s v="Cotton T-Shirt"/>
    <n v="1"/>
    <n v="19.41"/>
    <n v="0.15"/>
    <x v="1"/>
    <n v="16.5"/>
    <n v="10.93"/>
    <n v="5.57"/>
    <n v="1"/>
    <n v="0"/>
    <n v="4"/>
    <n v="5"/>
  </r>
  <r>
    <s v="SW-103962"/>
    <d v="2025-08-06T00:00:00"/>
    <x v="1"/>
    <s v="Q3"/>
    <x v="7"/>
    <x v="0"/>
    <x v="2"/>
    <x v="1"/>
    <x v="2"/>
    <s v="Bed Sheet Set"/>
    <n v="1"/>
    <n v="90.75"/>
    <n v="0.1"/>
    <x v="0"/>
    <n v="81.680000000000007"/>
    <n v="57.52"/>
    <n v="24.16"/>
    <n v="1"/>
    <n v="0"/>
    <n v="5"/>
    <n v="5"/>
  </r>
  <r>
    <s v="SW-103963"/>
    <d v="2025-08-06T00:00:00"/>
    <x v="1"/>
    <s v="Q3"/>
    <x v="7"/>
    <x v="0"/>
    <x v="0"/>
    <x v="1"/>
    <x v="2"/>
    <s v="Air Fryer"/>
    <n v="3"/>
    <n v="68.349999999999994"/>
    <n v="0.05"/>
    <x v="0"/>
    <n v="194.8"/>
    <n v="136.91999999999999"/>
    <n v="57.88"/>
    <n v="1"/>
    <n v="0"/>
    <n v="4"/>
    <n v="4"/>
  </r>
  <r>
    <s v="SW-103964"/>
    <d v="2025-08-06T00:00:00"/>
    <x v="1"/>
    <s v="Q3"/>
    <x v="7"/>
    <x v="1"/>
    <x v="3"/>
    <x v="1"/>
    <x v="5"/>
    <s v="Kids Puzzle"/>
    <n v="1"/>
    <n v="16.97"/>
    <n v="0"/>
    <x v="2"/>
    <n v="16.97"/>
    <n v="11.47"/>
    <n v="5.5"/>
    <n v="1"/>
    <n v="0"/>
    <n v="2"/>
    <n v="5"/>
  </r>
  <r>
    <s v="SW-103965"/>
    <d v="2025-08-06T00:00:00"/>
    <x v="1"/>
    <s v="Q3"/>
    <x v="7"/>
    <x v="1"/>
    <x v="0"/>
    <x v="0"/>
    <x v="2"/>
    <s v="Coffee Maker"/>
    <n v="2"/>
    <n v="148.05000000000001"/>
    <n v="0.15"/>
    <x v="1"/>
    <n v="251.68"/>
    <n v="197.2"/>
    <n v="54.48"/>
    <n v="1"/>
    <n v="0"/>
    <n v="3"/>
    <n v="4"/>
  </r>
  <r>
    <s v="SW-103966"/>
    <d v="2025-08-06T00:00:00"/>
    <x v="1"/>
    <s v="Q3"/>
    <x v="7"/>
    <x v="0"/>
    <x v="0"/>
    <x v="0"/>
    <x v="2"/>
    <s v="Coffee Maker"/>
    <n v="1"/>
    <n v="148.05000000000001"/>
    <n v="0.15"/>
    <x v="1"/>
    <n v="125.84"/>
    <n v="95.63"/>
    <n v="30.21"/>
    <n v="1"/>
    <n v="0"/>
    <n v="5"/>
    <n v="5"/>
  </r>
  <r>
    <s v="SW-103967"/>
    <d v="2025-08-06T00:00:00"/>
    <x v="1"/>
    <s v="Q3"/>
    <x v="7"/>
    <x v="2"/>
    <x v="2"/>
    <x v="0"/>
    <x v="3"/>
    <s v="Fitness Tracker"/>
    <n v="1"/>
    <n v="74.459999999999994"/>
    <n v="0"/>
    <x v="2"/>
    <n v="74.459999999999994"/>
    <n v="51.78"/>
    <n v="22.68"/>
    <n v="1"/>
    <n v="0"/>
    <n v="6"/>
    <n v="4"/>
  </r>
  <r>
    <s v="SW-103968"/>
    <d v="2025-08-06T00:00:00"/>
    <x v="1"/>
    <s v="Q3"/>
    <x v="7"/>
    <x v="2"/>
    <x v="4"/>
    <x v="0"/>
    <x v="3"/>
    <s v="Camping Tent"/>
    <n v="1"/>
    <n v="83.06"/>
    <n v="0.05"/>
    <x v="0"/>
    <n v="78.91"/>
    <n v="54.83"/>
    <n v="24.08"/>
    <n v="1"/>
    <n v="0"/>
    <n v="6"/>
    <n v="3"/>
  </r>
  <r>
    <s v="SW-103969"/>
    <d v="2025-08-06T00:00:00"/>
    <x v="1"/>
    <s v="Q3"/>
    <x v="7"/>
    <x v="0"/>
    <x v="4"/>
    <x v="1"/>
    <x v="0"/>
    <s v="Denim Jacket"/>
    <n v="1"/>
    <n v="78.510000000000005"/>
    <n v="0.15"/>
    <x v="1"/>
    <n v="66.73"/>
    <n v="42.09"/>
    <n v="24.64"/>
    <n v="1"/>
    <n v="0"/>
    <n v="6"/>
    <n v="3"/>
  </r>
  <r>
    <s v="SW-103970"/>
    <d v="2025-08-06T00:00:00"/>
    <x v="1"/>
    <s v="Q3"/>
    <x v="7"/>
    <x v="2"/>
    <x v="3"/>
    <x v="1"/>
    <x v="5"/>
    <s v="Building Blocks"/>
    <n v="1"/>
    <n v="48.86"/>
    <n v="0.1"/>
    <x v="0"/>
    <n v="43.97"/>
    <n v="36.01"/>
    <n v="7.96"/>
    <n v="1"/>
    <n v="0"/>
    <n v="2"/>
    <n v="4"/>
  </r>
  <r>
    <s v="SW-103971"/>
    <d v="2025-08-06T00:00:00"/>
    <x v="1"/>
    <s v="Q3"/>
    <x v="7"/>
    <x v="2"/>
    <x v="2"/>
    <x v="0"/>
    <x v="4"/>
    <s v="Power Bank"/>
    <n v="1"/>
    <n v="508.8"/>
    <n v="0"/>
    <x v="2"/>
    <n v="508.8"/>
    <n v="395.92"/>
    <n v="112.88"/>
    <n v="1"/>
    <n v="0"/>
    <n v="5"/>
    <n v="4"/>
  </r>
  <r>
    <s v="SW-103972"/>
    <d v="2025-08-07T00:00:00"/>
    <x v="1"/>
    <s v="Q3"/>
    <x v="7"/>
    <x v="1"/>
    <x v="3"/>
    <x v="1"/>
    <x v="4"/>
    <s v="Wireless Earbuds"/>
    <n v="2"/>
    <n v="588.41"/>
    <n v="0"/>
    <x v="2"/>
    <n v="1176.82"/>
    <n v="977.69"/>
    <n v="199.13"/>
    <n v="1"/>
    <n v="0"/>
    <n v="3"/>
    <n v="5"/>
  </r>
  <r>
    <s v="SW-103973"/>
    <d v="2025-08-07T00:00:00"/>
    <x v="1"/>
    <s v="Q3"/>
    <x v="7"/>
    <x v="1"/>
    <x v="0"/>
    <x v="1"/>
    <x v="2"/>
    <s v="Air Fryer"/>
    <n v="1"/>
    <n v="68.349999999999994"/>
    <n v="0.05"/>
    <x v="0"/>
    <n v="64.930000000000007"/>
    <n v="43.08"/>
    <n v="21.85"/>
    <n v="1"/>
    <n v="0"/>
    <n v="4"/>
    <n v="4"/>
  </r>
  <r>
    <s v="SW-103974"/>
    <d v="2025-08-07T00:00:00"/>
    <x v="1"/>
    <s v="Q3"/>
    <x v="7"/>
    <x v="2"/>
    <x v="2"/>
    <x v="1"/>
    <x v="2"/>
    <s v="Bed Sheet Set"/>
    <n v="1"/>
    <n v="90.75"/>
    <n v="0"/>
    <x v="2"/>
    <n v="90.75"/>
    <n v="58.99"/>
    <n v="31.76"/>
    <n v="1"/>
    <n v="0"/>
    <n v="3"/>
    <n v="4"/>
  </r>
  <r>
    <s v="SW-103975"/>
    <d v="2025-08-07T00:00:00"/>
    <x v="1"/>
    <s v="Q3"/>
    <x v="7"/>
    <x v="0"/>
    <x v="0"/>
    <x v="0"/>
    <x v="0"/>
    <s v="Cotton T-Shirt"/>
    <n v="1"/>
    <n v="19.41"/>
    <n v="0.15"/>
    <x v="1"/>
    <n v="16.5"/>
    <n v="10.48"/>
    <n v="6.02"/>
    <n v="1"/>
    <n v="0"/>
    <n v="3"/>
    <n v="4"/>
  </r>
  <r>
    <s v="SW-103976"/>
    <d v="2025-08-07T00:00:00"/>
    <x v="1"/>
    <s v="Q3"/>
    <x v="7"/>
    <x v="1"/>
    <x v="0"/>
    <x v="0"/>
    <x v="1"/>
    <s v="Skin Care Bundle"/>
    <n v="2"/>
    <n v="92.54"/>
    <n v="0.25"/>
    <x v="3"/>
    <n v="138.81"/>
    <n v="87.81"/>
    <n v="51"/>
    <n v="1"/>
    <n v="0"/>
    <n v="3"/>
    <n v="4"/>
  </r>
  <r>
    <s v="SW-103977"/>
    <d v="2025-08-07T00:00:00"/>
    <x v="1"/>
    <s v="Q3"/>
    <x v="7"/>
    <x v="1"/>
    <x v="2"/>
    <x v="0"/>
    <x v="4"/>
    <s v="4K Action Camera"/>
    <n v="1"/>
    <n v="636.09"/>
    <n v="0.05"/>
    <x v="0"/>
    <n v="604.29"/>
    <n v="516.13"/>
    <n v="88.16"/>
    <n v="1"/>
    <n v="0"/>
    <n v="5"/>
    <n v="5"/>
  </r>
  <r>
    <s v="SW-103978"/>
    <d v="2025-08-07T00:00:00"/>
    <x v="1"/>
    <s v="Q3"/>
    <x v="7"/>
    <x v="0"/>
    <x v="3"/>
    <x v="0"/>
    <x v="0"/>
    <s v="Summer Dress"/>
    <n v="4"/>
    <n v="33.99"/>
    <n v="0.05"/>
    <x v="0"/>
    <n v="129.16"/>
    <n v="75.680000000000007"/>
    <n v="53.48"/>
    <n v="1"/>
    <n v="0"/>
    <n v="3"/>
    <n v="5"/>
  </r>
  <r>
    <s v="SW-103979"/>
    <d v="2025-08-07T00:00:00"/>
    <x v="1"/>
    <s v="Q3"/>
    <x v="7"/>
    <x v="1"/>
    <x v="2"/>
    <x v="0"/>
    <x v="0"/>
    <s v="Running Sneakers"/>
    <n v="2"/>
    <n v="94.85"/>
    <n v="0.1"/>
    <x v="0"/>
    <n v="170.73"/>
    <n v="96.98"/>
    <n v="73.75"/>
    <n v="1"/>
    <n v="0"/>
    <n v="3"/>
    <n v="4"/>
  </r>
  <r>
    <s v="SW-103980"/>
    <d v="2025-08-07T00:00:00"/>
    <x v="1"/>
    <s v="Q3"/>
    <x v="7"/>
    <x v="0"/>
    <x v="0"/>
    <x v="1"/>
    <x v="4"/>
    <s v="Power Bank"/>
    <n v="4"/>
    <n v="508.8"/>
    <n v="0.05"/>
    <x v="0"/>
    <n v="1933.44"/>
    <n v="1589.3"/>
    <n v="344.14"/>
    <n v="1"/>
    <n v="0"/>
    <n v="3"/>
    <n v="5"/>
  </r>
  <r>
    <s v="SW-103981"/>
    <d v="2025-08-08T00:00:00"/>
    <x v="1"/>
    <s v="Q3"/>
    <x v="7"/>
    <x v="0"/>
    <x v="0"/>
    <x v="1"/>
    <x v="4"/>
    <s v="Bluetooth Speaker"/>
    <n v="1"/>
    <n v="177.65"/>
    <n v="0.3"/>
    <x v="3"/>
    <n v="124.35"/>
    <n v="131.88"/>
    <n v="-7.53"/>
    <n v="1"/>
    <n v="0"/>
    <n v="6"/>
    <n v="4"/>
  </r>
  <r>
    <s v="SW-103982"/>
    <d v="2025-08-08T00:00:00"/>
    <x v="1"/>
    <s v="Q3"/>
    <x v="7"/>
    <x v="2"/>
    <x v="0"/>
    <x v="1"/>
    <x v="4"/>
    <s v="Power Bank"/>
    <n v="2"/>
    <n v="508.8"/>
    <n v="0.1"/>
    <x v="0"/>
    <n v="915.84"/>
    <n v="846.79"/>
    <n v="69.05"/>
    <n v="1"/>
    <n v="0"/>
    <n v="3"/>
    <n v="5"/>
  </r>
  <r>
    <s v="SW-103983"/>
    <d v="2025-08-08T00:00:00"/>
    <x v="1"/>
    <s v="Q3"/>
    <x v="7"/>
    <x v="2"/>
    <x v="0"/>
    <x v="0"/>
    <x v="2"/>
    <s v="Storage Boxes"/>
    <n v="1"/>
    <n v="154.66"/>
    <n v="0.05"/>
    <x v="0"/>
    <n v="146.93"/>
    <n v="101.87"/>
    <n v="45.06"/>
    <n v="1"/>
    <n v="0"/>
    <n v="3"/>
    <n v="4"/>
  </r>
  <r>
    <s v="SW-103984"/>
    <d v="2025-08-08T00:00:00"/>
    <x v="1"/>
    <s v="Q3"/>
    <x v="7"/>
    <x v="1"/>
    <x v="0"/>
    <x v="1"/>
    <x v="0"/>
    <s v="Denim Jacket"/>
    <n v="1"/>
    <n v="78.510000000000005"/>
    <n v="0.05"/>
    <x v="0"/>
    <n v="74.58"/>
    <n v="41.36"/>
    <n v="33.22"/>
    <n v="1"/>
    <n v="0"/>
    <n v="5"/>
    <n v="5"/>
  </r>
  <r>
    <s v="SW-103985"/>
    <d v="2025-08-08T00:00:00"/>
    <x v="1"/>
    <s v="Q3"/>
    <x v="7"/>
    <x v="0"/>
    <x v="0"/>
    <x v="1"/>
    <x v="4"/>
    <s v="4K Action Camera"/>
    <n v="2"/>
    <n v="636.09"/>
    <n v="0.15"/>
    <x v="1"/>
    <n v="1081.3499999999999"/>
    <n v="969.58"/>
    <n v="111.77"/>
    <n v="1"/>
    <n v="0"/>
    <n v="6"/>
    <n v="3"/>
  </r>
  <r>
    <s v="SW-103986"/>
    <d v="2025-08-08T00:00:00"/>
    <x v="1"/>
    <s v="Q3"/>
    <x v="7"/>
    <x v="0"/>
    <x v="0"/>
    <x v="0"/>
    <x v="0"/>
    <s v="Summer Dress"/>
    <n v="1"/>
    <n v="33.99"/>
    <n v="0.2"/>
    <x v="1"/>
    <n v="27.19"/>
    <n v="18.100000000000001"/>
    <n v="9.09"/>
    <n v="1"/>
    <n v="1"/>
    <n v="4"/>
    <n v="3"/>
  </r>
  <r>
    <s v="SW-103987"/>
    <d v="2025-08-08T00:00:00"/>
    <x v="1"/>
    <s v="Q3"/>
    <x v="7"/>
    <x v="1"/>
    <x v="0"/>
    <x v="0"/>
    <x v="4"/>
    <s v="Tablet 10in"/>
    <n v="1"/>
    <n v="490.3"/>
    <n v="0.2"/>
    <x v="1"/>
    <n v="392.24"/>
    <n v="401.05"/>
    <n v="-8.81"/>
    <n v="1"/>
    <n v="0"/>
    <n v="3"/>
    <n v="5"/>
  </r>
  <r>
    <s v="SW-103988"/>
    <d v="2025-08-09T00:00:00"/>
    <x v="1"/>
    <s v="Q3"/>
    <x v="7"/>
    <x v="0"/>
    <x v="2"/>
    <x v="1"/>
    <x v="3"/>
    <s v="Dumbbell Set"/>
    <n v="1"/>
    <n v="198.42"/>
    <n v="0.05"/>
    <x v="0"/>
    <n v="188.5"/>
    <n v="128.03"/>
    <n v="60.47"/>
    <n v="1"/>
    <n v="0"/>
    <n v="4"/>
    <n v="4"/>
  </r>
  <r>
    <s v="SW-103989"/>
    <d v="2025-08-09T00:00:00"/>
    <x v="1"/>
    <s v="Q3"/>
    <x v="7"/>
    <x v="1"/>
    <x v="2"/>
    <x v="0"/>
    <x v="5"/>
    <s v="Building Blocks"/>
    <n v="3"/>
    <n v="48.86"/>
    <n v="0"/>
    <x v="2"/>
    <n v="146.58000000000001"/>
    <n v="108.33"/>
    <n v="38.25"/>
    <n v="1"/>
    <n v="0"/>
    <n v="4"/>
    <n v="4"/>
  </r>
  <r>
    <s v="SW-103990"/>
    <d v="2025-08-09T00:00:00"/>
    <x v="1"/>
    <s v="Q3"/>
    <x v="7"/>
    <x v="0"/>
    <x v="1"/>
    <x v="1"/>
    <x v="4"/>
    <s v="Tablet 10in"/>
    <n v="1"/>
    <n v="490.3"/>
    <n v="0"/>
    <x v="2"/>
    <n v="490.3"/>
    <n v="395.19"/>
    <n v="95.11"/>
    <n v="1"/>
    <n v="0"/>
    <n v="8"/>
    <n v="3"/>
  </r>
  <r>
    <s v="SW-103991"/>
    <d v="2025-08-09T00:00:00"/>
    <x v="1"/>
    <s v="Q3"/>
    <x v="7"/>
    <x v="0"/>
    <x v="2"/>
    <x v="1"/>
    <x v="0"/>
    <s v="Denim Jacket"/>
    <n v="1"/>
    <n v="78.510000000000005"/>
    <n v="0"/>
    <x v="2"/>
    <n v="78.510000000000005"/>
    <n v="43.12"/>
    <n v="35.39"/>
    <n v="1"/>
    <n v="0"/>
    <n v="5"/>
    <n v="5"/>
  </r>
  <r>
    <s v="SW-103992"/>
    <d v="2025-08-09T00:00:00"/>
    <x v="1"/>
    <s v="Q3"/>
    <x v="7"/>
    <x v="0"/>
    <x v="4"/>
    <x v="1"/>
    <x v="1"/>
    <s v="Makeup Kit"/>
    <n v="2"/>
    <n v="74.3"/>
    <n v="0"/>
    <x v="2"/>
    <n v="148.6"/>
    <n v="74.06"/>
    <n v="74.540000000000006"/>
    <n v="1"/>
    <n v="0"/>
    <n v="7"/>
    <n v="3"/>
  </r>
  <r>
    <s v="SW-103993"/>
    <d v="2025-08-09T00:00:00"/>
    <x v="1"/>
    <s v="Q3"/>
    <x v="7"/>
    <x v="0"/>
    <x v="2"/>
    <x v="1"/>
    <x v="4"/>
    <s v="Smart Watch"/>
    <n v="1"/>
    <n v="216.08"/>
    <n v="0"/>
    <x v="2"/>
    <n v="216.08"/>
    <n v="173.01"/>
    <n v="43.07"/>
    <n v="1"/>
    <n v="0"/>
    <n v="5"/>
    <n v="4"/>
  </r>
  <r>
    <s v="SW-103994"/>
    <d v="2025-08-10T00:00:00"/>
    <x v="1"/>
    <s v="Q3"/>
    <x v="7"/>
    <x v="0"/>
    <x v="2"/>
    <x v="0"/>
    <x v="4"/>
    <s v="4K Action Camera"/>
    <n v="1"/>
    <n v="636.09"/>
    <n v="0.1"/>
    <x v="0"/>
    <n v="572.48"/>
    <n v="498.5"/>
    <n v="73.98"/>
    <n v="1"/>
    <n v="0"/>
    <n v="5"/>
    <n v="4"/>
  </r>
  <r>
    <s v="SW-103995"/>
    <d v="2025-08-10T00:00:00"/>
    <x v="1"/>
    <s v="Q3"/>
    <x v="7"/>
    <x v="2"/>
    <x v="3"/>
    <x v="1"/>
    <x v="2"/>
    <s v="Storage Boxes"/>
    <n v="1"/>
    <n v="154.66"/>
    <n v="0.15"/>
    <x v="1"/>
    <n v="131.46"/>
    <n v="105.7"/>
    <n v="25.76"/>
    <n v="1"/>
    <n v="0"/>
    <n v="2"/>
    <n v="5"/>
  </r>
  <r>
    <s v="SW-103996"/>
    <d v="2025-08-10T00:00:00"/>
    <x v="1"/>
    <s v="Q3"/>
    <x v="7"/>
    <x v="2"/>
    <x v="3"/>
    <x v="1"/>
    <x v="1"/>
    <s v="Hair Dryer"/>
    <n v="1"/>
    <n v="33.18"/>
    <n v="0.15"/>
    <x v="1"/>
    <n v="28.2"/>
    <n v="15.42"/>
    <n v="12.78"/>
    <n v="1"/>
    <n v="0"/>
    <n v="2"/>
    <n v="4"/>
  </r>
  <r>
    <s v="SW-103997"/>
    <d v="2025-08-10T00:00:00"/>
    <x v="1"/>
    <s v="Q3"/>
    <x v="7"/>
    <x v="2"/>
    <x v="0"/>
    <x v="0"/>
    <x v="4"/>
    <s v="Wireless Earbuds"/>
    <n v="1"/>
    <n v="588.41"/>
    <n v="0.1"/>
    <x v="0"/>
    <n v="529.57000000000005"/>
    <n v="447.5"/>
    <n v="82.07"/>
    <n v="1"/>
    <n v="0"/>
    <n v="3"/>
    <n v="5"/>
  </r>
  <r>
    <s v="SW-103998"/>
    <d v="2025-08-10T00:00:00"/>
    <x v="1"/>
    <s v="Q3"/>
    <x v="7"/>
    <x v="1"/>
    <x v="1"/>
    <x v="1"/>
    <x v="1"/>
    <s v="Skin Care Bundle"/>
    <n v="1"/>
    <n v="92.54"/>
    <n v="0"/>
    <x v="2"/>
    <n v="92.54"/>
    <n v="43.52"/>
    <n v="49.02"/>
    <n v="1"/>
    <n v="0"/>
    <n v="5"/>
    <n v="5"/>
  </r>
  <r>
    <s v="SW-103999"/>
    <d v="2025-08-10T00:00:00"/>
    <x v="1"/>
    <s v="Q3"/>
    <x v="7"/>
    <x v="0"/>
    <x v="0"/>
    <x v="0"/>
    <x v="3"/>
    <s v="Fitness Tracker"/>
    <n v="1"/>
    <n v="74.459999999999994"/>
    <n v="0.2"/>
    <x v="1"/>
    <n v="59.57"/>
    <n v="48.7"/>
    <n v="10.87"/>
    <n v="1"/>
    <n v="0"/>
    <n v="3"/>
    <n v="5"/>
  </r>
  <r>
    <s v="SW-104000"/>
    <d v="2025-08-10T00:00:00"/>
    <x v="1"/>
    <s v="Q3"/>
    <x v="7"/>
    <x v="2"/>
    <x v="4"/>
    <x v="1"/>
    <x v="3"/>
    <s v="Dumbbell Set"/>
    <n v="2"/>
    <n v="198.42"/>
    <n v="0"/>
    <x v="2"/>
    <n v="396.84"/>
    <n v="274.89"/>
    <n v="121.95"/>
    <n v="1"/>
    <n v="0"/>
    <n v="5"/>
    <n v="5"/>
  </r>
  <r>
    <s v="SW-104001"/>
    <d v="2025-08-10T00:00:00"/>
    <x v="1"/>
    <s v="Q3"/>
    <x v="7"/>
    <x v="1"/>
    <x v="0"/>
    <x v="0"/>
    <x v="3"/>
    <s v="Dumbbell Set"/>
    <n v="3"/>
    <n v="198.42"/>
    <n v="0"/>
    <x v="2"/>
    <n v="595.26"/>
    <n v="413.55"/>
    <n v="181.71"/>
    <n v="1"/>
    <n v="0"/>
    <n v="4"/>
    <n v="4"/>
  </r>
  <r>
    <s v="SW-104002"/>
    <d v="2025-08-11T00:00:00"/>
    <x v="1"/>
    <s v="Q3"/>
    <x v="7"/>
    <x v="2"/>
    <x v="4"/>
    <x v="1"/>
    <x v="5"/>
    <s v="Kids Puzzle"/>
    <n v="1"/>
    <n v="16.97"/>
    <n v="0"/>
    <x v="2"/>
    <n v="16.97"/>
    <n v="12.28"/>
    <n v="4.6900000000000004"/>
    <n v="1"/>
    <n v="0"/>
    <n v="6"/>
    <n v="3"/>
  </r>
  <r>
    <s v="SW-104003"/>
    <d v="2025-08-11T00:00:00"/>
    <x v="1"/>
    <s v="Q3"/>
    <x v="7"/>
    <x v="0"/>
    <x v="3"/>
    <x v="1"/>
    <x v="4"/>
    <s v="Tablet 10in"/>
    <n v="3"/>
    <n v="490.3"/>
    <n v="0.1"/>
    <x v="0"/>
    <n v="1323.81"/>
    <n v="1202.9100000000001"/>
    <n v="120.9"/>
    <n v="1"/>
    <n v="0"/>
    <n v="2"/>
    <n v="3"/>
  </r>
  <r>
    <s v="SW-104004"/>
    <d v="2025-08-11T00:00:00"/>
    <x v="1"/>
    <s v="Q3"/>
    <x v="7"/>
    <x v="0"/>
    <x v="2"/>
    <x v="1"/>
    <x v="5"/>
    <s v="Bestseller Novel"/>
    <n v="4"/>
    <n v="45.28"/>
    <n v="0"/>
    <x v="2"/>
    <n v="181.12"/>
    <n v="132.5"/>
    <n v="48.62"/>
    <n v="1"/>
    <n v="0"/>
    <n v="3"/>
    <n v="4"/>
  </r>
  <r>
    <s v="SW-104005"/>
    <d v="2025-08-11T00:00:00"/>
    <x v="1"/>
    <s v="Q3"/>
    <x v="7"/>
    <x v="0"/>
    <x v="3"/>
    <x v="1"/>
    <x v="4"/>
    <s v="Tablet 10in"/>
    <n v="1"/>
    <n v="490.3"/>
    <n v="0.1"/>
    <x v="0"/>
    <n v="441.27"/>
    <n v="393.13"/>
    <n v="48.14"/>
    <n v="1"/>
    <n v="0"/>
    <n v="2"/>
    <n v="4"/>
  </r>
  <r>
    <s v="SW-104006"/>
    <d v="2025-08-11T00:00:00"/>
    <x v="1"/>
    <s v="Q3"/>
    <x v="7"/>
    <x v="1"/>
    <x v="2"/>
    <x v="1"/>
    <x v="5"/>
    <s v="Bestseller Novel"/>
    <n v="2"/>
    <n v="45.28"/>
    <n v="0"/>
    <x v="2"/>
    <n v="90.56"/>
    <n v="64.52"/>
    <n v="26.04"/>
    <n v="1"/>
    <n v="0"/>
    <n v="5"/>
    <n v="4"/>
  </r>
  <r>
    <s v="SW-104007"/>
    <d v="2025-08-11T00:00:00"/>
    <x v="1"/>
    <s v="Q3"/>
    <x v="7"/>
    <x v="2"/>
    <x v="0"/>
    <x v="0"/>
    <x v="2"/>
    <s v="Storage Boxes"/>
    <n v="1"/>
    <n v="154.66"/>
    <n v="0.1"/>
    <x v="0"/>
    <n v="139.19"/>
    <n v="103.2"/>
    <n v="35.99"/>
    <n v="1"/>
    <n v="0"/>
    <n v="3"/>
    <n v="4"/>
  </r>
  <r>
    <s v="SW-104008"/>
    <d v="2025-08-11T00:00:00"/>
    <x v="1"/>
    <s v="Q3"/>
    <x v="7"/>
    <x v="1"/>
    <x v="2"/>
    <x v="0"/>
    <x v="2"/>
    <s v="Bed Sheet Set"/>
    <n v="2"/>
    <n v="90.75"/>
    <n v="0.25"/>
    <x v="3"/>
    <n v="136.12"/>
    <n v="117.46"/>
    <n v="18.66"/>
    <n v="1"/>
    <n v="0"/>
    <n v="4"/>
    <n v="5"/>
  </r>
  <r>
    <s v="SW-104009"/>
    <d v="2025-08-11T00:00:00"/>
    <x v="1"/>
    <s v="Q3"/>
    <x v="7"/>
    <x v="1"/>
    <x v="3"/>
    <x v="1"/>
    <x v="1"/>
    <s v="Makeup Kit"/>
    <n v="1"/>
    <n v="74.3"/>
    <n v="0.05"/>
    <x v="0"/>
    <n v="70.58"/>
    <n v="34.71"/>
    <n v="35.869999999999997"/>
    <n v="1"/>
    <n v="0"/>
    <n v="6"/>
    <n v="3"/>
  </r>
  <r>
    <s v="SW-104010"/>
    <d v="2025-08-11T00:00:00"/>
    <x v="1"/>
    <s v="Q3"/>
    <x v="7"/>
    <x v="1"/>
    <x v="0"/>
    <x v="0"/>
    <x v="2"/>
    <s v="Storage Boxes"/>
    <n v="1"/>
    <n v="154.66"/>
    <n v="0"/>
    <x v="2"/>
    <n v="154.66"/>
    <n v="105.44"/>
    <n v="49.22"/>
    <n v="1"/>
    <n v="0"/>
    <n v="3"/>
    <n v="5"/>
  </r>
  <r>
    <s v="SW-104011"/>
    <d v="2025-08-12T00:00:00"/>
    <x v="1"/>
    <s v="Q3"/>
    <x v="7"/>
    <x v="1"/>
    <x v="0"/>
    <x v="0"/>
    <x v="2"/>
    <s v="Storage Boxes"/>
    <n v="1"/>
    <n v="154.66"/>
    <n v="0"/>
    <x v="2"/>
    <n v="154.66"/>
    <n v="105.37"/>
    <n v="49.29"/>
    <n v="1"/>
    <n v="0"/>
    <n v="4"/>
    <n v="5"/>
  </r>
  <r>
    <s v="SW-104012"/>
    <d v="2025-08-12T00:00:00"/>
    <x v="1"/>
    <s v="Q3"/>
    <x v="7"/>
    <x v="0"/>
    <x v="3"/>
    <x v="0"/>
    <x v="2"/>
    <s v="Air Fryer"/>
    <n v="1"/>
    <n v="68.349999999999994"/>
    <n v="0"/>
    <x v="2"/>
    <n v="68.349999999999994"/>
    <n v="46.63"/>
    <n v="21.72"/>
    <n v="1"/>
    <n v="0"/>
    <n v="2"/>
    <n v="5"/>
  </r>
  <r>
    <s v="SW-104013"/>
    <d v="2025-08-12T00:00:00"/>
    <x v="1"/>
    <s v="Q3"/>
    <x v="7"/>
    <x v="1"/>
    <x v="1"/>
    <x v="1"/>
    <x v="2"/>
    <s v="Cookware Set"/>
    <n v="1"/>
    <n v="233.81"/>
    <n v="0.05"/>
    <x v="0"/>
    <n v="222.12"/>
    <n v="151.44999999999999"/>
    <n v="70.67"/>
    <n v="1"/>
    <n v="0"/>
    <n v="7"/>
    <n v="5"/>
  </r>
  <r>
    <s v="SW-104014"/>
    <d v="2025-08-12T00:00:00"/>
    <x v="1"/>
    <s v="Q3"/>
    <x v="7"/>
    <x v="0"/>
    <x v="3"/>
    <x v="0"/>
    <x v="1"/>
    <s v="Hair Dryer"/>
    <n v="1"/>
    <n v="33.18"/>
    <n v="0.1"/>
    <x v="0"/>
    <n v="29.86"/>
    <n v="15.96"/>
    <n v="13.9"/>
    <n v="1"/>
    <n v="0"/>
    <n v="2"/>
    <n v="4"/>
  </r>
  <r>
    <s v="SW-104015"/>
    <d v="2025-08-12T00:00:00"/>
    <x v="1"/>
    <s v="Q3"/>
    <x v="7"/>
    <x v="0"/>
    <x v="3"/>
    <x v="0"/>
    <x v="5"/>
    <s v="Building Blocks"/>
    <n v="1"/>
    <n v="48.86"/>
    <n v="0.2"/>
    <x v="1"/>
    <n v="39.090000000000003"/>
    <n v="35.049999999999997"/>
    <n v="4.04"/>
    <n v="1"/>
    <n v="0"/>
    <n v="3"/>
    <n v="5"/>
  </r>
  <r>
    <s v="SW-104016"/>
    <d v="2025-08-13T00:00:00"/>
    <x v="1"/>
    <s v="Q3"/>
    <x v="7"/>
    <x v="1"/>
    <x v="3"/>
    <x v="0"/>
    <x v="2"/>
    <s v="Bed Sheet Set"/>
    <n v="2"/>
    <n v="90.75"/>
    <n v="0.15"/>
    <x v="1"/>
    <n v="154.28"/>
    <n v="121.33"/>
    <n v="32.950000000000003"/>
    <n v="1"/>
    <n v="0"/>
    <n v="5"/>
    <n v="5"/>
  </r>
  <r>
    <s v="SW-104017"/>
    <d v="2025-08-13T00:00:00"/>
    <x v="1"/>
    <s v="Q3"/>
    <x v="7"/>
    <x v="1"/>
    <x v="2"/>
    <x v="1"/>
    <x v="0"/>
    <s v="Sunglasses"/>
    <n v="1"/>
    <n v="104.94"/>
    <n v="0.05"/>
    <x v="0"/>
    <n v="99.69"/>
    <n v="58.71"/>
    <n v="40.98"/>
    <n v="1"/>
    <n v="0"/>
    <n v="3"/>
    <n v="4"/>
  </r>
  <r>
    <s v="SW-104018"/>
    <d v="2025-08-13T00:00:00"/>
    <x v="1"/>
    <s v="Q3"/>
    <x v="7"/>
    <x v="0"/>
    <x v="3"/>
    <x v="0"/>
    <x v="0"/>
    <s v="Sunglasses"/>
    <n v="1"/>
    <n v="104.94"/>
    <n v="0.1"/>
    <x v="0"/>
    <n v="94.45"/>
    <n v="57.74"/>
    <n v="36.71"/>
    <n v="1"/>
    <n v="0"/>
    <n v="5"/>
    <n v="4"/>
  </r>
  <r>
    <s v="SW-104019"/>
    <d v="2025-08-13T00:00:00"/>
    <x v="1"/>
    <s v="Q3"/>
    <x v="7"/>
    <x v="0"/>
    <x v="2"/>
    <x v="0"/>
    <x v="3"/>
    <s v="Cycling Helmet"/>
    <n v="1"/>
    <n v="85.42"/>
    <n v="0"/>
    <x v="2"/>
    <n v="85.42"/>
    <n v="57.22"/>
    <n v="28.2"/>
    <n v="1"/>
    <n v="0"/>
    <n v="5"/>
    <n v="5"/>
  </r>
  <r>
    <s v="SW-104020"/>
    <d v="2025-08-13T00:00:00"/>
    <x v="1"/>
    <s v="Q3"/>
    <x v="7"/>
    <x v="1"/>
    <x v="0"/>
    <x v="1"/>
    <x v="3"/>
    <s v="Camping Tent"/>
    <n v="2"/>
    <n v="83.06"/>
    <n v="0"/>
    <x v="2"/>
    <n v="166.12"/>
    <n v="108.71"/>
    <n v="57.41"/>
    <n v="1"/>
    <n v="0"/>
    <n v="4"/>
    <n v="4"/>
  </r>
  <r>
    <s v="SW-104021"/>
    <d v="2025-08-14T00:00:00"/>
    <x v="1"/>
    <s v="Q3"/>
    <x v="7"/>
    <x v="0"/>
    <x v="0"/>
    <x v="0"/>
    <x v="5"/>
    <s v="Board Game"/>
    <n v="1"/>
    <n v="57.92"/>
    <n v="0"/>
    <x v="2"/>
    <n v="57.92"/>
    <n v="41.28"/>
    <n v="16.64"/>
    <n v="1"/>
    <n v="0"/>
    <n v="3"/>
    <n v="5"/>
  </r>
  <r>
    <s v="SW-104022"/>
    <d v="2025-08-14T00:00:00"/>
    <x v="1"/>
    <s v="Q3"/>
    <x v="7"/>
    <x v="0"/>
    <x v="3"/>
    <x v="0"/>
    <x v="4"/>
    <s v="4K Action Camera"/>
    <n v="1"/>
    <n v="636.09"/>
    <n v="0"/>
    <x v="2"/>
    <n v="636.09"/>
    <n v="474.39"/>
    <n v="161.69999999999999"/>
    <n v="1"/>
    <n v="0"/>
    <n v="3"/>
    <n v="4"/>
  </r>
  <r>
    <s v="SW-104023"/>
    <d v="2025-08-14T00:00:00"/>
    <x v="1"/>
    <s v="Q3"/>
    <x v="7"/>
    <x v="0"/>
    <x v="1"/>
    <x v="1"/>
    <x v="4"/>
    <s v="Tablet 10in"/>
    <n v="1"/>
    <n v="490.3"/>
    <n v="0"/>
    <x v="2"/>
    <n v="490.3"/>
    <n v="388.51"/>
    <n v="101.79"/>
    <n v="1"/>
    <n v="0"/>
    <n v="7"/>
    <n v="3"/>
  </r>
  <r>
    <s v="SW-104024"/>
    <d v="2025-08-14T00:00:00"/>
    <x v="1"/>
    <s v="Q3"/>
    <x v="7"/>
    <x v="0"/>
    <x v="3"/>
    <x v="0"/>
    <x v="4"/>
    <s v="4K Action Camera"/>
    <n v="1"/>
    <n v="636.09"/>
    <n v="0.05"/>
    <x v="0"/>
    <n v="604.29"/>
    <n v="507.68"/>
    <n v="96.61"/>
    <n v="1"/>
    <n v="0"/>
    <n v="4"/>
    <n v="4"/>
  </r>
  <r>
    <s v="SW-104025"/>
    <d v="2025-08-14T00:00:00"/>
    <x v="1"/>
    <s v="Q3"/>
    <x v="7"/>
    <x v="1"/>
    <x v="2"/>
    <x v="0"/>
    <x v="1"/>
    <s v="Perfume 100ml"/>
    <n v="2"/>
    <n v="54.56"/>
    <n v="0"/>
    <x v="2"/>
    <n v="109.12"/>
    <n v="52.66"/>
    <n v="56.46"/>
    <n v="1"/>
    <n v="0"/>
    <n v="3"/>
    <n v="5"/>
  </r>
  <r>
    <s v="SW-104026"/>
    <d v="2025-08-14T00:00:00"/>
    <x v="1"/>
    <s v="Q3"/>
    <x v="7"/>
    <x v="1"/>
    <x v="3"/>
    <x v="1"/>
    <x v="3"/>
    <s v="Yoga Mat"/>
    <n v="1"/>
    <n v="137.05000000000001"/>
    <n v="0.05"/>
    <x v="0"/>
    <n v="130.19999999999999"/>
    <n v="95.34"/>
    <n v="34.86"/>
    <n v="1"/>
    <n v="1"/>
    <n v="3"/>
    <n v="4"/>
  </r>
  <r>
    <s v="SW-104027"/>
    <d v="2025-08-14T00:00:00"/>
    <x v="1"/>
    <s v="Q3"/>
    <x v="7"/>
    <x v="0"/>
    <x v="3"/>
    <x v="1"/>
    <x v="4"/>
    <s v="Bluetooth Speaker"/>
    <n v="1"/>
    <n v="177.65"/>
    <n v="0.15"/>
    <x v="1"/>
    <n v="151"/>
    <n v="142.41"/>
    <n v="8.59"/>
    <n v="1"/>
    <n v="1"/>
    <n v="4"/>
    <n v="3"/>
  </r>
  <r>
    <s v="SW-104028"/>
    <d v="2025-08-15T00:00:00"/>
    <x v="1"/>
    <s v="Q3"/>
    <x v="7"/>
    <x v="0"/>
    <x v="4"/>
    <x v="1"/>
    <x v="4"/>
    <s v="Smart Watch"/>
    <n v="1"/>
    <n v="216.08"/>
    <n v="0.1"/>
    <x v="0"/>
    <n v="194.47"/>
    <n v="172.54"/>
    <n v="21.93"/>
    <n v="1"/>
    <n v="0"/>
    <n v="5"/>
    <n v="4"/>
  </r>
  <r>
    <s v="SW-104029"/>
    <d v="2025-08-15T00:00:00"/>
    <x v="1"/>
    <s v="Q3"/>
    <x v="7"/>
    <x v="1"/>
    <x v="0"/>
    <x v="0"/>
    <x v="3"/>
    <s v="Cycling Helmet"/>
    <n v="1"/>
    <n v="85.42"/>
    <n v="0"/>
    <x v="2"/>
    <n v="85.42"/>
    <n v="54.97"/>
    <n v="30.45"/>
    <n v="1"/>
    <n v="0"/>
    <n v="4"/>
    <n v="5"/>
  </r>
  <r>
    <s v="SW-104030"/>
    <d v="2025-08-15T00:00:00"/>
    <x v="1"/>
    <s v="Q3"/>
    <x v="7"/>
    <x v="0"/>
    <x v="1"/>
    <x v="1"/>
    <x v="1"/>
    <s v="Skin Care Bundle"/>
    <n v="1"/>
    <n v="92.54"/>
    <n v="0.1"/>
    <x v="0"/>
    <n v="83.29"/>
    <n v="46.63"/>
    <n v="36.659999999999997"/>
    <n v="1"/>
    <n v="0"/>
    <n v="5"/>
    <n v="4"/>
  </r>
  <r>
    <s v="SW-104031"/>
    <d v="2025-08-15T00:00:00"/>
    <x v="1"/>
    <s v="Q3"/>
    <x v="7"/>
    <x v="0"/>
    <x v="0"/>
    <x v="1"/>
    <x v="4"/>
    <s v="Tablet 10in"/>
    <n v="1"/>
    <n v="490.3"/>
    <n v="0.05"/>
    <x v="0"/>
    <n v="465.78"/>
    <n v="386.44"/>
    <n v="79.34"/>
    <n v="1"/>
    <n v="0"/>
    <n v="4"/>
    <n v="5"/>
  </r>
  <r>
    <s v="SW-104032"/>
    <d v="2025-08-15T00:00:00"/>
    <x v="1"/>
    <s v="Q3"/>
    <x v="7"/>
    <x v="1"/>
    <x v="2"/>
    <x v="1"/>
    <x v="4"/>
    <s v="Smart Watch"/>
    <n v="1"/>
    <n v="216.08"/>
    <n v="0.05"/>
    <x v="0"/>
    <n v="205.28"/>
    <n v="173.54"/>
    <n v="31.74"/>
    <n v="1"/>
    <n v="0"/>
    <n v="6"/>
    <n v="5"/>
  </r>
  <r>
    <s v="SW-104033"/>
    <d v="2025-08-15T00:00:00"/>
    <x v="1"/>
    <s v="Q3"/>
    <x v="7"/>
    <x v="1"/>
    <x v="3"/>
    <x v="1"/>
    <x v="2"/>
    <s v="Air Fryer"/>
    <n v="1"/>
    <n v="68.349999999999994"/>
    <n v="0"/>
    <x v="2"/>
    <n v="68.349999999999994"/>
    <n v="45.07"/>
    <n v="23.28"/>
    <n v="1"/>
    <n v="0"/>
    <n v="2"/>
    <n v="5"/>
  </r>
  <r>
    <s v="SW-104034"/>
    <d v="2025-08-16T00:00:00"/>
    <x v="1"/>
    <s v="Q3"/>
    <x v="7"/>
    <x v="1"/>
    <x v="0"/>
    <x v="1"/>
    <x v="3"/>
    <s v="Cycling Helmet"/>
    <n v="1"/>
    <n v="85.42"/>
    <n v="0.15"/>
    <x v="1"/>
    <n v="72.61"/>
    <n v="58.44"/>
    <n v="14.17"/>
    <n v="1"/>
    <n v="0"/>
    <n v="4"/>
    <n v="3"/>
  </r>
  <r>
    <s v="SW-104035"/>
    <d v="2025-08-16T00:00:00"/>
    <x v="1"/>
    <s v="Q3"/>
    <x v="7"/>
    <x v="0"/>
    <x v="0"/>
    <x v="1"/>
    <x v="4"/>
    <s v="Wireless Earbuds"/>
    <n v="4"/>
    <n v="588.41"/>
    <n v="0"/>
    <x v="2"/>
    <n v="2353.64"/>
    <n v="1816.04"/>
    <n v="537.6"/>
    <n v="1"/>
    <n v="0"/>
    <n v="4"/>
    <n v="4"/>
  </r>
  <r>
    <s v="SW-104036"/>
    <d v="2025-08-16T00:00:00"/>
    <x v="1"/>
    <s v="Q3"/>
    <x v="7"/>
    <x v="0"/>
    <x v="3"/>
    <x v="0"/>
    <x v="3"/>
    <s v="Fitness Tracker"/>
    <n v="4"/>
    <n v="74.459999999999994"/>
    <n v="0.3"/>
    <x v="3"/>
    <n v="208.49"/>
    <n v="195.56"/>
    <n v="12.93"/>
    <n v="1"/>
    <n v="0"/>
    <n v="3"/>
    <n v="4"/>
  </r>
  <r>
    <s v="SW-104037"/>
    <d v="2025-08-16T00:00:00"/>
    <x v="1"/>
    <s v="Q3"/>
    <x v="7"/>
    <x v="2"/>
    <x v="0"/>
    <x v="1"/>
    <x v="2"/>
    <s v="Storage Boxes"/>
    <n v="2"/>
    <n v="154.66"/>
    <n v="0.15"/>
    <x v="1"/>
    <n v="262.92"/>
    <n v="208.85"/>
    <n v="54.07"/>
    <n v="1"/>
    <n v="0"/>
    <n v="3"/>
    <n v="4"/>
  </r>
  <r>
    <s v="SW-104038"/>
    <d v="2025-08-16T00:00:00"/>
    <x v="1"/>
    <s v="Q3"/>
    <x v="7"/>
    <x v="0"/>
    <x v="0"/>
    <x v="1"/>
    <x v="2"/>
    <s v="Desk Lamp"/>
    <n v="3"/>
    <n v="117.63"/>
    <n v="0.05"/>
    <x v="0"/>
    <n v="335.25"/>
    <n v="225.65"/>
    <n v="109.6"/>
    <n v="1"/>
    <n v="0"/>
    <n v="3"/>
    <n v="4"/>
  </r>
  <r>
    <s v="SW-104039"/>
    <d v="2025-08-16T00:00:00"/>
    <x v="1"/>
    <s v="Q3"/>
    <x v="7"/>
    <x v="1"/>
    <x v="3"/>
    <x v="0"/>
    <x v="5"/>
    <s v="Bestseller Novel"/>
    <n v="1"/>
    <n v="45.28"/>
    <n v="0.2"/>
    <x v="1"/>
    <n v="36.22"/>
    <n v="32.82"/>
    <n v="3.4"/>
    <n v="1"/>
    <n v="0"/>
    <n v="5"/>
    <n v="5"/>
  </r>
  <r>
    <s v="SW-104040"/>
    <d v="2025-08-16T00:00:00"/>
    <x v="1"/>
    <s v="Q3"/>
    <x v="7"/>
    <x v="1"/>
    <x v="0"/>
    <x v="1"/>
    <x v="5"/>
    <s v="Kids Puzzle"/>
    <n v="1"/>
    <n v="16.97"/>
    <n v="0.15"/>
    <x v="1"/>
    <n v="14.42"/>
    <n v="12.18"/>
    <n v="2.2400000000000002"/>
    <n v="1"/>
    <n v="0"/>
    <n v="5"/>
    <n v="4"/>
  </r>
  <r>
    <s v="SW-104041"/>
    <d v="2025-08-16T00:00:00"/>
    <x v="1"/>
    <s v="Q3"/>
    <x v="7"/>
    <x v="1"/>
    <x v="4"/>
    <x v="1"/>
    <x v="0"/>
    <s v="Summer Dress"/>
    <n v="3"/>
    <n v="33.99"/>
    <n v="0"/>
    <x v="2"/>
    <n v="101.97"/>
    <n v="55.6"/>
    <n v="46.37"/>
    <n v="1"/>
    <n v="0"/>
    <n v="6"/>
    <n v="4"/>
  </r>
  <r>
    <s v="SW-104042"/>
    <d v="2025-08-17T00:00:00"/>
    <x v="1"/>
    <s v="Q3"/>
    <x v="7"/>
    <x v="1"/>
    <x v="2"/>
    <x v="0"/>
    <x v="4"/>
    <s v="Bluetooth Speaker"/>
    <n v="1"/>
    <n v="177.65"/>
    <n v="0.1"/>
    <x v="0"/>
    <n v="159.88999999999999"/>
    <n v="140.61000000000001"/>
    <n v="19.28"/>
    <n v="1"/>
    <n v="0"/>
    <n v="5"/>
    <n v="4"/>
  </r>
  <r>
    <s v="SW-104043"/>
    <d v="2025-08-17T00:00:00"/>
    <x v="1"/>
    <s v="Q3"/>
    <x v="7"/>
    <x v="0"/>
    <x v="2"/>
    <x v="1"/>
    <x v="2"/>
    <s v="Bed Sheet Set"/>
    <n v="1"/>
    <n v="90.75"/>
    <n v="0"/>
    <x v="2"/>
    <n v="90.75"/>
    <n v="55.75"/>
    <n v="35"/>
    <n v="1"/>
    <n v="0"/>
    <n v="5"/>
    <n v="5"/>
  </r>
  <r>
    <s v="SW-104044"/>
    <d v="2025-08-17T00:00:00"/>
    <x v="1"/>
    <s v="Q3"/>
    <x v="7"/>
    <x v="1"/>
    <x v="3"/>
    <x v="0"/>
    <x v="0"/>
    <s v="Leather Handbag"/>
    <n v="1"/>
    <n v="138.5"/>
    <n v="0.2"/>
    <x v="1"/>
    <n v="110.8"/>
    <n v="73.709999999999994"/>
    <n v="37.090000000000003"/>
    <n v="1"/>
    <n v="0"/>
    <n v="3"/>
    <n v="4"/>
  </r>
  <r>
    <s v="SW-104045"/>
    <d v="2025-08-17T00:00:00"/>
    <x v="1"/>
    <s v="Q3"/>
    <x v="7"/>
    <x v="2"/>
    <x v="1"/>
    <x v="1"/>
    <x v="0"/>
    <s v="Denim Jacket"/>
    <n v="1"/>
    <n v="78.510000000000005"/>
    <n v="0"/>
    <x v="2"/>
    <n v="78.510000000000005"/>
    <n v="43.35"/>
    <n v="35.159999999999997"/>
    <n v="1"/>
    <n v="0"/>
    <n v="9"/>
    <n v="3"/>
  </r>
  <r>
    <s v="SW-104046"/>
    <d v="2025-08-17T00:00:00"/>
    <x v="1"/>
    <s v="Q3"/>
    <x v="7"/>
    <x v="1"/>
    <x v="3"/>
    <x v="1"/>
    <x v="1"/>
    <s v="Perfume 100ml"/>
    <n v="1"/>
    <n v="54.56"/>
    <n v="0"/>
    <x v="2"/>
    <n v="54.56"/>
    <n v="27.3"/>
    <n v="27.26"/>
    <n v="1"/>
    <n v="0"/>
    <n v="2"/>
    <n v="4"/>
  </r>
  <r>
    <s v="SW-104047"/>
    <d v="2025-08-17T00:00:00"/>
    <x v="1"/>
    <s v="Q3"/>
    <x v="7"/>
    <x v="1"/>
    <x v="1"/>
    <x v="0"/>
    <x v="1"/>
    <s v="Perfume 100ml"/>
    <n v="1"/>
    <n v="54.56"/>
    <n v="0"/>
    <x v="2"/>
    <n v="54.56"/>
    <n v="26"/>
    <n v="28.56"/>
    <n v="1"/>
    <n v="0"/>
    <n v="5"/>
    <n v="5"/>
  </r>
  <r>
    <s v="SW-104048"/>
    <d v="2025-08-17T00:00:00"/>
    <x v="1"/>
    <s v="Q3"/>
    <x v="7"/>
    <x v="0"/>
    <x v="0"/>
    <x v="0"/>
    <x v="4"/>
    <s v="Tablet 10in"/>
    <n v="4"/>
    <n v="490.3"/>
    <n v="0"/>
    <x v="2"/>
    <n v="1961.2"/>
    <n v="1595.9"/>
    <n v="365.3"/>
    <n v="1"/>
    <n v="0"/>
    <n v="4"/>
    <n v="5"/>
  </r>
  <r>
    <s v="SW-104049"/>
    <d v="2025-08-17T00:00:00"/>
    <x v="1"/>
    <s v="Q3"/>
    <x v="7"/>
    <x v="0"/>
    <x v="3"/>
    <x v="0"/>
    <x v="0"/>
    <s v="Sunglasses"/>
    <n v="3"/>
    <n v="104.94"/>
    <n v="0.1"/>
    <x v="0"/>
    <n v="283.33999999999997"/>
    <n v="166.68"/>
    <n v="116.66"/>
    <n v="1"/>
    <n v="0"/>
    <n v="3"/>
    <n v="5"/>
  </r>
  <r>
    <s v="SW-104050"/>
    <d v="2025-08-17T00:00:00"/>
    <x v="1"/>
    <s v="Q3"/>
    <x v="7"/>
    <x v="1"/>
    <x v="3"/>
    <x v="1"/>
    <x v="0"/>
    <s v="Running Sneakers"/>
    <n v="1"/>
    <n v="94.85"/>
    <n v="0.2"/>
    <x v="1"/>
    <n v="75.88"/>
    <n v="48.12"/>
    <n v="27.76"/>
    <n v="1"/>
    <n v="0"/>
    <n v="4"/>
    <n v="4"/>
  </r>
  <r>
    <s v="SW-104051"/>
    <d v="2025-08-18T00:00:00"/>
    <x v="1"/>
    <s v="Q3"/>
    <x v="7"/>
    <x v="0"/>
    <x v="2"/>
    <x v="1"/>
    <x v="5"/>
    <s v="Bestseller Novel"/>
    <n v="1"/>
    <n v="45.28"/>
    <n v="0.05"/>
    <x v="0"/>
    <n v="43.02"/>
    <n v="32.74"/>
    <n v="10.28"/>
    <n v="1"/>
    <n v="0"/>
    <n v="5"/>
    <n v="4"/>
  </r>
  <r>
    <s v="SW-104052"/>
    <d v="2025-08-18T00:00:00"/>
    <x v="1"/>
    <s v="Q3"/>
    <x v="7"/>
    <x v="1"/>
    <x v="0"/>
    <x v="0"/>
    <x v="5"/>
    <s v="Kids Puzzle"/>
    <n v="1"/>
    <n v="16.97"/>
    <n v="0.05"/>
    <x v="0"/>
    <n v="16.12"/>
    <n v="12.86"/>
    <n v="3.26"/>
    <n v="1"/>
    <n v="0"/>
    <n v="3"/>
    <n v="4"/>
  </r>
  <r>
    <s v="SW-104053"/>
    <d v="2025-08-18T00:00:00"/>
    <x v="1"/>
    <s v="Q3"/>
    <x v="7"/>
    <x v="1"/>
    <x v="3"/>
    <x v="0"/>
    <x v="3"/>
    <s v="Camping Tent"/>
    <n v="2"/>
    <n v="83.06"/>
    <n v="0"/>
    <x v="2"/>
    <n v="166.12"/>
    <n v="115.64"/>
    <n v="50.48"/>
    <n v="1"/>
    <n v="1"/>
    <n v="3"/>
    <n v="3"/>
  </r>
  <r>
    <s v="SW-104054"/>
    <d v="2025-08-18T00:00:00"/>
    <x v="1"/>
    <s v="Q3"/>
    <x v="7"/>
    <x v="0"/>
    <x v="3"/>
    <x v="0"/>
    <x v="4"/>
    <s v="Power Bank"/>
    <n v="1"/>
    <n v="508.8"/>
    <n v="0.3"/>
    <x v="3"/>
    <n v="356.16"/>
    <n v="381.16"/>
    <n v="-25"/>
    <n v="1"/>
    <n v="1"/>
    <n v="2"/>
    <n v="4"/>
  </r>
  <r>
    <s v="SW-104055"/>
    <d v="2025-08-18T00:00:00"/>
    <x v="1"/>
    <s v="Q3"/>
    <x v="7"/>
    <x v="1"/>
    <x v="1"/>
    <x v="0"/>
    <x v="4"/>
    <s v="Tablet 10in"/>
    <n v="1"/>
    <n v="490.3"/>
    <n v="0"/>
    <x v="2"/>
    <n v="490.3"/>
    <n v="385.76"/>
    <n v="104.54"/>
    <n v="1"/>
    <n v="0"/>
    <n v="5"/>
    <n v="4"/>
  </r>
  <r>
    <s v="SW-104056"/>
    <d v="2025-08-18T00:00:00"/>
    <x v="1"/>
    <s v="Q3"/>
    <x v="7"/>
    <x v="2"/>
    <x v="3"/>
    <x v="1"/>
    <x v="0"/>
    <s v="Cotton T-Shirt"/>
    <n v="1"/>
    <n v="19.41"/>
    <n v="0.3"/>
    <x v="3"/>
    <n v="13.59"/>
    <n v="11.03"/>
    <n v="2.56"/>
    <n v="1"/>
    <n v="0"/>
    <n v="2"/>
    <n v="5"/>
  </r>
  <r>
    <s v="SW-104057"/>
    <d v="2025-08-18T00:00:00"/>
    <x v="1"/>
    <s v="Q3"/>
    <x v="7"/>
    <x v="1"/>
    <x v="2"/>
    <x v="1"/>
    <x v="4"/>
    <s v="Smart Watch"/>
    <n v="2"/>
    <n v="216.08"/>
    <n v="0.1"/>
    <x v="0"/>
    <n v="388.94"/>
    <n v="344.1"/>
    <n v="44.84"/>
    <n v="1"/>
    <n v="0"/>
    <n v="3"/>
    <n v="4"/>
  </r>
  <r>
    <s v="SW-104058"/>
    <d v="2025-08-19T00:00:00"/>
    <x v="1"/>
    <s v="Q3"/>
    <x v="7"/>
    <x v="0"/>
    <x v="3"/>
    <x v="0"/>
    <x v="3"/>
    <s v="Dumbbell Set"/>
    <n v="1"/>
    <n v="198.42"/>
    <n v="0"/>
    <x v="2"/>
    <n v="198.42"/>
    <n v="133.82"/>
    <n v="64.599999999999994"/>
    <n v="1"/>
    <n v="0"/>
    <n v="3"/>
    <n v="5"/>
  </r>
  <r>
    <s v="SW-104059"/>
    <d v="2025-08-19T00:00:00"/>
    <x v="1"/>
    <s v="Q3"/>
    <x v="7"/>
    <x v="1"/>
    <x v="2"/>
    <x v="1"/>
    <x v="3"/>
    <s v="Dumbbell Set"/>
    <n v="2"/>
    <n v="198.42"/>
    <n v="0.1"/>
    <x v="0"/>
    <n v="357.16"/>
    <n v="265.87"/>
    <n v="91.29"/>
    <n v="1"/>
    <n v="0"/>
    <n v="3"/>
    <n v="4"/>
  </r>
  <r>
    <s v="SW-104060"/>
    <d v="2025-08-19T00:00:00"/>
    <x v="1"/>
    <s v="Q3"/>
    <x v="7"/>
    <x v="2"/>
    <x v="3"/>
    <x v="1"/>
    <x v="4"/>
    <s v="Smart Watch"/>
    <n v="1"/>
    <n v="216.08"/>
    <n v="0"/>
    <x v="2"/>
    <n v="216.08"/>
    <n v="181.04"/>
    <n v="35.04"/>
    <n v="1"/>
    <n v="0"/>
    <n v="3"/>
    <n v="4"/>
  </r>
  <r>
    <s v="SW-104061"/>
    <d v="2025-08-19T00:00:00"/>
    <x v="1"/>
    <s v="Q3"/>
    <x v="7"/>
    <x v="0"/>
    <x v="3"/>
    <x v="0"/>
    <x v="4"/>
    <s v="Power Bank"/>
    <n v="1"/>
    <n v="508.8"/>
    <n v="0"/>
    <x v="2"/>
    <n v="508.8"/>
    <n v="407.16"/>
    <n v="101.64"/>
    <n v="1"/>
    <n v="0"/>
    <n v="2"/>
    <n v="4"/>
  </r>
  <r>
    <s v="SW-104062"/>
    <d v="2025-08-19T00:00:00"/>
    <x v="1"/>
    <s v="Q3"/>
    <x v="7"/>
    <x v="2"/>
    <x v="3"/>
    <x v="0"/>
    <x v="5"/>
    <s v="Kids Puzzle"/>
    <n v="1"/>
    <n v="16.97"/>
    <n v="0.05"/>
    <x v="0"/>
    <n v="16.12"/>
    <n v="12.87"/>
    <n v="3.25"/>
    <n v="1"/>
    <n v="0"/>
    <n v="3"/>
    <n v="4"/>
  </r>
  <r>
    <s v="SW-104063"/>
    <d v="2025-08-19T00:00:00"/>
    <x v="1"/>
    <s v="Q3"/>
    <x v="7"/>
    <x v="0"/>
    <x v="1"/>
    <x v="1"/>
    <x v="1"/>
    <s v="Perfume 100ml"/>
    <n v="1"/>
    <n v="54.56"/>
    <n v="0"/>
    <x v="2"/>
    <n v="54.56"/>
    <n v="25.9"/>
    <n v="28.66"/>
    <n v="1"/>
    <n v="0"/>
    <n v="8"/>
    <n v="4"/>
  </r>
  <r>
    <s v="SW-104064"/>
    <d v="2025-08-19T00:00:00"/>
    <x v="1"/>
    <s v="Q3"/>
    <x v="7"/>
    <x v="2"/>
    <x v="3"/>
    <x v="0"/>
    <x v="4"/>
    <s v="Bluetooth Speaker"/>
    <n v="1"/>
    <n v="177.65"/>
    <n v="0"/>
    <x v="2"/>
    <n v="177.65"/>
    <n v="137.47999999999999"/>
    <n v="40.17"/>
    <n v="1"/>
    <n v="0"/>
    <n v="3"/>
    <n v="4"/>
  </r>
  <r>
    <s v="SW-104065"/>
    <d v="2025-08-19T00:00:00"/>
    <x v="1"/>
    <s v="Q3"/>
    <x v="7"/>
    <x v="2"/>
    <x v="4"/>
    <x v="0"/>
    <x v="4"/>
    <s v="Tablet 10in"/>
    <n v="2"/>
    <n v="490.3"/>
    <n v="0"/>
    <x v="2"/>
    <n v="980.6"/>
    <n v="778.12"/>
    <n v="202.48"/>
    <n v="1"/>
    <n v="0"/>
    <n v="5"/>
    <n v="5"/>
  </r>
  <r>
    <s v="SW-104066"/>
    <d v="2025-08-19T00:00:00"/>
    <x v="1"/>
    <s v="Q3"/>
    <x v="7"/>
    <x v="1"/>
    <x v="1"/>
    <x v="0"/>
    <x v="4"/>
    <s v="Tablet 10in"/>
    <n v="2"/>
    <n v="490.3"/>
    <n v="0.05"/>
    <x v="0"/>
    <n v="931.57"/>
    <n v="810.52"/>
    <n v="121.05"/>
    <n v="1"/>
    <n v="0"/>
    <n v="6"/>
    <n v="3"/>
  </r>
  <r>
    <s v="SW-104067"/>
    <d v="2025-08-19T00:00:00"/>
    <x v="1"/>
    <s v="Q3"/>
    <x v="7"/>
    <x v="1"/>
    <x v="3"/>
    <x v="1"/>
    <x v="4"/>
    <s v="Bluetooth Speaker"/>
    <n v="1"/>
    <n v="177.65"/>
    <n v="0"/>
    <x v="2"/>
    <n v="177.65"/>
    <n v="134.22999999999999"/>
    <n v="43.42"/>
    <n v="1"/>
    <n v="0"/>
    <n v="2"/>
    <n v="3"/>
  </r>
  <r>
    <s v="SW-104068"/>
    <d v="2025-08-20T00:00:00"/>
    <x v="1"/>
    <s v="Q3"/>
    <x v="7"/>
    <x v="2"/>
    <x v="2"/>
    <x v="1"/>
    <x v="4"/>
    <s v="4K Action Camera"/>
    <n v="2"/>
    <n v="636.09"/>
    <n v="0.15"/>
    <x v="1"/>
    <n v="1081.3499999999999"/>
    <n v="1025.97"/>
    <n v="55.38"/>
    <n v="1"/>
    <n v="0"/>
    <n v="3"/>
    <n v="4"/>
  </r>
  <r>
    <s v="SW-104069"/>
    <d v="2025-08-20T00:00:00"/>
    <x v="1"/>
    <s v="Q3"/>
    <x v="7"/>
    <x v="2"/>
    <x v="0"/>
    <x v="1"/>
    <x v="5"/>
    <s v="Story Book Set"/>
    <n v="1"/>
    <n v="10.76"/>
    <n v="0"/>
    <x v="2"/>
    <n v="10.76"/>
    <n v="7.43"/>
    <n v="3.33"/>
    <n v="1"/>
    <n v="0"/>
    <n v="5"/>
    <n v="5"/>
  </r>
  <r>
    <s v="SW-104070"/>
    <d v="2025-08-20T00:00:00"/>
    <x v="1"/>
    <s v="Q3"/>
    <x v="7"/>
    <x v="0"/>
    <x v="1"/>
    <x v="0"/>
    <x v="3"/>
    <s v="Cycling Helmet"/>
    <n v="1"/>
    <n v="85.42"/>
    <n v="0.05"/>
    <x v="0"/>
    <n v="81.150000000000006"/>
    <n v="55.19"/>
    <n v="25.96"/>
    <n v="1"/>
    <n v="0"/>
    <n v="5"/>
    <n v="4"/>
  </r>
  <r>
    <s v="SW-104071"/>
    <d v="2025-08-20T00:00:00"/>
    <x v="1"/>
    <s v="Q3"/>
    <x v="7"/>
    <x v="1"/>
    <x v="3"/>
    <x v="1"/>
    <x v="1"/>
    <s v="Face Serum"/>
    <n v="3"/>
    <n v="33.479999999999997"/>
    <n v="0.15"/>
    <x v="1"/>
    <n v="85.37"/>
    <n v="48.45"/>
    <n v="36.92"/>
    <n v="1"/>
    <n v="0"/>
    <n v="2"/>
    <n v="4"/>
  </r>
  <r>
    <s v="SW-104072"/>
    <d v="2025-08-20T00:00:00"/>
    <x v="1"/>
    <s v="Q3"/>
    <x v="7"/>
    <x v="0"/>
    <x v="3"/>
    <x v="1"/>
    <x v="2"/>
    <s v="Desk Lamp"/>
    <n v="1"/>
    <n v="117.63"/>
    <n v="0.1"/>
    <x v="0"/>
    <n v="105.87"/>
    <n v="77.13"/>
    <n v="28.74"/>
    <n v="1"/>
    <n v="0"/>
    <n v="4"/>
    <n v="4"/>
  </r>
  <r>
    <s v="SW-104073"/>
    <d v="2025-08-20T00:00:00"/>
    <x v="1"/>
    <s v="Q3"/>
    <x v="7"/>
    <x v="1"/>
    <x v="0"/>
    <x v="1"/>
    <x v="0"/>
    <s v="Denim Jacket"/>
    <n v="1"/>
    <n v="78.510000000000005"/>
    <n v="0.15"/>
    <x v="1"/>
    <n v="66.73"/>
    <n v="42.58"/>
    <n v="24.15"/>
    <n v="1"/>
    <n v="0"/>
    <n v="6"/>
    <n v="3"/>
  </r>
  <r>
    <s v="SW-104074"/>
    <d v="2025-08-20T00:00:00"/>
    <x v="1"/>
    <s v="Q3"/>
    <x v="7"/>
    <x v="0"/>
    <x v="2"/>
    <x v="0"/>
    <x v="5"/>
    <s v="Building Blocks"/>
    <n v="4"/>
    <n v="48.86"/>
    <n v="0.1"/>
    <x v="0"/>
    <n v="175.9"/>
    <n v="137.65"/>
    <n v="38.25"/>
    <n v="1"/>
    <n v="0"/>
    <n v="6"/>
    <n v="3"/>
  </r>
  <r>
    <s v="SW-104075"/>
    <d v="2025-08-21T00:00:00"/>
    <x v="1"/>
    <s v="Q3"/>
    <x v="7"/>
    <x v="1"/>
    <x v="3"/>
    <x v="1"/>
    <x v="2"/>
    <s v="Storage Boxes"/>
    <n v="1"/>
    <n v="154.66"/>
    <n v="0.05"/>
    <x v="0"/>
    <n v="146.93"/>
    <n v="97.58"/>
    <n v="49.35"/>
    <n v="1"/>
    <n v="0"/>
    <n v="5"/>
    <n v="3"/>
  </r>
  <r>
    <s v="SW-104076"/>
    <d v="2025-08-21T00:00:00"/>
    <x v="1"/>
    <s v="Q3"/>
    <x v="7"/>
    <x v="2"/>
    <x v="2"/>
    <x v="0"/>
    <x v="1"/>
    <s v="Skin Care Bundle"/>
    <n v="2"/>
    <n v="92.54"/>
    <n v="0"/>
    <x v="2"/>
    <n v="185.08"/>
    <n v="87.22"/>
    <n v="97.86"/>
    <n v="1"/>
    <n v="0"/>
    <n v="5"/>
    <n v="5"/>
  </r>
  <r>
    <s v="SW-104077"/>
    <d v="2025-08-21T00:00:00"/>
    <x v="1"/>
    <s v="Q3"/>
    <x v="7"/>
    <x v="1"/>
    <x v="2"/>
    <x v="1"/>
    <x v="2"/>
    <s v="Bed Sheet Set"/>
    <n v="1"/>
    <n v="90.75"/>
    <n v="0"/>
    <x v="2"/>
    <n v="90.75"/>
    <n v="58.85"/>
    <n v="31.9"/>
    <n v="1"/>
    <n v="0"/>
    <n v="3"/>
    <n v="5"/>
  </r>
  <r>
    <s v="SW-104078"/>
    <d v="2025-08-21T00:00:00"/>
    <x v="1"/>
    <s v="Q3"/>
    <x v="7"/>
    <x v="1"/>
    <x v="3"/>
    <x v="1"/>
    <x v="2"/>
    <s v="Cookware Set"/>
    <n v="1"/>
    <n v="233.81"/>
    <n v="0.2"/>
    <x v="1"/>
    <n v="187.05"/>
    <n v="143.03"/>
    <n v="44.02"/>
    <n v="1"/>
    <n v="0"/>
    <n v="3"/>
    <n v="4"/>
  </r>
  <r>
    <s v="SW-104079"/>
    <d v="2025-08-21T00:00:00"/>
    <x v="1"/>
    <s v="Q3"/>
    <x v="7"/>
    <x v="2"/>
    <x v="2"/>
    <x v="0"/>
    <x v="5"/>
    <s v="Story Book Set"/>
    <n v="4"/>
    <n v="10.76"/>
    <n v="0"/>
    <x v="2"/>
    <n v="43.04"/>
    <n v="30.01"/>
    <n v="13.03"/>
    <n v="1"/>
    <n v="0"/>
    <n v="4"/>
    <n v="4"/>
  </r>
  <r>
    <s v="SW-104080"/>
    <d v="2025-08-21T00:00:00"/>
    <x v="1"/>
    <s v="Q3"/>
    <x v="7"/>
    <x v="0"/>
    <x v="2"/>
    <x v="1"/>
    <x v="2"/>
    <s v="Air Fryer"/>
    <n v="1"/>
    <n v="68.349999999999994"/>
    <n v="0"/>
    <x v="2"/>
    <n v="68.349999999999994"/>
    <n v="44.42"/>
    <n v="23.93"/>
    <n v="1"/>
    <n v="0"/>
    <n v="3"/>
    <n v="4"/>
  </r>
  <r>
    <s v="SW-104081"/>
    <d v="2025-08-22T00:00:00"/>
    <x v="1"/>
    <s v="Q3"/>
    <x v="7"/>
    <x v="1"/>
    <x v="0"/>
    <x v="0"/>
    <x v="0"/>
    <s v="Cotton T-Shirt"/>
    <n v="1"/>
    <n v="19.41"/>
    <n v="0.05"/>
    <x v="0"/>
    <n v="18.440000000000001"/>
    <n v="10.64"/>
    <n v="7.8"/>
    <n v="1"/>
    <n v="0"/>
    <n v="3"/>
    <n v="4"/>
  </r>
  <r>
    <s v="SW-104082"/>
    <d v="2025-08-22T00:00:00"/>
    <x v="1"/>
    <s v="Q3"/>
    <x v="7"/>
    <x v="2"/>
    <x v="0"/>
    <x v="0"/>
    <x v="0"/>
    <s v="Leather Handbag"/>
    <n v="1"/>
    <n v="138.5"/>
    <n v="0.1"/>
    <x v="0"/>
    <n v="124.65"/>
    <n v="75.47"/>
    <n v="49.18"/>
    <n v="1"/>
    <n v="0"/>
    <n v="5"/>
    <n v="5"/>
  </r>
  <r>
    <s v="SW-104083"/>
    <d v="2025-08-22T00:00:00"/>
    <x v="1"/>
    <s v="Q3"/>
    <x v="7"/>
    <x v="0"/>
    <x v="2"/>
    <x v="1"/>
    <x v="4"/>
    <s v="Smart Watch"/>
    <n v="2"/>
    <n v="216.08"/>
    <n v="0"/>
    <x v="2"/>
    <n v="432.16"/>
    <n v="345.28"/>
    <n v="86.88"/>
    <n v="1"/>
    <n v="0"/>
    <n v="4"/>
    <n v="5"/>
  </r>
  <r>
    <s v="SW-104084"/>
    <d v="2025-08-22T00:00:00"/>
    <x v="1"/>
    <s v="Q3"/>
    <x v="7"/>
    <x v="2"/>
    <x v="1"/>
    <x v="0"/>
    <x v="4"/>
    <s v="Tablet 10in"/>
    <n v="1"/>
    <n v="490.3"/>
    <n v="0.2"/>
    <x v="1"/>
    <n v="392.24"/>
    <n v="377.03"/>
    <n v="15.21"/>
    <n v="1"/>
    <n v="0"/>
    <n v="6"/>
    <n v="3"/>
  </r>
  <r>
    <s v="SW-104085"/>
    <d v="2025-08-22T00:00:00"/>
    <x v="1"/>
    <s v="Q3"/>
    <x v="7"/>
    <x v="0"/>
    <x v="2"/>
    <x v="1"/>
    <x v="1"/>
    <s v="Perfume 100ml"/>
    <n v="1"/>
    <n v="54.56"/>
    <n v="0.05"/>
    <x v="0"/>
    <n v="51.83"/>
    <n v="26.06"/>
    <n v="25.77"/>
    <n v="1"/>
    <n v="0"/>
    <n v="4"/>
    <n v="5"/>
  </r>
  <r>
    <s v="SW-104086"/>
    <d v="2025-08-22T00:00:00"/>
    <x v="1"/>
    <s v="Q3"/>
    <x v="7"/>
    <x v="1"/>
    <x v="2"/>
    <x v="1"/>
    <x v="1"/>
    <s v="Face Serum"/>
    <n v="2"/>
    <n v="33.479999999999997"/>
    <n v="0.05"/>
    <x v="0"/>
    <n v="63.61"/>
    <n v="31.28"/>
    <n v="32.33"/>
    <n v="1"/>
    <n v="0"/>
    <n v="6"/>
    <n v="3"/>
  </r>
  <r>
    <s v="SW-104087"/>
    <d v="2025-08-22T00:00:00"/>
    <x v="1"/>
    <s v="Q3"/>
    <x v="7"/>
    <x v="0"/>
    <x v="3"/>
    <x v="0"/>
    <x v="2"/>
    <s v="Cookware Set"/>
    <n v="1"/>
    <n v="233.81"/>
    <n v="0.15"/>
    <x v="1"/>
    <n v="198.74"/>
    <n v="149.58000000000001"/>
    <n v="49.16"/>
    <n v="1"/>
    <n v="0"/>
    <n v="2"/>
    <n v="5"/>
  </r>
  <r>
    <s v="SW-104088"/>
    <d v="2025-08-22T00:00:00"/>
    <x v="1"/>
    <s v="Q3"/>
    <x v="7"/>
    <x v="1"/>
    <x v="3"/>
    <x v="0"/>
    <x v="2"/>
    <s v="Coffee Maker"/>
    <n v="1"/>
    <n v="148.05000000000001"/>
    <n v="0"/>
    <x v="2"/>
    <n v="148.05000000000001"/>
    <n v="95.03"/>
    <n v="53.02"/>
    <n v="1"/>
    <n v="0"/>
    <n v="3"/>
    <n v="4"/>
  </r>
  <r>
    <s v="SW-104089"/>
    <d v="2025-08-22T00:00:00"/>
    <x v="1"/>
    <s v="Q3"/>
    <x v="7"/>
    <x v="1"/>
    <x v="4"/>
    <x v="1"/>
    <x v="2"/>
    <s v="Cookware Set"/>
    <n v="2"/>
    <n v="233.81"/>
    <n v="0.3"/>
    <x v="3"/>
    <n v="327.33"/>
    <n v="307.57"/>
    <n v="19.760000000000002"/>
    <n v="1"/>
    <n v="0"/>
    <n v="6"/>
    <n v="5"/>
  </r>
  <r>
    <s v="SW-104090"/>
    <d v="2025-08-22T00:00:00"/>
    <x v="1"/>
    <s v="Q3"/>
    <x v="7"/>
    <x v="0"/>
    <x v="3"/>
    <x v="0"/>
    <x v="0"/>
    <s v="Summer Dress"/>
    <n v="2"/>
    <n v="33.99"/>
    <n v="0.1"/>
    <x v="0"/>
    <n v="61.18"/>
    <n v="37.229999999999997"/>
    <n v="23.95"/>
    <n v="1"/>
    <n v="0"/>
    <n v="2"/>
    <n v="4"/>
  </r>
  <r>
    <s v="SW-104091"/>
    <d v="2025-08-22T00:00:00"/>
    <x v="1"/>
    <s v="Q3"/>
    <x v="7"/>
    <x v="1"/>
    <x v="0"/>
    <x v="1"/>
    <x v="5"/>
    <s v="Building Blocks"/>
    <n v="1"/>
    <n v="48.86"/>
    <n v="0"/>
    <x v="2"/>
    <n v="48.86"/>
    <n v="33.369999999999997"/>
    <n v="15.49"/>
    <n v="1"/>
    <n v="0"/>
    <n v="4"/>
    <n v="4"/>
  </r>
  <r>
    <s v="SW-104092"/>
    <d v="2025-08-23T00:00:00"/>
    <x v="1"/>
    <s v="Q3"/>
    <x v="7"/>
    <x v="2"/>
    <x v="3"/>
    <x v="1"/>
    <x v="2"/>
    <s v="Air Fryer"/>
    <n v="1"/>
    <n v="68.349999999999994"/>
    <n v="0"/>
    <x v="2"/>
    <n v="68.349999999999994"/>
    <n v="43.84"/>
    <n v="24.51"/>
    <n v="1"/>
    <n v="0"/>
    <n v="4"/>
    <n v="5"/>
  </r>
  <r>
    <s v="SW-104093"/>
    <d v="2025-08-23T00:00:00"/>
    <x v="1"/>
    <s v="Q3"/>
    <x v="7"/>
    <x v="0"/>
    <x v="1"/>
    <x v="0"/>
    <x v="1"/>
    <s v="Skin Care Bundle"/>
    <n v="2"/>
    <n v="92.54"/>
    <n v="0"/>
    <x v="2"/>
    <n v="185.08"/>
    <n v="88.88"/>
    <n v="96.2"/>
    <n v="1"/>
    <n v="0"/>
    <n v="6"/>
    <n v="4"/>
  </r>
  <r>
    <s v="SW-104094"/>
    <d v="2025-08-23T00:00:00"/>
    <x v="1"/>
    <s v="Q3"/>
    <x v="7"/>
    <x v="0"/>
    <x v="4"/>
    <x v="1"/>
    <x v="0"/>
    <s v="Sunglasses"/>
    <n v="1"/>
    <n v="104.94"/>
    <n v="0.1"/>
    <x v="0"/>
    <n v="94.45"/>
    <n v="56.22"/>
    <n v="38.229999999999997"/>
    <n v="1"/>
    <n v="0"/>
    <n v="7"/>
    <n v="3"/>
  </r>
  <r>
    <s v="SW-104095"/>
    <d v="2025-08-23T00:00:00"/>
    <x v="1"/>
    <s v="Q3"/>
    <x v="7"/>
    <x v="1"/>
    <x v="3"/>
    <x v="0"/>
    <x v="1"/>
    <s v="Skin Care Bundle"/>
    <n v="1"/>
    <n v="92.54"/>
    <n v="0.05"/>
    <x v="0"/>
    <n v="87.91"/>
    <n v="44.72"/>
    <n v="43.19"/>
    <n v="1"/>
    <n v="0"/>
    <n v="4"/>
    <n v="4"/>
  </r>
  <r>
    <s v="SW-104096"/>
    <d v="2025-08-23T00:00:00"/>
    <x v="1"/>
    <s v="Q3"/>
    <x v="7"/>
    <x v="1"/>
    <x v="1"/>
    <x v="1"/>
    <x v="4"/>
    <s v="Smart Watch"/>
    <n v="1"/>
    <n v="216.08"/>
    <n v="0.25"/>
    <x v="3"/>
    <n v="162.06"/>
    <n v="173.96"/>
    <n v="-11.9"/>
    <n v="1"/>
    <n v="0"/>
    <n v="9"/>
    <n v="5"/>
  </r>
  <r>
    <s v="SW-104097"/>
    <d v="2025-08-23T00:00:00"/>
    <x v="1"/>
    <s v="Q3"/>
    <x v="7"/>
    <x v="0"/>
    <x v="3"/>
    <x v="0"/>
    <x v="5"/>
    <s v="Building Blocks"/>
    <n v="1"/>
    <n v="48.86"/>
    <n v="0.05"/>
    <x v="0"/>
    <n v="46.42"/>
    <n v="35.299999999999997"/>
    <n v="11.12"/>
    <n v="1"/>
    <n v="0"/>
    <n v="2"/>
    <n v="5"/>
  </r>
  <r>
    <s v="SW-104098"/>
    <d v="2025-08-23T00:00:00"/>
    <x v="1"/>
    <s v="Q3"/>
    <x v="7"/>
    <x v="1"/>
    <x v="4"/>
    <x v="1"/>
    <x v="2"/>
    <s v="Air Fryer"/>
    <n v="1"/>
    <n v="68.349999999999994"/>
    <n v="0"/>
    <x v="2"/>
    <n v="68.349999999999994"/>
    <n v="46.65"/>
    <n v="21.7"/>
    <n v="1"/>
    <n v="0"/>
    <n v="7"/>
    <n v="4"/>
  </r>
  <r>
    <s v="SW-104099"/>
    <d v="2025-08-23T00:00:00"/>
    <x v="1"/>
    <s v="Q3"/>
    <x v="7"/>
    <x v="0"/>
    <x v="0"/>
    <x v="0"/>
    <x v="1"/>
    <s v="Face Serum"/>
    <n v="1"/>
    <n v="33.479999999999997"/>
    <n v="0.2"/>
    <x v="1"/>
    <n v="26.78"/>
    <n v="16.61"/>
    <n v="10.17"/>
    <n v="1"/>
    <n v="0"/>
    <n v="3"/>
    <n v="5"/>
  </r>
  <r>
    <s v="SW-104100"/>
    <d v="2025-08-23T00:00:00"/>
    <x v="1"/>
    <s v="Q3"/>
    <x v="7"/>
    <x v="0"/>
    <x v="0"/>
    <x v="1"/>
    <x v="0"/>
    <s v="Sunglasses"/>
    <n v="2"/>
    <n v="104.94"/>
    <n v="0.05"/>
    <x v="0"/>
    <n v="199.39"/>
    <n v="116.45"/>
    <n v="82.94"/>
    <n v="1"/>
    <n v="0"/>
    <n v="4"/>
    <n v="4"/>
  </r>
  <r>
    <s v="SW-104101"/>
    <d v="2025-08-23T00:00:00"/>
    <x v="1"/>
    <s v="Q3"/>
    <x v="7"/>
    <x v="0"/>
    <x v="2"/>
    <x v="1"/>
    <x v="0"/>
    <s v="Cotton T-Shirt"/>
    <n v="1"/>
    <n v="19.41"/>
    <n v="0.15"/>
    <x v="1"/>
    <n v="16.5"/>
    <n v="10.33"/>
    <n v="6.17"/>
    <n v="1"/>
    <n v="0"/>
    <n v="4"/>
    <n v="4"/>
  </r>
  <r>
    <s v="SW-104102"/>
    <d v="2025-08-23T00:00:00"/>
    <x v="1"/>
    <s v="Q3"/>
    <x v="7"/>
    <x v="0"/>
    <x v="2"/>
    <x v="1"/>
    <x v="1"/>
    <s v="Face Serum"/>
    <n v="1"/>
    <n v="33.479999999999997"/>
    <n v="0.05"/>
    <x v="0"/>
    <n v="31.81"/>
    <n v="15.73"/>
    <n v="16.079999999999998"/>
    <n v="1"/>
    <n v="0"/>
    <n v="5"/>
    <n v="4"/>
  </r>
  <r>
    <s v="SW-104103"/>
    <d v="2025-08-23T00:00:00"/>
    <x v="1"/>
    <s v="Q3"/>
    <x v="7"/>
    <x v="1"/>
    <x v="2"/>
    <x v="0"/>
    <x v="4"/>
    <s v="Power Bank"/>
    <n v="1"/>
    <n v="508.8"/>
    <n v="0.05"/>
    <x v="0"/>
    <n v="483.36"/>
    <n v="408.99"/>
    <n v="74.37"/>
    <n v="1"/>
    <n v="0"/>
    <n v="4"/>
    <n v="4"/>
  </r>
  <r>
    <s v="SW-104104"/>
    <d v="2025-08-23T00:00:00"/>
    <x v="1"/>
    <s v="Q3"/>
    <x v="7"/>
    <x v="0"/>
    <x v="3"/>
    <x v="1"/>
    <x v="3"/>
    <s v="Dumbbell Set"/>
    <n v="2"/>
    <n v="198.42"/>
    <n v="0.1"/>
    <x v="0"/>
    <n v="357.16"/>
    <n v="261.11"/>
    <n v="96.05"/>
    <n v="1"/>
    <n v="0"/>
    <n v="2"/>
    <n v="5"/>
  </r>
  <r>
    <s v="SW-104105"/>
    <d v="2025-08-24T00:00:00"/>
    <x v="1"/>
    <s v="Q3"/>
    <x v="7"/>
    <x v="2"/>
    <x v="1"/>
    <x v="1"/>
    <x v="4"/>
    <s v="Bluetooth Speaker"/>
    <n v="1"/>
    <n v="177.65"/>
    <n v="0.25"/>
    <x v="3"/>
    <n v="133.24"/>
    <n v="145.83000000000001"/>
    <n v="-12.59"/>
    <n v="1"/>
    <n v="0"/>
    <n v="6"/>
    <n v="4"/>
  </r>
  <r>
    <s v="SW-104106"/>
    <d v="2025-08-24T00:00:00"/>
    <x v="1"/>
    <s v="Q3"/>
    <x v="7"/>
    <x v="1"/>
    <x v="3"/>
    <x v="0"/>
    <x v="5"/>
    <s v="Board Game"/>
    <n v="2"/>
    <n v="57.92"/>
    <n v="0.1"/>
    <x v="0"/>
    <n v="104.26"/>
    <n v="83.45"/>
    <n v="20.81"/>
    <n v="1"/>
    <n v="0"/>
    <n v="4"/>
    <n v="5"/>
  </r>
  <r>
    <s v="SW-104107"/>
    <d v="2025-08-24T00:00:00"/>
    <x v="1"/>
    <s v="Q3"/>
    <x v="7"/>
    <x v="2"/>
    <x v="2"/>
    <x v="0"/>
    <x v="2"/>
    <s v="Air Fryer"/>
    <n v="1"/>
    <n v="68.349999999999994"/>
    <n v="0"/>
    <x v="2"/>
    <n v="68.349999999999994"/>
    <n v="43.53"/>
    <n v="24.82"/>
    <n v="1"/>
    <n v="0"/>
    <n v="5"/>
    <n v="4"/>
  </r>
  <r>
    <s v="SW-104108"/>
    <d v="2025-08-24T00:00:00"/>
    <x v="1"/>
    <s v="Q3"/>
    <x v="7"/>
    <x v="1"/>
    <x v="1"/>
    <x v="1"/>
    <x v="3"/>
    <s v="Fitness Tracker"/>
    <n v="1"/>
    <n v="74.459999999999994"/>
    <n v="0"/>
    <x v="2"/>
    <n v="74.459999999999994"/>
    <n v="48.26"/>
    <n v="26.2"/>
    <n v="1"/>
    <n v="0"/>
    <n v="5"/>
    <n v="5"/>
  </r>
  <r>
    <s v="SW-104109"/>
    <d v="2025-08-24T00:00:00"/>
    <x v="1"/>
    <s v="Q3"/>
    <x v="7"/>
    <x v="1"/>
    <x v="0"/>
    <x v="1"/>
    <x v="0"/>
    <s v="Running Sneakers"/>
    <n v="3"/>
    <n v="94.85"/>
    <n v="0"/>
    <x v="2"/>
    <n v="284.55"/>
    <n v="146.81"/>
    <n v="137.74"/>
    <n v="1"/>
    <n v="0"/>
    <n v="3"/>
    <n v="5"/>
  </r>
  <r>
    <s v="SW-104110"/>
    <d v="2025-08-24T00:00:00"/>
    <x v="1"/>
    <s v="Q3"/>
    <x v="7"/>
    <x v="1"/>
    <x v="4"/>
    <x v="0"/>
    <x v="2"/>
    <s v="Desk Lamp"/>
    <n v="3"/>
    <n v="117.63"/>
    <n v="0.1"/>
    <x v="0"/>
    <n v="317.60000000000002"/>
    <n v="242.21"/>
    <n v="75.39"/>
    <n v="1"/>
    <n v="0"/>
    <n v="6"/>
    <n v="3"/>
  </r>
  <r>
    <s v="SW-104111"/>
    <d v="2025-08-24T00:00:00"/>
    <x v="1"/>
    <s v="Q3"/>
    <x v="7"/>
    <x v="1"/>
    <x v="4"/>
    <x v="0"/>
    <x v="5"/>
    <s v="Board Game"/>
    <n v="2"/>
    <n v="57.92"/>
    <n v="0"/>
    <x v="2"/>
    <n v="115.84"/>
    <n v="76.48"/>
    <n v="39.36"/>
    <n v="1"/>
    <n v="0"/>
    <n v="6"/>
    <n v="4"/>
  </r>
  <r>
    <s v="SW-104112"/>
    <d v="2025-08-25T00:00:00"/>
    <x v="1"/>
    <s v="Q3"/>
    <x v="7"/>
    <x v="1"/>
    <x v="2"/>
    <x v="0"/>
    <x v="2"/>
    <s v="Storage Boxes"/>
    <n v="3"/>
    <n v="154.66"/>
    <n v="0.2"/>
    <x v="1"/>
    <n v="371.18"/>
    <n v="293.06"/>
    <n v="78.12"/>
    <n v="1"/>
    <n v="0"/>
    <n v="5"/>
    <n v="5"/>
  </r>
  <r>
    <s v="SW-104113"/>
    <d v="2025-08-25T00:00:00"/>
    <x v="1"/>
    <s v="Q3"/>
    <x v="7"/>
    <x v="2"/>
    <x v="0"/>
    <x v="0"/>
    <x v="4"/>
    <s v="Power Bank"/>
    <n v="2"/>
    <n v="508.8"/>
    <n v="0"/>
    <x v="2"/>
    <n v="1017.6"/>
    <n v="821.17"/>
    <n v="196.43"/>
    <n v="1"/>
    <n v="0"/>
    <n v="4"/>
    <n v="4"/>
  </r>
  <r>
    <s v="SW-104114"/>
    <d v="2025-08-25T00:00:00"/>
    <x v="1"/>
    <s v="Q3"/>
    <x v="7"/>
    <x v="0"/>
    <x v="1"/>
    <x v="1"/>
    <x v="2"/>
    <s v="Desk Lamp"/>
    <n v="1"/>
    <n v="117.63"/>
    <n v="0.05"/>
    <x v="0"/>
    <n v="111.75"/>
    <n v="83.34"/>
    <n v="28.41"/>
    <n v="1"/>
    <n v="0"/>
    <n v="5"/>
    <n v="4"/>
  </r>
  <r>
    <s v="SW-104115"/>
    <d v="2025-08-25T00:00:00"/>
    <x v="1"/>
    <s v="Q3"/>
    <x v="7"/>
    <x v="0"/>
    <x v="0"/>
    <x v="0"/>
    <x v="2"/>
    <s v="Bed Sheet Set"/>
    <n v="1"/>
    <n v="90.75"/>
    <n v="0"/>
    <x v="2"/>
    <n v="90.75"/>
    <n v="60.64"/>
    <n v="30.11"/>
    <n v="1"/>
    <n v="0"/>
    <n v="3"/>
    <n v="5"/>
  </r>
  <r>
    <s v="SW-104116"/>
    <d v="2025-08-25T00:00:00"/>
    <x v="1"/>
    <s v="Q3"/>
    <x v="7"/>
    <x v="1"/>
    <x v="3"/>
    <x v="0"/>
    <x v="2"/>
    <s v="Bed Sheet Set"/>
    <n v="1"/>
    <n v="90.75"/>
    <n v="0.1"/>
    <x v="0"/>
    <n v="81.680000000000007"/>
    <n v="60.85"/>
    <n v="20.83"/>
    <n v="1"/>
    <n v="0"/>
    <n v="2"/>
    <n v="5"/>
  </r>
  <r>
    <s v="SW-104117"/>
    <d v="2025-08-25T00:00:00"/>
    <x v="1"/>
    <s v="Q3"/>
    <x v="7"/>
    <x v="1"/>
    <x v="0"/>
    <x v="0"/>
    <x v="0"/>
    <s v="Cotton T-Shirt"/>
    <n v="1"/>
    <n v="19.41"/>
    <n v="0.25"/>
    <x v="3"/>
    <n v="14.56"/>
    <n v="10.81"/>
    <n v="3.75"/>
    <n v="1"/>
    <n v="0"/>
    <n v="3"/>
    <n v="5"/>
  </r>
  <r>
    <s v="SW-104118"/>
    <d v="2025-08-26T00:00:00"/>
    <x v="1"/>
    <s v="Q3"/>
    <x v="7"/>
    <x v="0"/>
    <x v="0"/>
    <x v="0"/>
    <x v="0"/>
    <s v="Running Sneakers"/>
    <n v="1"/>
    <n v="94.85"/>
    <n v="0.3"/>
    <x v="3"/>
    <n v="66.400000000000006"/>
    <n v="48.5"/>
    <n v="17.899999999999999"/>
    <n v="1"/>
    <n v="0"/>
    <n v="5"/>
    <n v="5"/>
  </r>
  <r>
    <s v="SW-104119"/>
    <d v="2025-08-26T00:00:00"/>
    <x v="1"/>
    <s v="Q3"/>
    <x v="7"/>
    <x v="1"/>
    <x v="0"/>
    <x v="1"/>
    <x v="1"/>
    <s v="Hair Dryer"/>
    <n v="2"/>
    <n v="33.18"/>
    <n v="0.1"/>
    <x v="0"/>
    <n v="59.72"/>
    <n v="32.090000000000003"/>
    <n v="27.63"/>
    <n v="1"/>
    <n v="0"/>
    <n v="3"/>
    <n v="4"/>
  </r>
  <r>
    <s v="SW-104120"/>
    <d v="2025-08-26T00:00:00"/>
    <x v="1"/>
    <s v="Q3"/>
    <x v="7"/>
    <x v="0"/>
    <x v="2"/>
    <x v="1"/>
    <x v="0"/>
    <s v="Cotton T-Shirt"/>
    <n v="1"/>
    <n v="19.41"/>
    <n v="0"/>
    <x v="2"/>
    <n v="19.41"/>
    <n v="10.45"/>
    <n v="8.9600000000000009"/>
    <n v="1"/>
    <n v="0"/>
    <n v="4"/>
    <n v="5"/>
  </r>
  <r>
    <s v="SW-104121"/>
    <d v="2025-08-26T00:00:00"/>
    <x v="1"/>
    <s v="Q3"/>
    <x v="7"/>
    <x v="1"/>
    <x v="2"/>
    <x v="1"/>
    <x v="3"/>
    <s v="Yoga Mat"/>
    <n v="3"/>
    <n v="137.05000000000001"/>
    <n v="0.25"/>
    <x v="3"/>
    <n v="308.36"/>
    <n v="269.55"/>
    <n v="38.81"/>
    <n v="1"/>
    <n v="0"/>
    <n v="4"/>
    <n v="5"/>
  </r>
  <r>
    <s v="SW-104122"/>
    <d v="2025-08-26T00:00:00"/>
    <x v="1"/>
    <s v="Q3"/>
    <x v="7"/>
    <x v="0"/>
    <x v="1"/>
    <x v="1"/>
    <x v="4"/>
    <s v="Power Bank"/>
    <n v="2"/>
    <n v="508.8"/>
    <n v="0"/>
    <x v="2"/>
    <n v="1017.6"/>
    <n v="812.17"/>
    <n v="205.43"/>
    <n v="1"/>
    <n v="0"/>
    <n v="5"/>
    <n v="4"/>
  </r>
  <r>
    <s v="SW-104123"/>
    <d v="2025-08-26T00:00:00"/>
    <x v="1"/>
    <s v="Q3"/>
    <x v="7"/>
    <x v="1"/>
    <x v="2"/>
    <x v="0"/>
    <x v="3"/>
    <s v="Yoga Mat"/>
    <n v="1"/>
    <n v="137.05000000000001"/>
    <n v="0.15"/>
    <x v="1"/>
    <n v="116.49"/>
    <n v="86.98"/>
    <n v="29.51"/>
    <n v="1"/>
    <n v="0"/>
    <n v="5"/>
    <n v="4"/>
  </r>
  <r>
    <s v="SW-104124"/>
    <d v="2025-08-26T00:00:00"/>
    <x v="1"/>
    <s v="Q3"/>
    <x v="7"/>
    <x v="0"/>
    <x v="0"/>
    <x v="1"/>
    <x v="4"/>
    <s v="Wireless Earbuds"/>
    <n v="2"/>
    <n v="588.41"/>
    <n v="0.15"/>
    <x v="1"/>
    <n v="1000.3"/>
    <n v="917.48"/>
    <n v="82.82"/>
    <n v="1"/>
    <n v="0"/>
    <n v="4"/>
    <n v="4"/>
  </r>
  <r>
    <s v="SW-104125"/>
    <d v="2025-08-26T00:00:00"/>
    <x v="1"/>
    <s v="Q3"/>
    <x v="7"/>
    <x v="0"/>
    <x v="0"/>
    <x v="0"/>
    <x v="0"/>
    <s v="Sunglasses"/>
    <n v="1"/>
    <n v="104.94"/>
    <n v="0.05"/>
    <x v="0"/>
    <n v="99.69"/>
    <n v="56.25"/>
    <n v="43.44"/>
    <n v="1"/>
    <n v="0"/>
    <n v="3"/>
    <n v="5"/>
  </r>
  <r>
    <s v="SW-104126"/>
    <d v="2025-08-27T00:00:00"/>
    <x v="1"/>
    <s v="Q3"/>
    <x v="7"/>
    <x v="1"/>
    <x v="0"/>
    <x v="1"/>
    <x v="5"/>
    <s v="Board Game"/>
    <n v="1"/>
    <n v="57.92"/>
    <n v="0.1"/>
    <x v="0"/>
    <n v="52.13"/>
    <n v="40.14"/>
    <n v="11.99"/>
    <n v="1"/>
    <n v="0"/>
    <n v="4"/>
    <n v="4"/>
  </r>
  <r>
    <s v="SW-104127"/>
    <d v="2025-08-27T00:00:00"/>
    <x v="1"/>
    <s v="Q3"/>
    <x v="7"/>
    <x v="1"/>
    <x v="2"/>
    <x v="1"/>
    <x v="2"/>
    <s v="Desk Lamp"/>
    <n v="1"/>
    <n v="117.63"/>
    <n v="0.15"/>
    <x v="1"/>
    <n v="99.99"/>
    <n v="78.42"/>
    <n v="21.57"/>
    <n v="1"/>
    <n v="0"/>
    <n v="6"/>
    <n v="3"/>
  </r>
  <r>
    <s v="SW-104128"/>
    <d v="2025-08-27T00:00:00"/>
    <x v="1"/>
    <s v="Q3"/>
    <x v="7"/>
    <x v="1"/>
    <x v="3"/>
    <x v="0"/>
    <x v="0"/>
    <s v="Denim Jacket"/>
    <n v="4"/>
    <n v="78.510000000000005"/>
    <n v="0.2"/>
    <x v="1"/>
    <n v="251.23"/>
    <n v="169.25"/>
    <n v="81.98"/>
    <n v="1"/>
    <n v="0"/>
    <n v="2"/>
    <n v="4"/>
  </r>
  <r>
    <s v="SW-104129"/>
    <d v="2025-08-27T00:00:00"/>
    <x v="1"/>
    <s v="Q3"/>
    <x v="7"/>
    <x v="0"/>
    <x v="0"/>
    <x v="1"/>
    <x v="5"/>
    <s v="Story Book Set"/>
    <n v="1"/>
    <n v="10.76"/>
    <n v="0"/>
    <x v="2"/>
    <n v="10.76"/>
    <n v="7.77"/>
    <n v="2.99"/>
    <n v="1"/>
    <n v="0"/>
    <n v="5"/>
    <n v="4"/>
  </r>
  <r>
    <s v="SW-104130"/>
    <d v="2025-08-27T00:00:00"/>
    <x v="1"/>
    <s v="Q3"/>
    <x v="7"/>
    <x v="1"/>
    <x v="3"/>
    <x v="1"/>
    <x v="4"/>
    <s v="Bluetooth Speaker"/>
    <n v="1"/>
    <n v="177.65"/>
    <n v="0.05"/>
    <x v="0"/>
    <n v="168.77"/>
    <n v="141.88"/>
    <n v="26.89"/>
    <n v="1"/>
    <n v="0"/>
    <n v="3"/>
    <n v="5"/>
  </r>
  <r>
    <s v="SW-104131"/>
    <d v="2025-08-28T00:00:00"/>
    <x v="1"/>
    <s v="Q3"/>
    <x v="7"/>
    <x v="1"/>
    <x v="4"/>
    <x v="0"/>
    <x v="3"/>
    <s v="Yoga Mat"/>
    <n v="1"/>
    <n v="137.05000000000001"/>
    <n v="0"/>
    <x v="2"/>
    <n v="137.05000000000001"/>
    <n v="91.38"/>
    <n v="45.67"/>
    <n v="1"/>
    <n v="0"/>
    <n v="5"/>
    <n v="5"/>
  </r>
  <r>
    <s v="SW-104132"/>
    <d v="2025-08-28T00:00:00"/>
    <x v="1"/>
    <s v="Q3"/>
    <x v="7"/>
    <x v="1"/>
    <x v="0"/>
    <x v="0"/>
    <x v="3"/>
    <s v="Fitness Tracker"/>
    <n v="3"/>
    <n v="74.459999999999994"/>
    <n v="0"/>
    <x v="2"/>
    <n v="223.38"/>
    <n v="148.99"/>
    <n v="74.39"/>
    <n v="1"/>
    <n v="0"/>
    <n v="3"/>
    <n v="4"/>
  </r>
  <r>
    <s v="SW-104133"/>
    <d v="2025-08-28T00:00:00"/>
    <x v="1"/>
    <s v="Q3"/>
    <x v="7"/>
    <x v="1"/>
    <x v="0"/>
    <x v="1"/>
    <x v="1"/>
    <s v="Makeup Kit"/>
    <n v="4"/>
    <n v="74.3"/>
    <n v="0.1"/>
    <x v="0"/>
    <n v="267.48"/>
    <n v="141.13999999999999"/>
    <n v="126.34"/>
    <n v="1"/>
    <n v="0"/>
    <n v="5"/>
    <n v="4"/>
  </r>
  <r>
    <s v="SW-104134"/>
    <d v="2025-08-28T00:00:00"/>
    <x v="1"/>
    <s v="Q3"/>
    <x v="7"/>
    <x v="0"/>
    <x v="3"/>
    <x v="0"/>
    <x v="5"/>
    <s v="Board Game"/>
    <n v="1"/>
    <n v="57.92"/>
    <n v="0"/>
    <x v="2"/>
    <n v="57.92"/>
    <n v="40.090000000000003"/>
    <n v="17.829999999999998"/>
    <n v="1"/>
    <n v="0"/>
    <n v="3"/>
    <n v="5"/>
  </r>
  <r>
    <s v="SW-104135"/>
    <d v="2025-08-28T00:00:00"/>
    <x v="1"/>
    <s v="Q3"/>
    <x v="7"/>
    <x v="0"/>
    <x v="1"/>
    <x v="1"/>
    <x v="4"/>
    <s v="4K Action Camera"/>
    <n v="1"/>
    <n v="636.09"/>
    <n v="0"/>
    <x v="2"/>
    <n v="636.09"/>
    <n v="519.78"/>
    <n v="116.31"/>
    <n v="1"/>
    <n v="0"/>
    <n v="5"/>
    <n v="4"/>
  </r>
  <r>
    <s v="SW-104136"/>
    <d v="2025-08-28T00:00:00"/>
    <x v="1"/>
    <s v="Q3"/>
    <x v="7"/>
    <x v="1"/>
    <x v="3"/>
    <x v="1"/>
    <x v="4"/>
    <s v="Smart Watch"/>
    <n v="3"/>
    <n v="216.08"/>
    <n v="0.25"/>
    <x v="3"/>
    <n v="486.18"/>
    <n v="496.89"/>
    <n v="-10.71"/>
    <n v="1"/>
    <n v="0"/>
    <n v="2"/>
    <n v="5"/>
  </r>
  <r>
    <s v="SW-104137"/>
    <d v="2025-08-28T00:00:00"/>
    <x v="1"/>
    <s v="Q3"/>
    <x v="7"/>
    <x v="0"/>
    <x v="0"/>
    <x v="0"/>
    <x v="0"/>
    <s v="Leather Handbag"/>
    <n v="2"/>
    <n v="138.5"/>
    <n v="0.25"/>
    <x v="3"/>
    <n v="207.75"/>
    <n v="143.33000000000001"/>
    <n v="64.42"/>
    <n v="1"/>
    <n v="0"/>
    <n v="4"/>
    <n v="5"/>
  </r>
  <r>
    <s v="SW-104138"/>
    <d v="2025-08-28T00:00:00"/>
    <x v="1"/>
    <s v="Q3"/>
    <x v="7"/>
    <x v="1"/>
    <x v="3"/>
    <x v="1"/>
    <x v="0"/>
    <s v="Running Sneakers"/>
    <n v="1"/>
    <n v="94.85"/>
    <n v="0"/>
    <x v="2"/>
    <n v="94.85"/>
    <n v="51.82"/>
    <n v="43.03"/>
    <n v="1"/>
    <n v="1"/>
    <n v="2"/>
    <n v="2"/>
  </r>
  <r>
    <s v="SW-104139"/>
    <d v="2025-08-28T00:00:00"/>
    <x v="1"/>
    <s v="Q3"/>
    <x v="7"/>
    <x v="2"/>
    <x v="4"/>
    <x v="0"/>
    <x v="3"/>
    <s v="Dumbbell Set"/>
    <n v="4"/>
    <n v="198.42"/>
    <n v="0"/>
    <x v="2"/>
    <n v="793.68"/>
    <n v="545.16999999999996"/>
    <n v="248.51"/>
    <n v="1"/>
    <n v="0"/>
    <n v="5"/>
    <n v="4"/>
  </r>
  <r>
    <s v="SW-104140"/>
    <d v="2025-08-28T00:00:00"/>
    <x v="1"/>
    <s v="Q3"/>
    <x v="7"/>
    <x v="1"/>
    <x v="3"/>
    <x v="1"/>
    <x v="0"/>
    <s v="Denim Jacket"/>
    <n v="2"/>
    <n v="78.510000000000005"/>
    <n v="0"/>
    <x v="2"/>
    <n v="157.02000000000001"/>
    <n v="78.959999999999994"/>
    <n v="78.06"/>
    <n v="1"/>
    <n v="0"/>
    <n v="3"/>
    <n v="5"/>
  </r>
  <r>
    <s v="SW-104141"/>
    <d v="2025-08-29T00:00:00"/>
    <x v="1"/>
    <s v="Q3"/>
    <x v="7"/>
    <x v="0"/>
    <x v="2"/>
    <x v="1"/>
    <x v="1"/>
    <s v="Makeup Kit"/>
    <n v="2"/>
    <n v="74.3"/>
    <n v="0.3"/>
    <x v="3"/>
    <n v="104.02"/>
    <n v="68.88"/>
    <n v="35.14"/>
    <n v="1"/>
    <n v="0"/>
    <n v="3"/>
    <n v="5"/>
  </r>
  <r>
    <s v="SW-104142"/>
    <d v="2025-08-29T00:00:00"/>
    <x v="1"/>
    <s v="Q3"/>
    <x v="7"/>
    <x v="1"/>
    <x v="1"/>
    <x v="1"/>
    <x v="2"/>
    <s v="Coffee Maker"/>
    <n v="1"/>
    <n v="148.05000000000001"/>
    <n v="0.3"/>
    <x v="3"/>
    <n v="103.64"/>
    <n v="98.47"/>
    <n v="5.17"/>
    <n v="1"/>
    <n v="0"/>
    <n v="7"/>
    <n v="4"/>
  </r>
  <r>
    <s v="SW-104143"/>
    <d v="2025-08-29T00:00:00"/>
    <x v="1"/>
    <s v="Q3"/>
    <x v="7"/>
    <x v="2"/>
    <x v="1"/>
    <x v="1"/>
    <x v="0"/>
    <s v="Running Sneakers"/>
    <n v="2"/>
    <n v="94.85"/>
    <n v="0"/>
    <x v="2"/>
    <n v="189.7"/>
    <n v="105.82"/>
    <n v="83.88"/>
    <n v="1"/>
    <n v="0"/>
    <n v="5"/>
    <n v="4"/>
  </r>
  <r>
    <s v="SW-104144"/>
    <d v="2025-08-29T00:00:00"/>
    <x v="1"/>
    <s v="Q3"/>
    <x v="7"/>
    <x v="1"/>
    <x v="4"/>
    <x v="1"/>
    <x v="1"/>
    <s v="Face Serum"/>
    <n v="2"/>
    <n v="33.479999999999997"/>
    <n v="0.3"/>
    <x v="3"/>
    <n v="46.87"/>
    <n v="33.159999999999997"/>
    <n v="13.71"/>
    <n v="1"/>
    <n v="0"/>
    <n v="6"/>
    <n v="5"/>
  </r>
  <r>
    <s v="SW-104145"/>
    <d v="2025-08-29T00:00:00"/>
    <x v="1"/>
    <s v="Q3"/>
    <x v="7"/>
    <x v="0"/>
    <x v="3"/>
    <x v="1"/>
    <x v="0"/>
    <s v="Leather Handbag"/>
    <n v="3"/>
    <n v="138.5"/>
    <n v="0"/>
    <x v="2"/>
    <n v="415.5"/>
    <n v="223.82"/>
    <n v="191.68"/>
    <n v="1"/>
    <n v="0"/>
    <n v="3"/>
    <n v="5"/>
  </r>
  <r>
    <s v="SW-104146"/>
    <d v="2025-08-29T00:00:00"/>
    <x v="1"/>
    <s v="Q3"/>
    <x v="7"/>
    <x v="2"/>
    <x v="3"/>
    <x v="1"/>
    <x v="2"/>
    <s v="Air Fryer"/>
    <n v="1"/>
    <n v="68.349999999999994"/>
    <n v="0.1"/>
    <x v="0"/>
    <n v="61.51"/>
    <n v="44.16"/>
    <n v="17.350000000000001"/>
    <n v="1"/>
    <n v="0"/>
    <n v="2"/>
    <n v="4"/>
  </r>
  <r>
    <s v="SW-104147"/>
    <d v="2025-08-29T00:00:00"/>
    <x v="1"/>
    <s v="Q3"/>
    <x v="7"/>
    <x v="0"/>
    <x v="0"/>
    <x v="1"/>
    <x v="1"/>
    <s v="Makeup Kit"/>
    <n v="3"/>
    <n v="74.3"/>
    <n v="0"/>
    <x v="2"/>
    <n v="222.9"/>
    <n v="108.97"/>
    <n v="113.93"/>
    <n v="1"/>
    <n v="0"/>
    <n v="5"/>
    <n v="5"/>
  </r>
  <r>
    <s v="SW-104148"/>
    <d v="2025-08-29T00:00:00"/>
    <x v="1"/>
    <s v="Q3"/>
    <x v="7"/>
    <x v="0"/>
    <x v="3"/>
    <x v="0"/>
    <x v="4"/>
    <s v="4K Action Camera"/>
    <n v="2"/>
    <n v="636.09"/>
    <n v="0.25"/>
    <x v="3"/>
    <n v="954.14"/>
    <n v="987.77"/>
    <n v="-33.630000000000003"/>
    <n v="1"/>
    <n v="0"/>
    <n v="2"/>
    <n v="4"/>
  </r>
  <r>
    <s v="SW-104149"/>
    <d v="2025-08-29T00:00:00"/>
    <x v="1"/>
    <s v="Q3"/>
    <x v="7"/>
    <x v="1"/>
    <x v="0"/>
    <x v="1"/>
    <x v="1"/>
    <s v="Hair Dryer"/>
    <n v="2"/>
    <n v="33.18"/>
    <n v="0.1"/>
    <x v="0"/>
    <n v="59.72"/>
    <n v="30.8"/>
    <n v="28.92"/>
    <n v="1"/>
    <n v="0"/>
    <n v="4"/>
    <n v="5"/>
  </r>
  <r>
    <s v="SW-104150"/>
    <d v="2025-08-29T00:00:00"/>
    <x v="1"/>
    <s v="Q3"/>
    <x v="7"/>
    <x v="2"/>
    <x v="3"/>
    <x v="1"/>
    <x v="3"/>
    <s v="Fitness Tracker"/>
    <n v="1"/>
    <n v="74.459999999999994"/>
    <n v="0.05"/>
    <x v="0"/>
    <n v="70.739999999999995"/>
    <n v="47.99"/>
    <n v="22.75"/>
    <n v="1"/>
    <n v="0"/>
    <n v="3"/>
    <n v="4"/>
  </r>
  <r>
    <s v="SW-104151"/>
    <d v="2025-08-29T00:00:00"/>
    <x v="1"/>
    <s v="Q3"/>
    <x v="7"/>
    <x v="2"/>
    <x v="0"/>
    <x v="0"/>
    <x v="0"/>
    <s v="Running Sneakers"/>
    <n v="1"/>
    <n v="94.85"/>
    <n v="0.15"/>
    <x v="1"/>
    <n v="80.62"/>
    <n v="49.95"/>
    <n v="30.67"/>
    <n v="1"/>
    <n v="0"/>
    <n v="5"/>
    <n v="3"/>
  </r>
  <r>
    <s v="SW-104152"/>
    <d v="2025-08-29T00:00:00"/>
    <x v="1"/>
    <s v="Q3"/>
    <x v="7"/>
    <x v="0"/>
    <x v="1"/>
    <x v="0"/>
    <x v="5"/>
    <s v="Kids Puzzle"/>
    <n v="1"/>
    <n v="16.97"/>
    <n v="0"/>
    <x v="2"/>
    <n v="16.97"/>
    <n v="12.08"/>
    <n v="4.8899999999999997"/>
    <n v="1"/>
    <n v="0"/>
    <n v="6"/>
    <n v="4"/>
  </r>
  <r>
    <s v="SW-104153"/>
    <d v="2025-08-29T00:00:00"/>
    <x v="1"/>
    <s v="Q3"/>
    <x v="7"/>
    <x v="1"/>
    <x v="0"/>
    <x v="1"/>
    <x v="2"/>
    <s v="Cookware Set"/>
    <n v="2"/>
    <n v="233.81"/>
    <n v="0"/>
    <x v="2"/>
    <n v="467.62"/>
    <n v="300.72000000000003"/>
    <n v="166.9"/>
    <n v="1"/>
    <n v="0"/>
    <n v="3"/>
    <n v="5"/>
  </r>
  <r>
    <s v="SW-104154"/>
    <d v="2025-08-29T00:00:00"/>
    <x v="1"/>
    <s v="Q3"/>
    <x v="7"/>
    <x v="0"/>
    <x v="0"/>
    <x v="1"/>
    <x v="2"/>
    <s v="Bed Sheet Set"/>
    <n v="1"/>
    <n v="90.75"/>
    <n v="0"/>
    <x v="2"/>
    <n v="90.75"/>
    <n v="56.36"/>
    <n v="34.39"/>
    <n v="1"/>
    <n v="0"/>
    <n v="4"/>
    <n v="4"/>
  </r>
  <r>
    <s v="SW-104155"/>
    <d v="2025-08-30T00:00:00"/>
    <x v="1"/>
    <s v="Q3"/>
    <x v="7"/>
    <x v="1"/>
    <x v="0"/>
    <x v="1"/>
    <x v="2"/>
    <s v="Coffee Maker"/>
    <n v="2"/>
    <n v="148.05000000000001"/>
    <n v="0"/>
    <x v="2"/>
    <n v="296.10000000000002"/>
    <n v="198.62"/>
    <n v="97.48"/>
    <n v="1"/>
    <n v="0"/>
    <n v="5"/>
    <n v="4"/>
  </r>
  <r>
    <s v="SW-104156"/>
    <d v="2025-08-30T00:00:00"/>
    <x v="1"/>
    <s v="Q3"/>
    <x v="7"/>
    <x v="1"/>
    <x v="3"/>
    <x v="1"/>
    <x v="2"/>
    <s v="Coffee Maker"/>
    <n v="2"/>
    <n v="148.05000000000001"/>
    <n v="0"/>
    <x v="2"/>
    <n v="296.10000000000002"/>
    <n v="198.49"/>
    <n v="97.61"/>
    <n v="1"/>
    <n v="0"/>
    <n v="3"/>
    <n v="5"/>
  </r>
  <r>
    <s v="SW-104157"/>
    <d v="2025-08-30T00:00:00"/>
    <x v="1"/>
    <s v="Q3"/>
    <x v="7"/>
    <x v="2"/>
    <x v="2"/>
    <x v="1"/>
    <x v="0"/>
    <s v="Running Sneakers"/>
    <n v="1"/>
    <n v="94.85"/>
    <n v="0.05"/>
    <x v="0"/>
    <n v="90.11"/>
    <n v="50.7"/>
    <n v="39.409999999999997"/>
    <n v="1"/>
    <n v="0"/>
    <n v="4"/>
    <n v="4"/>
  </r>
  <r>
    <s v="SW-104158"/>
    <d v="2025-08-30T00:00:00"/>
    <x v="1"/>
    <s v="Q3"/>
    <x v="7"/>
    <x v="1"/>
    <x v="4"/>
    <x v="0"/>
    <x v="5"/>
    <s v="Story Book Set"/>
    <n v="1"/>
    <n v="10.76"/>
    <n v="0.1"/>
    <x v="0"/>
    <n v="9.68"/>
    <n v="7.76"/>
    <n v="1.92"/>
    <n v="1"/>
    <n v="0"/>
    <n v="6"/>
    <n v="5"/>
  </r>
  <r>
    <s v="SW-104159"/>
    <d v="2025-08-30T00:00:00"/>
    <x v="1"/>
    <s v="Q3"/>
    <x v="7"/>
    <x v="1"/>
    <x v="4"/>
    <x v="0"/>
    <x v="5"/>
    <s v="Bestseller Novel"/>
    <n v="1"/>
    <n v="45.28"/>
    <n v="0"/>
    <x v="2"/>
    <n v="45.28"/>
    <n v="30.77"/>
    <n v="14.51"/>
    <n v="1"/>
    <n v="0"/>
    <n v="8"/>
    <n v="4"/>
  </r>
  <r>
    <s v="SW-104160"/>
    <d v="2025-08-31T00:00:00"/>
    <x v="1"/>
    <s v="Q3"/>
    <x v="7"/>
    <x v="0"/>
    <x v="2"/>
    <x v="1"/>
    <x v="4"/>
    <s v="Wireless Earbuds"/>
    <n v="1"/>
    <n v="588.41"/>
    <n v="0.3"/>
    <x v="3"/>
    <n v="411.89"/>
    <n v="464.92"/>
    <n v="-53.03"/>
    <n v="1"/>
    <n v="0"/>
    <n v="4"/>
    <n v="5"/>
  </r>
  <r>
    <s v="SW-104161"/>
    <d v="2025-08-31T00:00:00"/>
    <x v="1"/>
    <s v="Q3"/>
    <x v="7"/>
    <x v="0"/>
    <x v="0"/>
    <x v="1"/>
    <x v="4"/>
    <s v="Smart Watch"/>
    <n v="2"/>
    <n v="216.08"/>
    <n v="0.15"/>
    <x v="1"/>
    <n v="367.34"/>
    <n v="342.18"/>
    <n v="25.16"/>
    <n v="1"/>
    <n v="0"/>
    <n v="3"/>
    <n v="4"/>
  </r>
  <r>
    <s v="SW-104162"/>
    <d v="2025-08-31T00:00:00"/>
    <x v="1"/>
    <s v="Q3"/>
    <x v="7"/>
    <x v="1"/>
    <x v="0"/>
    <x v="1"/>
    <x v="1"/>
    <s v="Skin Care Bundle"/>
    <n v="1"/>
    <n v="92.54"/>
    <n v="0"/>
    <x v="2"/>
    <n v="92.54"/>
    <n v="44.68"/>
    <n v="47.86"/>
    <n v="1"/>
    <n v="1"/>
    <n v="4"/>
    <n v="4"/>
  </r>
  <r>
    <s v="SW-104163"/>
    <d v="2025-08-31T00:00:00"/>
    <x v="1"/>
    <s v="Q3"/>
    <x v="7"/>
    <x v="0"/>
    <x v="3"/>
    <x v="1"/>
    <x v="0"/>
    <s v="Sunglasses"/>
    <n v="1"/>
    <n v="104.94"/>
    <n v="0"/>
    <x v="2"/>
    <n v="104.94"/>
    <n v="59.31"/>
    <n v="45.63"/>
    <n v="1"/>
    <n v="0"/>
    <n v="6"/>
    <n v="4"/>
  </r>
  <r>
    <s v="SW-104164"/>
    <d v="2025-08-31T00:00:00"/>
    <x v="1"/>
    <s v="Q3"/>
    <x v="7"/>
    <x v="1"/>
    <x v="3"/>
    <x v="1"/>
    <x v="0"/>
    <s v="Leather Handbag"/>
    <n v="2"/>
    <n v="138.5"/>
    <n v="0.05"/>
    <x v="0"/>
    <n v="263.14999999999998"/>
    <n v="151.46"/>
    <n v="111.69"/>
    <n v="1"/>
    <n v="0"/>
    <n v="3"/>
    <n v="4"/>
  </r>
  <r>
    <s v="SW-104165"/>
    <d v="2025-08-31T00:00:00"/>
    <x v="1"/>
    <s v="Q3"/>
    <x v="7"/>
    <x v="1"/>
    <x v="0"/>
    <x v="1"/>
    <x v="0"/>
    <s v="Sunglasses"/>
    <n v="1"/>
    <n v="104.94"/>
    <n v="0"/>
    <x v="2"/>
    <n v="104.94"/>
    <n v="54.21"/>
    <n v="50.73"/>
    <n v="1"/>
    <n v="1"/>
    <n v="3"/>
    <n v="3"/>
  </r>
  <r>
    <s v="SW-104166"/>
    <d v="2025-09-01T00:00:00"/>
    <x v="1"/>
    <s v="Q3"/>
    <x v="8"/>
    <x v="0"/>
    <x v="3"/>
    <x v="1"/>
    <x v="3"/>
    <s v="Camping Tent"/>
    <n v="2"/>
    <n v="83.06"/>
    <n v="0.25"/>
    <x v="3"/>
    <n v="124.59"/>
    <n v="112.64"/>
    <n v="11.95"/>
    <n v="1"/>
    <n v="0"/>
    <n v="3"/>
    <n v="3"/>
  </r>
  <r>
    <s v="SW-104167"/>
    <d v="2025-09-01T00:00:00"/>
    <x v="1"/>
    <s v="Q3"/>
    <x v="8"/>
    <x v="0"/>
    <x v="4"/>
    <x v="1"/>
    <x v="2"/>
    <s v="Storage Boxes"/>
    <n v="1"/>
    <n v="154.66"/>
    <n v="0.2"/>
    <x v="1"/>
    <n v="123.73"/>
    <n v="102.8"/>
    <n v="20.93"/>
    <n v="1"/>
    <n v="1"/>
    <n v="5"/>
    <n v="3"/>
  </r>
  <r>
    <s v="SW-104168"/>
    <d v="2025-09-02T00:00:00"/>
    <x v="1"/>
    <s v="Q3"/>
    <x v="8"/>
    <x v="1"/>
    <x v="3"/>
    <x v="1"/>
    <x v="2"/>
    <s v="Cookware Set"/>
    <n v="2"/>
    <n v="233.81"/>
    <n v="0.1"/>
    <x v="0"/>
    <n v="420.86"/>
    <n v="300.37"/>
    <n v="120.49"/>
    <n v="1"/>
    <n v="0"/>
    <n v="2"/>
    <n v="5"/>
  </r>
  <r>
    <s v="SW-104169"/>
    <d v="2025-09-02T00:00:00"/>
    <x v="1"/>
    <s v="Q3"/>
    <x v="8"/>
    <x v="1"/>
    <x v="0"/>
    <x v="1"/>
    <x v="1"/>
    <s v="Makeup Kit"/>
    <n v="2"/>
    <n v="74.3"/>
    <n v="0.25"/>
    <x v="3"/>
    <n v="111.45"/>
    <n v="70.459999999999994"/>
    <n v="40.99"/>
    <n v="1"/>
    <n v="0"/>
    <n v="4"/>
    <n v="4"/>
  </r>
  <r>
    <s v="SW-104170"/>
    <d v="2025-09-02T00:00:00"/>
    <x v="1"/>
    <s v="Q3"/>
    <x v="8"/>
    <x v="0"/>
    <x v="3"/>
    <x v="1"/>
    <x v="2"/>
    <s v="Bed Sheet Set"/>
    <n v="3"/>
    <n v="90.75"/>
    <n v="0"/>
    <x v="2"/>
    <n v="272.25"/>
    <n v="179.95"/>
    <n v="92.3"/>
    <n v="1"/>
    <n v="0"/>
    <n v="3"/>
    <n v="5"/>
  </r>
  <r>
    <s v="SW-104171"/>
    <d v="2025-09-02T00:00:00"/>
    <x v="1"/>
    <s v="Q3"/>
    <x v="8"/>
    <x v="2"/>
    <x v="4"/>
    <x v="0"/>
    <x v="0"/>
    <s v="Running Sneakers"/>
    <n v="1"/>
    <n v="94.85"/>
    <n v="0.1"/>
    <x v="0"/>
    <n v="85.36"/>
    <n v="52.55"/>
    <n v="32.81"/>
    <n v="1"/>
    <n v="0"/>
    <n v="5"/>
    <n v="5"/>
  </r>
  <r>
    <s v="SW-104172"/>
    <d v="2025-09-02T00:00:00"/>
    <x v="1"/>
    <s v="Q3"/>
    <x v="8"/>
    <x v="0"/>
    <x v="1"/>
    <x v="0"/>
    <x v="0"/>
    <s v="Summer Dress"/>
    <n v="2"/>
    <n v="33.99"/>
    <n v="0"/>
    <x v="2"/>
    <n v="67.98"/>
    <n v="36.18"/>
    <n v="31.8"/>
    <n v="1"/>
    <n v="0"/>
    <n v="6"/>
    <n v="3"/>
  </r>
  <r>
    <s v="SW-104173"/>
    <d v="2025-09-02T00:00:00"/>
    <x v="1"/>
    <s v="Q3"/>
    <x v="8"/>
    <x v="2"/>
    <x v="1"/>
    <x v="0"/>
    <x v="2"/>
    <s v="Coffee Maker"/>
    <n v="2"/>
    <n v="148.05000000000001"/>
    <n v="0"/>
    <x v="2"/>
    <n v="296.10000000000002"/>
    <n v="191.76"/>
    <n v="104.34"/>
    <n v="1"/>
    <n v="1"/>
    <n v="6"/>
    <n v="2"/>
  </r>
  <r>
    <s v="SW-104174"/>
    <d v="2025-09-02T00:00:00"/>
    <x v="1"/>
    <s v="Q3"/>
    <x v="8"/>
    <x v="0"/>
    <x v="0"/>
    <x v="1"/>
    <x v="1"/>
    <s v="Face Serum"/>
    <n v="1"/>
    <n v="33.479999999999997"/>
    <n v="0"/>
    <x v="2"/>
    <n v="33.479999999999997"/>
    <n v="17.239999999999998"/>
    <n v="16.239999999999998"/>
    <n v="1"/>
    <n v="0"/>
    <n v="7"/>
    <n v="3"/>
  </r>
  <r>
    <s v="SW-104175"/>
    <d v="2025-09-02T00:00:00"/>
    <x v="1"/>
    <s v="Q3"/>
    <x v="8"/>
    <x v="2"/>
    <x v="2"/>
    <x v="1"/>
    <x v="2"/>
    <s v="Coffee Maker"/>
    <n v="1"/>
    <n v="148.05000000000001"/>
    <n v="0"/>
    <x v="2"/>
    <n v="148.05000000000001"/>
    <n v="102.42"/>
    <n v="45.63"/>
    <n v="1"/>
    <n v="0"/>
    <n v="6"/>
    <n v="4"/>
  </r>
  <r>
    <s v="SW-104176"/>
    <d v="2025-09-02T00:00:00"/>
    <x v="1"/>
    <s v="Q3"/>
    <x v="8"/>
    <x v="1"/>
    <x v="0"/>
    <x v="1"/>
    <x v="1"/>
    <s v="Perfume 100ml"/>
    <n v="3"/>
    <n v="54.56"/>
    <n v="0.1"/>
    <x v="0"/>
    <n v="147.31"/>
    <n v="76.319999999999993"/>
    <n v="70.989999999999995"/>
    <n v="1"/>
    <n v="0"/>
    <n v="3"/>
    <n v="3"/>
  </r>
  <r>
    <s v="SW-104177"/>
    <d v="2025-09-02T00:00:00"/>
    <x v="1"/>
    <s v="Q3"/>
    <x v="8"/>
    <x v="1"/>
    <x v="3"/>
    <x v="1"/>
    <x v="0"/>
    <s v="Running Sneakers"/>
    <n v="1"/>
    <n v="94.85"/>
    <n v="0.15"/>
    <x v="1"/>
    <n v="80.62"/>
    <n v="50.54"/>
    <n v="30.08"/>
    <n v="1"/>
    <n v="0"/>
    <n v="3"/>
    <n v="4"/>
  </r>
  <r>
    <s v="SW-104178"/>
    <d v="2025-09-03T00:00:00"/>
    <x v="1"/>
    <s v="Q3"/>
    <x v="8"/>
    <x v="0"/>
    <x v="0"/>
    <x v="0"/>
    <x v="0"/>
    <s v="Denim Jacket"/>
    <n v="2"/>
    <n v="78.510000000000005"/>
    <n v="0"/>
    <x v="2"/>
    <n v="157.02000000000001"/>
    <n v="78.400000000000006"/>
    <n v="78.62"/>
    <n v="1"/>
    <n v="0"/>
    <n v="3"/>
    <n v="4"/>
  </r>
  <r>
    <s v="SW-104179"/>
    <d v="2025-09-03T00:00:00"/>
    <x v="1"/>
    <s v="Q3"/>
    <x v="8"/>
    <x v="2"/>
    <x v="1"/>
    <x v="0"/>
    <x v="0"/>
    <s v="Sunglasses"/>
    <n v="2"/>
    <n v="104.94"/>
    <n v="0"/>
    <x v="2"/>
    <n v="209.88"/>
    <n v="110.35"/>
    <n v="99.53"/>
    <n v="1"/>
    <n v="0"/>
    <n v="7"/>
    <n v="3"/>
  </r>
  <r>
    <s v="SW-104180"/>
    <d v="2025-09-03T00:00:00"/>
    <x v="1"/>
    <s v="Q3"/>
    <x v="8"/>
    <x v="0"/>
    <x v="4"/>
    <x v="1"/>
    <x v="3"/>
    <s v="Dumbbell Set"/>
    <n v="1"/>
    <n v="198.42"/>
    <n v="0.15"/>
    <x v="1"/>
    <n v="168.66"/>
    <n v="137.03"/>
    <n v="31.63"/>
    <n v="1"/>
    <n v="0"/>
    <n v="6"/>
    <n v="4"/>
  </r>
  <r>
    <s v="SW-104181"/>
    <d v="2025-09-03T00:00:00"/>
    <x v="1"/>
    <s v="Q3"/>
    <x v="8"/>
    <x v="0"/>
    <x v="3"/>
    <x v="0"/>
    <x v="0"/>
    <s v="Leather Handbag"/>
    <n v="2"/>
    <n v="138.5"/>
    <n v="0.3"/>
    <x v="3"/>
    <n v="193.9"/>
    <n v="146.22"/>
    <n v="47.68"/>
    <n v="1"/>
    <n v="0"/>
    <n v="3"/>
    <n v="5"/>
  </r>
  <r>
    <s v="SW-104182"/>
    <d v="2025-09-03T00:00:00"/>
    <x v="1"/>
    <s v="Q3"/>
    <x v="8"/>
    <x v="1"/>
    <x v="2"/>
    <x v="1"/>
    <x v="0"/>
    <s v="Denim Jacket"/>
    <n v="2"/>
    <n v="78.510000000000005"/>
    <n v="0.15"/>
    <x v="1"/>
    <n v="133.47"/>
    <n v="83.86"/>
    <n v="49.61"/>
    <n v="1"/>
    <n v="1"/>
    <n v="4"/>
    <n v="3"/>
  </r>
  <r>
    <s v="SW-104183"/>
    <d v="2025-09-03T00:00:00"/>
    <x v="1"/>
    <s v="Q3"/>
    <x v="8"/>
    <x v="2"/>
    <x v="3"/>
    <x v="1"/>
    <x v="2"/>
    <s v="Storage Boxes"/>
    <n v="1"/>
    <n v="154.66"/>
    <n v="0.1"/>
    <x v="0"/>
    <n v="139.19"/>
    <n v="105.64"/>
    <n v="33.549999999999997"/>
    <n v="1"/>
    <n v="0"/>
    <n v="2"/>
    <n v="5"/>
  </r>
  <r>
    <s v="SW-104184"/>
    <d v="2025-09-03T00:00:00"/>
    <x v="1"/>
    <s v="Q3"/>
    <x v="8"/>
    <x v="2"/>
    <x v="0"/>
    <x v="1"/>
    <x v="1"/>
    <s v="Makeup Kit"/>
    <n v="2"/>
    <n v="74.3"/>
    <n v="0.15"/>
    <x v="1"/>
    <n v="126.31"/>
    <n v="72.69"/>
    <n v="53.62"/>
    <n v="1"/>
    <n v="0"/>
    <n v="3"/>
    <n v="4"/>
  </r>
  <r>
    <s v="SW-104185"/>
    <d v="2025-09-03T00:00:00"/>
    <x v="1"/>
    <s v="Q3"/>
    <x v="8"/>
    <x v="2"/>
    <x v="3"/>
    <x v="0"/>
    <x v="3"/>
    <s v="Dumbbell Set"/>
    <n v="1"/>
    <n v="198.42"/>
    <n v="0.1"/>
    <x v="0"/>
    <n v="178.58"/>
    <n v="130.69"/>
    <n v="47.89"/>
    <n v="1"/>
    <n v="0"/>
    <n v="4"/>
    <n v="5"/>
  </r>
  <r>
    <s v="SW-104186"/>
    <d v="2025-09-04T00:00:00"/>
    <x v="1"/>
    <s v="Q3"/>
    <x v="8"/>
    <x v="1"/>
    <x v="0"/>
    <x v="0"/>
    <x v="2"/>
    <s v="Desk Lamp"/>
    <n v="3"/>
    <n v="117.63"/>
    <n v="0"/>
    <x v="2"/>
    <n v="352.89"/>
    <n v="225.6"/>
    <n v="127.29"/>
    <n v="1"/>
    <n v="1"/>
    <n v="4"/>
    <n v="4"/>
  </r>
  <r>
    <s v="SW-104187"/>
    <d v="2025-09-04T00:00:00"/>
    <x v="1"/>
    <s v="Q3"/>
    <x v="8"/>
    <x v="0"/>
    <x v="0"/>
    <x v="0"/>
    <x v="2"/>
    <s v="Air Fryer"/>
    <n v="1"/>
    <n v="68.349999999999994"/>
    <n v="0.1"/>
    <x v="0"/>
    <n v="61.51"/>
    <n v="44.69"/>
    <n v="16.82"/>
    <n v="1"/>
    <n v="0"/>
    <n v="4"/>
    <n v="3"/>
  </r>
  <r>
    <s v="SW-104188"/>
    <d v="2025-09-04T00:00:00"/>
    <x v="1"/>
    <s v="Q3"/>
    <x v="8"/>
    <x v="1"/>
    <x v="4"/>
    <x v="0"/>
    <x v="4"/>
    <s v="Tablet 10in"/>
    <n v="1"/>
    <n v="490.3"/>
    <n v="0"/>
    <x v="2"/>
    <n v="490.3"/>
    <n v="389.41"/>
    <n v="100.89"/>
    <n v="1"/>
    <n v="0"/>
    <n v="5"/>
    <n v="5"/>
  </r>
  <r>
    <s v="SW-104189"/>
    <d v="2025-09-04T00:00:00"/>
    <x v="1"/>
    <s v="Q3"/>
    <x v="8"/>
    <x v="2"/>
    <x v="3"/>
    <x v="1"/>
    <x v="2"/>
    <s v="Air Fryer"/>
    <n v="1"/>
    <n v="68.349999999999994"/>
    <n v="0.15"/>
    <x v="1"/>
    <n v="58.1"/>
    <n v="44.6"/>
    <n v="13.5"/>
    <n v="1"/>
    <n v="0"/>
    <n v="3"/>
    <n v="4"/>
  </r>
  <r>
    <s v="SW-104190"/>
    <d v="2025-09-04T00:00:00"/>
    <x v="1"/>
    <s v="Q3"/>
    <x v="8"/>
    <x v="0"/>
    <x v="2"/>
    <x v="1"/>
    <x v="0"/>
    <s v="Leather Handbag"/>
    <n v="2"/>
    <n v="138.5"/>
    <n v="0.15"/>
    <x v="1"/>
    <n v="235.45"/>
    <n v="144.77000000000001"/>
    <n v="90.68"/>
    <n v="1"/>
    <n v="0"/>
    <n v="3"/>
    <n v="4"/>
  </r>
  <r>
    <s v="SW-104191"/>
    <d v="2025-09-04T00:00:00"/>
    <x v="1"/>
    <s v="Q3"/>
    <x v="8"/>
    <x v="2"/>
    <x v="3"/>
    <x v="0"/>
    <x v="5"/>
    <s v="Kids Puzzle"/>
    <n v="1"/>
    <n v="16.97"/>
    <n v="0.2"/>
    <x v="1"/>
    <n v="13.58"/>
    <n v="11.96"/>
    <n v="1.62"/>
    <n v="1"/>
    <n v="0"/>
    <n v="2"/>
    <n v="5"/>
  </r>
  <r>
    <s v="SW-104192"/>
    <d v="2025-09-04T00:00:00"/>
    <x v="1"/>
    <s v="Q3"/>
    <x v="8"/>
    <x v="0"/>
    <x v="4"/>
    <x v="0"/>
    <x v="0"/>
    <s v="Cotton T-Shirt"/>
    <n v="1"/>
    <n v="19.41"/>
    <n v="0.05"/>
    <x v="0"/>
    <n v="18.440000000000001"/>
    <n v="10.23"/>
    <n v="8.2100000000000009"/>
    <n v="1"/>
    <n v="0"/>
    <n v="6"/>
    <n v="4"/>
  </r>
  <r>
    <s v="SW-104193"/>
    <d v="2025-09-04T00:00:00"/>
    <x v="1"/>
    <s v="Q3"/>
    <x v="8"/>
    <x v="1"/>
    <x v="0"/>
    <x v="1"/>
    <x v="0"/>
    <s v="Leather Handbag"/>
    <n v="1"/>
    <n v="138.5"/>
    <n v="0"/>
    <x v="2"/>
    <n v="138.5"/>
    <n v="76.14"/>
    <n v="62.36"/>
    <n v="1"/>
    <n v="1"/>
    <n v="3"/>
    <n v="4"/>
  </r>
  <r>
    <s v="SW-104194"/>
    <d v="2025-09-05T00:00:00"/>
    <x v="1"/>
    <s v="Q3"/>
    <x v="8"/>
    <x v="0"/>
    <x v="3"/>
    <x v="0"/>
    <x v="3"/>
    <s v="Dumbbell Set"/>
    <n v="1"/>
    <n v="198.42"/>
    <n v="0.1"/>
    <x v="0"/>
    <n v="178.58"/>
    <n v="134.13999999999999"/>
    <n v="44.44"/>
    <n v="1"/>
    <n v="0"/>
    <n v="4"/>
    <n v="4"/>
  </r>
  <r>
    <s v="SW-104195"/>
    <d v="2025-09-05T00:00:00"/>
    <x v="1"/>
    <s v="Q3"/>
    <x v="8"/>
    <x v="1"/>
    <x v="3"/>
    <x v="0"/>
    <x v="5"/>
    <s v="Building Blocks"/>
    <n v="3"/>
    <n v="48.86"/>
    <n v="0.05"/>
    <x v="0"/>
    <n v="139.25"/>
    <n v="104.9"/>
    <n v="34.35"/>
    <n v="1"/>
    <n v="0"/>
    <n v="2"/>
    <n v="5"/>
  </r>
  <r>
    <s v="SW-104196"/>
    <d v="2025-09-05T00:00:00"/>
    <x v="1"/>
    <s v="Q3"/>
    <x v="8"/>
    <x v="1"/>
    <x v="1"/>
    <x v="1"/>
    <x v="1"/>
    <s v="Hair Dryer"/>
    <n v="1"/>
    <n v="33.18"/>
    <n v="0.15"/>
    <x v="1"/>
    <n v="28.2"/>
    <n v="15.95"/>
    <n v="12.25"/>
    <n v="1"/>
    <n v="0"/>
    <n v="6"/>
    <n v="4"/>
  </r>
  <r>
    <s v="SW-104197"/>
    <d v="2025-09-05T00:00:00"/>
    <x v="1"/>
    <s v="Q3"/>
    <x v="8"/>
    <x v="0"/>
    <x v="0"/>
    <x v="1"/>
    <x v="2"/>
    <s v="Storage Boxes"/>
    <n v="1"/>
    <n v="154.66"/>
    <n v="0.1"/>
    <x v="0"/>
    <n v="139.19"/>
    <n v="96.12"/>
    <n v="43.07"/>
    <n v="1"/>
    <n v="0"/>
    <n v="4"/>
    <n v="4"/>
  </r>
  <r>
    <s v="SW-104198"/>
    <d v="2025-09-05T00:00:00"/>
    <x v="1"/>
    <s v="Q3"/>
    <x v="8"/>
    <x v="2"/>
    <x v="3"/>
    <x v="1"/>
    <x v="2"/>
    <s v="Desk Lamp"/>
    <n v="2"/>
    <n v="117.63"/>
    <n v="0"/>
    <x v="2"/>
    <n v="235.26"/>
    <n v="147.30000000000001"/>
    <n v="87.96"/>
    <n v="1"/>
    <n v="0"/>
    <n v="3"/>
    <n v="5"/>
  </r>
  <r>
    <s v="SW-104199"/>
    <d v="2025-09-05T00:00:00"/>
    <x v="1"/>
    <s v="Q3"/>
    <x v="8"/>
    <x v="1"/>
    <x v="0"/>
    <x v="0"/>
    <x v="1"/>
    <s v="Perfume 100ml"/>
    <n v="1"/>
    <n v="54.56"/>
    <n v="0.15"/>
    <x v="1"/>
    <n v="46.38"/>
    <n v="24.8"/>
    <n v="21.58"/>
    <n v="1"/>
    <n v="0"/>
    <n v="4"/>
    <n v="4"/>
  </r>
  <r>
    <s v="SW-104200"/>
    <d v="2025-09-05T00:00:00"/>
    <x v="1"/>
    <s v="Q3"/>
    <x v="8"/>
    <x v="2"/>
    <x v="2"/>
    <x v="0"/>
    <x v="0"/>
    <s v="Sunglasses"/>
    <n v="1"/>
    <n v="104.94"/>
    <n v="0.05"/>
    <x v="0"/>
    <n v="99.69"/>
    <n v="58.62"/>
    <n v="41.07"/>
    <n v="1"/>
    <n v="1"/>
    <n v="4"/>
    <n v="3"/>
  </r>
  <r>
    <s v="SW-104201"/>
    <d v="2025-09-05T00:00:00"/>
    <x v="1"/>
    <s v="Q3"/>
    <x v="8"/>
    <x v="2"/>
    <x v="4"/>
    <x v="0"/>
    <x v="0"/>
    <s v="Denim Jacket"/>
    <n v="3"/>
    <n v="78.510000000000005"/>
    <n v="0.2"/>
    <x v="1"/>
    <n v="188.42"/>
    <n v="119.01"/>
    <n v="69.41"/>
    <n v="1"/>
    <n v="0"/>
    <n v="6"/>
    <n v="4"/>
  </r>
  <r>
    <s v="SW-104202"/>
    <d v="2025-09-05T00:00:00"/>
    <x v="1"/>
    <s v="Q3"/>
    <x v="8"/>
    <x v="1"/>
    <x v="1"/>
    <x v="0"/>
    <x v="1"/>
    <s v="Perfume 100ml"/>
    <n v="2"/>
    <n v="54.56"/>
    <n v="0.05"/>
    <x v="0"/>
    <n v="103.66"/>
    <n v="54.46"/>
    <n v="49.2"/>
    <n v="1"/>
    <n v="0"/>
    <n v="5"/>
    <n v="5"/>
  </r>
  <r>
    <s v="SW-104203"/>
    <d v="2025-09-06T00:00:00"/>
    <x v="1"/>
    <s v="Q3"/>
    <x v="8"/>
    <x v="1"/>
    <x v="2"/>
    <x v="1"/>
    <x v="4"/>
    <s v="Power Bank"/>
    <n v="2"/>
    <n v="508.8"/>
    <n v="0.25"/>
    <x v="3"/>
    <n v="763.2"/>
    <n v="796.47"/>
    <n v="-33.270000000000003"/>
    <n v="1"/>
    <n v="0"/>
    <n v="3"/>
    <n v="5"/>
  </r>
  <r>
    <s v="SW-104204"/>
    <d v="2025-09-06T00:00:00"/>
    <x v="1"/>
    <s v="Q3"/>
    <x v="8"/>
    <x v="1"/>
    <x v="3"/>
    <x v="1"/>
    <x v="0"/>
    <s v="Denim Jacket"/>
    <n v="1"/>
    <n v="78.510000000000005"/>
    <n v="0"/>
    <x v="2"/>
    <n v="78.510000000000005"/>
    <n v="41.94"/>
    <n v="36.57"/>
    <n v="1"/>
    <n v="0"/>
    <n v="4"/>
    <n v="4"/>
  </r>
  <r>
    <s v="SW-104205"/>
    <d v="2025-09-06T00:00:00"/>
    <x v="1"/>
    <s v="Q3"/>
    <x v="8"/>
    <x v="0"/>
    <x v="0"/>
    <x v="0"/>
    <x v="2"/>
    <s v="Cookware Set"/>
    <n v="1"/>
    <n v="233.81"/>
    <n v="0.25"/>
    <x v="3"/>
    <n v="175.36"/>
    <n v="155.07"/>
    <n v="20.29"/>
    <n v="1"/>
    <n v="1"/>
    <n v="5"/>
    <n v="3"/>
  </r>
  <r>
    <s v="SW-104206"/>
    <d v="2025-09-06T00:00:00"/>
    <x v="1"/>
    <s v="Q3"/>
    <x v="8"/>
    <x v="1"/>
    <x v="3"/>
    <x v="0"/>
    <x v="3"/>
    <s v="Camping Tent"/>
    <n v="1"/>
    <n v="83.06"/>
    <n v="0.2"/>
    <x v="1"/>
    <n v="66.45"/>
    <n v="55.39"/>
    <n v="11.06"/>
    <n v="1"/>
    <n v="0"/>
    <n v="3"/>
    <n v="5"/>
  </r>
  <r>
    <s v="SW-104207"/>
    <d v="2025-09-06T00:00:00"/>
    <x v="1"/>
    <s v="Q3"/>
    <x v="8"/>
    <x v="2"/>
    <x v="4"/>
    <x v="1"/>
    <x v="4"/>
    <s v="Bluetooth Speaker"/>
    <n v="1"/>
    <n v="177.65"/>
    <n v="0"/>
    <x v="2"/>
    <n v="177.65"/>
    <n v="143.32"/>
    <n v="34.33"/>
    <n v="1"/>
    <n v="0"/>
    <n v="6"/>
    <n v="4"/>
  </r>
  <r>
    <s v="SW-104208"/>
    <d v="2025-09-06T00:00:00"/>
    <x v="1"/>
    <s v="Q3"/>
    <x v="8"/>
    <x v="0"/>
    <x v="3"/>
    <x v="0"/>
    <x v="4"/>
    <s v="4K Action Camera"/>
    <n v="1"/>
    <n v="636.09"/>
    <n v="0.1"/>
    <x v="0"/>
    <n v="572.48"/>
    <n v="483.74"/>
    <n v="88.74"/>
    <n v="1"/>
    <n v="0"/>
    <n v="2"/>
    <n v="4"/>
  </r>
  <r>
    <s v="SW-104209"/>
    <d v="2025-09-06T00:00:00"/>
    <x v="1"/>
    <s v="Q3"/>
    <x v="8"/>
    <x v="0"/>
    <x v="3"/>
    <x v="0"/>
    <x v="0"/>
    <s v="Leather Handbag"/>
    <n v="1"/>
    <n v="138.5"/>
    <n v="0.05"/>
    <x v="0"/>
    <n v="131.57"/>
    <n v="75.81"/>
    <n v="55.76"/>
    <n v="1"/>
    <n v="0"/>
    <n v="2"/>
    <n v="5"/>
  </r>
  <r>
    <s v="SW-104210"/>
    <d v="2025-09-06T00:00:00"/>
    <x v="1"/>
    <s v="Q3"/>
    <x v="8"/>
    <x v="0"/>
    <x v="3"/>
    <x v="1"/>
    <x v="1"/>
    <s v="Face Serum"/>
    <n v="1"/>
    <n v="33.479999999999997"/>
    <n v="0.2"/>
    <x v="1"/>
    <n v="26.78"/>
    <n v="16.12"/>
    <n v="10.66"/>
    <n v="1"/>
    <n v="0"/>
    <n v="4"/>
    <n v="3"/>
  </r>
  <r>
    <s v="SW-104211"/>
    <d v="2025-09-06T00:00:00"/>
    <x v="1"/>
    <s v="Q3"/>
    <x v="8"/>
    <x v="0"/>
    <x v="2"/>
    <x v="0"/>
    <x v="0"/>
    <s v="Denim Jacket"/>
    <n v="1"/>
    <n v="78.510000000000005"/>
    <n v="0"/>
    <x v="2"/>
    <n v="78.510000000000005"/>
    <n v="42.73"/>
    <n v="35.78"/>
    <n v="1"/>
    <n v="0"/>
    <n v="3"/>
    <n v="4"/>
  </r>
  <r>
    <s v="SW-104212"/>
    <d v="2025-09-07T00:00:00"/>
    <x v="1"/>
    <s v="Q3"/>
    <x v="8"/>
    <x v="2"/>
    <x v="0"/>
    <x v="0"/>
    <x v="5"/>
    <s v="Building Blocks"/>
    <n v="2"/>
    <n v="48.86"/>
    <n v="0"/>
    <x v="2"/>
    <n v="97.72"/>
    <n v="69.510000000000005"/>
    <n v="28.21"/>
    <n v="1"/>
    <n v="0"/>
    <n v="6"/>
    <n v="3"/>
  </r>
  <r>
    <s v="SW-104213"/>
    <d v="2025-09-07T00:00:00"/>
    <x v="1"/>
    <s v="Q3"/>
    <x v="8"/>
    <x v="1"/>
    <x v="0"/>
    <x v="1"/>
    <x v="1"/>
    <s v="Face Serum"/>
    <n v="1"/>
    <n v="33.479999999999997"/>
    <n v="0.1"/>
    <x v="0"/>
    <n v="30.13"/>
    <n v="16.04"/>
    <n v="14.09"/>
    <n v="1"/>
    <n v="0"/>
    <n v="3"/>
    <n v="4"/>
  </r>
  <r>
    <s v="SW-104214"/>
    <d v="2025-09-07T00:00:00"/>
    <x v="1"/>
    <s v="Q3"/>
    <x v="8"/>
    <x v="0"/>
    <x v="0"/>
    <x v="1"/>
    <x v="1"/>
    <s v="Perfume 100ml"/>
    <n v="1"/>
    <n v="54.56"/>
    <n v="0"/>
    <x v="2"/>
    <n v="54.56"/>
    <n v="26.92"/>
    <n v="27.64"/>
    <n v="1"/>
    <n v="0"/>
    <n v="4"/>
    <n v="4"/>
  </r>
  <r>
    <s v="SW-104215"/>
    <d v="2025-09-07T00:00:00"/>
    <x v="1"/>
    <s v="Q3"/>
    <x v="8"/>
    <x v="0"/>
    <x v="0"/>
    <x v="1"/>
    <x v="0"/>
    <s v="Leather Handbag"/>
    <n v="1"/>
    <n v="138.5"/>
    <n v="0"/>
    <x v="2"/>
    <n v="138.5"/>
    <n v="74.709999999999994"/>
    <n v="63.79"/>
    <n v="1"/>
    <n v="0"/>
    <n v="4"/>
    <n v="5"/>
  </r>
  <r>
    <s v="SW-104216"/>
    <d v="2025-09-07T00:00:00"/>
    <x v="1"/>
    <s v="Q3"/>
    <x v="8"/>
    <x v="2"/>
    <x v="3"/>
    <x v="1"/>
    <x v="4"/>
    <s v="Wireless Earbuds"/>
    <n v="1"/>
    <n v="588.41"/>
    <n v="0.05"/>
    <x v="0"/>
    <n v="558.99"/>
    <n v="478.17"/>
    <n v="80.819999999999993"/>
    <n v="1"/>
    <n v="0"/>
    <n v="3"/>
    <n v="4"/>
  </r>
  <r>
    <s v="SW-104217"/>
    <d v="2025-09-07T00:00:00"/>
    <x v="1"/>
    <s v="Q3"/>
    <x v="8"/>
    <x v="1"/>
    <x v="0"/>
    <x v="1"/>
    <x v="4"/>
    <s v="4K Action Camera"/>
    <n v="2"/>
    <n v="636.09"/>
    <n v="0"/>
    <x v="2"/>
    <n v="1272.18"/>
    <n v="1051.8399999999999"/>
    <n v="220.34"/>
    <n v="1"/>
    <n v="0"/>
    <n v="4"/>
    <n v="4"/>
  </r>
  <r>
    <s v="SW-104218"/>
    <d v="2025-09-07T00:00:00"/>
    <x v="1"/>
    <s v="Q3"/>
    <x v="8"/>
    <x v="1"/>
    <x v="4"/>
    <x v="1"/>
    <x v="2"/>
    <s v="Coffee Maker"/>
    <n v="1"/>
    <n v="148.05000000000001"/>
    <n v="0.15"/>
    <x v="1"/>
    <n v="125.84"/>
    <n v="94.09"/>
    <n v="31.75"/>
    <n v="1"/>
    <n v="0"/>
    <n v="6"/>
    <n v="4"/>
  </r>
  <r>
    <s v="SW-104219"/>
    <d v="2025-09-07T00:00:00"/>
    <x v="1"/>
    <s v="Q3"/>
    <x v="8"/>
    <x v="2"/>
    <x v="2"/>
    <x v="1"/>
    <x v="0"/>
    <s v="Sunglasses"/>
    <n v="3"/>
    <n v="104.94"/>
    <n v="0.1"/>
    <x v="0"/>
    <n v="283.33999999999997"/>
    <n v="168.01"/>
    <n v="115.33"/>
    <n v="1"/>
    <n v="0"/>
    <n v="3"/>
    <n v="4"/>
  </r>
  <r>
    <s v="SW-104220"/>
    <d v="2025-09-08T00:00:00"/>
    <x v="1"/>
    <s v="Q3"/>
    <x v="8"/>
    <x v="1"/>
    <x v="0"/>
    <x v="1"/>
    <x v="4"/>
    <s v="Smart Watch"/>
    <n v="2"/>
    <n v="216.08"/>
    <n v="0"/>
    <x v="2"/>
    <n v="432.16"/>
    <n v="349.34"/>
    <n v="82.82"/>
    <n v="1"/>
    <n v="0"/>
    <n v="5"/>
    <n v="5"/>
  </r>
  <r>
    <s v="SW-104221"/>
    <d v="2025-09-08T00:00:00"/>
    <x v="1"/>
    <s v="Q3"/>
    <x v="8"/>
    <x v="2"/>
    <x v="3"/>
    <x v="0"/>
    <x v="0"/>
    <s v="Leather Handbag"/>
    <n v="2"/>
    <n v="138.5"/>
    <n v="0"/>
    <x v="2"/>
    <n v="277"/>
    <n v="156.69"/>
    <n v="120.31"/>
    <n v="1"/>
    <n v="0"/>
    <n v="2"/>
    <n v="5"/>
  </r>
  <r>
    <s v="SW-104222"/>
    <d v="2025-09-08T00:00:00"/>
    <x v="1"/>
    <s v="Q3"/>
    <x v="8"/>
    <x v="0"/>
    <x v="2"/>
    <x v="0"/>
    <x v="2"/>
    <s v="Coffee Maker"/>
    <n v="1"/>
    <n v="148.05000000000001"/>
    <n v="0.05"/>
    <x v="0"/>
    <n v="140.65"/>
    <n v="93.32"/>
    <n v="47.33"/>
    <n v="1"/>
    <n v="0"/>
    <n v="7"/>
    <n v="3"/>
  </r>
  <r>
    <s v="SW-104223"/>
    <d v="2025-09-08T00:00:00"/>
    <x v="1"/>
    <s v="Q3"/>
    <x v="8"/>
    <x v="0"/>
    <x v="1"/>
    <x v="0"/>
    <x v="0"/>
    <s v="Leather Handbag"/>
    <n v="2"/>
    <n v="138.5"/>
    <n v="0.1"/>
    <x v="0"/>
    <n v="249.3"/>
    <n v="149.11000000000001"/>
    <n v="100.19"/>
    <n v="1"/>
    <n v="0"/>
    <n v="6"/>
    <n v="4"/>
  </r>
  <r>
    <s v="SW-104224"/>
    <d v="2025-09-09T00:00:00"/>
    <x v="1"/>
    <s v="Q3"/>
    <x v="8"/>
    <x v="0"/>
    <x v="2"/>
    <x v="0"/>
    <x v="4"/>
    <s v="Power Bank"/>
    <n v="1"/>
    <n v="508.8"/>
    <n v="0.05"/>
    <x v="0"/>
    <n v="483.36"/>
    <n v="399.47"/>
    <n v="83.89"/>
    <n v="1"/>
    <n v="0"/>
    <n v="4"/>
    <n v="5"/>
  </r>
  <r>
    <s v="SW-104225"/>
    <d v="2025-09-09T00:00:00"/>
    <x v="1"/>
    <s v="Q3"/>
    <x v="8"/>
    <x v="1"/>
    <x v="4"/>
    <x v="0"/>
    <x v="5"/>
    <s v="Story Book Set"/>
    <n v="3"/>
    <n v="10.76"/>
    <n v="0.05"/>
    <x v="0"/>
    <n v="30.67"/>
    <n v="24.23"/>
    <n v="6.44"/>
    <n v="1"/>
    <n v="0"/>
    <n v="7"/>
    <n v="3"/>
  </r>
  <r>
    <s v="SW-104226"/>
    <d v="2025-09-09T00:00:00"/>
    <x v="1"/>
    <s v="Q3"/>
    <x v="8"/>
    <x v="1"/>
    <x v="1"/>
    <x v="0"/>
    <x v="3"/>
    <s v="Yoga Mat"/>
    <n v="1"/>
    <n v="137.05000000000001"/>
    <n v="0.1"/>
    <x v="0"/>
    <n v="123.35"/>
    <n v="90.79"/>
    <n v="32.56"/>
    <n v="1"/>
    <n v="0"/>
    <n v="6"/>
    <n v="3"/>
  </r>
  <r>
    <s v="SW-104227"/>
    <d v="2025-09-09T00:00:00"/>
    <x v="1"/>
    <s v="Q3"/>
    <x v="8"/>
    <x v="0"/>
    <x v="4"/>
    <x v="0"/>
    <x v="1"/>
    <s v="Hair Dryer"/>
    <n v="1"/>
    <n v="33.18"/>
    <n v="0"/>
    <x v="2"/>
    <n v="33.18"/>
    <n v="16.53"/>
    <n v="16.649999999999999"/>
    <n v="1"/>
    <n v="0"/>
    <n v="8"/>
    <n v="4"/>
  </r>
  <r>
    <s v="SW-104228"/>
    <d v="2025-09-09T00:00:00"/>
    <x v="1"/>
    <s v="Q3"/>
    <x v="8"/>
    <x v="0"/>
    <x v="3"/>
    <x v="0"/>
    <x v="1"/>
    <s v="Hair Dryer"/>
    <n v="1"/>
    <n v="33.18"/>
    <n v="0.05"/>
    <x v="0"/>
    <n v="31.52"/>
    <n v="15.5"/>
    <n v="16.02"/>
    <n v="1"/>
    <n v="0"/>
    <n v="3"/>
    <n v="4"/>
  </r>
  <r>
    <s v="SW-104229"/>
    <d v="2025-09-09T00:00:00"/>
    <x v="1"/>
    <s v="Q3"/>
    <x v="8"/>
    <x v="1"/>
    <x v="3"/>
    <x v="0"/>
    <x v="5"/>
    <s v="Building Blocks"/>
    <n v="1"/>
    <n v="48.86"/>
    <n v="0.2"/>
    <x v="1"/>
    <n v="39.090000000000003"/>
    <n v="35.380000000000003"/>
    <n v="3.71"/>
    <n v="1"/>
    <n v="0"/>
    <n v="2"/>
    <n v="5"/>
  </r>
  <r>
    <s v="SW-104230"/>
    <d v="2025-09-09T00:00:00"/>
    <x v="1"/>
    <s v="Q3"/>
    <x v="8"/>
    <x v="1"/>
    <x v="2"/>
    <x v="0"/>
    <x v="2"/>
    <s v="Air Fryer"/>
    <n v="3"/>
    <n v="68.349999999999994"/>
    <n v="0.1"/>
    <x v="0"/>
    <n v="184.54"/>
    <n v="130.30000000000001"/>
    <n v="54.24"/>
    <n v="1"/>
    <n v="0"/>
    <n v="3"/>
    <n v="4"/>
  </r>
  <r>
    <s v="SW-104231"/>
    <d v="2025-09-09T00:00:00"/>
    <x v="1"/>
    <s v="Q3"/>
    <x v="8"/>
    <x v="1"/>
    <x v="2"/>
    <x v="0"/>
    <x v="4"/>
    <s v="Tablet 10in"/>
    <n v="4"/>
    <n v="490.3"/>
    <n v="0.1"/>
    <x v="0"/>
    <n v="1765.08"/>
    <n v="1478.62"/>
    <n v="286.45999999999998"/>
    <n v="1"/>
    <n v="0"/>
    <n v="3"/>
    <n v="5"/>
  </r>
  <r>
    <s v="SW-104232"/>
    <d v="2025-09-09T00:00:00"/>
    <x v="1"/>
    <s v="Q3"/>
    <x v="8"/>
    <x v="0"/>
    <x v="3"/>
    <x v="1"/>
    <x v="0"/>
    <s v="Cotton T-Shirt"/>
    <n v="2"/>
    <n v="19.41"/>
    <n v="0.1"/>
    <x v="0"/>
    <n v="34.94"/>
    <n v="21.21"/>
    <n v="13.73"/>
    <n v="1"/>
    <n v="1"/>
    <n v="2"/>
    <n v="3"/>
  </r>
  <r>
    <s v="SW-104233"/>
    <d v="2025-09-09T00:00:00"/>
    <x v="1"/>
    <s v="Q3"/>
    <x v="8"/>
    <x v="2"/>
    <x v="1"/>
    <x v="0"/>
    <x v="0"/>
    <s v="Leather Handbag"/>
    <n v="1"/>
    <n v="138.5"/>
    <n v="0.1"/>
    <x v="0"/>
    <n v="124.65"/>
    <n v="73.319999999999993"/>
    <n v="51.33"/>
    <n v="1"/>
    <n v="1"/>
    <n v="6"/>
    <n v="1"/>
  </r>
  <r>
    <s v="SW-104234"/>
    <d v="2025-09-10T00:00:00"/>
    <x v="1"/>
    <s v="Q3"/>
    <x v="8"/>
    <x v="0"/>
    <x v="0"/>
    <x v="0"/>
    <x v="5"/>
    <s v="Bestseller Novel"/>
    <n v="1"/>
    <n v="45.28"/>
    <n v="0"/>
    <x v="2"/>
    <n v="45.28"/>
    <n v="30.49"/>
    <n v="14.79"/>
    <n v="1"/>
    <n v="0"/>
    <n v="3"/>
    <n v="4"/>
  </r>
  <r>
    <s v="SW-104235"/>
    <d v="2025-09-10T00:00:00"/>
    <x v="1"/>
    <s v="Q3"/>
    <x v="8"/>
    <x v="2"/>
    <x v="0"/>
    <x v="0"/>
    <x v="0"/>
    <s v="Running Sneakers"/>
    <n v="2"/>
    <n v="94.85"/>
    <n v="0.25"/>
    <x v="3"/>
    <n v="142.27000000000001"/>
    <n v="105.87"/>
    <n v="36.4"/>
    <n v="1"/>
    <n v="0"/>
    <n v="3"/>
    <n v="3"/>
  </r>
  <r>
    <s v="SW-104236"/>
    <d v="2025-09-11T00:00:00"/>
    <x v="1"/>
    <s v="Q3"/>
    <x v="8"/>
    <x v="1"/>
    <x v="0"/>
    <x v="1"/>
    <x v="4"/>
    <s v="Smart Watch"/>
    <n v="2"/>
    <n v="216.08"/>
    <n v="0.15"/>
    <x v="1"/>
    <n v="367.34"/>
    <n v="352.27"/>
    <n v="15.07"/>
    <n v="1"/>
    <n v="0"/>
    <n v="3"/>
    <n v="5"/>
  </r>
  <r>
    <s v="SW-104237"/>
    <d v="2025-09-11T00:00:00"/>
    <x v="1"/>
    <s v="Q3"/>
    <x v="8"/>
    <x v="0"/>
    <x v="2"/>
    <x v="1"/>
    <x v="0"/>
    <s v="Summer Dress"/>
    <n v="1"/>
    <n v="33.99"/>
    <n v="0.1"/>
    <x v="0"/>
    <n v="30.59"/>
    <n v="17.899999999999999"/>
    <n v="12.69"/>
    <n v="1"/>
    <n v="1"/>
    <n v="3"/>
    <n v="3"/>
  </r>
  <r>
    <s v="SW-104238"/>
    <d v="2025-09-11T00:00:00"/>
    <x v="1"/>
    <s v="Q3"/>
    <x v="8"/>
    <x v="0"/>
    <x v="2"/>
    <x v="0"/>
    <x v="5"/>
    <s v="Story Book Set"/>
    <n v="2"/>
    <n v="10.76"/>
    <n v="0.05"/>
    <x v="0"/>
    <n v="20.440000000000001"/>
    <n v="14.72"/>
    <n v="5.72"/>
    <n v="1"/>
    <n v="0"/>
    <n v="4"/>
    <n v="5"/>
  </r>
  <r>
    <s v="SW-104239"/>
    <d v="2025-09-12T00:00:00"/>
    <x v="1"/>
    <s v="Q3"/>
    <x v="8"/>
    <x v="0"/>
    <x v="0"/>
    <x v="0"/>
    <x v="0"/>
    <s v="Summer Dress"/>
    <n v="3"/>
    <n v="33.99"/>
    <n v="0.15"/>
    <x v="1"/>
    <n v="86.67"/>
    <n v="56.29"/>
    <n v="30.38"/>
    <n v="1"/>
    <n v="0"/>
    <n v="3"/>
    <n v="4"/>
  </r>
  <r>
    <s v="SW-104240"/>
    <d v="2025-09-12T00:00:00"/>
    <x v="1"/>
    <s v="Q3"/>
    <x v="8"/>
    <x v="1"/>
    <x v="1"/>
    <x v="0"/>
    <x v="3"/>
    <s v="Fitness Tracker"/>
    <n v="2"/>
    <n v="74.459999999999994"/>
    <n v="0"/>
    <x v="2"/>
    <n v="148.91999999999999"/>
    <n v="106.39"/>
    <n v="42.53"/>
    <n v="1"/>
    <n v="0"/>
    <n v="5"/>
    <n v="4"/>
  </r>
  <r>
    <s v="SW-104241"/>
    <d v="2025-09-12T00:00:00"/>
    <x v="1"/>
    <s v="Q3"/>
    <x v="8"/>
    <x v="2"/>
    <x v="0"/>
    <x v="1"/>
    <x v="1"/>
    <s v="Hair Dryer"/>
    <n v="1"/>
    <n v="33.18"/>
    <n v="0.1"/>
    <x v="0"/>
    <n v="29.86"/>
    <n v="16.16"/>
    <n v="13.7"/>
    <n v="1"/>
    <n v="0"/>
    <n v="4"/>
    <n v="4"/>
  </r>
  <r>
    <s v="SW-104242"/>
    <d v="2025-09-12T00:00:00"/>
    <x v="1"/>
    <s v="Q3"/>
    <x v="8"/>
    <x v="1"/>
    <x v="2"/>
    <x v="1"/>
    <x v="0"/>
    <s v="Leather Handbag"/>
    <n v="1"/>
    <n v="138.5"/>
    <n v="0"/>
    <x v="2"/>
    <n v="138.5"/>
    <n v="74.83"/>
    <n v="63.67"/>
    <n v="1"/>
    <n v="1"/>
    <n v="4"/>
    <n v="3"/>
  </r>
  <r>
    <s v="SW-104243"/>
    <d v="2025-09-12T00:00:00"/>
    <x v="1"/>
    <s v="Q3"/>
    <x v="8"/>
    <x v="1"/>
    <x v="4"/>
    <x v="1"/>
    <x v="4"/>
    <s v="Smart Watch"/>
    <n v="3"/>
    <n v="216.08"/>
    <n v="0.1"/>
    <x v="0"/>
    <n v="583.41999999999996"/>
    <n v="545.35"/>
    <n v="38.07"/>
    <n v="1"/>
    <n v="0"/>
    <n v="5"/>
    <n v="4"/>
  </r>
  <r>
    <s v="SW-104244"/>
    <d v="2025-09-12T00:00:00"/>
    <x v="1"/>
    <s v="Q3"/>
    <x v="8"/>
    <x v="1"/>
    <x v="0"/>
    <x v="1"/>
    <x v="1"/>
    <s v="Skin Care Bundle"/>
    <n v="1"/>
    <n v="92.54"/>
    <n v="0"/>
    <x v="2"/>
    <n v="92.54"/>
    <n v="45.86"/>
    <n v="46.68"/>
    <n v="1"/>
    <n v="0"/>
    <n v="4"/>
    <n v="5"/>
  </r>
  <r>
    <s v="SW-104245"/>
    <d v="2025-09-12T00:00:00"/>
    <x v="1"/>
    <s v="Q3"/>
    <x v="8"/>
    <x v="1"/>
    <x v="4"/>
    <x v="1"/>
    <x v="3"/>
    <s v="Yoga Mat"/>
    <n v="1"/>
    <n v="137.05000000000001"/>
    <n v="0"/>
    <x v="2"/>
    <n v="137.05000000000001"/>
    <n v="89.87"/>
    <n v="47.18"/>
    <n v="1"/>
    <n v="0"/>
    <n v="5"/>
    <n v="5"/>
  </r>
  <r>
    <s v="SW-104246"/>
    <d v="2025-09-12T00:00:00"/>
    <x v="1"/>
    <s v="Q3"/>
    <x v="8"/>
    <x v="0"/>
    <x v="0"/>
    <x v="1"/>
    <x v="3"/>
    <s v="Camping Tent"/>
    <n v="1"/>
    <n v="83.06"/>
    <n v="0"/>
    <x v="2"/>
    <n v="83.06"/>
    <n v="55.71"/>
    <n v="27.35"/>
    <n v="1"/>
    <n v="0"/>
    <n v="5"/>
    <n v="5"/>
  </r>
  <r>
    <s v="SW-104247"/>
    <d v="2025-09-12T00:00:00"/>
    <x v="1"/>
    <s v="Q3"/>
    <x v="8"/>
    <x v="0"/>
    <x v="4"/>
    <x v="1"/>
    <x v="5"/>
    <s v="Story Book Set"/>
    <n v="1"/>
    <n v="10.76"/>
    <n v="0"/>
    <x v="2"/>
    <n v="10.76"/>
    <n v="7.72"/>
    <n v="3.04"/>
    <n v="1"/>
    <n v="0"/>
    <n v="6"/>
    <n v="3"/>
  </r>
  <r>
    <s v="SW-104248"/>
    <d v="2025-09-12T00:00:00"/>
    <x v="1"/>
    <s v="Q3"/>
    <x v="8"/>
    <x v="1"/>
    <x v="3"/>
    <x v="1"/>
    <x v="4"/>
    <s v="Tablet 10in"/>
    <n v="2"/>
    <n v="490.3"/>
    <n v="0"/>
    <x v="2"/>
    <n v="980.6"/>
    <n v="803.45"/>
    <n v="177.15"/>
    <n v="1"/>
    <n v="0"/>
    <n v="3"/>
    <n v="4"/>
  </r>
  <r>
    <s v="SW-104249"/>
    <d v="2025-09-12T00:00:00"/>
    <x v="1"/>
    <s v="Q3"/>
    <x v="8"/>
    <x v="0"/>
    <x v="3"/>
    <x v="0"/>
    <x v="2"/>
    <s v="Storage Boxes"/>
    <n v="1"/>
    <n v="154.66"/>
    <n v="0.05"/>
    <x v="0"/>
    <n v="146.93"/>
    <n v="108.38"/>
    <n v="38.549999999999997"/>
    <n v="1"/>
    <n v="0"/>
    <n v="2"/>
    <n v="4"/>
  </r>
  <r>
    <s v="SW-104250"/>
    <d v="2025-09-12T00:00:00"/>
    <x v="1"/>
    <s v="Q3"/>
    <x v="8"/>
    <x v="0"/>
    <x v="4"/>
    <x v="0"/>
    <x v="4"/>
    <s v="Bluetooth Speaker"/>
    <n v="1"/>
    <n v="177.65"/>
    <n v="0.1"/>
    <x v="0"/>
    <n v="159.88999999999999"/>
    <n v="141.94999999999999"/>
    <n v="17.940000000000001"/>
    <n v="1"/>
    <n v="1"/>
    <n v="6"/>
    <n v="2"/>
  </r>
  <r>
    <s v="SW-104251"/>
    <d v="2025-09-13T00:00:00"/>
    <x v="1"/>
    <s v="Q3"/>
    <x v="8"/>
    <x v="1"/>
    <x v="0"/>
    <x v="1"/>
    <x v="2"/>
    <s v="Coffee Maker"/>
    <n v="1"/>
    <n v="148.05000000000001"/>
    <n v="0.05"/>
    <x v="0"/>
    <n v="140.65"/>
    <n v="98.12"/>
    <n v="42.53"/>
    <n v="1"/>
    <n v="1"/>
    <n v="3"/>
    <n v="4"/>
  </r>
  <r>
    <s v="SW-104252"/>
    <d v="2025-09-13T00:00:00"/>
    <x v="1"/>
    <s v="Q3"/>
    <x v="8"/>
    <x v="1"/>
    <x v="2"/>
    <x v="1"/>
    <x v="4"/>
    <s v="Wireless Earbuds"/>
    <n v="1"/>
    <n v="588.41"/>
    <n v="0"/>
    <x v="2"/>
    <n v="588.41"/>
    <n v="489.08"/>
    <n v="99.33"/>
    <n v="1"/>
    <n v="0"/>
    <n v="3"/>
    <n v="4"/>
  </r>
  <r>
    <s v="SW-104253"/>
    <d v="2025-09-14T00:00:00"/>
    <x v="1"/>
    <s v="Q3"/>
    <x v="8"/>
    <x v="1"/>
    <x v="0"/>
    <x v="0"/>
    <x v="2"/>
    <s v="Storage Boxes"/>
    <n v="1"/>
    <n v="154.66"/>
    <n v="0.05"/>
    <x v="0"/>
    <n v="146.93"/>
    <n v="102.79"/>
    <n v="44.14"/>
    <n v="1"/>
    <n v="0"/>
    <n v="3"/>
    <n v="5"/>
  </r>
  <r>
    <s v="SW-104254"/>
    <d v="2025-09-14T00:00:00"/>
    <x v="1"/>
    <s v="Q3"/>
    <x v="8"/>
    <x v="1"/>
    <x v="3"/>
    <x v="0"/>
    <x v="0"/>
    <s v="Leather Handbag"/>
    <n v="1"/>
    <n v="138.5"/>
    <n v="0.05"/>
    <x v="0"/>
    <n v="131.57"/>
    <n v="72.400000000000006"/>
    <n v="59.17"/>
    <n v="1"/>
    <n v="1"/>
    <n v="2"/>
    <n v="3"/>
  </r>
  <r>
    <s v="SW-104255"/>
    <d v="2025-09-14T00:00:00"/>
    <x v="1"/>
    <s v="Q3"/>
    <x v="8"/>
    <x v="0"/>
    <x v="2"/>
    <x v="1"/>
    <x v="4"/>
    <s v="Bluetooth Speaker"/>
    <n v="1"/>
    <n v="177.65"/>
    <n v="0"/>
    <x v="2"/>
    <n v="177.65"/>
    <n v="138.1"/>
    <n v="39.549999999999997"/>
    <n v="1"/>
    <n v="0"/>
    <n v="3"/>
    <n v="4"/>
  </r>
  <r>
    <s v="SW-104256"/>
    <d v="2025-09-14T00:00:00"/>
    <x v="1"/>
    <s v="Q3"/>
    <x v="8"/>
    <x v="0"/>
    <x v="0"/>
    <x v="0"/>
    <x v="0"/>
    <s v="Leather Handbag"/>
    <n v="1"/>
    <n v="138.5"/>
    <n v="0"/>
    <x v="2"/>
    <n v="138.5"/>
    <n v="78.28"/>
    <n v="60.22"/>
    <n v="1"/>
    <n v="0"/>
    <n v="4"/>
    <n v="4"/>
  </r>
  <r>
    <s v="SW-104257"/>
    <d v="2025-09-14T00:00:00"/>
    <x v="1"/>
    <s v="Q3"/>
    <x v="8"/>
    <x v="2"/>
    <x v="0"/>
    <x v="1"/>
    <x v="5"/>
    <s v="Board Game"/>
    <n v="2"/>
    <n v="57.92"/>
    <n v="0.1"/>
    <x v="0"/>
    <n v="104.26"/>
    <n v="85.04"/>
    <n v="19.22"/>
    <n v="1"/>
    <n v="0"/>
    <n v="3"/>
    <n v="5"/>
  </r>
  <r>
    <s v="SW-104258"/>
    <d v="2025-09-14T00:00:00"/>
    <x v="1"/>
    <s v="Q3"/>
    <x v="8"/>
    <x v="1"/>
    <x v="3"/>
    <x v="1"/>
    <x v="4"/>
    <s v="Smart Watch"/>
    <n v="2"/>
    <n v="216.08"/>
    <n v="0"/>
    <x v="2"/>
    <n v="432.16"/>
    <n v="341.48"/>
    <n v="90.68"/>
    <n v="1"/>
    <n v="0"/>
    <n v="2"/>
    <n v="4"/>
  </r>
  <r>
    <s v="SW-104259"/>
    <d v="2025-09-14T00:00:00"/>
    <x v="1"/>
    <s v="Q3"/>
    <x v="8"/>
    <x v="1"/>
    <x v="4"/>
    <x v="1"/>
    <x v="1"/>
    <s v="Face Serum"/>
    <n v="1"/>
    <n v="33.479999999999997"/>
    <n v="0.25"/>
    <x v="3"/>
    <n v="25.11"/>
    <n v="15.85"/>
    <n v="9.26"/>
    <n v="1"/>
    <n v="0"/>
    <n v="5"/>
    <n v="4"/>
  </r>
  <r>
    <s v="SW-104260"/>
    <d v="2025-09-14T00:00:00"/>
    <x v="1"/>
    <s v="Q3"/>
    <x v="8"/>
    <x v="0"/>
    <x v="0"/>
    <x v="1"/>
    <x v="0"/>
    <s v="Leather Handbag"/>
    <n v="2"/>
    <n v="138.5"/>
    <n v="0.05"/>
    <x v="0"/>
    <n v="263.14999999999998"/>
    <n v="143.34"/>
    <n v="119.81"/>
    <n v="1"/>
    <n v="0"/>
    <n v="5"/>
    <n v="4"/>
  </r>
  <r>
    <s v="SW-104261"/>
    <d v="2025-09-14T00:00:00"/>
    <x v="1"/>
    <s v="Q3"/>
    <x v="8"/>
    <x v="0"/>
    <x v="3"/>
    <x v="0"/>
    <x v="4"/>
    <s v="Power Bank"/>
    <n v="2"/>
    <n v="508.8"/>
    <n v="0.05"/>
    <x v="0"/>
    <n v="966.72"/>
    <n v="776.56"/>
    <n v="190.16"/>
    <n v="1"/>
    <n v="0"/>
    <n v="5"/>
    <n v="4"/>
  </r>
  <r>
    <s v="SW-104262"/>
    <d v="2025-09-14T00:00:00"/>
    <x v="1"/>
    <s v="Q3"/>
    <x v="8"/>
    <x v="0"/>
    <x v="2"/>
    <x v="1"/>
    <x v="4"/>
    <s v="Bluetooth Speaker"/>
    <n v="1"/>
    <n v="177.65"/>
    <n v="0.1"/>
    <x v="0"/>
    <n v="159.88999999999999"/>
    <n v="146.84"/>
    <n v="13.05"/>
    <n v="1"/>
    <n v="0"/>
    <n v="3"/>
    <n v="4"/>
  </r>
  <r>
    <s v="SW-104263"/>
    <d v="2025-09-15T00:00:00"/>
    <x v="1"/>
    <s v="Q3"/>
    <x v="8"/>
    <x v="2"/>
    <x v="3"/>
    <x v="1"/>
    <x v="1"/>
    <s v="Skin Care Bundle"/>
    <n v="1"/>
    <n v="92.54"/>
    <n v="0"/>
    <x v="2"/>
    <n v="92.54"/>
    <n v="42.83"/>
    <n v="49.71"/>
    <n v="1"/>
    <n v="0"/>
    <n v="4"/>
    <n v="5"/>
  </r>
  <r>
    <s v="SW-104264"/>
    <d v="2025-09-15T00:00:00"/>
    <x v="1"/>
    <s v="Q3"/>
    <x v="8"/>
    <x v="2"/>
    <x v="0"/>
    <x v="1"/>
    <x v="5"/>
    <s v="Bestseller Novel"/>
    <n v="4"/>
    <n v="45.28"/>
    <n v="0"/>
    <x v="2"/>
    <n v="181.12"/>
    <n v="133.81"/>
    <n v="47.31"/>
    <n v="1"/>
    <n v="0"/>
    <n v="6"/>
    <n v="4"/>
  </r>
  <r>
    <s v="SW-104265"/>
    <d v="2025-09-15T00:00:00"/>
    <x v="1"/>
    <s v="Q3"/>
    <x v="8"/>
    <x v="1"/>
    <x v="2"/>
    <x v="1"/>
    <x v="2"/>
    <s v="Cookware Set"/>
    <n v="1"/>
    <n v="233.81"/>
    <n v="0.1"/>
    <x v="0"/>
    <n v="210.43"/>
    <n v="159.27000000000001"/>
    <n v="51.16"/>
    <n v="1"/>
    <n v="0"/>
    <n v="3"/>
    <n v="4"/>
  </r>
  <r>
    <s v="SW-104266"/>
    <d v="2025-09-15T00:00:00"/>
    <x v="1"/>
    <s v="Q3"/>
    <x v="8"/>
    <x v="0"/>
    <x v="0"/>
    <x v="1"/>
    <x v="4"/>
    <s v="Smart Watch"/>
    <n v="2"/>
    <n v="216.08"/>
    <n v="0"/>
    <x v="2"/>
    <n v="432.16"/>
    <n v="358.51"/>
    <n v="73.650000000000006"/>
    <n v="1"/>
    <n v="1"/>
    <n v="4"/>
    <n v="4"/>
  </r>
  <r>
    <s v="SW-104267"/>
    <d v="2025-09-15T00:00:00"/>
    <x v="1"/>
    <s v="Q3"/>
    <x v="8"/>
    <x v="1"/>
    <x v="0"/>
    <x v="1"/>
    <x v="2"/>
    <s v="Coffee Maker"/>
    <n v="2"/>
    <n v="148.05000000000001"/>
    <n v="0.1"/>
    <x v="0"/>
    <n v="266.49"/>
    <n v="198.53"/>
    <n v="67.959999999999994"/>
    <n v="1"/>
    <n v="0"/>
    <n v="4"/>
    <n v="5"/>
  </r>
  <r>
    <s v="SW-104268"/>
    <d v="2025-09-16T00:00:00"/>
    <x v="1"/>
    <s v="Q3"/>
    <x v="8"/>
    <x v="1"/>
    <x v="3"/>
    <x v="0"/>
    <x v="0"/>
    <s v="Summer Dress"/>
    <n v="1"/>
    <n v="33.99"/>
    <n v="0"/>
    <x v="2"/>
    <n v="33.99"/>
    <n v="18.16"/>
    <n v="15.83"/>
    <n v="1"/>
    <n v="0"/>
    <n v="5"/>
    <n v="4"/>
  </r>
  <r>
    <s v="SW-104269"/>
    <d v="2025-09-16T00:00:00"/>
    <x v="1"/>
    <s v="Q3"/>
    <x v="8"/>
    <x v="1"/>
    <x v="1"/>
    <x v="0"/>
    <x v="4"/>
    <s v="4K Action Camera"/>
    <n v="1"/>
    <n v="636.09"/>
    <n v="0.15"/>
    <x v="1"/>
    <n v="540.67999999999995"/>
    <n v="515.04"/>
    <n v="25.64"/>
    <n v="1"/>
    <n v="0"/>
    <n v="8"/>
    <n v="3"/>
  </r>
  <r>
    <s v="SW-104270"/>
    <d v="2025-09-16T00:00:00"/>
    <x v="1"/>
    <s v="Q3"/>
    <x v="8"/>
    <x v="0"/>
    <x v="3"/>
    <x v="1"/>
    <x v="2"/>
    <s v="Coffee Maker"/>
    <n v="1"/>
    <n v="148.05000000000001"/>
    <n v="0.1"/>
    <x v="0"/>
    <n v="133.24"/>
    <n v="95.87"/>
    <n v="37.369999999999997"/>
    <n v="1"/>
    <n v="0"/>
    <n v="4"/>
    <n v="5"/>
  </r>
  <r>
    <s v="SW-104271"/>
    <d v="2025-09-16T00:00:00"/>
    <x v="1"/>
    <s v="Q3"/>
    <x v="8"/>
    <x v="1"/>
    <x v="1"/>
    <x v="1"/>
    <x v="1"/>
    <s v="Makeup Kit"/>
    <n v="1"/>
    <n v="74.3"/>
    <n v="0.05"/>
    <x v="0"/>
    <n v="70.58"/>
    <n v="35.22"/>
    <n v="35.36"/>
    <n v="1"/>
    <n v="0"/>
    <n v="7"/>
    <n v="3"/>
  </r>
  <r>
    <s v="SW-104272"/>
    <d v="2025-09-16T00:00:00"/>
    <x v="1"/>
    <s v="Q3"/>
    <x v="8"/>
    <x v="0"/>
    <x v="1"/>
    <x v="0"/>
    <x v="5"/>
    <s v="Bestseller Novel"/>
    <n v="1"/>
    <n v="45.28"/>
    <n v="0"/>
    <x v="2"/>
    <n v="45.28"/>
    <n v="32.909999999999997"/>
    <n v="12.37"/>
    <n v="1"/>
    <n v="0"/>
    <n v="6"/>
    <n v="4"/>
  </r>
  <r>
    <s v="SW-104273"/>
    <d v="2025-09-16T00:00:00"/>
    <x v="1"/>
    <s v="Q3"/>
    <x v="8"/>
    <x v="1"/>
    <x v="2"/>
    <x v="0"/>
    <x v="2"/>
    <s v="Air Fryer"/>
    <n v="3"/>
    <n v="68.349999999999994"/>
    <n v="0.1"/>
    <x v="0"/>
    <n v="184.54"/>
    <n v="135.88999999999999"/>
    <n v="48.65"/>
    <n v="1"/>
    <n v="0"/>
    <n v="5"/>
    <n v="4"/>
  </r>
  <r>
    <s v="SW-104274"/>
    <d v="2025-09-17T00:00:00"/>
    <x v="1"/>
    <s v="Q3"/>
    <x v="8"/>
    <x v="2"/>
    <x v="0"/>
    <x v="1"/>
    <x v="5"/>
    <s v="Building Blocks"/>
    <n v="3"/>
    <n v="48.86"/>
    <n v="0.1"/>
    <x v="0"/>
    <n v="131.91999999999999"/>
    <n v="101.39"/>
    <n v="30.53"/>
    <n v="1"/>
    <n v="0"/>
    <n v="6"/>
    <n v="3"/>
  </r>
  <r>
    <s v="SW-104275"/>
    <d v="2025-09-17T00:00:00"/>
    <x v="1"/>
    <s v="Q3"/>
    <x v="8"/>
    <x v="1"/>
    <x v="2"/>
    <x v="0"/>
    <x v="4"/>
    <s v="Wireless Earbuds"/>
    <n v="1"/>
    <n v="588.41"/>
    <n v="0"/>
    <x v="2"/>
    <n v="588.41"/>
    <n v="483.79"/>
    <n v="104.62"/>
    <n v="1"/>
    <n v="0"/>
    <n v="4"/>
    <n v="5"/>
  </r>
  <r>
    <s v="SW-104276"/>
    <d v="2025-09-17T00:00:00"/>
    <x v="1"/>
    <s v="Q3"/>
    <x v="8"/>
    <x v="1"/>
    <x v="3"/>
    <x v="0"/>
    <x v="0"/>
    <s v="Sunglasses"/>
    <n v="2"/>
    <n v="104.94"/>
    <n v="0.15"/>
    <x v="1"/>
    <n v="178.4"/>
    <n v="117.03"/>
    <n v="61.37"/>
    <n v="1"/>
    <n v="0"/>
    <n v="5"/>
    <n v="4"/>
  </r>
  <r>
    <s v="SW-104277"/>
    <d v="2025-09-17T00:00:00"/>
    <x v="1"/>
    <s v="Q3"/>
    <x v="8"/>
    <x v="2"/>
    <x v="2"/>
    <x v="1"/>
    <x v="0"/>
    <s v="Summer Dress"/>
    <n v="1"/>
    <n v="33.99"/>
    <n v="0"/>
    <x v="2"/>
    <n v="33.99"/>
    <n v="19.440000000000001"/>
    <n v="14.55"/>
    <n v="1"/>
    <n v="0"/>
    <n v="4"/>
    <n v="4"/>
  </r>
  <r>
    <s v="SW-104278"/>
    <d v="2025-09-17T00:00:00"/>
    <x v="1"/>
    <s v="Q3"/>
    <x v="8"/>
    <x v="0"/>
    <x v="0"/>
    <x v="1"/>
    <x v="2"/>
    <s v="Desk Lamp"/>
    <n v="4"/>
    <n v="117.63"/>
    <n v="0.15"/>
    <x v="1"/>
    <n v="399.94"/>
    <n v="300.54000000000002"/>
    <n v="99.4"/>
    <n v="1"/>
    <n v="0"/>
    <n v="5"/>
    <n v="4"/>
  </r>
  <r>
    <s v="SW-104279"/>
    <d v="2025-09-18T00:00:00"/>
    <x v="1"/>
    <s v="Q3"/>
    <x v="8"/>
    <x v="1"/>
    <x v="0"/>
    <x v="0"/>
    <x v="0"/>
    <s v="Denim Jacket"/>
    <n v="2"/>
    <n v="78.510000000000005"/>
    <n v="0.1"/>
    <x v="0"/>
    <n v="141.32"/>
    <n v="86.61"/>
    <n v="54.71"/>
    <n v="1"/>
    <n v="0"/>
    <n v="4"/>
    <n v="4"/>
  </r>
  <r>
    <s v="SW-104280"/>
    <d v="2025-09-18T00:00:00"/>
    <x v="1"/>
    <s v="Q3"/>
    <x v="8"/>
    <x v="1"/>
    <x v="0"/>
    <x v="1"/>
    <x v="0"/>
    <s v="Running Sneakers"/>
    <n v="4"/>
    <n v="94.85"/>
    <n v="0.1"/>
    <x v="0"/>
    <n v="341.46"/>
    <n v="206.8"/>
    <n v="134.66"/>
    <n v="1"/>
    <n v="0"/>
    <n v="4"/>
    <n v="4"/>
  </r>
  <r>
    <s v="SW-104281"/>
    <d v="2025-09-18T00:00:00"/>
    <x v="1"/>
    <s v="Q3"/>
    <x v="8"/>
    <x v="1"/>
    <x v="1"/>
    <x v="0"/>
    <x v="4"/>
    <s v="Tablet 10in"/>
    <n v="1"/>
    <n v="490.3"/>
    <n v="0.05"/>
    <x v="0"/>
    <n v="465.78"/>
    <n v="433.05"/>
    <n v="32.729999999999997"/>
    <n v="1"/>
    <n v="0"/>
    <n v="5"/>
    <n v="5"/>
  </r>
  <r>
    <s v="SW-104282"/>
    <d v="2025-09-18T00:00:00"/>
    <x v="1"/>
    <s v="Q3"/>
    <x v="8"/>
    <x v="0"/>
    <x v="3"/>
    <x v="1"/>
    <x v="0"/>
    <s v="Summer Dress"/>
    <n v="1"/>
    <n v="33.99"/>
    <n v="0.15"/>
    <x v="1"/>
    <n v="28.89"/>
    <n v="18.16"/>
    <n v="10.73"/>
    <n v="1"/>
    <n v="0"/>
    <n v="3"/>
    <n v="5"/>
  </r>
  <r>
    <s v="SW-104283"/>
    <d v="2025-09-19T00:00:00"/>
    <x v="1"/>
    <s v="Q3"/>
    <x v="8"/>
    <x v="1"/>
    <x v="3"/>
    <x v="1"/>
    <x v="1"/>
    <s v="Skin Care Bundle"/>
    <n v="1"/>
    <n v="92.54"/>
    <n v="0.2"/>
    <x v="1"/>
    <n v="74.03"/>
    <n v="45.17"/>
    <n v="28.86"/>
    <n v="1"/>
    <n v="0"/>
    <n v="4"/>
    <n v="4"/>
  </r>
  <r>
    <s v="SW-104284"/>
    <d v="2025-09-19T00:00:00"/>
    <x v="1"/>
    <s v="Q3"/>
    <x v="8"/>
    <x v="1"/>
    <x v="3"/>
    <x v="1"/>
    <x v="0"/>
    <s v="Running Sneakers"/>
    <n v="1"/>
    <n v="94.85"/>
    <n v="0"/>
    <x v="2"/>
    <n v="94.85"/>
    <n v="53.87"/>
    <n v="40.98"/>
    <n v="1"/>
    <n v="0"/>
    <n v="4"/>
    <n v="4"/>
  </r>
  <r>
    <s v="SW-104285"/>
    <d v="2025-09-19T00:00:00"/>
    <x v="1"/>
    <s v="Q3"/>
    <x v="8"/>
    <x v="0"/>
    <x v="2"/>
    <x v="0"/>
    <x v="2"/>
    <s v="Cookware Set"/>
    <n v="1"/>
    <n v="233.81"/>
    <n v="0.15"/>
    <x v="1"/>
    <n v="198.74"/>
    <n v="152.18"/>
    <n v="46.56"/>
    <n v="1"/>
    <n v="1"/>
    <n v="4"/>
    <n v="3"/>
  </r>
  <r>
    <s v="SW-104286"/>
    <d v="2025-09-19T00:00:00"/>
    <x v="1"/>
    <s v="Q3"/>
    <x v="8"/>
    <x v="2"/>
    <x v="1"/>
    <x v="1"/>
    <x v="5"/>
    <s v="Bestseller Novel"/>
    <n v="2"/>
    <n v="45.28"/>
    <n v="0.15"/>
    <x v="1"/>
    <n v="76.98"/>
    <n v="65.47"/>
    <n v="11.51"/>
    <n v="1"/>
    <n v="1"/>
    <n v="8"/>
    <n v="2"/>
  </r>
  <r>
    <s v="SW-104287"/>
    <d v="2025-09-19T00:00:00"/>
    <x v="1"/>
    <s v="Q3"/>
    <x v="8"/>
    <x v="2"/>
    <x v="3"/>
    <x v="1"/>
    <x v="4"/>
    <s v="Bluetooth Speaker"/>
    <n v="1"/>
    <n v="177.65"/>
    <n v="0.1"/>
    <x v="0"/>
    <n v="159.88999999999999"/>
    <n v="139.69999999999999"/>
    <n v="20.190000000000001"/>
    <n v="1"/>
    <n v="0"/>
    <n v="2"/>
    <n v="4"/>
  </r>
  <r>
    <s v="SW-104288"/>
    <d v="2025-09-19T00:00:00"/>
    <x v="1"/>
    <s v="Q3"/>
    <x v="8"/>
    <x v="1"/>
    <x v="3"/>
    <x v="1"/>
    <x v="5"/>
    <s v="Kids Puzzle"/>
    <n v="1"/>
    <n v="16.97"/>
    <n v="0"/>
    <x v="2"/>
    <n v="16.97"/>
    <n v="12.19"/>
    <n v="4.78"/>
    <n v="1"/>
    <n v="0"/>
    <n v="4"/>
    <n v="5"/>
  </r>
  <r>
    <s v="SW-104289"/>
    <d v="2025-09-19T00:00:00"/>
    <x v="1"/>
    <s v="Q3"/>
    <x v="8"/>
    <x v="0"/>
    <x v="3"/>
    <x v="0"/>
    <x v="3"/>
    <s v="Cycling Helmet"/>
    <n v="1"/>
    <n v="85.42"/>
    <n v="0.15"/>
    <x v="1"/>
    <n v="72.61"/>
    <n v="59.92"/>
    <n v="12.69"/>
    <n v="1"/>
    <n v="0"/>
    <n v="3"/>
    <n v="5"/>
  </r>
  <r>
    <s v="SW-104290"/>
    <d v="2025-09-19T00:00:00"/>
    <x v="1"/>
    <s v="Q3"/>
    <x v="8"/>
    <x v="0"/>
    <x v="1"/>
    <x v="0"/>
    <x v="3"/>
    <s v="Fitness Tracker"/>
    <n v="1"/>
    <n v="74.459999999999994"/>
    <n v="0"/>
    <x v="2"/>
    <n v="74.459999999999994"/>
    <n v="51.29"/>
    <n v="23.17"/>
    <n v="1"/>
    <n v="0"/>
    <n v="5"/>
    <n v="5"/>
  </r>
  <r>
    <s v="SW-104291"/>
    <d v="2025-09-19T00:00:00"/>
    <x v="1"/>
    <s v="Q3"/>
    <x v="8"/>
    <x v="0"/>
    <x v="2"/>
    <x v="0"/>
    <x v="5"/>
    <s v="Building Blocks"/>
    <n v="1"/>
    <n v="48.86"/>
    <n v="0"/>
    <x v="2"/>
    <n v="48.86"/>
    <n v="35.729999999999997"/>
    <n v="13.13"/>
    <n v="1"/>
    <n v="0"/>
    <n v="3"/>
    <n v="5"/>
  </r>
  <r>
    <s v="SW-104292"/>
    <d v="2025-09-20T00:00:00"/>
    <x v="1"/>
    <s v="Q3"/>
    <x v="8"/>
    <x v="0"/>
    <x v="3"/>
    <x v="0"/>
    <x v="4"/>
    <s v="Wireless Earbuds"/>
    <n v="1"/>
    <n v="588.41"/>
    <n v="0"/>
    <x v="2"/>
    <n v="588.41"/>
    <n v="478.98"/>
    <n v="109.43"/>
    <n v="1"/>
    <n v="0"/>
    <n v="7"/>
    <n v="4"/>
  </r>
  <r>
    <s v="SW-104293"/>
    <d v="2025-09-20T00:00:00"/>
    <x v="1"/>
    <s v="Q3"/>
    <x v="8"/>
    <x v="2"/>
    <x v="0"/>
    <x v="0"/>
    <x v="2"/>
    <s v="Bed Sheet Set"/>
    <n v="2"/>
    <n v="90.75"/>
    <n v="0.05"/>
    <x v="0"/>
    <n v="172.42"/>
    <n v="120.74"/>
    <n v="51.68"/>
    <n v="1"/>
    <n v="0"/>
    <n v="3"/>
    <n v="4"/>
  </r>
  <r>
    <s v="SW-104294"/>
    <d v="2025-09-20T00:00:00"/>
    <x v="1"/>
    <s v="Q3"/>
    <x v="8"/>
    <x v="0"/>
    <x v="3"/>
    <x v="0"/>
    <x v="4"/>
    <s v="4K Action Camera"/>
    <n v="1"/>
    <n v="636.09"/>
    <n v="0"/>
    <x v="2"/>
    <n v="636.09"/>
    <n v="502.63"/>
    <n v="133.46"/>
    <n v="1"/>
    <n v="0"/>
    <n v="4"/>
    <n v="5"/>
  </r>
  <r>
    <s v="SW-104295"/>
    <d v="2025-09-20T00:00:00"/>
    <x v="1"/>
    <s v="Q3"/>
    <x v="8"/>
    <x v="2"/>
    <x v="0"/>
    <x v="0"/>
    <x v="3"/>
    <s v="Camping Tent"/>
    <n v="2"/>
    <n v="83.06"/>
    <n v="0.1"/>
    <x v="0"/>
    <n v="149.51"/>
    <n v="112.12"/>
    <n v="37.39"/>
    <n v="1"/>
    <n v="0"/>
    <n v="5"/>
    <n v="3"/>
  </r>
  <r>
    <s v="SW-104296"/>
    <d v="2025-09-20T00:00:00"/>
    <x v="1"/>
    <s v="Q3"/>
    <x v="8"/>
    <x v="1"/>
    <x v="2"/>
    <x v="0"/>
    <x v="1"/>
    <s v="Skin Care Bundle"/>
    <n v="4"/>
    <n v="92.54"/>
    <n v="0"/>
    <x v="2"/>
    <n v="370.16"/>
    <n v="180.52"/>
    <n v="189.64"/>
    <n v="1"/>
    <n v="0"/>
    <n v="3"/>
    <n v="5"/>
  </r>
  <r>
    <s v="SW-104297"/>
    <d v="2025-09-20T00:00:00"/>
    <x v="1"/>
    <s v="Q3"/>
    <x v="8"/>
    <x v="0"/>
    <x v="1"/>
    <x v="1"/>
    <x v="1"/>
    <s v="Makeup Kit"/>
    <n v="1"/>
    <n v="74.3"/>
    <n v="0.3"/>
    <x v="3"/>
    <n v="52.01"/>
    <n v="35.49"/>
    <n v="16.52"/>
    <n v="1"/>
    <n v="0"/>
    <n v="5"/>
    <n v="5"/>
  </r>
  <r>
    <s v="SW-104298"/>
    <d v="2025-09-20T00:00:00"/>
    <x v="1"/>
    <s v="Q3"/>
    <x v="8"/>
    <x v="0"/>
    <x v="0"/>
    <x v="1"/>
    <x v="5"/>
    <s v="Board Game"/>
    <n v="2"/>
    <n v="57.92"/>
    <n v="0.05"/>
    <x v="0"/>
    <n v="110.05"/>
    <n v="85"/>
    <n v="25.05"/>
    <n v="1"/>
    <n v="0"/>
    <n v="5"/>
    <n v="4"/>
  </r>
  <r>
    <s v="SW-104299"/>
    <d v="2025-09-21T00:00:00"/>
    <x v="1"/>
    <s v="Q3"/>
    <x v="8"/>
    <x v="1"/>
    <x v="4"/>
    <x v="1"/>
    <x v="0"/>
    <s v="Cotton T-Shirt"/>
    <n v="1"/>
    <n v="19.41"/>
    <n v="0.05"/>
    <x v="0"/>
    <n v="18.440000000000001"/>
    <n v="10.01"/>
    <n v="8.43"/>
    <n v="1"/>
    <n v="0"/>
    <n v="7"/>
    <n v="3"/>
  </r>
  <r>
    <s v="SW-104300"/>
    <d v="2025-09-21T00:00:00"/>
    <x v="1"/>
    <s v="Q3"/>
    <x v="8"/>
    <x v="2"/>
    <x v="3"/>
    <x v="1"/>
    <x v="5"/>
    <s v="Building Blocks"/>
    <n v="2"/>
    <n v="48.86"/>
    <n v="0.15"/>
    <x v="1"/>
    <n v="83.06"/>
    <n v="68.989999999999995"/>
    <n v="14.07"/>
    <n v="1"/>
    <n v="0"/>
    <n v="3"/>
    <n v="4"/>
  </r>
  <r>
    <s v="SW-104301"/>
    <d v="2025-09-21T00:00:00"/>
    <x v="1"/>
    <s v="Q3"/>
    <x v="8"/>
    <x v="2"/>
    <x v="4"/>
    <x v="0"/>
    <x v="0"/>
    <s v="Summer Dress"/>
    <n v="1"/>
    <n v="33.99"/>
    <n v="0"/>
    <x v="2"/>
    <n v="33.99"/>
    <n v="17.8"/>
    <n v="16.190000000000001"/>
    <n v="1"/>
    <n v="0"/>
    <n v="5"/>
    <n v="3"/>
  </r>
  <r>
    <s v="SW-104302"/>
    <d v="2025-09-21T00:00:00"/>
    <x v="1"/>
    <s v="Q3"/>
    <x v="8"/>
    <x v="2"/>
    <x v="2"/>
    <x v="0"/>
    <x v="2"/>
    <s v="Coffee Maker"/>
    <n v="1"/>
    <n v="148.05000000000001"/>
    <n v="0.15"/>
    <x v="1"/>
    <n v="125.84"/>
    <n v="103.57"/>
    <n v="22.27"/>
    <n v="1"/>
    <n v="1"/>
    <n v="4"/>
    <n v="3"/>
  </r>
  <r>
    <s v="SW-104303"/>
    <d v="2025-09-21T00:00:00"/>
    <x v="1"/>
    <s v="Q3"/>
    <x v="8"/>
    <x v="2"/>
    <x v="3"/>
    <x v="1"/>
    <x v="3"/>
    <s v="Dumbbell Set"/>
    <n v="2"/>
    <n v="198.42"/>
    <n v="0"/>
    <x v="2"/>
    <n v="396.84"/>
    <n v="269.49"/>
    <n v="127.35"/>
    <n v="1"/>
    <n v="0"/>
    <n v="2"/>
    <n v="5"/>
  </r>
  <r>
    <s v="SW-104304"/>
    <d v="2025-09-21T00:00:00"/>
    <x v="1"/>
    <s v="Q3"/>
    <x v="8"/>
    <x v="1"/>
    <x v="0"/>
    <x v="1"/>
    <x v="0"/>
    <s v="Sunglasses"/>
    <n v="2"/>
    <n v="104.94"/>
    <n v="0"/>
    <x v="2"/>
    <n v="209.88"/>
    <n v="112.34"/>
    <n v="97.54"/>
    <n v="1"/>
    <n v="0"/>
    <n v="3"/>
    <n v="5"/>
  </r>
  <r>
    <s v="SW-104305"/>
    <d v="2025-09-21T00:00:00"/>
    <x v="1"/>
    <s v="Q3"/>
    <x v="8"/>
    <x v="0"/>
    <x v="1"/>
    <x v="0"/>
    <x v="4"/>
    <s v="Tablet 10in"/>
    <n v="1"/>
    <n v="490.3"/>
    <n v="0.15"/>
    <x v="1"/>
    <n v="416.76"/>
    <n v="413.11"/>
    <n v="3.65"/>
    <n v="1"/>
    <n v="0"/>
    <n v="6"/>
    <n v="3"/>
  </r>
  <r>
    <s v="SW-104306"/>
    <d v="2025-09-21T00:00:00"/>
    <x v="1"/>
    <s v="Q3"/>
    <x v="8"/>
    <x v="1"/>
    <x v="0"/>
    <x v="1"/>
    <x v="4"/>
    <s v="Wireless Earbuds"/>
    <n v="1"/>
    <n v="588.41"/>
    <n v="0"/>
    <x v="2"/>
    <n v="588.41"/>
    <n v="459.77"/>
    <n v="128.63999999999999"/>
    <n v="1"/>
    <n v="0"/>
    <n v="4"/>
    <n v="5"/>
  </r>
  <r>
    <s v="SW-104307"/>
    <d v="2025-09-21T00:00:00"/>
    <x v="1"/>
    <s v="Q3"/>
    <x v="8"/>
    <x v="2"/>
    <x v="1"/>
    <x v="1"/>
    <x v="2"/>
    <s v="Cookware Set"/>
    <n v="2"/>
    <n v="233.81"/>
    <n v="0.05"/>
    <x v="0"/>
    <n v="444.24"/>
    <n v="300.35000000000002"/>
    <n v="143.88999999999999"/>
    <n v="1"/>
    <n v="0"/>
    <n v="6"/>
    <n v="3"/>
  </r>
  <r>
    <s v="SW-104308"/>
    <d v="2025-09-21T00:00:00"/>
    <x v="1"/>
    <s v="Q3"/>
    <x v="8"/>
    <x v="1"/>
    <x v="1"/>
    <x v="0"/>
    <x v="1"/>
    <s v="Face Serum"/>
    <n v="1"/>
    <n v="33.479999999999997"/>
    <n v="0"/>
    <x v="2"/>
    <n v="33.479999999999997"/>
    <n v="16.239999999999998"/>
    <n v="17.239999999999998"/>
    <n v="1"/>
    <n v="0"/>
    <n v="7"/>
    <n v="4"/>
  </r>
  <r>
    <s v="SW-104309"/>
    <d v="2025-09-22T00:00:00"/>
    <x v="1"/>
    <s v="Q3"/>
    <x v="8"/>
    <x v="0"/>
    <x v="4"/>
    <x v="1"/>
    <x v="3"/>
    <s v="Yoga Mat"/>
    <n v="1"/>
    <n v="137.05000000000001"/>
    <n v="0"/>
    <x v="2"/>
    <n v="137.05000000000001"/>
    <n v="95.82"/>
    <n v="41.23"/>
    <n v="1"/>
    <n v="0"/>
    <n v="6"/>
    <n v="4"/>
  </r>
  <r>
    <s v="SW-104310"/>
    <d v="2025-09-22T00:00:00"/>
    <x v="1"/>
    <s v="Q3"/>
    <x v="8"/>
    <x v="0"/>
    <x v="0"/>
    <x v="1"/>
    <x v="4"/>
    <s v="Bluetooth Speaker"/>
    <n v="3"/>
    <n v="177.65"/>
    <n v="0"/>
    <x v="2"/>
    <n v="532.95000000000005"/>
    <n v="424.62"/>
    <n v="108.33"/>
    <n v="1"/>
    <n v="0"/>
    <n v="4"/>
    <n v="4"/>
  </r>
  <r>
    <s v="SW-104311"/>
    <d v="2025-09-22T00:00:00"/>
    <x v="1"/>
    <s v="Q3"/>
    <x v="8"/>
    <x v="1"/>
    <x v="3"/>
    <x v="0"/>
    <x v="4"/>
    <s v="Tablet 10in"/>
    <n v="3"/>
    <n v="490.3"/>
    <n v="0"/>
    <x v="2"/>
    <n v="1470.9"/>
    <n v="1119.8399999999999"/>
    <n v="351.06"/>
    <n v="1"/>
    <n v="0"/>
    <n v="4"/>
    <n v="3"/>
  </r>
  <r>
    <s v="SW-104312"/>
    <d v="2025-09-22T00:00:00"/>
    <x v="1"/>
    <s v="Q3"/>
    <x v="8"/>
    <x v="0"/>
    <x v="3"/>
    <x v="1"/>
    <x v="4"/>
    <s v="Bluetooth Speaker"/>
    <n v="1"/>
    <n v="177.65"/>
    <n v="0.05"/>
    <x v="0"/>
    <n v="168.77"/>
    <n v="147.82"/>
    <n v="20.95"/>
    <n v="1"/>
    <n v="0"/>
    <n v="3"/>
    <n v="4"/>
  </r>
  <r>
    <s v="SW-104313"/>
    <d v="2025-09-22T00:00:00"/>
    <x v="1"/>
    <s v="Q3"/>
    <x v="8"/>
    <x v="0"/>
    <x v="2"/>
    <x v="0"/>
    <x v="0"/>
    <s v="Summer Dress"/>
    <n v="1"/>
    <n v="33.99"/>
    <n v="0.1"/>
    <x v="0"/>
    <n v="30.59"/>
    <n v="18.63"/>
    <n v="11.96"/>
    <n v="1"/>
    <n v="0"/>
    <n v="4"/>
    <n v="4"/>
  </r>
  <r>
    <s v="SW-104314"/>
    <d v="2025-09-22T00:00:00"/>
    <x v="1"/>
    <s v="Q3"/>
    <x v="8"/>
    <x v="2"/>
    <x v="1"/>
    <x v="0"/>
    <x v="3"/>
    <s v="Fitness Tracker"/>
    <n v="2"/>
    <n v="74.459999999999994"/>
    <n v="0.25"/>
    <x v="3"/>
    <n v="111.69"/>
    <n v="101.63"/>
    <n v="10.06"/>
    <n v="1"/>
    <n v="0"/>
    <n v="6"/>
    <n v="4"/>
  </r>
  <r>
    <s v="SW-104315"/>
    <d v="2025-09-22T00:00:00"/>
    <x v="1"/>
    <s v="Q3"/>
    <x v="8"/>
    <x v="0"/>
    <x v="3"/>
    <x v="1"/>
    <x v="0"/>
    <s v="Summer Dress"/>
    <n v="3"/>
    <n v="33.99"/>
    <n v="0"/>
    <x v="2"/>
    <n v="101.97"/>
    <n v="55.75"/>
    <n v="46.22"/>
    <n v="1"/>
    <n v="0"/>
    <n v="4"/>
    <n v="5"/>
  </r>
  <r>
    <s v="SW-104316"/>
    <d v="2025-09-23T00:00:00"/>
    <x v="1"/>
    <s v="Q3"/>
    <x v="8"/>
    <x v="0"/>
    <x v="4"/>
    <x v="0"/>
    <x v="3"/>
    <s v="Cycling Helmet"/>
    <n v="1"/>
    <n v="85.42"/>
    <n v="0"/>
    <x v="2"/>
    <n v="85.42"/>
    <n v="56.2"/>
    <n v="29.22"/>
    <n v="1"/>
    <n v="0"/>
    <n v="5"/>
    <n v="4"/>
  </r>
  <r>
    <s v="SW-104317"/>
    <d v="2025-09-23T00:00:00"/>
    <x v="1"/>
    <s v="Q3"/>
    <x v="8"/>
    <x v="1"/>
    <x v="4"/>
    <x v="1"/>
    <x v="4"/>
    <s v="Bluetooth Speaker"/>
    <n v="1"/>
    <n v="177.65"/>
    <n v="0.05"/>
    <x v="0"/>
    <n v="168.77"/>
    <n v="138.16999999999999"/>
    <n v="30.6"/>
    <n v="1"/>
    <n v="0"/>
    <n v="5"/>
    <n v="5"/>
  </r>
  <r>
    <s v="SW-104318"/>
    <d v="2025-09-23T00:00:00"/>
    <x v="1"/>
    <s v="Q3"/>
    <x v="8"/>
    <x v="1"/>
    <x v="2"/>
    <x v="0"/>
    <x v="1"/>
    <s v="Makeup Kit"/>
    <n v="1"/>
    <n v="74.3"/>
    <n v="0.2"/>
    <x v="1"/>
    <n v="59.44"/>
    <n v="35.65"/>
    <n v="23.79"/>
    <n v="1"/>
    <n v="0"/>
    <n v="3"/>
    <n v="3"/>
  </r>
  <r>
    <s v="SW-104319"/>
    <d v="2025-09-23T00:00:00"/>
    <x v="1"/>
    <s v="Q3"/>
    <x v="8"/>
    <x v="1"/>
    <x v="3"/>
    <x v="0"/>
    <x v="1"/>
    <s v="Face Serum"/>
    <n v="4"/>
    <n v="33.479999999999997"/>
    <n v="0.1"/>
    <x v="0"/>
    <n v="120.53"/>
    <n v="65.11"/>
    <n v="55.42"/>
    <n v="1"/>
    <n v="0"/>
    <n v="2"/>
    <n v="4"/>
  </r>
  <r>
    <s v="SW-104320"/>
    <d v="2025-09-23T00:00:00"/>
    <x v="1"/>
    <s v="Q3"/>
    <x v="8"/>
    <x v="1"/>
    <x v="0"/>
    <x v="1"/>
    <x v="0"/>
    <s v="Leather Handbag"/>
    <n v="1"/>
    <n v="138.5"/>
    <n v="0.05"/>
    <x v="0"/>
    <n v="131.57"/>
    <n v="75.37"/>
    <n v="56.2"/>
    <n v="1"/>
    <n v="0"/>
    <n v="5"/>
    <n v="5"/>
  </r>
  <r>
    <s v="SW-104321"/>
    <d v="2025-09-23T00:00:00"/>
    <x v="1"/>
    <s v="Q3"/>
    <x v="8"/>
    <x v="2"/>
    <x v="0"/>
    <x v="0"/>
    <x v="0"/>
    <s v="Sunglasses"/>
    <n v="1"/>
    <n v="104.94"/>
    <n v="0.05"/>
    <x v="0"/>
    <n v="99.69"/>
    <n v="57.15"/>
    <n v="42.54"/>
    <n v="1"/>
    <n v="0"/>
    <n v="3"/>
    <n v="5"/>
  </r>
  <r>
    <s v="SW-104322"/>
    <d v="2025-09-23T00:00:00"/>
    <x v="1"/>
    <s v="Q3"/>
    <x v="8"/>
    <x v="1"/>
    <x v="1"/>
    <x v="0"/>
    <x v="0"/>
    <s v="Summer Dress"/>
    <n v="1"/>
    <n v="33.99"/>
    <n v="0"/>
    <x v="2"/>
    <n v="33.99"/>
    <n v="17.829999999999998"/>
    <n v="16.16"/>
    <n v="1"/>
    <n v="0"/>
    <n v="7"/>
    <n v="4"/>
  </r>
  <r>
    <s v="SW-104323"/>
    <d v="2025-09-23T00:00:00"/>
    <x v="1"/>
    <s v="Q3"/>
    <x v="8"/>
    <x v="1"/>
    <x v="3"/>
    <x v="0"/>
    <x v="0"/>
    <s v="Cotton T-Shirt"/>
    <n v="1"/>
    <n v="19.41"/>
    <n v="0.15"/>
    <x v="1"/>
    <n v="16.5"/>
    <n v="10.29"/>
    <n v="6.21"/>
    <n v="1"/>
    <n v="1"/>
    <n v="4"/>
    <n v="3"/>
  </r>
  <r>
    <s v="SW-104324"/>
    <d v="2025-09-23T00:00:00"/>
    <x v="1"/>
    <s v="Q3"/>
    <x v="8"/>
    <x v="2"/>
    <x v="0"/>
    <x v="0"/>
    <x v="4"/>
    <s v="Tablet 10in"/>
    <n v="2"/>
    <n v="490.3"/>
    <n v="0.1"/>
    <x v="0"/>
    <n v="882.54"/>
    <n v="798.48"/>
    <n v="84.06"/>
    <n v="1"/>
    <n v="0"/>
    <n v="5"/>
    <n v="5"/>
  </r>
  <r>
    <s v="SW-104325"/>
    <d v="2025-09-23T00:00:00"/>
    <x v="1"/>
    <s v="Q3"/>
    <x v="8"/>
    <x v="0"/>
    <x v="2"/>
    <x v="0"/>
    <x v="3"/>
    <s v="Camping Tent"/>
    <n v="1"/>
    <n v="83.06"/>
    <n v="0.05"/>
    <x v="0"/>
    <n v="78.91"/>
    <n v="55.92"/>
    <n v="22.99"/>
    <n v="1"/>
    <n v="0"/>
    <n v="4"/>
    <n v="4"/>
  </r>
  <r>
    <s v="SW-104326"/>
    <d v="2025-09-24T00:00:00"/>
    <x v="1"/>
    <s v="Q3"/>
    <x v="8"/>
    <x v="1"/>
    <x v="3"/>
    <x v="0"/>
    <x v="0"/>
    <s v="Running Sneakers"/>
    <n v="3"/>
    <n v="94.85"/>
    <n v="0.05"/>
    <x v="0"/>
    <n v="270.32"/>
    <n v="159.28"/>
    <n v="111.04"/>
    <n v="1"/>
    <n v="0"/>
    <n v="4"/>
    <n v="5"/>
  </r>
  <r>
    <s v="SW-104327"/>
    <d v="2025-09-24T00:00:00"/>
    <x v="1"/>
    <s v="Q3"/>
    <x v="8"/>
    <x v="0"/>
    <x v="0"/>
    <x v="1"/>
    <x v="2"/>
    <s v="Bed Sheet Set"/>
    <n v="1"/>
    <n v="90.75"/>
    <n v="0"/>
    <x v="2"/>
    <n v="90.75"/>
    <n v="61.83"/>
    <n v="28.92"/>
    <n v="1"/>
    <n v="0"/>
    <n v="4"/>
    <n v="5"/>
  </r>
  <r>
    <s v="SW-104328"/>
    <d v="2025-09-24T00:00:00"/>
    <x v="1"/>
    <s v="Q3"/>
    <x v="8"/>
    <x v="0"/>
    <x v="3"/>
    <x v="1"/>
    <x v="0"/>
    <s v="Summer Dress"/>
    <n v="1"/>
    <n v="33.99"/>
    <n v="0.15"/>
    <x v="1"/>
    <n v="28.89"/>
    <n v="18.600000000000001"/>
    <n v="10.29"/>
    <n v="1"/>
    <n v="0"/>
    <n v="3"/>
    <n v="4"/>
  </r>
  <r>
    <s v="SW-104329"/>
    <d v="2025-09-24T00:00:00"/>
    <x v="1"/>
    <s v="Q3"/>
    <x v="8"/>
    <x v="0"/>
    <x v="0"/>
    <x v="1"/>
    <x v="3"/>
    <s v="Dumbbell Set"/>
    <n v="2"/>
    <n v="198.42"/>
    <n v="0.15"/>
    <x v="1"/>
    <n v="337.31"/>
    <n v="271.88"/>
    <n v="65.430000000000007"/>
    <n v="1"/>
    <n v="0"/>
    <n v="4"/>
    <n v="4"/>
  </r>
  <r>
    <s v="SW-104330"/>
    <d v="2025-09-24T00:00:00"/>
    <x v="1"/>
    <s v="Q3"/>
    <x v="8"/>
    <x v="0"/>
    <x v="3"/>
    <x v="0"/>
    <x v="3"/>
    <s v="Yoga Mat"/>
    <n v="1"/>
    <n v="137.05000000000001"/>
    <n v="0.05"/>
    <x v="0"/>
    <n v="130.19999999999999"/>
    <n v="93.88"/>
    <n v="36.32"/>
    <n v="1"/>
    <n v="0"/>
    <n v="3"/>
    <n v="5"/>
  </r>
  <r>
    <s v="SW-104331"/>
    <d v="2025-09-24T00:00:00"/>
    <x v="1"/>
    <s v="Q3"/>
    <x v="8"/>
    <x v="2"/>
    <x v="0"/>
    <x v="1"/>
    <x v="2"/>
    <s v="Storage Boxes"/>
    <n v="1"/>
    <n v="154.66"/>
    <n v="0.15"/>
    <x v="1"/>
    <n v="131.46"/>
    <n v="106.68"/>
    <n v="24.78"/>
    <n v="1"/>
    <n v="0"/>
    <n v="4"/>
    <n v="5"/>
  </r>
  <r>
    <s v="SW-104332"/>
    <d v="2025-09-25T00:00:00"/>
    <x v="1"/>
    <s v="Q3"/>
    <x v="8"/>
    <x v="1"/>
    <x v="2"/>
    <x v="1"/>
    <x v="0"/>
    <s v="Denim Jacket"/>
    <n v="1"/>
    <n v="78.510000000000005"/>
    <n v="0"/>
    <x v="2"/>
    <n v="78.510000000000005"/>
    <n v="40.28"/>
    <n v="38.229999999999997"/>
    <n v="1"/>
    <n v="0"/>
    <n v="6"/>
    <n v="3"/>
  </r>
  <r>
    <s v="SW-104333"/>
    <d v="2025-09-25T00:00:00"/>
    <x v="1"/>
    <s v="Q3"/>
    <x v="8"/>
    <x v="0"/>
    <x v="0"/>
    <x v="1"/>
    <x v="3"/>
    <s v="Cycling Helmet"/>
    <n v="1"/>
    <n v="85.42"/>
    <n v="0.1"/>
    <x v="0"/>
    <n v="76.88"/>
    <n v="56.75"/>
    <n v="20.13"/>
    <n v="1"/>
    <n v="0"/>
    <n v="3"/>
    <n v="3"/>
  </r>
  <r>
    <s v="SW-104334"/>
    <d v="2025-09-25T00:00:00"/>
    <x v="1"/>
    <s v="Q3"/>
    <x v="8"/>
    <x v="1"/>
    <x v="4"/>
    <x v="0"/>
    <x v="2"/>
    <s v="Coffee Maker"/>
    <n v="1"/>
    <n v="148.05000000000001"/>
    <n v="0"/>
    <x v="2"/>
    <n v="148.05000000000001"/>
    <n v="100.64"/>
    <n v="47.41"/>
    <n v="1"/>
    <n v="0"/>
    <n v="8"/>
    <n v="4"/>
  </r>
  <r>
    <s v="SW-104335"/>
    <d v="2025-09-25T00:00:00"/>
    <x v="1"/>
    <s v="Q3"/>
    <x v="8"/>
    <x v="1"/>
    <x v="3"/>
    <x v="1"/>
    <x v="3"/>
    <s v="Dumbbell Set"/>
    <n v="1"/>
    <n v="198.42"/>
    <n v="0.1"/>
    <x v="0"/>
    <n v="178.58"/>
    <n v="138.16"/>
    <n v="40.42"/>
    <n v="1"/>
    <n v="0"/>
    <n v="3"/>
    <n v="5"/>
  </r>
  <r>
    <s v="SW-104336"/>
    <d v="2025-09-25T00:00:00"/>
    <x v="1"/>
    <s v="Q3"/>
    <x v="8"/>
    <x v="2"/>
    <x v="1"/>
    <x v="1"/>
    <x v="2"/>
    <s v="Air Fryer"/>
    <n v="1"/>
    <n v="68.349999999999994"/>
    <n v="0"/>
    <x v="2"/>
    <n v="68.349999999999994"/>
    <n v="44.09"/>
    <n v="24.26"/>
    <n v="1"/>
    <n v="0"/>
    <n v="5"/>
    <n v="5"/>
  </r>
  <r>
    <s v="SW-104337"/>
    <d v="2025-09-25T00:00:00"/>
    <x v="1"/>
    <s v="Q3"/>
    <x v="8"/>
    <x v="2"/>
    <x v="4"/>
    <x v="0"/>
    <x v="5"/>
    <s v="Bestseller Novel"/>
    <n v="1"/>
    <n v="45.28"/>
    <n v="0"/>
    <x v="2"/>
    <n v="45.28"/>
    <n v="32.33"/>
    <n v="12.95"/>
    <n v="1"/>
    <n v="0"/>
    <n v="5"/>
    <n v="4"/>
  </r>
  <r>
    <s v="SW-104338"/>
    <d v="2025-09-26T00:00:00"/>
    <x v="1"/>
    <s v="Q3"/>
    <x v="8"/>
    <x v="1"/>
    <x v="1"/>
    <x v="1"/>
    <x v="2"/>
    <s v="Cookware Set"/>
    <n v="1"/>
    <n v="233.81"/>
    <n v="0.2"/>
    <x v="1"/>
    <n v="187.05"/>
    <n v="152.06"/>
    <n v="34.99"/>
    <n v="1"/>
    <n v="0"/>
    <n v="5"/>
    <n v="5"/>
  </r>
  <r>
    <s v="SW-104339"/>
    <d v="2025-09-26T00:00:00"/>
    <x v="1"/>
    <s v="Q3"/>
    <x v="8"/>
    <x v="1"/>
    <x v="0"/>
    <x v="0"/>
    <x v="4"/>
    <s v="Tablet 10in"/>
    <n v="1"/>
    <n v="490.3"/>
    <n v="0.05"/>
    <x v="0"/>
    <n v="465.78"/>
    <n v="387.17"/>
    <n v="78.61"/>
    <n v="1"/>
    <n v="0"/>
    <n v="6"/>
    <n v="4"/>
  </r>
  <r>
    <s v="SW-104340"/>
    <d v="2025-09-26T00:00:00"/>
    <x v="1"/>
    <s v="Q3"/>
    <x v="8"/>
    <x v="2"/>
    <x v="4"/>
    <x v="1"/>
    <x v="1"/>
    <s v="Perfume 100ml"/>
    <n v="2"/>
    <n v="54.56"/>
    <n v="0.15"/>
    <x v="1"/>
    <n v="92.75"/>
    <n v="55.08"/>
    <n v="37.67"/>
    <n v="1"/>
    <n v="0"/>
    <n v="7"/>
    <n v="4"/>
  </r>
  <r>
    <s v="SW-104341"/>
    <d v="2025-09-26T00:00:00"/>
    <x v="1"/>
    <s v="Q3"/>
    <x v="8"/>
    <x v="1"/>
    <x v="0"/>
    <x v="0"/>
    <x v="3"/>
    <s v="Dumbbell Set"/>
    <n v="2"/>
    <n v="198.42"/>
    <n v="0.05"/>
    <x v="0"/>
    <n v="377"/>
    <n v="276.42"/>
    <n v="100.58"/>
    <n v="1"/>
    <n v="0"/>
    <n v="5"/>
    <n v="5"/>
  </r>
  <r>
    <s v="SW-104342"/>
    <d v="2025-09-26T00:00:00"/>
    <x v="1"/>
    <s v="Q3"/>
    <x v="8"/>
    <x v="1"/>
    <x v="2"/>
    <x v="0"/>
    <x v="3"/>
    <s v="Yoga Mat"/>
    <n v="1"/>
    <n v="137.05000000000001"/>
    <n v="0.1"/>
    <x v="0"/>
    <n v="123.35"/>
    <n v="91.69"/>
    <n v="31.66"/>
    <n v="1"/>
    <n v="0"/>
    <n v="3"/>
    <n v="5"/>
  </r>
  <r>
    <s v="SW-104343"/>
    <d v="2025-09-26T00:00:00"/>
    <x v="1"/>
    <s v="Q3"/>
    <x v="8"/>
    <x v="0"/>
    <x v="0"/>
    <x v="1"/>
    <x v="5"/>
    <s v="Story Book Set"/>
    <n v="1"/>
    <n v="10.76"/>
    <n v="0"/>
    <x v="2"/>
    <n v="10.76"/>
    <n v="7.8"/>
    <n v="2.96"/>
    <n v="1"/>
    <n v="0"/>
    <n v="3"/>
    <n v="4"/>
  </r>
  <r>
    <s v="SW-104344"/>
    <d v="2025-09-26T00:00:00"/>
    <x v="1"/>
    <s v="Q3"/>
    <x v="8"/>
    <x v="0"/>
    <x v="0"/>
    <x v="0"/>
    <x v="4"/>
    <s v="Bluetooth Speaker"/>
    <n v="1"/>
    <n v="177.65"/>
    <n v="0"/>
    <x v="2"/>
    <n v="177.65"/>
    <n v="147.53"/>
    <n v="30.12"/>
    <n v="1"/>
    <n v="0"/>
    <n v="6"/>
    <n v="4"/>
  </r>
  <r>
    <s v="SW-104345"/>
    <d v="2025-09-26T00:00:00"/>
    <x v="1"/>
    <s v="Q3"/>
    <x v="8"/>
    <x v="0"/>
    <x v="3"/>
    <x v="0"/>
    <x v="4"/>
    <s v="4K Action Camera"/>
    <n v="1"/>
    <n v="636.09"/>
    <n v="0.2"/>
    <x v="1"/>
    <n v="508.87"/>
    <n v="493.36"/>
    <n v="15.51"/>
    <n v="1"/>
    <n v="0"/>
    <n v="2"/>
    <n v="4"/>
  </r>
  <r>
    <s v="SW-104346"/>
    <d v="2025-09-26T00:00:00"/>
    <x v="1"/>
    <s v="Q3"/>
    <x v="8"/>
    <x v="2"/>
    <x v="3"/>
    <x v="0"/>
    <x v="2"/>
    <s v="Desk Lamp"/>
    <n v="1"/>
    <n v="117.63"/>
    <n v="0.1"/>
    <x v="0"/>
    <n v="105.87"/>
    <n v="79.83"/>
    <n v="26.04"/>
    <n v="1"/>
    <n v="0"/>
    <n v="2"/>
    <n v="5"/>
  </r>
  <r>
    <s v="SW-104347"/>
    <d v="2025-09-26T00:00:00"/>
    <x v="1"/>
    <s v="Q3"/>
    <x v="8"/>
    <x v="2"/>
    <x v="4"/>
    <x v="1"/>
    <x v="2"/>
    <s v="Coffee Maker"/>
    <n v="1"/>
    <n v="148.05000000000001"/>
    <n v="0.1"/>
    <x v="0"/>
    <n v="133.24"/>
    <n v="98.07"/>
    <n v="35.17"/>
    <n v="1"/>
    <n v="0"/>
    <n v="5"/>
    <n v="5"/>
  </r>
  <r>
    <s v="SW-104348"/>
    <d v="2025-09-27T00:00:00"/>
    <x v="1"/>
    <s v="Q3"/>
    <x v="8"/>
    <x v="1"/>
    <x v="3"/>
    <x v="0"/>
    <x v="4"/>
    <s v="Smart Watch"/>
    <n v="1"/>
    <n v="216.08"/>
    <n v="0"/>
    <x v="2"/>
    <n v="216.08"/>
    <n v="170.28"/>
    <n v="45.8"/>
    <n v="1"/>
    <n v="0"/>
    <n v="2"/>
    <n v="4"/>
  </r>
  <r>
    <s v="SW-104349"/>
    <d v="2025-09-27T00:00:00"/>
    <x v="1"/>
    <s v="Q3"/>
    <x v="8"/>
    <x v="0"/>
    <x v="3"/>
    <x v="0"/>
    <x v="3"/>
    <s v="Camping Tent"/>
    <n v="1"/>
    <n v="83.06"/>
    <n v="0.15"/>
    <x v="1"/>
    <n v="70.599999999999994"/>
    <n v="58.45"/>
    <n v="12.15"/>
    <n v="1"/>
    <n v="0"/>
    <n v="5"/>
    <n v="5"/>
  </r>
  <r>
    <s v="SW-104350"/>
    <d v="2025-09-27T00:00:00"/>
    <x v="1"/>
    <s v="Q3"/>
    <x v="8"/>
    <x v="0"/>
    <x v="1"/>
    <x v="1"/>
    <x v="0"/>
    <s v="Sunglasses"/>
    <n v="1"/>
    <n v="104.94"/>
    <n v="0.05"/>
    <x v="0"/>
    <n v="99.69"/>
    <n v="55.49"/>
    <n v="44.2"/>
    <n v="1"/>
    <n v="0"/>
    <n v="6"/>
    <n v="5"/>
  </r>
  <r>
    <s v="SW-104351"/>
    <d v="2025-09-27T00:00:00"/>
    <x v="1"/>
    <s v="Q3"/>
    <x v="8"/>
    <x v="0"/>
    <x v="2"/>
    <x v="1"/>
    <x v="0"/>
    <s v="Summer Dress"/>
    <n v="1"/>
    <n v="33.99"/>
    <n v="0"/>
    <x v="2"/>
    <n v="33.99"/>
    <n v="18.239999999999998"/>
    <n v="15.75"/>
    <n v="1"/>
    <n v="0"/>
    <n v="4"/>
    <n v="4"/>
  </r>
  <r>
    <s v="SW-104352"/>
    <d v="2025-09-27T00:00:00"/>
    <x v="1"/>
    <s v="Q3"/>
    <x v="8"/>
    <x v="2"/>
    <x v="2"/>
    <x v="0"/>
    <x v="4"/>
    <s v="4K Action Camera"/>
    <n v="1"/>
    <n v="636.09"/>
    <n v="0.05"/>
    <x v="0"/>
    <n v="604.29"/>
    <n v="515.65"/>
    <n v="88.64"/>
    <n v="1"/>
    <n v="0"/>
    <n v="3"/>
    <n v="5"/>
  </r>
  <r>
    <s v="SW-104353"/>
    <d v="2025-09-27T00:00:00"/>
    <x v="1"/>
    <s v="Q3"/>
    <x v="8"/>
    <x v="0"/>
    <x v="0"/>
    <x v="1"/>
    <x v="4"/>
    <s v="Power Bank"/>
    <n v="3"/>
    <n v="508.8"/>
    <n v="0.1"/>
    <x v="0"/>
    <n v="1373.76"/>
    <n v="1205.1600000000001"/>
    <n v="168.6"/>
    <n v="1"/>
    <n v="0"/>
    <n v="4"/>
    <n v="4"/>
  </r>
  <r>
    <s v="SW-104354"/>
    <d v="2025-09-27T00:00:00"/>
    <x v="1"/>
    <s v="Q3"/>
    <x v="8"/>
    <x v="1"/>
    <x v="4"/>
    <x v="1"/>
    <x v="2"/>
    <s v="Coffee Maker"/>
    <n v="1"/>
    <n v="148.05000000000001"/>
    <n v="0.05"/>
    <x v="0"/>
    <n v="140.65"/>
    <n v="100.45"/>
    <n v="40.200000000000003"/>
    <n v="1"/>
    <n v="0"/>
    <n v="7"/>
    <n v="3"/>
  </r>
  <r>
    <s v="SW-104355"/>
    <d v="2025-09-27T00:00:00"/>
    <x v="1"/>
    <s v="Q3"/>
    <x v="8"/>
    <x v="1"/>
    <x v="3"/>
    <x v="1"/>
    <x v="4"/>
    <s v="Power Bank"/>
    <n v="1"/>
    <n v="508.8"/>
    <n v="0.2"/>
    <x v="1"/>
    <n v="407.04"/>
    <n v="397.52"/>
    <n v="9.52"/>
    <n v="1"/>
    <n v="0"/>
    <n v="2"/>
    <n v="4"/>
  </r>
  <r>
    <s v="SW-104356"/>
    <d v="2025-09-27T00:00:00"/>
    <x v="1"/>
    <s v="Q3"/>
    <x v="8"/>
    <x v="0"/>
    <x v="4"/>
    <x v="1"/>
    <x v="2"/>
    <s v="Storage Boxes"/>
    <n v="1"/>
    <n v="154.66"/>
    <n v="0"/>
    <x v="2"/>
    <n v="154.66"/>
    <n v="100.08"/>
    <n v="54.58"/>
    <n v="1"/>
    <n v="0"/>
    <n v="5"/>
    <n v="4"/>
  </r>
  <r>
    <s v="SW-104357"/>
    <d v="2025-09-27T00:00:00"/>
    <x v="1"/>
    <s v="Q3"/>
    <x v="8"/>
    <x v="2"/>
    <x v="0"/>
    <x v="1"/>
    <x v="5"/>
    <s v="Kids Puzzle"/>
    <n v="2"/>
    <n v="16.97"/>
    <n v="0"/>
    <x v="2"/>
    <n v="33.94"/>
    <n v="22.57"/>
    <n v="11.37"/>
    <n v="1"/>
    <n v="0"/>
    <n v="3"/>
    <n v="4"/>
  </r>
  <r>
    <s v="SW-104358"/>
    <d v="2025-09-27T00:00:00"/>
    <x v="1"/>
    <s v="Q3"/>
    <x v="8"/>
    <x v="2"/>
    <x v="3"/>
    <x v="1"/>
    <x v="1"/>
    <s v="Hair Dryer"/>
    <n v="1"/>
    <n v="33.18"/>
    <n v="0"/>
    <x v="2"/>
    <n v="33.18"/>
    <n v="15.26"/>
    <n v="17.920000000000002"/>
    <n v="1"/>
    <n v="0"/>
    <n v="3"/>
    <n v="5"/>
  </r>
  <r>
    <s v="SW-104359"/>
    <d v="2025-09-28T00:00:00"/>
    <x v="1"/>
    <s v="Q3"/>
    <x v="8"/>
    <x v="0"/>
    <x v="0"/>
    <x v="0"/>
    <x v="4"/>
    <s v="Smart Watch"/>
    <n v="1"/>
    <n v="216.08"/>
    <n v="0.05"/>
    <x v="0"/>
    <n v="205.28"/>
    <n v="168.09"/>
    <n v="37.19"/>
    <n v="1"/>
    <n v="0"/>
    <n v="3"/>
    <n v="5"/>
  </r>
  <r>
    <s v="SW-104360"/>
    <d v="2025-09-28T00:00:00"/>
    <x v="1"/>
    <s v="Q3"/>
    <x v="8"/>
    <x v="0"/>
    <x v="1"/>
    <x v="1"/>
    <x v="2"/>
    <s v="Desk Lamp"/>
    <n v="1"/>
    <n v="117.63"/>
    <n v="0.1"/>
    <x v="0"/>
    <n v="105.87"/>
    <n v="76.569999999999993"/>
    <n v="29.3"/>
    <n v="1"/>
    <n v="0"/>
    <n v="7"/>
    <n v="4"/>
  </r>
  <r>
    <s v="SW-104361"/>
    <d v="2025-09-28T00:00:00"/>
    <x v="1"/>
    <s v="Q3"/>
    <x v="8"/>
    <x v="2"/>
    <x v="1"/>
    <x v="1"/>
    <x v="3"/>
    <s v="Cycling Helmet"/>
    <n v="2"/>
    <n v="85.42"/>
    <n v="0"/>
    <x v="2"/>
    <n v="170.84"/>
    <n v="112.95"/>
    <n v="57.89"/>
    <n v="1"/>
    <n v="0"/>
    <n v="6"/>
    <n v="3"/>
  </r>
  <r>
    <s v="SW-104362"/>
    <d v="2025-09-28T00:00:00"/>
    <x v="1"/>
    <s v="Q3"/>
    <x v="8"/>
    <x v="1"/>
    <x v="2"/>
    <x v="1"/>
    <x v="4"/>
    <s v="Smart Watch"/>
    <n v="2"/>
    <n v="216.08"/>
    <n v="0.2"/>
    <x v="1"/>
    <n v="345.73"/>
    <n v="361.87"/>
    <n v="-16.14"/>
    <n v="1"/>
    <n v="0"/>
    <n v="4"/>
    <n v="5"/>
  </r>
  <r>
    <s v="SW-104363"/>
    <d v="2025-09-28T00:00:00"/>
    <x v="1"/>
    <s v="Q3"/>
    <x v="8"/>
    <x v="1"/>
    <x v="0"/>
    <x v="1"/>
    <x v="4"/>
    <s v="Smart Watch"/>
    <n v="1"/>
    <n v="216.08"/>
    <n v="0.05"/>
    <x v="0"/>
    <n v="205.28"/>
    <n v="176.94"/>
    <n v="28.34"/>
    <n v="1"/>
    <n v="0"/>
    <n v="6"/>
    <n v="3"/>
  </r>
  <r>
    <s v="SW-104364"/>
    <d v="2025-09-28T00:00:00"/>
    <x v="1"/>
    <s v="Q3"/>
    <x v="8"/>
    <x v="1"/>
    <x v="3"/>
    <x v="0"/>
    <x v="1"/>
    <s v="Hair Dryer"/>
    <n v="2"/>
    <n v="33.18"/>
    <n v="0.15"/>
    <x v="1"/>
    <n v="56.41"/>
    <n v="32.5"/>
    <n v="23.91"/>
    <n v="1"/>
    <n v="0"/>
    <n v="2"/>
    <n v="5"/>
  </r>
  <r>
    <s v="SW-104365"/>
    <d v="2025-09-28T00:00:00"/>
    <x v="1"/>
    <s v="Q3"/>
    <x v="8"/>
    <x v="0"/>
    <x v="3"/>
    <x v="0"/>
    <x v="1"/>
    <s v="Perfume 100ml"/>
    <n v="3"/>
    <n v="54.56"/>
    <n v="0.05"/>
    <x v="0"/>
    <n v="155.5"/>
    <n v="78.94"/>
    <n v="76.56"/>
    <n v="1"/>
    <n v="0"/>
    <n v="3"/>
    <n v="5"/>
  </r>
  <r>
    <s v="SW-104366"/>
    <d v="2025-09-28T00:00:00"/>
    <x v="1"/>
    <s v="Q3"/>
    <x v="8"/>
    <x v="2"/>
    <x v="1"/>
    <x v="1"/>
    <x v="2"/>
    <s v="Air Fryer"/>
    <n v="1"/>
    <n v="68.349999999999994"/>
    <n v="0"/>
    <x v="2"/>
    <n v="68.349999999999994"/>
    <n v="43.8"/>
    <n v="24.55"/>
    <n v="1"/>
    <n v="0"/>
    <n v="5"/>
    <n v="5"/>
  </r>
  <r>
    <s v="SW-104367"/>
    <d v="2025-09-29T00:00:00"/>
    <x v="1"/>
    <s v="Q3"/>
    <x v="8"/>
    <x v="1"/>
    <x v="3"/>
    <x v="1"/>
    <x v="4"/>
    <s v="Bluetooth Speaker"/>
    <n v="1"/>
    <n v="177.65"/>
    <n v="0.05"/>
    <x v="0"/>
    <n v="168.77"/>
    <n v="139.38"/>
    <n v="29.39"/>
    <n v="1"/>
    <n v="0"/>
    <n v="2"/>
    <n v="5"/>
  </r>
  <r>
    <s v="SW-104368"/>
    <d v="2025-09-29T00:00:00"/>
    <x v="1"/>
    <s v="Q3"/>
    <x v="8"/>
    <x v="0"/>
    <x v="0"/>
    <x v="0"/>
    <x v="4"/>
    <s v="4K Action Camera"/>
    <n v="1"/>
    <n v="636.09"/>
    <n v="0.1"/>
    <x v="0"/>
    <n v="572.48"/>
    <n v="515.05999999999995"/>
    <n v="57.42"/>
    <n v="1"/>
    <n v="0"/>
    <n v="4"/>
    <n v="4"/>
  </r>
  <r>
    <s v="SW-104369"/>
    <d v="2025-09-29T00:00:00"/>
    <x v="1"/>
    <s v="Q3"/>
    <x v="8"/>
    <x v="2"/>
    <x v="3"/>
    <x v="1"/>
    <x v="0"/>
    <s v="Sunglasses"/>
    <n v="2"/>
    <n v="104.94"/>
    <n v="0.05"/>
    <x v="0"/>
    <n v="199.39"/>
    <n v="115.82"/>
    <n v="83.57"/>
    <n v="1"/>
    <n v="0"/>
    <n v="2"/>
    <n v="5"/>
  </r>
  <r>
    <s v="SW-104370"/>
    <d v="2025-09-29T00:00:00"/>
    <x v="1"/>
    <s v="Q3"/>
    <x v="8"/>
    <x v="1"/>
    <x v="4"/>
    <x v="0"/>
    <x v="2"/>
    <s v="Air Fryer"/>
    <n v="1"/>
    <n v="68.349999999999994"/>
    <n v="0.3"/>
    <x v="3"/>
    <n v="47.84"/>
    <n v="43.98"/>
    <n v="3.86"/>
    <n v="1"/>
    <n v="0"/>
    <n v="6"/>
    <n v="2"/>
  </r>
  <r>
    <s v="SW-104371"/>
    <d v="2025-09-29T00:00:00"/>
    <x v="1"/>
    <s v="Q3"/>
    <x v="8"/>
    <x v="0"/>
    <x v="2"/>
    <x v="0"/>
    <x v="2"/>
    <s v="Cookware Set"/>
    <n v="1"/>
    <n v="233.81"/>
    <n v="0"/>
    <x v="2"/>
    <n v="233.81"/>
    <n v="153.13"/>
    <n v="80.680000000000007"/>
    <n v="1"/>
    <n v="0"/>
    <n v="3"/>
    <n v="5"/>
  </r>
  <r>
    <s v="SW-104372"/>
    <d v="2025-09-29T00:00:00"/>
    <x v="1"/>
    <s v="Q3"/>
    <x v="8"/>
    <x v="1"/>
    <x v="0"/>
    <x v="0"/>
    <x v="0"/>
    <s v="Leather Handbag"/>
    <n v="1"/>
    <n v="138.5"/>
    <n v="0.2"/>
    <x v="1"/>
    <n v="110.8"/>
    <n v="74.27"/>
    <n v="36.53"/>
    <n v="1"/>
    <n v="0"/>
    <n v="3"/>
    <n v="5"/>
  </r>
  <r>
    <s v="SW-104373"/>
    <d v="2025-09-29T00:00:00"/>
    <x v="1"/>
    <s v="Q3"/>
    <x v="8"/>
    <x v="0"/>
    <x v="3"/>
    <x v="0"/>
    <x v="3"/>
    <s v="Cycling Helmet"/>
    <n v="2"/>
    <n v="85.42"/>
    <n v="0.05"/>
    <x v="0"/>
    <n v="162.30000000000001"/>
    <n v="115.62"/>
    <n v="46.68"/>
    <n v="1"/>
    <n v="0"/>
    <n v="2"/>
    <n v="4"/>
  </r>
  <r>
    <s v="SW-104374"/>
    <d v="2025-09-29T00:00:00"/>
    <x v="1"/>
    <s v="Q3"/>
    <x v="8"/>
    <x v="2"/>
    <x v="1"/>
    <x v="0"/>
    <x v="3"/>
    <s v="Fitness Tracker"/>
    <n v="1"/>
    <n v="74.459999999999994"/>
    <n v="0.1"/>
    <x v="0"/>
    <n v="67.010000000000005"/>
    <n v="51.66"/>
    <n v="15.35"/>
    <n v="1"/>
    <n v="0"/>
    <n v="5"/>
    <n v="5"/>
  </r>
  <r>
    <s v="SW-104375"/>
    <d v="2025-09-29T00:00:00"/>
    <x v="1"/>
    <s v="Q3"/>
    <x v="8"/>
    <x v="0"/>
    <x v="0"/>
    <x v="1"/>
    <x v="1"/>
    <s v="Perfume 100ml"/>
    <n v="1"/>
    <n v="54.56"/>
    <n v="0.1"/>
    <x v="0"/>
    <n v="49.1"/>
    <n v="26.35"/>
    <n v="22.75"/>
    <n v="1"/>
    <n v="0"/>
    <n v="3"/>
    <n v="5"/>
  </r>
  <r>
    <s v="SW-104376"/>
    <d v="2025-09-29T00:00:00"/>
    <x v="1"/>
    <s v="Q3"/>
    <x v="8"/>
    <x v="2"/>
    <x v="1"/>
    <x v="1"/>
    <x v="4"/>
    <s v="Power Bank"/>
    <n v="1"/>
    <n v="508.8"/>
    <n v="0"/>
    <x v="2"/>
    <n v="508.8"/>
    <n v="395.56"/>
    <n v="113.24"/>
    <n v="1"/>
    <n v="1"/>
    <n v="7"/>
    <n v="3"/>
  </r>
  <r>
    <s v="SW-104377"/>
    <d v="2025-09-29T00:00:00"/>
    <x v="1"/>
    <s v="Q3"/>
    <x v="8"/>
    <x v="2"/>
    <x v="0"/>
    <x v="0"/>
    <x v="0"/>
    <s v="Denim Jacket"/>
    <n v="1"/>
    <n v="78.510000000000005"/>
    <n v="0.05"/>
    <x v="0"/>
    <n v="74.58"/>
    <n v="42.19"/>
    <n v="32.39"/>
    <n v="1"/>
    <n v="0"/>
    <n v="3"/>
    <n v="4"/>
  </r>
  <r>
    <s v="SW-104378"/>
    <d v="2025-09-29T00:00:00"/>
    <x v="1"/>
    <s v="Q3"/>
    <x v="8"/>
    <x v="1"/>
    <x v="3"/>
    <x v="0"/>
    <x v="2"/>
    <s v="Cookware Set"/>
    <n v="2"/>
    <n v="233.81"/>
    <n v="0"/>
    <x v="2"/>
    <n v="467.62"/>
    <n v="298.74"/>
    <n v="168.88"/>
    <n v="1"/>
    <n v="0"/>
    <n v="5"/>
    <n v="5"/>
  </r>
  <r>
    <s v="SW-104379"/>
    <d v="2025-09-29T00:00:00"/>
    <x v="1"/>
    <s v="Q3"/>
    <x v="8"/>
    <x v="0"/>
    <x v="0"/>
    <x v="0"/>
    <x v="0"/>
    <s v="Leather Handbag"/>
    <n v="1"/>
    <n v="138.5"/>
    <n v="0.1"/>
    <x v="0"/>
    <n v="124.65"/>
    <n v="76.790000000000006"/>
    <n v="47.86"/>
    <n v="1"/>
    <n v="1"/>
    <n v="3"/>
    <n v="4"/>
  </r>
  <r>
    <s v="SW-104380"/>
    <d v="2025-09-30T00:00:00"/>
    <x v="1"/>
    <s v="Q3"/>
    <x v="8"/>
    <x v="1"/>
    <x v="4"/>
    <x v="1"/>
    <x v="1"/>
    <s v="Perfume 100ml"/>
    <n v="4"/>
    <n v="54.56"/>
    <n v="0"/>
    <x v="2"/>
    <n v="218.24"/>
    <n v="106.37"/>
    <n v="111.87"/>
    <n v="1"/>
    <n v="0"/>
    <n v="6"/>
    <n v="4"/>
  </r>
  <r>
    <s v="SW-104381"/>
    <d v="2025-09-30T00:00:00"/>
    <x v="1"/>
    <s v="Q3"/>
    <x v="8"/>
    <x v="1"/>
    <x v="3"/>
    <x v="1"/>
    <x v="4"/>
    <s v="Smart Watch"/>
    <n v="3"/>
    <n v="216.08"/>
    <n v="0.05"/>
    <x v="0"/>
    <n v="615.83000000000004"/>
    <n v="533.54"/>
    <n v="82.29"/>
    <n v="1"/>
    <n v="0"/>
    <n v="4"/>
    <n v="4"/>
  </r>
  <r>
    <s v="SW-104382"/>
    <d v="2025-09-30T00:00:00"/>
    <x v="1"/>
    <s v="Q3"/>
    <x v="8"/>
    <x v="1"/>
    <x v="2"/>
    <x v="1"/>
    <x v="0"/>
    <s v="Sunglasses"/>
    <n v="1"/>
    <n v="104.94"/>
    <n v="0.1"/>
    <x v="0"/>
    <n v="94.45"/>
    <n v="58.13"/>
    <n v="36.32"/>
    <n v="1"/>
    <n v="0"/>
    <n v="4"/>
    <n v="5"/>
  </r>
  <r>
    <s v="SW-104383"/>
    <d v="2025-09-30T00:00:00"/>
    <x v="1"/>
    <s v="Q3"/>
    <x v="8"/>
    <x v="0"/>
    <x v="2"/>
    <x v="0"/>
    <x v="0"/>
    <s v="Denim Jacket"/>
    <n v="1"/>
    <n v="78.510000000000005"/>
    <n v="0.05"/>
    <x v="0"/>
    <n v="74.58"/>
    <n v="41.54"/>
    <n v="33.04"/>
    <n v="1"/>
    <n v="0"/>
    <n v="4"/>
    <n v="4"/>
  </r>
  <r>
    <s v="SW-104384"/>
    <d v="2025-09-30T00:00:00"/>
    <x v="1"/>
    <s v="Q3"/>
    <x v="8"/>
    <x v="1"/>
    <x v="4"/>
    <x v="1"/>
    <x v="5"/>
    <s v="Building Blocks"/>
    <n v="1"/>
    <n v="48.86"/>
    <n v="0.05"/>
    <x v="0"/>
    <n v="46.42"/>
    <n v="36.68"/>
    <n v="9.74"/>
    <n v="1"/>
    <n v="0"/>
    <n v="8"/>
    <n v="3"/>
  </r>
  <r>
    <s v="SW-104385"/>
    <d v="2025-09-30T00:00:00"/>
    <x v="1"/>
    <s v="Q3"/>
    <x v="8"/>
    <x v="1"/>
    <x v="0"/>
    <x v="0"/>
    <x v="3"/>
    <s v="Fitness Tracker"/>
    <n v="2"/>
    <n v="74.459999999999994"/>
    <n v="0"/>
    <x v="2"/>
    <n v="148.91999999999999"/>
    <n v="98.34"/>
    <n v="50.58"/>
    <n v="1"/>
    <n v="0"/>
    <n v="5"/>
    <n v="3"/>
  </r>
  <r>
    <s v="SW-104386"/>
    <d v="2025-09-30T00:00:00"/>
    <x v="1"/>
    <s v="Q3"/>
    <x v="8"/>
    <x v="2"/>
    <x v="3"/>
    <x v="1"/>
    <x v="0"/>
    <s v="Denim Jacket"/>
    <n v="2"/>
    <n v="78.510000000000005"/>
    <n v="0.1"/>
    <x v="0"/>
    <n v="141.32"/>
    <n v="86.32"/>
    <n v="55"/>
    <n v="1"/>
    <n v="0"/>
    <n v="5"/>
    <n v="4"/>
  </r>
  <r>
    <s v="SW-104387"/>
    <d v="2025-09-30T00:00:00"/>
    <x v="1"/>
    <s v="Q3"/>
    <x v="8"/>
    <x v="1"/>
    <x v="3"/>
    <x v="0"/>
    <x v="2"/>
    <s v="Coffee Maker"/>
    <n v="1"/>
    <n v="148.05000000000001"/>
    <n v="0.3"/>
    <x v="3"/>
    <n v="103.64"/>
    <n v="94.7"/>
    <n v="8.94"/>
    <n v="1"/>
    <n v="0"/>
    <n v="4"/>
    <n v="4"/>
  </r>
  <r>
    <s v="SW-104388"/>
    <d v="2025-09-30T00:00:00"/>
    <x v="1"/>
    <s v="Q3"/>
    <x v="8"/>
    <x v="1"/>
    <x v="2"/>
    <x v="1"/>
    <x v="2"/>
    <s v="Air Fryer"/>
    <n v="4"/>
    <n v="68.349999999999994"/>
    <n v="0.1"/>
    <x v="0"/>
    <n v="246.06"/>
    <n v="181.73"/>
    <n v="64.33"/>
    <n v="1"/>
    <n v="0"/>
    <n v="5"/>
    <n v="4"/>
  </r>
  <r>
    <s v="SW-104389"/>
    <d v="2025-09-30T00:00:00"/>
    <x v="1"/>
    <s v="Q3"/>
    <x v="8"/>
    <x v="0"/>
    <x v="1"/>
    <x v="1"/>
    <x v="0"/>
    <s v="Sunglasses"/>
    <n v="3"/>
    <n v="104.94"/>
    <n v="0.15"/>
    <x v="1"/>
    <n v="267.60000000000002"/>
    <n v="170.42"/>
    <n v="97.18"/>
    <n v="1"/>
    <n v="0"/>
    <n v="5"/>
    <n v="4"/>
  </r>
  <r>
    <s v="SW-104390"/>
    <d v="2025-10-01T00:00:00"/>
    <x v="1"/>
    <s v="Q4"/>
    <x v="9"/>
    <x v="0"/>
    <x v="1"/>
    <x v="1"/>
    <x v="3"/>
    <s v="Dumbbell Set"/>
    <n v="1"/>
    <n v="198.42"/>
    <n v="0.1"/>
    <x v="0"/>
    <n v="178.58"/>
    <n v="135.66"/>
    <n v="42.92"/>
    <n v="1"/>
    <n v="0"/>
    <n v="7"/>
    <n v="3"/>
  </r>
  <r>
    <s v="SW-104391"/>
    <d v="2025-10-01T00:00:00"/>
    <x v="1"/>
    <s v="Q4"/>
    <x v="9"/>
    <x v="1"/>
    <x v="3"/>
    <x v="0"/>
    <x v="4"/>
    <s v="Power Bank"/>
    <n v="2"/>
    <n v="508.8"/>
    <n v="0.1"/>
    <x v="0"/>
    <n v="915.84"/>
    <n v="799.04"/>
    <n v="116.8"/>
    <n v="1"/>
    <n v="0"/>
    <n v="3"/>
    <n v="4"/>
  </r>
  <r>
    <s v="SW-104392"/>
    <d v="2025-10-01T00:00:00"/>
    <x v="1"/>
    <s v="Q4"/>
    <x v="9"/>
    <x v="1"/>
    <x v="0"/>
    <x v="1"/>
    <x v="5"/>
    <s v="Story Book Set"/>
    <n v="3"/>
    <n v="10.76"/>
    <n v="0"/>
    <x v="2"/>
    <n v="32.28"/>
    <n v="23.43"/>
    <n v="8.85"/>
    <n v="1"/>
    <n v="0"/>
    <n v="4"/>
    <n v="5"/>
  </r>
  <r>
    <s v="SW-104393"/>
    <d v="2025-10-01T00:00:00"/>
    <x v="1"/>
    <s v="Q4"/>
    <x v="9"/>
    <x v="0"/>
    <x v="3"/>
    <x v="0"/>
    <x v="3"/>
    <s v="Dumbbell Set"/>
    <n v="1"/>
    <n v="198.42"/>
    <n v="0.15"/>
    <x v="1"/>
    <n v="168.66"/>
    <n v="131.08000000000001"/>
    <n v="37.58"/>
    <n v="1"/>
    <n v="1"/>
    <n v="4"/>
    <n v="3"/>
  </r>
  <r>
    <s v="SW-104394"/>
    <d v="2025-10-01T00:00:00"/>
    <x v="1"/>
    <s v="Q4"/>
    <x v="9"/>
    <x v="1"/>
    <x v="3"/>
    <x v="0"/>
    <x v="3"/>
    <s v="Dumbbell Set"/>
    <n v="1"/>
    <n v="198.42"/>
    <n v="0"/>
    <x v="2"/>
    <n v="198.42"/>
    <n v="138.59"/>
    <n v="59.83"/>
    <n v="1"/>
    <n v="0"/>
    <n v="2"/>
    <n v="4"/>
  </r>
  <r>
    <s v="SW-104395"/>
    <d v="2025-10-01T00:00:00"/>
    <x v="1"/>
    <s v="Q4"/>
    <x v="9"/>
    <x v="1"/>
    <x v="3"/>
    <x v="0"/>
    <x v="1"/>
    <s v="Makeup Kit"/>
    <n v="1"/>
    <n v="74.3"/>
    <n v="0.1"/>
    <x v="0"/>
    <n v="66.87"/>
    <n v="35.46"/>
    <n v="31.41"/>
    <n v="1"/>
    <n v="0"/>
    <n v="3"/>
    <n v="5"/>
  </r>
  <r>
    <s v="SW-104396"/>
    <d v="2025-10-01T00:00:00"/>
    <x v="1"/>
    <s v="Q4"/>
    <x v="9"/>
    <x v="0"/>
    <x v="0"/>
    <x v="0"/>
    <x v="2"/>
    <s v="Desk Lamp"/>
    <n v="1"/>
    <n v="117.63"/>
    <n v="0.05"/>
    <x v="0"/>
    <n v="111.75"/>
    <n v="75.02"/>
    <n v="36.729999999999997"/>
    <n v="1"/>
    <n v="0"/>
    <n v="4"/>
    <n v="5"/>
  </r>
  <r>
    <s v="SW-104397"/>
    <d v="2025-10-01T00:00:00"/>
    <x v="1"/>
    <s v="Q4"/>
    <x v="9"/>
    <x v="2"/>
    <x v="0"/>
    <x v="0"/>
    <x v="3"/>
    <s v="Fitness Tracker"/>
    <n v="2"/>
    <n v="74.459999999999994"/>
    <n v="0.25"/>
    <x v="3"/>
    <n v="111.69"/>
    <n v="105.06"/>
    <n v="6.63"/>
    <n v="1"/>
    <n v="0"/>
    <n v="3"/>
    <n v="3"/>
  </r>
  <r>
    <s v="SW-104398"/>
    <d v="2025-10-01T00:00:00"/>
    <x v="1"/>
    <s v="Q4"/>
    <x v="9"/>
    <x v="2"/>
    <x v="0"/>
    <x v="1"/>
    <x v="3"/>
    <s v="Cycling Helmet"/>
    <n v="1"/>
    <n v="85.42"/>
    <n v="0.05"/>
    <x v="0"/>
    <n v="81.150000000000006"/>
    <n v="58.83"/>
    <n v="22.32"/>
    <n v="1"/>
    <n v="0"/>
    <n v="4"/>
    <n v="5"/>
  </r>
  <r>
    <s v="SW-104399"/>
    <d v="2025-10-02T00:00:00"/>
    <x v="1"/>
    <s v="Q4"/>
    <x v="9"/>
    <x v="2"/>
    <x v="0"/>
    <x v="1"/>
    <x v="0"/>
    <s v="Cotton T-Shirt"/>
    <n v="1"/>
    <n v="19.41"/>
    <n v="0"/>
    <x v="2"/>
    <n v="19.41"/>
    <n v="10.46"/>
    <n v="8.9499999999999993"/>
    <n v="1"/>
    <n v="0"/>
    <n v="6"/>
    <n v="4"/>
  </r>
  <r>
    <s v="SW-104400"/>
    <d v="2025-10-02T00:00:00"/>
    <x v="1"/>
    <s v="Q4"/>
    <x v="9"/>
    <x v="1"/>
    <x v="2"/>
    <x v="1"/>
    <x v="0"/>
    <s v="Denim Jacket"/>
    <n v="4"/>
    <n v="78.510000000000005"/>
    <n v="0.05"/>
    <x v="0"/>
    <n v="298.33999999999997"/>
    <n v="162.72999999999999"/>
    <n v="135.61000000000001"/>
    <n v="1"/>
    <n v="0"/>
    <n v="4"/>
    <n v="4"/>
  </r>
  <r>
    <s v="SW-104401"/>
    <d v="2025-10-02T00:00:00"/>
    <x v="1"/>
    <s v="Q4"/>
    <x v="9"/>
    <x v="1"/>
    <x v="2"/>
    <x v="1"/>
    <x v="0"/>
    <s v="Denim Jacket"/>
    <n v="1"/>
    <n v="78.510000000000005"/>
    <n v="0"/>
    <x v="2"/>
    <n v="78.510000000000005"/>
    <n v="42.32"/>
    <n v="36.19"/>
    <n v="1"/>
    <n v="0"/>
    <n v="3"/>
    <n v="5"/>
  </r>
  <r>
    <s v="SW-104402"/>
    <d v="2025-10-02T00:00:00"/>
    <x v="1"/>
    <s v="Q4"/>
    <x v="9"/>
    <x v="1"/>
    <x v="3"/>
    <x v="0"/>
    <x v="3"/>
    <s v="Yoga Mat"/>
    <n v="1"/>
    <n v="137.05000000000001"/>
    <n v="0"/>
    <x v="2"/>
    <n v="137.05000000000001"/>
    <n v="90.19"/>
    <n v="46.86"/>
    <n v="1"/>
    <n v="0"/>
    <n v="2"/>
    <n v="5"/>
  </r>
  <r>
    <s v="SW-104403"/>
    <d v="2025-10-02T00:00:00"/>
    <x v="1"/>
    <s v="Q4"/>
    <x v="9"/>
    <x v="0"/>
    <x v="3"/>
    <x v="0"/>
    <x v="3"/>
    <s v="Yoga Mat"/>
    <n v="1"/>
    <n v="137.05000000000001"/>
    <n v="0"/>
    <x v="2"/>
    <n v="137.05000000000001"/>
    <n v="89.6"/>
    <n v="47.45"/>
    <n v="1"/>
    <n v="0"/>
    <n v="4"/>
    <n v="5"/>
  </r>
  <r>
    <s v="SW-104404"/>
    <d v="2025-10-03T00:00:00"/>
    <x v="1"/>
    <s v="Q4"/>
    <x v="9"/>
    <x v="0"/>
    <x v="2"/>
    <x v="1"/>
    <x v="3"/>
    <s v="Yoga Mat"/>
    <n v="1"/>
    <n v="137.05000000000001"/>
    <n v="0.05"/>
    <x v="0"/>
    <n v="130.19999999999999"/>
    <n v="88.97"/>
    <n v="41.23"/>
    <n v="1"/>
    <n v="0"/>
    <n v="3"/>
    <n v="3"/>
  </r>
  <r>
    <s v="SW-104405"/>
    <d v="2025-10-03T00:00:00"/>
    <x v="1"/>
    <s v="Q4"/>
    <x v="9"/>
    <x v="0"/>
    <x v="3"/>
    <x v="1"/>
    <x v="4"/>
    <s v="Smart Watch"/>
    <n v="1"/>
    <n v="216.08"/>
    <n v="0"/>
    <x v="2"/>
    <n v="216.08"/>
    <n v="176.56"/>
    <n v="39.520000000000003"/>
    <n v="1"/>
    <n v="0"/>
    <n v="3"/>
    <n v="3"/>
  </r>
  <r>
    <s v="SW-104406"/>
    <d v="2025-10-03T00:00:00"/>
    <x v="1"/>
    <s v="Q4"/>
    <x v="9"/>
    <x v="2"/>
    <x v="3"/>
    <x v="1"/>
    <x v="2"/>
    <s v="Bed Sheet Set"/>
    <n v="1"/>
    <n v="90.75"/>
    <n v="0.3"/>
    <x v="3"/>
    <n v="63.52"/>
    <n v="59.21"/>
    <n v="4.3099999999999996"/>
    <n v="1"/>
    <n v="0"/>
    <n v="3"/>
    <n v="5"/>
  </r>
  <r>
    <s v="SW-104407"/>
    <d v="2025-10-03T00:00:00"/>
    <x v="1"/>
    <s v="Q4"/>
    <x v="9"/>
    <x v="0"/>
    <x v="0"/>
    <x v="1"/>
    <x v="3"/>
    <s v="Fitness Tracker"/>
    <n v="1"/>
    <n v="74.459999999999994"/>
    <n v="0.25"/>
    <x v="3"/>
    <n v="55.84"/>
    <n v="49.53"/>
    <n v="6.31"/>
    <n v="1"/>
    <n v="0"/>
    <n v="5"/>
    <n v="4"/>
  </r>
  <r>
    <s v="SW-104408"/>
    <d v="2025-10-03T00:00:00"/>
    <x v="1"/>
    <s v="Q4"/>
    <x v="9"/>
    <x v="0"/>
    <x v="3"/>
    <x v="0"/>
    <x v="2"/>
    <s v="Storage Boxes"/>
    <n v="2"/>
    <n v="154.66"/>
    <n v="0"/>
    <x v="2"/>
    <n v="309.32"/>
    <n v="212.66"/>
    <n v="96.66"/>
    <n v="1"/>
    <n v="0"/>
    <n v="2"/>
    <n v="4"/>
  </r>
  <r>
    <s v="SW-104409"/>
    <d v="2025-10-03T00:00:00"/>
    <x v="1"/>
    <s v="Q4"/>
    <x v="9"/>
    <x v="1"/>
    <x v="3"/>
    <x v="0"/>
    <x v="2"/>
    <s v="Bed Sheet Set"/>
    <n v="2"/>
    <n v="90.75"/>
    <n v="0.25"/>
    <x v="3"/>
    <n v="136.12"/>
    <n v="121.76"/>
    <n v="14.36"/>
    <n v="1"/>
    <n v="0"/>
    <n v="2"/>
    <n v="5"/>
  </r>
  <r>
    <s v="SW-104410"/>
    <d v="2025-10-03T00:00:00"/>
    <x v="1"/>
    <s v="Q4"/>
    <x v="9"/>
    <x v="1"/>
    <x v="4"/>
    <x v="0"/>
    <x v="4"/>
    <s v="Power Bank"/>
    <n v="1"/>
    <n v="508.8"/>
    <n v="0"/>
    <x v="2"/>
    <n v="508.8"/>
    <n v="413.12"/>
    <n v="95.68"/>
    <n v="1"/>
    <n v="0"/>
    <n v="5"/>
    <n v="4"/>
  </r>
  <r>
    <s v="SW-104411"/>
    <d v="2025-10-04T00:00:00"/>
    <x v="1"/>
    <s v="Q4"/>
    <x v="9"/>
    <x v="1"/>
    <x v="0"/>
    <x v="0"/>
    <x v="4"/>
    <s v="Bluetooth Speaker"/>
    <n v="2"/>
    <n v="177.65"/>
    <n v="0"/>
    <x v="2"/>
    <n v="355.3"/>
    <n v="286.35000000000002"/>
    <n v="68.95"/>
    <n v="1"/>
    <n v="0"/>
    <n v="4"/>
    <n v="5"/>
  </r>
  <r>
    <s v="SW-104412"/>
    <d v="2025-10-04T00:00:00"/>
    <x v="1"/>
    <s v="Q4"/>
    <x v="9"/>
    <x v="1"/>
    <x v="1"/>
    <x v="0"/>
    <x v="4"/>
    <s v="4K Action Camera"/>
    <n v="2"/>
    <n v="636.09"/>
    <n v="0"/>
    <x v="2"/>
    <n v="1272.18"/>
    <n v="995.12"/>
    <n v="277.06"/>
    <n v="1"/>
    <n v="0"/>
    <n v="5"/>
    <n v="4"/>
  </r>
  <r>
    <s v="SW-104413"/>
    <d v="2025-10-04T00:00:00"/>
    <x v="1"/>
    <s v="Q4"/>
    <x v="9"/>
    <x v="1"/>
    <x v="1"/>
    <x v="0"/>
    <x v="4"/>
    <s v="Wireless Earbuds"/>
    <n v="1"/>
    <n v="588.41"/>
    <n v="0.2"/>
    <x v="1"/>
    <n v="470.73"/>
    <n v="487.81"/>
    <n v="-17.079999999999998"/>
    <n v="1"/>
    <n v="0"/>
    <n v="5"/>
    <n v="4"/>
  </r>
  <r>
    <s v="SW-104414"/>
    <d v="2025-10-04T00:00:00"/>
    <x v="1"/>
    <s v="Q4"/>
    <x v="9"/>
    <x v="1"/>
    <x v="0"/>
    <x v="0"/>
    <x v="2"/>
    <s v="Desk Lamp"/>
    <n v="1"/>
    <n v="117.63"/>
    <n v="0"/>
    <x v="2"/>
    <n v="117.63"/>
    <n v="76.83"/>
    <n v="40.799999999999997"/>
    <n v="1"/>
    <n v="0"/>
    <n v="4"/>
    <n v="4"/>
  </r>
  <r>
    <s v="SW-104415"/>
    <d v="2025-10-04T00:00:00"/>
    <x v="1"/>
    <s v="Q4"/>
    <x v="9"/>
    <x v="1"/>
    <x v="0"/>
    <x v="1"/>
    <x v="3"/>
    <s v="Fitness Tracker"/>
    <n v="1"/>
    <n v="74.459999999999994"/>
    <n v="0.05"/>
    <x v="0"/>
    <n v="70.739999999999995"/>
    <n v="50.11"/>
    <n v="20.63"/>
    <n v="1"/>
    <n v="0"/>
    <n v="7"/>
    <n v="3"/>
  </r>
  <r>
    <s v="SW-104416"/>
    <d v="2025-10-04T00:00:00"/>
    <x v="1"/>
    <s v="Q4"/>
    <x v="9"/>
    <x v="1"/>
    <x v="1"/>
    <x v="1"/>
    <x v="2"/>
    <s v="Storage Boxes"/>
    <n v="2"/>
    <n v="154.66"/>
    <n v="0.05"/>
    <x v="0"/>
    <n v="293.85000000000002"/>
    <n v="198.89"/>
    <n v="94.96"/>
    <n v="1"/>
    <n v="0"/>
    <n v="6"/>
    <n v="4"/>
  </r>
  <r>
    <s v="SW-104417"/>
    <d v="2025-10-04T00:00:00"/>
    <x v="1"/>
    <s v="Q4"/>
    <x v="9"/>
    <x v="1"/>
    <x v="0"/>
    <x v="0"/>
    <x v="2"/>
    <s v="Cookware Set"/>
    <n v="1"/>
    <n v="233.81"/>
    <n v="0.15"/>
    <x v="1"/>
    <n v="198.74"/>
    <n v="157.74"/>
    <n v="41"/>
    <n v="1"/>
    <n v="0"/>
    <n v="4"/>
    <n v="4"/>
  </r>
  <r>
    <s v="SW-104418"/>
    <d v="2025-10-05T00:00:00"/>
    <x v="1"/>
    <s v="Q4"/>
    <x v="9"/>
    <x v="1"/>
    <x v="3"/>
    <x v="1"/>
    <x v="3"/>
    <s v="Camping Tent"/>
    <n v="1"/>
    <n v="83.06"/>
    <n v="0"/>
    <x v="2"/>
    <n v="83.06"/>
    <n v="54.08"/>
    <n v="28.98"/>
    <n v="1"/>
    <n v="0"/>
    <n v="3"/>
    <n v="4"/>
  </r>
  <r>
    <s v="SW-104419"/>
    <d v="2025-10-05T00:00:00"/>
    <x v="1"/>
    <s v="Q4"/>
    <x v="9"/>
    <x v="1"/>
    <x v="3"/>
    <x v="0"/>
    <x v="3"/>
    <s v="Fitness Tracker"/>
    <n v="1"/>
    <n v="74.459999999999994"/>
    <n v="0"/>
    <x v="2"/>
    <n v="74.459999999999994"/>
    <n v="48.77"/>
    <n v="25.69"/>
    <n v="1"/>
    <n v="0"/>
    <n v="2"/>
    <n v="5"/>
  </r>
  <r>
    <s v="SW-104420"/>
    <d v="2025-10-05T00:00:00"/>
    <x v="1"/>
    <s v="Q4"/>
    <x v="9"/>
    <x v="2"/>
    <x v="0"/>
    <x v="0"/>
    <x v="5"/>
    <s v="Building Blocks"/>
    <n v="1"/>
    <n v="48.86"/>
    <n v="0.05"/>
    <x v="0"/>
    <n v="46.42"/>
    <n v="37.54"/>
    <n v="8.8800000000000008"/>
    <n v="1"/>
    <n v="0"/>
    <n v="3"/>
    <n v="5"/>
  </r>
  <r>
    <s v="SW-104421"/>
    <d v="2025-10-05T00:00:00"/>
    <x v="1"/>
    <s v="Q4"/>
    <x v="9"/>
    <x v="0"/>
    <x v="3"/>
    <x v="1"/>
    <x v="5"/>
    <s v="Board Game"/>
    <n v="2"/>
    <n v="57.92"/>
    <n v="0"/>
    <x v="2"/>
    <n v="115.84"/>
    <n v="82.51"/>
    <n v="33.33"/>
    <n v="1"/>
    <n v="0"/>
    <n v="2"/>
    <n v="5"/>
  </r>
  <r>
    <s v="SW-104422"/>
    <d v="2025-10-05T00:00:00"/>
    <x v="1"/>
    <s v="Q4"/>
    <x v="9"/>
    <x v="1"/>
    <x v="3"/>
    <x v="1"/>
    <x v="4"/>
    <s v="Tablet 10in"/>
    <n v="4"/>
    <n v="490.3"/>
    <n v="0"/>
    <x v="2"/>
    <n v="1961.2"/>
    <n v="1526.44"/>
    <n v="434.76"/>
    <n v="1"/>
    <n v="0"/>
    <n v="3"/>
    <n v="5"/>
  </r>
  <r>
    <s v="SW-104423"/>
    <d v="2025-10-05T00:00:00"/>
    <x v="1"/>
    <s v="Q4"/>
    <x v="9"/>
    <x v="1"/>
    <x v="3"/>
    <x v="0"/>
    <x v="0"/>
    <s v="Denim Jacket"/>
    <n v="1"/>
    <n v="78.510000000000005"/>
    <n v="0.1"/>
    <x v="0"/>
    <n v="70.66"/>
    <n v="42.31"/>
    <n v="28.35"/>
    <n v="1"/>
    <n v="0"/>
    <n v="2"/>
    <n v="4"/>
  </r>
  <r>
    <s v="SW-104424"/>
    <d v="2025-10-05T00:00:00"/>
    <x v="1"/>
    <s v="Q4"/>
    <x v="9"/>
    <x v="1"/>
    <x v="1"/>
    <x v="1"/>
    <x v="5"/>
    <s v="Story Book Set"/>
    <n v="1"/>
    <n v="10.76"/>
    <n v="0.1"/>
    <x v="0"/>
    <n v="9.68"/>
    <n v="7.62"/>
    <n v="2.06"/>
    <n v="1"/>
    <n v="0"/>
    <n v="5"/>
    <n v="4"/>
  </r>
  <r>
    <s v="SW-104425"/>
    <d v="2025-10-05T00:00:00"/>
    <x v="1"/>
    <s v="Q4"/>
    <x v="9"/>
    <x v="0"/>
    <x v="3"/>
    <x v="1"/>
    <x v="1"/>
    <s v="Perfume 100ml"/>
    <n v="1"/>
    <n v="54.56"/>
    <n v="0"/>
    <x v="2"/>
    <n v="54.56"/>
    <n v="25.71"/>
    <n v="28.85"/>
    <n v="1"/>
    <n v="0"/>
    <n v="3"/>
    <n v="5"/>
  </r>
  <r>
    <s v="SW-104426"/>
    <d v="2025-10-05T00:00:00"/>
    <x v="1"/>
    <s v="Q4"/>
    <x v="9"/>
    <x v="0"/>
    <x v="0"/>
    <x v="0"/>
    <x v="0"/>
    <s v="Running Sneakers"/>
    <n v="1"/>
    <n v="94.85"/>
    <n v="0.05"/>
    <x v="0"/>
    <n v="90.11"/>
    <n v="50.82"/>
    <n v="39.29"/>
    <n v="1"/>
    <n v="0"/>
    <n v="3"/>
    <n v="5"/>
  </r>
  <r>
    <s v="SW-104427"/>
    <d v="2025-10-05T00:00:00"/>
    <x v="1"/>
    <s v="Q4"/>
    <x v="9"/>
    <x v="1"/>
    <x v="4"/>
    <x v="1"/>
    <x v="1"/>
    <s v="Perfume 100ml"/>
    <n v="2"/>
    <n v="54.56"/>
    <n v="0"/>
    <x v="2"/>
    <n v="109.12"/>
    <n v="51.19"/>
    <n v="57.93"/>
    <n v="1"/>
    <n v="0"/>
    <n v="5"/>
    <n v="5"/>
  </r>
  <r>
    <s v="SW-104428"/>
    <d v="2025-10-05T00:00:00"/>
    <x v="1"/>
    <s v="Q4"/>
    <x v="9"/>
    <x v="0"/>
    <x v="2"/>
    <x v="0"/>
    <x v="2"/>
    <s v="Air Fryer"/>
    <n v="2"/>
    <n v="68.349999999999994"/>
    <n v="0"/>
    <x v="2"/>
    <n v="136.69999999999999"/>
    <n v="93.97"/>
    <n v="42.73"/>
    <n v="1"/>
    <n v="0"/>
    <n v="3"/>
    <n v="5"/>
  </r>
  <r>
    <s v="SW-104429"/>
    <d v="2025-10-05T00:00:00"/>
    <x v="1"/>
    <s v="Q4"/>
    <x v="9"/>
    <x v="0"/>
    <x v="1"/>
    <x v="1"/>
    <x v="5"/>
    <s v="Story Book Set"/>
    <n v="2"/>
    <n v="10.76"/>
    <n v="0.2"/>
    <x v="1"/>
    <n v="17.22"/>
    <n v="15.3"/>
    <n v="1.92"/>
    <n v="1"/>
    <n v="0"/>
    <n v="5"/>
    <n v="5"/>
  </r>
  <r>
    <s v="SW-104430"/>
    <d v="2025-10-05T00:00:00"/>
    <x v="1"/>
    <s v="Q4"/>
    <x v="9"/>
    <x v="0"/>
    <x v="3"/>
    <x v="1"/>
    <x v="4"/>
    <s v="Wireless Earbuds"/>
    <n v="1"/>
    <n v="588.41"/>
    <n v="0.15"/>
    <x v="1"/>
    <n v="500.15"/>
    <n v="468"/>
    <n v="32.15"/>
    <n v="1"/>
    <n v="0"/>
    <n v="6"/>
    <n v="3"/>
  </r>
  <r>
    <s v="SW-104431"/>
    <d v="2025-10-05T00:00:00"/>
    <x v="1"/>
    <s v="Q4"/>
    <x v="9"/>
    <x v="0"/>
    <x v="3"/>
    <x v="1"/>
    <x v="0"/>
    <s v="Leather Handbag"/>
    <n v="3"/>
    <n v="138.5"/>
    <n v="0"/>
    <x v="2"/>
    <n v="415.5"/>
    <n v="224.27"/>
    <n v="191.23"/>
    <n v="1"/>
    <n v="0"/>
    <n v="5"/>
    <n v="4"/>
  </r>
  <r>
    <s v="SW-104432"/>
    <d v="2025-10-06T00:00:00"/>
    <x v="1"/>
    <s v="Q4"/>
    <x v="9"/>
    <x v="2"/>
    <x v="3"/>
    <x v="1"/>
    <x v="1"/>
    <s v="Hair Dryer"/>
    <n v="1"/>
    <n v="33.18"/>
    <n v="0.15"/>
    <x v="1"/>
    <n v="28.2"/>
    <n v="15.91"/>
    <n v="12.29"/>
    <n v="1"/>
    <n v="1"/>
    <n v="2"/>
    <n v="4"/>
  </r>
  <r>
    <s v="SW-104433"/>
    <d v="2025-10-06T00:00:00"/>
    <x v="1"/>
    <s v="Q4"/>
    <x v="9"/>
    <x v="2"/>
    <x v="2"/>
    <x v="0"/>
    <x v="2"/>
    <s v="Bed Sheet Set"/>
    <n v="2"/>
    <n v="90.75"/>
    <n v="0"/>
    <x v="2"/>
    <n v="181.5"/>
    <n v="122.86"/>
    <n v="58.64"/>
    <n v="1"/>
    <n v="0"/>
    <n v="5"/>
    <n v="4"/>
  </r>
  <r>
    <s v="SW-104434"/>
    <d v="2025-10-06T00:00:00"/>
    <x v="1"/>
    <s v="Q4"/>
    <x v="9"/>
    <x v="1"/>
    <x v="0"/>
    <x v="1"/>
    <x v="4"/>
    <s v="Power Bank"/>
    <n v="2"/>
    <n v="508.8"/>
    <n v="0"/>
    <x v="2"/>
    <n v="1017.6"/>
    <n v="775.13"/>
    <n v="242.47"/>
    <n v="1"/>
    <n v="0"/>
    <n v="4"/>
    <n v="5"/>
  </r>
  <r>
    <s v="SW-104435"/>
    <d v="2025-10-06T00:00:00"/>
    <x v="1"/>
    <s v="Q4"/>
    <x v="9"/>
    <x v="0"/>
    <x v="3"/>
    <x v="0"/>
    <x v="2"/>
    <s v="Bed Sheet Set"/>
    <n v="1"/>
    <n v="90.75"/>
    <n v="0"/>
    <x v="2"/>
    <n v="90.75"/>
    <n v="59.68"/>
    <n v="31.07"/>
    <n v="1"/>
    <n v="0"/>
    <n v="2"/>
    <n v="4"/>
  </r>
  <r>
    <s v="SW-104436"/>
    <d v="2025-10-06T00:00:00"/>
    <x v="1"/>
    <s v="Q4"/>
    <x v="9"/>
    <x v="0"/>
    <x v="0"/>
    <x v="1"/>
    <x v="1"/>
    <s v="Makeup Kit"/>
    <n v="2"/>
    <n v="74.3"/>
    <n v="0.1"/>
    <x v="0"/>
    <n v="133.74"/>
    <n v="71.22"/>
    <n v="62.52"/>
    <n v="1"/>
    <n v="0"/>
    <n v="3"/>
    <n v="5"/>
  </r>
  <r>
    <s v="SW-104437"/>
    <d v="2025-10-06T00:00:00"/>
    <x v="1"/>
    <s v="Q4"/>
    <x v="9"/>
    <x v="0"/>
    <x v="3"/>
    <x v="1"/>
    <x v="5"/>
    <s v="Bestseller Novel"/>
    <n v="3"/>
    <n v="45.28"/>
    <n v="0.05"/>
    <x v="0"/>
    <n v="129.05000000000001"/>
    <n v="95.23"/>
    <n v="33.82"/>
    <n v="1"/>
    <n v="0"/>
    <n v="4"/>
    <n v="4"/>
  </r>
  <r>
    <s v="SW-104438"/>
    <d v="2025-10-07T00:00:00"/>
    <x v="1"/>
    <s v="Q4"/>
    <x v="9"/>
    <x v="1"/>
    <x v="3"/>
    <x v="1"/>
    <x v="1"/>
    <s v="Perfume 100ml"/>
    <n v="1"/>
    <n v="54.56"/>
    <n v="0.15"/>
    <x v="1"/>
    <n v="46.38"/>
    <n v="26.5"/>
    <n v="19.88"/>
    <n v="1"/>
    <n v="0"/>
    <n v="3"/>
    <n v="3"/>
  </r>
  <r>
    <s v="SW-104439"/>
    <d v="2025-10-07T00:00:00"/>
    <x v="1"/>
    <s v="Q4"/>
    <x v="9"/>
    <x v="1"/>
    <x v="0"/>
    <x v="1"/>
    <x v="3"/>
    <s v="Camping Tent"/>
    <n v="1"/>
    <n v="83.06"/>
    <n v="0.05"/>
    <x v="0"/>
    <n v="78.91"/>
    <n v="56.43"/>
    <n v="22.48"/>
    <n v="1"/>
    <n v="0"/>
    <n v="3"/>
    <n v="5"/>
  </r>
  <r>
    <s v="SW-104440"/>
    <d v="2025-10-07T00:00:00"/>
    <x v="1"/>
    <s v="Q4"/>
    <x v="9"/>
    <x v="1"/>
    <x v="0"/>
    <x v="0"/>
    <x v="5"/>
    <s v="Kids Puzzle"/>
    <n v="4"/>
    <n v="16.97"/>
    <n v="0.25"/>
    <x v="3"/>
    <n v="50.91"/>
    <n v="48.86"/>
    <n v="2.0499999999999998"/>
    <n v="1"/>
    <n v="0"/>
    <n v="5"/>
    <n v="5"/>
  </r>
  <r>
    <s v="SW-104441"/>
    <d v="2025-10-07T00:00:00"/>
    <x v="1"/>
    <s v="Q4"/>
    <x v="9"/>
    <x v="0"/>
    <x v="2"/>
    <x v="1"/>
    <x v="4"/>
    <s v="Smart Watch"/>
    <n v="1"/>
    <n v="216.08"/>
    <n v="0.3"/>
    <x v="3"/>
    <n v="151.26"/>
    <n v="176.88"/>
    <n v="-25.62"/>
    <n v="1"/>
    <n v="0"/>
    <n v="5"/>
    <n v="5"/>
  </r>
  <r>
    <s v="SW-104442"/>
    <d v="2025-10-07T00:00:00"/>
    <x v="1"/>
    <s v="Q4"/>
    <x v="9"/>
    <x v="0"/>
    <x v="1"/>
    <x v="1"/>
    <x v="0"/>
    <s v="Running Sneakers"/>
    <n v="1"/>
    <n v="94.85"/>
    <n v="0"/>
    <x v="2"/>
    <n v="94.85"/>
    <n v="50.27"/>
    <n v="44.58"/>
    <n v="1"/>
    <n v="0"/>
    <n v="5"/>
    <n v="5"/>
  </r>
  <r>
    <s v="SW-104443"/>
    <d v="2025-10-08T00:00:00"/>
    <x v="1"/>
    <s v="Q4"/>
    <x v="9"/>
    <x v="1"/>
    <x v="2"/>
    <x v="0"/>
    <x v="1"/>
    <s v="Makeup Kit"/>
    <n v="2"/>
    <n v="74.3"/>
    <n v="0.05"/>
    <x v="0"/>
    <n v="141.16999999999999"/>
    <n v="65.13"/>
    <n v="76.040000000000006"/>
    <n v="1"/>
    <n v="0"/>
    <n v="5"/>
    <n v="3"/>
  </r>
  <r>
    <s v="SW-104444"/>
    <d v="2025-10-08T00:00:00"/>
    <x v="1"/>
    <s v="Q4"/>
    <x v="9"/>
    <x v="1"/>
    <x v="2"/>
    <x v="1"/>
    <x v="4"/>
    <s v="Tablet 10in"/>
    <n v="1"/>
    <n v="490.3"/>
    <n v="0"/>
    <x v="2"/>
    <n v="490.3"/>
    <n v="393.85"/>
    <n v="96.45"/>
    <n v="1"/>
    <n v="0"/>
    <n v="3"/>
    <n v="4"/>
  </r>
  <r>
    <s v="SW-104445"/>
    <d v="2025-10-08T00:00:00"/>
    <x v="1"/>
    <s v="Q4"/>
    <x v="9"/>
    <x v="1"/>
    <x v="0"/>
    <x v="0"/>
    <x v="2"/>
    <s v="Coffee Maker"/>
    <n v="1"/>
    <n v="148.05000000000001"/>
    <n v="0.05"/>
    <x v="0"/>
    <n v="140.65"/>
    <n v="93"/>
    <n v="47.65"/>
    <n v="1"/>
    <n v="0"/>
    <n v="3"/>
    <n v="5"/>
  </r>
  <r>
    <s v="SW-104446"/>
    <d v="2025-10-08T00:00:00"/>
    <x v="1"/>
    <s v="Q4"/>
    <x v="9"/>
    <x v="1"/>
    <x v="3"/>
    <x v="0"/>
    <x v="5"/>
    <s v="Bestseller Novel"/>
    <n v="1"/>
    <n v="45.28"/>
    <n v="0.2"/>
    <x v="1"/>
    <n v="36.22"/>
    <n v="30.79"/>
    <n v="5.43"/>
    <n v="1"/>
    <n v="0"/>
    <n v="3"/>
    <n v="4"/>
  </r>
  <r>
    <s v="SW-104447"/>
    <d v="2025-10-08T00:00:00"/>
    <x v="1"/>
    <s v="Q4"/>
    <x v="9"/>
    <x v="1"/>
    <x v="3"/>
    <x v="1"/>
    <x v="1"/>
    <s v="Perfume 100ml"/>
    <n v="1"/>
    <n v="54.56"/>
    <n v="0.05"/>
    <x v="0"/>
    <n v="51.83"/>
    <n v="25.54"/>
    <n v="26.29"/>
    <n v="1"/>
    <n v="0"/>
    <n v="5"/>
    <n v="5"/>
  </r>
  <r>
    <s v="SW-104448"/>
    <d v="2025-10-08T00:00:00"/>
    <x v="1"/>
    <s v="Q4"/>
    <x v="9"/>
    <x v="0"/>
    <x v="0"/>
    <x v="0"/>
    <x v="4"/>
    <s v="4K Action Camera"/>
    <n v="1"/>
    <n v="636.09"/>
    <n v="0.15"/>
    <x v="1"/>
    <n v="540.67999999999995"/>
    <n v="514.16999999999996"/>
    <n v="26.51"/>
    <n v="1"/>
    <n v="0"/>
    <n v="4"/>
    <n v="4"/>
  </r>
  <r>
    <s v="SW-104449"/>
    <d v="2025-10-08T00:00:00"/>
    <x v="1"/>
    <s v="Q4"/>
    <x v="9"/>
    <x v="1"/>
    <x v="0"/>
    <x v="0"/>
    <x v="4"/>
    <s v="4K Action Camera"/>
    <n v="2"/>
    <n v="636.09"/>
    <n v="0.05"/>
    <x v="0"/>
    <n v="1208.57"/>
    <n v="994.98"/>
    <n v="213.59"/>
    <n v="1"/>
    <n v="0"/>
    <n v="5"/>
    <n v="4"/>
  </r>
  <r>
    <s v="SW-104450"/>
    <d v="2025-10-08T00:00:00"/>
    <x v="1"/>
    <s v="Q4"/>
    <x v="9"/>
    <x v="2"/>
    <x v="3"/>
    <x v="0"/>
    <x v="0"/>
    <s v="Leather Handbag"/>
    <n v="1"/>
    <n v="138.5"/>
    <n v="0.05"/>
    <x v="0"/>
    <n v="131.57"/>
    <n v="76.09"/>
    <n v="55.48"/>
    <n v="1"/>
    <n v="0"/>
    <n v="6"/>
    <n v="4"/>
  </r>
  <r>
    <s v="SW-104451"/>
    <d v="2025-10-08T00:00:00"/>
    <x v="1"/>
    <s v="Q4"/>
    <x v="9"/>
    <x v="0"/>
    <x v="2"/>
    <x v="1"/>
    <x v="2"/>
    <s v="Air Fryer"/>
    <n v="1"/>
    <n v="68.349999999999994"/>
    <n v="0.1"/>
    <x v="0"/>
    <n v="61.51"/>
    <n v="46.48"/>
    <n v="15.03"/>
    <n v="1"/>
    <n v="0"/>
    <n v="3"/>
    <n v="4"/>
  </r>
  <r>
    <s v="SW-104452"/>
    <d v="2025-10-08T00:00:00"/>
    <x v="1"/>
    <s v="Q4"/>
    <x v="9"/>
    <x v="1"/>
    <x v="0"/>
    <x v="1"/>
    <x v="4"/>
    <s v="Wireless Earbuds"/>
    <n v="1"/>
    <n v="588.41"/>
    <n v="0"/>
    <x v="2"/>
    <n v="588.41"/>
    <n v="453.41"/>
    <n v="135"/>
    <n v="1"/>
    <n v="0"/>
    <n v="4"/>
    <n v="5"/>
  </r>
  <r>
    <s v="SW-104453"/>
    <d v="2025-10-08T00:00:00"/>
    <x v="1"/>
    <s v="Q4"/>
    <x v="9"/>
    <x v="1"/>
    <x v="0"/>
    <x v="0"/>
    <x v="5"/>
    <s v="Bestseller Novel"/>
    <n v="1"/>
    <n v="45.28"/>
    <n v="0"/>
    <x v="2"/>
    <n v="45.28"/>
    <n v="32.14"/>
    <n v="13.14"/>
    <n v="1"/>
    <n v="0"/>
    <n v="4"/>
    <n v="4"/>
  </r>
  <r>
    <s v="SW-104454"/>
    <d v="2025-10-08T00:00:00"/>
    <x v="1"/>
    <s v="Q4"/>
    <x v="9"/>
    <x v="0"/>
    <x v="3"/>
    <x v="1"/>
    <x v="0"/>
    <s v="Sunglasses"/>
    <n v="3"/>
    <n v="104.94"/>
    <n v="0.15"/>
    <x v="1"/>
    <n v="267.60000000000002"/>
    <n v="166.34"/>
    <n v="101.26"/>
    <n v="1"/>
    <n v="0"/>
    <n v="3"/>
    <n v="3"/>
  </r>
  <r>
    <s v="SW-104455"/>
    <d v="2025-10-08T00:00:00"/>
    <x v="1"/>
    <s v="Q4"/>
    <x v="9"/>
    <x v="2"/>
    <x v="2"/>
    <x v="0"/>
    <x v="1"/>
    <s v="Hair Dryer"/>
    <n v="1"/>
    <n v="33.18"/>
    <n v="0.05"/>
    <x v="0"/>
    <n v="31.52"/>
    <n v="15.97"/>
    <n v="15.55"/>
    <n v="1"/>
    <n v="0"/>
    <n v="3"/>
    <n v="4"/>
  </r>
  <r>
    <s v="SW-104456"/>
    <d v="2025-10-08T00:00:00"/>
    <x v="1"/>
    <s v="Q4"/>
    <x v="9"/>
    <x v="2"/>
    <x v="1"/>
    <x v="1"/>
    <x v="0"/>
    <s v="Summer Dress"/>
    <n v="1"/>
    <n v="33.99"/>
    <n v="0.1"/>
    <x v="0"/>
    <n v="30.59"/>
    <n v="18.62"/>
    <n v="11.97"/>
    <n v="1"/>
    <n v="1"/>
    <n v="6"/>
    <n v="3"/>
  </r>
  <r>
    <s v="SW-104457"/>
    <d v="2025-10-08T00:00:00"/>
    <x v="1"/>
    <s v="Q4"/>
    <x v="9"/>
    <x v="1"/>
    <x v="3"/>
    <x v="0"/>
    <x v="0"/>
    <s v="Leather Handbag"/>
    <n v="3"/>
    <n v="138.5"/>
    <n v="0"/>
    <x v="2"/>
    <n v="415.5"/>
    <n v="230.56"/>
    <n v="184.94"/>
    <n v="1"/>
    <n v="0"/>
    <n v="2"/>
    <n v="5"/>
  </r>
  <r>
    <s v="SW-104458"/>
    <d v="2025-10-09T00:00:00"/>
    <x v="1"/>
    <s v="Q4"/>
    <x v="9"/>
    <x v="0"/>
    <x v="4"/>
    <x v="1"/>
    <x v="3"/>
    <s v="Cycling Helmet"/>
    <n v="1"/>
    <n v="85.42"/>
    <n v="0"/>
    <x v="2"/>
    <n v="85.42"/>
    <n v="58.76"/>
    <n v="26.66"/>
    <n v="1"/>
    <n v="0"/>
    <n v="5"/>
    <n v="4"/>
  </r>
  <r>
    <s v="SW-104459"/>
    <d v="2025-10-09T00:00:00"/>
    <x v="1"/>
    <s v="Q4"/>
    <x v="9"/>
    <x v="1"/>
    <x v="3"/>
    <x v="0"/>
    <x v="5"/>
    <s v="Building Blocks"/>
    <n v="1"/>
    <n v="48.86"/>
    <n v="0.1"/>
    <x v="0"/>
    <n v="43.97"/>
    <n v="35.4"/>
    <n v="8.57"/>
    <n v="1"/>
    <n v="0"/>
    <n v="4"/>
    <n v="4"/>
  </r>
  <r>
    <s v="SW-104460"/>
    <d v="2025-10-09T00:00:00"/>
    <x v="1"/>
    <s v="Q4"/>
    <x v="9"/>
    <x v="0"/>
    <x v="0"/>
    <x v="0"/>
    <x v="0"/>
    <s v="Cotton T-Shirt"/>
    <n v="1"/>
    <n v="19.41"/>
    <n v="0.15"/>
    <x v="1"/>
    <n v="16.5"/>
    <n v="10.11"/>
    <n v="6.39"/>
    <n v="1"/>
    <n v="0"/>
    <n v="5"/>
    <n v="5"/>
  </r>
  <r>
    <s v="SW-104461"/>
    <d v="2025-10-09T00:00:00"/>
    <x v="1"/>
    <s v="Q4"/>
    <x v="9"/>
    <x v="0"/>
    <x v="2"/>
    <x v="1"/>
    <x v="0"/>
    <s v="Cotton T-Shirt"/>
    <n v="1"/>
    <n v="19.41"/>
    <n v="0.05"/>
    <x v="0"/>
    <n v="18.440000000000001"/>
    <n v="10.17"/>
    <n v="8.27"/>
    <n v="1"/>
    <n v="1"/>
    <n v="4"/>
    <n v="3"/>
  </r>
  <r>
    <s v="SW-104462"/>
    <d v="2025-10-09T00:00:00"/>
    <x v="1"/>
    <s v="Q4"/>
    <x v="9"/>
    <x v="1"/>
    <x v="3"/>
    <x v="1"/>
    <x v="0"/>
    <s v="Leather Handbag"/>
    <n v="1"/>
    <n v="138.5"/>
    <n v="0.05"/>
    <x v="0"/>
    <n v="131.57"/>
    <n v="74.09"/>
    <n v="57.48"/>
    <n v="1"/>
    <n v="0"/>
    <n v="2"/>
    <n v="4"/>
  </r>
  <r>
    <s v="SW-104463"/>
    <d v="2025-10-09T00:00:00"/>
    <x v="1"/>
    <s v="Q4"/>
    <x v="9"/>
    <x v="1"/>
    <x v="3"/>
    <x v="1"/>
    <x v="1"/>
    <s v="Skin Care Bundle"/>
    <n v="2"/>
    <n v="92.54"/>
    <n v="0.05"/>
    <x v="0"/>
    <n v="175.83"/>
    <n v="87.16"/>
    <n v="88.67"/>
    <n v="1"/>
    <n v="0"/>
    <n v="3"/>
    <n v="4"/>
  </r>
  <r>
    <s v="SW-104464"/>
    <d v="2025-10-09T00:00:00"/>
    <x v="1"/>
    <s v="Q4"/>
    <x v="9"/>
    <x v="1"/>
    <x v="2"/>
    <x v="1"/>
    <x v="3"/>
    <s v="Fitness Tracker"/>
    <n v="1"/>
    <n v="74.459999999999994"/>
    <n v="0"/>
    <x v="2"/>
    <n v="74.459999999999994"/>
    <n v="48.86"/>
    <n v="25.6"/>
    <n v="1"/>
    <n v="0"/>
    <n v="3"/>
    <n v="4"/>
  </r>
  <r>
    <s v="SW-104465"/>
    <d v="2025-10-09T00:00:00"/>
    <x v="1"/>
    <s v="Q4"/>
    <x v="9"/>
    <x v="1"/>
    <x v="0"/>
    <x v="0"/>
    <x v="3"/>
    <s v="Cycling Helmet"/>
    <n v="1"/>
    <n v="85.42"/>
    <n v="0"/>
    <x v="2"/>
    <n v="85.42"/>
    <n v="54.21"/>
    <n v="31.21"/>
    <n v="1"/>
    <n v="0"/>
    <n v="3"/>
    <n v="5"/>
  </r>
  <r>
    <s v="SW-104466"/>
    <d v="2025-10-09T00:00:00"/>
    <x v="1"/>
    <s v="Q4"/>
    <x v="9"/>
    <x v="1"/>
    <x v="0"/>
    <x v="0"/>
    <x v="3"/>
    <s v="Dumbbell Set"/>
    <n v="1"/>
    <n v="198.42"/>
    <n v="0"/>
    <x v="2"/>
    <n v="198.42"/>
    <n v="133.71"/>
    <n v="64.709999999999994"/>
    <n v="1"/>
    <n v="0"/>
    <n v="4"/>
    <n v="3"/>
  </r>
  <r>
    <s v="SW-104467"/>
    <d v="2025-10-09T00:00:00"/>
    <x v="1"/>
    <s v="Q4"/>
    <x v="9"/>
    <x v="1"/>
    <x v="0"/>
    <x v="1"/>
    <x v="5"/>
    <s v="Building Blocks"/>
    <n v="1"/>
    <n v="48.86"/>
    <n v="0.15"/>
    <x v="1"/>
    <n v="41.53"/>
    <n v="33.79"/>
    <n v="7.74"/>
    <n v="1"/>
    <n v="0"/>
    <n v="4"/>
    <n v="4"/>
  </r>
  <r>
    <s v="SW-104468"/>
    <d v="2025-10-10T00:00:00"/>
    <x v="1"/>
    <s v="Q4"/>
    <x v="9"/>
    <x v="0"/>
    <x v="0"/>
    <x v="1"/>
    <x v="4"/>
    <s v="Bluetooth Speaker"/>
    <n v="2"/>
    <n v="177.65"/>
    <n v="0.1"/>
    <x v="0"/>
    <n v="319.77"/>
    <n v="298.5"/>
    <n v="21.27"/>
    <n v="1"/>
    <n v="0"/>
    <n v="7"/>
    <n v="3"/>
  </r>
  <r>
    <s v="SW-104469"/>
    <d v="2025-10-10T00:00:00"/>
    <x v="1"/>
    <s v="Q4"/>
    <x v="9"/>
    <x v="0"/>
    <x v="0"/>
    <x v="0"/>
    <x v="3"/>
    <s v="Dumbbell Set"/>
    <n v="1"/>
    <n v="198.42"/>
    <n v="0.15"/>
    <x v="1"/>
    <n v="168.66"/>
    <n v="132.18"/>
    <n v="36.479999999999997"/>
    <n v="1"/>
    <n v="0"/>
    <n v="4"/>
    <n v="4"/>
  </r>
  <r>
    <s v="SW-104470"/>
    <d v="2025-10-10T00:00:00"/>
    <x v="1"/>
    <s v="Q4"/>
    <x v="9"/>
    <x v="2"/>
    <x v="3"/>
    <x v="1"/>
    <x v="4"/>
    <s v="Bluetooth Speaker"/>
    <n v="1"/>
    <n v="177.65"/>
    <n v="0.2"/>
    <x v="1"/>
    <n v="142.12"/>
    <n v="150.28"/>
    <n v="-8.16"/>
    <n v="1"/>
    <n v="0"/>
    <n v="3"/>
    <n v="4"/>
  </r>
  <r>
    <s v="SW-104471"/>
    <d v="2025-10-10T00:00:00"/>
    <x v="1"/>
    <s v="Q4"/>
    <x v="9"/>
    <x v="0"/>
    <x v="3"/>
    <x v="1"/>
    <x v="4"/>
    <s v="4K Action Camera"/>
    <n v="2"/>
    <n v="636.09"/>
    <n v="0.1"/>
    <x v="0"/>
    <n v="1144.96"/>
    <n v="1031.9100000000001"/>
    <n v="113.05"/>
    <n v="1"/>
    <n v="0"/>
    <n v="3"/>
    <n v="5"/>
  </r>
  <r>
    <s v="SW-104472"/>
    <d v="2025-10-10T00:00:00"/>
    <x v="1"/>
    <s v="Q4"/>
    <x v="9"/>
    <x v="0"/>
    <x v="3"/>
    <x v="1"/>
    <x v="2"/>
    <s v="Cookware Set"/>
    <n v="1"/>
    <n v="233.81"/>
    <n v="0"/>
    <x v="2"/>
    <n v="233.81"/>
    <n v="149.11000000000001"/>
    <n v="84.7"/>
    <n v="1"/>
    <n v="0"/>
    <n v="2"/>
    <n v="5"/>
  </r>
  <r>
    <s v="SW-104473"/>
    <d v="2025-10-10T00:00:00"/>
    <x v="1"/>
    <s v="Q4"/>
    <x v="9"/>
    <x v="2"/>
    <x v="4"/>
    <x v="1"/>
    <x v="2"/>
    <s v="Cookware Set"/>
    <n v="1"/>
    <n v="233.81"/>
    <n v="0.05"/>
    <x v="0"/>
    <n v="222.12"/>
    <n v="151.91"/>
    <n v="70.209999999999994"/>
    <n v="1"/>
    <n v="0"/>
    <n v="5"/>
    <n v="4"/>
  </r>
  <r>
    <s v="SW-104474"/>
    <d v="2025-10-11T00:00:00"/>
    <x v="1"/>
    <s v="Q4"/>
    <x v="9"/>
    <x v="1"/>
    <x v="2"/>
    <x v="1"/>
    <x v="4"/>
    <s v="Smart Watch"/>
    <n v="2"/>
    <n v="216.08"/>
    <n v="0.25"/>
    <x v="3"/>
    <n v="324.12"/>
    <n v="322.67"/>
    <n v="1.45"/>
    <n v="1"/>
    <n v="0"/>
    <n v="7"/>
    <n v="3"/>
  </r>
  <r>
    <s v="SW-104475"/>
    <d v="2025-10-11T00:00:00"/>
    <x v="1"/>
    <s v="Q4"/>
    <x v="9"/>
    <x v="2"/>
    <x v="2"/>
    <x v="1"/>
    <x v="2"/>
    <s v="Air Fryer"/>
    <n v="1"/>
    <n v="68.349999999999994"/>
    <n v="0.05"/>
    <x v="0"/>
    <n v="64.930000000000007"/>
    <n v="44.82"/>
    <n v="20.11"/>
    <n v="1"/>
    <n v="1"/>
    <n v="3"/>
    <n v="3"/>
  </r>
  <r>
    <s v="SW-104476"/>
    <d v="2025-10-11T00:00:00"/>
    <x v="1"/>
    <s v="Q4"/>
    <x v="9"/>
    <x v="1"/>
    <x v="3"/>
    <x v="0"/>
    <x v="0"/>
    <s v="Sunglasses"/>
    <n v="1"/>
    <n v="104.94"/>
    <n v="0.2"/>
    <x v="1"/>
    <n v="83.95"/>
    <n v="55.82"/>
    <n v="28.13"/>
    <n v="1"/>
    <n v="0"/>
    <n v="2"/>
    <n v="5"/>
  </r>
  <r>
    <s v="SW-104477"/>
    <d v="2025-10-11T00:00:00"/>
    <x v="1"/>
    <s v="Q4"/>
    <x v="9"/>
    <x v="1"/>
    <x v="4"/>
    <x v="0"/>
    <x v="0"/>
    <s v="Leather Handbag"/>
    <n v="3"/>
    <n v="138.5"/>
    <n v="0"/>
    <x v="2"/>
    <n v="415.5"/>
    <n v="227.07"/>
    <n v="188.43"/>
    <n v="1"/>
    <n v="0"/>
    <n v="5"/>
    <n v="5"/>
  </r>
  <r>
    <s v="SW-104478"/>
    <d v="2025-10-12T00:00:00"/>
    <x v="1"/>
    <s v="Q4"/>
    <x v="9"/>
    <x v="2"/>
    <x v="4"/>
    <x v="0"/>
    <x v="0"/>
    <s v="Sunglasses"/>
    <n v="2"/>
    <n v="104.94"/>
    <n v="0.05"/>
    <x v="0"/>
    <n v="199.39"/>
    <n v="110.21"/>
    <n v="89.18"/>
    <n v="1"/>
    <n v="0"/>
    <n v="7"/>
    <n v="3"/>
  </r>
  <r>
    <s v="SW-104479"/>
    <d v="2025-10-12T00:00:00"/>
    <x v="1"/>
    <s v="Q4"/>
    <x v="9"/>
    <x v="1"/>
    <x v="1"/>
    <x v="1"/>
    <x v="3"/>
    <s v="Cycling Helmet"/>
    <n v="1"/>
    <n v="85.42"/>
    <n v="0.05"/>
    <x v="0"/>
    <n v="81.150000000000006"/>
    <n v="59.8"/>
    <n v="21.35"/>
    <n v="1"/>
    <n v="0"/>
    <n v="6"/>
    <n v="4"/>
  </r>
  <r>
    <s v="SW-104480"/>
    <d v="2025-10-12T00:00:00"/>
    <x v="1"/>
    <s v="Q4"/>
    <x v="9"/>
    <x v="1"/>
    <x v="4"/>
    <x v="0"/>
    <x v="1"/>
    <s v="Perfume 100ml"/>
    <n v="1"/>
    <n v="54.56"/>
    <n v="0.15"/>
    <x v="1"/>
    <n v="46.38"/>
    <n v="26.82"/>
    <n v="19.559999999999999"/>
    <n v="1"/>
    <n v="0"/>
    <n v="6"/>
    <n v="3"/>
  </r>
  <r>
    <s v="SW-104481"/>
    <d v="2025-10-12T00:00:00"/>
    <x v="1"/>
    <s v="Q4"/>
    <x v="9"/>
    <x v="0"/>
    <x v="3"/>
    <x v="1"/>
    <x v="4"/>
    <s v="Smart Watch"/>
    <n v="2"/>
    <n v="216.08"/>
    <n v="0.1"/>
    <x v="0"/>
    <n v="388.94"/>
    <n v="361.45"/>
    <n v="27.49"/>
    <n v="1"/>
    <n v="0"/>
    <n v="4"/>
    <n v="5"/>
  </r>
  <r>
    <s v="SW-104482"/>
    <d v="2025-10-12T00:00:00"/>
    <x v="1"/>
    <s v="Q4"/>
    <x v="9"/>
    <x v="1"/>
    <x v="3"/>
    <x v="0"/>
    <x v="0"/>
    <s v="Sunglasses"/>
    <n v="3"/>
    <n v="104.94"/>
    <n v="0"/>
    <x v="2"/>
    <n v="314.82"/>
    <n v="172.04"/>
    <n v="142.78"/>
    <n v="1"/>
    <n v="0"/>
    <n v="3"/>
    <n v="5"/>
  </r>
  <r>
    <s v="SW-104483"/>
    <d v="2025-10-12T00:00:00"/>
    <x v="1"/>
    <s v="Q4"/>
    <x v="9"/>
    <x v="0"/>
    <x v="3"/>
    <x v="0"/>
    <x v="4"/>
    <s v="Wireless Earbuds"/>
    <n v="2"/>
    <n v="588.41"/>
    <n v="0.05"/>
    <x v="0"/>
    <n v="1117.98"/>
    <n v="935.17"/>
    <n v="182.81"/>
    <n v="1"/>
    <n v="0"/>
    <n v="4"/>
    <n v="3"/>
  </r>
  <r>
    <s v="SW-104484"/>
    <d v="2025-10-12T00:00:00"/>
    <x v="1"/>
    <s v="Q4"/>
    <x v="9"/>
    <x v="1"/>
    <x v="1"/>
    <x v="1"/>
    <x v="4"/>
    <s v="Wireless Earbuds"/>
    <n v="2"/>
    <n v="588.41"/>
    <n v="0.2"/>
    <x v="1"/>
    <n v="941.46"/>
    <n v="922.9"/>
    <n v="18.559999999999999"/>
    <n v="1"/>
    <n v="0"/>
    <n v="5"/>
    <n v="4"/>
  </r>
  <r>
    <s v="SW-104485"/>
    <d v="2025-10-12T00:00:00"/>
    <x v="1"/>
    <s v="Q4"/>
    <x v="9"/>
    <x v="0"/>
    <x v="2"/>
    <x v="1"/>
    <x v="2"/>
    <s v="Desk Lamp"/>
    <n v="1"/>
    <n v="117.63"/>
    <n v="0.2"/>
    <x v="1"/>
    <n v="94.1"/>
    <n v="76.86"/>
    <n v="17.239999999999998"/>
    <n v="1"/>
    <n v="0"/>
    <n v="3"/>
    <n v="5"/>
  </r>
  <r>
    <s v="SW-104486"/>
    <d v="2025-10-13T00:00:00"/>
    <x v="1"/>
    <s v="Q4"/>
    <x v="9"/>
    <x v="0"/>
    <x v="3"/>
    <x v="1"/>
    <x v="0"/>
    <s v="Leather Handbag"/>
    <n v="1"/>
    <n v="138.5"/>
    <n v="0"/>
    <x v="2"/>
    <n v="138.5"/>
    <n v="73.7"/>
    <n v="64.8"/>
    <n v="1"/>
    <n v="0"/>
    <n v="4"/>
    <n v="3"/>
  </r>
  <r>
    <s v="SW-104487"/>
    <d v="2025-10-13T00:00:00"/>
    <x v="1"/>
    <s v="Q4"/>
    <x v="9"/>
    <x v="1"/>
    <x v="0"/>
    <x v="1"/>
    <x v="4"/>
    <s v="Power Bank"/>
    <n v="1"/>
    <n v="508.8"/>
    <n v="0.15"/>
    <x v="1"/>
    <n v="432.48"/>
    <n v="394.92"/>
    <n v="37.56"/>
    <n v="1"/>
    <n v="0"/>
    <n v="3"/>
    <n v="4"/>
  </r>
  <r>
    <s v="SW-104488"/>
    <d v="2025-10-13T00:00:00"/>
    <x v="1"/>
    <s v="Q4"/>
    <x v="9"/>
    <x v="1"/>
    <x v="4"/>
    <x v="1"/>
    <x v="5"/>
    <s v="Story Book Set"/>
    <n v="1"/>
    <n v="10.76"/>
    <n v="0.1"/>
    <x v="0"/>
    <n v="9.68"/>
    <n v="7.45"/>
    <n v="2.23"/>
    <n v="1"/>
    <n v="0"/>
    <n v="5"/>
    <n v="4"/>
  </r>
  <r>
    <s v="SW-104489"/>
    <d v="2025-10-13T00:00:00"/>
    <x v="1"/>
    <s v="Q4"/>
    <x v="9"/>
    <x v="1"/>
    <x v="3"/>
    <x v="1"/>
    <x v="0"/>
    <s v="Cotton T-Shirt"/>
    <n v="1"/>
    <n v="19.41"/>
    <n v="0"/>
    <x v="2"/>
    <n v="19.41"/>
    <n v="10.73"/>
    <n v="8.68"/>
    <n v="1"/>
    <n v="0"/>
    <n v="3"/>
    <n v="4"/>
  </r>
  <r>
    <s v="SW-104490"/>
    <d v="2025-10-13T00:00:00"/>
    <x v="1"/>
    <s v="Q4"/>
    <x v="9"/>
    <x v="2"/>
    <x v="2"/>
    <x v="0"/>
    <x v="3"/>
    <s v="Camping Tent"/>
    <n v="1"/>
    <n v="83.06"/>
    <n v="0"/>
    <x v="2"/>
    <n v="83.06"/>
    <n v="58.4"/>
    <n v="24.66"/>
    <n v="1"/>
    <n v="0"/>
    <n v="3"/>
    <n v="5"/>
  </r>
  <r>
    <s v="SW-104491"/>
    <d v="2025-10-13T00:00:00"/>
    <x v="1"/>
    <s v="Q4"/>
    <x v="9"/>
    <x v="0"/>
    <x v="2"/>
    <x v="1"/>
    <x v="2"/>
    <s v="Coffee Maker"/>
    <n v="2"/>
    <n v="148.05000000000001"/>
    <n v="0.1"/>
    <x v="0"/>
    <n v="266.49"/>
    <n v="198.67"/>
    <n v="67.819999999999993"/>
    <n v="1"/>
    <n v="0"/>
    <n v="4"/>
    <n v="5"/>
  </r>
  <r>
    <s v="SW-104492"/>
    <d v="2025-10-13T00:00:00"/>
    <x v="1"/>
    <s v="Q4"/>
    <x v="9"/>
    <x v="0"/>
    <x v="0"/>
    <x v="1"/>
    <x v="0"/>
    <s v="Cotton T-Shirt"/>
    <n v="1"/>
    <n v="19.41"/>
    <n v="0.15"/>
    <x v="1"/>
    <n v="16.5"/>
    <n v="10.53"/>
    <n v="5.97"/>
    <n v="1"/>
    <n v="0"/>
    <n v="4"/>
    <n v="4"/>
  </r>
  <r>
    <s v="SW-104493"/>
    <d v="2025-10-13T00:00:00"/>
    <x v="1"/>
    <s v="Q4"/>
    <x v="9"/>
    <x v="2"/>
    <x v="0"/>
    <x v="1"/>
    <x v="0"/>
    <s v="Summer Dress"/>
    <n v="1"/>
    <n v="33.99"/>
    <n v="0.1"/>
    <x v="0"/>
    <n v="30.59"/>
    <n v="18.04"/>
    <n v="12.55"/>
    <n v="1"/>
    <n v="1"/>
    <n v="4"/>
    <n v="4"/>
  </r>
  <r>
    <s v="SW-104494"/>
    <d v="2025-10-13T00:00:00"/>
    <x v="1"/>
    <s v="Q4"/>
    <x v="9"/>
    <x v="0"/>
    <x v="0"/>
    <x v="1"/>
    <x v="3"/>
    <s v="Cycling Helmet"/>
    <n v="1"/>
    <n v="85.42"/>
    <n v="0.15"/>
    <x v="1"/>
    <n v="72.61"/>
    <n v="56.34"/>
    <n v="16.27"/>
    <n v="1"/>
    <n v="0"/>
    <n v="6"/>
    <n v="4"/>
  </r>
  <r>
    <s v="SW-104495"/>
    <d v="2025-10-13T00:00:00"/>
    <x v="1"/>
    <s v="Q4"/>
    <x v="9"/>
    <x v="1"/>
    <x v="3"/>
    <x v="1"/>
    <x v="5"/>
    <s v="Building Blocks"/>
    <n v="1"/>
    <n v="48.86"/>
    <n v="0.1"/>
    <x v="0"/>
    <n v="43.97"/>
    <n v="35.18"/>
    <n v="8.7899999999999991"/>
    <n v="1"/>
    <n v="0"/>
    <n v="3"/>
    <n v="4"/>
  </r>
  <r>
    <s v="SW-104496"/>
    <d v="2025-10-14T00:00:00"/>
    <x v="1"/>
    <s v="Q4"/>
    <x v="9"/>
    <x v="0"/>
    <x v="4"/>
    <x v="1"/>
    <x v="0"/>
    <s v="Sunglasses"/>
    <n v="1"/>
    <n v="104.94"/>
    <n v="0.05"/>
    <x v="0"/>
    <n v="99.69"/>
    <n v="53.56"/>
    <n v="46.13"/>
    <n v="1"/>
    <n v="0"/>
    <n v="5"/>
    <n v="5"/>
  </r>
  <r>
    <s v="SW-104497"/>
    <d v="2025-10-14T00:00:00"/>
    <x v="1"/>
    <s v="Q4"/>
    <x v="9"/>
    <x v="1"/>
    <x v="2"/>
    <x v="1"/>
    <x v="4"/>
    <s v="4K Action Camera"/>
    <n v="1"/>
    <n v="636.09"/>
    <n v="0.05"/>
    <x v="0"/>
    <n v="604.29"/>
    <n v="499.12"/>
    <n v="105.17"/>
    <n v="1"/>
    <n v="0"/>
    <n v="3"/>
    <n v="5"/>
  </r>
  <r>
    <s v="SW-104498"/>
    <d v="2025-10-14T00:00:00"/>
    <x v="1"/>
    <s v="Q4"/>
    <x v="9"/>
    <x v="0"/>
    <x v="3"/>
    <x v="0"/>
    <x v="0"/>
    <s v="Denim Jacket"/>
    <n v="2"/>
    <n v="78.510000000000005"/>
    <n v="0"/>
    <x v="2"/>
    <n v="157.02000000000001"/>
    <n v="81.17"/>
    <n v="75.849999999999994"/>
    <n v="1"/>
    <n v="1"/>
    <n v="4"/>
    <n v="4"/>
  </r>
  <r>
    <s v="SW-104499"/>
    <d v="2025-10-14T00:00:00"/>
    <x v="1"/>
    <s v="Q4"/>
    <x v="9"/>
    <x v="0"/>
    <x v="4"/>
    <x v="0"/>
    <x v="4"/>
    <s v="Bluetooth Speaker"/>
    <n v="1"/>
    <n v="177.65"/>
    <n v="0.05"/>
    <x v="0"/>
    <n v="168.77"/>
    <n v="144.08000000000001"/>
    <n v="24.69"/>
    <n v="1"/>
    <n v="1"/>
    <n v="7"/>
    <n v="3"/>
  </r>
  <r>
    <s v="SW-104500"/>
    <d v="2025-10-14T00:00:00"/>
    <x v="1"/>
    <s v="Q4"/>
    <x v="9"/>
    <x v="2"/>
    <x v="4"/>
    <x v="1"/>
    <x v="2"/>
    <s v="Bed Sheet Set"/>
    <n v="1"/>
    <n v="90.75"/>
    <n v="0.05"/>
    <x v="0"/>
    <n v="86.21"/>
    <n v="56.91"/>
    <n v="29.3"/>
    <n v="1"/>
    <n v="0"/>
    <n v="6"/>
    <n v="4"/>
  </r>
  <r>
    <s v="SW-104501"/>
    <d v="2025-10-14T00:00:00"/>
    <x v="1"/>
    <s v="Q4"/>
    <x v="9"/>
    <x v="1"/>
    <x v="0"/>
    <x v="1"/>
    <x v="1"/>
    <s v="Perfume 100ml"/>
    <n v="1"/>
    <n v="54.56"/>
    <n v="0.15"/>
    <x v="1"/>
    <n v="46.38"/>
    <n v="27.23"/>
    <n v="19.149999999999999"/>
    <n v="1"/>
    <n v="0"/>
    <n v="4"/>
    <n v="5"/>
  </r>
  <r>
    <s v="SW-104502"/>
    <d v="2025-10-14T00:00:00"/>
    <x v="1"/>
    <s v="Q4"/>
    <x v="9"/>
    <x v="1"/>
    <x v="3"/>
    <x v="1"/>
    <x v="2"/>
    <s v="Storage Boxes"/>
    <n v="4"/>
    <n v="154.66"/>
    <n v="0.1"/>
    <x v="0"/>
    <n v="556.78"/>
    <n v="419.39"/>
    <n v="137.38999999999999"/>
    <n v="1"/>
    <n v="0"/>
    <n v="5"/>
    <n v="3"/>
  </r>
  <r>
    <s v="SW-104503"/>
    <d v="2025-10-14T00:00:00"/>
    <x v="1"/>
    <s v="Q4"/>
    <x v="9"/>
    <x v="0"/>
    <x v="3"/>
    <x v="0"/>
    <x v="1"/>
    <s v="Perfume 100ml"/>
    <n v="1"/>
    <n v="54.56"/>
    <n v="0.25"/>
    <x v="3"/>
    <n v="40.92"/>
    <n v="26.7"/>
    <n v="14.22"/>
    <n v="1"/>
    <n v="0"/>
    <n v="2"/>
    <n v="4"/>
  </r>
  <r>
    <s v="SW-104504"/>
    <d v="2025-10-14T00:00:00"/>
    <x v="1"/>
    <s v="Q4"/>
    <x v="9"/>
    <x v="1"/>
    <x v="3"/>
    <x v="0"/>
    <x v="3"/>
    <s v="Fitness Tracker"/>
    <n v="1"/>
    <n v="74.459999999999994"/>
    <n v="0.05"/>
    <x v="0"/>
    <n v="70.739999999999995"/>
    <n v="52.59"/>
    <n v="18.149999999999999"/>
    <n v="1"/>
    <n v="0"/>
    <n v="2"/>
    <n v="5"/>
  </r>
  <r>
    <s v="SW-104505"/>
    <d v="2025-10-14T00:00:00"/>
    <x v="1"/>
    <s v="Q4"/>
    <x v="9"/>
    <x v="2"/>
    <x v="4"/>
    <x v="0"/>
    <x v="0"/>
    <s v="Leather Handbag"/>
    <n v="2"/>
    <n v="138.5"/>
    <n v="0"/>
    <x v="2"/>
    <n v="277"/>
    <n v="140.94"/>
    <n v="136.06"/>
    <n v="1"/>
    <n v="0"/>
    <n v="7"/>
    <n v="3"/>
  </r>
  <r>
    <s v="SW-104506"/>
    <d v="2025-10-14T00:00:00"/>
    <x v="1"/>
    <s v="Q4"/>
    <x v="9"/>
    <x v="1"/>
    <x v="4"/>
    <x v="1"/>
    <x v="1"/>
    <s v="Face Serum"/>
    <n v="3"/>
    <n v="33.479999999999997"/>
    <n v="0.05"/>
    <x v="0"/>
    <n v="95.42"/>
    <n v="44.88"/>
    <n v="50.54"/>
    <n v="1"/>
    <n v="0"/>
    <n v="5"/>
    <n v="5"/>
  </r>
  <r>
    <s v="SW-104507"/>
    <d v="2025-10-15T00:00:00"/>
    <x v="1"/>
    <s v="Q4"/>
    <x v="9"/>
    <x v="0"/>
    <x v="2"/>
    <x v="0"/>
    <x v="4"/>
    <s v="Wireless Earbuds"/>
    <n v="1"/>
    <n v="588.41"/>
    <n v="0.15"/>
    <x v="1"/>
    <n v="500.15"/>
    <n v="483"/>
    <n v="17.149999999999999"/>
    <n v="1"/>
    <n v="0"/>
    <n v="3"/>
    <n v="5"/>
  </r>
  <r>
    <s v="SW-104508"/>
    <d v="2025-10-15T00:00:00"/>
    <x v="1"/>
    <s v="Q4"/>
    <x v="9"/>
    <x v="0"/>
    <x v="0"/>
    <x v="0"/>
    <x v="2"/>
    <s v="Coffee Maker"/>
    <n v="1"/>
    <n v="148.05000000000001"/>
    <n v="0.1"/>
    <x v="0"/>
    <n v="133.24"/>
    <n v="103.36"/>
    <n v="29.88"/>
    <n v="1"/>
    <n v="0"/>
    <n v="5"/>
    <n v="4"/>
  </r>
  <r>
    <s v="SW-104509"/>
    <d v="2025-10-15T00:00:00"/>
    <x v="1"/>
    <s v="Q4"/>
    <x v="9"/>
    <x v="0"/>
    <x v="4"/>
    <x v="1"/>
    <x v="0"/>
    <s v="Denim Jacket"/>
    <n v="1"/>
    <n v="78.510000000000005"/>
    <n v="0"/>
    <x v="2"/>
    <n v="78.510000000000005"/>
    <n v="42.39"/>
    <n v="36.119999999999997"/>
    <n v="1"/>
    <n v="0"/>
    <n v="6"/>
    <n v="4"/>
  </r>
  <r>
    <s v="SW-104510"/>
    <d v="2025-10-15T00:00:00"/>
    <x v="1"/>
    <s v="Q4"/>
    <x v="9"/>
    <x v="2"/>
    <x v="2"/>
    <x v="1"/>
    <x v="0"/>
    <s v="Cotton T-Shirt"/>
    <n v="1"/>
    <n v="19.41"/>
    <n v="0.05"/>
    <x v="0"/>
    <n v="18.440000000000001"/>
    <n v="10.72"/>
    <n v="7.72"/>
    <n v="1"/>
    <n v="0"/>
    <n v="5"/>
    <n v="5"/>
  </r>
  <r>
    <s v="SW-104511"/>
    <d v="2025-10-15T00:00:00"/>
    <x v="1"/>
    <s v="Q4"/>
    <x v="9"/>
    <x v="1"/>
    <x v="2"/>
    <x v="1"/>
    <x v="4"/>
    <s v="Smart Watch"/>
    <n v="1"/>
    <n v="216.08"/>
    <n v="0"/>
    <x v="2"/>
    <n v="216.08"/>
    <n v="173.86"/>
    <n v="42.22"/>
    <n v="1"/>
    <n v="0"/>
    <n v="5"/>
    <n v="4"/>
  </r>
  <r>
    <s v="SW-104512"/>
    <d v="2025-10-15T00:00:00"/>
    <x v="1"/>
    <s v="Q4"/>
    <x v="9"/>
    <x v="0"/>
    <x v="3"/>
    <x v="0"/>
    <x v="3"/>
    <s v="Fitness Tracker"/>
    <n v="2"/>
    <n v="74.459999999999994"/>
    <n v="0"/>
    <x v="2"/>
    <n v="148.91999999999999"/>
    <n v="99.45"/>
    <n v="49.47"/>
    <n v="1"/>
    <n v="0"/>
    <n v="3"/>
    <n v="4"/>
  </r>
  <r>
    <s v="SW-104513"/>
    <d v="2025-10-15T00:00:00"/>
    <x v="1"/>
    <s v="Q4"/>
    <x v="9"/>
    <x v="0"/>
    <x v="2"/>
    <x v="1"/>
    <x v="4"/>
    <s v="Bluetooth Speaker"/>
    <n v="2"/>
    <n v="177.65"/>
    <n v="0.2"/>
    <x v="1"/>
    <n v="284.24"/>
    <n v="299.83999999999997"/>
    <n v="-15.6"/>
    <n v="1"/>
    <n v="0"/>
    <n v="6"/>
    <n v="3"/>
  </r>
  <r>
    <s v="SW-104514"/>
    <d v="2025-10-15T00:00:00"/>
    <x v="1"/>
    <s v="Q4"/>
    <x v="9"/>
    <x v="0"/>
    <x v="4"/>
    <x v="0"/>
    <x v="3"/>
    <s v="Fitness Tracker"/>
    <n v="1"/>
    <n v="74.459999999999994"/>
    <n v="0.15"/>
    <x v="1"/>
    <n v="63.29"/>
    <n v="52.06"/>
    <n v="11.23"/>
    <n v="1"/>
    <n v="0"/>
    <n v="5"/>
    <n v="4"/>
  </r>
  <r>
    <s v="SW-104515"/>
    <d v="2025-10-15T00:00:00"/>
    <x v="1"/>
    <s v="Q4"/>
    <x v="9"/>
    <x v="2"/>
    <x v="4"/>
    <x v="1"/>
    <x v="0"/>
    <s v="Running Sneakers"/>
    <n v="4"/>
    <n v="94.85"/>
    <n v="0.1"/>
    <x v="0"/>
    <n v="341.46"/>
    <n v="210.34"/>
    <n v="131.12"/>
    <n v="1"/>
    <n v="0"/>
    <n v="6"/>
    <n v="3"/>
  </r>
  <r>
    <s v="SW-104516"/>
    <d v="2025-10-15T00:00:00"/>
    <x v="1"/>
    <s v="Q4"/>
    <x v="9"/>
    <x v="1"/>
    <x v="2"/>
    <x v="0"/>
    <x v="1"/>
    <s v="Makeup Kit"/>
    <n v="2"/>
    <n v="74.3"/>
    <n v="0.05"/>
    <x v="0"/>
    <n v="141.16999999999999"/>
    <n v="72.400000000000006"/>
    <n v="68.77"/>
    <n v="1"/>
    <n v="0"/>
    <n v="3"/>
    <n v="5"/>
  </r>
  <r>
    <s v="SW-104517"/>
    <d v="2025-10-15T00:00:00"/>
    <x v="1"/>
    <s v="Q4"/>
    <x v="9"/>
    <x v="0"/>
    <x v="4"/>
    <x v="1"/>
    <x v="2"/>
    <s v="Bed Sheet Set"/>
    <n v="2"/>
    <n v="90.75"/>
    <n v="0.05"/>
    <x v="0"/>
    <n v="172.42"/>
    <n v="121.4"/>
    <n v="51.02"/>
    <n v="1"/>
    <n v="0"/>
    <n v="5"/>
    <n v="5"/>
  </r>
  <r>
    <s v="SW-104518"/>
    <d v="2025-10-15T00:00:00"/>
    <x v="1"/>
    <s v="Q4"/>
    <x v="9"/>
    <x v="1"/>
    <x v="3"/>
    <x v="1"/>
    <x v="0"/>
    <s v="Denim Jacket"/>
    <n v="1"/>
    <n v="78.510000000000005"/>
    <n v="0"/>
    <x v="2"/>
    <n v="78.510000000000005"/>
    <n v="40.520000000000003"/>
    <n v="37.99"/>
    <n v="1"/>
    <n v="0"/>
    <n v="3"/>
    <n v="4"/>
  </r>
  <r>
    <s v="SW-104519"/>
    <d v="2025-10-15T00:00:00"/>
    <x v="1"/>
    <s v="Q4"/>
    <x v="9"/>
    <x v="1"/>
    <x v="3"/>
    <x v="0"/>
    <x v="3"/>
    <s v="Dumbbell Set"/>
    <n v="1"/>
    <n v="198.42"/>
    <n v="0"/>
    <x v="2"/>
    <n v="198.42"/>
    <n v="133.19999999999999"/>
    <n v="65.22"/>
    <n v="1"/>
    <n v="0"/>
    <n v="3"/>
    <n v="3"/>
  </r>
  <r>
    <s v="SW-104520"/>
    <d v="2025-10-15T00:00:00"/>
    <x v="1"/>
    <s v="Q4"/>
    <x v="9"/>
    <x v="1"/>
    <x v="3"/>
    <x v="1"/>
    <x v="2"/>
    <s v="Coffee Maker"/>
    <n v="1"/>
    <n v="148.05000000000001"/>
    <n v="0"/>
    <x v="2"/>
    <n v="148.05000000000001"/>
    <n v="101.05"/>
    <n v="47"/>
    <n v="1"/>
    <n v="0"/>
    <n v="4"/>
    <n v="4"/>
  </r>
  <r>
    <s v="SW-104521"/>
    <d v="2025-10-15T00:00:00"/>
    <x v="1"/>
    <s v="Q4"/>
    <x v="9"/>
    <x v="0"/>
    <x v="1"/>
    <x v="0"/>
    <x v="0"/>
    <s v="Sunglasses"/>
    <n v="1"/>
    <n v="104.94"/>
    <n v="0.2"/>
    <x v="1"/>
    <n v="83.95"/>
    <n v="54.7"/>
    <n v="29.25"/>
    <n v="1"/>
    <n v="0"/>
    <n v="6"/>
    <n v="3"/>
  </r>
  <r>
    <s v="SW-104522"/>
    <d v="2025-10-15T00:00:00"/>
    <x v="1"/>
    <s v="Q4"/>
    <x v="9"/>
    <x v="0"/>
    <x v="1"/>
    <x v="1"/>
    <x v="1"/>
    <s v="Skin Care Bundle"/>
    <n v="1"/>
    <n v="92.54"/>
    <n v="0"/>
    <x v="2"/>
    <n v="92.54"/>
    <n v="44.31"/>
    <n v="48.23"/>
    <n v="1"/>
    <n v="0"/>
    <n v="7"/>
    <n v="3"/>
  </r>
  <r>
    <s v="SW-104523"/>
    <d v="2025-10-15T00:00:00"/>
    <x v="1"/>
    <s v="Q4"/>
    <x v="9"/>
    <x v="1"/>
    <x v="0"/>
    <x v="0"/>
    <x v="2"/>
    <s v="Desk Lamp"/>
    <n v="1"/>
    <n v="117.63"/>
    <n v="0.1"/>
    <x v="0"/>
    <n v="105.87"/>
    <n v="79.45"/>
    <n v="26.42"/>
    <n v="1"/>
    <n v="0"/>
    <n v="5"/>
    <n v="5"/>
  </r>
  <r>
    <s v="SW-104524"/>
    <d v="2025-10-16T00:00:00"/>
    <x v="1"/>
    <s v="Q4"/>
    <x v="9"/>
    <x v="0"/>
    <x v="0"/>
    <x v="1"/>
    <x v="4"/>
    <s v="Tablet 10in"/>
    <n v="1"/>
    <n v="490.3"/>
    <n v="0"/>
    <x v="2"/>
    <n v="490.3"/>
    <n v="413.6"/>
    <n v="76.7"/>
    <n v="1"/>
    <n v="0"/>
    <n v="3"/>
    <n v="5"/>
  </r>
  <r>
    <s v="SW-104525"/>
    <d v="2025-10-16T00:00:00"/>
    <x v="1"/>
    <s v="Q4"/>
    <x v="9"/>
    <x v="2"/>
    <x v="3"/>
    <x v="0"/>
    <x v="2"/>
    <s v="Storage Boxes"/>
    <n v="3"/>
    <n v="154.66"/>
    <n v="0.05"/>
    <x v="0"/>
    <n v="440.78"/>
    <n v="293.61"/>
    <n v="147.16999999999999"/>
    <n v="1"/>
    <n v="0"/>
    <n v="2"/>
    <n v="4"/>
  </r>
  <r>
    <s v="SW-104526"/>
    <d v="2025-10-16T00:00:00"/>
    <x v="1"/>
    <s v="Q4"/>
    <x v="9"/>
    <x v="1"/>
    <x v="3"/>
    <x v="0"/>
    <x v="5"/>
    <s v="Building Blocks"/>
    <n v="3"/>
    <n v="48.86"/>
    <n v="0.05"/>
    <x v="0"/>
    <n v="139.25"/>
    <n v="105.43"/>
    <n v="33.82"/>
    <n v="1"/>
    <n v="0"/>
    <n v="3"/>
    <n v="4"/>
  </r>
  <r>
    <s v="SW-104527"/>
    <d v="2025-10-16T00:00:00"/>
    <x v="1"/>
    <s v="Q4"/>
    <x v="9"/>
    <x v="0"/>
    <x v="2"/>
    <x v="1"/>
    <x v="3"/>
    <s v="Fitness Tracker"/>
    <n v="1"/>
    <n v="74.459999999999994"/>
    <n v="0"/>
    <x v="2"/>
    <n v="74.459999999999994"/>
    <n v="48.27"/>
    <n v="26.19"/>
    <n v="1"/>
    <n v="0"/>
    <n v="3"/>
    <n v="5"/>
  </r>
  <r>
    <s v="SW-104528"/>
    <d v="2025-10-16T00:00:00"/>
    <x v="1"/>
    <s v="Q4"/>
    <x v="9"/>
    <x v="1"/>
    <x v="2"/>
    <x v="1"/>
    <x v="4"/>
    <s v="Tablet 10in"/>
    <n v="1"/>
    <n v="490.3"/>
    <n v="0.15"/>
    <x v="1"/>
    <n v="416.76"/>
    <n v="393.9"/>
    <n v="22.86"/>
    <n v="1"/>
    <n v="0"/>
    <n v="3"/>
    <n v="5"/>
  </r>
  <r>
    <s v="SW-104529"/>
    <d v="2025-10-16T00:00:00"/>
    <x v="1"/>
    <s v="Q4"/>
    <x v="9"/>
    <x v="2"/>
    <x v="0"/>
    <x v="0"/>
    <x v="0"/>
    <s v="Sunglasses"/>
    <n v="1"/>
    <n v="104.94"/>
    <n v="0.05"/>
    <x v="0"/>
    <n v="99.69"/>
    <n v="57.99"/>
    <n v="41.7"/>
    <n v="1"/>
    <n v="0"/>
    <n v="3"/>
    <n v="5"/>
  </r>
  <r>
    <s v="SW-104530"/>
    <d v="2025-10-16T00:00:00"/>
    <x v="1"/>
    <s v="Q4"/>
    <x v="9"/>
    <x v="0"/>
    <x v="3"/>
    <x v="0"/>
    <x v="4"/>
    <s v="Smart Watch"/>
    <n v="2"/>
    <n v="216.08"/>
    <n v="0.15"/>
    <x v="1"/>
    <n v="367.34"/>
    <n v="347.18"/>
    <n v="20.16"/>
    <n v="1"/>
    <n v="0"/>
    <n v="3"/>
    <n v="4"/>
  </r>
  <r>
    <s v="SW-104531"/>
    <d v="2025-10-17T00:00:00"/>
    <x v="1"/>
    <s v="Q4"/>
    <x v="9"/>
    <x v="0"/>
    <x v="0"/>
    <x v="1"/>
    <x v="0"/>
    <s v="Running Sneakers"/>
    <n v="3"/>
    <n v="94.85"/>
    <n v="0"/>
    <x v="2"/>
    <n v="284.55"/>
    <n v="155.4"/>
    <n v="129.15"/>
    <n v="1"/>
    <n v="0"/>
    <n v="4"/>
    <n v="4"/>
  </r>
  <r>
    <s v="SW-104532"/>
    <d v="2025-10-17T00:00:00"/>
    <x v="1"/>
    <s v="Q4"/>
    <x v="9"/>
    <x v="2"/>
    <x v="2"/>
    <x v="1"/>
    <x v="1"/>
    <s v="Face Serum"/>
    <n v="1"/>
    <n v="33.479999999999997"/>
    <n v="0"/>
    <x v="2"/>
    <n v="33.479999999999997"/>
    <n v="16.809999999999999"/>
    <n v="16.670000000000002"/>
    <n v="1"/>
    <n v="0"/>
    <n v="6"/>
    <n v="4"/>
  </r>
  <r>
    <s v="SW-104533"/>
    <d v="2025-10-17T00:00:00"/>
    <x v="1"/>
    <s v="Q4"/>
    <x v="9"/>
    <x v="0"/>
    <x v="1"/>
    <x v="1"/>
    <x v="5"/>
    <s v="Bestseller Novel"/>
    <n v="1"/>
    <n v="45.28"/>
    <n v="0.05"/>
    <x v="0"/>
    <n v="43.02"/>
    <n v="33.33"/>
    <n v="9.69"/>
    <n v="1"/>
    <n v="0"/>
    <n v="7"/>
    <n v="4"/>
  </r>
  <r>
    <s v="SW-104534"/>
    <d v="2025-10-17T00:00:00"/>
    <x v="1"/>
    <s v="Q4"/>
    <x v="9"/>
    <x v="1"/>
    <x v="2"/>
    <x v="0"/>
    <x v="4"/>
    <s v="Wireless Earbuds"/>
    <n v="1"/>
    <n v="588.41"/>
    <n v="0.1"/>
    <x v="0"/>
    <n v="529.57000000000005"/>
    <n v="484.34"/>
    <n v="45.23"/>
    <n v="1"/>
    <n v="0"/>
    <n v="3"/>
    <n v="4"/>
  </r>
  <r>
    <s v="SW-104535"/>
    <d v="2025-10-17T00:00:00"/>
    <x v="1"/>
    <s v="Q4"/>
    <x v="9"/>
    <x v="1"/>
    <x v="2"/>
    <x v="1"/>
    <x v="0"/>
    <s v="Denim Jacket"/>
    <n v="1"/>
    <n v="78.510000000000005"/>
    <n v="0.1"/>
    <x v="0"/>
    <n v="70.66"/>
    <n v="40.049999999999997"/>
    <n v="30.61"/>
    <n v="1"/>
    <n v="0"/>
    <n v="3"/>
    <n v="4"/>
  </r>
  <r>
    <s v="SW-104536"/>
    <d v="2025-10-18T00:00:00"/>
    <x v="1"/>
    <s v="Q4"/>
    <x v="9"/>
    <x v="0"/>
    <x v="1"/>
    <x v="0"/>
    <x v="4"/>
    <s v="4K Action Camera"/>
    <n v="2"/>
    <n v="636.09"/>
    <n v="0"/>
    <x v="2"/>
    <n v="1272.18"/>
    <n v="980.02"/>
    <n v="292.16000000000003"/>
    <n v="1"/>
    <n v="0"/>
    <n v="5"/>
    <n v="4"/>
  </r>
  <r>
    <s v="SW-104537"/>
    <d v="2025-10-18T00:00:00"/>
    <x v="1"/>
    <s v="Q4"/>
    <x v="9"/>
    <x v="1"/>
    <x v="0"/>
    <x v="1"/>
    <x v="3"/>
    <s v="Cycling Helmet"/>
    <n v="1"/>
    <n v="85.42"/>
    <n v="0.2"/>
    <x v="1"/>
    <n v="68.34"/>
    <n v="58.39"/>
    <n v="9.9499999999999993"/>
    <n v="1"/>
    <n v="0"/>
    <n v="3"/>
    <n v="4"/>
  </r>
  <r>
    <s v="SW-104538"/>
    <d v="2025-10-18T00:00:00"/>
    <x v="1"/>
    <s v="Q4"/>
    <x v="9"/>
    <x v="0"/>
    <x v="0"/>
    <x v="0"/>
    <x v="5"/>
    <s v="Building Blocks"/>
    <n v="1"/>
    <n v="48.86"/>
    <n v="0.05"/>
    <x v="0"/>
    <n v="46.42"/>
    <n v="35.56"/>
    <n v="10.86"/>
    <n v="1"/>
    <n v="0"/>
    <n v="3"/>
    <n v="4"/>
  </r>
  <r>
    <s v="SW-104539"/>
    <d v="2025-10-18T00:00:00"/>
    <x v="1"/>
    <s v="Q4"/>
    <x v="9"/>
    <x v="0"/>
    <x v="2"/>
    <x v="0"/>
    <x v="1"/>
    <s v="Perfume 100ml"/>
    <n v="1"/>
    <n v="54.56"/>
    <n v="0"/>
    <x v="2"/>
    <n v="54.56"/>
    <n v="25.68"/>
    <n v="28.88"/>
    <n v="1"/>
    <n v="0"/>
    <n v="5"/>
    <n v="5"/>
  </r>
  <r>
    <s v="SW-104540"/>
    <d v="2025-10-18T00:00:00"/>
    <x v="1"/>
    <s v="Q4"/>
    <x v="9"/>
    <x v="2"/>
    <x v="3"/>
    <x v="1"/>
    <x v="1"/>
    <s v="Hair Dryer"/>
    <n v="1"/>
    <n v="33.18"/>
    <n v="0.15"/>
    <x v="1"/>
    <n v="28.2"/>
    <n v="15.85"/>
    <n v="12.35"/>
    <n v="1"/>
    <n v="0"/>
    <n v="3"/>
    <n v="5"/>
  </r>
  <r>
    <s v="SW-104541"/>
    <d v="2025-10-18T00:00:00"/>
    <x v="1"/>
    <s v="Q4"/>
    <x v="9"/>
    <x v="0"/>
    <x v="0"/>
    <x v="1"/>
    <x v="3"/>
    <s v="Camping Tent"/>
    <n v="1"/>
    <n v="83.06"/>
    <n v="0"/>
    <x v="2"/>
    <n v="83.06"/>
    <n v="53.6"/>
    <n v="29.46"/>
    <n v="1"/>
    <n v="0"/>
    <n v="4"/>
    <n v="4"/>
  </r>
  <r>
    <s v="SW-104542"/>
    <d v="2025-10-18T00:00:00"/>
    <x v="1"/>
    <s v="Q4"/>
    <x v="9"/>
    <x v="0"/>
    <x v="1"/>
    <x v="0"/>
    <x v="2"/>
    <s v="Storage Boxes"/>
    <n v="1"/>
    <n v="154.66"/>
    <n v="0.05"/>
    <x v="0"/>
    <n v="146.93"/>
    <n v="98.82"/>
    <n v="48.11"/>
    <n v="1"/>
    <n v="0"/>
    <n v="5"/>
    <n v="4"/>
  </r>
  <r>
    <s v="SW-104543"/>
    <d v="2025-10-18T00:00:00"/>
    <x v="1"/>
    <s v="Q4"/>
    <x v="9"/>
    <x v="1"/>
    <x v="0"/>
    <x v="0"/>
    <x v="0"/>
    <s v="Summer Dress"/>
    <n v="1"/>
    <n v="33.99"/>
    <n v="0.2"/>
    <x v="1"/>
    <n v="27.19"/>
    <n v="18.39"/>
    <n v="8.8000000000000007"/>
    <n v="1"/>
    <n v="0"/>
    <n v="3"/>
    <n v="3"/>
  </r>
  <r>
    <s v="SW-104544"/>
    <d v="2025-10-18T00:00:00"/>
    <x v="1"/>
    <s v="Q4"/>
    <x v="9"/>
    <x v="1"/>
    <x v="3"/>
    <x v="1"/>
    <x v="5"/>
    <s v="Building Blocks"/>
    <n v="1"/>
    <n v="48.86"/>
    <n v="0.05"/>
    <x v="0"/>
    <n v="46.42"/>
    <n v="35.93"/>
    <n v="10.49"/>
    <n v="1"/>
    <n v="0"/>
    <n v="2"/>
    <n v="4"/>
  </r>
  <r>
    <s v="SW-104545"/>
    <d v="2025-10-18T00:00:00"/>
    <x v="1"/>
    <s v="Q4"/>
    <x v="9"/>
    <x v="0"/>
    <x v="4"/>
    <x v="1"/>
    <x v="4"/>
    <s v="Smart Watch"/>
    <n v="1"/>
    <n v="216.08"/>
    <n v="0"/>
    <x v="2"/>
    <n v="216.08"/>
    <n v="178.19"/>
    <n v="37.89"/>
    <n v="1"/>
    <n v="0"/>
    <n v="5"/>
    <n v="4"/>
  </r>
  <r>
    <s v="SW-104546"/>
    <d v="2025-10-18T00:00:00"/>
    <x v="1"/>
    <s v="Q4"/>
    <x v="9"/>
    <x v="0"/>
    <x v="2"/>
    <x v="1"/>
    <x v="0"/>
    <s v="Running Sneakers"/>
    <n v="1"/>
    <n v="94.85"/>
    <n v="0.2"/>
    <x v="1"/>
    <n v="75.88"/>
    <n v="50.32"/>
    <n v="25.56"/>
    <n v="1"/>
    <n v="0"/>
    <n v="5"/>
    <n v="4"/>
  </r>
  <r>
    <s v="SW-104547"/>
    <d v="2025-10-19T00:00:00"/>
    <x v="1"/>
    <s v="Q4"/>
    <x v="9"/>
    <x v="1"/>
    <x v="4"/>
    <x v="0"/>
    <x v="4"/>
    <s v="Tablet 10in"/>
    <n v="3"/>
    <n v="490.3"/>
    <n v="0.15"/>
    <x v="1"/>
    <n v="1250.27"/>
    <n v="1217.94"/>
    <n v="32.33"/>
    <n v="1"/>
    <n v="0"/>
    <n v="7"/>
    <n v="2"/>
  </r>
  <r>
    <s v="SW-104548"/>
    <d v="2025-10-19T00:00:00"/>
    <x v="1"/>
    <s v="Q4"/>
    <x v="9"/>
    <x v="1"/>
    <x v="3"/>
    <x v="1"/>
    <x v="0"/>
    <s v="Leather Handbag"/>
    <n v="1"/>
    <n v="138.5"/>
    <n v="0.15"/>
    <x v="1"/>
    <n v="117.72"/>
    <n v="74.52"/>
    <n v="43.2"/>
    <n v="1"/>
    <n v="1"/>
    <n v="3"/>
    <n v="4"/>
  </r>
  <r>
    <s v="SW-104549"/>
    <d v="2025-10-19T00:00:00"/>
    <x v="1"/>
    <s v="Q4"/>
    <x v="9"/>
    <x v="1"/>
    <x v="3"/>
    <x v="1"/>
    <x v="1"/>
    <s v="Perfume 100ml"/>
    <n v="1"/>
    <n v="54.56"/>
    <n v="0.05"/>
    <x v="0"/>
    <n v="51.83"/>
    <n v="26.19"/>
    <n v="25.64"/>
    <n v="1"/>
    <n v="0"/>
    <n v="4"/>
    <n v="5"/>
  </r>
  <r>
    <s v="SW-104550"/>
    <d v="2025-10-19T00:00:00"/>
    <x v="1"/>
    <s v="Q4"/>
    <x v="9"/>
    <x v="1"/>
    <x v="0"/>
    <x v="0"/>
    <x v="1"/>
    <s v="Skin Care Bundle"/>
    <n v="1"/>
    <n v="92.54"/>
    <n v="0"/>
    <x v="2"/>
    <n v="92.54"/>
    <n v="43.2"/>
    <n v="49.34"/>
    <n v="1"/>
    <n v="0"/>
    <n v="4"/>
    <n v="5"/>
  </r>
  <r>
    <s v="SW-104551"/>
    <d v="2025-10-19T00:00:00"/>
    <x v="1"/>
    <s v="Q4"/>
    <x v="9"/>
    <x v="0"/>
    <x v="4"/>
    <x v="1"/>
    <x v="0"/>
    <s v="Cotton T-Shirt"/>
    <n v="2"/>
    <n v="19.41"/>
    <n v="0"/>
    <x v="2"/>
    <n v="38.82"/>
    <n v="20.09"/>
    <n v="18.73"/>
    <n v="1"/>
    <n v="0"/>
    <n v="5"/>
    <n v="4"/>
  </r>
  <r>
    <s v="SW-104552"/>
    <d v="2025-10-19T00:00:00"/>
    <x v="1"/>
    <s v="Q4"/>
    <x v="9"/>
    <x v="0"/>
    <x v="2"/>
    <x v="0"/>
    <x v="2"/>
    <s v="Bed Sheet Set"/>
    <n v="1"/>
    <n v="90.75"/>
    <n v="0"/>
    <x v="2"/>
    <n v="90.75"/>
    <n v="60.59"/>
    <n v="30.16"/>
    <n v="1"/>
    <n v="0"/>
    <n v="4"/>
    <n v="5"/>
  </r>
  <r>
    <s v="SW-104553"/>
    <d v="2025-10-19T00:00:00"/>
    <x v="1"/>
    <s v="Q4"/>
    <x v="9"/>
    <x v="0"/>
    <x v="0"/>
    <x v="0"/>
    <x v="4"/>
    <s v="4K Action Camera"/>
    <n v="1"/>
    <n v="636.09"/>
    <n v="0"/>
    <x v="2"/>
    <n v="636.09"/>
    <n v="502.93"/>
    <n v="133.16"/>
    <n v="1"/>
    <n v="0"/>
    <n v="6"/>
    <n v="4"/>
  </r>
  <r>
    <s v="SW-104554"/>
    <d v="2025-10-19T00:00:00"/>
    <x v="1"/>
    <s v="Q4"/>
    <x v="9"/>
    <x v="0"/>
    <x v="3"/>
    <x v="1"/>
    <x v="4"/>
    <s v="Tablet 10in"/>
    <n v="1"/>
    <n v="490.3"/>
    <n v="0"/>
    <x v="2"/>
    <n v="490.3"/>
    <n v="406.86"/>
    <n v="83.44"/>
    <n v="1"/>
    <n v="0"/>
    <n v="5"/>
    <n v="4"/>
  </r>
  <r>
    <s v="SW-104555"/>
    <d v="2025-10-19T00:00:00"/>
    <x v="1"/>
    <s v="Q4"/>
    <x v="9"/>
    <x v="2"/>
    <x v="3"/>
    <x v="1"/>
    <x v="1"/>
    <s v="Makeup Kit"/>
    <n v="1"/>
    <n v="74.3"/>
    <n v="0.1"/>
    <x v="0"/>
    <n v="66.87"/>
    <n v="33.57"/>
    <n v="33.299999999999997"/>
    <n v="1"/>
    <n v="0"/>
    <n v="3"/>
    <n v="5"/>
  </r>
  <r>
    <s v="SW-104556"/>
    <d v="2025-10-20T00:00:00"/>
    <x v="1"/>
    <s v="Q4"/>
    <x v="9"/>
    <x v="0"/>
    <x v="4"/>
    <x v="1"/>
    <x v="0"/>
    <s v="Denim Jacket"/>
    <n v="1"/>
    <n v="78.510000000000005"/>
    <n v="0.1"/>
    <x v="0"/>
    <n v="70.66"/>
    <n v="41.72"/>
    <n v="28.94"/>
    <n v="1"/>
    <n v="0"/>
    <n v="5"/>
    <n v="4"/>
  </r>
  <r>
    <s v="SW-104557"/>
    <d v="2025-10-20T00:00:00"/>
    <x v="1"/>
    <s v="Q4"/>
    <x v="9"/>
    <x v="2"/>
    <x v="3"/>
    <x v="1"/>
    <x v="0"/>
    <s v="Leather Handbag"/>
    <n v="1"/>
    <n v="138.5"/>
    <n v="0.05"/>
    <x v="0"/>
    <n v="131.57"/>
    <n v="70.83"/>
    <n v="60.74"/>
    <n v="1"/>
    <n v="1"/>
    <n v="6"/>
    <n v="2"/>
  </r>
  <r>
    <s v="SW-104558"/>
    <d v="2025-10-20T00:00:00"/>
    <x v="1"/>
    <s v="Q4"/>
    <x v="9"/>
    <x v="1"/>
    <x v="1"/>
    <x v="0"/>
    <x v="1"/>
    <s v="Makeup Kit"/>
    <n v="1"/>
    <n v="74.3"/>
    <n v="0.1"/>
    <x v="0"/>
    <n v="66.87"/>
    <n v="34.93"/>
    <n v="31.94"/>
    <n v="1"/>
    <n v="0"/>
    <n v="7"/>
    <n v="4"/>
  </r>
  <r>
    <s v="SW-104559"/>
    <d v="2025-10-20T00:00:00"/>
    <x v="1"/>
    <s v="Q4"/>
    <x v="9"/>
    <x v="0"/>
    <x v="0"/>
    <x v="0"/>
    <x v="2"/>
    <s v="Bed Sheet Set"/>
    <n v="1"/>
    <n v="90.75"/>
    <n v="0.1"/>
    <x v="0"/>
    <n v="81.680000000000007"/>
    <n v="60.72"/>
    <n v="20.96"/>
    <n v="1"/>
    <n v="0"/>
    <n v="3"/>
    <n v="4"/>
  </r>
  <r>
    <s v="SW-104560"/>
    <d v="2025-10-20T00:00:00"/>
    <x v="1"/>
    <s v="Q4"/>
    <x v="9"/>
    <x v="1"/>
    <x v="0"/>
    <x v="1"/>
    <x v="4"/>
    <s v="Wireless Earbuds"/>
    <n v="1"/>
    <n v="588.41"/>
    <n v="0.15"/>
    <x v="1"/>
    <n v="500.15"/>
    <n v="477.13"/>
    <n v="23.02"/>
    <n v="1"/>
    <n v="0"/>
    <n v="4"/>
    <n v="5"/>
  </r>
  <r>
    <s v="SW-104561"/>
    <d v="2025-10-21T00:00:00"/>
    <x v="1"/>
    <s v="Q4"/>
    <x v="9"/>
    <x v="1"/>
    <x v="2"/>
    <x v="1"/>
    <x v="3"/>
    <s v="Yoga Mat"/>
    <n v="3"/>
    <n v="137.05000000000001"/>
    <n v="0.1"/>
    <x v="0"/>
    <n v="370.04"/>
    <n v="260.60000000000002"/>
    <n v="109.44"/>
    <n v="1"/>
    <n v="0"/>
    <n v="3"/>
    <n v="4"/>
  </r>
  <r>
    <s v="SW-104562"/>
    <d v="2025-10-21T00:00:00"/>
    <x v="1"/>
    <s v="Q4"/>
    <x v="9"/>
    <x v="1"/>
    <x v="3"/>
    <x v="0"/>
    <x v="2"/>
    <s v="Cookware Set"/>
    <n v="2"/>
    <n v="233.81"/>
    <n v="0"/>
    <x v="2"/>
    <n v="467.62"/>
    <n v="307.79000000000002"/>
    <n v="159.83000000000001"/>
    <n v="1"/>
    <n v="1"/>
    <n v="2"/>
    <n v="4"/>
  </r>
  <r>
    <s v="SW-104563"/>
    <d v="2025-10-21T00:00:00"/>
    <x v="1"/>
    <s v="Q4"/>
    <x v="9"/>
    <x v="1"/>
    <x v="2"/>
    <x v="0"/>
    <x v="2"/>
    <s v="Coffee Maker"/>
    <n v="1"/>
    <n v="148.05000000000001"/>
    <n v="0"/>
    <x v="2"/>
    <n v="148.05000000000001"/>
    <n v="93.97"/>
    <n v="54.08"/>
    <n v="1"/>
    <n v="0"/>
    <n v="3"/>
    <n v="4"/>
  </r>
  <r>
    <s v="SW-104564"/>
    <d v="2025-10-21T00:00:00"/>
    <x v="1"/>
    <s v="Q4"/>
    <x v="9"/>
    <x v="1"/>
    <x v="3"/>
    <x v="0"/>
    <x v="0"/>
    <s v="Sunglasses"/>
    <n v="1"/>
    <n v="104.94"/>
    <n v="0.15"/>
    <x v="1"/>
    <n v="89.2"/>
    <n v="55.66"/>
    <n v="33.54"/>
    <n v="1"/>
    <n v="0"/>
    <n v="3"/>
    <n v="5"/>
  </r>
  <r>
    <s v="SW-104565"/>
    <d v="2025-10-21T00:00:00"/>
    <x v="1"/>
    <s v="Q4"/>
    <x v="9"/>
    <x v="1"/>
    <x v="0"/>
    <x v="1"/>
    <x v="2"/>
    <s v="Desk Lamp"/>
    <n v="1"/>
    <n v="117.63"/>
    <n v="0.2"/>
    <x v="1"/>
    <n v="94.1"/>
    <n v="74.790000000000006"/>
    <n v="19.309999999999999"/>
    <n v="1"/>
    <n v="0"/>
    <n v="4"/>
    <n v="4"/>
  </r>
  <r>
    <s v="SW-104566"/>
    <d v="2025-10-21T00:00:00"/>
    <x v="1"/>
    <s v="Q4"/>
    <x v="9"/>
    <x v="1"/>
    <x v="4"/>
    <x v="1"/>
    <x v="0"/>
    <s v="Cotton T-Shirt"/>
    <n v="1"/>
    <n v="19.41"/>
    <n v="0.15"/>
    <x v="1"/>
    <n v="16.5"/>
    <n v="10.94"/>
    <n v="5.56"/>
    <n v="1"/>
    <n v="0"/>
    <n v="5"/>
    <n v="5"/>
  </r>
  <r>
    <s v="SW-104567"/>
    <d v="2025-10-21T00:00:00"/>
    <x v="1"/>
    <s v="Q4"/>
    <x v="9"/>
    <x v="1"/>
    <x v="1"/>
    <x v="0"/>
    <x v="1"/>
    <s v="Face Serum"/>
    <n v="2"/>
    <n v="33.479999999999997"/>
    <n v="0.25"/>
    <x v="3"/>
    <n v="50.22"/>
    <n v="31.18"/>
    <n v="19.04"/>
    <n v="1"/>
    <n v="0"/>
    <n v="6"/>
    <n v="3"/>
  </r>
  <r>
    <s v="SW-104568"/>
    <d v="2025-10-21T00:00:00"/>
    <x v="1"/>
    <s v="Q4"/>
    <x v="9"/>
    <x v="0"/>
    <x v="3"/>
    <x v="0"/>
    <x v="4"/>
    <s v="4K Action Camera"/>
    <n v="1"/>
    <n v="636.09"/>
    <n v="0"/>
    <x v="2"/>
    <n v="636.09"/>
    <n v="513.89"/>
    <n v="122.2"/>
    <n v="1"/>
    <n v="0"/>
    <n v="5"/>
    <n v="4"/>
  </r>
  <r>
    <s v="SW-104569"/>
    <d v="2025-10-21T00:00:00"/>
    <x v="1"/>
    <s v="Q4"/>
    <x v="9"/>
    <x v="0"/>
    <x v="0"/>
    <x v="0"/>
    <x v="4"/>
    <s v="Tablet 10in"/>
    <n v="1"/>
    <n v="490.3"/>
    <n v="0.1"/>
    <x v="0"/>
    <n v="441.27"/>
    <n v="417.12"/>
    <n v="24.15"/>
    <n v="1"/>
    <n v="0"/>
    <n v="4"/>
    <n v="5"/>
  </r>
  <r>
    <s v="SW-104570"/>
    <d v="2025-10-21T00:00:00"/>
    <x v="1"/>
    <s v="Q4"/>
    <x v="9"/>
    <x v="2"/>
    <x v="2"/>
    <x v="0"/>
    <x v="0"/>
    <s v="Cotton T-Shirt"/>
    <n v="1"/>
    <n v="19.41"/>
    <n v="0"/>
    <x v="2"/>
    <n v="19.41"/>
    <n v="10.63"/>
    <n v="8.7799999999999994"/>
    <n v="1"/>
    <n v="0"/>
    <n v="4"/>
    <n v="5"/>
  </r>
  <r>
    <s v="SW-104571"/>
    <d v="2025-10-21T00:00:00"/>
    <x v="1"/>
    <s v="Q4"/>
    <x v="9"/>
    <x v="1"/>
    <x v="2"/>
    <x v="0"/>
    <x v="2"/>
    <s v="Cookware Set"/>
    <n v="2"/>
    <n v="233.81"/>
    <n v="0.15"/>
    <x v="1"/>
    <n v="397.48"/>
    <n v="303.93"/>
    <n v="93.55"/>
    <n v="1"/>
    <n v="0"/>
    <n v="4"/>
    <n v="4"/>
  </r>
  <r>
    <s v="SW-104572"/>
    <d v="2025-10-21T00:00:00"/>
    <x v="1"/>
    <s v="Q4"/>
    <x v="9"/>
    <x v="0"/>
    <x v="2"/>
    <x v="1"/>
    <x v="4"/>
    <s v="Bluetooth Speaker"/>
    <n v="1"/>
    <n v="177.65"/>
    <n v="0.2"/>
    <x v="1"/>
    <n v="142.12"/>
    <n v="135.94999999999999"/>
    <n v="6.17"/>
    <n v="1"/>
    <n v="0"/>
    <n v="4"/>
    <n v="5"/>
  </r>
  <r>
    <s v="SW-104573"/>
    <d v="2025-10-22T00:00:00"/>
    <x v="1"/>
    <s v="Q4"/>
    <x v="9"/>
    <x v="1"/>
    <x v="3"/>
    <x v="0"/>
    <x v="0"/>
    <s v="Leather Handbag"/>
    <n v="2"/>
    <n v="138.5"/>
    <n v="0.1"/>
    <x v="0"/>
    <n v="249.3"/>
    <n v="147.09"/>
    <n v="102.21"/>
    <n v="1"/>
    <n v="0"/>
    <n v="5"/>
    <n v="4"/>
  </r>
  <r>
    <s v="SW-104574"/>
    <d v="2025-10-22T00:00:00"/>
    <x v="1"/>
    <s v="Q4"/>
    <x v="9"/>
    <x v="1"/>
    <x v="3"/>
    <x v="1"/>
    <x v="0"/>
    <s v="Cotton T-Shirt"/>
    <n v="3"/>
    <n v="19.41"/>
    <n v="0.1"/>
    <x v="0"/>
    <n v="52.41"/>
    <n v="29.98"/>
    <n v="22.43"/>
    <n v="1"/>
    <n v="0"/>
    <n v="2"/>
    <n v="5"/>
  </r>
  <r>
    <s v="SW-104575"/>
    <d v="2025-10-22T00:00:00"/>
    <x v="1"/>
    <s v="Q4"/>
    <x v="9"/>
    <x v="1"/>
    <x v="2"/>
    <x v="0"/>
    <x v="2"/>
    <s v="Desk Lamp"/>
    <n v="1"/>
    <n v="117.63"/>
    <n v="0"/>
    <x v="2"/>
    <n v="117.63"/>
    <n v="75.86"/>
    <n v="41.77"/>
    <n v="1"/>
    <n v="0"/>
    <n v="6"/>
    <n v="4"/>
  </r>
  <r>
    <s v="SW-104576"/>
    <d v="2025-10-22T00:00:00"/>
    <x v="1"/>
    <s v="Q4"/>
    <x v="9"/>
    <x v="2"/>
    <x v="0"/>
    <x v="0"/>
    <x v="2"/>
    <s v="Cookware Set"/>
    <n v="1"/>
    <n v="233.81"/>
    <n v="0.15"/>
    <x v="1"/>
    <n v="198.74"/>
    <n v="156.15"/>
    <n v="42.59"/>
    <n v="1"/>
    <n v="0"/>
    <n v="4"/>
    <n v="4"/>
  </r>
  <r>
    <s v="SW-104577"/>
    <d v="2025-10-22T00:00:00"/>
    <x v="1"/>
    <s v="Q4"/>
    <x v="9"/>
    <x v="1"/>
    <x v="4"/>
    <x v="0"/>
    <x v="1"/>
    <s v="Skin Care Bundle"/>
    <n v="2"/>
    <n v="92.54"/>
    <n v="0.05"/>
    <x v="0"/>
    <n v="175.83"/>
    <n v="89.29"/>
    <n v="86.54"/>
    <n v="1"/>
    <n v="0"/>
    <n v="5"/>
    <n v="4"/>
  </r>
  <r>
    <s v="SW-104578"/>
    <d v="2025-10-22T00:00:00"/>
    <x v="1"/>
    <s v="Q4"/>
    <x v="9"/>
    <x v="0"/>
    <x v="2"/>
    <x v="1"/>
    <x v="1"/>
    <s v="Hair Dryer"/>
    <n v="1"/>
    <n v="33.18"/>
    <n v="0.2"/>
    <x v="1"/>
    <n v="26.54"/>
    <n v="15.6"/>
    <n v="10.94"/>
    <n v="1"/>
    <n v="1"/>
    <n v="4"/>
    <n v="4"/>
  </r>
  <r>
    <s v="SW-104579"/>
    <d v="2025-10-23T00:00:00"/>
    <x v="1"/>
    <s v="Q4"/>
    <x v="9"/>
    <x v="1"/>
    <x v="4"/>
    <x v="1"/>
    <x v="4"/>
    <s v="4K Action Camera"/>
    <n v="2"/>
    <n v="636.09"/>
    <n v="0.05"/>
    <x v="0"/>
    <n v="1208.57"/>
    <n v="1011.13"/>
    <n v="197.44"/>
    <n v="1"/>
    <n v="0"/>
    <n v="5"/>
    <n v="5"/>
  </r>
  <r>
    <s v="SW-104580"/>
    <d v="2025-10-23T00:00:00"/>
    <x v="1"/>
    <s v="Q4"/>
    <x v="9"/>
    <x v="0"/>
    <x v="2"/>
    <x v="0"/>
    <x v="5"/>
    <s v="Bestseller Novel"/>
    <n v="1"/>
    <n v="45.28"/>
    <n v="0.1"/>
    <x v="0"/>
    <n v="40.75"/>
    <n v="32.28"/>
    <n v="8.4700000000000006"/>
    <n v="1"/>
    <n v="0"/>
    <n v="7"/>
    <n v="4"/>
  </r>
  <r>
    <s v="SW-104581"/>
    <d v="2025-10-23T00:00:00"/>
    <x v="1"/>
    <s v="Q4"/>
    <x v="9"/>
    <x v="1"/>
    <x v="1"/>
    <x v="1"/>
    <x v="2"/>
    <s v="Coffee Maker"/>
    <n v="2"/>
    <n v="148.05000000000001"/>
    <n v="0.15"/>
    <x v="1"/>
    <n v="251.68"/>
    <n v="191.64"/>
    <n v="60.04"/>
    <n v="1"/>
    <n v="0"/>
    <n v="11"/>
    <n v="4"/>
  </r>
  <r>
    <s v="SW-104582"/>
    <d v="2025-10-23T00:00:00"/>
    <x v="1"/>
    <s v="Q4"/>
    <x v="9"/>
    <x v="0"/>
    <x v="0"/>
    <x v="0"/>
    <x v="4"/>
    <s v="Smart Watch"/>
    <n v="1"/>
    <n v="216.08"/>
    <n v="0.1"/>
    <x v="0"/>
    <n v="194.47"/>
    <n v="177.72"/>
    <n v="16.75"/>
    <n v="1"/>
    <n v="0"/>
    <n v="5"/>
    <n v="4"/>
  </r>
  <r>
    <s v="SW-104583"/>
    <d v="2025-10-23T00:00:00"/>
    <x v="1"/>
    <s v="Q4"/>
    <x v="9"/>
    <x v="2"/>
    <x v="3"/>
    <x v="1"/>
    <x v="4"/>
    <s v="Power Bank"/>
    <n v="1"/>
    <n v="508.8"/>
    <n v="0.15"/>
    <x v="1"/>
    <n v="432.48"/>
    <n v="406.57"/>
    <n v="25.91"/>
    <n v="1"/>
    <n v="1"/>
    <n v="2"/>
    <n v="3"/>
  </r>
  <r>
    <s v="SW-104584"/>
    <d v="2025-10-23T00:00:00"/>
    <x v="1"/>
    <s v="Q4"/>
    <x v="9"/>
    <x v="2"/>
    <x v="3"/>
    <x v="1"/>
    <x v="2"/>
    <s v="Bed Sheet Set"/>
    <n v="4"/>
    <n v="90.75"/>
    <n v="0.05"/>
    <x v="0"/>
    <n v="344.85"/>
    <n v="226.26"/>
    <n v="118.59"/>
    <n v="1"/>
    <n v="1"/>
    <n v="2"/>
    <n v="4"/>
  </r>
  <r>
    <s v="SW-104585"/>
    <d v="2025-10-23T00:00:00"/>
    <x v="1"/>
    <s v="Q4"/>
    <x v="9"/>
    <x v="0"/>
    <x v="3"/>
    <x v="1"/>
    <x v="5"/>
    <s v="Bestseller Novel"/>
    <n v="2"/>
    <n v="45.28"/>
    <n v="0"/>
    <x v="2"/>
    <n v="90.56"/>
    <n v="64.33"/>
    <n v="26.23"/>
    <n v="1"/>
    <n v="0"/>
    <n v="2"/>
    <n v="4"/>
  </r>
  <r>
    <s v="SW-104586"/>
    <d v="2025-10-23T00:00:00"/>
    <x v="1"/>
    <s v="Q4"/>
    <x v="9"/>
    <x v="0"/>
    <x v="2"/>
    <x v="1"/>
    <x v="4"/>
    <s v="Power Bank"/>
    <n v="2"/>
    <n v="508.8"/>
    <n v="0.05"/>
    <x v="0"/>
    <n v="966.72"/>
    <n v="781.64"/>
    <n v="185.08"/>
    <n v="1"/>
    <n v="0"/>
    <n v="3"/>
    <n v="5"/>
  </r>
  <r>
    <s v="SW-104587"/>
    <d v="2025-10-23T00:00:00"/>
    <x v="1"/>
    <s v="Q4"/>
    <x v="9"/>
    <x v="1"/>
    <x v="4"/>
    <x v="1"/>
    <x v="4"/>
    <s v="4K Action Camera"/>
    <n v="1"/>
    <n v="636.09"/>
    <n v="0.2"/>
    <x v="1"/>
    <n v="508.87"/>
    <n v="503.15"/>
    <n v="5.72"/>
    <n v="1"/>
    <n v="0"/>
    <n v="5"/>
    <n v="5"/>
  </r>
  <r>
    <s v="SW-104588"/>
    <d v="2025-10-24T00:00:00"/>
    <x v="1"/>
    <s v="Q4"/>
    <x v="9"/>
    <x v="0"/>
    <x v="3"/>
    <x v="1"/>
    <x v="5"/>
    <s v="Building Blocks"/>
    <n v="1"/>
    <n v="48.86"/>
    <n v="0.05"/>
    <x v="0"/>
    <n v="46.42"/>
    <n v="34.93"/>
    <n v="11.49"/>
    <n v="1"/>
    <n v="0"/>
    <n v="4"/>
    <n v="5"/>
  </r>
  <r>
    <s v="SW-104589"/>
    <d v="2025-10-24T00:00:00"/>
    <x v="1"/>
    <s v="Q4"/>
    <x v="9"/>
    <x v="1"/>
    <x v="2"/>
    <x v="1"/>
    <x v="1"/>
    <s v="Perfume 100ml"/>
    <n v="1"/>
    <n v="54.56"/>
    <n v="0.15"/>
    <x v="1"/>
    <n v="46.38"/>
    <n v="26.74"/>
    <n v="19.64"/>
    <n v="1"/>
    <n v="0"/>
    <n v="5"/>
    <n v="5"/>
  </r>
  <r>
    <s v="SW-104590"/>
    <d v="2025-10-24T00:00:00"/>
    <x v="1"/>
    <s v="Q4"/>
    <x v="9"/>
    <x v="2"/>
    <x v="3"/>
    <x v="1"/>
    <x v="0"/>
    <s v="Denim Jacket"/>
    <n v="3"/>
    <n v="78.510000000000005"/>
    <n v="0.2"/>
    <x v="1"/>
    <n v="188.42"/>
    <n v="119.67"/>
    <n v="68.75"/>
    <n v="1"/>
    <n v="1"/>
    <n v="5"/>
    <n v="3"/>
  </r>
  <r>
    <s v="SW-104591"/>
    <d v="2025-10-24T00:00:00"/>
    <x v="1"/>
    <s v="Q4"/>
    <x v="9"/>
    <x v="1"/>
    <x v="0"/>
    <x v="1"/>
    <x v="0"/>
    <s v="Summer Dress"/>
    <n v="1"/>
    <n v="33.99"/>
    <n v="0.15"/>
    <x v="1"/>
    <n v="28.89"/>
    <n v="18.16"/>
    <n v="10.73"/>
    <n v="1"/>
    <n v="0"/>
    <n v="3"/>
    <n v="3"/>
  </r>
  <r>
    <s v="SW-104592"/>
    <d v="2025-10-24T00:00:00"/>
    <x v="1"/>
    <s v="Q4"/>
    <x v="9"/>
    <x v="0"/>
    <x v="3"/>
    <x v="1"/>
    <x v="4"/>
    <s v="Smart Watch"/>
    <n v="3"/>
    <n v="216.08"/>
    <n v="0"/>
    <x v="2"/>
    <n v="648.24"/>
    <n v="475.63"/>
    <n v="172.61"/>
    <n v="1"/>
    <n v="0"/>
    <n v="3"/>
    <n v="5"/>
  </r>
  <r>
    <s v="SW-104593"/>
    <d v="2025-10-24T00:00:00"/>
    <x v="1"/>
    <s v="Q4"/>
    <x v="9"/>
    <x v="0"/>
    <x v="0"/>
    <x v="0"/>
    <x v="0"/>
    <s v="Leather Handbag"/>
    <n v="1"/>
    <n v="138.5"/>
    <n v="0.2"/>
    <x v="1"/>
    <n v="110.8"/>
    <n v="76.22"/>
    <n v="34.58"/>
    <n v="1"/>
    <n v="1"/>
    <n v="3"/>
    <n v="4"/>
  </r>
  <r>
    <s v="SW-104594"/>
    <d v="2025-10-24T00:00:00"/>
    <x v="1"/>
    <s v="Q4"/>
    <x v="9"/>
    <x v="2"/>
    <x v="3"/>
    <x v="1"/>
    <x v="2"/>
    <s v="Coffee Maker"/>
    <n v="2"/>
    <n v="148.05000000000001"/>
    <n v="0"/>
    <x v="2"/>
    <n v="296.10000000000002"/>
    <n v="189.16"/>
    <n v="106.94"/>
    <n v="1"/>
    <n v="0"/>
    <n v="3"/>
    <n v="4"/>
  </r>
  <r>
    <s v="SW-104595"/>
    <d v="2025-10-25T00:00:00"/>
    <x v="1"/>
    <s v="Q4"/>
    <x v="9"/>
    <x v="1"/>
    <x v="1"/>
    <x v="1"/>
    <x v="4"/>
    <s v="Bluetooth Speaker"/>
    <n v="1"/>
    <n v="177.65"/>
    <n v="0.1"/>
    <x v="0"/>
    <n v="159.88999999999999"/>
    <n v="143.59"/>
    <n v="16.3"/>
    <n v="1"/>
    <n v="0"/>
    <n v="8"/>
    <n v="4"/>
  </r>
  <r>
    <s v="SW-104596"/>
    <d v="2025-10-25T00:00:00"/>
    <x v="1"/>
    <s v="Q4"/>
    <x v="9"/>
    <x v="2"/>
    <x v="2"/>
    <x v="0"/>
    <x v="1"/>
    <s v="Perfume 100ml"/>
    <n v="4"/>
    <n v="54.56"/>
    <n v="0"/>
    <x v="2"/>
    <n v="218.24"/>
    <n v="104.19"/>
    <n v="114.05"/>
    <n v="1"/>
    <n v="0"/>
    <n v="5"/>
    <n v="4"/>
  </r>
  <r>
    <s v="SW-104597"/>
    <d v="2025-10-25T00:00:00"/>
    <x v="1"/>
    <s v="Q4"/>
    <x v="9"/>
    <x v="1"/>
    <x v="1"/>
    <x v="1"/>
    <x v="0"/>
    <s v="Cotton T-Shirt"/>
    <n v="1"/>
    <n v="19.41"/>
    <n v="0.05"/>
    <x v="0"/>
    <n v="18.440000000000001"/>
    <n v="10.87"/>
    <n v="7.57"/>
    <n v="1"/>
    <n v="0"/>
    <n v="7"/>
    <n v="4"/>
  </r>
  <r>
    <s v="SW-104598"/>
    <d v="2025-10-25T00:00:00"/>
    <x v="1"/>
    <s v="Q4"/>
    <x v="9"/>
    <x v="0"/>
    <x v="3"/>
    <x v="1"/>
    <x v="2"/>
    <s v="Bed Sheet Set"/>
    <n v="2"/>
    <n v="90.75"/>
    <n v="0.2"/>
    <x v="1"/>
    <n v="145.19999999999999"/>
    <n v="123.34"/>
    <n v="21.86"/>
    <n v="1"/>
    <n v="0"/>
    <n v="2"/>
    <n v="4"/>
  </r>
  <r>
    <s v="SW-104599"/>
    <d v="2025-10-25T00:00:00"/>
    <x v="1"/>
    <s v="Q4"/>
    <x v="9"/>
    <x v="2"/>
    <x v="1"/>
    <x v="0"/>
    <x v="0"/>
    <s v="Sunglasses"/>
    <n v="3"/>
    <n v="104.94"/>
    <n v="0.25"/>
    <x v="3"/>
    <n v="236.12"/>
    <n v="178.48"/>
    <n v="57.64"/>
    <n v="1"/>
    <n v="1"/>
    <n v="7"/>
    <n v="2"/>
  </r>
  <r>
    <s v="SW-104600"/>
    <d v="2025-10-25T00:00:00"/>
    <x v="1"/>
    <s v="Q4"/>
    <x v="9"/>
    <x v="1"/>
    <x v="0"/>
    <x v="1"/>
    <x v="4"/>
    <s v="4K Action Camera"/>
    <n v="1"/>
    <n v="636.09"/>
    <n v="0"/>
    <x v="2"/>
    <n v="636.09"/>
    <n v="536.97"/>
    <n v="99.12"/>
    <n v="1"/>
    <n v="0"/>
    <n v="3"/>
    <n v="5"/>
  </r>
  <r>
    <s v="SW-104601"/>
    <d v="2025-10-25T00:00:00"/>
    <x v="1"/>
    <s v="Q4"/>
    <x v="9"/>
    <x v="2"/>
    <x v="0"/>
    <x v="0"/>
    <x v="3"/>
    <s v="Yoga Mat"/>
    <n v="1"/>
    <n v="137.05000000000001"/>
    <n v="0"/>
    <x v="2"/>
    <n v="137.05000000000001"/>
    <n v="95.08"/>
    <n v="41.97"/>
    <n v="1"/>
    <n v="0"/>
    <n v="4"/>
    <n v="5"/>
  </r>
  <r>
    <s v="SW-104602"/>
    <d v="2025-10-26T00:00:00"/>
    <x v="1"/>
    <s v="Q4"/>
    <x v="9"/>
    <x v="0"/>
    <x v="4"/>
    <x v="0"/>
    <x v="5"/>
    <s v="Kids Puzzle"/>
    <n v="4"/>
    <n v="16.97"/>
    <n v="0.2"/>
    <x v="1"/>
    <n v="54.3"/>
    <n v="47.23"/>
    <n v="7.07"/>
    <n v="1"/>
    <n v="0"/>
    <n v="7"/>
    <n v="2"/>
  </r>
  <r>
    <s v="SW-104603"/>
    <d v="2025-10-26T00:00:00"/>
    <x v="1"/>
    <s v="Q4"/>
    <x v="9"/>
    <x v="1"/>
    <x v="3"/>
    <x v="1"/>
    <x v="4"/>
    <s v="Bluetooth Speaker"/>
    <n v="2"/>
    <n v="177.65"/>
    <n v="0.1"/>
    <x v="0"/>
    <n v="319.77"/>
    <n v="295.10000000000002"/>
    <n v="24.67"/>
    <n v="1"/>
    <n v="0"/>
    <n v="3"/>
    <n v="4"/>
  </r>
  <r>
    <s v="SW-104604"/>
    <d v="2025-10-26T00:00:00"/>
    <x v="1"/>
    <s v="Q4"/>
    <x v="9"/>
    <x v="0"/>
    <x v="3"/>
    <x v="1"/>
    <x v="1"/>
    <s v="Makeup Kit"/>
    <n v="1"/>
    <n v="74.3"/>
    <n v="0.1"/>
    <x v="0"/>
    <n v="66.87"/>
    <n v="36.880000000000003"/>
    <n v="29.99"/>
    <n v="1"/>
    <n v="0"/>
    <n v="3"/>
    <n v="5"/>
  </r>
  <r>
    <s v="SW-104605"/>
    <d v="2025-10-26T00:00:00"/>
    <x v="1"/>
    <s v="Q4"/>
    <x v="9"/>
    <x v="0"/>
    <x v="3"/>
    <x v="0"/>
    <x v="4"/>
    <s v="4K Action Camera"/>
    <n v="2"/>
    <n v="636.09"/>
    <n v="0"/>
    <x v="2"/>
    <n v="1272.18"/>
    <n v="1039.25"/>
    <n v="232.93"/>
    <n v="1"/>
    <n v="0"/>
    <n v="2"/>
    <n v="5"/>
  </r>
  <r>
    <s v="SW-104606"/>
    <d v="2025-10-26T00:00:00"/>
    <x v="1"/>
    <s v="Q4"/>
    <x v="9"/>
    <x v="0"/>
    <x v="3"/>
    <x v="0"/>
    <x v="2"/>
    <s v="Desk Lamp"/>
    <n v="1"/>
    <n v="117.63"/>
    <n v="0.15"/>
    <x v="1"/>
    <n v="99.99"/>
    <n v="79.64"/>
    <n v="20.350000000000001"/>
    <n v="1"/>
    <n v="0"/>
    <n v="3"/>
    <n v="4"/>
  </r>
  <r>
    <s v="SW-104607"/>
    <d v="2025-10-27T00:00:00"/>
    <x v="1"/>
    <s v="Q4"/>
    <x v="9"/>
    <x v="1"/>
    <x v="3"/>
    <x v="0"/>
    <x v="5"/>
    <s v="Story Book Set"/>
    <n v="1"/>
    <n v="10.76"/>
    <n v="0.05"/>
    <x v="0"/>
    <n v="10.220000000000001"/>
    <n v="8.48"/>
    <n v="1.74"/>
    <n v="1"/>
    <n v="0"/>
    <n v="3"/>
    <n v="5"/>
  </r>
  <r>
    <s v="SW-104608"/>
    <d v="2025-10-27T00:00:00"/>
    <x v="1"/>
    <s v="Q4"/>
    <x v="9"/>
    <x v="1"/>
    <x v="2"/>
    <x v="1"/>
    <x v="5"/>
    <s v="Story Book Set"/>
    <n v="1"/>
    <n v="10.76"/>
    <n v="0"/>
    <x v="2"/>
    <n v="10.76"/>
    <n v="7.66"/>
    <n v="3.1"/>
    <n v="1"/>
    <n v="0"/>
    <n v="3"/>
    <n v="5"/>
  </r>
  <r>
    <s v="SW-104609"/>
    <d v="2025-10-27T00:00:00"/>
    <x v="1"/>
    <s v="Q4"/>
    <x v="9"/>
    <x v="0"/>
    <x v="3"/>
    <x v="0"/>
    <x v="0"/>
    <s v="Sunglasses"/>
    <n v="1"/>
    <n v="104.94"/>
    <n v="0"/>
    <x v="2"/>
    <n v="104.94"/>
    <n v="55.22"/>
    <n v="49.72"/>
    <n v="1"/>
    <n v="0"/>
    <n v="2"/>
    <n v="5"/>
  </r>
  <r>
    <s v="SW-104610"/>
    <d v="2025-10-27T00:00:00"/>
    <x v="1"/>
    <s v="Q4"/>
    <x v="9"/>
    <x v="0"/>
    <x v="3"/>
    <x v="1"/>
    <x v="0"/>
    <s v="Sunglasses"/>
    <n v="1"/>
    <n v="104.94"/>
    <n v="0.05"/>
    <x v="0"/>
    <n v="99.69"/>
    <n v="56.71"/>
    <n v="42.98"/>
    <n v="1"/>
    <n v="1"/>
    <n v="2"/>
    <n v="3"/>
  </r>
  <r>
    <s v="SW-104611"/>
    <d v="2025-10-27T00:00:00"/>
    <x v="1"/>
    <s v="Q4"/>
    <x v="9"/>
    <x v="1"/>
    <x v="2"/>
    <x v="0"/>
    <x v="5"/>
    <s v="Building Blocks"/>
    <n v="1"/>
    <n v="48.86"/>
    <n v="0.15"/>
    <x v="1"/>
    <n v="41.53"/>
    <n v="34.6"/>
    <n v="6.93"/>
    <n v="1"/>
    <n v="0"/>
    <n v="3"/>
    <n v="4"/>
  </r>
  <r>
    <s v="SW-104612"/>
    <d v="2025-10-27T00:00:00"/>
    <x v="1"/>
    <s v="Q4"/>
    <x v="9"/>
    <x v="2"/>
    <x v="3"/>
    <x v="1"/>
    <x v="5"/>
    <s v="Kids Puzzle"/>
    <n v="2"/>
    <n v="16.97"/>
    <n v="0.05"/>
    <x v="0"/>
    <n v="32.24"/>
    <n v="25.13"/>
    <n v="7.11"/>
    <n v="1"/>
    <n v="0"/>
    <n v="2"/>
    <n v="5"/>
  </r>
  <r>
    <s v="SW-104613"/>
    <d v="2025-10-27T00:00:00"/>
    <x v="1"/>
    <s v="Q4"/>
    <x v="9"/>
    <x v="0"/>
    <x v="0"/>
    <x v="1"/>
    <x v="1"/>
    <s v="Perfume 100ml"/>
    <n v="1"/>
    <n v="54.56"/>
    <n v="0.05"/>
    <x v="0"/>
    <n v="51.83"/>
    <n v="26.51"/>
    <n v="25.32"/>
    <n v="1"/>
    <n v="0"/>
    <n v="5"/>
    <n v="4"/>
  </r>
  <r>
    <s v="SW-104614"/>
    <d v="2025-10-27T00:00:00"/>
    <x v="1"/>
    <s v="Q4"/>
    <x v="9"/>
    <x v="1"/>
    <x v="2"/>
    <x v="1"/>
    <x v="2"/>
    <s v="Desk Lamp"/>
    <n v="2"/>
    <n v="117.63"/>
    <n v="0"/>
    <x v="2"/>
    <n v="235.26"/>
    <n v="164.21"/>
    <n v="71.05"/>
    <n v="1"/>
    <n v="0"/>
    <n v="6"/>
    <n v="3"/>
  </r>
  <r>
    <s v="SW-104615"/>
    <d v="2025-10-27T00:00:00"/>
    <x v="1"/>
    <s v="Q4"/>
    <x v="9"/>
    <x v="0"/>
    <x v="3"/>
    <x v="1"/>
    <x v="2"/>
    <s v="Coffee Maker"/>
    <n v="2"/>
    <n v="148.05000000000001"/>
    <n v="0.2"/>
    <x v="1"/>
    <n v="236.88"/>
    <n v="194.39"/>
    <n v="42.49"/>
    <n v="1"/>
    <n v="0"/>
    <n v="2"/>
    <n v="3"/>
  </r>
  <r>
    <s v="SW-104616"/>
    <d v="2025-10-27T00:00:00"/>
    <x v="1"/>
    <s v="Q4"/>
    <x v="9"/>
    <x v="0"/>
    <x v="3"/>
    <x v="0"/>
    <x v="4"/>
    <s v="Smart Watch"/>
    <n v="1"/>
    <n v="216.08"/>
    <n v="0.05"/>
    <x v="0"/>
    <n v="205.28"/>
    <n v="167.94"/>
    <n v="37.340000000000003"/>
    <n v="1"/>
    <n v="0"/>
    <n v="3"/>
    <n v="5"/>
  </r>
  <r>
    <s v="SW-104617"/>
    <d v="2025-10-27T00:00:00"/>
    <x v="1"/>
    <s v="Q4"/>
    <x v="9"/>
    <x v="2"/>
    <x v="0"/>
    <x v="1"/>
    <x v="0"/>
    <s v="Cotton T-Shirt"/>
    <n v="1"/>
    <n v="19.41"/>
    <n v="0.15"/>
    <x v="1"/>
    <n v="16.5"/>
    <n v="11.12"/>
    <n v="5.38"/>
    <n v="1"/>
    <n v="1"/>
    <n v="3"/>
    <n v="4"/>
  </r>
  <r>
    <s v="SW-104618"/>
    <d v="2025-10-28T00:00:00"/>
    <x v="1"/>
    <s v="Q4"/>
    <x v="9"/>
    <x v="1"/>
    <x v="3"/>
    <x v="1"/>
    <x v="0"/>
    <s v="Denim Jacket"/>
    <n v="1"/>
    <n v="78.510000000000005"/>
    <n v="0.2"/>
    <x v="1"/>
    <n v="62.81"/>
    <n v="43.3"/>
    <n v="19.510000000000002"/>
    <n v="1"/>
    <n v="0"/>
    <n v="3"/>
    <n v="5"/>
  </r>
  <r>
    <s v="SW-104619"/>
    <d v="2025-10-28T00:00:00"/>
    <x v="1"/>
    <s v="Q4"/>
    <x v="9"/>
    <x v="2"/>
    <x v="0"/>
    <x v="0"/>
    <x v="4"/>
    <s v="Power Bank"/>
    <n v="1"/>
    <n v="508.8"/>
    <n v="0"/>
    <x v="2"/>
    <n v="508.8"/>
    <n v="408.76"/>
    <n v="100.04"/>
    <n v="1"/>
    <n v="0"/>
    <n v="3"/>
    <n v="5"/>
  </r>
  <r>
    <s v="SW-104620"/>
    <d v="2025-10-28T00:00:00"/>
    <x v="1"/>
    <s v="Q4"/>
    <x v="9"/>
    <x v="2"/>
    <x v="0"/>
    <x v="1"/>
    <x v="3"/>
    <s v="Fitness Tracker"/>
    <n v="1"/>
    <n v="74.459999999999994"/>
    <n v="0.05"/>
    <x v="0"/>
    <n v="70.739999999999995"/>
    <n v="51.48"/>
    <n v="19.260000000000002"/>
    <n v="1"/>
    <n v="0"/>
    <n v="4"/>
    <n v="4"/>
  </r>
  <r>
    <s v="SW-104621"/>
    <d v="2025-10-28T00:00:00"/>
    <x v="1"/>
    <s v="Q4"/>
    <x v="9"/>
    <x v="0"/>
    <x v="2"/>
    <x v="0"/>
    <x v="5"/>
    <s v="Kids Puzzle"/>
    <n v="3"/>
    <n v="16.97"/>
    <n v="0.05"/>
    <x v="0"/>
    <n v="48.36"/>
    <n v="36.380000000000003"/>
    <n v="11.98"/>
    <n v="1"/>
    <n v="0"/>
    <n v="6"/>
    <n v="4"/>
  </r>
  <r>
    <s v="SW-104622"/>
    <d v="2025-10-28T00:00:00"/>
    <x v="1"/>
    <s v="Q4"/>
    <x v="9"/>
    <x v="1"/>
    <x v="2"/>
    <x v="0"/>
    <x v="1"/>
    <s v="Makeup Kit"/>
    <n v="1"/>
    <n v="74.3"/>
    <n v="0"/>
    <x v="2"/>
    <n v="74.3"/>
    <n v="36.28"/>
    <n v="38.020000000000003"/>
    <n v="1"/>
    <n v="0"/>
    <n v="4"/>
    <n v="5"/>
  </r>
  <r>
    <s v="SW-104623"/>
    <d v="2025-10-28T00:00:00"/>
    <x v="1"/>
    <s v="Q4"/>
    <x v="9"/>
    <x v="0"/>
    <x v="0"/>
    <x v="0"/>
    <x v="0"/>
    <s v="Summer Dress"/>
    <n v="2"/>
    <n v="33.99"/>
    <n v="0.05"/>
    <x v="0"/>
    <n v="64.58"/>
    <n v="35.380000000000003"/>
    <n v="29.2"/>
    <n v="1"/>
    <n v="0"/>
    <n v="4"/>
    <n v="5"/>
  </r>
  <r>
    <s v="SW-104624"/>
    <d v="2025-10-29T00:00:00"/>
    <x v="1"/>
    <s v="Q4"/>
    <x v="9"/>
    <x v="0"/>
    <x v="0"/>
    <x v="0"/>
    <x v="4"/>
    <s v="Smart Watch"/>
    <n v="1"/>
    <n v="216.08"/>
    <n v="0"/>
    <x v="2"/>
    <n v="216.08"/>
    <n v="175.59"/>
    <n v="40.49"/>
    <n v="1"/>
    <n v="0"/>
    <n v="3"/>
    <n v="4"/>
  </r>
  <r>
    <s v="SW-104625"/>
    <d v="2025-10-29T00:00:00"/>
    <x v="1"/>
    <s v="Q4"/>
    <x v="9"/>
    <x v="0"/>
    <x v="0"/>
    <x v="1"/>
    <x v="5"/>
    <s v="Board Game"/>
    <n v="2"/>
    <n v="57.92"/>
    <n v="0.1"/>
    <x v="0"/>
    <n v="104.26"/>
    <n v="83.08"/>
    <n v="21.18"/>
    <n v="1"/>
    <n v="0"/>
    <n v="3"/>
    <n v="5"/>
  </r>
  <r>
    <s v="SW-104626"/>
    <d v="2025-10-29T00:00:00"/>
    <x v="1"/>
    <s v="Q4"/>
    <x v="9"/>
    <x v="2"/>
    <x v="2"/>
    <x v="1"/>
    <x v="2"/>
    <s v="Cookware Set"/>
    <n v="1"/>
    <n v="233.81"/>
    <n v="0.05"/>
    <x v="0"/>
    <n v="222.12"/>
    <n v="146.79"/>
    <n v="75.33"/>
    <n v="1"/>
    <n v="0"/>
    <n v="3"/>
    <n v="5"/>
  </r>
  <r>
    <s v="SW-104627"/>
    <d v="2025-10-29T00:00:00"/>
    <x v="1"/>
    <s v="Q4"/>
    <x v="9"/>
    <x v="2"/>
    <x v="1"/>
    <x v="1"/>
    <x v="4"/>
    <s v="Tablet 10in"/>
    <n v="1"/>
    <n v="490.3"/>
    <n v="0.25"/>
    <x v="3"/>
    <n v="367.72"/>
    <n v="382.77"/>
    <n v="-15.05"/>
    <n v="1"/>
    <n v="0"/>
    <n v="5"/>
    <n v="4"/>
  </r>
  <r>
    <s v="SW-104628"/>
    <d v="2025-10-29T00:00:00"/>
    <x v="1"/>
    <s v="Q4"/>
    <x v="9"/>
    <x v="2"/>
    <x v="2"/>
    <x v="0"/>
    <x v="4"/>
    <s v="Smart Watch"/>
    <n v="1"/>
    <n v="216.08"/>
    <n v="0"/>
    <x v="2"/>
    <n v="216.08"/>
    <n v="174.61"/>
    <n v="41.47"/>
    <n v="1"/>
    <n v="0"/>
    <n v="4"/>
    <n v="4"/>
  </r>
  <r>
    <s v="SW-104629"/>
    <d v="2025-10-29T00:00:00"/>
    <x v="1"/>
    <s v="Q4"/>
    <x v="9"/>
    <x v="0"/>
    <x v="3"/>
    <x v="1"/>
    <x v="4"/>
    <s v="Bluetooth Speaker"/>
    <n v="1"/>
    <n v="177.65"/>
    <n v="0.3"/>
    <x v="3"/>
    <n v="124.35"/>
    <n v="142.31"/>
    <n v="-17.96"/>
    <n v="1"/>
    <n v="0"/>
    <n v="3"/>
    <n v="5"/>
  </r>
  <r>
    <s v="SW-104630"/>
    <d v="2025-10-29T00:00:00"/>
    <x v="1"/>
    <s v="Q4"/>
    <x v="9"/>
    <x v="1"/>
    <x v="2"/>
    <x v="0"/>
    <x v="2"/>
    <s v="Air Fryer"/>
    <n v="2"/>
    <n v="68.349999999999994"/>
    <n v="0"/>
    <x v="2"/>
    <n v="136.69999999999999"/>
    <n v="87.98"/>
    <n v="48.72"/>
    <n v="1"/>
    <n v="0"/>
    <n v="6"/>
    <n v="3"/>
  </r>
  <r>
    <s v="SW-104631"/>
    <d v="2025-10-30T00:00:00"/>
    <x v="1"/>
    <s v="Q4"/>
    <x v="9"/>
    <x v="1"/>
    <x v="4"/>
    <x v="0"/>
    <x v="3"/>
    <s v="Dumbbell Set"/>
    <n v="1"/>
    <n v="198.42"/>
    <n v="0"/>
    <x v="2"/>
    <n v="198.42"/>
    <n v="136.9"/>
    <n v="61.52"/>
    <n v="1"/>
    <n v="0"/>
    <n v="6"/>
    <n v="3"/>
  </r>
  <r>
    <s v="SW-104632"/>
    <d v="2025-10-30T00:00:00"/>
    <x v="1"/>
    <s v="Q4"/>
    <x v="9"/>
    <x v="1"/>
    <x v="4"/>
    <x v="1"/>
    <x v="4"/>
    <s v="Power Bank"/>
    <n v="1"/>
    <n v="508.8"/>
    <n v="0"/>
    <x v="2"/>
    <n v="508.8"/>
    <n v="413.69"/>
    <n v="95.11"/>
    <n v="1"/>
    <n v="0"/>
    <n v="9"/>
    <n v="4"/>
  </r>
  <r>
    <s v="SW-104633"/>
    <d v="2025-10-30T00:00:00"/>
    <x v="1"/>
    <s v="Q4"/>
    <x v="9"/>
    <x v="0"/>
    <x v="1"/>
    <x v="0"/>
    <x v="0"/>
    <s v="Summer Dress"/>
    <n v="1"/>
    <n v="33.99"/>
    <n v="0.15"/>
    <x v="1"/>
    <n v="28.89"/>
    <n v="17.64"/>
    <n v="11.25"/>
    <n v="1"/>
    <n v="0"/>
    <n v="5"/>
    <n v="5"/>
  </r>
  <r>
    <s v="SW-104634"/>
    <d v="2025-10-30T00:00:00"/>
    <x v="1"/>
    <s v="Q4"/>
    <x v="9"/>
    <x v="0"/>
    <x v="4"/>
    <x v="0"/>
    <x v="5"/>
    <s v="Kids Puzzle"/>
    <n v="1"/>
    <n v="16.97"/>
    <n v="0.15"/>
    <x v="1"/>
    <n v="14.42"/>
    <n v="11.97"/>
    <n v="2.4500000000000002"/>
    <n v="1"/>
    <n v="0"/>
    <n v="7"/>
    <n v="4"/>
  </r>
  <r>
    <s v="SW-104635"/>
    <d v="2025-10-31T00:00:00"/>
    <x v="1"/>
    <s v="Q4"/>
    <x v="9"/>
    <x v="0"/>
    <x v="0"/>
    <x v="1"/>
    <x v="0"/>
    <s v="Summer Dress"/>
    <n v="1"/>
    <n v="33.99"/>
    <n v="0.25"/>
    <x v="3"/>
    <n v="25.49"/>
    <n v="20.25"/>
    <n v="5.24"/>
    <n v="1"/>
    <n v="0"/>
    <n v="3"/>
    <n v="5"/>
  </r>
  <r>
    <s v="SW-104636"/>
    <d v="2025-10-31T00:00:00"/>
    <x v="1"/>
    <s v="Q4"/>
    <x v="9"/>
    <x v="1"/>
    <x v="3"/>
    <x v="0"/>
    <x v="2"/>
    <s v="Air Fryer"/>
    <n v="1"/>
    <n v="68.349999999999994"/>
    <n v="0.3"/>
    <x v="3"/>
    <n v="47.84"/>
    <n v="47.78"/>
    <n v="0.06"/>
    <n v="1"/>
    <n v="0"/>
    <n v="3"/>
    <n v="4"/>
  </r>
  <r>
    <s v="SW-104637"/>
    <d v="2025-10-31T00:00:00"/>
    <x v="1"/>
    <s v="Q4"/>
    <x v="9"/>
    <x v="0"/>
    <x v="4"/>
    <x v="0"/>
    <x v="4"/>
    <s v="Tablet 10in"/>
    <n v="1"/>
    <n v="490.3"/>
    <n v="0.15"/>
    <x v="1"/>
    <n v="416.76"/>
    <n v="394.59"/>
    <n v="22.17"/>
    <n v="1"/>
    <n v="0"/>
    <n v="6"/>
    <n v="4"/>
  </r>
  <r>
    <s v="SW-104638"/>
    <d v="2025-10-31T00:00:00"/>
    <x v="1"/>
    <s v="Q4"/>
    <x v="9"/>
    <x v="0"/>
    <x v="0"/>
    <x v="0"/>
    <x v="2"/>
    <s v="Air Fryer"/>
    <n v="1"/>
    <n v="68.349999999999994"/>
    <n v="0"/>
    <x v="2"/>
    <n v="68.349999999999994"/>
    <n v="45.69"/>
    <n v="22.66"/>
    <n v="1"/>
    <n v="0"/>
    <n v="4"/>
    <n v="4"/>
  </r>
  <r>
    <s v="SW-104639"/>
    <d v="2025-10-31T00:00:00"/>
    <x v="1"/>
    <s v="Q4"/>
    <x v="9"/>
    <x v="1"/>
    <x v="0"/>
    <x v="1"/>
    <x v="4"/>
    <s v="Tablet 10in"/>
    <n v="1"/>
    <n v="490.3"/>
    <n v="0.05"/>
    <x v="0"/>
    <n v="465.78"/>
    <n v="397.98"/>
    <n v="67.8"/>
    <n v="1"/>
    <n v="0"/>
    <n v="3"/>
    <n v="5"/>
  </r>
  <r>
    <s v="SW-104640"/>
    <d v="2025-10-31T00:00:00"/>
    <x v="1"/>
    <s v="Q4"/>
    <x v="9"/>
    <x v="1"/>
    <x v="3"/>
    <x v="0"/>
    <x v="4"/>
    <s v="Bluetooth Speaker"/>
    <n v="1"/>
    <n v="177.65"/>
    <n v="0"/>
    <x v="2"/>
    <n v="177.65"/>
    <n v="142.29"/>
    <n v="35.36"/>
    <n v="1"/>
    <n v="0"/>
    <n v="3"/>
    <n v="4"/>
  </r>
  <r>
    <s v="SW-104641"/>
    <d v="2025-10-31T00:00:00"/>
    <x v="1"/>
    <s v="Q4"/>
    <x v="9"/>
    <x v="0"/>
    <x v="2"/>
    <x v="1"/>
    <x v="1"/>
    <s v="Face Serum"/>
    <n v="1"/>
    <n v="33.479999999999997"/>
    <n v="0.05"/>
    <x v="0"/>
    <n v="31.81"/>
    <n v="16.649999999999999"/>
    <n v="15.16"/>
    <n v="1"/>
    <n v="0"/>
    <n v="3"/>
    <n v="4"/>
  </r>
  <r>
    <s v="SW-104642"/>
    <d v="2025-10-31T00:00:00"/>
    <x v="1"/>
    <s v="Q4"/>
    <x v="9"/>
    <x v="0"/>
    <x v="3"/>
    <x v="0"/>
    <x v="1"/>
    <s v="Hair Dryer"/>
    <n v="4"/>
    <n v="33.18"/>
    <n v="0.2"/>
    <x v="1"/>
    <n v="106.18"/>
    <n v="63.23"/>
    <n v="42.95"/>
    <n v="1"/>
    <n v="0"/>
    <n v="4"/>
    <n v="4"/>
  </r>
  <r>
    <s v="SW-104643"/>
    <d v="2025-10-31T00:00:00"/>
    <x v="1"/>
    <s v="Q4"/>
    <x v="9"/>
    <x v="1"/>
    <x v="0"/>
    <x v="1"/>
    <x v="1"/>
    <s v="Hair Dryer"/>
    <n v="1"/>
    <n v="33.18"/>
    <n v="0.3"/>
    <x v="3"/>
    <n v="23.23"/>
    <n v="16.170000000000002"/>
    <n v="7.06"/>
    <n v="1"/>
    <n v="0"/>
    <n v="3"/>
    <n v="4"/>
  </r>
  <r>
    <s v="SW-104644"/>
    <d v="2025-10-31T00:00:00"/>
    <x v="1"/>
    <s v="Q4"/>
    <x v="9"/>
    <x v="2"/>
    <x v="3"/>
    <x v="1"/>
    <x v="3"/>
    <s v="Dumbbell Set"/>
    <n v="3"/>
    <n v="198.42"/>
    <n v="0.1"/>
    <x v="0"/>
    <n v="535.73"/>
    <n v="385.42"/>
    <n v="150.31"/>
    <n v="1"/>
    <n v="0"/>
    <n v="2"/>
    <n v="4"/>
  </r>
  <r>
    <s v="SW-104645"/>
    <d v="2025-11-01T00:00:00"/>
    <x v="1"/>
    <s v="Q4"/>
    <x v="10"/>
    <x v="1"/>
    <x v="0"/>
    <x v="1"/>
    <x v="1"/>
    <s v="Skin Care Bundle"/>
    <n v="2"/>
    <n v="92.54"/>
    <n v="0"/>
    <x v="2"/>
    <n v="185.08"/>
    <n v="83.92"/>
    <n v="101.16"/>
    <n v="1"/>
    <n v="0"/>
    <n v="5"/>
    <n v="3"/>
  </r>
  <r>
    <s v="SW-104646"/>
    <d v="2025-11-01T00:00:00"/>
    <x v="1"/>
    <s v="Q4"/>
    <x v="10"/>
    <x v="0"/>
    <x v="4"/>
    <x v="0"/>
    <x v="0"/>
    <s v="Cotton T-Shirt"/>
    <n v="1"/>
    <n v="19.41"/>
    <n v="0.1"/>
    <x v="0"/>
    <n v="17.47"/>
    <n v="10.54"/>
    <n v="6.93"/>
    <n v="1"/>
    <n v="0"/>
    <n v="7"/>
    <n v="4"/>
  </r>
  <r>
    <s v="SW-104647"/>
    <d v="2025-11-01T00:00:00"/>
    <x v="1"/>
    <s v="Q4"/>
    <x v="10"/>
    <x v="0"/>
    <x v="4"/>
    <x v="0"/>
    <x v="1"/>
    <s v="Perfume 100ml"/>
    <n v="1"/>
    <n v="54.56"/>
    <n v="0"/>
    <x v="2"/>
    <n v="54.56"/>
    <n v="25.08"/>
    <n v="29.48"/>
    <n v="1"/>
    <n v="0"/>
    <n v="8"/>
    <n v="3"/>
  </r>
  <r>
    <s v="SW-104648"/>
    <d v="2025-11-01T00:00:00"/>
    <x v="1"/>
    <s v="Q4"/>
    <x v="10"/>
    <x v="1"/>
    <x v="3"/>
    <x v="1"/>
    <x v="2"/>
    <s v="Storage Boxes"/>
    <n v="1"/>
    <n v="154.66"/>
    <n v="0"/>
    <x v="2"/>
    <n v="154.66"/>
    <n v="105.32"/>
    <n v="49.34"/>
    <n v="1"/>
    <n v="0"/>
    <n v="4"/>
    <n v="5"/>
  </r>
  <r>
    <s v="SW-104649"/>
    <d v="2025-11-01T00:00:00"/>
    <x v="1"/>
    <s v="Q4"/>
    <x v="10"/>
    <x v="2"/>
    <x v="0"/>
    <x v="1"/>
    <x v="5"/>
    <s v="Bestseller Novel"/>
    <n v="1"/>
    <n v="45.28"/>
    <n v="0.2"/>
    <x v="1"/>
    <n v="36.22"/>
    <n v="32.08"/>
    <n v="4.1399999999999997"/>
    <n v="1"/>
    <n v="0"/>
    <n v="6"/>
    <n v="4"/>
  </r>
  <r>
    <s v="SW-104650"/>
    <d v="2025-11-01T00:00:00"/>
    <x v="1"/>
    <s v="Q4"/>
    <x v="10"/>
    <x v="0"/>
    <x v="3"/>
    <x v="0"/>
    <x v="2"/>
    <s v="Storage Boxes"/>
    <n v="2"/>
    <n v="154.66"/>
    <n v="0.25"/>
    <x v="3"/>
    <n v="231.99"/>
    <n v="199.79"/>
    <n v="32.200000000000003"/>
    <n v="1"/>
    <n v="0"/>
    <n v="4"/>
    <n v="4"/>
  </r>
  <r>
    <s v="SW-104651"/>
    <d v="2025-11-01T00:00:00"/>
    <x v="1"/>
    <s v="Q4"/>
    <x v="10"/>
    <x v="2"/>
    <x v="2"/>
    <x v="0"/>
    <x v="1"/>
    <s v="Face Serum"/>
    <n v="2"/>
    <n v="33.479999999999997"/>
    <n v="0.2"/>
    <x v="1"/>
    <n v="53.57"/>
    <n v="32.74"/>
    <n v="20.83"/>
    <n v="1"/>
    <n v="0"/>
    <n v="4"/>
    <n v="4"/>
  </r>
  <r>
    <s v="SW-104652"/>
    <d v="2025-11-01T00:00:00"/>
    <x v="1"/>
    <s v="Q4"/>
    <x v="10"/>
    <x v="2"/>
    <x v="2"/>
    <x v="0"/>
    <x v="1"/>
    <s v="Skin Care Bundle"/>
    <n v="1"/>
    <n v="92.54"/>
    <n v="0.05"/>
    <x v="0"/>
    <n v="87.91"/>
    <n v="44.66"/>
    <n v="43.25"/>
    <n v="1"/>
    <n v="0"/>
    <n v="4"/>
    <n v="4"/>
  </r>
  <r>
    <s v="SW-104653"/>
    <d v="2025-11-01T00:00:00"/>
    <x v="1"/>
    <s v="Q4"/>
    <x v="10"/>
    <x v="0"/>
    <x v="3"/>
    <x v="0"/>
    <x v="0"/>
    <s v="Running Sneakers"/>
    <n v="1"/>
    <n v="94.85"/>
    <n v="0.1"/>
    <x v="0"/>
    <n v="85.36"/>
    <n v="49.09"/>
    <n v="36.270000000000003"/>
    <n v="1"/>
    <n v="0"/>
    <n v="6"/>
    <n v="4"/>
  </r>
  <r>
    <s v="SW-104654"/>
    <d v="2025-11-01T00:00:00"/>
    <x v="1"/>
    <s v="Q4"/>
    <x v="10"/>
    <x v="1"/>
    <x v="3"/>
    <x v="1"/>
    <x v="4"/>
    <s v="Bluetooth Speaker"/>
    <n v="2"/>
    <n v="177.65"/>
    <n v="0.3"/>
    <x v="3"/>
    <n v="248.71"/>
    <n v="276.07"/>
    <n v="-27.36"/>
    <n v="1"/>
    <n v="0"/>
    <n v="5"/>
    <n v="4"/>
  </r>
  <r>
    <s v="SW-104655"/>
    <d v="2025-11-01T00:00:00"/>
    <x v="1"/>
    <s v="Q4"/>
    <x v="10"/>
    <x v="0"/>
    <x v="2"/>
    <x v="1"/>
    <x v="0"/>
    <s v="Running Sneakers"/>
    <n v="2"/>
    <n v="94.85"/>
    <n v="0.3"/>
    <x v="3"/>
    <n v="132.79"/>
    <n v="104.56"/>
    <n v="28.23"/>
    <n v="1"/>
    <n v="0"/>
    <n v="4"/>
    <n v="5"/>
  </r>
  <r>
    <s v="SW-104656"/>
    <d v="2025-11-01T00:00:00"/>
    <x v="1"/>
    <s v="Q4"/>
    <x v="10"/>
    <x v="0"/>
    <x v="3"/>
    <x v="1"/>
    <x v="0"/>
    <s v="Sunglasses"/>
    <n v="3"/>
    <n v="104.94"/>
    <n v="0.15"/>
    <x v="1"/>
    <n v="267.60000000000002"/>
    <n v="159.94"/>
    <n v="107.66"/>
    <n v="1"/>
    <n v="0"/>
    <n v="5"/>
    <n v="4"/>
  </r>
  <r>
    <s v="SW-104657"/>
    <d v="2025-11-01T00:00:00"/>
    <x v="1"/>
    <s v="Q4"/>
    <x v="10"/>
    <x v="2"/>
    <x v="3"/>
    <x v="0"/>
    <x v="4"/>
    <s v="Smart Watch"/>
    <n v="2"/>
    <n v="216.08"/>
    <n v="0.15"/>
    <x v="1"/>
    <n v="367.34"/>
    <n v="346.08"/>
    <n v="21.26"/>
    <n v="1"/>
    <n v="1"/>
    <n v="6"/>
    <n v="2"/>
  </r>
  <r>
    <s v="SW-104658"/>
    <d v="2025-11-02T00:00:00"/>
    <x v="1"/>
    <s v="Q4"/>
    <x v="10"/>
    <x v="1"/>
    <x v="0"/>
    <x v="1"/>
    <x v="0"/>
    <s v="Running Sneakers"/>
    <n v="1"/>
    <n v="94.85"/>
    <n v="0.1"/>
    <x v="0"/>
    <n v="85.36"/>
    <n v="49.24"/>
    <n v="36.119999999999997"/>
    <n v="1"/>
    <n v="0"/>
    <n v="7"/>
    <n v="4"/>
  </r>
  <r>
    <s v="SW-104659"/>
    <d v="2025-11-02T00:00:00"/>
    <x v="1"/>
    <s v="Q4"/>
    <x v="10"/>
    <x v="0"/>
    <x v="1"/>
    <x v="1"/>
    <x v="5"/>
    <s v="Bestseller Novel"/>
    <n v="1"/>
    <n v="45.28"/>
    <n v="0.3"/>
    <x v="3"/>
    <n v="31.7"/>
    <n v="34.06"/>
    <n v="-2.36"/>
    <n v="1"/>
    <n v="0"/>
    <n v="6"/>
    <n v="3"/>
  </r>
  <r>
    <s v="SW-104660"/>
    <d v="2025-11-02T00:00:00"/>
    <x v="1"/>
    <s v="Q4"/>
    <x v="10"/>
    <x v="0"/>
    <x v="2"/>
    <x v="1"/>
    <x v="0"/>
    <s v="Running Sneakers"/>
    <n v="2"/>
    <n v="94.85"/>
    <n v="0.25"/>
    <x v="3"/>
    <n v="142.27000000000001"/>
    <n v="101.86"/>
    <n v="40.409999999999997"/>
    <n v="1"/>
    <n v="0"/>
    <n v="4"/>
    <n v="4"/>
  </r>
  <r>
    <s v="SW-104661"/>
    <d v="2025-11-02T00:00:00"/>
    <x v="1"/>
    <s v="Q4"/>
    <x v="10"/>
    <x v="1"/>
    <x v="4"/>
    <x v="1"/>
    <x v="0"/>
    <s v="Sunglasses"/>
    <n v="1"/>
    <n v="104.94"/>
    <n v="0.05"/>
    <x v="0"/>
    <n v="99.69"/>
    <n v="57.76"/>
    <n v="41.93"/>
    <n v="1"/>
    <n v="0"/>
    <n v="7"/>
    <n v="4"/>
  </r>
  <r>
    <s v="SW-104662"/>
    <d v="2025-11-02T00:00:00"/>
    <x v="1"/>
    <s v="Q4"/>
    <x v="10"/>
    <x v="1"/>
    <x v="0"/>
    <x v="1"/>
    <x v="3"/>
    <s v="Cycling Helmet"/>
    <n v="3"/>
    <n v="85.42"/>
    <n v="0.15"/>
    <x v="1"/>
    <n v="217.82"/>
    <n v="173.42"/>
    <n v="44.4"/>
    <n v="1"/>
    <n v="0"/>
    <n v="5"/>
    <n v="5"/>
  </r>
  <r>
    <s v="SW-104663"/>
    <d v="2025-11-02T00:00:00"/>
    <x v="1"/>
    <s v="Q4"/>
    <x v="10"/>
    <x v="2"/>
    <x v="2"/>
    <x v="0"/>
    <x v="3"/>
    <s v="Fitness Tracker"/>
    <n v="1"/>
    <n v="74.459999999999994"/>
    <n v="0.25"/>
    <x v="3"/>
    <n v="55.84"/>
    <n v="49.13"/>
    <n v="6.71"/>
    <n v="1"/>
    <n v="0"/>
    <n v="5"/>
    <n v="5"/>
  </r>
  <r>
    <s v="SW-104664"/>
    <d v="2025-11-02T00:00:00"/>
    <x v="1"/>
    <s v="Q4"/>
    <x v="10"/>
    <x v="2"/>
    <x v="0"/>
    <x v="1"/>
    <x v="1"/>
    <s v="Skin Care Bundle"/>
    <n v="4"/>
    <n v="92.54"/>
    <n v="0.15"/>
    <x v="1"/>
    <n v="314.64"/>
    <n v="175.73"/>
    <n v="138.91"/>
    <n v="1"/>
    <n v="0"/>
    <n v="8"/>
    <n v="4"/>
  </r>
  <r>
    <s v="SW-104665"/>
    <d v="2025-11-02T00:00:00"/>
    <x v="1"/>
    <s v="Q4"/>
    <x v="10"/>
    <x v="1"/>
    <x v="4"/>
    <x v="1"/>
    <x v="4"/>
    <s v="Tablet 10in"/>
    <n v="1"/>
    <n v="490.3"/>
    <n v="0.05"/>
    <x v="0"/>
    <n v="465.78"/>
    <n v="403.18"/>
    <n v="62.6"/>
    <n v="1"/>
    <n v="0"/>
    <n v="8"/>
    <n v="3"/>
  </r>
  <r>
    <s v="SW-104666"/>
    <d v="2025-11-02T00:00:00"/>
    <x v="1"/>
    <s v="Q4"/>
    <x v="10"/>
    <x v="2"/>
    <x v="3"/>
    <x v="1"/>
    <x v="0"/>
    <s v="Sunglasses"/>
    <n v="2"/>
    <n v="104.94"/>
    <n v="0.25"/>
    <x v="3"/>
    <n v="157.41"/>
    <n v="103.32"/>
    <n v="54.09"/>
    <n v="1"/>
    <n v="1"/>
    <n v="4"/>
    <n v="4"/>
  </r>
  <r>
    <s v="SW-104667"/>
    <d v="2025-11-02T00:00:00"/>
    <x v="1"/>
    <s v="Q4"/>
    <x v="10"/>
    <x v="2"/>
    <x v="0"/>
    <x v="0"/>
    <x v="3"/>
    <s v="Cycling Helmet"/>
    <n v="1"/>
    <n v="85.42"/>
    <n v="0.1"/>
    <x v="0"/>
    <n v="76.88"/>
    <n v="56.16"/>
    <n v="20.72"/>
    <n v="1"/>
    <n v="0"/>
    <n v="5"/>
    <n v="5"/>
  </r>
  <r>
    <s v="SW-104668"/>
    <d v="2025-11-02T00:00:00"/>
    <x v="1"/>
    <s v="Q4"/>
    <x v="10"/>
    <x v="0"/>
    <x v="3"/>
    <x v="0"/>
    <x v="5"/>
    <s v="Story Book Set"/>
    <n v="1"/>
    <n v="10.76"/>
    <n v="0.2"/>
    <x v="1"/>
    <n v="8.61"/>
    <n v="7.96"/>
    <n v="0.65"/>
    <n v="1"/>
    <n v="0"/>
    <n v="5"/>
    <n v="4"/>
  </r>
  <r>
    <s v="SW-104669"/>
    <d v="2025-11-02T00:00:00"/>
    <x v="1"/>
    <s v="Q4"/>
    <x v="10"/>
    <x v="1"/>
    <x v="0"/>
    <x v="1"/>
    <x v="4"/>
    <s v="Wireless Earbuds"/>
    <n v="1"/>
    <n v="588.41"/>
    <n v="0.15"/>
    <x v="1"/>
    <n v="500.15"/>
    <n v="494.13"/>
    <n v="6.02"/>
    <n v="1"/>
    <n v="0"/>
    <n v="5"/>
    <n v="4"/>
  </r>
  <r>
    <s v="SW-104670"/>
    <d v="2025-11-02T00:00:00"/>
    <x v="1"/>
    <s v="Q4"/>
    <x v="10"/>
    <x v="0"/>
    <x v="1"/>
    <x v="0"/>
    <x v="5"/>
    <s v="Board Game"/>
    <n v="1"/>
    <n v="57.92"/>
    <n v="0.15"/>
    <x v="1"/>
    <n v="49.23"/>
    <n v="41.67"/>
    <n v="7.56"/>
    <n v="1"/>
    <n v="0"/>
    <n v="7"/>
    <n v="4"/>
  </r>
  <r>
    <s v="SW-104671"/>
    <d v="2025-11-02T00:00:00"/>
    <x v="1"/>
    <s v="Q4"/>
    <x v="10"/>
    <x v="1"/>
    <x v="2"/>
    <x v="0"/>
    <x v="1"/>
    <s v="Hair Dryer"/>
    <n v="2"/>
    <n v="33.18"/>
    <n v="0.2"/>
    <x v="1"/>
    <n v="53.09"/>
    <n v="31.23"/>
    <n v="21.86"/>
    <n v="1"/>
    <n v="0"/>
    <n v="6"/>
    <n v="4"/>
  </r>
  <r>
    <s v="SW-104672"/>
    <d v="2025-11-02T00:00:00"/>
    <x v="1"/>
    <s v="Q4"/>
    <x v="10"/>
    <x v="0"/>
    <x v="2"/>
    <x v="0"/>
    <x v="4"/>
    <s v="Smart Watch"/>
    <n v="3"/>
    <n v="216.08"/>
    <n v="0.1"/>
    <x v="0"/>
    <n v="583.41999999999996"/>
    <n v="531.52"/>
    <n v="51.9"/>
    <n v="1"/>
    <n v="0"/>
    <n v="4"/>
    <n v="4"/>
  </r>
  <r>
    <s v="SW-104673"/>
    <d v="2025-11-03T00:00:00"/>
    <x v="1"/>
    <s v="Q4"/>
    <x v="10"/>
    <x v="0"/>
    <x v="4"/>
    <x v="0"/>
    <x v="2"/>
    <s v="Coffee Maker"/>
    <n v="2"/>
    <n v="148.05000000000001"/>
    <n v="0.15"/>
    <x v="1"/>
    <n v="251.68"/>
    <n v="197.13"/>
    <n v="54.55"/>
    <n v="1"/>
    <n v="0"/>
    <n v="6"/>
    <n v="3"/>
  </r>
  <r>
    <s v="SW-104674"/>
    <d v="2025-11-03T00:00:00"/>
    <x v="1"/>
    <s v="Q4"/>
    <x v="10"/>
    <x v="2"/>
    <x v="4"/>
    <x v="1"/>
    <x v="1"/>
    <s v="Perfume 100ml"/>
    <n v="1"/>
    <n v="54.56"/>
    <n v="0.05"/>
    <x v="0"/>
    <n v="51.83"/>
    <n v="26.89"/>
    <n v="24.94"/>
    <n v="1"/>
    <n v="0"/>
    <n v="8"/>
    <n v="3"/>
  </r>
  <r>
    <s v="SW-104675"/>
    <d v="2025-11-03T00:00:00"/>
    <x v="1"/>
    <s v="Q4"/>
    <x v="10"/>
    <x v="1"/>
    <x v="3"/>
    <x v="1"/>
    <x v="1"/>
    <s v="Hair Dryer"/>
    <n v="1"/>
    <n v="33.18"/>
    <n v="0.1"/>
    <x v="0"/>
    <n v="29.86"/>
    <n v="16.3"/>
    <n v="13.56"/>
    <n v="1"/>
    <n v="0"/>
    <n v="3"/>
    <n v="5"/>
  </r>
  <r>
    <s v="SW-104676"/>
    <d v="2025-11-03T00:00:00"/>
    <x v="1"/>
    <s v="Q4"/>
    <x v="10"/>
    <x v="2"/>
    <x v="0"/>
    <x v="0"/>
    <x v="3"/>
    <s v="Fitness Tracker"/>
    <n v="4"/>
    <n v="74.459999999999994"/>
    <n v="0.15"/>
    <x v="1"/>
    <n v="253.16"/>
    <n v="195.16"/>
    <n v="58"/>
    <n v="1"/>
    <n v="0"/>
    <n v="6"/>
    <n v="4"/>
  </r>
  <r>
    <s v="SW-104677"/>
    <d v="2025-11-03T00:00:00"/>
    <x v="1"/>
    <s v="Q4"/>
    <x v="10"/>
    <x v="1"/>
    <x v="0"/>
    <x v="0"/>
    <x v="1"/>
    <s v="Skin Care Bundle"/>
    <n v="1"/>
    <n v="92.54"/>
    <n v="0.2"/>
    <x v="1"/>
    <n v="74.03"/>
    <n v="44.63"/>
    <n v="29.4"/>
    <n v="1"/>
    <n v="0"/>
    <n v="4"/>
    <n v="5"/>
  </r>
  <r>
    <s v="SW-104678"/>
    <d v="2025-11-03T00:00:00"/>
    <x v="1"/>
    <s v="Q4"/>
    <x v="10"/>
    <x v="0"/>
    <x v="3"/>
    <x v="1"/>
    <x v="4"/>
    <s v="4K Action Camera"/>
    <n v="1"/>
    <n v="636.09"/>
    <n v="0.2"/>
    <x v="1"/>
    <n v="508.87"/>
    <n v="499.69"/>
    <n v="9.18"/>
    <n v="1"/>
    <n v="0"/>
    <n v="3"/>
    <n v="4"/>
  </r>
  <r>
    <s v="SW-104679"/>
    <d v="2025-11-03T00:00:00"/>
    <x v="1"/>
    <s v="Q4"/>
    <x v="10"/>
    <x v="2"/>
    <x v="3"/>
    <x v="1"/>
    <x v="1"/>
    <s v="Hair Dryer"/>
    <n v="4"/>
    <n v="33.18"/>
    <n v="0"/>
    <x v="2"/>
    <n v="132.72"/>
    <n v="63.25"/>
    <n v="69.47"/>
    <n v="1"/>
    <n v="0"/>
    <n v="3"/>
    <n v="5"/>
  </r>
  <r>
    <s v="SW-104680"/>
    <d v="2025-11-03T00:00:00"/>
    <x v="1"/>
    <s v="Q4"/>
    <x v="10"/>
    <x v="2"/>
    <x v="2"/>
    <x v="0"/>
    <x v="2"/>
    <s v="Air Fryer"/>
    <n v="1"/>
    <n v="68.349999999999994"/>
    <n v="0.15"/>
    <x v="1"/>
    <n v="58.1"/>
    <n v="46.35"/>
    <n v="11.75"/>
    <n v="1"/>
    <n v="0"/>
    <n v="6"/>
    <n v="4"/>
  </r>
  <r>
    <s v="SW-104681"/>
    <d v="2025-11-03T00:00:00"/>
    <x v="1"/>
    <s v="Q4"/>
    <x v="10"/>
    <x v="0"/>
    <x v="3"/>
    <x v="1"/>
    <x v="2"/>
    <s v="Coffee Maker"/>
    <n v="2"/>
    <n v="148.05000000000001"/>
    <n v="0.15"/>
    <x v="1"/>
    <n v="251.68"/>
    <n v="201.48"/>
    <n v="50.2"/>
    <n v="1"/>
    <n v="0"/>
    <n v="4"/>
    <n v="3"/>
  </r>
  <r>
    <s v="SW-104682"/>
    <d v="2025-11-03T00:00:00"/>
    <x v="1"/>
    <s v="Q4"/>
    <x v="10"/>
    <x v="1"/>
    <x v="2"/>
    <x v="1"/>
    <x v="1"/>
    <s v="Makeup Kit"/>
    <n v="1"/>
    <n v="74.3"/>
    <n v="0.3"/>
    <x v="3"/>
    <n v="52.01"/>
    <n v="34.909999999999997"/>
    <n v="17.100000000000001"/>
    <n v="1"/>
    <n v="0"/>
    <n v="7"/>
    <n v="4"/>
  </r>
  <r>
    <s v="SW-104683"/>
    <d v="2025-11-03T00:00:00"/>
    <x v="1"/>
    <s v="Q4"/>
    <x v="10"/>
    <x v="0"/>
    <x v="2"/>
    <x v="1"/>
    <x v="2"/>
    <s v="Desk Lamp"/>
    <n v="2"/>
    <n v="117.63"/>
    <n v="0.2"/>
    <x v="1"/>
    <n v="188.21"/>
    <n v="155.55000000000001"/>
    <n v="32.659999999999997"/>
    <n v="1"/>
    <n v="0"/>
    <n v="6"/>
    <n v="4"/>
  </r>
  <r>
    <s v="SW-104684"/>
    <d v="2025-11-03T00:00:00"/>
    <x v="1"/>
    <s v="Q4"/>
    <x v="10"/>
    <x v="2"/>
    <x v="3"/>
    <x v="0"/>
    <x v="0"/>
    <s v="Summer Dress"/>
    <n v="1"/>
    <n v="33.99"/>
    <n v="0"/>
    <x v="2"/>
    <n v="33.99"/>
    <n v="18.14"/>
    <n v="15.85"/>
    <n v="1"/>
    <n v="0"/>
    <n v="5"/>
    <n v="5"/>
  </r>
  <r>
    <s v="SW-104685"/>
    <d v="2025-11-03T00:00:00"/>
    <x v="1"/>
    <s v="Q4"/>
    <x v="10"/>
    <x v="0"/>
    <x v="0"/>
    <x v="0"/>
    <x v="0"/>
    <s v="Cotton T-Shirt"/>
    <n v="2"/>
    <n v="19.41"/>
    <n v="0.2"/>
    <x v="1"/>
    <n v="31.06"/>
    <n v="20.77"/>
    <n v="10.29"/>
    <n v="1"/>
    <n v="0"/>
    <n v="7"/>
    <n v="3"/>
  </r>
  <r>
    <s v="SW-104686"/>
    <d v="2025-11-03T00:00:00"/>
    <x v="1"/>
    <s v="Q4"/>
    <x v="10"/>
    <x v="2"/>
    <x v="0"/>
    <x v="1"/>
    <x v="1"/>
    <s v="Makeup Kit"/>
    <n v="1"/>
    <n v="74.3"/>
    <n v="0.1"/>
    <x v="0"/>
    <n v="66.87"/>
    <n v="36.229999999999997"/>
    <n v="30.64"/>
    <n v="1"/>
    <n v="0"/>
    <n v="5"/>
    <n v="4"/>
  </r>
  <r>
    <s v="SW-104687"/>
    <d v="2025-11-03T00:00:00"/>
    <x v="1"/>
    <s v="Q4"/>
    <x v="10"/>
    <x v="1"/>
    <x v="1"/>
    <x v="0"/>
    <x v="5"/>
    <s v="Kids Puzzle"/>
    <n v="1"/>
    <n v="16.97"/>
    <n v="0.25"/>
    <x v="3"/>
    <n v="12.73"/>
    <n v="11.71"/>
    <n v="1.02"/>
    <n v="1"/>
    <n v="0"/>
    <n v="6"/>
    <n v="4"/>
  </r>
  <r>
    <s v="SW-104688"/>
    <d v="2025-11-03T00:00:00"/>
    <x v="1"/>
    <s v="Q4"/>
    <x v="10"/>
    <x v="1"/>
    <x v="0"/>
    <x v="1"/>
    <x v="5"/>
    <s v="Building Blocks"/>
    <n v="2"/>
    <n v="48.86"/>
    <n v="0.2"/>
    <x v="1"/>
    <n v="78.180000000000007"/>
    <n v="74.44"/>
    <n v="3.74"/>
    <n v="1"/>
    <n v="0"/>
    <n v="4"/>
    <n v="5"/>
  </r>
  <r>
    <s v="SW-104689"/>
    <d v="2025-11-04T00:00:00"/>
    <x v="1"/>
    <s v="Q4"/>
    <x v="10"/>
    <x v="0"/>
    <x v="2"/>
    <x v="1"/>
    <x v="0"/>
    <s v="Cotton T-Shirt"/>
    <n v="1"/>
    <n v="19.41"/>
    <n v="0.15"/>
    <x v="1"/>
    <n v="16.5"/>
    <n v="10.17"/>
    <n v="6.33"/>
    <n v="1"/>
    <n v="1"/>
    <n v="5"/>
    <n v="4"/>
  </r>
  <r>
    <s v="SW-104690"/>
    <d v="2025-11-04T00:00:00"/>
    <x v="1"/>
    <s v="Q4"/>
    <x v="10"/>
    <x v="0"/>
    <x v="2"/>
    <x v="1"/>
    <x v="0"/>
    <s v="Denim Jacket"/>
    <n v="1"/>
    <n v="78.510000000000005"/>
    <n v="0.15"/>
    <x v="1"/>
    <n v="66.73"/>
    <n v="42.22"/>
    <n v="24.51"/>
    <n v="1"/>
    <n v="0"/>
    <n v="5"/>
    <n v="5"/>
  </r>
  <r>
    <s v="SW-104691"/>
    <d v="2025-11-04T00:00:00"/>
    <x v="1"/>
    <s v="Q4"/>
    <x v="10"/>
    <x v="1"/>
    <x v="4"/>
    <x v="1"/>
    <x v="0"/>
    <s v="Cotton T-Shirt"/>
    <n v="1"/>
    <n v="19.41"/>
    <n v="0.2"/>
    <x v="1"/>
    <n v="15.53"/>
    <n v="10.63"/>
    <n v="4.9000000000000004"/>
    <n v="1"/>
    <n v="0"/>
    <n v="7"/>
    <n v="3"/>
  </r>
  <r>
    <s v="SW-104692"/>
    <d v="2025-11-04T00:00:00"/>
    <x v="1"/>
    <s v="Q4"/>
    <x v="10"/>
    <x v="2"/>
    <x v="1"/>
    <x v="1"/>
    <x v="3"/>
    <s v="Yoga Mat"/>
    <n v="1"/>
    <n v="137.05000000000001"/>
    <n v="0.2"/>
    <x v="1"/>
    <n v="109.64"/>
    <n v="92.18"/>
    <n v="17.46"/>
    <n v="1"/>
    <n v="0"/>
    <n v="6"/>
    <n v="3"/>
  </r>
  <r>
    <s v="SW-104693"/>
    <d v="2025-11-04T00:00:00"/>
    <x v="1"/>
    <s v="Q4"/>
    <x v="10"/>
    <x v="1"/>
    <x v="0"/>
    <x v="1"/>
    <x v="0"/>
    <s v="Leather Handbag"/>
    <n v="1"/>
    <n v="138.5"/>
    <n v="0.15"/>
    <x v="1"/>
    <n v="117.72"/>
    <n v="71.83"/>
    <n v="45.89"/>
    <n v="1"/>
    <n v="0"/>
    <n v="5"/>
    <n v="5"/>
  </r>
  <r>
    <s v="SW-104694"/>
    <d v="2025-11-04T00:00:00"/>
    <x v="1"/>
    <s v="Q4"/>
    <x v="10"/>
    <x v="0"/>
    <x v="3"/>
    <x v="1"/>
    <x v="5"/>
    <s v="Bestseller Novel"/>
    <n v="1"/>
    <n v="45.28"/>
    <n v="0.3"/>
    <x v="3"/>
    <n v="31.7"/>
    <n v="33.9"/>
    <n v="-2.2000000000000002"/>
    <n v="1"/>
    <n v="0"/>
    <n v="4"/>
    <n v="4"/>
  </r>
  <r>
    <s v="SW-104695"/>
    <d v="2025-11-04T00:00:00"/>
    <x v="1"/>
    <s v="Q4"/>
    <x v="10"/>
    <x v="1"/>
    <x v="3"/>
    <x v="1"/>
    <x v="1"/>
    <s v="Hair Dryer"/>
    <n v="3"/>
    <n v="33.18"/>
    <n v="0.15"/>
    <x v="1"/>
    <n v="84.61"/>
    <n v="46.17"/>
    <n v="38.44"/>
    <n v="1"/>
    <n v="0"/>
    <n v="4"/>
    <n v="4"/>
  </r>
  <r>
    <s v="SW-104696"/>
    <d v="2025-11-05T00:00:00"/>
    <x v="1"/>
    <s v="Q4"/>
    <x v="10"/>
    <x v="0"/>
    <x v="2"/>
    <x v="1"/>
    <x v="3"/>
    <s v="Fitness Tracker"/>
    <n v="1"/>
    <n v="74.459999999999994"/>
    <n v="0.15"/>
    <x v="1"/>
    <n v="63.29"/>
    <n v="52.54"/>
    <n v="10.75"/>
    <n v="1"/>
    <n v="0"/>
    <n v="5"/>
    <n v="4"/>
  </r>
  <r>
    <s v="SW-104697"/>
    <d v="2025-11-05T00:00:00"/>
    <x v="1"/>
    <s v="Q4"/>
    <x v="10"/>
    <x v="0"/>
    <x v="3"/>
    <x v="0"/>
    <x v="4"/>
    <s v="Tablet 10in"/>
    <n v="1"/>
    <n v="490.3"/>
    <n v="0.2"/>
    <x v="1"/>
    <n v="392.24"/>
    <n v="393.21"/>
    <n v="-0.97"/>
    <n v="1"/>
    <n v="0"/>
    <n v="3"/>
    <n v="4"/>
  </r>
  <r>
    <s v="SW-104698"/>
    <d v="2025-11-05T00:00:00"/>
    <x v="1"/>
    <s v="Q4"/>
    <x v="10"/>
    <x v="0"/>
    <x v="4"/>
    <x v="1"/>
    <x v="0"/>
    <s v="Sunglasses"/>
    <n v="1"/>
    <n v="104.94"/>
    <n v="0.2"/>
    <x v="1"/>
    <n v="83.95"/>
    <n v="54.96"/>
    <n v="28.99"/>
    <n v="1"/>
    <n v="0"/>
    <n v="9"/>
    <n v="3"/>
  </r>
  <r>
    <s v="SW-104699"/>
    <d v="2025-11-05T00:00:00"/>
    <x v="1"/>
    <s v="Q4"/>
    <x v="10"/>
    <x v="1"/>
    <x v="0"/>
    <x v="1"/>
    <x v="0"/>
    <s v="Sunglasses"/>
    <n v="1"/>
    <n v="104.94"/>
    <n v="0.25"/>
    <x v="3"/>
    <n v="78.7"/>
    <n v="55.76"/>
    <n v="22.94"/>
    <n v="1"/>
    <n v="0"/>
    <n v="5"/>
    <n v="3"/>
  </r>
  <r>
    <s v="SW-104700"/>
    <d v="2025-11-05T00:00:00"/>
    <x v="1"/>
    <s v="Q4"/>
    <x v="10"/>
    <x v="1"/>
    <x v="2"/>
    <x v="0"/>
    <x v="4"/>
    <s v="Power Bank"/>
    <n v="1"/>
    <n v="508.8"/>
    <n v="0.2"/>
    <x v="1"/>
    <n v="407.04"/>
    <n v="415.59"/>
    <n v="-8.5500000000000007"/>
    <n v="1"/>
    <n v="0"/>
    <n v="4"/>
    <n v="4"/>
  </r>
  <r>
    <s v="SW-104701"/>
    <d v="2025-11-05T00:00:00"/>
    <x v="1"/>
    <s v="Q4"/>
    <x v="10"/>
    <x v="0"/>
    <x v="2"/>
    <x v="1"/>
    <x v="4"/>
    <s v="Smart Watch"/>
    <n v="1"/>
    <n v="216.08"/>
    <n v="0.2"/>
    <x v="1"/>
    <n v="172.86"/>
    <n v="170.88"/>
    <n v="1.98"/>
    <n v="1"/>
    <n v="0"/>
    <n v="6"/>
    <n v="3"/>
  </r>
  <r>
    <s v="SW-104702"/>
    <d v="2025-11-05T00:00:00"/>
    <x v="1"/>
    <s v="Q4"/>
    <x v="10"/>
    <x v="1"/>
    <x v="2"/>
    <x v="0"/>
    <x v="3"/>
    <s v="Camping Tent"/>
    <n v="1"/>
    <n v="83.06"/>
    <n v="0.3"/>
    <x v="3"/>
    <n v="58.14"/>
    <n v="58.38"/>
    <n v="-0.24"/>
    <n v="1"/>
    <n v="0"/>
    <n v="6"/>
    <n v="4"/>
  </r>
  <r>
    <s v="SW-104703"/>
    <d v="2025-11-05T00:00:00"/>
    <x v="1"/>
    <s v="Q4"/>
    <x v="10"/>
    <x v="1"/>
    <x v="2"/>
    <x v="1"/>
    <x v="5"/>
    <s v="Building Blocks"/>
    <n v="2"/>
    <n v="48.86"/>
    <n v="0.1"/>
    <x v="0"/>
    <n v="87.95"/>
    <n v="71.92"/>
    <n v="16.03"/>
    <n v="1"/>
    <n v="1"/>
    <n v="5"/>
    <n v="4"/>
  </r>
  <r>
    <s v="SW-104704"/>
    <d v="2025-11-05T00:00:00"/>
    <x v="1"/>
    <s v="Q4"/>
    <x v="10"/>
    <x v="1"/>
    <x v="4"/>
    <x v="0"/>
    <x v="3"/>
    <s v="Dumbbell Set"/>
    <n v="2"/>
    <n v="198.42"/>
    <n v="0"/>
    <x v="2"/>
    <n v="396.84"/>
    <n v="272.19"/>
    <n v="124.65"/>
    <n v="1"/>
    <n v="0"/>
    <n v="7"/>
    <n v="4"/>
  </r>
  <r>
    <s v="SW-104705"/>
    <d v="2025-11-05T00:00:00"/>
    <x v="1"/>
    <s v="Q4"/>
    <x v="10"/>
    <x v="1"/>
    <x v="3"/>
    <x v="1"/>
    <x v="0"/>
    <s v="Leather Handbag"/>
    <n v="1"/>
    <n v="138.5"/>
    <n v="0.15"/>
    <x v="1"/>
    <n v="117.72"/>
    <n v="70.52"/>
    <n v="47.2"/>
    <n v="1"/>
    <n v="0"/>
    <n v="4"/>
    <n v="4"/>
  </r>
  <r>
    <s v="SW-104706"/>
    <d v="2025-11-05T00:00:00"/>
    <x v="1"/>
    <s v="Q4"/>
    <x v="10"/>
    <x v="1"/>
    <x v="3"/>
    <x v="0"/>
    <x v="3"/>
    <s v="Dumbbell Set"/>
    <n v="1"/>
    <n v="198.42"/>
    <n v="0.15"/>
    <x v="1"/>
    <n v="168.66"/>
    <n v="124.81"/>
    <n v="43.85"/>
    <n v="1"/>
    <n v="0"/>
    <n v="4"/>
    <n v="5"/>
  </r>
  <r>
    <s v="SW-104707"/>
    <d v="2025-11-05T00:00:00"/>
    <x v="1"/>
    <s v="Q4"/>
    <x v="10"/>
    <x v="1"/>
    <x v="2"/>
    <x v="1"/>
    <x v="3"/>
    <s v="Yoga Mat"/>
    <n v="4"/>
    <n v="137.05000000000001"/>
    <n v="0.2"/>
    <x v="1"/>
    <n v="438.56"/>
    <n v="377.41"/>
    <n v="61.15"/>
    <n v="1"/>
    <n v="0"/>
    <n v="6"/>
    <n v="3"/>
  </r>
  <r>
    <s v="SW-104708"/>
    <d v="2025-11-05T00:00:00"/>
    <x v="1"/>
    <s v="Q4"/>
    <x v="10"/>
    <x v="2"/>
    <x v="0"/>
    <x v="0"/>
    <x v="1"/>
    <s v="Skin Care Bundle"/>
    <n v="1"/>
    <n v="92.54"/>
    <n v="0.15"/>
    <x v="1"/>
    <n v="78.66"/>
    <n v="43.32"/>
    <n v="35.340000000000003"/>
    <n v="1"/>
    <n v="0"/>
    <n v="4"/>
    <n v="5"/>
  </r>
  <r>
    <s v="SW-104709"/>
    <d v="2025-11-05T00:00:00"/>
    <x v="1"/>
    <s v="Q4"/>
    <x v="10"/>
    <x v="2"/>
    <x v="2"/>
    <x v="1"/>
    <x v="0"/>
    <s v="Cotton T-Shirt"/>
    <n v="1"/>
    <n v="19.41"/>
    <n v="0"/>
    <x v="2"/>
    <n v="19.41"/>
    <n v="10.8"/>
    <n v="8.61"/>
    <n v="1"/>
    <n v="0"/>
    <n v="5"/>
    <n v="5"/>
  </r>
  <r>
    <s v="SW-104710"/>
    <d v="2025-11-05T00:00:00"/>
    <x v="1"/>
    <s v="Q4"/>
    <x v="10"/>
    <x v="2"/>
    <x v="2"/>
    <x v="1"/>
    <x v="1"/>
    <s v="Perfume 100ml"/>
    <n v="1"/>
    <n v="54.56"/>
    <n v="0.1"/>
    <x v="0"/>
    <n v="49.1"/>
    <n v="26.42"/>
    <n v="22.68"/>
    <n v="1"/>
    <n v="0"/>
    <n v="5"/>
    <n v="4"/>
  </r>
  <r>
    <s v="SW-104711"/>
    <d v="2025-11-05T00:00:00"/>
    <x v="1"/>
    <s v="Q4"/>
    <x v="10"/>
    <x v="1"/>
    <x v="0"/>
    <x v="1"/>
    <x v="4"/>
    <s v="Bluetooth Speaker"/>
    <n v="2"/>
    <n v="177.65"/>
    <n v="0.1"/>
    <x v="0"/>
    <n v="319.77"/>
    <n v="291.56"/>
    <n v="28.21"/>
    <n v="1"/>
    <n v="0"/>
    <n v="7"/>
    <n v="4"/>
  </r>
  <r>
    <s v="SW-104712"/>
    <d v="2025-11-06T00:00:00"/>
    <x v="1"/>
    <s v="Q4"/>
    <x v="10"/>
    <x v="1"/>
    <x v="1"/>
    <x v="1"/>
    <x v="5"/>
    <s v="Building Blocks"/>
    <n v="1"/>
    <n v="48.86"/>
    <n v="0.15"/>
    <x v="1"/>
    <n v="41.53"/>
    <n v="35.090000000000003"/>
    <n v="6.44"/>
    <n v="1"/>
    <n v="0"/>
    <n v="6"/>
    <n v="4"/>
  </r>
  <r>
    <s v="SW-104713"/>
    <d v="2025-11-06T00:00:00"/>
    <x v="1"/>
    <s v="Q4"/>
    <x v="10"/>
    <x v="0"/>
    <x v="2"/>
    <x v="1"/>
    <x v="2"/>
    <s v="Storage Boxes"/>
    <n v="1"/>
    <n v="154.66"/>
    <n v="0.3"/>
    <x v="3"/>
    <n v="108.26"/>
    <n v="103.96"/>
    <n v="4.3"/>
    <n v="1"/>
    <n v="0"/>
    <n v="5"/>
    <n v="4"/>
  </r>
  <r>
    <s v="SW-104714"/>
    <d v="2025-11-06T00:00:00"/>
    <x v="1"/>
    <s v="Q4"/>
    <x v="10"/>
    <x v="1"/>
    <x v="3"/>
    <x v="0"/>
    <x v="0"/>
    <s v="Leather Handbag"/>
    <n v="1"/>
    <n v="138.5"/>
    <n v="0.15"/>
    <x v="1"/>
    <n v="117.72"/>
    <n v="75.650000000000006"/>
    <n v="42.07"/>
    <n v="1"/>
    <n v="1"/>
    <n v="4"/>
    <n v="3"/>
  </r>
  <r>
    <s v="SW-104715"/>
    <d v="2025-11-06T00:00:00"/>
    <x v="1"/>
    <s v="Q4"/>
    <x v="10"/>
    <x v="0"/>
    <x v="3"/>
    <x v="1"/>
    <x v="4"/>
    <s v="Power Bank"/>
    <n v="1"/>
    <n v="508.8"/>
    <n v="0.3"/>
    <x v="3"/>
    <n v="356.16"/>
    <n v="395.35"/>
    <n v="-39.19"/>
    <n v="1"/>
    <n v="0"/>
    <n v="3"/>
    <n v="4"/>
  </r>
  <r>
    <s v="SW-104716"/>
    <d v="2025-11-06T00:00:00"/>
    <x v="1"/>
    <s v="Q4"/>
    <x v="10"/>
    <x v="2"/>
    <x v="0"/>
    <x v="0"/>
    <x v="4"/>
    <s v="4K Action Camera"/>
    <n v="2"/>
    <n v="636.09"/>
    <n v="0.05"/>
    <x v="0"/>
    <n v="1208.57"/>
    <n v="991.04"/>
    <n v="217.53"/>
    <n v="1"/>
    <n v="0"/>
    <n v="4"/>
    <n v="4"/>
  </r>
  <r>
    <s v="SW-104717"/>
    <d v="2025-11-06T00:00:00"/>
    <x v="1"/>
    <s v="Q4"/>
    <x v="10"/>
    <x v="1"/>
    <x v="2"/>
    <x v="1"/>
    <x v="5"/>
    <s v="Story Book Set"/>
    <n v="2"/>
    <n v="10.76"/>
    <n v="0.15"/>
    <x v="1"/>
    <n v="18.29"/>
    <n v="15.48"/>
    <n v="2.81"/>
    <n v="1"/>
    <n v="0"/>
    <n v="4"/>
    <n v="5"/>
  </r>
  <r>
    <s v="SW-104718"/>
    <d v="2025-11-06T00:00:00"/>
    <x v="1"/>
    <s v="Q4"/>
    <x v="10"/>
    <x v="1"/>
    <x v="0"/>
    <x v="1"/>
    <x v="2"/>
    <s v="Storage Boxes"/>
    <n v="1"/>
    <n v="154.66"/>
    <n v="0.15"/>
    <x v="1"/>
    <n v="131.46"/>
    <n v="102.84"/>
    <n v="28.62"/>
    <n v="1"/>
    <n v="0"/>
    <n v="4"/>
    <n v="4"/>
  </r>
  <r>
    <s v="SW-104719"/>
    <d v="2025-11-07T00:00:00"/>
    <x v="1"/>
    <s v="Q4"/>
    <x v="10"/>
    <x v="0"/>
    <x v="0"/>
    <x v="0"/>
    <x v="0"/>
    <s v="Leather Handbag"/>
    <n v="1"/>
    <n v="138.5"/>
    <n v="0.15"/>
    <x v="1"/>
    <n v="117.72"/>
    <n v="78.069999999999993"/>
    <n v="39.65"/>
    <n v="1"/>
    <n v="0"/>
    <n v="4"/>
    <n v="5"/>
  </r>
  <r>
    <s v="SW-104720"/>
    <d v="2025-11-07T00:00:00"/>
    <x v="1"/>
    <s v="Q4"/>
    <x v="10"/>
    <x v="1"/>
    <x v="2"/>
    <x v="0"/>
    <x v="2"/>
    <s v="Air Fryer"/>
    <n v="1"/>
    <n v="68.349999999999994"/>
    <n v="0.2"/>
    <x v="1"/>
    <n v="54.68"/>
    <n v="45.19"/>
    <n v="9.49"/>
    <n v="1"/>
    <n v="0"/>
    <n v="5"/>
    <n v="4"/>
  </r>
  <r>
    <s v="SW-104721"/>
    <d v="2025-11-07T00:00:00"/>
    <x v="1"/>
    <s v="Q4"/>
    <x v="10"/>
    <x v="1"/>
    <x v="2"/>
    <x v="1"/>
    <x v="0"/>
    <s v="Summer Dress"/>
    <n v="1"/>
    <n v="33.99"/>
    <n v="0"/>
    <x v="2"/>
    <n v="33.99"/>
    <n v="18.489999999999998"/>
    <n v="15.5"/>
    <n v="1"/>
    <n v="0"/>
    <n v="4"/>
    <n v="5"/>
  </r>
  <r>
    <s v="SW-104722"/>
    <d v="2025-11-07T00:00:00"/>
    <x v="1"/>
    <s v="Q4"/>
    <x v="10"/>
    <x v="1"/>
    <x v="3"/>
    <x v="1"/>
    <x v="0"/>
    <s v="Sunglasses"/>
    <n v="1"/>
    <n v="104.94"/>
    <n v="0.3"/>
    <x v="3"/>
    <n v="73.459999999999994"/>
    <n v="56.64"/>
    <n v="16.82"/>
    <n v="1"/>
    <n v="0"/>
    <n v="3"/>
    <n v="5"/>
  </r>
  <r>
    <s v="SW-104723"/>
    <d v="2025-11-07T00:00:00"/>
    <x v="1"/>
    <s v="Q4"/>
    <x v="10"/>
    <x v="1"/>
    <x v="2"/>
    <x v="0"/>
    <x v="1"/>
    <s v="Hair Dryer"/>
    <n v="1"/>
    <n v="33.18"/>
    <n v="0.1"/>
    <x v="0"/>
    <n v="29.86"/>
    <n v="16.309999999999999"/>
    <n v="13.55"/>
    <n v="1"/>
    <n v="0"/>
    <n v="5"/>
    <n v="4"/>
  </r>
  <r>
    <s v="SW-104724"/>
    <d v="2025-11-07T00:00:00"/>
    <x v="1"/>
    <s v="Q4"/>
    <x v="10"/>
    <x v="0"/>
    <x v="3"/>
    <x v="1"/>
    <x v="4"/>
    <s v="Bluetooth Speaker"/>
    <n v="1"/>
    <n v="177.65"/>
    <n v="0.25"/>
    <x v="3"/>
    <n v="133.24"/>
    <n v="149.93"/>
    <n v="-16.690000000000001"/>
    <n v="1"/>
    <n v="0"/>
    <n v="4"/>
    <n v="4"/>
  </r>
  <r>
    <s v="SW-104725"/>
    <d v="2025-11-07T00:00:00"/>
    <x v="1"/>
    <s v="Q4"/>
    <x v="10"/>
    <x v="0"/>
    <x v="2"/>
    <x v="0"/>
    <x v="4"/>
    <s v="Tablet 10in"/>
    <n v="2"/>
    <n v="490.3"/>
    <n v="0.2"/>
    <x v="1"/>
    <n v="784.48"/>
    <n v="749.11"/>
    <n v="35.369999999999997"/>
    <n v="1"/>
    <n v="0"/>
    <n v="4"/>
    <n v="4"/>
  </r>
  <r>
    <s v="SW-104726"/>
    <d v="2025-11-07T00:00:00"/>
    <x v="1"/>
    <s v="Q4"/>
    <x v="10"/>
    <x v="2"/>
    <x v="2"/>
    <x v="0"/>
    <x v="5"/>
    <s v="Board Game"/>
    <n v="3"/>
    <n v="57.92"/>
    <n v="0.1"/>
    <x v="0"/>
    <n v="156.38"/>
    <n v="127.04"/>
    <n v="29.34"/>
    <n v="1"/>
    <n v="0"/>
    <n v="6"/>
    <n v="3"/>
  </r>
  <r>
    <s v="SW-104727"/>
    <d v="2025-11-07T00:00:00"/>
    <x v="1"/>
    <s v="Q4"/>
    <x v="10"/>
    <x v="2"/>
    <x v="3"/>
    <x v="0"/>
    <x v="0"/>
    <s v="Sunglasses"/>
    <n v="3"/>
    <n v="104.94"/>
    <n v="0.2"/>
    <x v="1"/>
    <n v="251.86"/>
    <n v="172.07"/>
    <n v="79.790000000000006"/>
    <n v="1"/>
    <n v="1"/>
    <n v="3"/>
    <n v="3"/>
  </r>
  <r>
    <s v="SW-104728"/>
    <d v="2025-11-07T00:00:00"/>
    <x v="1"/>
    <s v="Q4"/>
    <x v="10"/>
    <x v="1"/>
    <x v="1"/>
    <x v="1"/>
    <x v="0"/>
    <s v="Sunglasses"/>
    <n v="1"/>
    <n v="104.94"/>
    <n v="0.1"/>
    <x v="0"/>
    <n v="94.45"/>
    <n v="54.08"/>
    <n v="40.369999999999997"/>
    <n v="1"/>
    <n v="1"/>
    <n v="8"/>
    <n v="3"/>
  </r>
  <r>
    <s v="SW-104729"/>
    <d v="2025-11-07T00:00:00"/>
    <x v="1"/>
    <s v="Q4"/>
    <x v="10"/>
    <x v="1"/>
    <x v="3"/>
    <x v="1"/>
    <x v="0"/>
    <s v="Leather Handbag"/>
    <n v="3"/>
    <n v="138.5"/>
    <n v="0.3"/>
    <x v="3"/>
    <n v="290.85000000000002"/>
    <n v="223.48"/>
    <n v="67.37"/>
    <n v="1"/>
    <n v="1"/>
    <n v="5"/>
    <n v="4"/>
  </r>
  <r>
    <s v="SW-104730"/>
    <d v="2025-11-07T00:00:00"/>
    <x v="1"/>
    <s v="Q4"/>
    <x v="10"/>
    <x v="1"/>
    <x v="0"/>
    <x v="1"/>
    <x v="3"/>
    <s v="Dumbbell Set"/>
    <n v="1"/>
    <n v="198.42"/>
    <n v="0.1"/>
    <x v="0"/>
    <n v="178.58"/>
    <n v="135.72"/>
    <n v="42.86"/>
    <n v="1"/>
    <n v="0"/>
    <n v="4"/>
    <n v="4"/>
  </r>
  <r>
    <s v="SW-104731"/>
    <d v="2025-11-07T00:00:00"/>
    <x v="1"/>
    <s v="Q4"/>
    <x v="10"/>
    <x v="1"/>
    <x v="0"/>
    <x v="0"/>
    <x v="0"/>
    <s v="Summer Dress"/>
    <n v="1"/>
    <n v="33.99"/>
    <n v="0.3"/>
    <x v="3"/>
    <n v="23.79"/>
    <n v="17.809999999999999"/>
    <n v="5.98"/>
    <n v="1"/>
    <n v="0"/>
    <n v="4"/>
    <n v="4"/>
  </r>
  <r>
    <s v="SW-104732"/>
    <d v="2025-11-08T00:00:00"/>
    <x v="1"/>
    <s v="Q4"/>
    <x v="10"/>
    <x v="1"/>
    <x v="2"/>
    <x v="1"/>
    <x v="0"/>
    <s v="Cotton T-Shirt"/>
    <n v="1"/>
    <n v="19.41"/>
    <n v="0.25"/>
    <x v="3"/>
    <n v="14.56"/>
    <n v="9.9700000000000006"/>
    <n v="4.59"/>
    <n v="1"/>
    <n v="0"/>
    <n v="4"/>
    <n v="4"/>
  </r>
  <r>
    <s v="SW-104733"/>
    <d v="2025-11-08T00:00:00"/>
    <x v="1"/>
    <s v="Q4"/>
    <x v="10"/>
    <x v="1"/>
    <x v="0"/>
    <x v="0"/>
    <x v="5"/>
    <s v="Building Blocks"/>
    <n v="2"/>
    <n v="48.86"/>
    <n v="0.05"/>
    <x v="0"/>
    <n v="92.83"/>
    <n v="68.540000000000006"/>
    <n v="24.29"/>
    <n v="1"/>
    <n v="0"/>
    <n v="6"/>
    <n v="3"/>
  </r>
  <r>
    <s v="SW-104734"/>
    <d v="2025-11-08T00:00:00"/>
    <x v="1"/>
    <s v="Q4"/>
    <x v="10"/>
    <x v="1"/>
    <x v="3"/>
    <x v="0"/>
    <x v="0"/>
    <s v="Sunglasses"/>
    <n v="2"/>
    <n v="104.94"/>
    <n v="0.1"/>
    <x v="0"/>
    <n v="188.89"/>
    <n v="109.62"/>
    <n v="79.27"/>
    <n v="1"/>
    <n v="0"/>
    <n v="4"/>
    <n v="4"/>
  </r>
  <r>
    <s v="SW-104735"/>
    <d v="2025-11-08T00:00:00"/>
    <x v="1"/>
    <s v="Q4"/>
    <x v="10"/>
    <x v="0"/>
    <x v="0"/>
    <x v="1"/>
    <x v="4"/>
    <s v="Power Bank"/>
    <n v="2"/>
    <n v="508.8"/>
    <n v="0.15"/>
    <x v="1"/>
    <n v="864.96"/>
    <n v="805.4"/>
    <n v="59.56"/>
    <n v="1"/>
    <n v="0"/>
    <n v="4"/>
    <n v="4"/>
  </r>
  <r>
    <s v="SW-104736"/>
    <d v="2025-11-08T00:00:00"/>
    <x v="1"/>
    <s v="Q4"/>
    <x v="10"/>
    <x v="1"/>
    <x v="0"/>
    <x v="0"/>
    <x v="1"/>
    <s v="Hair Dryer"/>
    <n v="1"/>
    <n v="33.18"/>
    <n v="0.15"/>
    <x v="1"/>
    <n v="28.2"/>
    <n v="15.37"/>
    <n v="12.83"/>
    <n v="1"/>
    <n v="0"/>
    <n v="5"/>
    <n v="4"/>
  </r>
  <r>
    <s v="SW-104737"/>
    <d v="2025-11-08T00:00:00"/>
    <x v="1"/>
    <s v="Q4"/>
    <x v="10"/>
    <x v="2"/>
    <x v="3"/>
    <x v="1"/>
    <x v="2"/>
    <s v="Air Fryer"/>
    <n v="2"/>
    <n v="68.349999999999994"/>
    <n v="0.1"/>
    <x v="0"/>
    <n v="123.03"/>
    <n v="91.92"/>
    <n v="31.11"/>
    <n v="1"/>
    <n v="0"/>
    <n v="4"/>
    <n v="5"/>
  </r>
  <r>
    <s v="SW-104738"/>
    <d v="2025-11-08T00:00:00"/>
    <x v="1"/>
    <s v="Q4"/>
    <x v="10"/>
    <x v="1"/>
    <x v="3"/>
    <x v="1"/>
    <x v="2"/>
    <s v="Storage Boxes"/>
    <n v="3"/>
    <n v="154.66"/>
    <n v="0.05"/>
    <x v="0"/>
    <n v="440.78"/>
    <n v="306.33999999999997"/>
    <n v="134.44"/>
    <n v="1"/>
    <n v="0"/>
    <n v="6"/>
    <n v="4"/>
  </r>
  <r>
    <s v="SW-104739"/>
    <d v="2025-11-08T00:00:00"/>
    <x v="1"/>
    <s v="Q4"/>
    <x v="10"/>
    <x v="0"/>
    <x v="3"/>
    <x v="1"/>
    <x v="0"/>
    <s v="Cotton T-Shirt"/>
    <n v="1"/>
    <n v="19.41"/>
    <n v="0.15"/>
    <x v="1"/>
    <n v="16.5"/>
    <n v="10.8"/>
    <n v="5.7"/>
    <n v="1"/>
    <n v="1"/>
    <n v="4"/>
    <n v="4"/>
  </r>
  <r>
    <s v="SW-104740"/>
    <d v="2025-11-08T00:00:00"/>
    <x v="1"/>
    <s v="Q4"/>
    <x v="10"/>
    <x v="1"/>
    <x v="3"/>
    <x v="1"/>
    <x v="3"/>
    <s v="Yoga Mat"/>
    <n v="1"/>
    <n v="137.05000000000001"/>
    <n v="0.25"/>
    <x v="3"/>
    <n v="102.79"/>
    <n v="93.3"/>
    <n v="9.49"/>
    <n v="1"/>
    <n v="0"/>
    <n v="4"/>
    <n v="4"/>
  </r>
  <r>
    <s v="SW-104741"/>
    <d v="2025-11-08T00:00:00"/>
    <x v="1"/>
    <s v="Q4"/>
    <x v="10"/>
    <x v="0"/>
    <x v="2"/>
    <x v="0"/>
    <x v="4"/>
    <s v="Power Bank"/>
    <n v="1"/>
    <n v="508.8"/>
    <n v="0.15"/>
    <x v="1"/>
    <n v="432.48"/>
    <n v="409.65"/>
    <n v="22.83"/>
    <n v="1"/>
    <n v="0"/>
    <n v="5"/>
    <n v="5"/>
  </r>
  <r>
    <s v="SW-104742"/>
    <d v="2025-11-08T00:00:00"/>
    <x v="1"/>
    <s v="Q4"/>
    <x v="10"/>
    <x v="1"/>
    <x v="4"/>
    <x v="0"/>
    <x v="2"/>
    <s v="Cookware Set"/>
    <n v="2"/>
    <n v="233.81"/>
    <n v="0.1"/>
    <x v="0"/>
    <n v="420.86"/>
    <n v="307.99"/>
    <n v="112.87"/>
    <n v="1"/>
    <n v="0"/>
    <n v="6"/>
    <n v="4"/>
  </r>
  <r>
    <s v="SW-104743"/>
    <d v="2025-11-09T00:00:00"/>
    <x v="1"/>
    <s v="Q4"/>
    <x v="10"/>
    <x v="1"/>
    <x v="0"/>
    <x v="1"/>
    <x v="4"/>
    <s v="Wireless Earbuds"/>
    <n v="2"/>
    <n v="588.41"/>
    <n v="0.25"/>
    <x v="3"/>
    <n v="882.62"/>
    <n v="926.09"/>
    <n v="-43.47"/>
    <n v="1"/>
    <n v="0"/>
    <n v="5"/>
    <n v="4"/>
  </r>
  <r>
    <s v="SW-104744"/>
    <d v="2025-11-09T00:00:00"/>
    <x v="1"/>
    <s v="Q4"/>
    <x v="10"/>
    <x v="1"/>
    <x v="3"/>
    <x v="1"/>
    <x v="2"/>
    <s v="Desk Lamp"/>
    <n v="1"/>
    <n v="117.63"/>
    <n v="0.25"/>
    <x v="3"/>
    <n v="88.22"/>
    <n v="74.31"/>
    <n v="13.91"/>
    <n v="1"/>
    <n v="0"/>
    <n v="3"/>
    <n v="4"/>
  </r>
  <r>
    <s v="SW-104745"/>
    <d v="2025-11-09T00:00:00"/>
    <x v="1"/>
    <s v="Q4"/>
    <x v="10"/>
    <x v="2"/>
    <x v="1"/>
    <x v="1"/>
    <x v="4"/>
    <s v="Smart Watch"/>
    <n v="1"/>
    <n v="216.08"/>
    <n v="0.25"/>
    <x v="3"/>
    <n v="162.06"/>
    <n v="171.87"/>
    <n v="-9.81"/>
    <n v="1"/>
    <n v="0"/>
    <n v="8"/>
    <n v="5"/>
  </r>
  <r>
    <s v="SW-104746"/>
    <d v="2025-11-09T00:00:00"/>
    <x v="1"/>
    <s v="Q4"/>
    <x v="10"/>
    <x v="1"/>
    <x v="3"/>
    <x v="0"/>
    <x v="2"/>
    <s v="Desk Lamp"/>
    <n v="1"/>
    <n v="117.63"/>
    <n v="0.2"/>
    <x v="1"/>
    <n v="94.1"/>
    <n v="80.92"/>
    <n v="13.18"/>
    <n v="1"/>
    <n v="0"/>
    <n v="8"/>
    <n v="4"/>
  </r>
  <r>
    <s v="SW-104747"/>
    <d v="2025-11-09T00:00:00"/>
    <x v="1"/>
    <s v="Q4"/>
    <x v="10"/>
    <x v="0"/>
    <x v="2"/>
    <x v="0"/>
    <x v="1"/>
    <s v="Face Serum"/>
    <n v="1"/>
    <n v="33.479999999999997"/>
    <n v="0.2"/>
    <x v="1"/>
    <n v="26.78"/>
    <n v="15.77"/>
    <n v="11.01"/>
    <n v="1"/>
    <n v="0"/>
    <n v="4"/>
    <n v="5"/>
  </r>
  <r>
    <s v="SW-104748"/>
    <d v="2025-11-09T00:00:00"/>
    <x v="1"/>
    <s v="Q4"/>
    <x v="10"/>
    <x v="2"/>
    <x v="0"/>
    <x v="1"/>
    <x v="2"/>
    <s v="Desk Lamp"/>
    <n v="1"/>
    <n v="117.63"/>
    <n v="0"/>
    <x v="2"/>
    <n v="117.63"/>
    <n v="77.31"/>
    <n v="40.32"/>
    <n v="1"/>
    <n v="1"/>
    <n v="4"/>
    <n v="3"/>
  </r>
  <r>
    <s v="SW-104749"/>
    <d v="2025-11-09T00:00:00"/>
    <x v="1"/>
    <s v="Q4"/>
    <x v="10"/>
    <x v="0"/>
    <x v="4"/>
    <x v="1"/>
    <x v="4"/>
    <s v="Smart Watch"/>
    <n v="1"/>
    <n v="216.08"/>
    <n v="0.1"/>
    <x v="0"/>
    <n v="194.47"/>
    <n v="171.1"/>
    <n v="23.37"/>
    <n v="1"/>
    <n v="0"/>
    <n v="7"/>
    <n v="3"/>
  </r>
  <r>
    <s v="SW-104750"/>
    <d v="2025-11-09T00:00:00"/>
    <x v="1"/>
    <s v="Q4"/>
    <x v="10"/>
    <x v="1"/>
    <x v="2"/>
    <x v="1"/>
    <x v="2"/>
    <s v="Desk Lamp"/>
    <n v="1"/>
    <n v="117.63"/>
    <n v="0.3"/>
    <x v="3"/>
    <n v="82.34"/>
    <n v="77.73"/>
    <n v="4.6100000000000003"/>
    <n v="1"/>
    <n v="0"/>
    <n v="5"/>
    <n v="5"/>
  </r>
  <r>
    <s v="SW-104751"/>
    <d v="2025-11-09T00:00:00"/>
    <x v="1"/>
    <s v="Q4"/>
    <x v="10"/>
    <x v="1"/>
    <x v="0"/>
    <x v="0"/>
    <x v="1"/>
    <s v="Skin Care Bundle"/>
    <n v="1"/>
    <n v="92.54"/>
    <n v="0.25"/>
    <x v="3"/>
    <n v="69.400000000000006"/>
    <n v="45.45"/>
    <n v="23.95"/>
    <n v="1"/>
    <n v="0"/>
    <n v="5"/>
    <n v="4"/>
  </r>
  <r>
    <s v="SW-104752"/>
    <d v="2025-11-09T00:00:00"/>
    <x v="1"/>
    <s v="Q4"/>
    <x v="10"/>
    <x v="0"/>
    <x v="0"/>
    <x v="1"/>
    <x v="5"/>
    <s v="Bestseller Novel"/>
    <n v="2"/>
    <n v="45.28"/>
    <n v="0.3"/>
    <x v="3"/>
    <n v="63.39"/>
    <n v="63.09"/>
    <n v="0.3"/>
    <n v="1"/>
    <n v="0"/>
    <n v="5"/>
    <n v="4"/>
  </r>
  <r>
    <s v="SW-104753"/>
    <d v="2025-11-09T00:00:00"/>
    <x v="1"/>
    <s v="Q4"/>
    <x v="10"/>
    <x v="0"/>
    <x v="2"/>
    <x v="1"/>
    <x v="4"/>
    <s v="4K Action Camera"/>
    <n v="1"/>
    <n v="636.09"/>
    <n v="0.05"/>
    <x v="0"/>
    <n v="604.29"/>
    <n v="480.26"/>
    <n v="124.03"/>
    <n v="1"/>
    <n v="0"/>
    <n v="4"/>
    <n v="5"/>
  </r>
  <r>
    <s v="SW-104754"/>
    <d v="2025-11-09T00:00:00"/>
    <x v="1"/>
    <s v="Q4"/>
    <x v="10"/>
    <x v="0"/>
    <x v="3"/>
    <x v="0"/>
    <x v="3"/>
    <s v="Dumbbell Set"/>
    <n v="1"/>
    <n v="198.42"/>
    <n v="0.2"/>
    <x v="1"/>
    <n v="158.74"/>
    <n v="130.36000000000001"/>
    <n v="28.38"/>
    <n v="1"/>
    <n v="0"/>
    <n v="3"/>
    <n v="5"/>
  </r>
  <r>
    <s v="SW-104755"/>
    <d v="2025-11-09T00:00:00"/>
    <x v="1"/>
    <s v="Q4"/>
    <x v="10"/>
    <x v="0"/>
    <x v="2"/>
    <x v="0"/>
    <x v="0"/>
    <s v="Denim Jacket"/>
    <n v="1"/>
    <n v="78.510000000000005"/>
    <n v="0.15"/>
    <x v="1"/>
    <n v="66.73"/>
    <n v="41.37"/>
    <n v="25.36"/>
    <n v="1"/>
    <n v="0"/>
    <n v="7"/>
    <n v="4"/>
  </r>
  <r>
    <s v="SW-104756"/>
    <d v="2025-11-09T00:00:00"/>
    <x v="1"/>
    <s v="Q4"/>
    <x v="10"/>
    <x v="1"/>
    <x v="3"/>
    <x v="0"/>
    <x v="0"/>
    <s v="Running Sneakers"/>
    <n v="2"/>
    <n v="94.85"/>
    <n v="0.1"/>
    <x v="0"/>
    <n v="170.73"/>
    <n v="100.57"/>
    <n v="70.16"/>
    <n v="1"/>
    <n v="0"/>
    <n v="3"/>
    <n v="4"/>
  </r>
  <r>
    <s v="SW-104757"/>
    <d v="2025-11-09T00:00:00"/>
    <x v="1"/>
    <s v="Q4"/>
    <x v="10"/>
    <x v="1"/>
    <x v="2"/>
    <x v="1"/>
    <x v="4"/>
    <s v="Power Bank"/>
    <n v="1"/>
    <n v="508.8"/>
    <n v="0.25"/>
    <x v="3"/>
    <n v="381.6"/>
    <n v="423.25"/>
    <n v="-41.65"/>
    <n v="1"/>
    <n v="0"/>
    <n v="4"/>
    <n v="5"/>
  </r>
  <r>
    <s v="SW-104758"/>
    <d v="2025-11-09T00:00:00"/>
    <x v="1"/>
    <s v="Q4"/>
    <x v="10"/>
    <x v="0"/>
    <x v="2"/>
    <x v="1"/>
    <x v="3"/>
    <s v="Fitness Tracker"/>
    <n v="2"/>
    <n v="74.459999999999994"/>
    <n v="0.3"/>
    <x v="3"/>
    <n v="104.24"/>
    <n v="103.75"/>
    <n v="0.49"/>
    <n v="1"/>
    <n v="0"/>
    <n v="5"/>
    <n v="5"/>
  </r>
  <r>
    <s v="SW-104759"/>
    <d v="2025-11-10T00:00:00"/>
    <x v="1"/>
    <s v="Q4"/>
    <x v="10"/>
    <x v="0"/>
    <x v="1"/>
    <x v="1"/>
    <x v="0"/>
    <s v="Cotton T-Shirt"/>
    <n v="3"/>
    <n v="19.41"/>
    <n v="0.3"/>
    <x v="3"/>
    <n v="40.76"/>
    <n v="31.7"/>
    <n v="9.06"/>
    <n v="1"/>
    <n v="0"/>
    <n v="7"/>
    <n v="3"/>
  </r>
  <r>
    <s v="SW-104760"/>
    <d v="2025-11-10T00:00:00"/>
    <x v="1"/>
    <s v="Q4"/>
    <x v="10"/>
    <x v="1"/>
    <x v="2"/>
    <x v="1"/>
    <x v="0"/>
    <s v="Running Sneakers"/>
    <n v="1"/>
    <n v="94.85"/>
    <n v="0.05"/>
    <x v="0"/>
    <n v="90.11"/>
    <n v="51.08"/>
    <n v="39.03"/>
    <n v="1"/>
    <n v="0"/>
    <n v="5"/>
    <n v="4"/>
  </r>
  <r>
    <s v="SW-104761"/>
    <d v="2025-11-10T00:00:00"/>
    <x v="1"/>
    <s v="Q4"/>
    <x v="10"/>
    <x v="1"/>
    <x v="3"/>
    <x v="0"/>
    <x v="0"/>
    <s v="Summer Dress"/>
    <n v="1"/>
    <n v="33.99"/>
    <n v="0"/>
    <x v="2"/>
    <n v="33.99"/>
    <n v="18.77"/>
    <n v="15.22"/>
    <n v="1"/>
    <n v="1"/>
    <n v="3"/>
    <n v="3"/>
  </r>
  <r>
    <s v="SW-104762"/>
    <d v="2025-11-10T00:00:00"/>
    <x v="1"/>
    <s v="Q4"/>
    <x v="10"/>
    <x v="0"/>
    <x v="2"/>
    <x v="0"/>
    <x v="4"/>
    <s v="Power Bank"/>
    <n v="1"/>
    <n v="508.8"/>
    <n v="0.3"/>
    <x v="3"/>
    <n v="356.16"/>
    <n v="401.58"/>
    <n v="-45.42"/>
    <n v="1"/>
    <n v="0"/>
    <n v="6"/>
    <n v="4"/>
  </r>
  <r>
    <s v="SW-104763"/>
    <d v="2025-11-10T00:00:00"/>
    <x v="1"/>
    <s v="Q4"/>
    <x v="10"/>
    <x v="1"/>
    <x v="0"/>
    <x v="1"/>
    <x v="3"/>
    <s v="Fitness Tracker"/>
    <n v="3"/>
    <n v="74.459999999999994"/>
    <n v="0.2"/>
    <x v="1"/>
    <n v="178.7"/>
    <n v="151.97999999999999"/>
    <n v="26.72"/>
    <n v="1"/>
    <n v="0"/>
    <n v="5"/>
    <n v="4"/>
  </r>
  <r>
    <s v="SW-104764"/>
    <d v="2025-11-10T00:00:00"/>
    <x v="1"/>
    <s v="Q4"/>
    <x v="10"/>
    <x v="2"/>
    <x v="2"/>
    <x v="1"/>
    <x v="1"/>
    <s v="Hair Dryer"/>
    <n v="1"/>
    <n v="33.18"/>
    <n v="0.15"/>
    <x v="1"/>
    <n v="28.2"/>
    <n v="15.5"/>
    <n v="12.7"/>
    <n v="1"/>
    <n v="0"/>
    <n v="5"/>
    <n v="4"/>
  </r>
  <r>
    <s v="SW-104765"/>
    <d v="2025-11-10T00:00:00"/>
    <x v="1"/>
    <s v="Q4"/>
    <x v="10"/>
    <x v="0"/>
    <x v="1"/>
    <x v="0"/>
    <x v="3"/>
    <s v="Fitness Tracker"/>
    <n v="1"/>
    <n v="74.459999999999994"/>
    <n v="0.25"/>
    <x v="3"/>
    <n v="55.84"/>
    <n v="49.19"/>
    <n v="6.65"/>
    <n v="1"/>
    <n v="1"/>
    <n v="6"/>
    <n v="1"/>
  </r>
  <r>
    <s v="SW-104766"/>
    <d v="2025-11-10T00:00:00"/>
    <x v="1"/>
    <s v="Q4"/>
    <x v="10"/>
    <x v="1"/>
    <x v="3"/>
    <x v="0"/>
    <x v="4"/>
    <s v="Bluetooth Speaker"/>
    <n v="1"/>
    <n v="177.65"/>
    <n v="0.3"/>
    <x v="3"/>
    <n v="124.35"/>
    <n v="138.77000000000001"/>
    <n v="-14.42"/>
    <n v="1"/>
    <n v="0"/>
    <n v="3"/>
    <n v="4"/>
  </r>
  <r>
    <s v="SW-104767"/>
    <d v="2025-11-10T00:00:00"/>
    <x v="1"/>
    <s v="Q4"/>
    <x v="10"/>
    <x v="0"/>
    <x v="1"/>
    <x v="0"/>
    <x v="2"/>
    <s v="Air Fryer"/>
    <n v="2"/>
    <n v="68.349999999999994"/>
    <n v="0.15"/>
    <x v="1"/>
    <n v="116.2"/>
    <n v="89.23"/>
    <n v="26.97"/>
    <n v="1"/>
    <n v="0"/>
    <n v="7"/>
    <n v="4"/>
  </r>
  <r>
    <s v="SW-104768"/>
    <d v="2025-11-10T00:00:00"/>
    <x v="1"/>
    <s v="Q4"/>
    <x v="10"/>
    <x v="1"/>
    <x v="0"/>
    <x v="1"/>
    <x v="4"/>
    <s v="Tablet 10in"/>
    <n v="1"/>
    <n v="490.3"/>
    <n v="0.25"/>
    <x v="3"/>
    <n v="367.72"/>
    <n v="374.67"/>
    <n v="-6.95"/>
    <n v="1"/>
    <n v="1"/>
    <n v="5"/>
    <n v="2"/>
  </r>
  <r>
    <s v="SW-104769"/>
    <d v="2025-11-11T00:00:00"/>
    <x v="1"/>
    <s v="Q4"/>
    <x v="10"/>
    <x v="1"/>
    <x v="2"/>
    <x v="1"/>
    <x v="5"/>
    <s v="Board Game"/>
    <n v="1"/>
    <n v="57.92"/>
    <n v="0.25"/>
    <x v="3"/>
    <n v="43.44"/>
    <n v="41.9"/>
    <n v="1.54"/>
    <n v="1"/>
    <n v="0"/>
    <n v="5"/>
    <n v="3"/>
  </r>
  <r>
    <s v="SW-104770"/>
    <d v="2025-11-11T00:00:00"/>
    <x v="1"/>
    <s v="Q4"/>
    <x v="10"/>
    <x v="1"/>
    <x v="4"/>
    <x v="0"/>
    <x v="5"/>
    <s v="Board Game"/>
    <n v="1"/>
    <n v="57.92"/>
    <n v="0.25"/>
    <x v="3"/>
    <n v="43.44"/>
    <n v="41.58"/>
    <n v="1.86"/>
    <n v="1"/>
    <n v="0"/>
    <n v="8"/>
    <n v="5"/>
  </r>
  <r>
    <s v="SW-104771"/>
    <d v="2025-11-11T00:00:00"/>
    <x v="1"/>
    <s v="Q4"/>
    <x v="10"/>
    <x v="2"/>
    <x v="3"/>
    <x v="0"/>
    <x v="1"/>
    <s v="Perfume 100ml"/>
    <n v="1"/>
    <n v="54.56"/>
    <n v="0.25"/>
    <x v="3"/>
    <n v="40.92"/>
    <n v="26.61"/>
    <n v="14.31"/>
    <n v="1"/>
    <n v="0"/>
    <n v="3"/>
    <n v="5"/>
  </r>
  <r>
    <s v="SW-104772"/>
    <d v="2025-11-11T00:00:00"/>
    <x v="1"/>
    <s v="Q4"/>
    <x v="10"/>
    <x v="0"/>
    <x v="3"/>
    <x v="1"/>
    <x v="5"/>
    <s v="Kids Puzzle"/>
    <n v="1"/>
    <n v="16.97"/>
    <n v="0"/>
    <x v="2"/>
    <n v="16.97"/>
    <n v="11.73"/>
    <n v="5.24"/>
    <n v="1"/>
    <n v="0"/>
    <n v="4"/>
    <n v="5"/>
  </r>
  <r>
    <s v="SW-104773"/>
    <d v="2025-11-11T00:00:00"/>
    <x v="1"/>
    <s v="Q4"/>
    <x v="10"/>
    <x v="2"/>
    <x v="0"/>
    <x v="1"/>
    <x v="1"/>
    <s v="Perfume 100ml"/>
    <n v="2"/>
    <n v="54.56"/>
    <n v="0.2"/>
    <x v="1"/>
    <n v="87.3"/>
    <n v="49.46"/>
    <n v="37.840000000000003"/>
    <n v="1"/>
    <n v="0"/>
    <n v="4"/>
    <n v="4"/>
  </r>
  <r>
    <s v="SW-104774"/>
    <d v="2025-11-11T00:00:00"/>
    <x v="1"/>
    <s v="Q4"/>
    <x v="10"/>
    <x v="0"/>
    <x v="3"/>
    <x v="1"/>
    <x v="5"/>
    <s v="Building Blocks"/>
    <n v="1"/>
    <n v="48.86"/>
    <n v="0.2"/>
    <x v="1"/>
    <n v="39.090000000000003"/>
    <n v="35.159999999999997"/>
    <n v="3.93"/>
    <n v="1"/>
    <n v="0"/>
    <n v="5"/>
    <n v="4"/>
  </r>
  <r>
    <s v="SW-104775"/>
    <d v="2025-11-11T00:00:00"/>
    <x v="1"/>
    <s v="Q4"/>
    <x v="10"/>
    <x v="0"/>
    <x v="3"/>
    <x v="1"/>
    <x v="5"/>
    <s v="Kids Puzzle"/>
    <n v="1"/>
    <n v="16.97"/>
    <n v="0.05"/>
    <x v="0"/>
    <n v="16.12"/>
    <n v="12.63"/>
    <n v="3.49"/>
    <n v="1"/>
    <n v="0"/>
    <n v="3"/>
    <n v="4"/>
  </r>
  <r>
    <s v="SW-104776"/>
    <d v="2025-11-11T00:00:00"/>
    <x v="1"/>
    <s v="Q4"/>
    <x v="10"/>
    <x v="1"/>
    <x v="0"/>
    <x v="0"/>
    <x v="5"/>
    <s v="Bestseller Novel"/>
    <n v="1"/>
    <n v="45.28"/>
    <n v="0.1"/>
    <x v="0"/>
    <n v="40.75"/>
    <n v="31.53"/>
    <n v="9.2200000000000006"/>
    <n v="1"/>
    <n v="1"/>
    <n v="10"/>
    <n v="2"/>
  </r>
  <r>
    <s v="SW-104777"/>
    <d v="2025-11-11T00:00:00"/>
    <x v="1"/>
    <s v="Q4"/>
    <x v="10"/>
    <x v="1"/>
    <x v="2"/>
    <x v="1"/>
    <x v="1"/>
    <s v="Hair Dryer"/>
    <n v="1"/>
    <n v="33.18"/>
    <n v="0.1"/>
    <x v="0"/>
    <n v="29.86"/>
    <n v="16.47"/>
    <n v="13.39"/>
    <n v="1"/>
    <n v="0"/>
    <n v="4"/>
    <n v="5"/>
  </r>
  <r>
    <s v="SW-104778"/>
    <d v="2025-11-11T00:00:00"/>
    <x v="1"/>
    <s v="Q4"/>
    <x v="10"/>
    <x v="2"/>
    <x v="1"/>
    <x v="1"/>
    <x v="2"/>
    <s v="Desk Lamp"/>
    <n v="1"/>
    <n v="117.63"/>
    <n v="0.25"/>
    <x v="3"/>
    <n v="88.22"/>
    <n v="81.23"/>
    <n v="6.99"/>
    <n v="1"/>
    <n v="0"/>
    <n v="7"/>
    <n v="3"/>
  </r>
  <r>
    <s v="SW-104779"/>
    <d v="2025-11-11T00:00:00"/>
    <x v="1"/>
    <s v="Q4"/>
    <x v="10"/>
    <x v="2"/>
    <x v="3"/>
    <x v="1"/>
    <x v="3"/>
    <s v="Fitness Tracker"/>
    <n v="1"/>
    <n v="74.459999999999994"/>
    <n v="0.05"/>
    <x v="0"/>
    <n v="70.739999999999995"/>
    <n v="50.54"/>
    <n v="20.2"/>
    <n v="1"/>
    <n v="0"/>
    <n v="4"/>
    <n v="4"/>
  </r>
  <r>
    <s v="SW-104780"/>
    <d v="2025-11-11T00:00:00"/>
    <x v="1"/>
    <s v="Q4"/>
    <x v="10"/>
    <x v="1"/>
    <x v="2"/>
    <x v="0"/>
    <x v="2"/>
    <s v="Air Fryer"/>
    <n v="4"/>
    <n v="68.349999999999994"/>
    <n v="0"/>
    <x v="2"/>
    <n v="273.39999999999998"/>
    <n v="172.38"/>
    <n v="101.02"/>
    <n v="1"/>
    <n v="0"/>
    <n v="5"/>
    <n v="4"/>
  </r>
  <r>
    <s v="SW-104781"/>
    <d v="2025-11-12T00:00:00"/>
    <x v="1"/>
    <s v="Q4"/>
    <x v="10"/>
    <x v="1"/>
    <x v="3"/>
    <x v="1"/>
    <x v="3"/>
    <s v="Camping Tent"/>
    <n v="2"/>
    <n v="83.06"/>
    <n v="0.05"/>
    <x v="0"/>
    <n v="157.81"/>
    <n v="111.69"/>
    <n v="46.12"/>
    <n v="1"/>
    <n v="0"/>
    <n v="6"/>
    <n v="4"/>
  </r>
  <r>
    <s v="SW-104782"/>
    <d v="2025-11-12T00:00:00"/>
    <x v="1"/>
    <s v="Q4"/>
    <x v="10"/>
    <x v="2"/>
    <x v="2"/>
    <x v="0"/>
    <x v="1"/>
    <s v="Face Serum"/>
    <n v="2"/>
    <n v="33.479999999999997"/>
    <n v="0.15"/>
    <x v="1"/>
    <n v="56.92"/>
    <n v="31.23"/>
    <n v="25.69"/>
    <n v="1"/>
    <n v="0"/>
    <n v="5"/>
    <n v="4"/>
  </r>
  <r>
    <s v="SW-104783"/>
    <d v="2025-11-12T00:00:00"/>
    <x v="1"/>
    <s v="Q4"/>
    <x v="10"/>
    <x v="1"/>
    <x v="2"/>
    <x v="0"/>
    <x v="4"/>
    <s v="Smart Watch"/>
    <n v="1"/>
    <n v="216.08"/>
    <n v="0.2"/>
    <x v="1"/>
    <n v="172.86"/>
    <n v="170.3"/>
    <n v="2.56"/>
    <n v="1"/>
    <n v="1"/>
    <n v="5"/>
    <n v="3"/>
  </r>
  <r>
    <s v="SW-104784"/>
    <d v="2025-11-12T00:00:00"/>
    <x v="1"/>
    <s v="Q4"/>
    <x v="10"/>
    <x v="0"/>
    <x v="3"/>
    <x v="1"/>
    <x v="2"/>
    <s v="Storage Boxes"/>
    <n v="1"/>
    <n v="154.66"/>
    <n v="0.05"/>
    <x v="0"/>
    <n v="146.93"/>
    <n v="103.54"/>
    <n v="43.39"/>
    <n v="1"/>
    <n v="0"/>
    <n v="4"/>
    <n v="5"/>
  </r>
  <r>
    <s v="SW-104785"/>
    <d v="2025-11-12T00:00:00"/>
    <x v="1"/>
    <s v="Q4"/>
    <x v="10"/>
    <x v="2"/>
    <x v="1"/>
    <x v="0"/>
    <x v="2"/>
    <s v="Air Fryer"/>
    <n v="2"/>
    <n v="68.349999999999994"/>
    <n v="0.15"/>
    <x v="1"/>
    <n v="116.2"/>
    <n v="91.02"/>
    <n v="25.18"/>
    <n v="1"/>
    <n v="0"/>
    <n v="6"/>
    <n v="5"/>
  </r>
  <r>
    <s v="SW-104786"/>
    <d v="2025-11-12T00:00:00"/>
    <x v="1"/>
    <s v="Q4"/>
    <x v="10"/>
    <x v="1"/>
    <x v="3"/>
    <x v="1"/>
    <x v="0"/>
    <s v="Leather Handbag"/>
    <n v="1"/>
    <n v="138.5"/>
    <n v="0.25"/>
    <x v="3"/>
    <n v="103.88"/>
    <n v="75.56"/>
    <n v="28.32"/>
    <n v="1"/>
    <n v="0"/>
    <n v="3"/>
    <n v="4"/>
  </r>
  <r>
    <s v="SW-104787"/>
    <d v="2025-11-12T00:00:00"/>
    <x v="1"/>
    <s v="Q4"/>
    <x v="10"/>
    <x v="1"/>
    <x v="2"/>
    <x v="0"/>
    <x v="0"/>
    <s v="Cotton T-Shirt"/>
    <n v="2"/>
    <n v="19.41"/>
    <n v="0"/>
    <x v="2"/>
    <n v="38.82"/>
    <n v="21.22"/>
    <n v="17.600000000000001"/>
    <n v="1"/>
    <n v="0"/>
    <n v="4"/>
    <n v="5"/>
  </r>
  <r>
    <s v="SW-104788"/>
    <d v="2025-11-12T00:00:00"/>
    <x v="1"/>
    <s v="Q4"/>
    <x v="10"/>
    <x v="2"/>
    <x v="4"/>
    <x v="0"/>
    <x v="1"/>
    <s v="Face Serum"/>
    <n v="1"/>
    <n v="33.479999999999997"/>
    <n v="0.05"/>
    <x v="0"/>
    <n v="31.81"/>
    <n v="16.7"/>
    <n v="15.11"/>
    <n v="1"/>
    <n v="0"/>
    <n v="7"/>
    <n v="3"/>
  </r>
  <r>
    <s v="SW-104789"/>
    <d v="2025-11-12T00:00:00"/>
    <x v="1"/>
    <s v="Q4"/>
    <x v="10"/>
    <x v="0"/>
    <x v="3"/>
    <x v="0"/>
    <x v="0"/>
    <s v="Cotton T-Shirt"/>
    <n v="1"/>
    <n v="19.41"/>
    <n v="0.2"/>
    <x v="1"/>
    <n v="15.53"/>
    <n v="10.96"/>
    <n v="4.57"/>
    <n v="1"/>
    <n v="0"/>
    <n v="3"/>
    <n v="4"/>
  </r>
  <r>
    <s v="SW-104790"/>
    <d v="2025-11-12T00:00:00"/>
    <x v="1"/>
    <s v="Q4"/>
    <x v="10"/>
    <x v="1"/>
    <x v="3"/>
    <x v="0"/>
    <x v="2"/>
    <s v="Storage Boxes"/>
    <n v="2"/>
    <n v="154.66"/>
    <n v="0.25"/>
    <x v="3"/>
    <n v="231.99"/>
    <n v="204.55"/>
    <n v="27.44"/>
    <n v="1"/>
    <n v="0"/>
    <n v="4"/>
    <n v="4"/>
  </r>
  <r>
    <s v="SW-104791"/>
    <d v="2025-11-12T00:00:00"/>
    <x v="1"/>
    <s v="Q4"/>
    <x v="10"/>
    <x v="0"/>
    <x v="3"/>
    <x v="0"/>
    <x v="0"/>
    <s v="Leather Handbag"/>
    <n v="4"/>
    <n v="138.5"/>
    <n v="0.25"/>
    <x v="3"/>
    <n v="415.5"/>
    <n v="300.99"/>
    <n v="114.51"/>
    <n v="1"/>
    <n v="0"/>
    <n v="4"/>
    <n v="5"/>
  </r>
  <r>
    <s v="SW-104792"/>
    <d v="2025-11-13T00:00:00"/>
    <x v="1"/>
    <s v="Q4"/>
    <x v="10"/>
    <x v="1"/>
    <x v="0"/>
    <x v="1"/>
    <x v="2"/>
    <s v="Coffee Maker"/>
    <n v="1"/>
    <n v="148.05000000000001"/>
    <n v="0.3"/>
    <x v="3"/>
    <n v="103.64"/>
    <n v="95.21"/>
    <n v="8.43"/>
    <n v="1"/>
    <n v="0"/>
    <n v="5"/>
    <n v="4"/>
  </r>
  <r>
    <s v="SW-104793"/>
    <d v="2025-11-13T00:00:00"/>
    <x v="1"/>
    <s v="Q4"/>
    <x v="10"/>
    <x v="1"/>
    <x v="0"/>
    <x v="1"/>
    <x v="3"/>
    <s v="Fitness Tracker"/>
    <n v="1"/>
    <n v="74.459999999999994"/>
    <n v="0.05"/>
    <x v="0"/>
    <n v="70.739999999999995"/>
    <n v="49.09"/>
    <n v="21.65"/>
    <n v="1"/>
    <n v="0"/>
    <n v="5"/>
    <n v="5"/>
  </r>
  <r>
    <s v="SW-104794"/>
    <d v="2025-11-13T00:00:00"/>
    <x v="1"/>
    <s v="Q4"/>
    <x v="10"/>
    <x v="0"/>
    <x v="3"/>
    <x v="1"/>
    <x v="0"/>
    <s v="Cotton T-Shirt"/>
    <n v="1"/>
    <n v="19.41"/>
    <n v="0.15"/>
    <x v="1"/>
    <n v="16.5"/>
    <n v="10.31"/>
    <n v="6.19"/>
    <n v="1"/>
    <n v="0"/>
    <n v="4"/>
    <n v="5"/>
  </r>
  <r>
    <s v="SW-104795"/>
    <d v="2025-11-13T00:00:00"/>
    <x v="1"/>
    <s v="Q4"/>
    <x v="10"/>
    <x v="0"/>
    <x v="0"/>
    <x v="0"/>
    <x v="1"/>
    <s v="Hair Dryer"/>
    <n v="1"/>
    <n v="33.18"/>
    <n v="0.3"/>
    <x v="3"/>
    <n v="23.23"/>
    <n v="16.03"/>
    <n v="7.2"/>
    <n v="1"/>
    <n v="0"/>
    <n v="5"/>
    <n v="4"/>
  </r>
  <r>
    <s v="SW-104796"/>
    <d v="2025-11-13T00:00:00"/>
    <x v="1"/>
    <s v="Q4"/>
    <x v="10"/>
    <x v="0"/>
    <x v="2"/>
    <x v="0"/>
    <x v="5"/>
    <s v="Bestseller Novel"/>
    <n v="1"/>
    <n v="45.28"/>
    <n v="0"/>
    <x v="2"/>
    <n v="45.28"/>
    <n v="32.42"/>
    <n v="12.86"/>
    <n v="1"/>
    <n v="0"/>
    <n v="5"/>
    <n v="3"/>
  </r>
  <r>
    <s v="SW-104797"/>
    <d v="2025-11-13T00:00:00"/>
    <x v="1"/>
    <s v="Q4"/>
    <x v="10"/>
    <x v="2"/>
    <x v="3"/>
    <x v="0"/>
    <x v="3"/>
    <s v="Yoga Mat"/>
    <n v="2"/>
    <n v="137.05000000000001"/>
    <n v="0.15"/>
    <x v="1"/>
    <n v="232.98"/>
    <n v="179.41"/>
    <n v="53.57"/>
    <n v="1"/>
    <n v="0"/>
    <n v="5"/>
    <n v="4"/>
  </r>
  <r>
    <s v="SW-104798"/>
    <d v="2025-11-13T00:00:00"/>
    <x v="1"/>
    <s v="Q4"/>
    <x v="10"/>
    <x v="0"/>
    <x v="4"/>
    <x v="0"/>
    <x v="4"/>
    <s v="Tablet 10in"/>
    <n v="1"/>
    <n v="490.3"/>
    <n v="0.25"/>
    <x v="3"/>
    <n v="367.72"/>
    <n v="373"/>
    <n v="-5.28"/>
    <n v="1"/>
    <n v="0"/>
    <n v="6"/>
    <n v="3"/>
  </r>
  <r>
    <s v="SW-104799"/>
    <d v="2025-11-13T00:00:00"/>
    <x v="1"/>
    <s v="Q4"/>
    <x v="10"/>
    <x v="0"/>
    <x v="2"/>
    <x v="1"/>
    <x v="0"/>
    <s v="Summer Dress"/>
    <n v="1"/>
    <n v="33.99"/>
    <n v="0.2"/>
    <x v="1"/>
    <n v="27.19"/>
    <n v="18.88"/>
    <n v="8.31"/>
    <n v="1"/>
    <n v="1"/>
    <n v="4"/>
    <n v="4"/>
  </r>
  <r>
    <s v="SW-104800"/>
    <d v="2025-11-13T00:00:00"/>
    <x v="1"/>
    <s v="Q4"/>
    <x v="10"/>
    <x v="1"/>
    <x v="4"/>
    <x v="0"/>
    <x v="4"/>
    <s v="Bluetooth Speaker"/>
    <n v="1"/>
    <n v="177.65"/>
    <n v="0.15"/>
    <x v="1"/>
    <n v="151"/>
    <n v="140.5"/>
    <n v="10.5"/>
    <n v="1"/>
    <n v="0"/>
    <n v="8"/>
    <n v="4"/>
  </r>
  <r>
    <s v="SW-104801"/>
    <d v="2025-11-13T00:00:00"/>
    <x v="1"/>
    <s v="Q4"/>
    <x v="10"/>
    <x v="1"/>
    <x v="0"/>
    <x v="1"/>
    <x v="1"/>
    <s v="Makeup Kit"/>
    <n v="4"/>
    <n v="74.3"/>
    <n v="0.05"/>
    <x v="0"/>
    <n v="282.33999999999997"/>
    <n v="143.69"/>
    <n v="138.65"/>
    <n v="1"/>
    <n v="0"/>
    <n v="7"/>
    <n v="3"/>
  </r>
  <r>
    <s v="SW-104802"/>
    <d v="2025-11-13T00:00:00"/>
    <x v="1"/>
    <s v="Q4"/>
    <x v="10"/>
    <x v="0"/>
    <x v="2"/>
    <x v="1"/>
    <x v="1"/>
    <s v="Perfume 100ml"/>
    <n v="2"/>
    <n v="54.56"/>
    <n v="0.2"/>
    <x v="1"/>
    <n v="87.3"/>
    <n v="49.02"/>
    <n v="38.28"/>
    <n v="1"/>
    <n v="0"/>
    <n v="6"/>
    <n v="3"/>
  </r>
  <r>
    <s v="SW-104803"/>
    <d v="2025-11-14T00:00:00"/>
    <x v="1"/>
    <s v="Q4"/>
    <x v="10"/>
    <x v="0"/>
    <x v="1"/>
    <x v="1"/>
    <x v="4"/>
    <s v="4K Action Camera"/>
    <n v="1"/>
    <n v="636.09"/>
    <n v="0.3"/>
    <x v="3"/>
    <n v="445.26"/>
    <n v="542.9"/>
    <n v="-97.64"/>
    <n v="1"/>
    <n v="0"/>
    <n v="6"/>
    <n v="4"/>
  </r>
  <r>
    <s v="SW-104804"/>
    <d v="2025-11-14T00:00:00"/>
    <x v="1"/>
    <s v="Q4"/>
    <x v="10"/>
    <x v="1"/>
    <x v="3"/>
    <x v="1"/>
    <x v="3"/>
    <s v="Fitness Tracker"/>
    <n v="2"/>
    <n v="74.459999999999994"/>
    <n v="0.25"/>
    <x v="3"/>
    <n v="111.69"/>
    <n v="97.11"/>
    <n v="14.58"/>
    <n v="1"/>
    <n v="0"/>
    <n v="4"/>
    <n v="5"/>
  </r>
  <r>
    <s v="SW-104805"/>
    <d v="2025-11-14T00:00:00"/>
    <x v="1"/>
    <s v="Q4"/>
    <x v="10"/>
    <x v="1"/>
    <x v="3"/>
    <x v="1"/>
    <x v="1"/>
    <s v="Perfume 100ml"/>
    <n v="2"/>
    <n v="54.56"/>
    <n v="0.15"/>
    <x v="1"/>
    <n v="92.75"/>
    <n v="50.5"/>
    <n v="42.25"/>
    <n v="1"/>
    <n v="0"/>
    <n v="4"/>
    <n v="5"/>
  </r>
  <r>
    <s v="SW-104806"/>
    <d v="2025-11-14T00:00:00"/>
    <x v="1"/>
    <s v="Q4"/>
    <x v="10"/>
    <x v="1"/>
    <x v="2"/>
    <x v="0"/>
    <x v="2"/>
    <s v="Air Fryer"/>
    <n v="1"/>
    <n v="68.349999999999994"/>
    <n v="0.25"/>
    <x v="3"/>
    <n v="51.26"/>
    <n v="43.33"/>
    <n v="7.93"/>
    <n v="1"/>
    <n v="0"/>
    <n v="5"/>
    <n v="4"/>
  </r>
  <r>
    <s v="SW-104807"/>
    <d v="2025-11-14T00:00:00"/>
    <x v="1"/>
    <s v="Q4"/>
    <x v="10"/>
    <x v="0"/>
    <x v="4"/>
    <x v="1"/>
    <x v="0"/>
    <s v="Sunglasses"/>
    <n v="3"/>
    <n v="104.94"/>
    <n v="0.25"/>
    <x v="3"/>
    <n v="236.12"/>
    <n v="175.96"/>
    <n v="60.16"/>
    <n v="1"/>
    <n v="0"/>
    <n v="7"/>
    <n v="3"/>
  </r>
  <r>
    <s v="SW-104808"/>
    <d v="2025-11-14T00:00:00"/>
    <x v="1"/>
    <s v="Q4"/>
    <x v="10"/>
    <x v="1"/>
    <x v="0"/>
    <x v="1"/>
    <x v="4"/>
    <s v="4K Action Camera"/>
    <n v="1"/>
    <n v="636.09"/>
    <n v="0.1"/>
    <x v="0"/>
    <n v="572.48"/>
    <n v="518.38"/>
    <n v="54.1"/>
    <n v="1"/>
    <n v="0"/>
    <n v="6"/>
    <n v="3"/>
  </r>
  <r>
    <s v="SW-104809"/>
    <d v="2025-11-14T00:00:00"/>
    <x v="1"/>
    <s v="Q4"/>
    <x v="10"/>
    <x v="0"/>
    <x v="0"/>
    <x v="1"/>
    <x v="2"/>
    <s v="Cookware Set"/>
    <n v="1"/>
    <n v="233.81"/>
    <n v="0.15"/>
    <x v="1"/>
    <n v="198.74"/>
    <n v="154.81"/>
    <n v="43.93"/>
    <n v="1"/>
    <n v="0"/>
    <n v="5"/>
    <n v="5"/>
  </r>
  <r>
    <s v="SW-104810"/>
    <d v="2025-11-14T00:00:00"/>
    <x v="1"/>
    <s v="Q4"/>
    <x v="10"/>
    <x v="0"/>
    <x v="0"/>
    <x v="0"/>
    <x v="3"/>
    <s v="Fitness Tracker"/>
    <n v="1"/>
    <n v="74.459999999999994"/>
    <n v="0.25"/>
    <x v="3"/>
    <n v="55.84"/>
    <n v="51.02"/>
    <n v="4.82"/>
    <n v="1"/>
    <n v="0"/>
    <n v="5"/>
    <n v="5"/>
  </r>
  <r>
    <s v="SW-104811"/>
    <d v="2025-11-14T00:00:00"/>
    <x v="1"/>
    <s v="Q4"/>
    <x v="10"/>
    <x v="2"/>
    <x v="0"/>
    <x v="1"/>
    <x v="0"/>
    <s v="Sunglasses"/>
    <n v="4"/>
    <n v="104.94"/>
    <n v="0.15"/>
    <x v="1"/>
    <n v="356.8"/>
    <n v="214.68"/>
    <n v="142.12"/>
    <n v="1"/>
    <n v="0"/>
    <n v="5"/>
    <n v="4"/>
  </r>
  <r>
    <s v="SW-104812"/>
    <d v="2025-11-14T00:00:00"/>
    <x v="1"/>
    <s v="Q4"/>
    <x v="10"/>
    <x v="1"/>
    <x v="3"/>
    <x v="0"/>
    <x v="4"/>
    <s v="Bluetooth Speaker"/>
    <n v="1"/>
    <n v="177.65"/>
    <n v="0.2"/>
    <x v="1"/>
    <n v="142.12"/>
    <n v="143.69999999999999"/>
    <n v="-1.58"/>
    <n v="1"/>
    <n v="0"/>
    <n v="6"/>
    <n v="3"/>
  </r>
  <r>
    <s v="SW-104813"/>
    <d v="2025-11-14T00:00:00"/>
    <x v="1"/>
    <s v="Q4"/>
    <x v="10"/>
    <x v="1"/>
    <x v="1"/>
    <x v="0"/>
    <x v="4"/>
    <s v="4K Action Camera"/>
    <n v="4"/>
    <n v="636.09"/>
    <n v="0.15"/>
    <x v="1"/>
    <n v="2162.71"/>
    <n v="2087.1999999999998"/>
    <n v="75.510000000000005"/>
    <n v="1"/>
    <n v="0"/>
    <n v="9"/>
    <n v="4"/>
  </r>
  <r>
    <s v="SW-104814"/>
    <d v="2025-11-14T00:00:00"/>
    <x v="1"/>
    <s v="Q4"/>
    <x v="10"/>
    <x v="1"/>
    <x v="0"/>
    <x v="1"/>
    <x v="3"/>
    <s v="Fitness Tracker"/>
    <n v="2"/>
    <n v="74.459999999999994"/>
    <n v="0.2"/>
    <x v="1"/>
    <n v="119.14"/>
    <n v="95.39"/>
    <n v="23.75"/>
    <n v="1"/>
    <n v="0"/>
    <n v="5"/>
    <n v="5"/>
  </r>
  <r>
    <s v="SW-104815"/>
    <d v="2025-11-14T00:00:00"/>
    <x v="1"/>
    <s v="Q4"/>
    <x v="10"/>
    <x v="2"/>
    <x v="0"/>
    <x v="1"/>
    <x v="0"/>
    <s v="Sunglasses"/>
    <n v="1"/>
    <n v="104.94"/>
    <n v="0.2"/>
    <x v="1"/>
    <n v="83.95"/>
    <n v="56.23"/>
    <n v="27.72"/>
    <n v="1"/>
    <n v="1"/>
    <n v="5"/>
    <n v="3"/>
  </r>
  <r>
    <s v="SW-104816"/>
    <d v="2025-11-14T00:00:00"/>
    <x v="1"/>
    <s v="Q4"/>
    <x v="10"/>
    <x v="1"/>
    <x v="3"/>
    <x v="0"/>
    <x v="4"/>
    <s v="Power Bank"/>
    <n v="1"/>
    <n v="508.8"/>
    <n v="0.25"/>
    <x v="3"/>
    <n v="381.6"/>
    <n v="415.31"/>
    <n v="-33.71"/>
    <n v="1"/>
    <n v="0"/>
    <n v="5"/>
    <n v="5"/>
  </r>
  <r>
    <s v="SW-104817"/>
    <d v="2025-11-14T00:00:00"/>
    <x v="1"/>
    <s v="Q4"/>
    <x v="10"/>
    <x v="0"/>
    <x v="2"/>
    <x v="0"/>
    <x v="2"/>
    <s v="Desk Lamp"/>
    <n v="3"/>
    <n v="117.63"/>
    <n v="0.1"/>
    <x v="0"/>
    <n v="317.60000000000002"/>
    <n v="238"/>
    <n v="79.599999999999994"/>
    <n v="1"/>
    <n v="0"/>
    <n v="5"/>
    <n v="4"/>
  </r>
  <r>
    <s v="SW-104818"/>
    <d v="2025-11-14T00:00:00"/>
    <x v="1"/>
    <s v="Q4"/>
    <x v="10"/>
    <x v="1"/>
    <x v="4"/>
    <x v="0"/>
    <x v="0"/>
    <s v="Denim Jacket"/>
    <n v="1"/>
    <n v="78.510000000000005"/>
    <n v="0.2"/>
    <x v="1"/>
    <n v="62.81"/>
    <n v="41.85"/>
    <n v="20.96"/>
    <n v="1"/>
    <n v="0"/>
    <n v="8"/>
    <n v="4"/>
  </r>
  <r>
    <s v="SW-104819"/>
    <d v="2025-11-15T00:00:00"/>
    <x v="1"/>
    <s v="Q4"/>
    <x v="10"/>
    <x v="2"/>
    <x v="0"/>
    <x v="0"/>
    <x v="2"/>
    <s v="Storage Boxes"/>
    <n v="2"/>
    <n v="154.66"/>
    <n v="0.1"/>
    <x v="0"/>
    <n v="278.39"/>
    <n v="205.27"/>
    <n v="73.12"/>
    <n v="1"/>
    <n v="0"/>
    <n v="6"/>
    <n v="3"/>
  </r>
  <r>
    <s v="SW-104820"/>
    <d v="2025-11-15T00:00:00"/>
    <x v="1"/>
    <s v="Q4"/>
    <x v="10"/>
    <x v="0"/>
    <x v="0"/>
    <x v="1"/>
    <x v="0"/>
    <s v="Summer Dress"/>
    <n v="1"/>
    <n v="33.99"/>
    <n v="0"/>
    <x v="2"/>
    <n v="33.99"/>
    <n v="17.05"/>
    <n v="16.940000000000001"/>
    <n v="1"/>
    <n v="0"/>
    <n v="5"/>
    <n v="4"/>
  </r>
  <r>
    <s v="SW-104821"/>
    <d v="2025-11-15T00:00:00"/>
    <x v="1"/>
    <s v="Q4"/>
    <x v="10"/>
    <x v="0"/>
    <x v="1"/>
    <x v="0"/>
    <x v="2"/>
    <s v="Air Fryer"/>
    <n v="2"/>
    <n v="68.349999999999994"/>
    <n v="0.25"/>
    <x v="3"/>
    <n v="102.52"/>
    <n v="89.1"/>
    <n v="13.42"/>
    <n v="1"/>
    <n v="0"/>
    <n v="7"/>
    <n v="4"/>
  </r>
  <r>
    <s v="SW-104822"/>
    <d v="2025-11-15T00:00:00"/>
    <x v="1"/>
    <s v="Q4"/>
    <x v="10"/>
    <x v="0"/>
    <x v="3"/>
    <x v="1"/>
    <x v="0"/>
    <s v="Running Sneakers"/>
    <n v="1"/>
    <n v="94.85"/>
    <n v="0.1"/>
    <x v="0"/>
    <n v="85.36"/>
    <n v="48.38"/>
    <n v="36.979999999999997"/>
    <n v="1"/>
    <n v="0"/>
    <n v="3"/>
    <n v="5"/>
  </r>
  <r>
    <s v="SW-104823"/>
    <d v="2025-11-15T00:00:00"/>
    <x v="1"/>
    <s v="Q4"/>
    <x v="10"/>
    <x v="1"/>
    <x v="2"/>
    <x v="1"/>
    <x v="4"/>
    <s v="Tablet 10in"/>
    <n v="1"/>
    <n v="490.3"/>
    <n v="0.15"/>
    <x v="1"/>
    <n v="416.76"/>
    <n v="386.42"/>
    <n v="30.34"/>
    <n v="1"/>
    <n v="0"/>
    <n v="7"/>
    <n v="4"/>
  </r>
  <r>
    <s v="SW-104824"/>
    <d v="2025-11-15T00:00:00"/>
    <x v="1"/>
    <s v="Q4"/>
    <x v="10"/>
    <x v="2"/>
    <x v="0"/>
    <x v="1"/>
    <x v="4"/>
    <s v="4K Action Camera"/>
    <n v="1"/>
    <n v="636.09"/>
    <n v="0.1"/>
    <x v="0"/>
    <n v="572.48"/>
    <n v="523.82000000000005"/>
    <n v="48.66"/>
    <n v="1"/>
    <n v="0"/>
    <n v="5"/>
    <n v="4"/>
  </r>
  <r>
    <s v="SW-104825"/>
    <d v="2025-11-15T00:00:00"/>
    <x v="1"/>
    <s v="Q4"/>
    <x v="10"/>
    <x v="1"/>
    <x v="4"/>
    <x v="0"/>
    <x v="4"/>
    <s v="Smart Watch"/>
    <n v="1"/>
    <n v="216.08"/>
    <n v="0.3"/>
    <x v="3"/>
    <n v="151.26"/>
    <n v="165.59"/>
    <n v="-14.33"/>
    <n v="1"/>
    <n v="0"/>
    <n v="7"/>
    <n v="5"/>
  </r>
  <r>
    <s v="SW-104826"/>
    <d v="2025-11-15T00:00:00"/>
    <x v="1"/>
    <s v="Q4"/>
    <x v="10"/>
    <x v="0"/>
    <x v="1"/>
    <x v="1"/>
    <x v="5"/>
    <s v="Building Blocks"/>
    <n v="1"/>
    <n v="48.86"/>
    <n v="0.25"/>
    <x v="3"/>
    <n v="36.64"/>
    <n v="36.51"/>
    <n v="0.13"/>
    <n v="1"/>
    <n v="0"/>
    <n v="7"/>
    <n v="3"/>
  </r>
  <r>
    <s v="SW-104827"/>
    <d v="2025-11-15T00:00:00"/>
    <x v="1"/>
    <s v="Q4"/>
    <x v="10"/>
    <x v="2"/>
    <x v="3"/>
    <x v="1"/>
    <x v="1"/>
    <s v="Face Serum"/>
    <n v="1"/>
    <n v="33.479999999999997"/>
    <n v="0.05"/>
    <x v="0"/>
    <n v="31.81"/>
    <n v="16.63"/>
    <n v="15.18"/>
    <n v="1"/>
    <n v="0"/>
    <n v="4"/>
    <n v="5"/>
  </r>
  <r>
    <s v="SW-104828"/>
    <d v="2025-11-15T00:00:00"/>
    <x v="1"/>
    <s v="Q4"/>
    <x v="10"/>
    <x v="0"/>
    <x v="1"/>
    <x v="1"/>
    <x v="2"/>
    <s v="Storage Boxes"/>
    <n v="1"/>
    <n v="154.66"/>
    <n v="0.15"/>
    <x v="1"/>
    <n v="131.46"/>
    <n v="102.02"/>
    <n v="29.44"/>
    <n v="1"/>
    <n v="0"/>
    <n v="10"/>
    <n v="3"/>
  </r>
  <r>
    <s v="SW-104829"/>
    <d v="2025-11-15T00:00:00"/>
    <x v="1"/>
    <s v="Q4"/>
    <x v="10"/>
    <x v="1"/>
    <x v="2"/>
    <x v="1"/>
    <x v="2"/>
    <s v="Coffee Maker"/>
    <n v="1"/>
    <n v="148.05000000000001"/>
    <n v="0.15"/>
    <x v="1"/>
    <n v="125.84"/>
    <n v="101.59"/>
    <n v="24.25"/>
    <n v="1"/>
    <n v="0"/>
    <n v="4"/>
    <n v="4"/>
  </r>
  <r>
    <s v="SW-104830"/>
    <d v="2025-11-15T00:00:00"/>
    <x v="1"/>
    <s v="Q4"/>
    <x v="10"/>
    <x v="0"/>
    <x v="0"/>
    <x v="1"/>
    <x v="4"/>
    <s v="Wireless Earbuds"/>
    <n v="1"/>
    <n v="588.41"/>
    <n v="0"/>
    <x v="2"/>
    <n v="588.41"/>
    <n v="509.46"/>
    <n v="78.95"/>
    <n v="1"/>
    <n v="0"/>
    <n v="6"/>
    <n v="3"/>
  </r>
  <r>
    <s v="SW-104831"/>
    <d v="2025-11-15T00:00:00"/>
    <x v="1"/>
    <s v="Q4"/>
    <x v="10"/>
    <x v="0"/>
    <x v="4"/>
    <x v="1"/>
    <x v="0"/>
    <s v="Summer Dress"/>
    <n v="1"/>
    <n v="33.99"/>
    <n v="0.25"/>
    <x v="3"/>
    <n v="25.49"/>
    <n v="19.13"/>
    <n v="6.36"/>
    <n v="1"/>
    <n v="0"/>
    <n v="8"/>
    <n v="4"/>
  </r>
  <r>
    <s v="SW-104832"/>
    <d v="2025-11-16T00:00:00"/>
    <x v="1"/>
    <s v="Q4"/>
    <x v="10"/>
    <x v="0"/>
    <x v="3"/>
    <x v="1"/>
    <x v="0"/>
    <s v="Leather Handbag"/>
    <n v="1"/>
    <n v="138.5"/>
    <n v="0.2"/>
    <x v="1"/>
    <n v="110.8"/>
    <n v="75.03"/>
    <n v="35.770000000000003"/>
    <n v="1"/>
    <n v="0"/>
    <n v="3"/>
    <n v="4"/>
  </r>
  <r>
    <s v="SW-104833"/>
    <d v="2025-11-16T00:00:00"/>
    <x v="1"/>
    <s v="Q4"/>
    <x v="10"/>
    <x v="1"/>
    <x v="2"/>
    <x v="0"/>
    <x v="4"/>
    <s v="Tablet 10in"/>
    <n v="1"/>
    <n v="490.3"/>
    <n v="0.3"/>
    <x v="3"/>
    <n v="343.21"/>
    <n v="388.54"/>
    <n v="-45.33"/>
    <n v="1"/>
    <n v="0"/>
    <n v="5"/>
    <n v="5"/>
  </r>
  <r>
    <s v="SW-104834"/>
    <d v="2025-11-16T00:00:00"/>
    <x v="1"/>
    <s v="Q4"/>
    <x v="10"/>
    <x v="0"/>
    <x v="2"/>
    <x v="0"/>
    <x v="0"/>
    <s v="Sunglasses"/>
    <n v="1"/>
    <n v="104.94"/>
    <n v="0"/>
    <x v="2"/>
    <n v="104.94"/>
    <n v="57.31"/>
    <n v="47.63"/>
    <n v="1"/>
    <n v="0"/>
    <n v="4"/>
    <n v="5"/>
  </r>
  <r>
    <s v="SW-104835"/>
    <d v="2025-11-16T00:00:00"/>
    <x v="1"/>
    <s v="Q4"/>
    <x v="10"/>
    <x v="0"/>
    <x v="3"/>
    <x v="0"/>
    <x v="0"/>
    <s v="Denim Jacket"/>
    <n v="1"/>
    <n v="78.510000000000005"/>
    <n v="0.05"/>
    <x v="0"/>
    <n v="74.58"/>
    <n v="42.99"/>
    <n v="31.59"/>
    <n v="1"/>
    <n v="0"/>
    <n v="6"/>
    <n v="2"/>
  </r>
  <r>
    <s v="SW-104836"/>
    <d v="2025-11-16T00:00:00"/>
    <x v="1"/>
    <s v="Q4"/>
    <x v="10"/>
    <x v="2"/>
    <x v="0"/>
    <x v="1"/>
    <x v="0"/>
    <s v="Leather Handbag"/>
    <n v="2"/>
    <n v="138.5"/>
    <n v="0.15"/>
    <x v="1"/>
    <n v="235.45"/>
    <n v="153.88"/>
    <n v="81.569999999999993"/>
    <n v="1"/>
    <n v="1"/>
    <n v="6"/>
    <n v="2"/>
  </r>
  <r>
    <s v="SW-104837"/>
    <d v="2025-11-16T00:00:00"/>
    <x v="1"/>
    <s v="Q4"/>
    <x v="10"/>
    <x v="0"/>
    <x v="3"/>
    <x v="0"/>
    <x v="5"/>
    <s v="Story Book Set"/>
    <n v="1"/>
    <n v="10.76"/>
    <n v="0.2"/>
    <x v="1"/>
    <n v="8.61"/>
    <n v="7.56"/>
    <n v="1.05"/>
    <n v="1"/>
    <n v="0"/>
    <n v="4"/>
    <n v="5"/>
  </r>
  <r>
    <s v="SW-104838"/>
    <d v="2025-11-16T00:00:00"/>
    <x v="1"/>
    <s v="Q4"/>
    <x v="10"/>
    <x v="0"/>
    <x v="3"/>
    <x v="1"/>
    <x v="4"/>
    <s v="4K Action Camera"/>
    <n v="1"/>
    <n v="636.09"/>
    <n v="0.1"/>
    <x v="0"/>
    <n v="572.48"/>
    <n v="513.73"/>
    <n v="58.75"/>
    <n v="1"/>
    <n v="0"/>
    <n v="6"/>
    <n v="2"/>
  </r>
  <r>
    <s v="SW-104839"/>
    <d v="2025-11-16T00:00:00"/>
    <x v="1"/>
    <s v="Q4"/>
    <x v="10"/>
    <x v="2"/>
    <x v="2"/>
    <x v="1"/>
    <x v="2"/>
    <s v="Cookware Set"/>
    <n v="1"/>
    <n v="233.81"/>
    <n v="0.2"/>
    <x v="1"/>
    <n v="187.05"/>
    <n v="162.96"/>
    <n v="24.09"/>
    <n v="1"/>
    <n v="0"/>
    <n v="6"/>
    <n v="4"/>
  </r>
  <r>
    <s v="SW-104840"/>
    <d v="2025-11-16T00:00:00"/>
    <x v="1"/>
    <s v="Q4"/>
    <x v="10"/>
    <x v="0"/>
    <x v="4"/>
    <x v="0"/>
    <x v="2"/>
    <s v="Desk Lamp"/>
    <n v="1"/>
    <n v="117.63"/>
    <n v="0.15"/>
    <x v="1"/>
    <n v="99.99"/>
    <n v="78.05"/>
    <n v="21.94"/>
    <n v="1"/>
    <n v="0"/>
    <n v="7"/>
    <n v="3"/>
  </r>
  <r>
    <s v="SW-104841"/>
    <d v="2025-11-16T00:00:00"/>
    <x v="1"/>
    <s v="Q4"/>
    <x v="10"/>
    <x v="1"/>
    <x v="0"/>
    <x v="1"/>
    <x v="3"/>
    <s v="Dumbbell Set"/>
    <n v="1"/>
    <n v="198.42"/>
    <n v="0.2"/>
    <x v="1"/>
    <n v="158.74"/>
    <n v="130.77000000000001"/>
    <n v="27.97"/>
    <n v="1"/>
    <n v="0"/>
    <n v="5"/>
    <n v="4"/>
  </r>
  <r>
    <s v="SW-104842"/>
    <d v="2025-11-16T00:00:00"/>
    <x v="1"/>
    <s v="Q4"/>
    <x v="10"/>
    <x v="2"/>
    <x v="0"/>
    <x v="0"/>
    <x v="5"/>
    <s v="Kids Puzzle"/>
    <n v="1"/>
    <n v="16.97"/>
    <n v="0.15"/>
    <x v="1"/>
    <n v="14.42"/>
    <n v="11.74"/>
    <n v="2.68"/>
    <n v="1"/>
    <n v="0"/>
    <n v="4"/>
    <n v="5"/>
  </r>
  <r>
    <s v="SW-104843"/>
    <d v="2025-11-16T00:00:00"/>
    <x v="1"/>
    <s v="Q4"/>
    <x v="10"/>
    <x v="1"/>
    <x v="3"/>
    <x v="0"/>
    <x v="4"/>
    <s v="Bluetooth Speaker"/>
    <n v="4"/>
    <n v="177.65"/>
    <n v="0.25"/>
    <x v="3"/>
    <n v="532.95000000000005"/>
    <n v="570.62"/>
    <n v="-37.67"/>
    <n v="1"/>
    <n v="0"/>
    <n v="6"/>
    <n v="4"/>
  </r>
  <r>
    <s v="SW-104844"/>
    <d v="2025-11-16T00:00:00"/>
    <x v="1"/>
    <s v="Q4"/>
    <x v="10"/>
    <x v="1"/>
    <x v="3"/>
    <x v="0"/>
    <x v="2"/>
    <s v="Air Fryer"/>
    <n v="1"/>
    <n v="68.349999999999994"/>
    <n v="0.15"/>
    <x v="1"/>
    <n v="58.1"/>
    <n v="49.45"/>
    <n v="8.65"/>
    <n v="1"/>
    <n v="0"/>
    <n v="4"/>
    <n v="4"/>
  </r>
  <r>
    <s v="SW-104845"/>
    <d v="2025-11-17T00:00:00"/>
    <x v="1"/>
    <s v="Q4"/>
    <x v="10"/>
    <x v="0"/>
    <x v="2"/>
    <x v="1"/>
    <x v="0"/>
    <s v="Cotton T-Shirt"/>
    <n v="1"/>
    <n v="19.41"/>
    <n v="0.3"/>
    <x v="3"/>
    <n v="13.59"/>
    <n v="10.24"/>
    <n v="3.35"/>
    <n v="1"/>
    <n v="0"/>
    <n v="5"/>
    <n v="3"/>
  </r>
  <r>
    <s v="SW-104846"/>
    <d v="2025-11-17T00:00:00"/>
    <x v="1"/>
    <s v="Q4"/>
    <x v="10"/>
    <x v="0"/>
    <x v="2"/>
    <x v="0"/>
    <x v="1"/>
    <s v="Makeup Kit"/>
    <n v="1"/>
    <n v="74.3"/>
    <n v="0.3"/>
    <x v="3"/>
    <n v="52.01"/>
    <n v="37.659999999999997"/>
    <n v="14.35"/>
    <n v="1"/>
    <n v="0"/>
    <n v="4"/>
    <n v="5"/>
  </r>
  <r>
    <s v="SW-104847"/>
    <d v="2025-11-17T00:00:00"/>
    <x v="1"/>
    <s v="Q4"/>
    <x v="10"/>
    <x v="0"/>
    <x v="0"/>
    <x v="1"/>
    <x v="2"/>
    <s v="Cookware Set"/>
    <n v="1"/>
    <n v="233.81"/>
    <n v="0.05"/>
    <x v="0"/>
    <n v="222.12"/>
    <n v="155.19999999999999"/>
    <n v="66.92"/>
    <n v="1"/>
    <n v="0"/>
    <n v="5"/>
    <n v="4"/>
  </r>
  <r>
    <s v="SW-104848"/>
    <d v="2025-11-17T00:00:00"/>
    <x v="1"/>
    <s v="Q4"/>
    <x v="10"/>
    <x v="0"/>
    <x v="4"/>
    <x v="1"/>
    <x v="2"/>
    <s v="Cookware Set"/>
    <n v="3"/>
    <n v="233.81"/>
    <n v="0"/>
    <x v="2"/>
    <n v="701.43"/>
    <n v="473.42"/>
    <n v="228.01"/>
    <n v="1"/>
    <n v="0"/>
    <n v="7"/>
    <n v="3"/>
  </r>
  <r>
    <s v="SW-104849"/>
    <d v="2025-11-17T00:00:00"/>
    <x v="1"/>
    <s v="Q4"/>
    <x v="10"/>
    <x v="0"/>
    <x v="2"/>
    <x v="1"/>
    <x v="2"/>
    <s v="Coffee Maker"/>
    <n v="1"/>
    <n v="148.05000000000001"/>
    <n v="0.3"/>
    <x v="3"/>
    <n v="103.64"/>
    <n v="97.96"/>
    <n v="5.68"/>
    <n v="1"/>
    <n v="0"/>
    <n v="4"/>
    <n v="5"/>
  </r>
  <r>
    <s v="SW-104850"/>
    <d v="2025-11-17T00:00:00"/>
    <x v="1"/>
    <s v="Q4"/>
    <x v="10"/>
    <x v="0"/>
    <x v="4"/>
    <x v="1"/>
    <x v="4"/>
    <s v="Power Bank"/>
    <n v="1"/>
    <n v="508.8"/>
    <n v="0.1"/>
    <x v="0"/>
    <n v="457.92"/>
    <n v="397.51"/>
    <n v="60.41"/>
    <n v="1"/>
    <n v="0"/>
    <n v="10"/>
    <n v="3"/>
  </r>
  <r>
    <s v="SW-104851"/>
    <d v="2025-11-17T00:00:00"/>
    <x v="1"/>
    <s v="Q4"/>
    <x v="10"/>
    <x v="0"/>
    <x v="2"/>
    <x v="1"/>
    <x v="3"/>
    <s v="Dumbbell Set"/>
    <n v="1"/>
    <n v="198.42"/>
    <n v="0.15"/>
    <x v="1"/>
    <n v="168.66"/>
    <n v="133.1"/>
    <n v="35.56"/>
    <n v="1"/>
    <n v="0"/>
    <n v="4"/>
    <n v="4"/>
  </r>
  <r>
    <s v="SW-104852"/>
    <d v="2025-11-17T00:00:00"/>
    <x v="1"/>
    <s v="Q4"/>
    <x v="10"/>
    <x v="0"/>
    <x v="0"/>
    <x v="0"/>
    <x v="3"/>
    <s v="Dumbbell Set"/>
    <n v="3"/>
    <n v="198.42"/>
    <n v="0.25"/>
    <x v="3"/>
    <n v="446.44"/>
    <n v="392.13"/>
    <n v="54.31"/>
    <n v="1"/>
    <n v="0"/>
    <n v="5"/>
    <n v="5"/>
  </r>
  <r>
    <s v="SW-104853"/>
    <d v="2025-11-17T00:00:00"/>
    <x v="1"/>
    <s v="Q4"/>
    <x v="10"/>
    <x v="0"/>
    <x v="4"/>
    <x v="1"/>
    <x v="2"/>
    <s v="Bed Sheet Set"/>
    <n v="3"/>
    <n v="90.75"/>
    <n v="0.1"/>
    <x v="0"/>
    <n v="245.02"/>
    <n v="178.28"/>
    <n v="66.739999999999995"/>
    <n v="1"/>
    <n v="0"/>
    <n v="6"/>
    <n v="3"/>
  </r>
  <r>
    <s v="SW-104854"/>
    <d v="2025-11-17T00:00:00"/>
    <x v="1"/>
    <s v="Q4"/>
    <x v="10"/>
    <x v="0"/>
    <x v="2"/>
    <x v="1"/>
    <x v="4"/>
    <s v="Power Bank"/>
    <n v="3"/>
    <n v="508.8"/>
    <n v="0.2"/>
    <x v="1"/>
    <n v="1221.1199999999999"/>
    <n v="1264"/>
    <n v="-42.88"/>
    <n v="1"/>
    <n v="0"/>
    <n v="4"/>
    <n v="4"/>
  </r>
  <r>
    <s v="SW-104855"/>
    <d v="2025-11-17T00:00:00"/>
    <x v="1"/>
    <s v="Q4"/>
    <x v="10"/>
    <x v="2"/>
    <x v="2"/>
    <x v="1"/>
    <x v="5"/>
    <s v="Kids Puzzle"/>
    <n v="1"/>
    <n v="16.97"/>
    <n v="0.25"/>
    <x v="3"/>
    <n v="12.73"/>
    <n v="12.21"/>
    <n v="0.52"/>
    <n v="1"/>
    <n v="0"/>
    <n v="5"/>
    <n v="4"/>
  </r>
  <r>
    <s v="SW-104856"/>
    <d v="2025-11-18T00:00:00"/>
    <x v="1"/>
    <s v="Q4"/>
    <x v="10"/>
    <x v="1"/>
    <x v="2"/>
    <x v="0"/>
    <x v="2"/>
    <s v="Cookware Set"/>
    <n v="1"/>
    <n v="233.81"/>
    <n v="0.25"/>
    <x v="3"/>
    <n v="175.36"/>
    <n v="158.04"/>
    <n v="17.32"/>
    <n v="1"/>
    <n v="0"/>
    <n v="5"/>
    <n v="4"/>
  </r>
  <r>
    <s v="SW-104857"/>
    <d v="2025-11-18T00:00:00"/>
    <x v="1"/>
    <s v="Q4"/>
    <x v="10"/>
    <x v="2"/>
    <x v="4"/>
    <x v="1"/>
    <x v="2"/>
    <s v="Cookware Set"/>
    <n v="2"/>
    <n v="233.81"/>
    <n v="0.2"/>
    <x v="1"/>
    <n v="374.1"/>
    <n v="314.02"/>
    <n v="60.08"/>
    <n v="1"/>
    <n v="0"/>
    <n v="8"/>
    <n v="3"/>
  </r>
  <r>
    <s v="SW-104858"/>
    <d v="2025-11-18T00:00:00"/>
    <x v="1"/>
    <s v="Q4"/>
    <x v="10"/>
    <x v="0"/>
    <x v="4"/>
    <x v="0"/>
    <x v="2"/>
    <s v="Coffee Maker"/>
    <n v="1"/>
    <n v="148.05000000000001"/>
    <n v="0.25"/>
    <x v="3"/>
    <n v="111.04"/>
    <n v="100.18"/>
    <n v="10.86"/>
    <n v="1"/>
    <n v="0"/>
    <n v="9"/>
    <n v="4"/>
  </r>
  <r>
    <s v="SW-104859"/>
    <d v="2025-11-18T00:00:00"/>
    <x v="1"/>
    <s v="Q4"/>
    <x v="10"/>
    <x v="1"/>
    <x v="1"/>
    <x v="1"/>
    <x v="4"/>
    <s v="Tablet 10in"/>
    <n v="1"/>
    <n v="490.3"/>
    <n v="0.2"/>
    <x v="1"/>
    <n v="392.24"/>
    <n v="382.14"/>
    <n v="10.1"/>
    <n v="1"/>
    <n v="0"/>
    <n v="7"/>
    <n v="4"/>
  </r>
  <r>
    <s v="SW-104860"/>
    <d v="2025-11-18T00:00:00"/>
    <x v="1"/>
    <s v="Q4"/>
    <x v="10"/>
    <x v="0"/>
    <x v="3"/>
    <x v="1"/>
    <x v="4"/>
    <s v="Bluetooth Speaker"/>
    <n v="1"/>
    <n v="177.65"/>
    <n v="0.2"/>
    <x v="1"/>
    <n v="142.12"/>
    <n v="141.74"/>
    <n v="0.38"/>
    <n v="1"/>
    <n v="0"/>
    <n v="5"/>
    <n v="4"/>
  </r>
  <r>
    <s v="SW-104861"/>
    <d v="2025-11-18T00:00:00"/>
    <x v="1"/>
    <s v="Q4"/>
    <x v="10"/>
    <x v="1"/>
    <x v="0"/>
    <x v="0"/>
    <x v="0"/>
    <s v="Sunglasses"/>
    <n v="1"/>
    <n v="104.94"/>
    <n v="0.25"/>
    <x v="3"/>
    <n v="78.7"/>
    <n v="56.29"/>
    <n v="22.41"/>
    <n v="1"/>
    <n v="1"/>
    <n v="5"/>
    <n v="3"/>
  </r>
  <r>
    <s v="SW-104862"/>
    <d v="2025-11-18T00:00:00"/>
    <x v="1"/>
    <s v="Q4"/>
    <x v="10"/>
    <x v="2"/>
    <x v="4"/>
    <x v="1"/>
    <x v="4"/>
    <s v="Wireless Earbuds"/>
    <n v="2"/>
    <n v="588.41"/>
    <n v="0.3"/>
    <x v="3"/>
    <n v="823.77"/>
    <n v="993.93"/>
    <n v="-170.16"/>
    <n v="1"/>
    <n v="0"/>
    <n v="8"/>
    <n v="3"/>
  </r>
  <r>
    <s v="SW-104863"/>
    <d v="2025-11-18T00:00:00"/>
    <x v="1"/>
    <s v="Q4"/>
    <x v="10"/>
    <x v="1"/>
    <x v="3"/>
    <x v="1"/>
    <x v="0"/>
    <s v="Summer Dress"/>
    <n v="1"/>
    <n v="33.99"/>
    <n v="0"/>
    <x v="2"/>
    <n v="33.99"/>
    <n v="18.91"/>
    <n v="15.08"/>
    <n v="1"/>
    <n v="0"/>
    <n v="3"/>
    <n v="5"/>
  </r>
  <r>
    <s v="SW-104864"/>
    <d v="2025-11-18T00:00:00"/>
    <x v="1"/>
    <s v="Q4"/>
    <x v="10"/>
    <x v="0"/>
    <x v="0"/>
    <x v="0"/>
    <x v="4"/>
    <s v="Wireless Earbuds"/>
    <n v="2"/>
    <n v="588.41"/>
    <n v="0.2"/>
    <x v="1"/>
    <n v="941.46"/>
    <n v="923.24"/>
    <n v="18.22"/>
    <n v="1"/>
    <n v="0"/>
    <n v="4"/>
    <n v="5"/>
  </r>
  <r>
    <s v="SW-104865"/>
    <d v="2025-11-18T00:00:00"/>
    <x v="1"/>
    <s v="Q4"/>
    <x v="10"/>
    <x v="0"/>
    <x v="3"/>
    <x v="1"/>
    <x v="0"/>
    <s v="Cotton T-Shirt"/>
    <n v="2"/>
    <n v="19.41"/>
    <n v="0"/>
    <x v="2"/>
    <n v="38.82"/>
    <n v="19.920000000000002"/>
    <n v="18.899999999999999"/>
    <n v="1"/>
    <n v="0"/>
    <n v="4"/>
    <n v="5"/>
  </r>
  <r>
    <s v="SW-104866"/>
    <d v="2025-11-18T00:00:00"/>
    <x v="1"/>
    <s v="Q4"/>
    <x v="10"/>
    <x v="1"/>
    <x v="4"/>
    <x v="0"/>
    <x v="4"/>
    <s v="Wireless Earbuds"/>
    <n v="1"/>
    <n v="588.41"/>
    <n v="0.3"/>
    <x v="3"/>
    <n v="411.89"/>
    <n v="449.43"/>
    <n v="-37.54"/>
    <n v="1"/>
    <n v="0"/>
    <n v="6"/>
    <n v="4"/>
  </r>
  <r>
    <s v="SW-104867"/>
    <d v="2025-11-18T00:00:00"/>
    <x v="1"/>
    <s v="Q4"/>
    <x v="10"/>
    <x v="1"/>
    <x v="2"/>
    <x v="1"/>
    <x v="3"/>
    <s v="Fitness Tracker"/>
    <n v="1"/>
    <n v="74.459999999999994"/>
    <n v="0.25"/>
    <x v="3"/>
    <n v="55.84"/>
    <n v="50.29"/>
    <n v="5.55"/>
    <n v="1"/>
    <n v="0"/>
    <n v="5"/>
    <n v="5"/>
  </r>
  <r>
    <s v="SW-104868"/>
    <d v="2025-11-18T00:00:00"/>
    <x v="1"/>
    <s v="Q4"/>
    <x v="10"/>
    <x v="1"/>
    <x v="4"/>
    <x v="0"/>
    <x v="3"/>
    <s v="Dumbbell Set"/>
    <n v="2"/>
    <n v="198.42"/>
    <n v="0.25"/>
    <x v="3"/>
    <n v="297.63"/>
    <n v="260.3"/>
    <n v="37.33"/>
    <n v="1"/>
    <n v="0"/>
    <n v="6"/>
    <n v="3"/>
  </r>
  <r>
    <s v="SW-104869"/>
    <d v="2025-11-18T00:00:00"/>
    <x v="1"/>
    <s v="Q4"/>
    <x v="10"/>
    <x v="1"/>
    <x v="2"/>
    <x v="1"/>
    <x v="0"/>
    <s v="Sunglasses"/>
    <n v="1"/>
    <n v="104.94"/>
    <n v="0.1"/>
    <x v="0"/>
    <n v="94.45"/>
    <n v="56.53"/>
    <n v="37.92"/>
    <n v="1"/>
    <n v="0"/>
    <n v="5"/>
    <n v="4"/>
  </r>
  <r>
    <s v="SW-104870"/>
    <d v="2025-11-18T00:00:00"/>
    <x v="1"/>
    <s v="Q4"/>
    <x v="10"/>
    <x v="1"/>
    <x v="0"/>
    <x v="1"/>
    <x v="0"/>
    <s v="Sunglasses"/>
    <n v="1"/>
    <n v="104.94"/>
    <n v="0.1"/>
    <x v="0"/>
    <n v="94.45"/>
    <n v="53.98"/>
    <n v="40.47"/>
    <n v="1"/>
    <n v="0"/>
    <n v="4"/>
    <n v="4"/>
  </r>
  <r>
    <s v="SW-104871"/>
    <d v="2025-11-18T00:00:00"/>
    <x v="1"/>
    <s v="Q4"/>
    <x v="10"/>
    <x v="1"/>
    <x v="2"/>
    <x v="0"/>
    <x v="0"/>
    <s v="Leather Handbag"/>
    <n v="1"/>
    <n v="138.5"/>
    <n v="0.3"/>
    <x v="3"/>
    <n v="96.95"/>
    <n v="77.16"/>
    <n v="19.79"/>
    <n v="1"/>
    <n v="0"/>
    <n v="4"/>
    <n v="4"/>
  </r>
  <r>
    <s v="SW-104872"/>
    <d v="2025-11-18T00:00:00"/>
    <x v="1"/>
    <s v="Q4"/>
    <x v="10"/>
    <x v="2"/>
    <x v="2"/>
    <x v="1"/>
    <x v="1"/>
    <s v="Makeup Kit"/>
    <n v="4"/>
    <n v="74.3"/>
    <n v="0"/>
    <x v="2"/>
    <n v="297.2"/>
    <n v="146.04"/>
    <n v="151.16"/>
    <n v="1"/>
    <n v="0"/>
    <n v="5"/>
    <n v="4"/>
  </r>
  <r>
    <s v="SW-104873"/>
    <d v="2025-11-19T00:00:00"/>
    <x v="1"/>
    <s v="Q4"/>
    <x v="10"/>
    <x v="0"/>
    <x v="4"/>
    <x v="0"/>
    <x v="2"/>
    <s v="Desk Lamp"/>
    <n v="2"/>
    <n v="117.63"/>
    <n v="0.25"/>
    <x v="3"/>
    <n v="176.44"/>
    <n v="152.01"/>
    <n v="24.43"/>
    <n v="1"/>
    <n v="0"/>
    <n v="8"/>
    <n v="4"/>
  </r>
  <r>
    <s v="SW-104874"/>
    <d v="2025-11-19T00:00:00"/>
    <x v="1"/>
    <s v="Q4"/>
    <x v="10"/>
    <x v="0"/>
    <x v="3"/>
    <x v="1"/>
    <x v="1"/>
    <s v="Perfume 100ml"/>
    <n v="1"/>
    <n v="54.56"/>
    <n v="0.1"/>
    <x v="0"/>
    <n v="49.1"/>
    <n v="25.99"/>
    <n v="23.11"/>
    <n v="1"/>
    <n v="0"/>
    <n v="5"/>
    <n v="5"/>
  </r>
  <r>
    <s v="SW-104875"/>
    <d v="2025-11-19T00:00:00"/>
    <x v="1"/>
    <s v="Q4"/>
    <x v="10"/>
    <x v="2"/>
    <x v="4"/>
    <x v="0"/>
    <x v="4"/>
    <s v="4K Action Camera"/>
    <n v="4"/>
    <n v="636.09"/>
    <n v="0.2"/>
    <x v="1"/>
    <n v="2035.49"/>
    <n v="1916.21"/>
    <n v="119.28"/>
    <n v="1"/>
    <n v="0"/>
    <n v="6"/>
    <n v="3"/>
  </r>
  <r>
    <s v="SW-104876"/>
    <d v="2025-11-19T00:00:00"/>
    <x v="1"/>
    <s v="Q4"/>
    <x v="10"/>
    <x v="0"/>
    <x v="3"/>
    <x v="1"/>
    <x v="4"/>
    <s v="Smart Watch"/>
    <n v="2"/>
    <n v="216.08"/>
    <n v="0.25"/>
    <x v="3"/>
    <n v="324.12"/>
    <n v="332.12"/>
    <n v="-8"/>
    <n v="1"/>
    <n v="0"/>
    <n v="5"/>
    <n v="4"/>
  </r>
  <r>
    <s v="SW-104877"/>
    <d v="2025-11-19T00:00:00"/>
    <x v="1"/>
    <s v="Q4"/>
    <x v="10"/>
    <x v="0"/>
    <x v="2"/>
    <x v="0"/>
    <x v="4"/>
    <s v="Tablet 10in"/>
    <n v="2"/>
    <n v="490.3"/>
    <n v="0.15"/>
    <x v="1"/>
    <n v="833.51"/>
    <n v="787.17"/>
    <n v="46.34"/>
    <n v="1"/>
    <n v="0"/>
    <n v="6"/>
    <n v="3"/>
  </r>
  <r>
    <s v="SW-104878"/>
    <d v="2025-11-19T00:00:00"/>
    <x v="1"/>
    <s v="Q4"/>
    <x v="10"/>
    <x v="0"/>
    <x v="1"/>
    <x v="0"/>
    <x v="1"/>
    <s v="Hair Dryer"/>
    <n v="1"/>
    <n v="33.18"/>
    <n v="0.2"/>
    <x v="1"/>
    <n v="26.54"/>
    <n v="16"/>
    <n v="10.54"/>
    <n v="1"/>
    <n v="0"/>
    <n v="6"/>
    <n v="4"/>
  </r>
  <r>
    <s v="SW-104879"/>
    <d v="2025-11-19T00:00:00"/>
    <x v="1"/>
    <s v="Q4"/>
    <x v="10"/>
    <x v="1"/>
    <x v="4"/>
    <x v="0"/>
    <x v="4"/>
    <s v="Bluetooth Speaker"/>
    <n v="2"/>
    <n v="177.65"/>
    <n v="0.05"/>
    <x v="0"/>
    <n v="337.54"/>
    <n v="294.72000000000003"/>
    <n v="42.82"/>
    <n v="1"/>
    <n v="0"/>
    <n v="8"/>
    <n v="3"/>
  </r>
  <r>
    <s v="SW-104880"/>
    <d v="2025-11-19T00:00:00"/>
    <x v="1"/>
    <s v="Q4"/>
    <x v="10"/>
    <x v="2"/>
    <x v="1"/>
    <x v="1"/>
    <x v="3"/>
    <s v="Cycling Helmet"/>
    <n v="1"/>
    <n v="85.42"/>
    <n v="0.1"/>
    <x v="0"/>
    <n v="76.88"/>
    <n v="56.9"/>
    <n v="19.98"/>
    <n v="1"/>
    <n v="0"/>
    <n v="7"/>
    <n v="3"/>
  </r>
  <r>
    <s v="SW-104881"/>
    <d v="2025-11-19T00:00:00"/>
    <x v="1"/>
    <s v="Q4"/>
    <x v="10"/>
    <x v="0"/>
    <x v="1"/>
    <x v="1"/>
    <x v="5"/>
    <s v="Bestseller Novel"/>
    <n v="3"/>
    <n v="45.28"/>
    <n v="0.25"/>
    <x v="3"/>
    <n v="101.88"/>
    <n v="107.55"/>
    <n v="-5.67"/>
    <n v="1"/>
    <n v="0"/>
    <n v="7"/>
    <n v="4"/>
  </r>
  <r>
    <s v="SW-104882"/>
    <d v="2025-11-19T00:00:00"/>
    <x v="1"/>
    <s v="Q4"/>
    <x v="10"/>
    <x v="0"/>
    <x v="3"/>
    <x v="0"/>
    <x v="1"/>
    <s v="Skin Care Bundle"/>
    <n v="1"/>
    <n v="92.54"/>
    <n v="0.15"/>
    <x v="1"/>
    <n v="78.66"/>
    <n v="45.46"/>
    <n v="33.200000000000003"/>
    <n v="1"/>
    <n v="0"/>
    <n v="4"/>
    <n v="5"/>
  </r>
  <r>
    <s v="SW-104883"/>
    <d v="2025-11-19T00:00:00"/>
    <x v="1"/>
    <s v="Q4"/>
    <x v="10"/>
    <x v="0"/>
    <x v="3"/>
    <x v="1"/>
    <x v="2"/>
    <s v="Bed Sheet Set"/>
    <n v="1"/>
    <n v="90.75"/>
    <n v="0.2"/>
    <x v="1"/>
    <n v="72.599999999999994"/>
    <n v="60.02"/>
    <n v="12.58"/>
    <n v="1"/>
    <n v="0"/>
    <n v="3"/>
    <n v="5"/>
  </r>
  <r>
    <s v="SW-104884"/>
    <d v="2025-11-19T00:00:00"/>
    <x v="1"/>
    <s v="Q4"/>
    <x v="10"/>
    <x v="0"/>
    <x v="3"/>
    <x v="0"/>
    <x v="0"/>
    <s v="Summer Dress"/>
    <n v="1"/>
    <n v="33.99"/>
    <n v="0.15"/>
    <x v="1"/>
    <n v="28.89"/>
    <n v="18.170000000000002"/>
    <n v="10.72"/>
    <n v="1"/>
    <n v="0"/>
    <n v="4"/>
    <n v="4"/>
  </r>
  <r>
    <s v="SW-104885"/>
    <d v="2025-11-19T00:00:00"/>
    <x v="1"/>
    <s v="Q4"/>
    <x v="10"/>
    <x v="1"/>
    <x v="2"/>
    <x v="0"/>
    <x v="1"/>
    <s v="Face Serum"/>
    <n v="2"/>
    <n v="33.479999999999997"/>
    <n v="0.15"/>
    <x v="1"/>
    <n v="56.92"/>
    <n v="32.18"/>
    <n v="24.74"/>
    <n v="1"/>
    <n v="0"/>
    <n v="4"/>
    <n v="3"/>
  </r>
  <r>
    <s v="SW-104886"/>
    <d v="2025-11-19T00:00:00"/>
    <x v="1"/>
    <s v="Q4"/>
    <x v="10"/>
    <x v="1"/>
    <x v="4"/>
    <x v="0"/>
    <x v="0"/>
    <s v="Cotton T-Shirt"/>
    <n v="3"/>
    <n v="19.41"/>
    <n v="0.15"/>
    <x v="1"/>
    <n v="49.5"/>
    <n v="30.93"/>
    <n v="18.57"/>
    <n v="1"/>
    <n v="0"/>
    <n v="8"/>
    <n v="5"/>
  </r>
  <r>
    <s v="SW-104887"/>
    <d v="2025-11-19T00:00:00"/>
    <x v="1"/>
    <s v="Q4"/>
    <x v="10"/>
    <x v="1"/>
    <x v="3"/>
    <x v="1"/>
    <x v="1"/>
    <s v="Face Serum"/>
    <n v="2"/>
    <n v="33.479999999999997"/>
    <n v="0.1"/>
    <x v="0"/>
    <n v="60.26"/>
    <n v="32.380000000000003"/>
    <n v="27.88"/>
    <n v="1"/>
    <n v="0"/>
    <n v="3"/>
    <n v="4"/>
  </r>
  <r>
    <s v="SW-104888"/>
    <d v="2025-11-20T00:00:00"/>
    <x v="1"/>
    <s v="Q4"/>
    <x v="10"/>
    <x v="2"/>
    <x v="2"/>
    <x v="0"/>
    <x v="4"/>
    <s v="Bluetooth Speaker"/>
    <n v="2"/>
    <n v="177.65"/>
    <n v="0.25"/>
    <x v="3"/>
    <n v="266.48"/>
    <n v="302.7"/>
    <n v="-36.22"/>
    <n v="1"/>
    <n v="0"/>
    <n v="5"/>
    <n v="5"/>
  </r>
  <r>
    <s v="SW-104889"/>
    <d v="2025-11-20T00:00:00"/>
    <x v="1"/>
    <s v="Q4"/>
    <x v="10"/>
    <x v="1"/>
    <x v="2"/>
    <x v="1"/>
    <x v="5"/>
    <s v="Board Game"/>
    <n v="1"/>
    <n v="57.92"/>
    <n v="0.25"/>
    <x v="3"/>
    <n v="43.44"/>
    <n v="41.26"/>
    <n v="2.1800000000000002"/>
    <n v="1"/>
    <n v="1"/>
    <n v="4"/>
    <n v="3"/>
  </r>
  <r>
    <s v="SW-104890"/>
    <d v="2025-11-20T00:00:00"/>
    <x v="1"/>
    <s v="Q4"/>
    <x v="10"/>
    <x v="1"/>
    <x v="0"/>
    <x v="1"/>
    <x v="5"/>
    <s v="Story Book Set"/>
    <n v="2"/>
    <n v="10.76"/>
    <n v="0.25"/>
    <x v="3"/>
    <n v="16.14"/>
    <n v="15.4"/>
    <n v="0.74"/>
    <n v="1"/>
    <n v="0"/>
    <n v="4"/>
    <n v="5"/>
  </r>
  <r>
    <s v="SW-104891"/>
    <d v="2025-11-20T00:00:00"/>
    <x v="1"/>
    <s v="Q4"/>
    <x v="10"/>
    <x v="1"/>
    <x v="0"/>
    <x v="1"/>
    <x v="0"/>
    <s v="Sunglasses"/>
    <n v="1"/>
    <n v="104.94"/>
    <n v="0.2"/>
    <x v="1"/>
    <n v="83.95"/>
    <n v="55.34"/>
    <n v="28.61"/>
    <n v="1"/>
    <n v="0"/>
    <n v="5"/>
    <n v="3"/>
  </r>
  <r>
    <s v="SW-104892"/>
    <d v="2025-11-20T00:00:00"/>
    <x v="1"/>
    <s v="Q4"/>
    <x v="10"/>
    <x v="1"/>
    <x v="3"/>
    <x v="1"/>
    <x v="4"/>
    <s v="Smart Watch"/>
    <n v="2"/>
    <n v="216.08"/>
    <n v="0.2"/>
    <x v="1"/>
    <n v="345.73"/>
    <n v="332.19"/>
    <n v="13.54"/>
    <n v="1"/>
    <n v="0"/>
    <n v="4"/>
    <n v="3"/>
  </r>
  <r>
    <s v="SW-104893"/>
    <d v="2025-11-20T00:00:00"/>
    <x v="1"/>
    <s v="Q4"/>
    <x v="10"/>
    <x v="0"/>
    <x v="2"/>
    <x v="0"/>
    <x v="1"/>
    <s v="Skin Care Bundle"/>
    <n v="2"/>
    <n v="92.54"/>
    <n v="0.1"/>
    <x v="0"/>
    <n v="166.57"/>
    <n v="87.7"/>
    <n v="78.87"/>
    <n v="1"/>
    <n v="0"/>
    <n v="5"/>
    <n v="5"/>
  </r>
  <r>
    <s v="SW-104894"/>
    <d v="2025-11-20T00:00:00"/>
    <x v="1"/>
    <s v="Q4"/>
    <x v="10"/>
    <x v="2"/>
    <x v="2"/>
    <x v="0"/>
    <x v="3"/>
    <s v="Camping Tent"/>
    <n v="2"/>
    <n v="83.06"/>
    <n v="0.3"/>
    <x v="3"/>
    <n v="116.28"/>
    <n v="113.11"/>
    <n v="3.17"/>
    <n v="1"/>
    <n v="0"/>
    <n v="6"/>
    <n v="5"/>
  </r>
  <r>
    <s v="SW-104895"/>
    <d v="2025-11-20T00:00:00"/>
    <x v="1"/>
    <s v="Q4"/>
    <x v="10"/>
    <x v="1"/>
    <x v="0"/>
    <x v="1"/>
    <x v="0"/>
    <s v="Summer Dress"/>
    <n v="2"/>
    <n v="33.99"/>
    <n v="0.1"/>
    <x v="0"/>
    <n v="61.18"/>
    <n v="35.76"/>
    <n v="25.42"/>
    <n v="1"/>
    <n v="0"/>
    <n v="5"/>
    <n v="4"/>
  </r>
  <r>
    <s v="SW-104896"/>
    <d v="2025-11-20T00:00:00"/>
    <x v="1"/>
    <s v="Q4"/>
    <x v="10"/>
    <x v="0"/>
    <x v="0"/>
    <x v="1"/>
    <x v="5"/>
    <s v="Board Game"/>
    <n v="2"/>
    <n v="57.92"/>
    <n v="0.15"/>
    <x v="1"/>
    <n v="98.46"/>
    <n v="82.89"/>
    <n v="15.57"/>
    <n v="1"/>
    <n v="0"/>
    <n v="7"/>
    <n v="4"/>
  </r>
  <r>
    <s v="SW-104897"/>
    <d v="2025-11-20T00:00:00"/>
    <x v="1"/>
    <s v="Q4"/>
    <x v="10"/>
    <x v="1"/>
    <x v="1"/>
    <x v="0"/>
    <x v="4"/>
    <s v="Power Bank"/>
    <n v="1"/>
    <n v="508.8"/>
    <n v="0.25"/>
    <x v="3"/>
    <n v="381.6"/>
    <n v="391.16"/>
    <n v="-9.56"/>
    <n v="1"/>
    <n v="1"/>
    <n v="7"/>
    <n v="2"/>
  </r>
  <r>
    <s v="SW-104898"/>
    <d v="2025-11-20T00:00:00"/>
    <x v="1"/>
    <s v="Q4"/>
    <x v="10"/>
    <x v="0"/>
    <x v="1"/>
    <x v="1"/>
    <x v="2"/>
    <s v="Desk Lamp"/>
    <n v="2"/>
    <n v="117.63"/>
    <n v="0.2"/>
    <x v="1"/>
    <n v="188.21"/>
    <n v="149.88"/>
    <n v="38.33"/>
    <n v="1"/>
    <n v="0"/>
    <n v="6"/>
    <n v="4"/>
  </r>
  <r>
    <s v="SW-104899"/>
    <d v="2025-11-20T00:00:00"/>
    <x v="1"/>
    <s v="Q4"/>
    <x v="10"/>
    <x v="2"/>
    <x v="3"/>
    <x v="0"/>
    <x v="2"/>
    <s v="Desk Lamp"/>
    <n v="2"/>
    <n v="117.63"/>
    <n v="0.05"/>
    <x v="0"/>
    <n v="223.5"/>
    <n v="159.94999999999999"/>
    <n v="63.55"/>
    <n v="1"/>
    <n v="0"/>
    <n v="4"/>
    <n v="4"/>
  </r>
  <r>
    <s v="SW-104900"/>
    <d v="2025-11-20T00:00:00"/>
    <x v="1"/>
    <s v="Q4"/>
    <x v="10"/>
    <x v="2"/>
    <x v="0"/>
    <x v="1"/>
    <x v="1"/>
    <s v="Skin Care Bundle"/>
    <n v="2"/>
    <n v="92.54"/>
    <n v="0.15"/>
    <x v="1"/>
    <n v="157.32"/>
    <n v="85.05"/>
    <n v="72.27"/>
    <n v="1"/>
    <n v="0"/>
    <n v="7"/>
    <n v="4"/>
  </r>
  <r>
    <s v="SW-104901"/>
    <d v="2025-11-20T00:00:00"/>
    <x v="1"/>
    <s v="Q4"/>
    <x v="10"/>
    <x v="1"/>
    <x v="1"/>
    <x v="0"/>
    <x v="2"/>
    <s v="Coffee Maker"/>
    <n v="1"/>
    <n v="148.05000000000001"/>
    <n v="0.3"/>
    <x v="3"/>
    <n v="103.64"/>
    <n v="103.25"/>
    <n v="0.39"/>
    <n v="1"/>
    <n v="0"/>
    <n v="6"/>
    <n v="4"/>
  </r>
  <r>
    <s v="SW-104902"/>
    <d v="2025-11-20T00:00:00"/>
    <x v="1"/>
    <s v="Q4"/>
    <x v="10"/>
    <x v="1"/>
    <x v="0"/>
    <x v="1"/>
    <x v="5"/>
    <s v="Story Book Set"/>
    <n v="1"/>
    <n v="10.76"/>
    <n v="0.2"/>
    <x v="1"/>
    <n v="8.61"/>
    <n v="7.91"/>
    <n v="0.7"/>
    <n v="1"/>
    <n v="1"/>
    <n v="5"/>
    <n v="3"/>
  </r>
  <r>
    <s v="SW-104903"/>
    <d v="2025-11-21T00:00:00"/>
    <x v="1"/>
    <s v="Q4"/>
    <x v="10"/>
    <x v="0"/>
    <x v="3"/>
    <x v="0"/>
    <x v="0"/>
    <s v="Leather Handbag"/>
    <n v="1"/>
    <n v="138.5"/>
    <n v="0.25"/>
    <x v="3"/>
    <n v="103.88"/>
    <n v="76.36"/>
    <n v="27.52"/>
    <n v="1"/>
    <n v="0"/>
    <n v="4"/>
    <n v="5"/>
  </r>
  <r>
    <s v="SW-104904"/>
    <d v="2025-11-21T00:00:00"/>
    <x v="1"/>
    <s v="Q4"/>
    <x v="10"/>
    <x v="0"/>
    <x v="1"/>
    <x v="0"/>
    <x v="3"/>
    <s v="Cycling Helmet"/>
    <n v="1"/>
    <n v="85.42"/>
    <n v="0.15"/>
    <x v="1"/>
    <n v="72.61"/>
    <n v="55.1"/>
    <n v="17.510000000000002"/>
    <n v="1"/>
    <n v="0"/>
    <n v="8"/>
    <n v="4"/>
  </r>
  <r>
    <s v="SW-104905"/>
    <d v="2025-11-21T00:00:00"/>
    <x v="1"/>
    <s v="Q4"/>
    <x v="10"/>
    <x v="1"/>
    <x v="2"/>
    <x v="0"/>
    <x v="3"/>
    <s v="Yoga Mat"/>
    <n v="1"/>
    <n v="137.05000000000001"/>
    <n v="0.1"/>
    <x v="0"/>
    <n v="123.35"/>
    <n v="95.09"/>
    <n v="28.26"/>
    <n v="1"/>
    <n v="0"/>
    <n v="4"/>
    <n v="4"/>
  </r>
  <r>
    <s v="SW-104906"/>
    <d v="2025-11-21T00:00:00"/>
    <x v="1"/>
    <s v="Q4"/>
    <x v="10"/>
    <x v="2"/>
    <x v="3"/>
    <x v="0"/>
    <x v="0"/>
    <s v="Running Sneakers"/>
    <n v="2"/>
    <n v="94.85"/>
    <n v="0.05"/>
    <x v="0"/>
    <n v="180.21"/>
    <n v="104.02"/>
    <n v="76.19"/>
    <n v="1"/>
    <n v="0"/>
    <n v="5"/>
    <n v="4"/>
  </r>
  <r>
    <s v="SW-104907"/>
    <d v="2025-11-21T00:00:00"/>
    <x v="1"/>
    <s v="Q4"/>
    <x v="10"/>
    <x v="0"/>
    <x v="3"/>
    <x v="1"/>
    <x v="4"/>
    <s v="Bluetooth Speaker"/>
    <n v="1"/>
    <n v="177.65"/>
    <n v="0.1"/>
    <x v="0"/>
    <n v="159.88999999999999"/>
    <n v="141.77000000000001"/>
    <n v="18.12"/>
    <n v="1"/>
    <n v="0"/>
    <n v="4"/>
    <n v="5"/>
  </r>
  <r>
    <s v="SW-104908"/>
    <d v="2025-11-21T00:00:00"/>
    <x v="1"/>
    <s v="Q4"/>
    <x v="10"/>
    <x v="1"/>
    <x v="3"/>
    <x v="1"/>
    <x v="4"/>
    <s v="Wireless Earbuds"/>
    <n v="2"/>
    <n v="588.41"/>
    <n v="0.2"/>
    <x v="1"/>
    <n v="941.46"/>
    <n v="950.65"/>
    <n v="-9.19"/>
    <n v="1"/>
    <n v="0"/>
    <n v="5"/>
    <n v="4"/>
  </r>
  <r>
    <s v="SW-104909"/>
    <d v="2025-11-21T00:00:00"/>
    <x v="1"/>
    <s v="Q4"/>
    <x v="10"/>
    <x v="1"/>
    <x v="3"/>
    <x v="0"/>
    <x v="3"/>
    <s v="Fitness Tracker"/>
    <n v="1"/>
    <n v="74.459999999999994"/>
    <n v="0.05"/>
    <x v="0"/>
    <n v="70.739999999999995"/>
    <n v="48.84"/>
    <n v="21.9"/>
    <n v="1"/>
    <n v="0"/>
    <n v="4"/>
    <n v="5"/>
  </r>
  <r>
    <s v="SW-104910"/>
    <d v="2025-11-21T00:00:00"/>
    <x v="1"/>
    <s v="Q4"/>
    <x v="10"/>
    <x v="1"/>
    <x v="0"/>
    <x v="0"/>
    <x v="2"/>
    <s v="Coffee Maker"/>
    <n v="2"/>
    <n v="148.05000000000001"/>
    <n v="0.3"/>
    <x v="3"/>
    <n v="207.27"/>
    <n v="201.37"/>
    <n v="5.9"/>
    <n v="1"/>
    <n v="0"/>
    <n v="6"/>
    <n v="4"/>
  </r>
  <r>
    <s v="SW-104911"/>
    <d v="2025-11-21T00:00:00"/>
    <x v="1"/>
    <s v="Q4"/>
    <x v="10"/>
    <x v="0"/>
    <x v="3"/>
    <x v="0"/>
    <x v="0"/>
    <s v="Sunglasses"/>
    <n v="1"/>
    <n v="104.94"/>
    <n v="0.1"/>
    <x v="0"/>
    <n v="94.45"/>
    <n v="53.84"/>
    <n v="40.61"/>
    <n v="1"/>
    <n v="0"/>
    <n v="4"/>
    <n v="4"/>
  </r>
  <r>
    <s v="SW-104912"/>
    <d v="2025-11-21T00:00:00"/>
    <x v="1"/>
    <s v="Q4"/>
    <x v="10"/>
    <x v="0"/>
    <x v="0"/>
    <x v="0"/>
    <x v="2"/>
    <s v="Air Fryer"/>
    <n v="1"/>
    <n v="68.349999999999994"/>
    <n v="0.25"/>
    <x v="3"/>
    <n v="51.26"/>
    <n v="47.22"/>
    <n v="4.04"/>
    <n v="1"/>
    <n v="0"/>
    <n v="4"/>
    <n v="4"/>
  </r>
  <r>
    <s v="SW-104913"/>
    <d v="2025-11-21T00:00:00"/>
    <x v="1"/>
    <s v="Q4"/>
    <x v="10"/>
    <x v="1"/>
    <x v="3"/>
    <x v="0"/>
    <x v="1"/>
    <s v="Perfume 100ml"/>
    <n v="1"/>
    <n v="54.56"/>
    <n v="0.1"/>
    <x v="0"/>
    <n v="49.1"/>
    <n v="25.67"/>
    <n v="23.43"/>
    <n v="1"/>
    <n v="0"/>
    <n v="4"/>
    <n v="4"/>
  </r>
  <r>
    <s v="SW-104914"/>
    <d v="2025-11-21T00:00:00"/>
    <x v="1"/>
    <s v="Q4"/>
    <x v="10"/>
    <x v="0"/>
    <x v="3"/>
    <x v="1"/>
    <x v="5"/>
    <s v="Bestseller Novel"/>
    <n v="1"/>
    <n v="45.28"/>
    <n v="0.2"/>
    <x v="1"/>
    <n v="36.22"/>
    <n v="33.51"/>
    <n v="2.71"/>
    <n v="1"/>
    <n v="0"/>
    <n v="4"/>
    <n v="5"/>
  </r>
  <r>
    <s v="SW-104915"/>
    <d v="2025-11-21T00:00:00"/>
    <x v="1"/>
    <s v="Q4"/>
    <x v="10"/>
    <x v="0"/>
    <x v="1"/>
    <x v="1"/>
    <x v="5"/>
    <s v="Story Book Set"/>
    <n v="1"/>
    <n v="10.76"/>
    <n v="0.15"/>
    <x v="1"/>
    <n v="9.15"/>
    <n v="7.56"/>
    <n v="1.59"/>
    <n v="1"/>
    <n v="0"/>
    <n v="8"/>
    <n v="4"/>
  </r>
  <r>
    <s v="SW-104916"/>
    <d v="2025-11-21T00:00:00"/>
    <x v="1"/>
    <s v="Q4"/>
    <x v="10"/>
    <x v="1"/>
    <x v="2"/>
    <x v="1"/>
    <x v="3"/>
    <s v="Dumbbell Set"/>
    <n v="2"/>
    <n v="198.42"/>
    <n v="0.25"/>
    <x v="3"/>
    <n v="297.63"/>
    <n v="250.69"/>
    <n v="46.94"/>
    <n v="1"/>
    <n v="0"/>
    <n v="5"/>
    <n v="4"/>
  </r>
  <r>
    <s v="SW-104917"/>
    <d v="2025-11-22T00:00:00"/>
    <x v="1"/>
    <s v="Q4"/>
    <x v="10"/>
    <x v="1"/>
    <x v="3"/>
    <x v="1"/>
    <x v="4"/>
    <s v="4K Action Camera"/>
    <n v="1"/>
    <n v="636.09"/>
    <n v="0.05"/>
    <x v="0"/>
    <n v="604.29"/>
    <n v="525.9"/>
    <n v="78.39"/>
    <n v="1"/>
    <n v="0"/>
    <n v="3"/>
    <n v="4"/>
  </r>
  <r>
    <s v="SW-104918"/>
    <d v="2025-11-22T00:00:00"/>
    <x v="1"/>
    <s v="Q4"/>
    <x v="10"/>
    <x v="0"/>
    <x v="4"/>
    <x v="1"/>
    <x v="5"/>
    <s v="Board Game"/>
    <n v="4"/>
    <n v="57.92"/>
    <n v="0.25"/>
    <x v="3"/>
    <n v="173.76"/>
    <n v="169.18"/>
    <n v="4.58"/>
    <n v="1"/>
    <n v="0"/>
    <n v="7"/>
    <n v="4"/>
  </r>
  <r>
    <s v="SW-104919"/>
    <d v="2025-11-22T00:00:00"/>
    <x v="1"/>
    <s v="Q4"/>
    <x v="10"/>
    <x v="0"/>
    <x v="3"/>
    <x v="1"/>
    <x v="3"/>
    <s v="Yoga Mat"/>
    <n v="2"/>
    <n v="137.05000000000001"/>
    <n v="0.3"/>
    <x v="3"/>
    <n v="191.87"/>
    <n v="175.38"/>
    <n v="16.489999999999998"/>
    <n v="1"/>
    <n v="0"/>
    <n v="5"/>
    <n v="4"/>
  </r>
  <r>
    <s v="SW-104920"/>
    <d v="2025-11-22T00:00:00"/>
    <x v="1"/>
    <s v="Q4"/>
    <x v="10"/>
    <x v="0"/>
    <x v="0"/>
    <x v="0"/>
    <x v="0"/>
    <s v="Sunglasses"/>
    <n v="2"/>
    <n v="104.94"/>
    <n v="0.3"/>
    <x v="3"/>
    <n v="146.91999999999999"/>
    <n v="115.14"/>
    <n v="31.78"/>
    <n v="1"/>
    <n v="1"/>
    <n v="4"/>
    <n v="3"/>
  </r>
  <r>
    <s v="SW-104921"/>
    <d v="2025-11-22T00:00:00"/>
    <x v="1"/>
    <s v="Q4"/>
    <x v="10"/>
    <x v="2"/>
    <x v="0"/>
    <x v="1"/>
    <x v="0"/>
    <s v="Leather Handbag"/>
    <n v="1"/>
    <n v="138.5"/>
    <n v="0.25"/>
    <x v="3"/>
    <n v="103.88"/>
    <n v="75.150000000000006"/>
    <n v="28.73"/>
    <n v="1"/>
    <n v="0"/>
    <n v="6"/>
    <n v="3"/>
  </r>
  <r>
    <s v="SW-104922"/>
    <d v="2025-11-22T00:00:00"/>
    <x v="1"/>
    <s v="Q4"/>
    <x v="10"/>
    <x v="0"/>
    <x v="3"/>
    <x v="0"/>
    <x v="2"/>
    <s v="Air Fryer"/>
    <n v="1"/>
    <n v="68.349999999999994"/>
    <n v="0.3"/>
    <x v="3"/>
    <n v="47.84"/>
    <n v="42.3"/>
    <n v="5.54"/>
    <n v="1"/>
    <n v="0"/>
    <n v="5"/>
    <n v="4"/>
  </r>
  <r>
    <s v="SW-104923"/>
    <d v="2025-11-22T00:00:00"/>
    <x v="1"/>
    <s v="Q4"/>
    <x v="10"/>
    <x v="2"/>
    <x v="4"/>
    <x v="1"/>
    <x v="2"/>
    <s v="Desk Lamp"/>
    <n v="1"/>
    <n v="117.63"/>
    <n v="0"/>
    <x v="2"/>
    <n v="117.63"/>
    <n v="74"/>
    <n v="43.63"/>
    <n v="1"/>
    <n v="0"/>
    <n v="6"/>
    <n v="2"/>
  </r>
  <r>
    <s v="SW-104924"/>
    <d v="2025-11-22T00:00:00"/>
    <x v="1"/>
    <s v="Q4"/>
    <x v="10"/>
    <x v="2"/>
    <x v="2"/>
    <x v="1"/>
    <x v="5"/>
    <s v="Bestseller Novel"/>
    <n v="1"/>
    <n v="45.28"/>
    <n v="0.3"/>
    <x v="3"/>
    <n v="31.7"/>
    <n v="31.68"/>
    <n v="0.02"/>
    <n v="1"/>
    <n v="0"/>
    <n v="4"/>
    <n v="5"/>
  </r>
  <r>
    <s v="SW-104925"/>
    <d v="2025-11-22T00:00:00"/>
    <x v="1"/>
    <s v="Q4"/>
    <x v="10"/>
    <x v="2"/>
    <x v="0"/>
    <x v="1"/>
    <x v="0"/>
    <s v="Summer Dress"/>
    <n v="1"/>
    <n v="33.99"/>
    <n v="0.25"/>
    <x v="3"/>
    <n v="25.49"/>
    <n v="18.38"/>
    <n v="7.11"/>
    <n v="1"/>
    <n v="0"/>
    <n v="5"/>
    <n v="5"/>
  </r>
  <r>
    <s v="SW-104926"/>
    <d v="2025-11-22T00:00:00"/>
    <x v="1"/>
    <s v="Q4"/>
    <x v="10"/>
    <x v="0"/>
    <x v="2"/>
    <x v="1"/>
    <x v="4"/>
    <s v="4K Action Camera"/>
    <n v="3"/>
    <n v="636.09"/>
    <n v="0.15"/>
    <x v="1"/>
    <n v="1622.03"/>
    <n v="1571.82"/>
    <n v="50.21"/>
    <n v="1"/>
    <n v="0"/>
    <n v="9"/>
    <n v="3"/>
  </r>
  <r>
    <s v="SW-104927"/>
    <d v="2025-11-22T00:00:00"/>
    <x v="1"/>
    <s v="Q4"/>
    <x v="10"/>
    <x v="1"/>
    <x v="3"/>
    <x v="1"/>
    <x v="1"/>
    <s v="Perfume 100ml"/>
    <n v="3"/>
    <n v="54.56"/>
    <n v="0.3"/>
    <x v="3"/>
    <n v="114.58"/>
    <n v="80"/>
    <n v="34.58"/>
    <n v="1"/>
    <n v="0"/>
    <n v="4"/>
    <n v="4"/>
  </r>
  <r>
    <s v="SW-104928"/>
    <d v="2025-11-22T00:00:00"/>
    <x v="1"/>
    <s v="Q4"/>
    <x v="10"/>
    <x v="1"/>
    <x v="1"/>
    <x v="1"/>
    <x v="5"/>
    <s v="Kids Puzzle"/>
    <n v="1"/>
    <n v="16.97"/>
    <n v="0.15"/>
    <x v="1"/>
    <n v="14.42"/>
    <n v="12.19"/>
    <n v="2.23"/>
    <n v="1"/>
    <n v="0"/>
    <n v="6"/>
    <n v="4"/>
  </r>
  <r>
    <s v="SW-104929"/>
    <d v="2025-11-22T00:00:00"/>
    <x v="1"/>
    <s v="Q4"/>
    <x v="10"/>
    <x v="0"/>
    <x v="2"/>
    <x v="0"/>
    <x v="2"/>
    <s v="Bed Sheet Set"/>
    <n v="3"/>
    <n v="90.75"/>
    <n v="0.15"/>
    <x v="1"/>
    <n v="231.41"/>
    <n v="174.13"/>
    <n v="57.28"/>
    <n v="1"/>
    <n v="0"/>
    <n v="6"/>
    <n v="4"/>
  </r>
  <r>
    <s v="SW-104930"/>
    <d v="2025-11-22T00:00:00"/>
    <x v="1"/>
    <s v="Q4"/>
    <x v="10"/>
    <x v="1"/>
    <x v="3"/>
    <x v="0"/>
    <x v="2"/>
    <s v="Desk Lamp"/>
    <n v="1"/>
    <n v="117.63"/>
    <n v="0"/>
    <x v="2"/>
    <n v="117.63"/>
    <n v="79.28"/>
    <n v="38.35"/>
    <n v="1"/>
    <n v="0"/>
    <n v="3"/>
    <n v="4"/>
  </r>
  <r>
    <s v="SW-104931"/>
    <d v="2025-11-22T00:00:00"/>
    <x v="1"/>
    <s v="Q4"/>
    <x v="10"/>
    <x v="1"/>
    <x v="3"/>
    <x v="0"/>
    <x v="4"/>
    <s v="4K Action Camera"/>
    <n v="1"/>
    <n v="636.09"/>
    <n v="0.15"/>
    <x v="1"/>
    <n v="540.67999999999995"/>
    <n v="500.46"/>
    <n v="40.22"/>
    <n v="1"/>
    <n v="0"/>
    <n v="4"/>
    <n v="5"/>
  </r>
  <r>
    <s v="SW-104932"/>
    <d v="2025-11-22T00:00:00"/>
    <x v="1"/>
    <s v="Q4"/>
    <x v="10"/>
    <x v="0"/>
    <x v="3"/>
    <x v="0"/>
    <x v="2"/>
    <s v="Bed Sheet Set"/>
    <n v="2"/>
    <n v="90.75"/>
    <n v="0.2"/>
    <x v="1"/>
    <n v="145.19999999999999"/>
    <n v="112.25"/>
    <n v="32.950000000000003"/>
    <n v="1"/>
    <n v="0"/>
    <n v="6"/>
    <n v="3"/>
  </r>
  <r>
    <s v="SW-104933"/>
    <d v="2025-11-22T00:00:00"/>
    <x v="1"/>
    <s v="Q4"/>
    <x v="10"/>
    <x v="0"/>
    <x v="0"/>
    <x v="1"/>
    <x v="1"/>
    <s v="Face Serum"/>
    <n v="1"/>
    <n v="33.479999999999997"/>
    <n v="0.1"/>
    <x v="0"/>
    <n v="30.13"/>
    <n v="15.68"/>
    <n v="14.45"/>
    <n v="1"/>
    <n v="0"/>
    <n v="4"/>
    <n v="4"/>
  </r>
  <r>
    <s v="SW-104934"/>
    <d v="2025-11-22T00:00:00"/>
    <x v="1"/>
    <s v="Q4"/>
    <x v="10"/>
    <x v="1"/>
    <x v="0"/>
    <x v="1"/>
    <x v="1"/>
    <s v="Face Serum"/>
    <n v="1"/>
    <n v="33.479999999999997"/>
    <n v="0"/>
    <x v="2"/>
    <n v="33.479999999999997"/>
    <n v="16.5"/>
    <n v="16.98"/>
    <n v="1"/>
    <n v="0"/>
    <n v="7"/>
    <n v="3"/>
  </r>
  <r>
    <s v="SW-104935"/>
    <d v="2025-11-23T00:00:00"/>
    <x v="1"/>
    <s v="Q4"/>
    <x v="10"/>
    <x v="1"/>
    <x v="2"/>
    <x v="0"/>
    <x v="0"/>
    <s v="Leather Handbag"/>
    <n v="1"/>
    <n v="138.5"/>
    <n v="0.2"/>
    <x v="1"/>
    <n v="110.8"/>
    <n v="76.44"/>
    <n v="34.36"/>
    <n v="1"/>
    <n v="0"/>
    <n v="4"/>
    <n v="5"/>
  </r>
  <r>
    <s v="SW-104936"/>
    <d v="2025-11-23T00:00:00"/>
    <x v="1"/>
    <s v="Q4"/>
    <x v="10"/>
    <x v="0"/>
    <x v="0"/>
    <x v="1"/>
    <x v="0"/>
    <s v="Running Sneakers"/>
    <n v="1"/>
    <n v="94.85"/>
    <n v="0.2"/>
    <x v="1"/>
    <n v="75.88"/>
    <n v="53.22"/>
    <n v="22.66"/>
    <n v="1"/>
    <n v="1"/>
    <n v="5"/>
    <n v="3"/>
  </r>
  <r>
    <s v="SW-104937"/>
    <d v="2025-11-23T00:00:00"/>
    <x v="1"/>
    <s v="Q4"/>
    <x v="10"/>
    <x v="1"/>
    <x v="0"/>
    <x v="0"/>
    <x v="0"/>
    <s v="Denim Jacket"/>
    <n v="2"/>
    <n v="78.510000000000005"/>
    <n v="0.05"/>
    <x v="0"/>
    <n v="149.16999999999999"/>
    <n v="89.71"/>
    <n v="59.46"/>
    <n v="1"/>
    <n v="0"/>
    <n v="5"/>
    <n v="5"/>
  </r>
  <r>
    <s v="SW-104938"/>
    <d v="2025-11-23T00:00:00"/>
    <x v="1"/>
    <s v="Q4"/>
    <x v="10"/>
    <x v="2"/>
    <x v="3"/>
    <x v="1"/>
    <x v="1"/>
    <s v="Perfume 100ml"/>
    <n v="1"/>
    <n v="54.56"/>
    <n v="0.05"/>
    <x v="0"/>
    <n v="51.83"/>
    <n v="24.36"/>
    <n v="27.47"/>
    <n v="1"/>
    <n v="0"/>
    <n v="4"/>
    <n v="4"/>
  </r>
  <r>
    <s v="SW-104939"/>
    <d v="2025-11-23T00:00:00"/>
    <x v="1"/>
    <s v="Q4"/>
    <x v="10"/>
    <x v="1"/>
    <x v="3"/>
    <x v="1"/>
    <x v="3"/>
    <s v="Dumbbell Set"/>
    <n v="4"/>
    <n v="198.42"/>
    <n v="0"/>
    <x v="2"/>
    <n v="793.68"/>
    <n v="525.73"/>
    <n v="267.95"/>
    <n v="1"/>
    <n v="0"/>
    <n v="4"/>
    <n v="4"/>
  </r>
  <r>
    <s v="SW-104940"/>
    <d v="2025-11-23T00:00:00"/>
    <x v="1"/>
    <s v="Q4"/>
    <x v="10"/>
    <x v="0"/>
    <x v="3"/>
    <x v="1"/>
    <x v="2"/>
    <s v="Desk Lamp"/>
    <n v="1"/>
    <n v="117.63"/>
    <n v="0.15"/>
    <x v="1"/>
    <n v="99.99"/>
    <n v="80.92"/>
    <n v="19.07"/>
    <n v="1"/>
    <n v="0"/>
    <n v="4"/>
    <n v="5"/>
  </r>
  <r>
    <s v="SW-104941"/>
    <d v="2025-11-23T00:00:00"/>
    <x v="1"/>
    <s v="Q4"/>
    <x v="10"/>
    <x v="2"/>
    <x v="2"/>
    <x v="1"/>
    <x v="0"/>
    <s v="Denim Jacket"/>
    <n v="1"/>
    <n v="78.510000000000005"/>
    <n v="0.3"/>
    <x v="3"/>
    <n v="54.96"/>
    <n v="43.41"/>
    <n v="11.55"/>
    <n v="1"/>
    <n v="1"/>
    <n v="5"/>
    <n v="4"/>
  </r>
  <r>
    <s v="SW-104942"/>
    <d v="2025-11-23T00:00:00"/>
    <x v="1"/>
    <s v="Q4"/>
    <x v="10"/>
    <x v="1"/>
    <x v="2"/>
    <x v="1"/>
    <x v="5"/>
    <s v="Kids Puzzle"/>
    <n v="2"/>
    <n v="16.97"/>
    <n v="0.1"/>
    <x v="0"/>
    <n v="30.55"/>
    <n v="23.79"/>
    <n v="6.76"/>
    <n v="1"/>
    <n v="0"/>
    <n v="8"/>
    <n v="4"/>
  </r>
  <r>
    <s v="SW-104943"/>
    <d v="2025-11-23T00:00:00"/>
    <x v="1"/>
    <s v="Q4"/>
    <x v="10"/>
    <x v="1"/>
    <x v="4"/>
    <x v="1"/>
    <x v="4"/>
    <s v="Wireless Earbuds"/>
    <n v="1"/>
    <n v="588.41"/>
    <n v="0.3"/>
    <x v="3"/>
    <n v="411.89"/>
    <n v="458.07"/>
    <n v="-46.18"/>
    <n v="1"/>
    <n v="0"/>
    <n v="9"/>
    <n v="4"/>
  </r>
  <r>
    <s v="SW-104944"/>
    <d v="2025-11-23T00:00:00"/>
    <x v="1"/>
    <s v="Q4"/>
    <x v="10"/>
    <x v="0"/>
    <x v="3"/>
    <x v="1"/>
    <x v="5"/>
    <s v="Story Book Set"/>
    <n v="1"/>
    <n v="10.76"/>
    <n v="0.15"/>
    <x v="1"/>
    <n v="9.15"/>
    <n v="8.18"/>
    <n v="0.97"/>
    <n v="1"/>
    <n v="0"/>
    <n v="3"/>
    <n v="5"/>
  </r>
  <r>
    <s v="SW-104945"/>
    <d v="2025-11-23T00:00:00"/>
    <x v="1"/>
    <s v="Q4"/>
    <x v="10"/>
    <x v="1"/>
    <x v="0"/>
    <x v="0"/>
    <x v="0"/>
    <s v="Denim Jacket"/>
    <n v="1"/>
    <n v="78.510000000000005"/>
    <n v="0.15"/>
    <x v="1"/>
    <n v="66.73"/>
    <n v="43.07"/>
    <n v="23.66"/>
    <n v="1"/>
    <n v="0"/>
    <n v="5"/>
    <n v="4"/>
  </r>
  <r>
    <s v="SW-104946"/>
    <d v="2025-11-23T00:00:00"/>
    <x v="1"/>
    <s v="Q4"/>
    <x v="10"/>
    <x v="1"/>
    <x v="3"/>
    <x v="0"/>
    <x v="1"/>
    <s v="Perfume 100ml"/>
    <n v="4"/>
    <n v="54.56"/>
    <n v="0.05"/>
    <x v="0"/>
    <n v="207.33"/>
    <n v="106.36"/>
    <n v="100.97"/>
    <n v="1"/>
    <n v="0"/>
    <n v="3"/>
    <n v="5"/>
  </r>
  <r>
    <s v="SW-104947"/>
    <d v="2025-11-23T00:00:00"/>
    <x v="1"/>
    <s v="Q4"/>
    <x v="10"/>
    <x v="0"/>
    <x v="3"/>
    <x v="0"/>
    <x v="4"/>
    <s v="Smart Watch"/>
    <n v="1"/>
    <n v="216.08"/>
    <n v="0.25"/>
    <x v="3"/>
    <n v="162.06"/>
    <n v="180.17"/>
    <n v="-18.11"/>
    <n v="1"/>
    <n v="0"/>
    <n v="3"/>
    <n v="5"/>
  </r>
  <r>
    <s v="SW-104948"/>
    <d v="2025-11-23T00:00:00"/>
    <x v="1"/>
    <s v="Q4"/>
    <x v="10"/>
    <x v="0"/>
    <x v="0"/>
    <x v="1"/>
    <x v="2"/>
    <s v="Air Fryer"/>
    <n v="1"/>
    <n v="68.349999999999994"/>
    <n v="0.2"/>
    <x v="1"/>
    <n v="54.68"/>
    <n v="45.68"/>
    <n v="9"/>
    <n v="1"/>
    <n v="0"/>
    <n v="5"/>
    <n v="5"/>
  </r>
  <r>
    <s v="SW-104949"/>
    <d v="2025-11-23T00:00:00"/>
    <x v="1"/>
    <s v="Q4"/>
    <x v="10"/>
    <x v="0"/>
    <x v="0"/>
    <x v="1"/>
    <x v="4"/>
    <s v="Bluetooth Speaker"/>
    <n v="1"/>
    <n v="177.65"/>
    <n v="0.2"/>
    <x v="1"/>
    <n v="142.12"/>
    <n v="146.85"/>
    <n v="-4.7300000000000004"/>
    <n v="1"/>
    <n v="0"/>
    <n v="7"/>
    <n v="4"/>
  </r>
  <r>
    <s v="SW-104950"/>
    <d v="2025-11-23T00:00:00"/>
    <x v="1"/>
    <s v="Q4"/>
    <x v="10"/>
    <x v="0"/>
    <x v="3"/>
    <x v="0"/>
    <x v="3"/>
    <s v="Fitness Tracker"/>
    <n v="1"/>
    <n v="74.459999999999994"/>
    <n v="0.3"/>
    <x v="3"/>
    <n v="52.12"/>
    <n v="49.95"/>
    <n v="2.17"/>
    <n v="1"/>
    <n v="0"/>
    <n v="4"/>
    <n v="4"/>
  </r>
  <r>
    <s v="SW-104951"/>
    <d v="2025-11-23T00:00:00"/>
    <x v="1"/>
    <s v="Q4"/>
    <x v="10"/>
    <x v="0"/>
    <x v="2"/>
    <x v="1"/>
    <x v="2"/>
    <s v="Coffee Maker"/>
    <n v="1"/>
    <n v="148.05000000000001"/>
    <n v="0.1"/>
    <x v="0"/>
    <n v="133.24"/>
    <n v="102.73"/>
    <n v="30.51"/>
    <n v="1"/>
    <n v="0"/>
    <n v="6"/>
    <n v="3"/>
  </r>
  <r>
    <s v="SW-104952"/>
    <d v="2025-11-23T00:00:00"/>
    <x v="1"/>
    <s v="Q4"/>
    <x v="10"/>
    <x v="0"/>
    <x v="3"/>
    <x v="0"/>
    <x v="4"/>
    <s v="Smart Watch"/>
    <n v="1"/>
    <n v="216.08"/>
    <n v="0"/>
    <x v="2"/>
    <n v="216.08"/>
    <n v="167.59"/>
    <n v="48.49"/>
    <n v="1"/>
    <n v="0"/>
    <n v="4"/>
    <n v="4"/>
  </r>
  <r>
    <s v="SW-104953"/>
    <d v="2025-11-23T00:00:00"/>
    <x v="1"/>
    <s v="Q4"/>
    <x v="10"/>
    <x v="1"/>
    <x v="4"/>
    <x v="0"/>
    <x v="3"/>
    <s v="Cycling Helmet"/>
    <n v="1"/>
    <n v="85.42"/>
    <n v="0"/>
    <x v="2"/>
    <n v="85.42"/>
    <n v="57.17"/>
    <n v="28.25"/>
    <n v="1"/>
    <n v="0"/>
    <n v="7"/>
    <n v="4"/>
  </r>
  <r>
    <s v="SW-104954"/>
    <d v="2025-11-23T00:00:00"/>
    <x v="1"/>
    <s v="Q4"/>
    <x v="10"/>
    <x v="2"/>
    <x v="3"/>
    <x v="0"/>
    <x v="4"/>
    <s v="Smart Watch"/>
    <n v="1"/>
    <n v="216.08"/>
    <n v="0.1"/>
    <x v="0"/>
    <n v="194.47"/>
    <n v="172.46"/>
    <n v="22.01"/>
    <n v="1"/>
    <n v="1"/>
    <n v="3"/>
    <n v="3"/>
  </r>
  <r>
    <s v="SW-104955"/>
    <d v="2025-11-23T00:00:00"/>
    <x v="1"/>
    <s v="Q4"/>
    <x v="10"/>
    <x v="0"/>
    <x v="1"/>
    <x v="1"/>
    <x v="1"/>
    <s v="Makeup Kit"/>
    <n v="1"/>
    <n v="74.3"/>
    <n v="0.15"/>
    <x v="1"/>
    <n v="63.15"/>
    <n v="35.950000000000003"/>
    <n v="27.2"/>
    <n v="1"/>
    <n v="0"/>
    <n v="6"/>
    <n v="4"/>
  </r>
  <r>
    <s v="SW-104956"/>
    <d v="2025-11-23T00:00:00"/>
    <x v="1"/>
    <s v="Q4"/>
    <x v="10"/>
    <x v="2"/>
    <x v="3"/>
    <x v="1"/>
    <x v="5"/>
    <s v="Board Game"/>
    <n v="3"/>
    <n v="57.92"/>
    <n v="0.3"/>
    <x v="3"/>
    <n v="121.63"/>
    <n v="121.39"/>
    <n v="0.24"/>
    <n v="1"/>
    <n v="0"/>
    <n v="5"/>
    <n v="5"/>
  </r>
  <r>
    <s v="SW-104957"/>
    <d v="2025-11-24T00:00:00"/>
    <x v="1"/>
    <s v="Q4"/>
    <x v="10"/>
    <x v="1"/>
    <x v="2"/>
    <x v="1"/>
    <x v="5"/>
    <s v="Story Book Set"/>
    <n v="3"/>
    <n v="10.76"/>
    <n v="0.3"/>
    <x v="3"/>
    <n v="22.6"/>
    <n v="24.05"/>
    <n v="-1.45"/>
    <n v="1"/>
    <n v="1"/>
    <n v="5"/>
    <n v="2"/>
  </r>
  <r>
    <s v="SW-104958"/>
    <d v="2025-11-24T00:00:00"/>
    <x v="1"/>
    <s v="Q4"/>
    <x v="10"/>
    <x v="0"/>
    <x v="2"/>
    <x v="0"/>
    <x v="2"/>
    <s v="Bed Sheet Set"/>
    <n v="1"/>
    <n v="90.75"/>
    <n v="0.15"/>
    <x v="1"/>
    <n v="77.14"/>
    <n v="61.33"/>
    <n v="15.81"/>
    <n v="1"/>
    <n v="0"/>
    <n v="4"/>
    <n v="5"/>
  </r>
  <r>
    <s v="SW-104959"/>
    <d v="2025-11-24T00:00:00"/>
    <x v="1"/>
    <s v="Q4"/>
    <x v="10"/>
    <x v="1"/>
    <x v="0"/>
    <x v="1"/>
    <x v="2"/>
    <s v="Air Fryer"/>
    <n v="4"/>
    <n v="68.349999999999994"/>
    <n v="0.25"/>
    <x v="3"/>
    <n v="205.05"/>
    <n v="179.72"/>
    <n v="25.33"/>
    <n v="1"/>
    <n v="0"/>
    <n v="5"/>
    <n v="4"/>
  </r>
  <r>
    <s v="SW-104960"/>
    <d v="2025-11-24T00:00:00"/>
    <x v="1"/>
    <s v="Q4"/>
    <x v="10"/>
    <x v="2"/>
    <x v="3"/>
    <x v="1"/>
    <x v="0"/>
    <s v="Running Sneakers"/>
    <n v="3"/>
    <n v="94.85"/>
    <n v="0.2"/>
    <x v="1"/>
    <n v="227.64"/>
    <n v="162.52000000000001"/>
    <n v="65.12"/>
    <n v="1"/>
    <n v="0"/>
    <n v="4"/>
    <n v="4"/>
  </r>
  <r>
    <s v="SW-104961"/>
    <d v="2025-11-24T00:00:00"/>
    <x v="1"/>
    <s v="Q4"/>
    <x v="10"/>
    <x v="0"/>
    <x v="2"/>
    <x v="0"/>
    <x v="5"/>
    <s v="Building Blocks"/>
    <n v="1"/>
    <n v="48.86"/>
    <n v="0.15"/>
    <x v="1"/>
    <n v="41.53"/>
    <n v="32.94"/>
    <n v="8.59"/>
    <n v="1"/>
    <n v="0"/>
    <n v="5"/>
    <n v="5"/>
  </r>
  <r>
    <s v="SW-104962"/>
    <d v="2025-11-24T00:00:00"/>
    <x v="1"/>
    <s v="Q4"/>
    <x v="10"/>
    <x v="1"/>
    <x v="2"/>
    <x v="1"/>
    <x v="3"/>
    <s v="Yoga Mat"/>
    <n v="1"/>
    <n v="137.05000000000001"/>
    <n v="0"/>
    <x v="2"/>
    <n v="137.05000000000001"/>
    <n v="91.29"/>
    <n v="45.76"/>
    <n v="1"/>
    <n v="0"/>
    <n v="5"/>
    <n v="5"/>
  </r>
  <r>
    <s v="SW-104963"/>
    <d v="2025-11-24T00:00:00"/>
    <x v="1"/>
    <s v="Q4"/>
    <x v="10"/>
    <x v="1"/>
    <x v="0"/>
    <x v="0"/>
    <x v="4"/>
    <s v="4K Action Camera"/>
    <n v="1"/>
    <n v="636.09"/>
    <n v="0"/>
    <x v="2"/>
    <n v="636.09"/>
    <n v="511.94"/>
    <n v="124.15"/>
    <n v="1"/>
    <n v="0"/>
    <n v="5"/>
    <n v="5"/>
  </r>
  <r>
    <s v="SW-104964"/>
    <d v="2025-11-24T00:00:00"/>
    <x v="1"/>
    <s v="Q4"/>
    <x v="10"/>
    <x v="1"/>
    <x v="3"/>
    <x v="0"/>
    <x v="3"/>
    <s v="Fitness Tracker"/>
    <n v="1"/>
    <n v="74.459999999999994"/>
    <n v="0.25"/>
    <x v="3"/>
    <n v="55.84"/>
    <n v="50.11"/>
    <n v="5.73"/>
    <n v="1"/>
    <n v="0"/>
    <n v="6"/>
    <n v="3"/>
  </r>
  <r>
    <s v="SW-104965"/>
    <d v="2025-11-24T00:00:00"/>
    <x v="1"/>
    <s v="Q4"/>
    <x v="10"/>
    <x v="1"/>
    <x v="1"/>
    <x v="1"/>
    <x v="0"/>
    <s v="Denim Jacket"/>
    <n v="2"/>
    <n v="78.510000000000005"/>
    <n v="0.3"/>
    <x v="3"/>
    <n v="109.91"/>
    <n v="83.86"/>
    <n v="26.05"/>
    <n v="1"/>
    <n v="0"/>
    <n v="7"/>
    <n v="5"/>
  </r>
  <r>
    <s v="SW-104966"/>
    <d v="2025-11-24T00:00:00"/>
    <x v="1"/>
    <s v="Q4"/>
    <x v="10"/>
    <x v="1"/>
    <x v="2"/>
    <x v="1"/>
    <x v="2"/>
    <s v="Air Fryer"/>
    <n v="1"/>
    <n v="68.349999999999994"/>
    <n v="0.25"/>
    <x v="3"/>
    <n v="51.26"/>
    <n v="45.77"/>
    <n v="5.49"/>
    <n v="1"/>
    <n v="0"/>
    <n v="7"/>
    <n v="4"/>
  </r>
  <r>
    <s v="SW-104967"/>
    <d v="2025-11-24T00:00:00"/>
    <x v="1"/>
    <s v="Q4"/>
    <x v="10"/>
    <x v="1"/>
    <x v="1"/>
    <x v="1"/>
    <x v="2"/>
    <s v="Desk Lamp"/>
    <n v="1"/>
    <n v="117.63"/>
    <n v="0"/>
    <x v="2"/>
    <n v="117.63"/>
    <n v="78.489999999999995"/>
    <n v="39.14"/>
    <n v="1"/>
    <n v="0"/>
    <n v="6"/>
    <n v="3"/>
  </r>
  <r>
    <s v="SW-104968"/>
    <d v="2025-11-24T00:00:00"/>
    <x v="1"/>
    <s v="Q4"/>
    <x v="10"/>
    <x v="1"/>
    <x v="2"/>
    <x v="0"/>
    <x v="4"/>
    <s v="Bluetooth Speaker"/>
    <n v="1"/>
    <n v="177.65"/>
    <n v="0.3"/>
    <x v="3"/>
    <n v="124.35"/>
    <n v="143.1"/>
    <n v="-18.75"/>
    <n v="1"/>
    <n v="0"/>
    <n v="4"/>
    <n v="4"/>
  </r>
  <r>
    <s v="SW-104969"/>
    <d v="2025-11-24T00:00:00"/>
    <x v="1"/>
    <s v="Q4"/>
    <x v="10"/>
    <x v="1"/>
    <x v="3"/>
    <x v="1"/>
    <x v="4"/>
    <s v="Tablet 10in"/>
    <n v="1"/>
    <n v="490.3"/>
    <n v="0.3"/>
    <x v="3"/>
    <n v="343.21"/>
    <n v="373.99"/>
    <n v="-30.78"/>
    <n v="1"/>
    <n v="0"/>
    <n v="4"/>
    <n v="5"/>
  </r>
  <r>
    <s v="SW-104970"/>
    <d v="2025-11-24T00:00:00"/>
    <x v="1"/>
    <s v="Q4"/>
    <x v="10"/>
    <x v="2"/>
    <x v="0"/>
    <x v="1"/>
    <x v="0"/>
    <s v="Summer Dress"/>
    <n v="1"/>
    <n v="33.99"/>
    <n v="0.15"/>
    <x v="1"/>
    <n v="28.89"/>
    <n v="18.13"/>
    <n v="10.76"/>
    <n v="1"/>
    <n v="0"/>
    <n v="6"/>
    <n v="4"/>
  </r>
  <r>
    <s v="SW-104971"/>
    <d v="2025-11-24T00:00:00"/>
    <x v="1"/>
    <s v="Q4"/>
    <x v="10"/>
    <x v="1"/>
    <x v="3"/>
    <x v="1"/>
    <x v="1"/>
    <s v="Perfume 100ml"/>
    <n v="1"/>
    <n v="54.56"/>
    <n v="0.15"/>
    <x v="1"/>
    <n v="46.38"/>
    <n v="25.21"/>
    <n v="21.17"/>
    <n v="1"/>
    <n v="0"/>
    <n v="3"/>
    <n v="5"/>
  </r>
  <r>
    <s v="SW-104972"/>
    <d v="2025-11-24T00:00:00"/>
    <x v="1"/>
    <s v="Q4"/>
    <x v="10"/>
    <x v="1"/>
    <x v="2"/>
    <x v="1"/>
    <x v="1"/>
    <s v="Face Serum"/>
    <n v="3"/>
    <n v="33.479999999999997"/>
    <n v="0.2"/>
    <x v="1"/>
    <n v="80.349999999999994"/>
    <n v="49.17"/>
    <n v="31.18"/>
    <n v="1"/>
    <n v="0"/>
    <n v="5"/>
    <n v="4"/>
  </r>
  <r>
    <s v="SW-104973"/>
    <d v="2025-11-25T00:00:00"/>
    <x v="1"/>
    <s v="Q4"/>
    <x v="10"/>
    <x v="1"/>
    <x v="3"/>
    <x v="1"/>
    <x v="3"/>
    <s v="Yoga Mat"/>
    <n v="1"/>
    <n v="137.05000000000001"/>
    <n v="0.3"/>
    <x v="3"/>
    <n v="95.94"/>
    <n v="90.26"/>
    <n v="5.68"/>
    <n v="1"/>
    <n v="0"/>
    <n v="3"/>
    <n v="4"/>
  </r>
  <r>
    <s v="SW-104974"/>
    <d v="2025-11-25T00:00:00"/>
    <x v="1"/>
    <s v="Q4"/>
    <x v="10"/>
    <x v="1"/>
    <x v="0"/>
    <x v="1"/>
    <x v="4"/>
    <s v="Power Bank"/>
    <n v="1"/>
    <n v="508.8"/>
    <n v="0.15"/>
    <x v="1"/>
    <n v="432.48"/>
    <n v="409.91"/>
    <n v="22.57"/>
    <n v="1"/>
    <n v="0"/>
    <n v="5"/>
    <n v="4"/>
  </r>
  <r>
    <s v="SW-104975"/>
    <d v="2025-11-25T00:00:00"/>
    <x v="1"/>
    <s v="Q4"/>
    <x v="10"/>
    <x v="1"/>
    <x v="0"/>
    <x v="1"/>
    <x v="5"/>
    <s v="Building Blocks"/>
    <n v="1"/>
    <n v="48.86"/>
    <n v="0.2"/>
    <x v="1"/>
    <n v="39.090000000000003"/>
    <n v="34.869999999999997"/>
    <n v="4.22"/>
    <n v="1"/>
    <n v="0"/>
    <n v="5"/>
    <n v="5"/>
  </r>
  <r>
    <s v="SW-104976"/>
    <d v="2025-11-25T00:00:00"/>
    <x v="1"/>
    <s v="Q4"/>
    <x v="10"/>
    <x v="0"/>
    <x v="3"/>
    <x v="1"/>
    <x v="3"/>
    <s v="Fitness Tracker"/>
    <n v="1"/>
    <n v="74.459999999999994"/>
    <n v="0.25"/>
    <x v="3"/>
    <n v="55.84"/>
    <n v="49.32"/>
    <n v="6.52"/>
    <n v="1"/>
    <n v="0"/>
    <n v="4"/>
    <n v="4"/>
  </r>
  <r>
    <s v="SW-104977"/>
    <d v="2025-11-25T00:00:00"/>
    <x v="1"/>
    <s v="Q4"/>
    <x v="10"/>
    <x v="1"/>
    <x v="3"/>
    <x v="1"/>
    <x v="5"/>
    <s v="Board Game"/>
    <n v="1"/>
    <n v="57.92"/>
    <n v="0.15"/>
    <x v="1"/>
    <n v="49.23"/>
    <n v="41.39"/>
    <n v="7.84"/>
    <n v="1"/>
    <n v="0"/>
    <n v="5"/>
    <n v="3"/>
  </r>
  <r>
    <s v="SW-104978"/>
    <d v="2025-11-25T00:00:00"/>
    <x v="1"/>
    <s v="Q4"/>
    <x v="10"/>
    <x v="0"/>
    <x v="3"/>
    <x v="1"/>
    <x v="0"/>
    <s v="Sunglasses"/>
    <n v="3"/>
    <n v="104.94"/>
    <n v="0.25"/>
    <x v="3"/>
    <n v="236.12"/>
    <n v="177.24"/>
    <n v="58.88"/>
    <n v="1"/>
    <n v="0"/>
    <n v="3"/>
    <n v="5"/>
  </r>
  <r>
    <s v="SW-104979"/>
    <d v="2025-11-25T00:00:00"/>
    <x v="1"/>
    <s v="Q4"/>
    <x v="10"/>
    <x v="1"/>
    <x v="3"/>
    <x v="1"/>
    <x v="2"/>
    <s v="Coffee Maker"/>
    <n v="2"/>
    <n v="148.05000000000001"/>
    <n v="0.1"/>
    <x v="0"/>
    <n v="266.49"/>
    <n v="191.5"/>
    <n v="74.989999999999995"/>
    <n v="1"/>
    <n v="0"/>
    <n v="5"/>
    <n v="4"/>
  </r>
  <r>
    <s v="SW-104980"/>
    <d v="2025-11-25T00:00:00"/>
    <x v="1"/>
    <s v="Q4"/>
    <x v="10"/>
    <x v="2"/>
    <x v="4"/>
    <x v="1"/>
    <x v="2"/>
    <s v="Storage Boxes"/>
    <n v="1"/>
    <n v="154.66"/>
    <n v="0.15"/>
    <x v="1"/>
    <n v="131.46"/>
    <n v="102.22"/>
    <n v="29.24"/>
    <n v="1"/>
    <n v="0"/>
    <n v="6"/>
    <n v="4"/>
  </r>
  <r>
    <s v="SW-104981"/>
    <d v="2025-11-25T00:00:00"/>
    <x v="1"/>
    <s v="Q4"/>
    <x v="10"/>
    <x v="2"/>
    <x v="2"/>
    <x v="0"/>
    <x v="2"/>
    <s v="Storage Boxes"/>
    <n v="2"/>
    <n v="154.66"/>
    <n v="0.1"/>
    <x v="0"/>
    <n v="278.39"/>
    <n v="188.72"/>
    <n v="89.67"/>
    <n v="1"/>
    <n v="0"/>
    <n v="5"/>
    <n v="4"/>
  </r>
  <r>
    <s v="SW-104982"/>
    <d v="2025-11-25T00:00:00"/>
    <x v="1"/>
    <s v="Q4"/>
    <x v="10"/>
    <x v="1"/>
    <x v="3"/>
    <x v="0"/>
    <x v="5"/>
    <s v="Story Book Set"/>
    <n v="3"/>
    <n v="10.76"/>
    <n v="0.1"/>
    <x v="0"/>
    <n v="29.05"/>
    <n v="22.89"/>
    <n v="6.16"/>
    <n v="1"/>
    <n v="0"/>
    <n v="4"/>
    <n v="4"/>
  </r>
  <r>
    <s v="SW-104983"/>
    <d v="2025-11-25T00:00:00"/>
    <x v="1"/>
    <s v="Q4"/>
    <x v="10"/>
    <x v="0"/>
    <x v="2"/>
    <x v="0"/>
    <x v="1"/>
    <s v="Hair Dryer"/>
    <n v="1"/>
    <n v="33.18"/>
    <n v="0.15"/>
    <x v="1"/>
    <n v="28.2"/>
    <n v="15.93"/>
    <n v="12.27"/>
    <n v="1"/>
    <n v="0"/>
    <n v="4"/>
    <n v="5"/>
  </r>
  <r>
    <s v="SW-104984"/>
    <d v="2025-11-25T00:00:00"/>
    <x v="1"/>
    <s v="Q4"/>
    <x v="10"/>
    <x v="0"/>
    <x v="4"/>
    <x v="1"/>
    <x v="0"/>
    <s v="Sunglasses"/>
    <n v="1"/>
    <n v="104.94"/>
    <n v="0"/>
    <x v="2"/>
    <n v="104.94"/>
    <n v="55.06"/>
    <n v="49.88"/>
    <n v="1"/>
    <n v="0"/>
    <n v="7"/>
    <n v="4"/>
  </r>
  <r>
    <s v="SW-104985"/>
    <d v="2025-11-25T00:00:00"/>
    <x v="1"/>
    <s v="Q4"/>
    <x v="10"/>
    <x v="2"/>
    <x v="3"/>
    <x v="1"/>
    <x v="3"/>
    <s v="Cycling Helmet"/>
    <n v="1"/>
    <n v="85.42"/>
    <n v="0.3"/>
    <x v="3"/>
    <n v="59.79"/>
    <n v="59.02"/>
    <n v="0.77"/>
    <n v="1"/>
    <n v="0"/>
    <n v="5"/>
    <n v="5"/>
  </r>
  <r>
    <s v="SW-104986"/>
    <d v="2025-11-25T00:00:00"/>
    <x v="1"/>
    <s v="Q4"/>
    <x v="10"/>
    <x v="0"/>
    <x v="3"/>
    <x v="1"/>
    <x v="4"/>
    <s v="4K Action Camera"/>
    <n v="1"/>
    <n v="636.09"/>
    <n v="0.15"/>
    <x v="1"/>
    <n v="540.67999999999995"/>
    <n v="511.98"/>
    <n v="28.7"/>
    <n v="1"/>
    <n v="0"/>
    <n v="4"/>
    <n v="5"/>
  </r>
  <r>
    <s v="SW-104987"/>
    <d v="2025-11-25T00:00:00"/>
    <x v="1"/>
    <s v="Q4"/>
    <x v="10"/>
    <x v="1"/>
    <x v="2"/>
    <x v="0"/>
    <x v="4"/>
    <s v="Tablet 10in"/>
    <n v="1"/>
    <n v="490.3"/>
    <n v="0.05"/>
    <x v="0"/>
    <n v="465.78"/>
    <n v="400.05"/>
    <n v="65.73"/>
    <n v="1"/>
    <n v="0"/>
    <n v="4"/>
    <n v="4"/>
  </r>
  <r>
    <s v="SW-104988"/>
    <d v="2025-11-26T00:00:00"/>
    <x v="1"/>
    <s v="Q4"/>
    <x v="10"/>
    <x v="1"/>
    <x v="3"/>
    <x v="0"/>
    <x v="4"/>
    <s v="Smart Watch"/>
    <n v="4"/>
    <n v="216.08"/>
    <n v="0.2"/>
    <x v="1"/>
    <n v="691.46"/>
    <n v="708.5"/>
    <n v="-17.04"/>
    <n v="1"/>
    <n v="0"/>
    <n v="6"/>
    <n v="3"/>
  </r>
  <r>
    <s v="SW-104989"/>
    <d v="2025-11-26T00:00:00"/>
    <x v="1"/>
    <s v="Q4"/>
    <x v="10"/>
    <x v="0"/>
    <x v="2"/>
    <x v="1"/>
    <x v="1"/>
    <s v="Hair Dryer"/>
    <n v="1"/>
    <n v="33.18"/>
    <n v="0.15"/>
    <x v="1"/>
    <n v="28.2"/>
    <n v="16.420000000000002"/>
    <n v="11.78"/>
    <n v="1"/>
    <n v="0"/>
    <n v="4"/>
    <n v="5"/>
  </r>
  <r>
    <s v="SW-104990"/>
    <d v="2025-11-26T00:00:00"/>
    <x v="1"/>
    <s v="Q4"/>
    <x v="10"/>
    <x v="0"/>
    <x v="3"/>
    <x v="0"/>
    <x v="4"/>
    <s v="Smart Watch"/>
    <n v="2"/>
    <n v="216.08"/>
    <n v="0.3"/>
    <x v="3"/>
    <n v="302.51"/>
    <n v="354.76"/>
    <n v="-52.25"/>
    <n v="1"/>
    <n v="0"/>
    <n v="4"/>
    <n v="4"/>
  </r>
  <r>
    <s v="SW-104991"/>
    <d v="2025-11-26T00:00:00"/>
    <x v="1"/>
    <s v="Q4"/>
    <x v="10"/>
    <x v="1"/>
    <x v="4"/>
    <x v="1"/>
    <x v="1"/>
    <s v="Face Serum"/>
    <n v="1"/>
    <n v="33.479999999999997"/>
    <n v="0.2"/>
    <x v="1"/>
    <n v="26.78"/>
    <n v="16.309999999999999"/>
    <n v="10.47"/>
    <n v="1"/>
    <n v="0"/>
    <n v="7"/>
    <n v="3"/>
  </r>
  <r>
    <s v="SW-104992"/>
    <d v="2025-11-26T00:00:00"/>
    <x v="1"/>
    <s v="Q4"/>
    <x v="10"/>
    <x v="1"/>
    <x v="4"/>
    <x v="0"/>
    <x v="3"/>
    <s v="Dumbbell Set"/>
    <n v="1"/>
    <n v="198.42"/>
    <n v="0.2"/>
    <x v="1"/>
    <n v="158.74"/>
    <n v="129.53"/>
    <n v="29.21"/>
    <n v="1"/>
    <n v="0"/>
    <n v="8"/>
    <n v="4"/>
  </r>
  <r>
    <s v="SW-104993"/>
    <d v="2025-11-26T00:00:00"/>
    <x v="1"/>
    <s v="Q4"/>
    <x v="10"/>
    <x v="1"/>
    <x v="3"/>
    <x v="1"/>
    <x v="0"/>
    <s v="Denim Jacket"/>
    <n v="1"/>
    <n v="78.510000000000005"/>
    <n v="0.3"/>
    <x v="3"/>
    <n v="54.96"/>
    <n v="43.33"/>
    <n v="11.63"/>
    <n v="1"/>
    <n v="1"/>
    <n v="4"/>
    <n v="3"/>
  </r>
  <r>
    <s v="SW-104994"/>
    <d v="2025-11-26T00:00:00"/>
    <x v="1"/>
    <s v="Q4"/>
    <x v="10"/>
    <x v="2"/>
    <x v="2"/>
    <x v="0"/>
    <x v="0"/>
    <s v="Running Sneakers"/>
    <n v="2"/>
    <n v="94.85"/>
    <n v="0.05"/>
    <x v="0"/>
    <n v="180.21"/>
    <n v="105.69"/>
    <n v="74.52"/>
    <n v="1"/>
    <n v="0"/>
    <n v="6"/>
    <n v="4"/>
  </r>
  <r>
    <s v="SW-104995"/>
    <d v="2025-11-26T00:00:00"/>
    <x v="1"/>
    <s v="Q4"/>
    <x v="10"/>
    <x v="1"/>
    <x v="0"/>
    <x v="0"/>
    <x v="3"/>
    <s v="Yoga Mat"/>
    <n v="4"/>
    <n v="137.05000000000001"/>
    <n v="0.1"/>
    <x v="0"/>
    <n v="493.38"/>
    <n v="381.04"/>
    <n v="112.34"/>
    <n v="1"/>
    <n v="0"/>
    <n v="6"/>
    <n v="3"/>
  </r>
  <r>
    <s v="SW-104996"/>
    <d v="2025-11-26T00:00:00"/>
    <x v="1"/>
    <s v="Q4"/>
    <x v="10"/>
    <x v="2"/>
    <x v="2"/>
    <x v="1"/>
    <x v="0"/>
    <s v="Cotton T-Shirt"/>
    <n v="4"/>
    <n v="19.41"/>
    <n v="0.1"/>
    <x v="0"/>
    <n v="69.88"/>
    <n v="41.06"/>
    <n v="28.82"/>
    <n v="1"/>
    <n v="1"/>
    <n v="4"/>
    <n v="4"/>
  </r>
  <r>
    <s v="SW-104997"/>
    <d v="2025-11-26T00:00:00"/>
    <x v="1"/>
    <s v="Q4"/>
    <x v="10"/>
    <x v="1"/>
    <x v="3"/>
    <x v="0"/>
    <x v="0"/>
    <s v="Cotton T-Shirt"/>
    <n v="1"/>
    <n v="19.41"/>
    <n v="0.3"/>
    <x v="3"/>
    <n v="13.59"/>
    <n v="10.69"/>
    <n v="2.9"/>
    <n v="1"/>
    <n v="0"/>
    <n v="4"/>
    <n v="5"/>
  </r>
  <r>
    <s v="SW-104998"/>
    <d v="2025-11-26T00:00:00"/>
    <x v="1"/>
    <s v="Q4"/>
    <x v="10"/>
    <x v="2"/>
    <x v="3"/>
    <x v="1"/>
    <x v="0"/>
    <s v="Leather Handbag"/>
    <n v="1"/>
    <n v="138.5"/>
    <n v="0.15"/>
    <x v="1"/>
    <n v="117.72"/>
    <n v="73.09"/>
    <n v="44.63"/>
    <n v="1"/>
    <n v="0"/>
    <n v="3"/>
    <n v="3"/>
  </r>
  <r>
    <s v="SW-104999"/>
    <d v="2025-11-26T00:00:00"/>
    <x v="1"/>
    <s v="Q4"/>
    <x v="10"/>
    <x v="2"/>
    <x v="2"/>
    <x v="1"/>
    <x v="3"/>
    <s v="Yoga Mat"/>
    <n v="1"/>
    <n v="137.05000000000001"/>
    <n v="0.3"/>
    <x v="3"/>
    <n v="95.94"/>
    <n v="85.51"/>
    <n v="10.43"/>
    <n v="1"/>
    <n v="0"/>
    <n v="4"/>
    <n v="3"/>
  </r>
  <r>
    <s v="SW-105000"/>
    <d v="2025-11-26T00:00:00"/>
    <x v="1"/>
    <s v="Q4"/>
    <x v="10"/>
    <x v="0"/>
    <x v="2"/>
    <x v="1"/>
    <x v="4"/>
    <s v="Power Bank"/>
    <n v="2"/>
    <n v="508.8"/>
    <n v="0.25"/>
    <x v="3"/>
    <n v="763.2"/>
    <n v="804.74"/>
    <n v="-41.54"/>
    <n v="1"/>
    <n v="0"/>
    <n v="4"/>
    <n v="5"/>
  </r>
  <r>
    <s v="SW-105001"/>
    <d v="2025-11-27T00:00:00"/>
    <x v="1"/>
    <s v="Q4"/>
    <x v="10"/>
    <x v="1"/>
    <x v="3"/>
    <x v="0"/>
    <x v="0"/>
    <s v="Leather Handbag"/>
    <n v="1"/>
    <n v="138.5"/>
    <n v="0.25"/>
    <x v="3"/>
    <n v="103.88"/>
    <n v="75"/>
    <n v="28.88"/>
    <n v="1"/>
    <n v="0"/>
    <n v="5"/>
    <n v="4"/>
  </r>
  <r>
    <s v="SW-105002"/>
    <d v="2025-11-27T00:00:00"/>
    <x v="1"/>
    <s v="Q4"/>
    <x v="10"/>
    <x v="1"/>
    <x v="0"/>
    <x v="1"/>
    <x v="0"/>
    <s v="Leather Handbag"/>
    <n v="1"/>
    <n v="138.5"/>
    <n v="0.25"/>
    <x v="3"/>
    <n v="103.88"/>
    <n v="74.930000000000007"/>
    <n v="28.95"/>
    <n v="1"/>
    <n v="0"/>
    <n v="6"/>
    <n v="5"/>
  </r>
  <r>
    <s v="SW-105003"/>
    <d v="2025-11-27T00:00:00"/>
    <x v="1"/>
    <s v="Q4"/>
    <x v="10"/>
    <x v="1"/>
    <x v="3"/>
    <x v="0"/>
    <x v="4"/>
    <s v="Wireless Earbuds"/>
    <n v="1"/>
    <n v="588.41"/>
    <n v="0.1"/>
    <x v="0"/>
    <n v="529.57000000000005"/>
    <n v="472.23"/>
    <n v="57.34"/>
    <n v="1"/>
    <n v="0"/>
    <n v="5"/>
    <n v="5"/>
  </r>
  <r>
    <s v="SW-105004"/>
    <d v="2025-11-27T00:00:00"/>
    <x v="1"/>
    <s v="Q4"/>
    <x v="10"/>
    <x v="0"/>
    <x v="0"/>
    <x v="1"/>
    <x v="3"/>
    <s v="Cycling Helmet"/>
    <n v="1"/>
    <n v="85.42"/>
    <n v="0.2"/>
    <x v="1"/>
    <n v="68.34"/>
    <n v="54.74"/>
    <n v="13.6"/>
    <n v="1"/>
    <n v="0"/>
    <n v="5"/>
    <n v="4"/>
  </r>
  <r>
    <s v="SW-105005"/>
    <d v="2025-11-27T00:00:00"/>
    <x v="1"/>
    <s v="Q4"/>
    <x v="10"/>
    <x v="0"/>
    <x v="3"/>
    <x v="0"/>
    <x v="5"/>
    <s v="Kids Puzzle"/>
    <n v="1"/>
    <n v="16.97"/>
    <n v="0.05"/>
    <x v="0"/>
    <n v="16.12"/>
    <n v="12.14"/>
    <n v="3.98"/>
    <n v="1"/>
    <n v="0"/>
    <n v="4"/>
    <n v="4"/>
  </r>
  <r>
    <s v="SW-105006"/>
    <d v="2025-11-27T00:00:00"/>
    <x v="1"/>
    <s v="Q4"/>
    <x v="10"/>
    <x v="0"/>
    <x v="3"/>
    <x v="1"/>
    <x v="4"/>
    <s v="Wireless Earbuds"/>
    <n v="1"/>
    <n v="588.41"/>
    <n v="0.25"/>
    <x v="3"/>
    <n v="441.31"/>
    <n v="481.42"/>
    <n v="-40.11"/>
    <n v="1"/>
    <n v="1"/>
    <n v="5"/>
    <n v="3"/>
  </r>
  <r>
    <s v="SW-105007"/>
    <d v="2025-11-27T00:00:00"/>
    <x v="1"/>
    <s v="Q4"/>
    <x v="10"/>
    <x v="1"/>
    <x v="2"/>
    <x v="1"/>
    <x v="5"/>
    <s v="Board Game"/>
    <n v="1"/>
    <n v="57.92"/>
    <n v="0.15"/>
    <x v="1"/>
    <n v="49.23"/>
    <n v="41.5"/>
    <n v="7.73"/>
    <n v="1"/>
    <n v="0"/>
    <n v="5"/>
    <n v="4"/>
  </r>
  <r>
    <s v="SW-105008"/>
    <d v="2025-11-27T00:00:00"/>
    <x v="1"/>
    <s v="Q4"/>
    <x v="10"/>
    <x v="0"/>
    <x v="3"/>
    <x v="0"/>
    <x v="0"/>
    <s v="Running Sneakers"/>
    <n v="2"/>
    <n v="94.85"/>
    <n v="0.25"/>
    <x v="3"/>
    <n v="142.27000000000001"/>
    <n v="102.47"/>
    <n v="39.799999999999997"/>
    <n v="1"/>
    <n v="0"/>
    <n v="4"/>
    <n v="4"/>
  </r>
  <r>
    <s v="SW-105009"/>
    <d v="2025-11-27T00:00:00"/>
    <x v="1"/>
    <s v="Q4"/>
    <x v="10"/>
    <x v="1"/>
    <x v="3"/>
    <x v="0"/>
    <x v="3"/>
    <s v="Dumbbell Set"/>
    <n v="2"/>
    <n v="198.42"/>
    <n v="0.25"/>
    <x v="3"/>
    <n v="297.63"/>
    <n v="262.22000000000003"/>
    <n v="35.409999999999997"/>
    <n v="1"/>
    <n v="0"/>
    <n v="3"/>
    <n v="4"/>
  </r>
  <r>
    <s v="SW-105010"/>
    <d v="2025-11-27T00:00:00"/>
    <x v="1"/>
    <s v="Q4"/>
    <x v="10"/>
    <x v="2"/>
    <x v="0"/>
    <x v="0"/>
    <x v="4"/>
    <s v="Wireless Earbuds"/>
    <n v="2"/>
    <n v="588.41"/>
    <n v="0.2"/>
    <x v="1"/>
    <n v="941.46"/>
    <n v="967.37"/>
    <n v="-25.91"/>
    <n v="1"/>
    <n v="0"/>
    <n v="5"/>
    <n v="5"/>
  </r>
  <r>
    <s v="SW-105011"/>
    <d v="2025-11-28T00:00:00"/>
    <x v="1"/>
    <s v="Q4"/>
    <x v="10"/>
    <x v="0"/>
    <x v="0"/>
    <x v="0"/>
    <x v="2"/>
    <s v="Coffee Maker"/>
    <n v="1"/>
    <n v="148.05000000000001"/>
    <n v="0.05"/>
    <x v="0"/>
    <n v="140.65"/>
    <n v="97.67"/>
    <n v="42.98"/>
    <n v="1"/>
    <n v="0"/>
    <n v="4"/>
    <n v="5"/>
  </r>
  <r>
    <s v="SW-105012"/>
    <d v="2025-11-28T00:00:00"/>
    <x v="1"/>
    <s v="Q4"/>
    <x v="10"/>
    <x v="1"/>
    <x v="4"/>
    <x v="1"/>
    <x v="3"/>
    <s v="Camping Tent"/>
    <n v="1"/>
    <n v="83.06"/>
    <n v="0.3"/>
    <x v="3"/>
    <n v="58.14"/>
    <n v="52.9"/>
    <n v="5.24"/>
    <n v="1"/>
    <n v="0"/>
    <n v="7"/>
    <n v="3"/>
  </r>
  <r>
    <s v="SW-105013"/>
    <d v="2025-11-28T00:00:00"/>
    <x v="1"/>
    <s v="Q4"/>
    <x v="10"/>
    <x v="1"/>
    <x v="0"/>
    <x v="1"/>
    <x v="0"/>
    <s v="Denim Jacket"/>
    <n v="1"/>
    <n v="78.510000000000005"/>
    <n v="0.15"/>
    <x v="1"/>
    <n v="66.73"/>
    <n v="42.99"/>
    <n v="23.74"/>
    <n v="1"/>
    <n v="1"/>
    <n v="4"/>
    <n v="3"/>
  </r>
  <r>
    <s v="SW-105014"/>
    <d v="2025-11-28T00:00:00"/>
    <x v="1"/>
    <s v="Q4"/>
    <x v="10"/>
    <x v="2"/>
    <x v="2"/>
    <x v="0"/>
    <x v="4"/>
    <s v="Wireless Earbuds"/>
    <n v="1"/>
    <n v="588.41"/>
    <n v="0.05"/>
    <x v="0"/>
    <n v="558.99"/>
    <n v="481.61"/>
    <n v="77.38"/>
    <n v="1"/>
    <n v="0"/>
    <n v="4"/>
    <n v="4"/>
  </r>
  <r>
    <s v="SW-105015"/>
    <d v="2025-11-28T00:00:00"/>
    <x v="1"/>
    <s v="Q4"/>
    <x v="10"/>
    <x v="2"/>
    <x v="0"/>
    <x v="0"/>
    <x v="1"/>
    <s v="Skin Care Bundle"/>
    <n v="2"/>
    <n v="92.54"/>
    <n v="0.05"/>
    <x v="0"/>
    <n v="175.83"/>
    <n v="90.93"/>
    <n v="84.9"/>
    <n v="1"/>
    <n v="0"/>
    <n v="5"/>
    <n v="5"/>
  </r>
  <r>
    <s v="SW-105016"/>
    <d v="2025-11-28T00:00:00"/>
    <x v="1"/>
    <s v="Q4"/>
    <x v="10"/>
    <x v="0"/>
    <x v="3"/>
    <x v="1"/>
    <x v="0"/>
    <s v="Leather Handbag"/>
    <n v="1"/>
    <n v="138.5"/>
    <n v="0.25"/>
    <x v="3"/>
    <n v="103.88"/>
    <n v="76.099999999999994"/>
    <n v="27.78"/>
    <n v="1"/>
    <n v="0"/>
    <n v="4"/>
    <n v="5"/>
  </r>
  <r>
    <s v="SW-105017"/>
    <d v="2025-11-28T00:00:00"/>
    <x v="1"/>
    <s v="Q4"/>
    <x v="10"/>
    <x v="1"/>
    <x v="2"/>
    <x v="1"/>
    <x v="4"/>
    <s v="4K Action Camera"/>
    <n v="2"/>
    <n v="636.09"/>
    <n v="0.05"/>
    <x v="0"/>
    <n v="1208.57"/>
    <n v="1040.3399999999999"/>
    <n v="168.23"/>
    <n v="1"/>
    <n v="0"/>
    <n v="7"/>
    <n v="4"/>
  </r>
  <r>
    <s v="SW-105018"/>
    <d v="2025-11-28T00:00:00"/>
    <x v="1"/>
    <s v="Q4"/>
    <x v="10"/>
    <x v="2"/>
    <x v="1"/>
    <x v="1"/>
    <x v="2"/>
    <s v="Desk Lamp"/>
    <n v="1"/>
    <n v="117.63"/>
    <n v="0.1"/>
    <x v="0"/>
    <n v="105.87"/>
    <n v="78.77"/>
    <n v="27.1"/>
    <n v="1"/>
    <n v="0"/>
    <n v="7"/>
    <n v="3"/>
  </r>
  <r>
    <s v="SW-105019"/>
    <d v="2025-11-28T00:00:00"/>
    <x v="1"/>
    <s v="Q4"/>
    <x v="10"/>
    <x v="0"/>
    <x v="3"/>
    <x v="1"/>
    <x v="5"/>
    <s v="Building Blocks"/>
    <n v="2"/>
    <n v="48.86"/>
    <n v="0"/>
    <x v="2"/>
    <n v="97.72"/>
    <n v="66.86"/>
    <n v="30.86"/>
    <n v="1"/>
    <n v="1"/>
    <n v="4"/>
    <n v="3"/>
  </r>
  <r>
    <s v="SW-105020"/>
    <d v="2025-11-28T00:00:00"/>
    <x v="1"/>
    <s v="Q4"/>
    <x v="10"/>
    <x v="0"/>
    <x v="1"/>
    <x v="1"/>
    <x v="2"/>
    <s v="Cookware Set"/>
    <n v="1"/>
    <n v="233.81"/>
    <n v="0.3"/>
    <x v="3"/>
    <n v="163.66999999999999"/>
    <n v="147.22"/>
    <n v="16.45"/>
    <n v="1"/>
    <n v="0"/>
    <n v="8"/>
    <n v="4"/>
  </r>
  <r>
    <s v="SW-105021"/>
    <d v="2025-11-28T00:00:00"/>
    <x v="1"/>
    <s v="Q4"/>
    <x v="10"/>
    <x v="0"/>
    <x v="1"/>
    <x v="1"/>
    <x v="0"/>
    <s v="Sunglasses"/>
    <n v="1"/>
    <n v="104.94"/>
    <n v="0.15"/>
    <x v="1"/>
    <n v="89.2"/>
    <n v="59.66"/>
    <n v="29.54"/>
    <n v="1"/>
    <n v="1"/>
    <n v="6"/>
    <n v="1"/>
  </r>
  <r>
    <s v="SW-105022"/>
    <d v="2025-11-28T00:00:00"/>
    <x v="1"/>
    <s v="Q4"/>
    <x v="10"/>
    <x v="0"/>
    <x v="4"/>
    <x v="0"/>
    <x v="0"/>
    <s v="Denim Jacket"/>
    <n v="1"/>
    <n v="78.510000000000005"/>
    <n v="0.15"/>
    <x v="1"/>
    <n v="66.73"/>
    <n v="41.4"/>
    <n v="25.33"/>
    <n v="1"/>
    <n v="0"/>
    <n v="6"/>
    <n v="4"/>
  </r>
  <r>
    <s v="SW-105023"/>
    <d v="2025-11-28T00:00:00"/>
    <x v="1"/>
    <s v="Q4"/>
    <x v="10"/>
    <x v="1"/>
    <x v="0"/>
    <x v="1"/>
    <x v="2"/>
    <s v="Coffee Maker"/>
    <n v="2"/>
    <n v="148.05000000000001"/>
    <n v="0.2"/>
    <x v="1"/>
    <n v="236.88"/>
    <n v="194.47"/>
    <n v="42.41"/>
    <n v="1"/>
    <n v="0"/>
    <n v="5"/>
    <n v="5"/>
  </r>
  <r>
    <s v="SW-105024"/>
    <d v="2025-11-29T00:00:00"/>
    <x v="1"/>
    <s v="Q4"/>
    <x v="10"/>
    <x v="0"/>
    <x v="4"/>
    <x v="0"/>
    <x v="4"/>
    <s v="Bluetooth Speaker"/>
    <n v="2"/>
    <n v="177.65"/>
    <n v="0.1"/>
    <x v="0"/>
    <n v="319.77"/>
    <n v="289.81"/>
    <n v="29.96"/>
    <n v="1"/>
    <n v="0"/>
    <n v="7"/>
    <n v="3"/>
  </r>
  <r>
    <s v="SW-105025"/>
    <d v="2025-11-29T00:00:00"/>
    <x v="1"/>
    <s v="Q4"/>
    <x v="10"/>
    <x v="0"/>
    <x v="0"/>
    <x v="1"/>
    <x v="3"/>
    <s v="Cycling Helmet"/>
    <n v="1"/>
    <n v="85.42"/>
    <n v="0.25"/>
    <x v="3"/>
    <n v="64.06"/>
    <n v="58.26"/>
    <n v="5.8"/>
    <n v="1"/>
    <n v="0"/>
    <n v="6"/>
    <n v="3"/>
  </r>
  <r>
    <s v="SW-105026"/>
    <d v="2025-11-29T00:00:00"/>
    <x v="1"/>
    <s v="Q4"/>
    <x v="10"/>
    <x v="1"/>
    <x v="0"/>
    <x v="0"/>
    <x v="0"/>
    <s v="Running Sneakers"/>
    <n v="1"/>
    <n v="94.85"/>
    <n v="0.25"/>
    <x v="3"/>
    <n v="71.14"/>
    <n v="53.32"/>
    <n v="17.82"/>
    <n v="1"/>
    <n v="1"/>
    <n v="5"/>
    <n v="3"/>
  </r>
  <r>
    <s v="SW-105027"/>
    <d v="2025-11-29T00:00:00"/>
    <x v="1"/>
    <s v="Q4"/>
    <x v="10"/>
    <x v="0"/>
    <x v="2"/>
    <x v="0"/>
    <x v="1"/>
    <s v="Face Serum"/>
    <n v="1"/>
    <n v="33.479999999999997"/>
    <n v="0.1"/>
    <x v="0"/>
    <n v="30.13"/>
    <n v="16.13"/>
    <n v="14"/>
    <n v="1"/>
    <n v="0"/>
    <n v="6"/>
    <n v="4"/>
  </r>
  <r>
    <s v="SW-105028"/>
    <d v="2025-11-29T00:00:00"/>
    <x v="1"/>
    <s v="Q4"/>
    <x v="10"/>
    <x v="1"/>
    <x v="0"/>
    <x v="0"/>
    <x v="3"/>
    <s v="Dumbbell Set"/>
    <n v="1"/>
    <n v="198.42"/>
    <n v="0.1"/>
    <x v="0"/>
    <n v="178.58"/>
    <n v="131.5"/>
    <n v="47.08"/>
    <n v="1"/>
    <n v="0"/>
    <n v="7"/>
    <n v="4"/>
  </r>
  <r>
    <s v="SW-105029"/>
    <d v="2025-11-29T00:00:00"/>
    <x v="1"/>
    <s v="Q4"/>
    <x v="10"/>
    <x v="1"/>
    <x v="0"/>
    <x v="0"/>
    <x v="4"/>
    <s v="Smart Watch"/>
    <n v="1"/>
    <n v="216.08"/>
    <n v="0.2"/>
    <x v="1"/>
    <n v="172.86"/>
    <n v="169.44"/>
    <n v="3.42"/>
    <n v="1"/>
    <n v="0"/>
    <n v="5"/>
    <n v="5"/>
  </r>
  <r>
    <s v="SW-105030"/>
    <d v="2025-11-29T00:00:00"/>
    <x v="1"/>
    <s v="Q4"/>
    <x v="10"/>
    <x v="0"/>
    <x v="0"/>
    <x v="1"/>
    <x v="2"/>
    <s v="Cookware Set"/>
    <n v="3"/>
    <n v="233.81"/>
    <n v="0.05"/>
    <x v="0"/>
    <n v="666.36"/>
    <n v="447.54"/>
    <n v="218.82"/>
    <n v="1"/>
    <n v="1"/>
    <n v="4"/>
    <n v="3"/>
  </r>
  <r>
    <s v="SW-105031"/>
    <d v="2025-11-29T00:00:00"/>
    <x v="1"/>
    <s v="Q4"/>
    <x v="10"/>
    <x v="2"/>
    <x v="2"/>
    <x v="1"/>
    <x v="3"/>
    <s v="Yoga Mat"/>
    <n v="1"/>
    <n v="137.05000000000001"/>
    <n v="0.2"/>
    <x v="1"/>
    <n v="109.64"/>
    <n v="97.08"/>
    <n v="12.56"/>
    <n v="1"/>
    <n v="0"/>
    <n v="5"/>
    <n v="3"/>
  </r>
  <r>
    <s v="SW-105032"/>
    <d v="2025-11-29T00:00:00"/>
    <x v="1"/>
    <s v="Q4"/>
    <x v="10"/>
    <x v="0"/>
    <x v="0"/>
    <x v="1"/>
    <x v="3"/>
    <s v="Camping Tent"/>
    <n v="2"/>
    <n v="83.06"/>
    <n v="0.3"/>
    <x v="3"/>
    <n v="116.28"/>
    <n v="107.54"/>
    <n v="8.74"/>
    <n v="1"/>
    <n v="0"/>
    <n v="5"/>
    <n v="3"/>
  </r>
  <r>
    <s v="SW-105033"/>
    <d v="2025-11-29T00:00:00"/>
    <x v="1"/>
    <s v="Q4"/>
    <x v="10"/>
    <x v="1"/>
    <x v="1"/>
    <x v="1"/>
    <x v="1"/>
    <s v="Hair Dryer"/>
    <n v="2"/>
    <n v="33.18"/>
    <n v="0.2"/>
    <x v="1"/>
    <n v="53.09"/>
    <n v="32.659999999999997"/>
    <n v="20.43"/>
    <n v="1"/>
    <n v="0"/>
    <n v="6"/>
    <n v="4"/>
  </r>
  <r>
    <s v="SW-105034"/>
    <d v="2025-11-29T00:00:00"/>
    <x v="1"/>
    <s v="Q4"/>
    <x v="10"/>
    <x v="2"/>
    <x v="0"/>
    <x v="0"/>
    <x v="1"/>
    <s v="Hair Dryer"/>
    <n v="1"/>
    <n v="33.18"/>
    <n v="0.1"/>
    <x v="0"/>
    <n v="29.86"/>
    <n v="16.61"/>
    <n v="13.25"/>
    <n v="1"/>
    <n v="0"/>
    <n v="5"/>
    <n v="5"/>
  </r>
  <r>
    <s v="SW-105035"/>
    <d v="2025-11-29T00:00:00"/>
    <x v="1"/>
    <s v="Q4"/>
    <x v="10"/>
    <x v="1"/>
    <x v="0"/>
    <x v="1"/>
    <x v="4"/>
    <s v="Bluetooth Speaker"/>
    <n v="1"/>
    <n v="177.65"/>
    <n v="0.05"/>
    <x v="0"/>
    <n v="168.77"/>
    <n v="146.38"/>
    <n v="22.39"/>
    <n v="1"/>
    <n v="0"/>
    <n v="5"/>
    <n v="5"/>
  </r>
  <r>
    <s v="SW-105036"/>
    <d v="2025-11-29T00:00:00"/>
    <x v="1"/>
    <s v="Q4"/>
    <x v="10"/>
    <x v="1"/>
    <x v="2"/>
    <x v="0"/>
    <x v="1"/>
    <s v="Perfume 100ml"/>
    <n v="1"/>
    <n v="54.56"/>
    <n v="0.2"/>
    <x v="1"/>
    <n v="43.65"/>
    <n v="26.98"/>
    <n v="16.670000000000002"/>
    <n v="1"/>
    <n v="0"/>
    <n v="5"/>
    <n v="5"/>
  </r>
  <r>
    <s v="SW-105037"/>
    <d v="2025-11-29T00:00:00"/>
    <x v="1"/>
    <s v="Q4"/>
    <x v="10"/>
    <x v="0"/>
    <x v="3"/>
    <x v="1"/>
    <x v="4"/>
    <s v="Wireless Earbuds"/>
    <n v="2"/>
    <n v="588.41"/>
    <n v="0.25"/>
    <x v="3"/>
    <n v="882.62"/>
    <n v="927"/>
    <n v="-44.38"/>
    <n v="1"/>
    <n v="0"/>
    <n v="4"/>
    <n v="5"/>
  </r>
  <r>
    <s v="SW-105038"/>
    <d v="2025-11-29T00:00:00"/>
    <x v="1"/>
    <s v="Q4"/>
    <x v="10"/>
    <x v="2"/>
    <x v="4"/>
    <x v="1"/>
    <x v="5"/>
    <s v="Kids Puzzle"/>
    <n v="1"/>
    <n v="16.97"/>
    <n v="0.2"/>
    <x v="1"/>
    <n v="13.58"/>
    <n v="12"/>
    <n v="1.58"/>
    <n v="1"/>
    <n v="0"/>
    <n v="8"/>
    <n v="4"/>
  </r>
  <r>
    <s v="SW-105039"/>
    <d v="2025-11-29T00:00:00"/>
    <x v="1"/>
    <s v="Q4"/>
    <x v="10"/>
    <x v="0"/>
    <x v="0"/>
    <x v="0"/>
    <x v="2"/>
    <s v="Storage Boxes"/>
    <n v="1"/>
    <n v="154.66"/>
    <n v="0.1"/>
    <x v="0"/>
    <n v="139.19"/>
    <n v="102.64"/>
    <n v="36.549999999999997"/>
    <n v="1"/>
    <n v="0"/>
    <n v="6"/>
    <n v="4"/>
  </r>
  <r>
    <s v="SW-105040"/>
    <d v="2025-11-29T00:00:00"/>
    <x v="1"/>
    <s v="Q4"/>
    <x v="10"/>
    <x v="1"/>
    <x v="0"/>
    <x v="0"/>
    <x v="1"/>
    <s v="Hair Dryer"/>
    <n v="2"/>
    <n v="33.18"/>
    <n v="0.25"/>
    <x v="3"/>
    <n v="49.77"/>
    <n v="31.26"/>
    <n v="18.510000000000002"/>
    <n v="1"/>
    <n v="0"/>
    <n v="4"/>
    <n v="5"/>
  </r>
  <r>
    <s v="SW-105041"/>
    <d v="2025-11-29T00:00:00"/>
    <x v="1"/>
    <s v="Q4"/>
    <x v="10"/>
    <x v="1"/>
    <x v="2"/>
    <x v="0"/>
    <x v="2"/>
    <s v="Desk Lamp"/>
    <n v="1"/>
    <n v="117.63"/>
    <n v="0.15"/>
    <x v="1"/>
    <n v="99.99"/>
    <n v="78.5"/>
    <n v="21.49"/>
    <n v="1"/>
    <n v="0"/>
    <n v="4"/>
    <n v="5"/>
  </r>
  <r>
    <s v="SW-105042"/>
    <d v="2025-11-30T00:00:00"/>
    <x v="1"/>
    <s v="Q4"/>
    <x v="10"/>
    <x v="2"/>
    <x v="4"/>
    <x v="0"/>
    <x v="5"/>
    <s v="Bestseller Novel"/>
    <n v="1"/>
    <n v="45.28"/>
    <n v="0.2"/>
    <x v="1"/>
    <n v="36.22"/>
    <n v="31.06"/>
    <n v="5.16"/>
    <n v="1"/>
    <n v="0"/>
    <n v="6"/>
    <n v="4"/>
  </r>
  <r>
    <s v="SW-105043"/>
    <d v="2025-11-30T00:00:00"/>
    <x v="1"/>
    <s v="Q4"/>
    <x v="10"/>
    <x v="0"/>
    <x v="0"/>
    <x v="0"/>
    <x v="0"/>
    <s v="Running Sneakers"/>
    <n v="1"/>
    <n v="94.85"/>
    <n v="0.15"/>
    <x v="1"/>
    <n v="80.62"/>
    <n v="48.92"/>
    <n v="31.7"/>
    <n v="1"/>
    <n v="0"/>
    <n v="4"/>
    <n v="4"/>
  </r>
  <r>
    <s v="SW-105044"/>
    <d v="2025-11-30T00:00:00"/>
    <x v="1"/>
    <s v="Q4"/>
    <x v="10"/>
    <x v="1"/>
    <x v="3"/>
    <x v="0"/>
    <x v="0"/>
    <s v="Sunglasses"/>
    <n v="1"/>
    <n v="104.94"/>
    <n v="0.25"/>
    <x v="3"/>
    <n v="78.7"/>
    <n v="54.42"/>
    <n v="24.28"/>
    <n v="1"/>
    <n v="0"/>
    <n v="6"/>
    <n v="4"/>
  </r>
  <r>
    <s v="SW-105045"/>
    <d v="2025-11-30T00:00:00"/>
    <x v="1"/>
    <s v="Q4"/>
    <x v="10"/>
    <x v="1"/>
    <x v="3"/>
    <x v="1"/>
    <x v="2"/>
    <s v="Desk Lamp"/>
    <n v="2"/>
    <n v="117.63"/>
    <n v="0.3"/>
    <x v="3"/>
    <n v="164.68"/>
    <n v="161.25"/>
    <n v="3.43"/>
    <n v="1"/>
    <n v="0"/>
    <n v="4"/>
    <n v="5"/>
  </r>
  <r>
    <s v="SW-105046"/>
    <d v="2025-11-30T00:00:00"/>
    <x v="1"/>
    <s v="Q4"/>
    <x v="10"/>
    <x v="1"/>
    <x v="3"/>
    <x v="0"/>
    <x v="2"/>
    <s v="Storage Boxes"/>
    <n v="1"/>
    <n v="154.66"/>
    <n v="0.3"/>
    <x v="3"/>
    <n v="108.26"/>
    <n v="105.45"/>
    <n v="2.81"/>
    <n v="1"/>
    <n v="0"/>
    <n v="5"/>
    <n v="3"/>
  </r>
  <r>
    <s v="SW-105047"/>
    <d v="2025-11-30T00:00:00"/>
    <x v="1"/>
    <s v="Q4"/>
    <x v="10"/>
    <x v="0"/>
    <x v="4"/>
    <x v="1"/>
    <x v="5"/>
    <s v="Building Blocks"/>
    <n v="1"/>
    <n v="48.86"/>
    <n v="0.25"/>
    <x v="3"/>
    <n v="36.64"/>
    <n v="35.69"/>
    <n v="0.95"/>
    <n v="1"/>
    <n v="0"/>
    <n v="8"/>
    <n v="3"/>
  </r>
  <r>
    <s v="SW-105048"/>
    <d v="2025-11-30T00:00:00"/>
    <x v="1"/>
    <s v="Q4"/>
    <x v="10"/>
    <x v="2"/>
    <x v="3"/>
    <x v="1"/>
    <x v="0"/>
    <s v="Summer Dress"/>
    <n v="2"/>
    <n v="33.99"/>
    <n v="0.2"/>
    <x v="1"/>
    <n v="54.38"/>
    <n v="36.880000000000003"/>
    <n v="17.5"/>
    <n v="1"/>
    <n v="0"/>
    <n v="5"/>
    <n v="5"/>
  </r>
  <r>
    <s v="SW-105049"/>
    <d v="2025-11-30T00:00:00"/>
    <x v="1"/>
    <s v="Q4"/>
    <x v="10"/>
    <x v="2"/>
    <x v="3"/>
    <x v="1"/>
    <x v="3"/>
    <s v="Camping Tent"/>
    <n v="2"/>
    <n v="83.06"/>
    <n v="0.2"/>
    <x v="1"/>
    <n v="132.9"/>
    <n v="115.15"/>
    <n v="17.75"/>
    <n v="1"/>
    <n v="0"/>
    <n v="4"/>
    <n v="4"/>
  </r>
  <r>
    <s v="SW-105050"/>
    <d v="2025-12-01T00:00:00"/>
    <x v="1"/>
    <s v="Q4"/>
    <x v="11"/>
    <x v="1"/>
    <x v="3"/>
    <x v="0"/>
    <x v="1"/>
    <s v="Face Serum"/>
    <n v="1"/>
    <n v="33.479999999999997"/>
    <n v="0.15"/>
    <x v="1"/>
    <n v="28.46"/>
    <n v="15.46"/>
    <n v="13"/>
    <n v="1"/>
    <n v="0"/>
    <n v="4"/>
    <n v="5"/>
  </r>
  <r>
    <s v="SW-105051"/>
    <d v="2025-12-01T00:00:00"/>
    <x v="1"/>
    <s v="Q4"/>
    <x v="11"/>
    <x v="0"/>
    <x v="0"/>
    <x v="1"/>
    <x v="1"/>
    <s v="Makeup Kit"/>
    <n v="2"/>
    <n v="74.3"/>
    <n v="0.25"/>
    <x v="3"/>
    <n v="111.45"/>
    <n v="71.2"/>
    <n v="40.25"/>
    <n v="1"/>
    <n v="0"/>
    <n v="5"/>
    <n v="4"/>
  </r>
  <r>
    <s v="SW-105052"/>
    <d v="2025-12-01T00:00:00"/>
    <x v="1"/>
    <s v="Q4"/>
    <x v="11"/>
    <x v="0"/>
    <x v="3"/>
    <x v="0"/>
    <x v="4"/>
    <s v="Smart Watch"/>
    <n v="1"/>
    <n v="216.08"/>
    <n v="0.3"/>
    <x v="3"/>
    <n v="151.26"/>
    <n v="168.88"/>
    <n v="-17.62"/>
    <n v="1"/>
    <n v="0"/>
    <n v="3"/>
    <n v="4"/>
  </r>
  <r>
    <s v="SW-105053"/>
    <d v="2025-12-01T00:00:00"/>
    <x v="1"/>
    <s v="Q4"/>
    <x v="11"/>
    <x v="1"/>
    <x v="3"/>
    <x v="1"/>
    <x v="4"/>
    <s v="Bluetooth Speaker"/>
    <n v="1"/>
    <n v="177.65"/>
    <n v="0"/>
    <x v="2"/>
    <n v="177.65"/>
    <n v="143.03"/>
    <n v="34.619999999999997"/>
    <n v="1"/>
    <n v="0"/>
    <n v="4"/>
    <n v="4"/>
  </r>
  <r>
    <s v="SW-105054"/>
    <d v="2025-12-01T00:00:00"/>
    <x v="1"/>
    <s v="Q4"/>
    <x v="11"/>
    <x v="1"/>
    <x v="0"/>
    <x v="0"/>
    <x v="1"/>
    <s v="Face Serum"/>
    <n v="1"/>
    <n v="33.479999999999997"/>
    <n v="0.05"/>
    <x v="0"/>
    <n v="31.81"/>
    <n v="15.79"/>
    <n v="16.02"/>
    <n v="1"/>
    <n v="0"/>
    <n v="5"/>
    <n v="4"/>
  </r>
  <r>
    <s v="SW-105055"/>
    <d v="2025-12-01T00:00:00"/>
    <x v="1"/>
    <s v="Q4"/>
    <x v="11"/>
    <x v="2"/>
    <x v="1"/>
    <x v="0"/>
    <x v="4"/>
    <s v="Power Bank"/>
    <n v="2"/>
    <n v="508.8"/>
    <n v="0.05"/>
    <x v="0"/>
    <n v="966.72"/>
    <n v="810.26"/>
    <n v="156.46"/>
    <n v="1"/>
    <n v="0"/>
    <n v="7"/>
    <n v="3"/>
  </r>
  <r>
    <s v="SW-105056"/>
    <d v="2025-12-01T00:00:00"/>
    <x v="1"/>
    <s v="Q4"/>
    <x v="11"/>
    <x v="0"/>
    <x v="0"/>
    <x v="0"/>
    <x v="4"/>
    <s v="4K Action Camera"/>
    <n v="3"/>
    <n v="636.09"/>
    <n v="0.15"/>
    <x v="1"/>
    <n v="1622.03"/>
    <n v="1502.53"/>
    <n v="119.5"/>
    <n v="1"/>
    <n v="0"/>
    <n v="4"/>
    <n v="5"/>
  </r>
  <r>
    <s v="SW-105057"/>
    <d v="2025-12-01T00:00:00"/>
    <x v="1"/>
    <s v="Q4"/>
    <x v="11"/>
    <x v="2"/>
    <x v="3"/>
    <x v="1"/>
    <x v="1"/>
    <s v="Perfume 100ml"/>
    <n v="1"/>
    <n v="54.56"/>
    <n v="0.25"/>
    <x v="3"/>
    <n v="40.92"/>
    <n v="26.37"/>
    <n v="14.55"/>
    <n v="1"/>
    <n v="0"/>
    <n v="3"/>
    <n v="5"/>
  </r>
  <r>
    <s v="SW-105058"/>
    <d v="2025-12-01T00:00:00"/>
    <x v="1"/>
    <s v="Q4"/>
    <x v="11"/>
    <x v="0"/>
    <x v="2"/>
    <x v="1"/>
    <x v="0"/>
    <s v="Summer Dress"/>
    <n v="1"/>
    <n v="33.99"/>
    <n v="0.3"/>
    <x v="3"/>
    <n v="23.79"/>
    <n v="17.3"/>
    <n v="6.49"/>
    <n v="1"/>
    <n v="0"/>
    <n v="5"/>
    <n v="3"/>
  </r>
  <r>
    <s v="SW-105059"/>
    <d v="2025-12-01T00:00:00"/>
    <x v="1"/>
    <s v="Q4"/>
    <x v="11"/>
    <x v="1"/>
    <x v="2"/>
    <x v="1"/>
    <x v="4"/>
    <s v="Tablet 10in"/>
    <n v="3"/>
    <n v="490.3"/>
    <n v="0.3"/>
    <x v="3"/>
    <n v="1029.6300000000001"/>
    <n v="1181.42"/>
    <n v="-151.79"/>
    <n v="1"/>
    <n v="0"/>
    <n v="6"/>
    <n v="4"/>
  </r>
  <r>
    <s v="SW-105060"/>
    <d v="2025-12-01T00:00:00"/>
    <x v="1"/>
    <s v="Q4"/>
    <x v="11"/>
    <x v="2"/>
    <x v="1"/>
    <x v="1"/>
    <x v="0"/>
    <s v="Summer Dress"/>
    <n v="1"/>
    <n v="33.99"/>
    <n v="0.15"/>
    <x v="1"/>
    <n v="28.89"/>
    <n v="16.72"/>
    <n v="12.17"/>
    <n v="1"/>
    <n v="0"/>
    <n v="6"/>
    <n v="3"/>
  </r>
  <r>
    <s v="SW-105061"/>
    <d v="2025-12-01T00:00:00"/>
    <x v="1"/>
    <s v="Q4"/>
    <x v="11"/>
    <x v="1"/>
    <x v="3"/>
    <x v="1"/>
    <x v="4"/>
    <s v="Wireless Earbuds"/>
    <n v="1"/>
    <n v="588.41"/>
    <n v="0.25"/>
    <x v="3"/>
    <n v="441.31"/>
    <n v="461.54"/>
    <n v="-20.23"/>
    <n v="1"/>
    <n v="0"/>
    <n v="3"/>
    <n v="5"/>
  </r>
  <r>
    <s v="SW-105062"/>
    <d v="2025-12-01T00:00:00"/>
    <x v="1"/>
    <s v="Q4"/>
    <x v="11"/>
    <x v="0"/>
    <x v="0"/>
    <x v="0"/>
    <x v="4"/>
    <s v="Bluetooth Speaker"/>
    <n v="4"/>
    <n v="177.65"/>
    <n v="0.3"/>
    <x v="3"/>
    <n v="497.42"/>
    <n v="560.17999999999995"/>
    <n v="-62.76"/>
    <n v="1"/>
    <n v="1"/>
    <n v="4"/>
    <n v="3"/>
  </r>
  <r>
    <s v="SW-105063"/>
    <d v="2025-12-01T00:00:00"/>
    <x v="1"/>
    <s v="Q4"/>
    <x v="11"/>
    <x v="1"/>
    <x v="2"/>
    <x v="0"/>
    <x v="0"/>
    <s v="Leather Handbag"/>
    <n v="1"/>
    <n v="138.5"/>
    <n v="0.15"/>
    <x v="1"/>
    <n v="117.72"/>
    <n v="71.959999999999994"/>
    <n v="45.76"/>
    <n v="1"/>
    <n v="1"/>
    <n v="6"/>
    <n v="3"/>
  </r>
  <r>
    <s v="SW-105064"/>
    <d v="2025-12-01T00:00:00"/>
    <x v="1"/>
    <s v="Q4"/>
    <x v="11"/>
    <x v="1"/>
    <x v="2"/>
    <x v="0"/>
    <x v="1"/>
    <s v="Skin Care Bundle"/>
    <n v="1"/>
    <n v="92.54"/>
    <n v="0.05"/>
    <x v="0"/>
    <n v="87.91"/>
    <n v="45.02"/>
    <n v="42.89"/>
    <n v="1"/>
    <n v="0"/>
    <n v="4"/>
    <n v="4"/>
  </r>
  <r>
    <s v="SW-105065"/>
    <d v="2025-12-02T00:00:00"/>
    <x v="1"/>
    <s v="Q4"/>
    <x v="11"/>
    <x v="1"/>
    <x v="0"/>
    <x v="1"/>
    <x v="1"/>
    <s v="Makeup Kit"/>
    <n v="1"/>
    <n v="74.3"/>
    <n v="0.15"/>
    <x v="1"/>
    <n v="63.15"/>
    <n v="33.549999999999997"/>
    <n v="29.6"/>
    <n v="1"/>
    <n v="0"/>
    <n v="5"/>
    <n v="4"/>
  </r>
  <r>
    <s v="SW-105066"/>
    <d v="2025-12-02T00:00:00"/>
    <x v="1"/>
    <s v="Q4"/>
    <x v="11"/>
    <x v="1"/>
    <x v="0"/>
    <x v="0"/>
    <x v="4"/>
    <s v="Bluetooth Speaker"/>
    <n v="3"/>
    <n v="177.65"/>
    <n v="0.15"/>
    <x v="1"/>
    <n v="453.01"/>
    <n v="406.54"/>
    <n v="46.47"/>
    <n v="1"/>
    <n v="0"/>
    <n v="6"/>
    <n v="4"/>
  </r>
  <r>
    <s v="SW-105067"/>
    <d v="2025-12-02T00:00:00"/>
    <x v="1"/>
    <s v="Q4"/>
    <x v="11"/>
    <x v="1"/>
    <x v="1"/>
    <x v="1"/>
    <x v="3"/>
    <s v="Camping Tent"/>
    <n v="1"/>
    <n v="83.06"/>
    <n v="0.3"/>
    <x v="3"/>
    <n v="58.14"/>
    <n v="54.22"/>
    <n v="3.92"/>
    <n v="1"/>
    <n v="0"/>
    <n v="7"/>
    <n v="5"/>
  </r>
  <r>
    <s v="SW-105068"/>
    <d v="2025-12-02T00:00:00"/>
    <x v="1"/>
    <s v="Q4"/>
    <x v="11"/>
    <x v="0"/>
    <x v="0"/>
    <x v="0"/>
    <x v="4"/>
    <s v="Bluetooth Speaker"/>
    <n v="1"/>
    <n v="177.65"/>
    <n v="0.2"/>
    <x v="1"/>
    <n v="142.12"/>
    <n v="137.65"/>
    <n v="4.47"/>
    <n v="1"/>
    <n v="0"/>
    <n v="6"/>
    <n v="3"/>
  </r>
  <r>
    <s v="SW-105069"/>
    <d v="2025-12-02T00:00:00"/>
    <x v="1"/>
    <s v="Q4"/>
    <x v="11"/>
    <x v="0"/>
    <x v="0"/>
    <x v="1"/>
    <x v="3"/>
    <s v="Fitness Tracker"/>
    <n v="2"/>
    <n v="74.459999999999994"/>
    <n v="0.1"/>
    <x v="0"/>
    <n v="134.03"/>
    <n v="96.89"/>
    <n v="37.14"/>
    <n v="1"/>
    <n v="0"/>
    <n v="4"/>
    <n v="5"/>
  </r>
  <r>
    <s v="SW-105070"/>
    <d v="2025-12-02T00:00:00"/>
    <x v="1"/>
    <s v="Q4"/>
    <x v="11"/>
    <x v="1"/>
    <x v="0"/>
    <x v="1"/>
    <x v="0"/>
    <s v="Summer Dress"/>
    <n v="1"/>
    <n v="33.99"/>
    <n v="0.25"/>
    <x v="3"/>
    <n v="25.49"/>
    <n v="17.89"/>
    <n v="7.6"/>
    <n v="1"/>
    <n v="0"/>
    <n v="4"/>
    <n v="5"/>
  </r>
  <r>
    <s v="SW-105071"/>
    <d v="2025-12-02T00:00:00"/>
    <x v="1"/>
    <s v="Q4"/>
    <x v="11"/>
    <x v="2"/>
    <x v="2"/>
    <x v="0"/>
    <x v="0"/>
    <s v="Sunglasses"/>
    <n v="1"/>
    <n v="104.94"/>
    <n v="0.15"/>
    <x v="1"/>
    <n v="89.2"/>
    <n v="55.37"/>
    <n v="33.83"/>
    <n v="1"/>
    <n v="0"/>
    <n v="6"/>
    <n v="3"/>
  </r>
  <r>
    <s v="SW-105072"/>
    <d v="2025-12-02T00:00:00"/>
    <x v="1"/>
    <s v="Q4"/>
    <x v="11"/>
    <x v="2"/>
    <x v="0"/>
    <x v="1"/>
    <x v="4"/>
    <s v="Power Bank"/>
    <n v="1"/>
    <n v="508.8"/>
    <n v="0.25"/>
    <x v="3"/>
    <n v="381.6"/>
    <n v="388.27"/>
    <n v="-6.67"/>
    <n v="1"/>
    <n v="0"/>
    <n v="6"/>
    <n v="4"/>
  </r>
  <r>
    <s v="SW-105073"/>
    <d v="2025-12-03T00:00:00"/>
    <x v="1"/>
    <s v="Q4"/>
    <x v="11"/>
    <x v="0"/>
    <x v="1"/>
    <x v="0"/>
    <x v="4"/>
    <s v="Power Bank"/>
    <n v="1"/>
    <n v="508.8"/>
    <n v="0.2"/>
    <x v="1"/>
    <n v="407.04"/>
    <n v="423.83"/>
    <n v="-16.79"/>
    <n v="1"/>
    <n v="0"/>
    <n v="8"/>
    <n v="4"/>
  </r>
  <r>
    <s v="SW-105074"/>
    <d v="2025-12-03T00:00:00"/>
    <x v="1"/>
    <s v="Q4"/>
    <x v="11"/>
    <x v="1"/>
    <x v="3"/>
    <x v="0"/>
    <x v="0"/>
    <s v="Sunglasses"/>
    <n v="4"/>
    <n v="104.94"/>
    <n v="0"/>
    <x v="2"/>
    <n v="419.76"/>
    <n v="228.96"/>
    <n v="190.8"/>
    <n v="1"/>
    <n v="0"/>
    <n v="4"/>
    <n v="5"/>
  </r>
  <r>
    <s v="SW-105075"/>
    <d v="2025-12-03T00:00:00"/>
    <x v="1"/>
    <s v="Q4"/>
    <x v="11"/>
    <x v="0"/>
    <x v="0"/>
    <x v="0"/>
    <x v="5"/>
    <s v="Bestseller Novel"/>
    <n v="2"/>
    <n v="45.28"/>
    <n v="0.15"/>
    <x v="1"/>
    <n v="76.98"/>
    <n v="64.739999999999995"/>
    <n v="12.24"/>
    <n v="1"/>
    <n v="0"/>
    <n v="5"/>
    <n v="3"/>
  </r>
  <r>
    <s v="SW-105076"/>
    <d v="2025-12-03T00:00:00"/>
    <x v="1"/>
    <s v="Q4"/>
    <x v="11"/>
    <x v="2"/>
    <x v="2"/>
    <x v="1"/>
    <x v="1"/>
    <s v="Skin Care Bundle"/>
    <n v="3"/>
    <n v="92.54"/>
    <n v="0.05"/>
    <x v="0"/>
    <n v="263.74"/>
    <n v="133.78"/>
    <n v="129.96"/>
    <n v="1"/>
    <n v="1"/>
    <n v="5"/>
    <n v="4"/>
  </r>
  <r>
    <s v="SW-105077"/>
    <d v="2025-12-03T00:00:00"/>
    <x v="1"/>
    <s v="Q4"/>
    <x v="11"/>
    <x v="1"/>
    <x v="0"/>
    <x v="1"/>
    <x v="2"/>
    <s v="Storage Boxes"/>
    <n v="3"/>
    <n v="154.66"/>
    <n v="0.15"/>
    <x v="1"/>
    <n v="394.38"/>
    <n v="317.38"/>
    <n v="77"/>
    <n v="1"/>
    <n v="1"/>
    <n v="5"/>
    <n v="4"/>
  </r>
  <r>
    <s v="SW-105078"/>
    <d v="2025-12-03T00:00:00"/>
    <x v="1"/>
    <s v="Q4"/>
    <x v="11"/>
    <x v="0"/>
    <x v="2"/>
    <x v="0"/>
    <x v="4"/>
    <s v="Tablet 10in"/>
    <n v="1"/>
    <n v="490.3"/>
    <n v="0.1"/>
    <x v="0"/>
    <n v="441.27"/>
    <n v="402.89"/>
    <n v="38.380000000000003"/>
    <n v="1"/>
    <n v="0"/>
    <n v="5"/>
    <n v="4"/>
  </r>
  <r>
    <s v="SW-105079"/>
    <d v="2025-12-03T00:00:00"/>
    <x v="1"/>
    <s v="Q4"/>
    <x v="11"/>
    <x v="1"/>
    <x v="3"/>
    <x v="1"/>
    <x v="4"/>
    <s v="Tablet 10in"/>
    <n v="1"/>
    <n v="490.3"/>
    <n v="0.25"/>
    <x v="3"/>
    <n v="367.72"/>
    <n v="377.85"/>
    <n v="-10.130000000000001"/>
    <n v="1"/>
    <n v="0"/>
    <n v="3"/>
    <n v="4"/>
  </r>
  <r>
    <s v="SW-105080"/>
    <d v="2025-12-03T00:00:00"/>
    <x v="1"/>
    <s v="Q4"/>
    <x v="11"/>
    <x v="0"/>
    <x v="0"/>
    <x v="1"/>
    <x v="2"/>
    <s v="Desk Lamp"/>
    <n v="3"/>
    <n v="117.63"/>
    <n v="0.15"/>
    <x v="1"/>
    <n v="299.95999999999998"/>
    <n v="233.11"/>
    <n v="66.849999999999994"/>
    <n v="1"/>
    <n v="0"/>
    <n v="4"/>
    <n v="4"/>
  </r>
  <r>
    <s v="SW-105081"/>
    <d v="2025-12-03T00:00:00"/>
    <x v="1"/>
    <s v="Q4"/>
    <x v="11"/>
    <x v="2"/>
    <x v="4"/>
    <x v="1"/>
    <x v="5"/>
    <s v="Bestseller Novel"/>
    <n v="1"/>
    <n v="45.28"/>
    <n v="0.1"/>
    <x v="0"/>
    <n v="40.75"/>
    <n v="31.77"/>
    <n v="8.98"/>
    <n v="1"/>
    <n v="0"/>
    <n v="6"/>
    <n v="2"/>
  </r>
  <r>
    <s v="SW-105082"/>
    <d v="2025-12-03T00:00:00"/>
    <x v="1"/>
    <s v="Q4"/>
    <x v="11"/>
    <x v="2"/>
    <x v="0"/>
    <x v="1"/>
    <x v="1"/>
    <s v="Face Serum"/>
    <n v="1"/>
    <n v="33.479999999999997"/>
    <n v="0.1"/>
    <x v="0"/>
    <n v="30.13"/>
    <n v="15.71"/>
    <n v="14.42"/>
    <n v="1"/>
    <n v="0"/>
    <n v="4"/>
    <n v="4"/>
  </r>
  <r>
    <s v="SW-105083"/>
    <d v="2025-12-04T00:00:00"/>
    <x v="1"/>
    <s v="Q4"/>
    <x v="11"/>
    <x v="0"/>
    <x v="0"/>
    <x v="1"/>
    <x v="4"/>
    <s v="Bluetooth Speaker"/>
    <n v="1"/>
    <n v="177.65"/>
    <n v="0.15"/>
    <x v="1"/>
    <n v="151"/>
    <n v="142.88999999999999"/>
    <n v="8.11"/>
    <n v="1"/>
    <n v="0"/>
    <n v="5"/>
    <n v="4"/>
  </r>
  <r>
    <s v="SW-105084"/>
    <d v="2025-12-04T00:00:00"/>
    <x v="1"/>
    <s v="Q4"/>
    <x v="11"/>
    <x v="0"/>
    <x v="3"/>
    <x v="1"/>
    <x v="4"/>
    <s v="Power Bank"/>
    <n v="2"/>
    <n v="508.8"/>
    <n v="0.15"/>
    <x v="1"/>
    <n v="864.96"/>
    <n v="853.72"/>
    <n v="11.24"/>
    <n v="1"/>
    <n v="0"/>
    <n v="5"/>
    <n v="5"/>
  </r>
  <r>
    <s v="SW-105085"/>
    <d v="2025-12-04T00:00:00"/>
    <x v="1"/>
    <s v="Q4"/>
    <x v="11"/>
    <x v="1"/>
    <x v="4"/>
    <x v="1"/>
    <x v="4"/>
    <s v="Smart Watch"/>
    <n v="1"/>
    <n v="216.08"/>
    <n v="0.25"/>
    <x v="3"/>
    <n v="162.06"/>
    <n v="165.8"/>
    <n v="-3.74"/>
    <n v="1"/>
    <n v="0"/>
    <n v="8"/>
    <n v="3"/>
  </r>
  <r>
    <s v="SW-105086"/>
    <d v="2025-12-04T00:00:00"/>
    <x v="1"/>
    <s v="Q4"/>
    <x v="11"/>
    <x v="2"/>
    <x v="0"/>
    <x v="0"/>
    <x v="3"/>
    <s v="Cycling Helmet"/>
    <n v="1"/>
    <n v="85.42"/>
    <n v="0.25"/>
    <x v="3"/>
    <n v="64.06"/>
    <n v="56.11"/>
    <n v="7.95"/>
    <n v="1"/>
    <n v="0"/>
    <n v="5"/>
    <n v="5"/>
  </r>
  <r>
    <s v="SW-105087"/>
    <d v="2025-12-04T00:00:00"/>
    <x v="1"/>
    <s v="Q4"/>
    <x v="11"/>
    <x v="0"/>
    <x v="3"/>
    <x v="1"/>
    <x v="0"/>
    <s v="Cotton T-Shirt"/>
    <n v="2"/>
    <n v="19.41"/>
    <n v="0.25"/>
    <x v="3"/>
    <n v="29.12"/>
    <n v="20.63"/>
    <n v="8.49"/>
    <n v="1"/>
    <n v="0"/>
    <n v="4"/>
    <n v="4"/>
  </r>
  <r>
    <s v="SW-105088"/>
    <d v="2025-12-04T00:00:00"/>
    <x v="1"/>
    <s v="Q4"/>
    <x v="11"/>
    <x v="0"/>
    <x v="1"/>
    <x v="0"/>
    <x v="0"/>
    <s v="Summer Dress"/>
    <n v="1"/>
    <n v="33.99"/>
    <n v="0.1"/>
    <x v="0"/>
    <n v="30.59"/>
    <n v="19.239999999999998"/>
    <n v="11.35"/>
    <n v="1"/>
    <n v="0"/>
    <n v="6"/>
    <n v="4"/>
  </r>
  <r>
    <s v="SW-105089"/>
    <d v="2025-12-04T00:00:00"/>
    <x v="1"/>
    <s v="Q4"/>
    <x v="11"/>
    <x v="1"/>
    <x v="0"/>
    <x v="0"/>
    <x v="0"/>
    <s v="Sunglasses"/>
    <n v="1"/>
    <n v="104.94"/>
    <n v="0.25"/>
    <x v="3"/>
    <n v="78.7"/>
    <n v="58.59"/>
    <n v="20.11"/>
    <n v="1"/>
    <n v="0"/>
    <n v="4"/>
    <n v="4"/>
  </r>
  <r>
    <s v="SW-105090"/>
    <d v="2025-12-04T00:00:00"/>
    <x v="1"/>
    <s v="Q4"/>
    <x v="11"/>
    <x v="1"/>
    <x v="0"/>
    <x v="1"/>
    <x v="5"/>
    <s v="Board Game"/>
    <n v="1"/>
    <n v="57.92"/>
    <n v="0"/>
    <x v="2"/>
    <n v="57.92"/>
    <n v="41.08"/>
    <n v="16.84"/>
    <n v="1"/>
    <n v="0"/>
    <n v="7"/>
    <n v="3"/>
  </r>
  <r>
    <s v="SW-105091"/>
    <d v="2025-12-04T00:00:00"/>
    <x v="1"/>
    <s v="Q4"/>
    <x v="11"/>
    <x v="1"/>
    <x v="0"/>
    <x v="0"/>
    <x v="2"/>
    <s v="Bed Sheet Set"/>
    <n v="1"/>
    <n v="90.75"/>
    <n v="0.25"/>
    <x v="3"/>
    <n v="68.06"/>
    <n v="62.63"/>
    <n v="5.43"/>
    <n v="1"/>
    <n v="0"/>
    <n v="4"/>
    <n v="5"/>
  </r>
  <r>
    <s v="SW-105092"/>
    <d v="2025-12-05T00:00:00"/>
    <x v="1"/>
    <s v="Q4"/>
    <x v="11"/>
    <x v="1"/>
    <x v="3"/>
    <x v="0"/>
    <x v="2"/>
    <s v="Desk Lamp"/>
    <n v="1"/>
    <n v="117.63"/>
    <n v="0.2"/>
    <x v="1"/>
    <n v="94.1"/>
    <n v="75.599999999999994"/>
    <n v="18.5"/>
    <n v="1"/>
    <n v="0"/>
    <n v="4"/>
    <n v="4"/>
  </r>
  <r>
    <s v="SW-105093"/>
    <d v="2025-12-05T00:00:00"/>
    <x v="1"/>
    <s v="Q4"/>
    <x v="11"/>
    <x v="1"/>
    <x v="3"/>
    <x v="0"/>
    <x v="2"/>
    <s v="Coffee Maker"/>
    <n v="4"/>
    <n v="148.05000000000001"/>
    <n v="0.2"/>
    <x v="1"/>
    <n v="473.76"/>
    <n v="400.2"/>
    <n v="73.56"/>
    <n v="1"/>
    <n v="0"/>
    <n v="3"/>
    <n v="5"/>
  </r>
  <r>
    <s v="SW-105094"/>
    <d v="2025-12-05T00:00:00"/>
    <x v="1"/>
    <s v="Q4"/>
    <x v="11"/>
    <x v="0"/>
    <x v="2"/>
    <x v="1"/>
    <x v="4"/>
    <s v="Bluetooth Speaker"/>
    <n v="2"/>
    <n v="177.65"/>
    <n v="0.15"/>
    <x v="1"/>
    <n v="302"/>
    <n v="277.58999999999997"/>
    <n v="24.41"/>
    <n v="1"/>
    <n v="1"/>
    <n v="4"/>
    <n v="2"/>
  </r>
  <r>
    <s v="SW-105095"/>
    <d v="2025-12-05T00:00:00"/>
    <x v="1"/>
    <s v="Q4"/>
    <x v="11"/>
    <x v="1"/>
    <x v="1"/>
    <x v="1"/>
    <x v="2"/>
    <s v="Bed Sheet Set"/>
    <n v="2"/>
    <n v="90.75"/>
    <n v="0.15"/>
    <x v="1"/>
    <n v="154.28"/>
    <n v="121.22"/>
    <n v="33.06"/>
    <n v="1"/>
    <n v="0"/>
    <n v="7"/>
    <n v="3"/>
  </r>
  <r>
    <s v="SW-105096"/>
    <d v="2025-12-05T00:00:00"/>
    <x v="1"/>
    <s v="Q4"/>
    <x v="11"/>
    <x v="1"/>
    <x v="2"/>
    <x v="1"/>
    <x v="4"/>
    <s v="Power Bank"/>
    <n v="2"/>
    <n v="508.8"/>
    <n v="0.3"/>
    <x v="3"/>
    <n v="712.32"/>
    <n v="860.32"/>
    <n v="-148"/>
    <n v="1"/>
    <n v="0"/>
    <n v="4"/>
    <n v="4"/>
  </r>
  <r>
    <s v="SW-105097"/>
    <d v="2025-12-05T00:00:00"/>
    <x v="1"/>
    <s v="Q4"/>
    <x v="11"/>
    <x v="0"/>
    <x v="0"/>
    <x v="1"/>
    <x v="4"/>
    <s v="4K Action Camera"/>
    <n v="1"/>
    <n v="636.09"/>
    <n v="0.2"/>
    <x v="1"/>
    <n v="508.87"/>
    <n v="534.87"/>
    <n v="-26"/>
    <n v="1"/>
    <n v="0"/>
    <n v="4"/>
    <n v="5"/>
  </r>
  <r>
    <s v="SW-105098"/>
    <d v="2025-12-05T00:00:00"/>
    <x v="1"/>
    <s v="Q4"/>
    <x v="11"/>
    <x v="1"/>
    <x v="2"/>
    <x v="1"/>
    <x v="0"/>
    <s v="Cotton T-Shirt"/>
    <n v="2"/>
    <n v="19.41"/>
    <n v="0"/>
    <x v="2"/>
    <n v="38.82"/>
    <n v="20.96"/>
    <n v="17.86"/>
    <n v="1"/>
    <n v="1"/>
    <n v="5"/>
    <n v="3"/>
  </r>
  <r>
    <s v="SW-105099"/>
    <d v="2025-12-05T00:00:00"/>
    <x v="1"/>
    <s v="Q4"/>
    <x v="11"/>
    <x v="0"/>
    <x v="0"/>
    <x v="0"/>
    <x v="0"/>
    <s v="Sunglasses"/>
    <n v="2"/>
    <n v="104.94"/>
    <n v="0.05"/>
    <x v="0"/>
    <n v="199.39"/>
    <n v="110.03"/>
    <n v="89.36"/>
    <n v="1"/>
    <n v="0"/>
    <n v="7"/>
    <n v="4"/>
  </r>
  <r>
    <s v="SW-105100"/>
    <d v="2025-12-05T00:00:00"/>
    <x v="1"/>
    <s v="Q4"/>
    <x v="11"/>
    <x v="2"/>
    <x v="0"/>
    <x v="0"/>
    <x v="4"/>
    <s v="Power Bank"/>
    <n v="1"/>
    <n v="508.8"/>
    <n v="0.1"/>
    <x v="0"/>
    <n v="457.92"/>
    <n v="389.58"/>
    <n v="68.34"/>
    <n v="1"/>
    <n v="0"/>
    <n v="6"/>
    <n v="2"/>
  </r>
  <r>
    <s v="SW-105101"/>
    <d v="2025-12-05T00:00:00"/>
    <x v="1"/>
    <s v="Q4"/>
    <x v="11"/>
    <x v="1"/>
    <x v="0"/>
    <x v="1"/>
    <x v="0"/>
    <s v="Denim Jacket"/>
    <n v="1"/>
    <n v="78.510000000000005"/>
    <n v="0.1"/>
    <x v="0"/>
    <n v="70.66"/>
    <n v="41.76"/>
    <n v="28.9"/>
    <n v="1"/>
    <n v="0"/>
    <n v="4"/>
    <n v="4"/>
  </r>
  <r>
    <s v="SW-105102"/>
    <d v="2025-12-05T00:00:00"/>
    <x v="1"/>
    <s v="Q4"/>
    <x v="11"/>
    <x v="2"/>
    <x v="0"/>
    <x v="1"/>
    <x v="2"/>
    <s v="Air Fryer"/>
    <n v="2"/>
    <n v="68.349999999999994"/>
    <n v="0"/>
    <x v="2"/>
    <n v="136.69999999999999"/>
    <n v="91.23"/>
    <n v="45.47"/>
    <n v="1"/>
    <n v="0"/>
    <n v="4"/>
    <n v="4"/>
  </r>
  <r>
    <s v="SW-105103"/>
    <d v="2025-12-05T00:00:00"/>
    <x v="1"/>
    <s v="Q4"/>
    <x v="11"/>
    <x v="2"/>
    <x v="0"/>
    <x v="0"/>
    <x v="5"/>
    <s v="Building Blocks"/>
    <n v="1"/>
    <n v="48.86"/>
    <n v="0.05"/>
    <x v="0"/>
    <n v="46.42"/>
    <n v="35.39"/>
    <n v="11.03"/>
    <n v="1"/>
    <n v="0"/>
    <n v="4"/>
    <n v="5"/>
  </r>
  <r>
    <s v="SW-105104"/>
    <d v="2025-12-05T00:00:00"/>
    <x v="1"/>
    <s v="Q4"/>
    <x v="11"/>
    <x v="1"/>
    <x v="4"/>
    <x v="0"/>
    <x v="0"/>
    <s v="Leather Handbag"/>
    <n v="3"/>
    <n v="138.5"/>
    <n v="0.1"/>
    <x v="0"/>
    <n v="373.95"/>
    <n v="209.77"/>
    <n v="164.18"/>
    <n v="1"/>
    <n v="0"/>
    <n v="6"/>
    <n v="3"/>
  </r>
  <r>
    <s v="SW-105105"/>
    <d v="2025-12-06T00:00:00"/>
    <x v="1"/>
    <s v="Q4"/>
    <x v="11"/>
    <x v="2"/>
    <x v="3"/>
    <x v="0"/>
    <x v="4"/>
    <s v="Power Bank"/>
    <n v="1"/>
    <n v="508.8"/>
    <n v="0.25"/>
    <x v="3"/>
    <n v="381.6"/>
    <n v="401.92"/>
    <n v="-20.32"/>
    <n v="1"/>
    <n v="0"/>
    <n v="5"/>
    <n v="5"/>
  </r>
  <r>
    <s v="SW-105106"/>
    <d v="2025-12-06T00:00:00"/>
    <x v="1"/>
    <s v="Q4"/>
    <x v="11"/>
    <x v="1"/>
    <x v="3"/>
    <x v="1"/>
    <x v="4"/>
    <s v="Tablet 10in"/>
    <n v="3"/>
    <n v="490.3"/>
    <n v="0.05"/>
    <x v="0"/>
    <n v="1397.36"/>
    <n v="1125.3699999999999"/>
    <n v="271.99"/>
    <n v="1"/>
    <n v="0"/>
    <n v="3"/>
    <n v="4"/>
  </r>
  <r>
    <s v="SW-105107"/>
    <d v="2025-12-06T00:00:00"/>
    <x v="1"/>
    <s v="Q4"/>
    <x v="11"/>
    <x v="1"/>
    <x v="1"/>
    <x v="0"/>
    <x v="5"/>
    <s v="Story Book Set"/>
    <n v="1"/>
    <n v="10.76"/>
    <n v="0.15"/>
    <x v="1"/>
    <n v="9.15"/>
    <n v="7.9"/>
    <n v="1.25"/>
    <n v="1"/>
    <n v="0"/>
    <n v="6"/>
    <n v="3"/>
  </r>
  <r>
    <s v="SW-105108"/>
    <d v="2025-12-06T00:00:00"/>
    <x v="1"/>
    <s v="Q4"/>
    <x v="11"/>
    <x v="1"/>
    <x v="0"/>
    <x v="1"/>
    <x v="2"/>
    <s v="Air Fryer"/>
    <n v="3"/>
    <n v="68.349999999999994"/>
    <n v="0"/>
    <x v="2"/>
    <n v="205.05"/>
    <n v="137.68"/>
    <n v="67.37"/>
    <n v="1"/>
    <n v="0"/>
    <n v="5"/>
    <n v="4"/>
  </r>
  <r>
    <s v="SW-105109"/>
    <d v="2025-12-06T00:00:00"/>
    <x v="1"/>
    <s v="Q4"/>
    <x v="11"/>
    <x v="0"/>
    <x v="4"/>
    <x v="1"/>
    <x v="5"/>
    <s v="Kids Puzzle"/>
    <n v="1"/>
    <n v="16.97"/>
    <n v="0.15"/>
    <x v="1"/>
    <n v="14.42"/>
    <n v="12.12"/>
    <n v="2.2999999999999998"/>
    <n v="1"/>
    <n v="0"/>
    <n v="6"/>
    <n v="4"/>
  </r>
  <r>
    <s v="SW-105110"/>
    <d v="2025-12-06T00:00:00"/>
    <x v="1"/>
    <s v="Q4"/>
    <x v="11"/>
    <x v="0"/>
    <x v="3"/>
    <x v="0"/>
    <x v="0"/>
    <s v="Sunglasses"/>
    <n v="1"/>
    <n v="104.94"/>
    <n v="0.25"/>
    <x v="3"/>
    <n v="78.7"/>
    <n v="56.94"/>
    <n v="21.76"/>
    <n v="1"/>
    <n v="0"/>
    <n v="3"/>
    <n v="5"/>
  </r>
  <r>
    <s v="SW-105111"/>
    <d v="2025-12-06T00:00:00"/>
    <x v="1"/>
    <s v="Q4"/>
    <x v="11"/>
    <x v="0"/>
    <x v="3"/>
    <x v="1"/>
    <x v="5"/>
    <s v="Board Game"/>
    <n v="1"/>
    <n v="57.92"/>
    <n v="0.15"/>
    <x v="1"/>
    <n v="49.23"/>
    <n v="41.16"/>
    <n v="8.07"/>
    <n v="1"/>
    <n v="0"/>
    <n v="3"/>
    <n v="4"/>
  </r>
  <r>
    <s v="SW-105112"/>
    <d v="2025-12-06T00:00:00"/>
    <x v="1"/>
    <s v="Q4"/>
    <x v="11"/>
    <x v="1"/>
    <x v="3"/>
    <x v="0"/>
    <x v="2"/>
    <s v="Storage Boxes"/>
    <n v="1"/>
    <n v="154.66"/>
    <n v="0.3"/>
    <x v="3"/>
    <n v="108.26"/>
    <n v="99.66"/>
    <n v="8.6"/>
    <n v="1"/>
    <n v="0"/>
    <n v="3"/>
    <n v="4"/>
  </r>
  <r>
    <s v="SW-105113"/>
    <d v="2025-12-06T00:00:00"/>
    <x v="1"/>
    <s v="Q4"/>
    <x v="11"/>
    <x v="1"/>
    <x v="3"/>
    <x v="0"/>
    <x v="5"/>
    <s v="Story Book Set"/>
    <n v="1"/>
    <n v="10.76"/>
    <n v="0.05"/>
    <x v="0"/>
    <n v="10.220000000000001"/>
    <n v="8.0299999999999994"/>
    <n v="2.19"/>
    <n v="1"/>
    <n v="0"/>
    <n v="4"/>
    <n v="5"/>
  </r>
  <r>
    <s v="SW-105114"/>
    <d v="2025-12-06T00:00:00"/>
    <x v="1"/>
    <s v="Q4"/>
    <x v="11"/>
    <x v="1"/>
    <x v="1"/>
    <x v="0"/>
    <x v="2"/>
    <s v="Bed Sheet Set"/>
    <n v="2"/>
    <n v="90.75"/>
    <n v="0.1"/>
    <x v="0"/>
    <n v="163.35"/>
    <n v="119.33"/>
    <n v="44.02"/>
    <n v="1"/>
    <n v="0"/>
    <n v="7"/>
    <n v="3"/>
  </r>
  <r>
    <s v="SW-105115"/>
    <d v="2025-12-06T00:00:00"/>
    <x v="1"/>
    <s v="Q4"/>
    <x v="11"/>
    <x v="1"/>
    <x v="2"/>
    <x v="0"/>
    <x v="2"/>
    <s v="Cookware Set"/>
    <n v="4"/>
    <n v="233.81"/>
    <n v="0.1"/>
    <x v="0"/>
    <n v="841.72"/>
    <n v="580.04"/>
    <n v="261.68"/>
    <n v="1"/>
    <n v="0"/>
    <n v="4"/>
    <n v="5"/>
  </r>
  <r>
    <s v="SW-105116"/>
    <d v="2025-12-06T00:00:00"/>
    <x v="1"/>
    <s v="Q4"/>
    <x v="11"/>
    <x v="2"/>
    <x v="2"/>
    <x v="0"/>
    <x v="0"/>
    <s v="Cotton T-Shirt"/>
    <n v="1"/>
    <n v="19.41"/>
    <n v="0.15"/>
    <x v="1"/>
    <n v="16.5"/>
    <n v="10.95"/>
    <n v="5.55"/>
    <n v="1"/>
    <n v="0"/>
    <n v="4"/>
    <n v="5"/>
  </r>
  <r>
    <s v="SW-105117"/>
    <d v="2025-12-06T00:00:00"/>
    <x v="1"/>
    <s v="Q4"/>
    <x v="11"/>
    <x v="1"/>
    <x v="2"/>
    <x v="0"/>
    <x v="1"/>
    <s v="Perfume 100ml"/>
    <n v="4"/>
    <n v="54.56"/>
    <n v="0.2"/>
    <x v="1"/>
    <n v="174.59"/>
    <n v="110.68"/>
    <n v="63.91"/>
    <n v="1"/>
    <n v="0"/>
    <n v="4"/>
    <n v="5"/>
  </r>
  <r>
    <s v="SW-105118"/>
    <d v="2025-12-07T00:00:00"/>
    <x v="1"/>
    <s v="Q4"/>
    <x v="11"/>
    <x v="2"/>
    <x v="3"/>
    <x v="0"/>
    <x v="4"/>
    <s v="Wireless Earbuds"/>
    <n v="1"/>
    <n v="588.41"/>
    <n v="0.2"/>
    <x v="1"/>
    <n v="470.73"/>
    <n v="452.17"/>
    <n v="18.559999999999999"/>
    <n v="1"/>
    <n v="0"/>
    <n v="3"/>
    <n v="4"/>
  </r>
  <r>
    <s v="SW-105119"/>
    <d v="2025-12-07T00:00:00"/>
    <x v="1"/>
    <s v="Q4"/>
    <x v="11"/>
    <x v="2"/>
    <x v="1"/>
    <x v="1"/>
    <x v="4"/>
    <s v="Smart Watch"/>
    <n v="1"/>
    <n v="216.08"/>
    <n v="0.15"/>
    <x v="1"/>
    <n v="183.67"/>
    <n v="177.88"/>
    <n v="5.79"/>
    <n v="1"/>
    <n v="0"/>
    <n v="7"/>
    <n v="3"/>
  </r>
  <r>
    <s v="SW-105120"/>
    <d v="2025-12-07T00:00:00"/>
    <x v="1"/>
    <s v="Q4"/>
    <x v="11"/>
    <x v="0"/>
    <x v="3"/>
    <x v="0"/>
    <x v="3"/>
    <s v="Cycling Helmet"/>
    <n v="1"/>
    <n v="85.42"/>
    <n v="0.25"/>
    <x v="3"/>
    <n v="64.06"/>
    <n v="55.72"/>
    <n v="8.34"/>
    <n v="1"/>
    <n v="0"/>
    <n v="6"/>
    <n v="3"/>
  </r>
  <r>
    <s v="SW-105121"/>
    <d v="2025-12-07T00:00:00"/>
    <x v="1"/>
    <s v="Q4"/>
    <x v="11"/>
    <x v="2"/>
    <x v="2"/>
    <x v="0"/>
    <x v="0"/>
    <s v="Cotton T-Shirt"/>
    <n v="1"/>
    <n v="19.41"/>
    <n v="0.3"/>
    <x v="3"/>
    <n v="13.59"/>
    <n v="10.78"/>
    <n v="2.81"/>
    <n v="1"/>
    <n v="0"/>
    <n v="5"/>
    <n v="5"/>
  </r>
  <r>
    <s v="SW-105122"/>
    <d v="2025-12-07T00:00:00"/>
    <x v="1"/>
    <s v="Q4"/>
    <x v="11"/>
    <x v="1"/>
    <x v="1"/>
    <x v="0"/>
    <x v="0"/>
    <s v="Cotton T-Shirt"/>
    <n v="1"/>
    <n v="19.41"/>
    <n v="0.2"/>
    <x v="1"/>
    <n v="15.53"/>
    <n v="10.9"/>
    <n v="4.63"/>
    <n v="1"/>
    <n v="0"/>
    <n v="7"/>
    <n v="3"/>
  </r>
  <r>
    <s v="SW-105123"/>
    <d v="2025-12-07T00:00:00"/>
    <x v="1"/>
    <s v="Q4"/>
    <x v="11"/>
    <x v="1"/>
    <x v="3"/>
    <x v="0"/>
    <x v="4"/>
    <s v="Bluetooth Speaker"/>
    <n v="1"/>
    <n v="177.65"/>
    <n v="0.2"/>
    <x v="1"/>
    <n v="142.12"/>
    <n v="139.54"/>
    <n v="2.58"/>
    <n v="1"/>
    <n v="0"/>
    <n v="4"/>
    <n v="4"/>
  </r>
  <r>
    <s v="SW-105124"/>
    <d v="2025-12-07T00:00:00"/>
    <x v="1"/>
    <s v="Q4"/>
    <x v="11"/>
    <x v="1"/>
    <x v="0"/>
    <x v="1"/>
    <x v="2"/>
    <s v="Bed Sheet Set"/>
    <n v="4"/>
    <n v="90.75"/>
    <n v="0.25"/>
    <x v="3"/>
    <n v="272.25"/>
    <n v="246.31"/>
    <n v="25.94"/>
    <n v="1"/>
    <n v="0"/>
    <n v="4"/>
    <n v="4"/>
  </r>
  <r>
    <s v="SW-105125"/>
    <d v="2025-12-07T00:00:00"/>
    <x v="1"/>
    <s v="Q4"/>
    <x v="11"/>
    <x v="1"/>
    <x v="2"/>
    <x v="0"/>
    <x v="1"/>
    <s v="Face Serum"/>
    <n v="1"/>
    <n v="33.479999999999997"/>
    <n v="0.25"/>
    <x v="3"/>
    <n v="25.11"/>
    <n v="15.73"/>
    <n v="9.3800000000000008"/>
    <n v="1"/>
    <n v="0"/>
    <n v="5"/>
    <n v="4"/>
  </r>
  <r>
    <s v="SW-105126"/>
    <d v="2025-12-07T00:00:00"/>
    <x v="1"/>
    <s v="Q4"/>
    <x v="11"/>
    <x v="0"/>
    <x v="0"/>
    <x v="0"/>
    <x v="1"/>
    <s v="Makeup Kit"/>
    <n v="1"/>
    <n v="74.3"/>
    <n v="0.2"/>
    <x v="1"/>
    <n v="59.44"/>
    <n v="38.08"/>
    <n v="21.36"/>
    <n v="1"/>
    <n v="0"/>
    <n v="5"/>
    <n v="4"/>
  </r>
  <r>
    <s v="SW-105127"/>
    <d v="2025-12-07T00:00:00"/>
    <x v="1"/>
    <s v="Q4"/>
    <x v="11"/>
    <x v="1"/>
    <x v="2"/>
    <x v="1"/>
    <x v="4"/>
    <s v="Smart Watch"/>
    <n v="1"/>
    <n v="216.08"/>
    <n v="0.1"/>
    <x v="0"/>
    <n v="194.47"/>
    <n v="172.29"/>
    <n v="22.18"/>
    <n v="1"/>
    <n v="0"/>
    <n v="6"/>
    <n v="4"/>
  </r>
  <r>
    <s v="SW-105128"/>
    <d v="2025-12-07T00:00:00"/>
    <x v="1"/>
    <s v="Q4"/>
    <x v="11"/>
    <x v="0"/>
    <x v="2"/>
    <x v="1"/>
    <x v="3"/>
    <s v="Cycling Helmet"/>
    <n v="3"/>
    <n v="85.42"/>
    <n v="0.25"/>
    <x v="3"/>
    <n v="192.2"/>
    <n v="164.36"/>
    <n v="27.84"/>
    <n v="1"/>
    <n v="0"/>
    <n v="5"/>
    <n v="4"/>
  </r>
  <r>
    <s v="SW-105129"/>
    <d v="2025-12-07T00:00:00"/>
    <x v="1"/>
    <s v="Q4"/>
    <x v="11"/>
    <x v="0"/>
    <x v="0"/>
    <x v="0"/>
    <x v="0"/>
    <s v="Running Sneakers"/>
    <n v="1"/>
    <n v="94.85"/>
    <n v="0.1"/>
    <x v="0"/>
    <n v="85.36"/>
    <n v="51.45"/>
    <n v="33.909999999999997"/>
    <n v="1"/>
    <n v="0"/>
    <n v="6"/>
    <n v="4"/>
  </r>
  <r>
    <s v="SW-105130"/>
    <d v="2025-12-07T00:00:00"/>
    <x v="1"/>
    <s v="Q4"/>
    <x v="11"/>
    <x v="1"/>
    <x v="0"/>
    <x v="1"/>
    <x v="1"/>
    <s v="Hair Dryer"/>
    <n v="2"/>
    <n v="33.18"/>
    <n v="0.05"/>
    <x v="0"/>
    <n v="63.04"/>
    <n v="32"/>
    <n v="31.04"/>
    <n v="1"/>
    <n v="0"/>
    <n v="5"/>
    <n v="4"/>
  </r>
  <r>
    <s v="SW-105131"/>
    <d v="2025-12-07T00:00:00"/>
    <x v="1"/>
    <s v="Q4"/>
    <x v="11"/>
    <x v="1"/>
    <x v="2"/>
    <x v="0"/>
    <x v="1"/>
    <s v="Perfume 100ml"/>
    <n v="2"/>
    <n v="54.56"/>
    <n v="0.05"/>
    <x v="0"/>
    <n v="103.66"/>
    <n v="51.93"/>
    <n v="51.73"/>
    <n v="1"/>
    <n v="0"/>
    <n v="5"/>
    <n v="4"/>
  </r>
  <r>
    <s v="SW-105132"/>
    <d v="2025-12-07T00:00:00"/>
    <x v="1"/>
    <s v="Q4"/>
    <x v="11"/>
    <x v="0"/>
    <x v="2"/>
    <x v="1"/>
    <x v="0"/>
    <s v="Sunglasses"/>
    <n v="1"/>
    <n v="104.94"/>
    <n v="0.25"/>
    <x v="3"/>
    <n v="78.7"/>
    <n v="53.02"/>
    <n v="25.68"/>
    <n v="1"/>
    <n v="0"/>
    <n v="5"/>
    <n v="3"/>
  </r>
  <r>
    <s v="SW-105133"/>
    <d v="2025-12-07T00:00:00"/>
    <x v="1"/>
    <s v="Q4"/>
    <x v="11"/>
    <x v="1"/>
    <x v="2"/>
    <x v="1"/>
    <x v="4"/>
    <s v="4K Action Camera"/>
    <n v="3"/>
    <n v="636.09"/>
    <n v="0.2"/>
    <x v="1"/>
    <n v="1526.62"/>
    <n v="1596.99"/>
    <n v="-70.37"/>
    <n v="1"/>
    <n v="0"/>
    <n v="6"/>
    <n v="3"/>
  </r>
  <r>
    <s v="SW-105134"/>
    <d v="2025-12-07T00:00:00"/>
    <x v="1"/>
    <s v="Q4"/>
    <x v="11"/>
    <x v="1"/>
    <x v="3"/>
    <x v="1"/>
    <x v="3"/>
    <s v="Yoga Mat"/>
    <n v="2"/>
    <n v="137.05000000000001"/>
    <n v="0.15"/>
    <x v="1"/>
    <n v="232.98"/>
    <n v="182.15"/>
    <n v="50.83"/>
    <n v="1"/>
    <n v="0"/>
    <n v="3"/>
    <n v="4"/>
  </r>
  <r>
    <s v="SW-105135"/>
    <d v="2025-12-07T00:00:00"/>
    <x v="1"/>
    <s v="Q4"/>
    <x v="11"/>
    <x v="2"/>
    <x v="0"/>
    <x v="0"/>
    <x v="4"/>
    <s v="Bluetooth Speaker"/>
    <n v="1"/>
    <n v="177.65"/>
    <n v="0.15"/>
    <x v="1"/>
    <n v="151"/>
    <n v="132.18"/>
    <n v="18.82"/>
    <n v="1"/>
    <n v="0"/>
    <n v="4"/>
    <n v="4"/>
  </r>
  <r>
    <s v="SW-105136"/>
    <d v="2025-12-08T00:00:00"/>
    <x v="1"/>
    <s v="Q4"/>
    <x v="11"/>
    <x v="2"/>
    <x v="0"/>
    <x v="0"/>
    <x v="4"/>
    <s v="Power Bank"/>
    <n v="1"/>
    <n v="508.8"/>
    <n v="0.3"/>
    <x v="3"/>
    <n v="356.16"/>
    <n v="409.04"/>
    <n v="-52.88"/>
    <n v="1"/>
    <n v="0"/>
    <n v="5"/>
    <n v="5"/>
  </r>
  <r>
    <s v="SW-105137"/>
    <d v="2025-12-08T00:00:00"/>
    <x v="1"/>
    <s v="Q4"/>
    <x v="11"/>
    <x v="2"/>
    <x v="0"/>
    <x v="1"/>
    <x v="4"/>
    <s v="Wireless Earbuds"/>
    <n v="1"/>
    <n v="588.41"/>
    <n v="0.05"/>
    <x v="0"/>
    <n v="558.99"/>
    <n v="481.05"/>
    <n v="77.94"/>
    <n v="1"/>
    <n v="0"/>
    <n v="4"/>
    <n v="4"/>
  </r>
  <r>
    <s v="SW-105138"/>
    <d v="2025-12-08T00:00:00"/>
    <x v="1"/>
    <s v="Q4"/>
    <x v="11"/>
    <x v="0"/>
    <x v="1"/>
    <x v="1"/>
    <x v="4"/>
    <s v="Bluetooth Speaker"/>
    <n v="1"/>
    <n v="177.65"/>
    <n v="0.1"/>
    <x v="0"/>
    <n v="159.88999999999999"/>
    <n v="146.24"/>
    <n v="13.65"/>
    <n v="1"/>
    <n v="0"/>
    <n v="8"/>
    <n v="4"/>
  </r>
  <r>
    <s v="SW-105139"/>
    <d v="2025-12-09T00:00:00"/>
    <x v="1"/>
    <s v="Q4"/>
    <x v="11"/>
    <x v="0"/>
    <x v="3"/>
    <x v="1"/>
    <x v="0"/>
    <s v="Denim Jacket"/>
    <n v="1"/>
    <n v="78.510000000000005"/>
    <n v="0.2"/>
    <x v="1"/>
    <n v="62.81"/>
    <n v="42.52"/>
    <n v="20.29"/>
    <n v="1"/>
    <n v="0"/>
    <n v="4"/>
    <n v="5"/>
  </r>
  <r>
    <s v="SW-105140"/>
    <d v="2025-12-09T00:00:00"/>
    <x v="1"/>
    <s v="Q4"/>
    <x v="11"/>
    <x v="0"/>
    <x v="3"/>
    <x v="0"/>
    <x v="3"/>
    <s v="Dumbbell Set"/>
    <n v="1"/>
    <n v="198.42"/>
    <n v="0.25"/>
    <x v="3"/>
    <n v="148.82"/>
    <n v="136.31"/>
    <n v="12.51"/>
    <n v="1"/>
    <n v="0"/>
    <n v="4"/>
    <n v="5"/>
  </r>
  <r>
    <s v="SW-105141"/>
    <d v="2025-12-09T00:00:00"/>
    <x v="1"/>
    <s v="Q4"/>
    <x v="11"/>
    <x v="2"/>
    <x v="4"/>
    <x v="1"/>
    <x v="3"/>
    <s v="Dumbbell Set"/>
    <n v="2"/>
    <n v="198.42"/>
    <n v="0.25"/>
    <x v="3"/>
    <n v="297.63"/>
    <n v="261.22000000000003"/>
    <n v="36.409999999999997"/>
    <n v="1"/>
    <n v="0"/>
    <n v="6"/>
    <n v="4"/>
  </r>
  <r>
    <s v="SW-105142"/>
    <d v="2025-12-09T00:00:00"/>
    <x v="1"/>
    <s v="Q4"/>
    <x v="11"/>
    <x v="0"/>
    <x v="3"/>
    <x v="0"/>
    <x v="2"/>
    <s v="Desk Lamp"/>
    <n v="1"/>
    <n v="117.63"/>
    <n v="0.25"/>
    <x v="3"/>
    <n v="88.22"/>
    <n v="76.150000000000006"/>
    <n v="12.07"/>
    <n v="1"/>
    <n v="0"/>
    <n v="7"/>
    <n v="4"/>
  </r>
  <r>
    <s v="SW-105143"/>
    <d v="2025-12-09T00:00:00"/>
    <x v="1"/>
    <s v="Q4"/>
    <x v="11"/>
    <x v="1"/>
    <x v="2"/>
    <x v="0"/>
    <x v="0"/>
    <s v="Denim Jacket"/>
    <n v="1"/>
    <n v="78.510000000000005"/>
    <n v="0.05"/>
    <x v="0"/>
    <n v="74.58"/>
    <n v="41.47"/>
    <n v="33.11"/>
    <n v="1"/>
    <n v="0"/>
    <n v="5"/>
    <n v="5"/>
  </r>
  <r>
    <s v="SW-105144"/>
    <d v="2025-12-09T00:00:00"/>
    <x v="1"/>
    <s v="Q4"/>
    <x v="11"/>
    <x v="1"/>
    <x v="0"/>
    <x v="0"/>
    <x v="3"/>
    <s v="Dumbbell Set"/>
    <n v="1"/>
    <n v="198.42"/>
    <n v="0.15"/>
    <x v="1"/>
    <n v="168.66"/>
    <n v="127.19"/>
    <n v="41.47"/>
    <n v="1"/>
    <n v="0"/>
    <n v="6"/>
    <n v="3"/>
  </r>
  <r>
    <s v="SW-105145"/>
    <d v="2025-12-09T00:00:00"/>
    <x v="1"/>
    <s v="Q4"/>
    <x v="11"/>
    <x v="0"/>
    <x v="3"/>
    <x v="0"/>
    <x v="2"/>
    <s v="Cookware Set"/>
    <n v="2"/>
    <n v="233.81"/>
    <n v="0.2"/>
    <x v="1"/>
    <n v="374.1"/>
    <n v="317.58999999999997"/>
    <n v="56.51"/>
    <n v="1"/>
    <n v="1"/>
    <n v="3"/>
    <n v="2"/>
  </r>
  <r>
    <s v="SW-105146"/>
    <d v="2025-12-09T00:00:00"/>
    <x v="1"/>
    <s v="Q4"/>
    <x v="11"/>
    <x v="0"/>
    <x v="4"/>
    <x v="1"/>
    <x v="0"/>
    <s v="Denim Jacket"/>
    <n v="2"/>
    <n v="78.510000000000005"/>
    <n v="0.25"/>
    <x v="3"/>
    <n v="117.77"/>
    <n v="89.77"/>
    <n v="28"/>
    <n v="1"/>
    <n v="0"/>
    <n v="7"/>
    <n v="4"/>
  </r>
  <r>
    <s v="SW-105147"/>
    <d v="2025-12-09T00:00:00"/>
    <x v="1"/>
    <s v="Q4"/>
    <x v="11"/>
    <x v="1"/>
    <x v="2"/>
    <x v="1"/>
    <x v="5"/>
    <s v="Story Book Set"/>
    <n v="1"/>
    <n v="10.76"/>
    <n v="0.15"/>
    <x v="1"/>
    <n v="9.15"/>
    <n v="7.84"/>
    <n v="1.31"/>
    <n v="1"/>
    <n v="0"/>
    <n v="8"/>
    <n v="3"/>
  </r>
  <r>
    <s v="SW-105148"/>
    <d v="2025-12-09T00:00:00"/>
    <x v="1"/>
    <s v="Q4"/>
    <x v="11"/>
    <x v="1"/>
    <x v="4"/>
    <x v="1"/>
    <x v="4"/>
    <s v="Power Bank"/>
    <n v="2"/>
    <n v="508.8"/>
    <n v="0.2"/>
    <x v="1"/>
    <n v="814.08"/>
    <n v="830.29"/>
    <n v="-16.21"/>
    <n v="1"/>
    <n v="0"/>
    <n v="7"/>
    <n v="3"/>
  </r>
  <r>
    <s v="SW-105149"/>
    <d v="2025-12-09T00:00:00"/>
    <x v="1"/>
    <s v="Q4"/>
    <x v="11"/>
    <x v="0"/>
    <x v="0"/>
    <x v="1"/>
    <x v="0"/>
    <s v="Cotton T-Shirt"/>
    <n v="2"/>
    <n v="19.41"/>
    <n v="0"/>
    <x v="2"/>
    <n v="38.82"/>
    <n v="21.61"/>
    <n v="17.21"/>
    <n v="1"/>
    <n v="0"/>
    <n v="4"/>
    <n v="5"/>
  </r>
  <r>
    <s v="SW-105150"/>
    <d v="2025-12-09T00:00:00"/>
    <x v="1"/>
    <s v="Q4"/>
    <x v="11"/>
    <x v="1"/>
    <x v="1"/>
    <x v="0"/>
    <x v="4"/>
    <s v="4K Action Camera"/>
    <n v="1"/>
    <n v="636.09"/>
    <n v="0.2"/>
    <x v="1"/>
    <n v="508.87"/>
    <n v="503.19"/>
    <n v="5.68"/>
    <n v="1"/>
    <n v="0"/>
    <n v="6"/>
    <n v="4"/>
  </r>
  <r>
    <s v="SW-105151"/>
    <d v="2025-12-10T00:00:00"/>
    <x v="1"/>
    <s v="Q4"/>
    <x v="11"/>
    <x v="2"/>
    <x v="3"/>
    <x v="0"/>
    <x v="2"/>
    <s v="Storage Boxes"/>
    <n v="1"/>
    <n v="154.66"/>
    <n v="0.1"/>
    <x v="0"/>
    <n v="139.19"/>
    <n v="106.47"/>
    <n v="32.72"/>
    <n v="1"/>
    <n v="1"/>
    <n v="3"/>
    <n v="3"/>
  </r>
  <r>
    <s v="SW-105152"/>
    <d v="2025-12-10T00:00:00"/>
    <x v="1"/>
    <s v="Q4"/>
    <x v="11"/>
    <x v="1"/>
    <x v="4"/>
    <x v="1"/>
    <x v="3"/>
    <s v="Yoga Mat"/>
    <n v="1"/>
    <n v="137.05000000000001"/>
    <n v="0.25"/>
    <x v="3"/>
    <n v="102.79"/>
    <n v="92.93"/>
    <n v="9.86"/>
    <n v="1"/>
    <n v="0"/>
    <n v="9"/>
    <n v="3"/>
  </r>
  <r>
    <s v="SW-105153"/>
    <d v="2025-12-10T00:00:00"/>
    <x v="1"/>
    <s v="Q4"/>
    <x v="11"/>
    <x v="1"/>
    <x v="2"/>
    <x v="1"/>
    <x v="5"/>
    <s v="Board Game"/>
    <n v="1"/>
    <n v="57.92"/>
    <n v="0.15"/>
    <x v="1"/>
    <n v="49.23"/>
    <n v="42.55"/>
    <n v="6.68"/>
    <n v="1"/>
    <n v="0"/>
    <n v="5"/>
    <n v="5"/>
  </r>
  <r>
    <s v="SW-105154"/>
    <d v="2025-12-10T00:00:00"/>
    <x v="1"/>
    <s v="Q4"/>
    <x v="11"/>
    <x v="0"/>
    <x v="3"/>
    <x v="1"/>
    <x v="4"/>
    <s v="Tablet 10in"/>
    <n v="3"/>
    <n v="490.3"/>
    <n v="0.05"/>
    <x v="0"/>
    <n v="1397.36"/>
    <n v="1159.42"/>
    <n v="237.94"/>
    <n v="1"/>
    <n v="0"/>
    <n v="3"/>
    <n v="4"/>
  </r>
  <r>
    <s v="SW-105155"/>
    <d v="2025-12-10T00:00:00"/>
    <x v="1"/>
    <s v="Q4"/>
    <x v="11"/>
    <x v="0"/>
    <x v="0"/>
    <x v="1"/>
    <x v="2"/>
    <s v="Coffee Maker"/>
    <n v="1"/>
    <n v="148.05000000000001"/>
    <n v="0.3"/>
    <x v="3"/>
    <n v="103.64"/>
    <n v="98.09"/>
    <n v="5.55"/>
    <n v="1"/>
    <n v="0"/>
    <n v="6"/>
    <n v="4"/>
  </r>
  <r>
    <s v="SW-105156"/>
    <d v="2025-12-10T00:00:00"/>
    <x v="1"/>
    <s v="Q4"/>
    <x v="11"/>
    <x v="2"/>
    <x v="3"/>
    <x v="1"/>
    <x v="5"/>
    <s v="Board Game"/>
    <n v="1"/>
    <n v="57.92"/>
    <n v="0"/>
    <x v="2"/>
    <n v="57.92"/>
    <n v="40.85"/>
    <n v="17.07"/>
    <n v="1"/>
    <n v="0"/>
    <n v="3"/>
    <n v="5"/>
  </r>
  <r>
    <s v="SW-105157"/>
    <d v="2025-12-10T00:00:00"/>
    <x v="1"/>
    <s v="Q4"/>
    <x v="11"/>
    <x v="2"/>
    <x v="4"/>
    <x v="1"/>
    <x v="2"/>
    <s v="Desk Lamp"/>
    <n v="1"/>
    <n v="117.63"/>
    <n v="0.1"/>
    <x v="0"/>
    <n v="105.87"/>
    <n v="78.760000000000005"/>
    <n v="27.11"/>
    <n v="1"/>
    <n v="0"/>
    <n v="6"/>
    <n v="5"/>
  </r>
  <r>
    <s v="SW-105158"/>
    <d v="2025-12-10T00:00:00"/>
    <x v="1"/>
    <s v="Q4"/>
    <x v="11"/>
    <x v="0"/>
    <x v="3"/>
    <x v="0"/>
    <x v="5"/>
    <s v="Board Game"/>
    <n v="2"/>
    <n v="57.92"/>
    <n v="0.15"/>
    <x v="1"/>
    <n v="98.46"/>
    <n v="79.17"/>
    <n v="19.29"/>
    <n v="1"/>
    <n v="1"/>
    <n v="4"/>
    <n v="3"/>
  </r>
  <r>
    <s v="SW-105159"/>
    <d v="2025-12-10T00:00:00"/>
    <x v="1"/>
    <s v="Q4"/>
    <x v="11"/>
    <x v="2"/>
    <x v="2"/>
    <x v="1"/>
    <x v="2"/>
    <s v="Air Fryer"/>
    <n v="1"/>
    <n v="68.349999999999994"/>
    <n v="0.2"/>
    <x v="1"/>
    <n v="54.68"/>
    <n v="45.87"/>
    <n v="8.81"/>
    <n v="1"/>
    <n v="0"/>
    <n v="6"/>
    <n v="3"/>
  </r>
  <r>
    <s v="SW-105160"/>
    <d v="2025-12-10T00:00:00"/>
    <x v="1"/>
    <s v="Q4"/>
    <x v="11"/>
    <x v="0"/>
    <x v="1"/>
    <x v="1"/>
    <x v="1"/>
    <s v="Skin Care Bundle"/>
    <n v="2"/>
    <n v="92.54"/>
    <n v="0.15"/>
    <x v="1"/>
    <n v="157.32"/>
    <n v="88.44"/>
    <n v="68.88"/>
    <n v="1"/>
    <n v="0"/>
    <n v="7"/>
    <n v="4"/>
  </r>
  <r>
    <s v="SW-105161"/>
    <d v="2025-12-10T00:00:00"/>
    <x v="1"/>
    <s v="Q4"/>
    <x v="11"/>
    <x v="0"/>
    <x v="4"/>
    <x v="1"/>
    <x v="5"/>
    <s v="Building Blocks"/>
    <n v="1"/>
    <n v="48.86"/>
    <n v="0"/>
    <x v="2"/>
    <n v="48.86"/>
    <n v="35.409999999999997"/>
    <n v="13.45"/>
    <n v="1"/>
    <n v="0"/>
    <n v="6"/>
    <n v="3"/>
  </r>
  <r>
    <s v="SW-105162"/>
    <d v="2025-12-10T00:00:00"/>
    <x v="1"/>
    <s v="Q4"/>
    <x v="11"/>
    <x v="2"/>
    <x v="3"/>
    <x v="0"/>
    <x v="4"/>
    <s v="Power Bank"/>
    <n v="1"/>
    <n v="508.8"/>
    <n v="0.2"/>
    <x v="1"/>
    <n v="407.04"/>
    <n v="404.83"/>
    <n v="2.21"/>
    <n v="1"/>
    <n v="0"/>
    <n v="3"/>
    <n v="4"/>
  </r>
  <r>
    <s v="SW-105163"/>
    <d v="2025-12-10T00:00:00"/>
    <x v="1"/>
    <s v="Q4"/>
    <x v="11"/>
    <x v="1"/>
    <x v="4"/>
    <x v="0"/>
    <x v="0"/>
    <s v="Denim Jacket"/>
    <n v="1"/>
    <n v="78.510000000000005"/>
    <n v="0.1"/>
    <x v="0"/>
    <n v="70.66"/>
    <n v="43.11"/>
    <n v="27.55"/>
    <n v="1"/>
    <n v="1"/>
    <n v="8"/>
    <n v="2"/>
  </r>
  <r>
    <s v="SW-105164"/>
    <d v="2025-12-11T00:00:00"/>
    <x v="1"/>
    <s v="Q4"/>
    <x v="11"/>
    <x v="1"/>
    <x v="3"/>
    <x v="1"/>
    <x v="4"/>
    <s v="4K Action Camera"/>
    <n v="1"/>
    <n v="636.09"/>
    <n v="0.25"/>
    <x v="3"/>
    <n v="477.07"/>
    <n v="501.24"/>
    <n v="-24.17"/>
    <n v="1"/>
    <n v="0"/>
    <n v="3"/>
    <n v="4"/>
  </r>
  <r>
    <s v="SW-105165"/>
    <d v="2025-12-11T00:00:00"/>
    <x v="1"/>
    <s v="Q4"/>
    <x v="11"/>
    <x v="1"/>
    <x v="2"/>
    <x v="1"/>
    <x v="4"/>
    <s v="Power Bank"/>
    <n v="1"/>
    <n v="508.8"/>
    <n v="0.05"/>
    <x v="0"/>
    <n v="483.36"/>
    <n v="403.35"/>
    <n v="80.010000000000005"/>
    <n v="1"/>
    <n v="0"/>
    <n v="5"/>
    <n v="4"/>
  </r>
  <r>
    <s v="SW-105166"/>
    <d v="2025-12-11T00:00:00"/>
    <x v="1"/>
    <s v="Q4"/>
    <x v="11"/>
    <x v="0"/>
    <x v="4"/>
    <x v="0"/>
    <x v="4"/>
    <s v="Bluetooth Speaker"/>
    <n v="3"/>
    <n v="177.65"/>
    <n v="0.2"/>
    <x v="1"/>
    <n v="426.36"/>
    <n v="436.14"/>
    <n v="-9.7799999999999994"/>
    <n v="1"/>
    <n v="0"/>
    <n v="7"/>
    <n v="3"/>
  </r>
  <r>
    <s v="SW-105167"/>
    <d v="2025-12-11T00:00:00"/>
    <x v="1"/>
    <s v="Q4"/>
    <x v="11"/>
    <x v="0"/>
    <x v="2"/>
    <x v="1"/>
    <x v="4"/>
    <s v="Bluetooth Speaker"/>
    <n v="2"/>
    <n v="177.65"/>
    <n v="0"/>
    <x v="2"/>
    <n v="355.3"/>
    <n v="272.8"/>
    <n v="82.5"/>
    <n v="1"/>
    <n v="0"/>
    <n v="4"/>
    <n v="5"/>
  </r>
  <r>
    <s v="SW-105168"/>
    <d v="2025-12-11T00:00:00"/>
    <x v="1"/>
    <s v="Q4"/>
    <x v="11"/>
    <x v="2"/>
    <x v="3"/>
    <x v="1"/>
    <x v="4"/>
    <s v="Smart Watch"/>
    <n v="2"/>
    <n v="216.08"/>
    <n v="0.2"/>
    <x v="1"/>
    <n v="345.73"/>
    <n v="346.58"/>
    <n v="-0.85"/>
    <n v="1"/>
    <n v="0"/>
    <n v="3"/>
    <n v="4"/>
  </r>
  <r>
    <s v="SW-105169"/>
    <d v="2025-12-11T00:00:00"/>
    <x v="1"/>
    <s v="Q4"/>
    <x v="11"/>
    <x v="0"/>
    <x v="0"/>
    <x v="1"/>
    <x v="1"/>
    <s v="Makeup Kit"/>
    <n v="2"/>
    <n v="74.3"/>
    <n v="0.2"/>
    <x v="1"/>
    <n v="118.88"/>
    <n v="68.459999999999994"/>
    <n v="50.42"/>
    <n v="1"/>
    <n v="0"/>
    <n v="5"/>
    <n v="5"/>
  </r>
  <r>
    <s v="SW-105170"/>
    <d v="2025-12-11T00:00:00"/>
    <x v="1"/>
    <s v="Q4"/>
    <x v="11"/>
    <x v="1"/>
    <x v="3"/>
    <x v="1"/>
    <x v="4"/>
    <s v="4K Action Camera"/>
    <n v="1"/>
    <n v="636.09"/>
    <n v="0.1"/>
    <x v="0"/>
    <n v="572.48"/>
    <n v="485.85"/>
    <n v="86.63"/>
    <n v="1"/>
    <n v="0"/>
    <n v="4"/>
    <n v="4"/>
  </r>
  <r>
    <s v="SW-105171"/>
    <d v="2025-12-11T00:00:00"/>
    <x v="1"/>
    <s v="Q4"/>
    <x v="11"/>
    <x v="1"/>
    <x v="3"/>
    <x v="1"/>
    <x v="2"/>
    <s v="Desk Lamp"/>
    <n v="1"/>
    <n v="117.63"/>
    <n v="0.25"/>
    <x v="3"/>
    <n v="88.22"/>
    <n v="73.05"/>
    <n v="15.17"/>
    <n v="1"/>
    <n v="0"/>
    <n v="4"/>
    <n v="3"/>
  </r>
  <r>
    <s v="SW-105172"/>
    <d v="2025-12-11T00:00:00"/>
    <x v="1"/>
    <s v="Q4"/>
    <x v="11"/>
    <x v="1"/>
    <x v="3"/>
    <x v="1"/>
    <x v="1"/>
    <s v="Hair Dryer"/>
    <n v="2"/>
    <n v="33.18"/>
    <n v="0.15"/>
    <x v="1"/>
    <n v="56.41"/>
    <n v="32.14"/>
    <n v="24.27"/>
    <n v="1"/>
    <n v="0"/>
    <n v="3"/>
    <n v="5"/>
  </r>
  <r>
    <s v="SW-105173"/>
    <d v="2025-12-11T00:00:00"/>
    <x v="1"/>
    <s v="Q4"/>
    <x v="11"/>
    <x v="0"/>
    <x v="1"/>
    <x v="0"/>
    <x v="5"/>
    <s v="Bestseller Novel"/>
    <n v="3"/>
    <n v="45.28"/>
    <n v="0.3"/>
    <x v="3"/>
    <n v="95.09"/>
    <n v="96.03"/>
    <n v="-0.94"/>
    <n v="1"/>
    <n v="0"/>
    <n v="10"/>
    <n v="4"/>
  </r>
  <r>
    <s v="SW-105174"/>
    <d v="2025-12-12T00:00:00"/>
    <x v="1"/>
    <s v="Q4"/>
    <x v="11"/>
    <x v="1"/>
    <x v="2"/>
    <x v="0"/>
    <x v="2"/>
    <s v="Desk Lamp"/>
    <n v="1"/>
    <n v="117.63"/>
    <n v="0.2"/>
    <x v="1"/>
    <n v="94.1"/>
    <n v="77.92"/>
    <n v="16.18"/>
    <n v="1"/>
    <n v="0"/>
    <n v="4"/>
    <n v="4"/>
  </r>
  <r>
    <s v="SW-105175"/>
    <d v="2025-12-12T00:00:00"/>
    <x v="1"/>
    <s v="Q4"/>
    <x v="11"/>
    <x v="1"/>
    <x v="0"/>
    <x v="1"/>
    <x v="0"/>
    <s v="Summer Dress"/>
    <n v="2"/>
    <n v="33.99"/>
    <n v="0"/>
    <x v="2"/>
    <n v="67.98"/>
    <n v="37.700000000000003"/>
    <n v="30.28"/>
    <n v="1"/>
    <n v="0"/>
    <n v="5"/>
    <n v="4"/>
  </r>
  <r>
    <s v="SW-105176"/>
    <d v="2025-12-12T00:00:00"/>
    <x v="1"/>
    <s v="Q4"/>
    <x v="11"/>
    <x v="1"/>
    <x v="0"/>
    <x v="0"/>
    <x v="3"/>
    <s v="Dumbbell Set"/>
    <n v="1"/>
    <n v="198.42"/>
    <n v="0.05"/>
    <x v="0"/>
    <n v="188.5"/>
    <n v="139.85"/>
    <n v="48.65"/>
    <n v="1"/>
    <n v="0"/>
    <n v="6"/>
    <n v="3"/>
  </r>
  <r>
    <s v="SW-105177"/>
    <d v="2025-12-12T00:00:00"/>
    <x v="1"/>
    <s v="Q4"/>
    <x v="11"/>
    <x v="0"/>
    <x v="0"/>
    <x v="1"/>
    <x v="1"/>
    <s v="Skin Care Bundle"/>
    <n v="1"/>
    <n v="92.54"/>
    <n v="0.05"/>
    <x v="0"/>
    <n v="87.91"/>
    <n v="44.73"/>
    <n v="43.18"/>
    <n v="1"/>
    <n v="0"/>
    <n v="4"/>
    <n v="4"/>
  </r>
  <r>
    <s v="SW-105178"/>
    <d v="2025-12-12T00:00:00"/>
    <x v="1"/>
    <s v="Q4"/>
    <x v="11"/>
    <x v="2"/>
    <x v="2"/>
    <x v="1"/>
    <x v="2"/>
    <s v="Bed Sheet Set"/>
    <n v="1"/>
    <n v="90.75"/>
    <n v="0.2"/>
    <x v="1"/>
    <n v="72.599999999999994"/>
    <n v="60.37"/>
    <n v="12.23"/>
    <n v="1"/>
    <n v="0"/>
    <n v="7"/>
    <n v="4"/>
  </r>
  <r>
    <s v="SW-105179"/>
    <d v="2025-12-12T00:00:00"/>
    <x v="1"/>
    <s v="Q4"/>
    <x v="11"/>
    <x v="1"/>
    <x v="0"/>
    <x v="1"/>
    <x v="3"/>
    <s v="Dumbbell Set"/>
    <n v="2"/>
    <n v="198.42"/>
    <n v="0.2"/>
    <x v="1"/>
    <n v="317.47000000000003"/>
    <n v="271.07"/>
    <n v="46.4"/>
    <n v="1"/>
    <n v="0"/>
    <n v="4"/>
    <n v="4"/>
  </r>
  <r>
    <s v="SW-105180"/>
    <d v="2025-12-12T00:00:00"/>
    <x v="1"/>
    <s v="Q4"/>
    <x v="11"/>
    <x v="0"/>
    <x v="3"/>
    <x v="1"/>
    <x v="4"/>
    <s v="Bluetooth Speaker"/>
    <n v="2"/>
    <n v="177.65"/>
    <n v="0.2"/>
    <x v="1"/>
    <n v="284.24"/>
    <n v="271.02999999999997"/>
    <n v="13.21"/>
    <n v="1"/>
    <n v="0"/>
    <n v="4"/>
    <n v="4"/>
  </r>
  <r>
    <s v="SW-105181"/>
    <d v="2025-12-12T00:00:00"/>
    <x v="1"/>
    <s v="Q4"/>
    <x v="11"/>
    <x v="1"/>
    <x v="0"/>
    <x v="1"/>
    <x v="2"/>
    <s v="Bed Sheet Set"/>
    <n v="1"/>
    <n v="90.75"/>
    <n v="0"/>
    <x v="2"/>
    <n v="90.75"/>
    <n v="62.35"/>
    <n v="28.4"/>
    <n v="1"/>
    <n v="0"/>
    <n v="4"/>
    <n v="4"/>
  </r>
  <r>
    <s v="SW-105182"/>
    <d v="2025-12-12T00:00:00"/>
    <x v="1"/>
    <s v="Q4"/>
    <x v="11"/>
    <x v="2"/>
    <x v="3"/>
    <x v="1"/>
    <x v="4"/>
    <s v="Power Bank"/>
    <n v="1"/>
    <n v="508.8"/>
    <n v="0.1"/>
    <x v="0"/>
    <n v="457.92"/>
    <n v="413.6"/>
    <n v="44.32"/>
    <n v="1"/>
    <n v="0"/>
    <n v="5"/>
    <n v="4"/>
  </r>
  <r>
    <s v="SW-105183"/>
    <d v="2025-12-12T00:00:00"/>
    <x v="1"/>
    <s v="Q4"/>
    <x v="11"/>
    <x v="2"/>
    <x v="2"/>
    <x v="1"/>
    <x v="2"/>
    <s v="Cookware Set"/>
    <n v="1"/>
    <n v="233.81"/>
    <n v="0.1"/>
    <x v="0"/>
    <n v="210.43"/>
    <n v="159.84"/>
    <n v="50.59"/>
    <n v="1"/>
    <n v="0"/>
    <n v="5"/>
    <n v="4"/>
  </r>
  <r>
    <s v="SW-105184"/>
    <d v="2025-12-12T00:00:00"/>
    <x v="1"/>
    <s v="Q4"/>
    <x v="11"/>
    <x v="2"/>
    <x v="3"/>
    <x v="0"/>
    <x v="0"/>
    <s v="Cotton T-Shirt"/>
    <n v="1"/>
    <n v="19.41"/>
    <n v="0.2"/>
    <x v="1"/>
    <n v="15.53"/>
    <n v="11.08"/>
    <n v="4.45"/>
    <n v="1"/>
    <n v="0"/>
    <n v="5"/>
    <n v="3"/>
  </r>
  <r>
    <s v="SW-105185"/>
    <d v="2025-12-12T00:00:00"/>
    <x v="1"/>
    <s v="Q4"/>
    <x v="11"/>
    <x v="0"/>
    <x v="2"/>
    <x v="1"/>
    <x v="2"/>
    <s v="Desk Lamp"/>
    <n v="1"/>
    <n v="117.63"/>
    <n v="0.1"/>
    <x v="0"/>
    <n v="105.87"/>
    <n v="79.349999999999994"/>
    <n v="26.52"/>
    <n v="1"/>
    <n v="0"/>
    <n v="4"/>
    <n v="4"/>
  </r>
  <r>
    <s v="SW-105186"/>
    <d v="2025-12-13T00:00:00"/>
    <x v="1"/>
    <s v="Q4"/>
    <x v="11"/>
    <x v="2"/>
    <x v="3"/>
    <x v="1"/>
    <x v="3"/>
    <s v="Cycling Helmet"/>
    <n v="1"/>
    <n v="85.42"/>
    <n v="0.2"/>
    <x v="1"/>
    <n v="68.34"/>
    <n v="56.43"/>
    <n v="11.91"/>
    <n v="1"/>
    <n v="0"/>
    <n v="6"/>
    <n v="3"/>
  </r>
  <r>
    <s v="SW-105187"/>
    <d v="2025-12-13T00:00:00"/>
    <x v="1"/>
    <s v="Q4"/>
    <x v="11"/>
    <x v="2"/>
    <x v="3"/>
    <x v="1"/>
    <x v="0"/>
    <s v="Summer Dress"/>
    <n v="2"/>
    <n v="33.99"/>
    <n v="0.1"/>
    <x v="0"/>
    <n v="61.18"/>
    <n v="38"/>
    <n v="23.18"/>
    <n v="1"/>
    <n v="0"/>
    <n v="3"/>
    <n v="4"/>
  </r>
  <r>
    <s v="SW-105188"/>
    <d v="2025-12-13T00:00:00"/>
    <x v="1"/>
    <s v="Q4"/>
    <x v="11"/>
    <x v="2"/>
    <x v="0"/>
    <x v="1"/>
    <x v="0"/>
    <s v="Cotton T-Shirt"/>
    <n v="2"/>
    <n v="19.41"/>
    <n v="0.25"/>
    <x v="3"/>
    <n v="29.12"/>
    <n v="20.85"/>
    <n v="8.27"/>
    <n v="1"/>
    <n v="0"/>
    <n v="7"/>
    <n v="3"/>
  </r>
  <r>
    <s v="SW-105189"/>
    <d v="2025-12-13T00:00:00"/>
    <x v="1"/>
    <s v="Q4"/>
    <x v="11"/>
    <x v="1"/>
    <x v="3"/>
    <x v="1"/>
    <x v="4"/>
    <s v="Wireless Earbuds"/>
    <n v="1"/>
    <n v="588.41"/>
    <n v="0.3"/>
    <x v="3"/>
    <n v="411.89"/>
    <n v="450.85"/>
    <n v="-38.96"/>
    <n v="1"/>
    <n v="0"/>
    <n v="6"/>
    <n v="4"/>
  </r>
  <r>
    <s v="SW-105190"/>
    <d v="2025-12-13T00:00:00"/>
    <x v="1"/>
    <s v="Q4"/>
    <x v="11"/>
    <x v="1"/>
    <x v="0"/>
    <x v="1"/>
    <x v="0"/>
    <s v="Running Sneakers"/>
    <n v="1"/>
    <n v="94.85"/>
    <n v="0.2"/>
    <x v="1"/>
    <n v="75.88"/>
    <n v="51.9"/>
    <n v="23.98"/>
    <n v="1"/>
    <n v="0"/>
    <n v="4"/>
    <n v="5"/>
  </r>
  <r>
    <s v="SW-105191"/>
    <d v="2025-12-13T00:00:00"/>
    <x v="1"/>
    <s v="Q4"/>
    <x v="11"/>
    <x v="0"/>
    <x v="2"/>
    <x v="1"/>
    <x v="2"/>
    <s v="Bed Sheet Set"/>
    <n v="1"/>
    <n v="90.75"/>
    <n v="0.2"/>
    <x v="1"/>
    <n v="72.599999999999994"/>
    <n v="57.41"/>
    <n v="15.19"/>
    <n v="1"/>
    <n v="0"/>
    <n v="4"/>
    <n v="5"/>
  </r>
  <r>
    <s v="SW-105192"/>
    <d v="2025-12-13T00:00:00"/>
    <x v="1"/>
    <s v="Q4"/>
    <x v="11"/>
    <x v="0"/>
    <x v="3"/>
    <x v="0"/>
    <x v="5"/>
    <s v="Story Book Set"/>
    <n v="1"/>
    <n v="10.76"/>
    <n v="0.25"/>
    <x v="3"/>
    <n v="8.07"/>
    <n v="7.85"/>
    <n v="0.22"/>
    <n v="1"/>
    <n v="0"/>
    <n v="4"/>
    <n v="4"/>
  </r>
  <r>
    <s v="SW-105193"/>
    <d v="2025-12-13T00:00:00"/>
    <x v="1"/>
    <s v="Q4"/>
    <x v="11"/>
    <x v="0"/>
    <x v="0"/>
    <x v="0"/>
    <x v="4"/>
    <s v="Bluetooth Speaker"/>
    <n v="3"/>
    <n v="177.65"/>
    <n v="0.3"/>
    <x v="3"/>
    <n v="373.06"/>
    <n v="429.89"/>
    <n v="-56.83"/>
    <n v="1"/>
    <n v="0"/>
    <n v="5"/>
    <n v="5"/>
  </r>
  <r>
    <s v="SW-105194"/>
    <d v="2025-12-13T00:00:00"/>
    <x v="1"/>
    <s v="Q4"/>
    <x v="11"/>
    <x v="1"/>
    <x v="3"/>
    <x v="1"/>
    <x v="5"/>
    <s v="Story Book Set"/>
    <n v="1"/>
    <n v="10.76"/>
    <n v="0.15"/>
    <x v="1"/>
    <n v="9.15"/>
    <n v="7.91"/>
    <n v="1.24"/>
    <n v="1"/>
    <n v="0"/>
    <n v="3"/>
    <n v="5"/>
  </r>
  <r>
    <s v="SW-105195"/>
    <d v="2025-12-13T00:00:00"/>
    <x v="1"/>
    <s v="Q4"/>
    <x v="11"/>
    <x v="0"/>
    <x v="2"/>
    <x v="1"/>
    <x v="4"/>
    <s v="Power Bank"/>
    <n v="1"/>
    <n v="508.8"/>
    <n v="0.2"/>
    <x v="1"/>
    <n v="407.04"/>
    <n v="408.84"/>
    <n v="-1.8"/>
    <n v="1"/>
    <n v="0"/>
    <n v="6"/>
    <n v="4"/>
  </r>
  <r>
    <s v="SW-105196"/>
    <d v="2025-12-13T00:00:00"/>
    <x v="1"/>
    <s v="Q4"/>
    <x v="11"/>
    <x v="0"/>
    <x v="0"/>
    <x v="1"/>
    <x v="0"/>
    <s v="Sunglasses"/>
    <n v="2"/>
    <n v="104.94"/>
    <n v="0.25"/>
    <x v="3"/>
    <n v="157.41"/>
    <n v="113.96"/>
    <n v="43.45"/>
    <n v="1"/>
    <n v="0"/>
    <n v="6"/>
    <n v="3"/>
  </r>
  <r>
    <s v="SW-105197"/>
    <d v="2025-12-14T00:00:00"/>
    <x v="1"/>
    <s v="Q4"/>
    <x v="11"/>
    <x v="0"/>
    <x v="4"/>
    <x v="1"/>
    <x v="2"/>
    <s v="Bed Sheet Set"/>
    <n v="2"/>
    <n v="90.75"/>
    <n v="0.3"/>
    <x v="3"/>
    <n v="127.05"/>
    <n v="125.1"/>
    <n v="1.95"/>
    <n v="1"/>
    <n v="0"/>
    <n v="8"/>
    <n v="3"/>
  </r>
  <r>
    <s v="SW-105198"/>
    <d v="2025-12-14T00:00:00"/>
    <x v="1"/>
    <s v="Q4"/>
    <x v="11"/>
    <x v="1"/>
    <x v="3"/>
    <x v="0"/>
    <x v="4"/>
    <s v="Smart Watch"/>
    <n v="2"/>
    <n v="216.08"/>
    <n v="0.25"/>
    <x v="3"/>
    <n v="324.12"/>
    <n v="347.79"/>
    <n v="-23.67"/>
    <n v="1"/>
    <n v="0"/>
    <n v="3"/>
    <n v="4"/>
  </r>
  <r>
    <s v="SW-105199"/>
    <d v="2025-12-14T00:00:00"/>
    <x v="1"/>
    <s v="Q4"/>
    <x v="11"/>
    <x v="1"/>
    <x v="2"/>
    <x v="0"/>
    <x v="3"/>
    <s v="Cycling Helmet"/>
    <n v="2"/>
    <n v="85.42"/>
    <n v="0.2"/>
    <x v="1"/>
    <n v="136.66999999999999"/>
    <n v="114.86"/>
    <n v="21.81"/>
    <n v="1"/>
    <n v="0"/>
    <n v="4"/>
    <n v="5"/>
  </r>
  <r>
    <s v="SW-105200"/>
    <d v="2025-12-14T00:00:00"/>
    <x v="1"/>
    <s v="Q4"/>
    <x v="11"/>
    <x v="0"/>
    <x v="3"/>
    <x v="0"/>
    <x v="2"/>
    <s v="Storage Boxes"/>
    <n v="1"/>
    <n v="154.66"/>
    <n v="0"/>
    <x v="2"/>
    <n v="154.66"/>
    <n v="102.46"/>
    <n v="52.2"/>
    <n v="1"/>
    <n v="0"/>
    <n v="4"/>
    <n v="4"/>
  </r>
  <r>
    <s v="SW-105201"/>
    <d v="2025-12-14T00:00:00"/>
    <x v="1"/>
    <s v="Q4"/>
    <x v="11"/>
    <x v="1"/>
    <x v="3"/>
    <x v="0"/>
    <x v="0"/>
    <s v="Leather Handbag"/>
    <n v="1"/>
    <n v="138.5"/>
    <n v="0.15"/>
    <x v="1"/>
    <n v="117.72"/>
    <n v="76.930000000000007"/>
    <n v="40.79"/>
    <n v="1"/>
    <n v="0"/>
    <n v="4"/>
    <n v="3"/>
  </r>
  <r>
    <s v="SW-105202"/>
    <d v="2025-12-14T00:00:00"/>
    <x v="1"/>
    <s v="Q4"/>
    <x v="11"/>
    <x v="2"/>
    <x v="2"/>
    <x v="0"/>
    <x v="5"/>
    <s v="Bestseller Novel"/>
    <n v="2"/>
    <n v="45.28"/>
    <n v="0.15"/>
    <x v="1"/>
    <n v="76.98"/>
    <n v="66.69"/>
    <n v="10.29"/>
    <n v="1"/>
    <n v="0"/>
    <n v="5"/>
    <n v="5"/>
  </r>
  <r>
    <s v="SW-105203"/>
    <d v="2025-12-14T00:00:00"/>
    <x v="1"/>
    <s v="Q4"/>
    <x v="11"/>
    <x v="2"/>
    <x v="0"/>
    <x v="1"/>
    <x v="2"/>
    <s v="Storage Boxes"/>
    <n v="1"/>
    <n v="154.66"/>
    <n v="0.2"/>
    <x v="1"/>
    <n v="123.73"/>
    <n v="105.86"/>
    <n v="17.87"/>
    <n v="1"/>
    <n v="0"/>
    <n v="4"/>
    <n v="5"/>
  </r>
  <r>
    <s v="SW-105204"/>
    <d v="2025-12-14T00:00:00"/>
    <x v="1"/>
    <s v="Q4"/>
    <x v="11"/>
    <x v="1"/>
    <x v="3"/>
    <x v="0"/>
    <x v="3"/>
    <s v="Camping Tent"/>
    <n v="1"/>
    <n v="83.06"/>
    <n v="0.05"/>
    <x v="0"/>
    <n v="78.91"/>
    <n v="54.32"/>
    <n v="24.59"/>
    <n v="1"/>
    <n v="0"/>
    <n v="3"/>
    <n v="5"/>
  </r>
  <r>
    <s v="SW-105205"/>
    <d v="2025-12-14T00:00:00"/>
    <x v="1"/>
    <s v="Q4"/>
    <x v="11"/>
    <x v="1"/>
    <x v="3"/>
    <x v="1"/>
    <x v="4"/>
    <s v="Wireless Earbuds"/>
    <n v="1"/>
    <n v="588.41"/>
    <n v="0.1"/>
    <x v="0"/>
    <n v="529.57000000000005"/>
    <n v="467.88"/>
    <n v="61.69"/>
    <n v="1"/>
    <n v="0"/>
    <n v="3"/>
    <n v="5"/>
  </r>
  <r>
    <s v="SW-105206"/>
    <d v="2025-12-14T00:00:00"/>
    <x v="1"/>
    <s v="Q4"/>
    <x v="11"/>
    <x v="2"/>
    <x v="2"/>
    <x v="1"/>
    <x v="1"/>
    <s v="Hair Dryer"/>
    <n v="1"/>
    <n v="33.18"/>
    <n v="0"/>
    <x v="2"/>
    <n v="33.18"/>
    <n v="15.92"/>
    <n v="17.260000000000002"/>
    <n v="1"/>
    <n v="0"/>
    <n v="7"/>
    <n v="4"/>
  </r>
  <r>
    <s v="SW-105207"/>
    <d v="2025-12-14T00:00:00"/>
    <x v="1"/>
    <s v="Q4"/>
    <x v="11"/>
    <x v="0"/>
    <x v="1"/>
    <x v="0"/>
    <x v="2"/>
    <s v="Bed Sheet Set"/>
    <n v="1"/>
    <n v="90.75"/>
    <n v="0.05"/>
    <x v="0"/>
    <n v="86.21"/>
    <n v="64.09"/>
    <n v="22.12"/>
    <n v="1"/>
    <n v="0"/>
    <n v="7"/>
    <n v="3"/>
  </r>
  <r>
    <s v="SW-105208"/>
    <d v="2025-12-15T00:00:00"/>
    <x v="1"/>
    <s v="Q4"/>
    <x v="11"/>
    <x v="0"/>
    <x v="0"/>
    <x v="1"/>
    <x v="0"/>
    <s v="Leather Handbag"/>
    <n v="1"/>
    <n v="138.5"/>
    <n v="0.2"/>
    <x v="1"/>
    <n v="110.8"/>
    <n v="75.55"/>
    <n v="35.25"/>
    <n v="1"/>
    <n v="1"/>
    <n v="4"/>
    <n v="3"/>
  </r>
  <r>
    <s v="SW-105209"/>
    <d v="2025-12-15T00:00:00"/>
    <x v="1"/>
    <s v="Q4"/>
    <x v="11"/>
    <x v="1"/>
    <x v="3"/>
    <x v="0"/>
    <x v="5"/>
    <s v="Board Game"/>
    <n v="1"/>
    <n v="57.92"/>
    <n v="0.15"/>
    <x v="1"/>
    <n v="49.23"/>
    <n v="40.549999999999997"/>
    <n v="8.68"/>
    <n v="1"/>
    <n v="0"/>
    <n v="5"/>
    <n v="4"/>
  </r>
  <r>
    <s v="SW-105210"/>
    <d v="2025-12-15T00:00:00"/>
    <x v="1"/>
    <s v="Q4"/>
    <x v="11"/>
    <x v="0"/>
    <x v="4"/>
    <x v="1"/>
    <x v="3"/>
    <s v="Dumbbell Set"/>
    <n v="1"/>
    <n v="198.42"/>
    <n v="0.3"/>
    <x v="3"/>
    <n v="138.88999999999999"/>
    <n v="127.95"/>
    <n v="10.94"/>
    <n v="1"/>
    <n v="0"/>
    <n v="8"/>
    <n v="4"/>
  </r>
  <r>
    <s v="SW-105211"/>
    <d v="2025-12-15T00:00:00"/>
    <x v="1"/>
    <s v="Q4"/>
    <x v="11"/>
    <x v="0"/>
    <x v="0"/>
    <x v="1"/>
    <x v="4"/>
    <s v="Bluetooth Speaker"/>
    <n v="2"/>
    <n v="177.65"/>
    <n v="0.2"/>
    <x v="1"/>
    <n v="284.24"/>
    <n v="273.43"/>
    <n v="10.81"/>
    <n v="1"/>
    <n v="0"/>
    <n v="6"/>
    <n v="3"/>
  </r>
  <r>
    <s v="SW-105212"/>
    <d v="2025-12-15T00:00:00"/>
    <x v="1"/>
    <s v="Q4"/>
    <x v="11"/>
    <x v="1"/>
    <x v="1"/>
    <x v="0"/>
    <x v="2"/>
    <s v="Cookware Set"/>
    <n v="3"/>
    <n v="233.81"/>
    <n v="0.05"/>
    <x v="0"/>
    <n v="666.36"/>
    <n v="467.56"/>
    <n v="198.8"/>
    <n v="1"/>
    <n v="0"/>
    <n v="7"/>
    <n v="3"/>
  </r>
  <r>
    <s v="SW-105213"/>
    <d v="2025-12-15T00:00:00"/>
    <x v="1"/>
    <s v="Q4"/>
    <x v="11"/>
    <x v="0"/>
    <x v="3"/>
    <x v="1"/>
    <x v="1"/>
    <s v="Perfume 100ml"/>
    <n v="2"/>
    <n v="54.56"/>
    <n v="0.05"/>
    <x v="0"/>
    <n v="103.66"/>
    <n v="50.44"/>
    <n v="53.22"/>
    <n v="1"/>
    <n v="0"/>
    <n v="3"/>
    <n v="5"/>
  </r>
  <r>
    <s v="SW-105214"/>
    <d v="2025-12-15T00:00:00"/>
    <x v="1"/>
    <s v="Q4"/>
    <x v="11"/>
    <x v="1"/>
    <x v="2"/>
    <x v="0"/>
    <x v="0"/>
    <s v="Leather Handbag"/>
    <n v="1"/>
    <n v="138.5"/>
    <n v="0.1"/>
    <x v="0"/>
    <n v="124.65"/>
    <n v="77.849999999999994"/>
    <n v="46.8"/>
    <n v="1"/>
    <n v="0"/>
    <n v="4"/>
    <n v="4"/>
  </r>
  <r>
    <s v="SW-105215"/>
    <d v="2025-12-15T00:00:00"/>
    <x v="1"/>
    <s v="Q4"/>
    <x v="11"/>
    <x v="0"/>
    <x v="3"/>
    <x v="0"/>
    <x v="2"/>
    <s v="Desk Lamp"/>
    <n v="1"/>
    <n v="117.63"/>
    <n v="0.1"/>
    <x v="0"/>
    <n v="105.87"/>
    <n v="75.94"/>
    <n v="29.93"/>
    <n v="1"/>
    <n v="0"/>
    <n v="6"/>
    <n v="4"/>
  </r>
  <r>
    <s v="SW-105216"/>
    <d v="2025-12-16T00:00:00"/>
    <x v="1"/>
    <s v="Q4"/>
    <x v="11"/>
    <x v="1"/>
    <x v="1"/>
    <x v="1"/>
    <x v="0"/>
    <s v="Running Sneakers"/>
    <n v="1"/>
    <n v="94.85"/>
    <n v="0.2"/>
    <x v="1"/>
    <n v="75.88"/>
    <n v="49.99"/>
    <n v="25.89"/>
    <n v="1"/>
    <n v="1"/>
    <n v="6"/>
    <n v="2"/>
  </r>
  <r>
    <s v="SW-105217"/>
    <d v="2025-12-16T00:00:00"/>
    <x v="1"/>
    <s v="Q4"/>
    <x v="11"/>
    <x v="0"/>
    <x v="0"/>
    <x v="0"/>
    <x v="5"/>
    <s v="Board Game"/>
    <n v="1"/>
    <n v="57.92"/>
    <n v="0"/>
    <x v="2"/>
    <n v="57.92"/>
    <n v="39.31"/>
    <n v="18.61"/>
    <n v="1"/>
    <n v="0"/>
    <n v="6"/>
    <n v="4"/>
  </r>
  <r>
    <s v="SW-105218"/>
    <d v="2025-12-16T00:00:00"/>
    <x v="1"/>
    <s v="Q4"/>
    <x v="11"/>
    <x v="1"/>
    <x v="0"/>
    <x v="1"/>
    <x v="5"/>
    <s v="Board Game"/>
    <n v="2"/>
    <n v="57.92"/>
    <n v="0.2"/>
    <x v="1"/>
    <n v="92.67"/>
    <n v="81.67"/>
    <n v="11"/>
    <n v="1"/>
    <n v="0"/>
    <n v="4"/>
    <n v="5"/>
  </r>
  <r>
    <s v="SW-105219"/>
    <d v="2025-12-16T00:00:00"/>
    <x v="1"/>
    <s v="Q4"/>
    <x v="11"/>
    <x v="1"/>
    <x v="0"/>
    <x v="0"/>
    <x v="0"/>
    <s v="Sunglasses"/>
    <n v="1"/>
    <n v="104.94"/>
    <n v="0.25"/>
    <x v="3"/>
    <n v="78.7"/>
    <n v="57.99"/>
    <n v="20.71"/>
    <n v="1"/>
    <n v="0"/>
    <n v="5"/>
    <n v="5"/>
  </r>
  <r>
    <s v="SW-105220"/>
    <d v="2025-12-16T00:00:00"/>
    <x v="1"/>
    <s v="Q4"/>
    <x v="11"/>
    <x v="0"/>
    <x v="2"/>
    <x v="1"/>
    <x v="0"/>
    <s v="Leather Handbag"/>
    <n v="2"/>
    <n v="138.5"/>
    <n v="0.1"/>
    <x v="0"/>
    <n v="249.3"/>
    <n v="149.04"/>
    <n v="100.26"/>
    <n v="1"/>
    <n v="1"/>
    <n v="5"/>
    <n v="3"/>
  </r>
  <r>
    <s v="SW-105221"/>
    <d v="2025-12-16T00:00:00"/>
    <x v="1"/>
    <s v="Q4"/>
    <x v="11"/>
    <x v="2"/>
    <x v="0"/>
    <x v="1"/>
    <x v="0"/>
    <s v="Leather Handbag"/>
    <n v="1"/>
    <n v="138.5"/>
    <n v="0.05"/>
    <x v="0"/>
    <n v="131.57"/>
    <n v="74.09"/>
    <n v="57.48"/>
    <n v="1"/>
    <n v="1"/>
    <n v="4"/>
    <n v="4"/>
  </r>
  <r>
    <s v="SW-105222"/>
    <d v="2025-12-16T00:00:00"/>
    <x v="1"/>
    <s v="Q4"/>
    <x v="11"/>
    <x v="1"/>
    <x v="2"/>
    <x v="1"/>
    <x v="4"/>
    <s v="4K Action Camera"/>
    <n v="3"/>
    <n v="636.09"/>
    <n v="0.3"/>
    <x v="3"/>
    <n v="1335.79"/>
    <n v="1574.93"/>
    <n v="-239.14"/>
    <n v="1"/>
    <n v="0"/>
    <n v="5"/>
    <n v="4"/>
  </r>
  <r>
    <s v="SW-105223"/>
    <d v="2025-12-16T00:00:00"/>
    <x v="1"/>
    <s v="Q4"/>
    <x v="11"/>
    <x v="1"/>
    <x v="4"/>
    <x v="1"/>
    <x v="5"/>
    <s v="Board Game"/>
    <n v="2"/>
    <n v="57.92"/>
    <n v="0.25"/>
    <x v="3"/>
    <n v="86.88"/>
    <n v="83.35"/>
    <n v="3.53"/>
    <n v="1"/>
    <n v="0"/>
    <n v="7"/>
    <n v="3"/>
  </r>
  <r>
    <s v="SW-105224"/>
    <d v="2025-12-16T00:00:00"/>
    <x v="1"/>
    <s v="Q4"/>
    <x v="11"/>
    <x v="0"/>
    <x v="3"/>
    <x v="1"/>
    <x v="5"/>
    <s v="Board Game"/>
    <n v="1"/>
    <n v="57.92"/>
    <n v="0"/>
    <x v="2"/>
    <n v="57.92"/>
    <n v="40.78"/>
    <n v="17.14"/>
    <n v="1"/>
    <n v="0"/>
    <n v="3"/>
    <n v="4"/>
  </r>
  <r>
    <s v="SW-105225"/>
    <d v="2025-12-16T00:00:00"/>
    <x v="1"/>
    <s v="Q4"/>
    <x v="11"/>
    <x v="1"/>
    <x v="0"/>
    <x v="0"/>
    <x v="0"/>
    <s v="Summer Dress"/>
    <n v="1"/>
    <n v="33.99"/>
    <n v="0"/>
    <x v="2"/>
    <n v="33.99"/>
    <n v="18.079999999999998"/>
    <n v="15.91"/>
    <n v="1"/>
    <n v="0"/>
    <n v="4"/>
    <n v="5"/>
  </r>
  <r>
    <s v="SW-105226"/>
    <d v="2025-12-16T00:00:00"/>
    <x v="1"/>
    <s v="Q4"/>
    <x v="11"/>
    <x v="1"/>
    <x v="2"/>
    <x v="0"/>
    <x v="1"/>
    <s v="Face Serum"/>
    <n v="3"/>
    <n v="33.479999999999997"/>
    <n v="0.25"/>
    <x v="3"/>
    <n v="75.33"/>
    <n v="47.77"/>
    <n v="27.56"/>
    <n v="1"/>
    <n v="0"/>
    <n v="4"/>
    <n v="4"/>
  </r>
  <r>
    <s v="SW-105227"/>
    <d v="2025-12-16T00:00:00"/>
    <x v="1"/>
    <s v="Q4"/>
    <x v="11"/>
    <x v="0"/>
    <x v="3"/>
    <x v="0"/>
    <x v="0"/>
    <s v="Leather Handbag"/>
    <n v="1"/>
    <n v="138.5"/>
    <n v="0.25"/>
    <x v="3"/>
    <n v="103.88"/>
    <n v="72.25"/>
    <n v="31.63"/>
    <n v="1"/>
    <n v="0"/>
    <n v="4"/>
    <n v="5"/>
  </r>
  <r>
    <s v="SW-105228"/>
    <d v="2025-12-16T00:00:00"/>
    <x v="1"/>
    <s v="Q4"/>
    <x v="11"/>
    <x v="2"/>
    <x v="3"/>
    <x v="1"/>
    <x v="0"/>
    <s v="Summer Dress"/>
    <n v="1"/>
    <n v="33.99"/>
    <n v="0.05"/>
    <x v="0"/>
    <n v="32.29"/>
    <n v="18.38"/>
    <n v="13.91"/>
    <n v="1"/>
    <n v="0"/>
    <n v="4"/>
    <n v="4"/>
  </r>
  <r>
    <s v="SW-105229"/>
    <d v="2025-12-17T00:00:00"/>
    <x v="1"/>
    <s v="Q4"/>
    <x v="11"/>
    <x v="1"/>
    <x v="1"/>
    <x v="0"/>
    <x v="4"/>
    <s v="Tablet 10in"/>
    <n v="1"/>
    <n v="490.3"/>
    <n v="0.25"/>
    <x v="3"/>
    <n v="367.72"/>
    <n v="387.76"/>
    <n v="-20.04"/>
    <n v="1"/>
    <n v="1"/>
    <n v="6"/>
    <n v="3"/>
  </r>
  <r>
    <s v="SW-105230"/>
    <d v="2025-12-17T00:00:00"/>
    <x v="1"/>
    <s v="Q4"/>
    <x v="11"/>
    <x v="1"/>
    <x v="0"/>
    <x v="0"/>
    <x v="2"/>
    <s v="Cookware Set"/>
    <n v="1"/>
    <n v="233.81"/>
    <n v="0.3"/>
    <x v="3"/>
    <n v="163.66999999999999"/>
    <n v="163.69"/>
    <n v="-0.02"/>
    <n v="1"/>
    <n v="0"/>
    <n v="5"/>
    <n v="4"/>
  </r>
  <r>
    <s v="SW-105231"/>
    <d v="2025-12-17T00:00:00"/>
    <x v="1"/>
    <s v="Q4"/>
    <x v="11"/>
    <x v="1"/>
    <x v="2"/>
    <x v="0"/>
    <x v="3"/>
    <s v="Cycling Helmet"/>
    <n v="1"/>
    <n v="85.42"/>
    <n v="0.05"/>
    <x v="0"/>
    <n v="81.150000000000006"/>
    <n v="57.58"/>
    <n v="23.57"/>
    <n v="1"/>
    <n v="0"/>
    <n v="6"/>
    <n v="4"/>
  </r>
  <r>
    <s v="SW-105232"/>
    <d v="2025-12-17T00:00:00"/>
    <x v="1"/>
    <s v="Q4"/>
    <x v="11"/>
    <x v="2"/>
    <x v="3"/>
    <x v="0"/>
    <x v="5"/>
    <s v="Board Game"/>
    <n v="2"/>
    <n v="57.92"/>
    <n v="0.2"/>
    <x v="1"/>
    <n v="92.67"/>
    <n v="85.13"/>
    <n v="7.54"/>
    <n v="1"/>
    <n v="0"/>
    <n v="6"/>
    <n v="4"/>
  </r>
  <r>
    <s v="SW-105233"/>
    <d v="2025-12-17T00:00:00"/>
    <x v="1"/>
    <s v="Q4"/>
    <x v="11"/>
    <x v="1"/>
    <x v="2"/>
    <x v="0"/>
    <x v="1"/>
    <s v="Face Serum"/>
    <n v="1"/>
    <n v="33.479999999999997"/>
    <n v="0.1"/>
    <x v="0"/>
    <n v="30.13"/>
    <n v="15.7"/>
    <n v="14.43"/>
    <n v="1"/>
    <n v="0"/>
    <n v="4"/>
    <n v="4"/>
  </r>
  <r>
    <s v="SW-105234"/>
    <d v="2025-12-17T00:00:00"/>
    <x v="1"/>
    <s v="Q4"/>
    <x v="11"/>
    <x v="1"/>
    <x v="2"/>
    <x v="1"/>
    <x v="4"/>
    <s v="4K Action Camera"/>
    <n v="2"/>
    <n v="636.09"/>
    <n v="0.25"/>
    <x v="3"/>
    <n v="954.14"/>
    <n v="1037.8599999999999"/>
    <n v="-83.72"/>
    <n v="1"/>
    <n v="0"/>
    <n v="4"/>
    <n v="4"/>
  </r>
  <r>
    <s v="SW-105235"/>
    <d v="2025-12-17T00:00:00"/>
    <x v="1"/>
    <s v="Q4"/>
    <x v="11"/>
    <x v="0"/>
    <x v="0"/>
    <x v="0"/>
    <x v="4"/>
    <s v="Smart Watch"/>
    <n v="2"/>
    <n v="216.08"/>
    <n v="0.2"/>
    <x v="1"/>
    <n v="345.73"/>
    <n v="335.96"/>
    <n v="9.77"/>
    <n v="1"/>
    <n v="0"/>
    <n v="5"/>
    <n v="4"/>
  </r>
  <r>
    <s v="SW-105236"/>
    <d v="2025-12-17T00:00:00"/>
    <x v="1"/>
    <s v="Q4"/>
    <x v="11"/>
    <x v="1"/>
    <x v="1"/>
    <x v="1"/>
    <x v="0"/>
    <s v="Running Sneakers"/>
    <n v="3"/>
    <n v="94.85"/>
    <n v="0.05"/>
    <x v="0"/>
    <n v="270.32"/>
    <n v="149.28"/>
    <n v="121.04"/>
    <n v="1"/>
    <n v="0"/>
    <n v="7"/>
    <n v="3"/>
  </r>
  <r>
    <s v="SW-105237"/>
    <d v="2025-12-17T00:00:00"/>
    <x v="1"/>
    <s v="Q4"/>
    <x v="11"/>
    <x v="2"/>
    <x v="4"/>
    <x v="1"/>
    <x v="0"/>
    <s v="Summer Dress"/>
    <n v="1"/>
    <n v="33.99"/>
    <n v="0.25"/>
    <x v="3"/>
    <n v="25.49"/>
    <n v="18.68"/>
    <n v="6.81"/>
    <n v="1"/>
    <n v="0"/>
    <n v="7"/>
    <n v="3"/>
  </r>
  <r>
    <s v="SW-105238"/>
    <d v="2025-12-17T00:00:00"/>
    <x v="1"/>
    <s v="Q4"/>
    <x v="11"/>
    <x v="2"/>
    <x v="2"/>
    <x v="0"/>
    <x v="1"/>
    <s v="Perfume 100ml"/>
    <n v="4"/>
    <n v="54.56"/>
    <n v="0.25"/>
    <x v="3"/>
    <n v="163.68"/>
    <n v="109.91"/>
    <n v="53.77"/>
    <n v="1"/>
    <n v="0"/>
    <n v="5"/>
    <n v="4"/>
  </r>
  <r>
    <s v="SW-105239"/>
    <d v="2025-12-17T00:00:00"/>
    <x v="1"/>
    <s v="Q4"/>
    <x v="11"/>
    <x v="2"/>
    <x v="3"/>
    <x v="0"/>
    <x v="4"/>
    <s v="Tablet 10in"/>
    <n v="1"/>
    <n v="490.3"/>
    <n v="0.3"/>
    <x v="3"/>
    <n v="343.21"/>
    <n v="384.79"/>
    <n v="-41.58"/>
    <n v="1"/>
    <n v="0"/>
    <n v="3"/>
    <n v="4"/>
  </r>
  <r>
    <s v="SW-105240"/>
    <d v="2025-12-18T00:00:00"/>
    <x v="1"/>
    <s v="Q4"/>
    <x v="11"/>
    <x v="1"/>
    <x v="4"/>
    <x v="1"/>
    <x v="0"/>
    <s v="Running Sneakers"/>
    <n v="1"/>
    <n v="94.85"/>
    <n v="0.2"/>
    <x v="1"/>
    <n v="75.88"/>
    <n v="49.76"/>
    <n v="26.12"/>
    <n v="1"/>
    <n v="0"/>
    <n v="6"/>
    <n v="3"/>
  </r>
  <r>
    <s v="SW-105241"/>
    <d v="2025-12-18T00:00:00"/>
    <x v="1"/>
    <s v="Q4"/>
    <x v="11"/>
    <x v="0"/>
    <x v="3"/>
    <x v="1"/>
    <x v="2"/>
    <s v="Cookware Set"/>
    <n v="3"/>
    <n v="233.81"/>
    <n v="0.25"/>
    <x v="3"/>
    <n v="526.07000000000005"/>
    <n v="488.1"/>
    <n v="37.97"/>
    <n v="1"/>
    <n v="0"/>
    <n v="5"/>
    <n v="5"/>
  </r>
  <r>
    <s v="SW-105242"/>
    <d v="2025-12-18T00:00:00"/>
    <x v="1"/>
    <s v="Q4"/>
    <x v="11"/>
    <x v="0"/>
    <x v="2"/>
    <x v="1"/>
    <x v="0"/>
    <s v="Leather Handbag"/>
    <n v="2"/>
    <n v="138.5"/>
    <n v="0.15"/>
    <x v="1"/>
    <n v="235.45"/>
    <n v="150.69999999999999"/>
    <n v="84.75"/>
    <n v="1"/>
    <n v="0"/>
    <n v="6"/>
    <n v="3"/>
  </r>
  <r>
    <s v="SW-105243"/>
    <d v="2025-12-18T00:00:00"/>
    <x v="1"/>
    <s v="Q4"/>
    <x v="11"/>
    <x v="1"/>
    <x v="3"/>
    <x v="0"/>
    <x v="1"/>
    <s v="Makeup Kit"/>
    <n v="1"/>
    <n v="74.3"/>
    <n v="0.05"/>
    <x v="0"/>
    <n v="70.58"/>
    <n v="35.450000000000003"/>
    <n v="35.130000000000003"/>
    <n v="1"/>
    <n v="0"/>
    <n v="4"/>
    <n v="4"/>
  </r>
  <r>
    <s v="SW-105244"/>
    <d v="2025-12-18T00:00:00"/>
    <x v="1"/>
    <s v="Q4"/>
    <x v="11"/>
    <x v="1"/>
    <x v="2"/>
    <x v="1"/>
    <x v="2"/>
    <s v="Cookware Set"/>
    <n v="4"/>
    <n v="233.81"/>
    <n v="0"/>
    <x v="2"/>
    <n v="935.24"/>
    <n v="638.03"/>
    <n v="297.20999999999998"/>
    <n v="1"/>
    <n v="0"/>
    <n v="4"/>
    <n v="4"/>
  </r>
  <r>
    <s v="SW-105245"/>
    <d v="2025-12-18T00:00:00"/>
    <x v="1"/>
    <s v="Q4"/>
    <x v="11"/>
    <x v="0"/>
    <x v="2"/>
    <x v="0"/>
    <x v="0"/>
    <s v="Summer Dress"/>
    <n v="3"/>
    <n v="33.99"/>
    <n v="0.3"/>
    <x v="3"/>
    <n v="71.38"/>
    <n v="55.76"/>
    <n v="15.62"/>
    <n v="1"/>
    <n v="0"/>
    <n v="7"/>
    <n v="4"/>
  </r>
  <r>
    <s v="SW-105246"/>
    <d v="2025-12-18T00:00:00"/>
    <x v="1"/>
    <s v="Q4"/>
    <x v="11"/>
    <x v="0"/>
    <x v="2"/>
    <x v="1"/>
    <x v="1"/>
    <s v="Perfume 100ml"/>
    <n v="1"/>
    <n v="54.56"/>
    <n v="0.05"/>
    <x v="0"/>
    <n v="51.83"/>
    <n v="27.67"/>
    <n v="24.16"/>
    <n v="1"/>
    <n v="0"/>
    <n v="4"/>
    <n v="4"/>
  </r>
  <r>
    <s v="SW-105247"/>
    <d v="2025-12-18T00:00:00"/>
    <x v="1"/>
    <s v="Q4"/>
    <x v="11"/>
    <x v="2"/>
    <x v="1"/>
    <x v="1"/>
    <x v="2"/>
    <s v="Storage Boxes"/>
    <n v="3"/>
    <n v="154.66"/>
    <n v="0.2"/>
    <x v="1"/>
    <n v="371.18"/>
    <n v="303.48"/>
    <n v="67.7"/>
    <n v="1"/>
    <n v="0"/>
    <n v="6"/>
    <n v="3"/>
  </r>
  <r>
    <s v="SW-105248"/>
    <d v="2025-12-18T00:00:00"/>
    <x v="1"/>
    <s v="Q4"/>
    <x v="11"/>
    <x v="2"/>
    <x v="2"/>
    <x v="0"/>
    <x v="3"/>
    <s v="Camping Tent"/>
    <n v="1"/>
    <n v="83.06"/>
    <n v="0.2"/>
    <x v="1"/>
    <n v="66.45"/>
    <n v="53.9"/>
    <n v="12.55"/>
    <n v="1"/>
    <n v="0"/>
    <n v="5"/>
    <n v="5"/>
  </r>
  <r>
    <s v="SW-105249"/>
    <d v="2025-12-18T00:00:00"/>
    <x v="1"/>
    <s v="Q4"/>
    <x v="11"/>
    <x v="0"/>
    <x v="2"/>
    <x v="0"/>
    <x v="0"/>
    <s v="Summer Dress"/>
    <n v="3"/>
    <n v="33.99"/>
    <n v="0.2"/>
    <x v="1"/>
    <n v="81.58"/>
    <n v="55.04"/>
    <n v="26.54"/>
    <n v="1"/>
    <n v="0"/>
    <n v="5"/>
    <n v="4"/>
  </r>
  <r>
    <s v="SW-105250"/>
    <d v="2025-12-18T00:00:00"/>
    <x v="1"/>
    <s v="Q4"/>
    <x v="11"/>
    <x v="1"/>
    <x v="4"/>
    <x v="1"/>
    <x v="1"/>
    <s v="Skin Care Bundle"/>
    <n v="1"/>
    <n v="92.54"/>
    <n v="0.05"/>
    <x v="0"/>
    <n v="87.91"/>
    <n v="43.44"/>
    <n v="44.47"/>
    <n v="1"/>
    <n v="0"/>
    <n v="6"/>
    <n v="3"/>
  </r>
  <r>
    <s v="SW-105251"/>
    <d v="2025-12-19T00:00:00"/>
    <x v="1"/>
    <s v="Q4"/>
    <x v="11"/>
    <x v="1"/>
    <x v="1"/>
    <x v="0"/>
    <x v="3"/>
    <s v="Fitness Tracker"/>
    <n v="4"/>
    <n v="74.459999999999994"/>
    <n v="0.15"/>
    <x v="1"/>
    <n v="253.16"/>
    <n v="209.81"/>
    <n v="43.35"/>
    <n v="1"/>
    <n v="0"/>
    <n v="7"/>
    <n v="4"/>
  </r>
  <r>
    <s v="SW-105252"/>
    <d v="2025-12-19T00:00:00"/>
    <x v="1"/>
    <s v="Q4"/>
    <x v="11"/>
    <x v="1"/>
    <x v="3"/>
    <x v="1"/>
    <x v="0"/>
    <s v="Denim Jacket"/>
    <n v="1"/>
    <n v="78.510000000000005"/>
    <n v="0.2"/>
    <x v="1"/>
    <n v="62.81"/>
    <n v="42.75"/>
    <n v="20.059999999999999"/>
    <n v="1"/>
    <n v="0"/>
    <n v="3"/>
    <n v="4"/>
  </r>
  <r>
    <s v="SW-105253"/>
    <d v="2025-12-19T00:00:00"/>
    <x v="1"/>
    <s v="Q4"/>
    <x v="11"/>
    <x v="2"/>
    <x v="2"/>
    <x v="0"/>
    <x v="3"/>
    <s v="Camping Tent"/>
    <n v="1"/>
    <n v="83.06"/>
    <n v="0.2"/>
    <x v="1"/>
    <n v="66.45"/>
    <n v="55.54"/>
    <n v="10.91"/>
    <n v="1"/>
    <n v="0"/>
    <n v="5"/>
    <n v="4"/>
  </r>
  <r>
    <s v="SW-105254"/>
    <d v="2025-12-19T00:00:00"/>
    <x v="1"/>
    <s v="Q4"/>
    <x v="11"/>
    <x v="2"/>
    <x v="3"/>
    <x v="0"/>
    <x v="4"/>
    <s v="Smart Watch"/>
    <n v="1"/>
    <n v="216.08"/>
    <n v="0.15"/>
    <x v="1"/>
    <n v="183.67"/>
    <n v="165.83"/>
    <n v="17.84"/>
    <n v="1"/>
    <n v="0"/>
    <n v="3"/>
    <n v="5"/>
  </r>
  <r>
    <s v="SW-105255"/>
    <d v="2025-12-19T00:00:00"/>
    <x v="1"/>
    <s v="Q4"/>
    <x v="11"/>
    <x v="0"/>
    <x v="2"/>
    <x v="1"/>
    <x v="3"/>
    <s v="Cycling Helmet"/>
    <n v="2"/>
    <n v="85.42"/>
    <n v="0.25"/>
    <x v="3"/>
    <n v="128.13"/>
    <n v="110.92"/>
    <n v="17.21"/>
    <n v="1"/>
    <n v="1"/>
    <n v="4"/>
    <n v="3"/>
  </r>
  <r>
    <s v="SW-105256"/>
    <d v="2025-12-19T00:00:00"/>
    <x v="1"/>
    <s v="Q4"/>
    <x v="11"/>
    <x v="1"/>
    <x v="0"/>
    <x v="1"/>
    <x v="1"/>
    <s v="Face Serum"/>
    <n v="1"/>
    <n v="33.479999999999997"/>
    <n v="0.05"/>
    <x v="0"/>
    <n v="31.81"/>
    <n v="16.559999999999999"/>
    <n v="15.25"/>
    <n v="1"/>
    <n v="0"/>
    <n v="5"/>
    <n v="5"/>
  </r>
  <r>
    <s v="SW-105257"/>
    <d v="2025-12-19T00:00:00"/>
    <x v="1"/>
    <s v="Q4"/>
    <x v="11"/>
    <x v="1"/>
    <x v="2"/>
    <x v="1"/>
    <x v="4"/>
    <s v="4K Action Camera"/>
    <n v="1"/>
    <n v="636.09"/>
    <n v="0.15"/>
    <x v="1"/>
    <n v="540.67999999999995"/>
    <n v="520.84"/>
    <n v="19.84"/>
    <n v="1"/>
    <n v="0"/>
    <n v="4"/>
    <n v="4"/>
  </r>
  <r>
    <s v="SW-105258"/>
    <d v="2025-12-19T00:00:00"/>
    <x v="1"/>
    <s v="Q4"/>
    <x v="11"/>
    <x v="0"/>
    <x v="3"/>
    <x v="0"/>
    <x v="0"/>
    <s v="Sunglasses"/>
    <n v="1"/>
    <n v="104.94"/>
    <n v="0.2"/>
    <x v="1"/>
    <n v="83.95"/>
    <n v="57.6"/>
    <n v="26.35"/>
    <n v="1"/>
    <n v="0"/>
    <n v="5"/>
    <n v="5"/>
  </r>
  <r>
    <s v="SW-105259"/>
    <d v="2025-12-19T00:00:00"/>
    <x v="1"/>
    <s v="Q4"/>
    <x v="11"/>
    <x v="0"/>
    <x v="1"/>
    <x v="1"/>
    <x v="4"/>
    <s v="Tablet 10in"/>
    <n v="1"/>
    <n v="490.3"/>
    <n v="0.05"/>
    <x v="0"/>
    <n v="465.78"/>
    <n v="386.89"/>
    <n v="78.89"/>
    <n v="1"/>
    <n v="0"/>
    <n v="7"/>
    <n v="2"/>
  </r>
  <r>
    <s v="SW-105260"/>
    <d v="2025-12-19T00:00:00"/>
    <x v="1"/>
    <s v="Q4"/>
    <x v="11"/>
    <x v="1"/>
    <x v="4"/>
    <x v="1"/>
    <x v="2"/>
    <s v="Cookware Set"/>
    <n v="3"/>
    <n v="233.81"/>
    <n v="0.05"/>
    <x v="0"/>
    <n v="666.36"/>
    <n v="472.72"/>
    <n v="193.64"/>
    <n v="1"/>
    <n v="0"/>
    <n v="6"/>
    <n v="3"/>
  </r>
  <r>
    <s v="SW-105261"/>
    <d v="2025-12-20T00:00:00"/>
    <x v="1"/>
    <s v="Q4"/>
    <x v="11"/>
    <x v="0"/>
    <x v="2"/>
    <x v="1"/>
    <x v="4"/>
    <s v="Wireless Earbuds"/>
    <n v="1"/>
    <n v="588.41"/>
    <n v="0.15"/>
    <x v="1"/>
    <n v="500.15"/>
    <n v="475.87"/>
    <n v="24.28"/>
    <n v="1"/>
    <n v="0"/>
    <n v="4"/>
    <n v="4"/>
  </r>
  <r>
    <s v="SW-105262"/>
    <d v="2025-12-20T00:00:00"/>
    <x v="1"/>
    <s v="Q4"/>
    <x v="11"/>
    <x v="1"/>
    <x v="2"/>
    <x v="1"/>
    <x v="2"/>
    <s v="Cookware Set"/>
    <n v="1"/>
    <n v="233.81"/>
    <n v="0.2"/>
    <x v="1"/>
    <n v="187.05"/>
    <n v="149.55000000000001"/>
    <n v="37.5"/>
    <n v="1"/>
    <n v="0"/>
    <n v="4"/>
    <n v="5"/>
  </r>
  <r>
    <s v="SW-105263"/>
    <d v="2025-12-20T00:00:00"/>
    <x v="1"/>
    <s v="Q4"/>
    <x v="11"/>
    <x v="1"/>
    <x v="0"/>
    <x v="1"/>
    <x v="0"/>
    <s v="Cotton T-Shirt"/>
    <n v="1"/>
    <n v="19.41"/>
    <n v="0.25"/>
    <x v="3"/>
    <n v="14.56"/>
    <n v="10.52"/>
    <n v="4.04"/>
    <n v="1"/>
    <n v="0"/>
    <n v="6"/>
    <n v="4"/>
  </r>
  <r>
    <s v="SW-105264"/>
    <d v="2025-12-20T00:00:00"/>
    <x v="1"/>
    <s v="Q4"/>
    <x v="11"/>
    <x v="1"/>
    <x v="3"/>
    <x v="1"/>
    <x v="1"/>
    <s v="Skin Care Bundle"/>
    <n v="3"/>
    <n v="92.54"/>
    <n v="0.25"/>
    <x v="3"/>
    <n v="208.22"/>
    <n v="130.91999999999999"/>
    <n v="77.3"/>
    <n v="1"/>
    <n v="0"/>
    <n v="3"/>
    <n v="5"/>
  </r>
  <r>
    <s v="SW-105265"/>
    <d v="2025-12-20T00:00:00"/>
    <x v="1"/>
    <s v="Q4"/>
    <x v="11"/>
    <x v="1"/>
    <x v="0"/>
    <x v="0"/>
    <x v="5"/>
    <s v="Building Blocks"/>
    <n v="4"/>
    <n v="48.86"/>
    <n v="0"/>
    <x v="2"/>
    <n v="195.44"/>
    <n v="134.13999999999999"/>
    <n v="61.3"/>
    <n v="1"/>
    <n v="0"/>
    <n v="4"/>
    <n v="5"/>
  </r>
  <r>
    <s v="SW-105266"/>
    <d v="2025-12-20T00:00:00"/>
    <x v="1"/>
    <s v="Q4"/>
    <x v="11"/>
    <x v="1"/>
    <x v="0"/>
    <x v="0"/>
    <x v="4"/>
    <s v="Power Bank"/>
    <n v="1"/>
    <n v="508.8"/>
    <n v="0.3"/>
    <x v="3"/>
    <n v="356.16"/>
    <n v="420.88"/>
    <n v="-64.72"/>
    <n v="1"/>
    <n v="0"/>
    <n v="4"/>
    <n v="5"/>
  </r>
  <r>
    <s v="SW-105267"/>
    <d v="2025-12-20T00:00:00"/>
    <x v="1"/>
    <s v="Q4"/>
    <x v="11"/>
    <x v="1"/>
    <x v="3"/>
    <x v="1"/>
    <x v="4"/>
    <s v="4K Action Camera"/>
    <n v="1"/>
    <n v="636.09"/>
    <n v="0"/>
    <x v="2"/>
    <n v="636.09"/>
    <n v="519.55999999999995"/>
    <n v="116.53"/>
    <n v="1"/>
    <n v="0"/>
    <n v="4"/>
    <n v="4"/>
  </r>
  <r>
    <s v="SW-105268"/>
    <d v="2025-12-20T00:00:00"/>
    <x v="1"/>
    <s v="Q4"/>
    <x v="11"/>
    <x v="1"/>
    <x v="0"/>
    <x v="1"/>
    <x v="5"/>
    <s v="Bestseller Novel"/>
    <n v="1"/>
    <n v="45.28"/>
    <n v="0.1"/>
    <x v="0"/>
    <n v="40.75"/>
    <n v="32.33"/>
    <n v="8.42"/>
    <n v="1"/>
    <n v="0"/>
    <n v="6"/>
    <n v="3"/>
  </r>
  <r>
    <s v="SW-105269"/>
    <d v="2025-12-20T00:00:00"/>
    <x v="1"/>
    <s v="Q4"/>
    <x v="11"/>
    <x v="2"/>
    <x v="2"/>
    <x v="1"/>
    <x v="5"/>
    <s v="Building Blocks"/>
    <n v="1"/>
    <n v="48.86"/>
    <n v="0.25"/>
    <x v="3"/>
    <n v="36.64"/>
    <n v="35.79"/>
    <n v="0.85"/>
    <n v="1"/>
    <n v="0"/>
    <n v="6"/>
    <n v="3"/>
  </r>
  <r>
    <s v="SW-105270"/>
    <d v="2025-12-20T00:00:00"/>
    <x v="1"/>
    <s v="Q4"/>
    <x v="11"/>
    <x v="1"/>
    <x v="2"/>
    <x v="1"/>
    <x v="0"/>
    <s v="Running Sneakers"/>
    <n v="1"/>
    <n v="94.85"/>
    <n v="0.25"/>
    <x v="3"/>
    <n v="71.14"/>
    <n v="52.33"/>
    <n v="18.809999999999999"/>
    <n v="1"/>
    <n v="1"/>
    <n v="7"/>
    <n v="2"/>
  </r>
  <r>
    <s v="SW-105271"/>
    <d v="2025-12-20T00:00:00"/>
    <x v="1"/>
    <s v="Q4"/>
    <x v="11"/>
    <x v="2"/>
    <x v="3"/>
    <x v="1"/>
    <x v="4"/>
    <s v="Smart Watch"/>
    <n v="1"/>
    <n v="216.08"/>
    <n v="0.2"/>
    <x v="1"/>
    <n v="172.86"/>
    <n v="173.71"/>
    <n v="-0.85"/>
    <n v="1"/>
    <n v="0"/>
    <n v="3"/>
    <n v="4"/>
  </r>
  <r>
    <s v="SW-105272"/>
    <d v="2025-12-20T00:00:00"/>
    <x v="1"/>
    <s v="Q4"/>
    <x v="11"/>
    <x v="2"/>
    <x v="3"/>
    <x v="0"/>
    <x v="1"/>
    <s v="Perfume 100ml"/>
    <n v="1"/>
    <n v="54.56"/>
    <n v="0.2"/>
    <x v="1"/>
    <n v="43.65"/>
    <n v="26.11"/>
    <n v="17.54"/>
    <n v="1"/>
    <n v="0"/>
    <n v="4"/>
    <n v="4"/>
  </r>
  <r>
    <s v="SW-105273"/>
    <d v="2025-12-20T00:00:00"/>
    <x v="1"/>
    <s v="Q4"/>
    <x v="11"/>
    <x v="2"/>
    <x v="0"/>
    <x v="1"/>
    <x v="2"/>
    <s v="Desk Lamp"/>
    <n v="2"/>
    <n v="117.63"/>
    <n v="0.2"/>
    <x v="1"/>
    <n v="188.21"/>
    <n v="145.66"/>
    <n v="42.55"/>
    <n v="1"/>
    <n v="0"/>
    <n v="4"/>
    <n v="4"/>
  </r>
  <r>
    <s v="SW-105274"/>
    <d v="2025-12-21T00:00:00"/>
    <x v="1"/>
    <s v="Q4"/>
    <x v="11"/>
    <x v="0"/>
    <x v="3"/>
    <x v="0"/>
    <x v="0"/>
    <s v="Cotton T-Shirt"/>
    <n v="1"/>
    <n v="19.41"/>
    <n v="0.25"/>
    <x v="3"/>
    <n v="14.56"/>
    <n v="10.56"/>
    <n v="4"/>
    <n v="1"/>
    <n v="0"/>
    <n v="5"/>
    <n v="3"/>
  </r>
  <r>
    <s v="SW-105275"/>
    <d v="2025-12-21T00:00:00"/>
    <x v="1"/>
    <s v="Q4"/>
    <x v="11"/>
    <x v="1"/>
    <x v="1"/>
    <x v="1"/>
    <x v="0"/>
    <s v="Cotton T-Shirt"/>
    <n v="1"/>
    <n v="19.41"/>
    <n v="0.15"/>
    <x v="1"/>
    <n v="16.5"/>
    <n v="10.43"/>
    <n v="6.07"/>
    <n v="1"/>
    <n v="0"/>
    <n v="10"/>
    <n v="4"/>
  </r>
  <r>
    <s v="SW-105276"/>
    <d v="2025-12-21T00:00:00"/>
    <x v="1"/>
    <s v="Q4"/>
    <x v="11"/>
    <x v="1"/>
    <x v="3"/>
    <x v="1"/>
    <x v="0"/>
    <s v="Sunglasses"/>
    <n v="1"/>
    <n v="104.94"/>
    <n v="0.15"/>
    <x v="1"/>
    <n v="89.2"/>
    <n v="56.83"/>
    <n v="32.369999999999997"/>
    <n v="1"/>
    <n v="0"/>
    <n v="5"/>
    <n v="4"/>
  </r>
  <r>
    <s v="SW-105277"/>
    <d v="2025-12-21T00:00:00"/>
    <x v="1"/>
    <s v="Q4"/>
    <x v="11"/>
    <x v="2"/>
    <x v="3"/>
    <x v="0"/>
    <x v="0"/>
    <s v="Leather Handbag"/>
    <n v="2"/>
    <n v="138.5"/>
    <n v="0"/>
    <x v="2"/>
    <n v="277"/>
    <n v="158.29"/>
    <n v="118.71"/>
    <n v="1"/>
    <n v="0"/>
    <n v="3"/>
    <n v="5"/>
  </r>
  <r>
    <s v="SW-105278"/>
    <d v="2025-12-21T00:00:00"/>
    <x v="1"/>
    <s v="Q4"/>
    <x v="11"/>
    <x v="2"/>
    <x v="0"/>
    <x v="1"/>
    <x v="2"/>
    <s v="Cookware Set"/>
    <n v="1"/>
    <n v="233.81"/>
    <n v="0.25"/>
    <x v="3"/>
    <n v="175.36"/>
    <n v="160.21"/>
    <n v="15.15"/>
    <n v="1"/>
    <n v="0"/>
    <n v="6"/>
    <n v="4"/>
  </r>
  <r>
    <s v="SW-105279"/>
    <d v="2025-12-21T00:00:00"/>
    <x v="1"/>
    <s v="Q4"/>
    <x v="11"/>
    <x v="0"/>
    <x v="2"/>
    <x v="0"/>
    <x v="2"/>
    <s v="Coffee Maker"/>
    <n v="1"/>
    <n v="148.05000000000001"/>
    <n v="0.2"/>
    <x v="1"/>
    <n v="118.44"/>
    <n v="101.71"/>
    <n v="16.73"/>
    <n v="1"/>
    <n v="0"/>
    <n v="4"/>
    <n v="3"/>
  </r>
  <r>
    <s v="SW-105280"/>
    <d v="2025-12-21T00:00:00"/>
    <x v="1"/>
    <s v="Q4"/>
    <x v="11"/>
    <x v="1"/>
    <x v="0"/>
    <x v="0"/>
    <x v="1"/>
    <s v="Face Serum"/>
    <n v="1"/>
    <n v="33.479999999999997"/>
    <n v="0.15"/>
    <x v="1"/>
    <n v="28.46"/>
    <n v="16.11"/>
    <n v="12.35"/>
    <n v="1"/>
    <n v="0"/>
    <n v="4"/>
    <n v="4"/>
  </r>
  <r>
    <s v="SW-105281"/>
    <d v="2025-12-21T00:00:00"/>
    <x v="1"/>
    <s v="Q4"/>
    <x v="11"/>
    <x v="0"/>
    <x v="2"/>
    <x v="0"/>
    <x v="0"/>
    <s v="Summer Dress"/>
    <n v="2"/>
    <n v="33.99"/>
    <n v="0.05"/>
    <x v="0"/>
    <n v="64.58"/>
    <n v="37.08"/>
    <n v="27.5"/>
    <n v="1"/>
    <n v="0"/>
    <n v="4"/>
    <n v="5"/>
  </r>
  <r>
    <s v="SW-105282"/>
    <d v="2025-12-21T00:00:00"/>
    <x v="1"/>
    <s v="Q4"/>
    <x v="11"/>
    <x v="0"/>
    <x v="3"/>
    <x v="0"/>
    <x v="4"/>
    <s v="Power Bank"/>
    <n v="1"/>
    <n v="508.8"/>
    <n v="0.15"/>
    <x v="1"/>
    <n v="432.48"/>
    <n v="405.71"/>
    <n v="26.77"/>
    <n v="1"/>
    <n v="0"/>
    <n v="4"/>
    <n v="4"/>
  </r>
  <r>
    <s v="SW-105283"/>
    <d v="2025-12-21T00:00:00"/>
    <x v="1"/>
    <s v="Q4"/>
    <x v="11"/>
    <x v="0"/>
    <x v="2"/>
    <x v="1"/>
    <x v="1"/>
    <s v="Hair Dryer"/>
    <n v="1"/>
    <n v="33.18"/>
    <n v="0.15"/>
    <x v="1"/>
    <n v="28.2"/>
    <n v="14.69"/>
    <n v="13.51"/>
    <n v="1"/>
    <n v="0"/>
    <n v="4"/>
    <n v="5"/>
  </r>
  <r>
    <s v="SW-105284"/>
    <d v="2025-12-21T00:00:00"/>
    <x v="1"/>
    <s v="Q4"/>
    <x v="11"/>
    <x v="2"/>
    <x v="3"/>
    <x v="1"/>
    <x v="1"/>
    <s v="Face Serum"/>
    <n v="3"/>
    <n v="33.479999999999997"/>
    <n v="0.1"/>
    <x v="0"/>
    <n v="90.4"/>
    <n v="48.71"/>
    <n v="41.69"/>
    <n v="1"/>
    <n v="0"/>
    <n v="4"/>
    <n v="4"/>
  </r>
  <r>
    <s v="SW-105285"/>
    <d v="2025-12-21T00:00:00"/>
    <x v="1"/>
    <s v="Q4"/>
    <x v="11"/>
    <x v="1"/>
    <x v="0"/>
    <x v="1"/>
    <x v="1"/>
    <s v="Hair Dryer"/>
    <n v="1"/>
    <n v="33.18"/>
    <n v="0.1"/>
    <x v="0"/>
    <n v="29.86"/>
    <n v="15.51"/>
    <n v="14.35"/>
    <n v="1"/>
    <n v="0"/>
    <n v="5"/>
    <n v="4"/>
  </r>
  <r>
    <s v="SW-105286"/>
    <d v="2025-12-21T00:00:00"/>
    <x v="1"/>
    <s v="Q4"/>
    <x v="11"/>
    <x v="1"/>
    <x v="3"/>
    <x v="0"/>
    <x v="4"/>
    <s v="Smart Watch"/>
    <n v="2"/>
    <n v="216.08"/>
    <n v="0.2"/>
    <x v="1"/>
    <n v="345.73"/>
    <n v="348.78"/>
    <n v="-3.05"/>
    <n v="1"/>
    <n v="0"/>
    <n v="5"/>
    <n v="4"/>
  </r>
  <r>
    <s v="SW-105287"/>
    <d v="2025-12-22T00:00:00"/>
    <x v="1"/>
    <s v="Q4"/>
    <x v="11"/>
    <x v="1"/>
    <x v="0"/>
    <x v="1"/>
    <x v="1"/>
    <s v="Makeup Kit"/>
    <n v="2"/>
    <n v="74.3"/>
    <n v="0.3"/>
    <x v="3"/>
    <n v="104.02"/>
    <n v="68.680000000000007"/>
    <n v="35.340000000000003"/>
    <n v="1"/>
    <n v="0"/>
    <n v="7"/>
    <n v="4"/>
  </r>
  <r>
    <s v="SW-105288"/>
    <d v="2025-12-22T00:00:00"/>
    <x v="1"/>
    <s v="Q4"/>
    <x v="11"/>
    <x v="1"/>
    <x v="1"/>
    <x v="1"/>
    <x v="0"/>
    <s v="Running Sneakers"/>
    <n v="3"/>
    <n v="94.85"/>
    <n v="0.15"/>
    <x v="1"/>
    <n v="241.87"/>
    <n v="158.11000000000001"/>
    <n v="83.76"/>
    <n v="1"/>
    <n v="0"/>
    <n v="6"/>
    <n v="5"/>
  </r>
  <r>
    <s v="SW-105289"/>
    <d v="2025-12-22T00:00:00"/>
    <x v="1"/>
    <s v="Q4"/>
    <x v="11"/>
    <x v="1"/>
    <x v="0"/>
    <x v="0"/>
    <x v="2"/>
    <s v="Cookware Set"/>
    <n v="3"/>
    <n v="233.81"/>
    <n v="0.15"/>
    <x v="1"/>
    <n v="596.22"/>
    <n v="439.38"/>
    <n v="156.84"/>
    <n v="1"/>
    <n v="0"/>
    <n v="5"/>
    <n v="5"/>
  </r>
  <r>
    <s v="SW-105290"/>
    <d v="2025-12-22T00:00:00"/>
    <x v="1"/>
    <s v="Q4"/>
    <x v="11"/>
    <x v="0"/>
    <x v="2"/>
    <x v="1"/>
    <x v="0"/>
    <s v="Summer Dress"/>
    <n v="2"/>
    <n v="33.99"/>
    <n v="0"/>
    <x v="2"/>
    <n v="67.98"/>
    <n v="35.86"/>
    <n v="32.119999999999997"/>
    <n v="1"/>
    <n v="0"/>
    <n v="8"/>
    <n v="4"/>
  </r>
  <r>
    <s v="SW-105291"/>
    <d v="2025-12-22T00:00:00"/>
    <x v="1"/>
    <s v="Q4"/>
    <x v="11"/>
    <x v="2"/>
    <x v="1"/>
    <x v="1"/>
    <x v="2"/>
    <s v="Storage Boxes"/>
    <n v="1"/>
    <n v="154.66"/>
    <n v="0.3"/>
    <x v="3"/>
    <n v="108.26"/>
    <n v="96.12"/>
    <n v="12.14"/>
    <n v="1"/>
    <n v="0"/>
    <n v="7"/>
    <n v="4"/>
  </r>
  <r>
    <s v="SW-105292"/>
    <d v="2025-12-22T00:00:00"/>
    <x v="1"/>
    <s v="Q4"/>
    <x v="11"/>
    <x v="1"/>
    <x v="2"/>
    <x v="1"/>
    <x v="0"/>
    <s v="Sunglasses"/>
    <n v="1"/>
    <n v="104.94"/>
    <n v="0.15"/>
    <x v="1"/>
    <n v="89.2"/>
    <n v="56.38"/>
    <n v="32.82"/>
    <n v="1"/>
    <n v="0"/>
    <n v="5"/>
    <n v="4"/>
  </r>
  <r>
    <s v="SW-105293"/>
    <d v="2025-12-22T00:00:00"/>
    <x v="1"/>
    <s v="Q4"/>
    <x v="11"/>
    <x v="1"/>
    <x v="0"/>
    <x v="1"/>
    <x v="2"/>
    <s v="Storage Boxes"/>
    <n v="2"/>
    <n v="154.66"/>
    <n v="0.2"/>
    <x v="1"/>
    <n v="247.46"/>
    <n v="202.75"/>
    <n v="44.71"/>
    <n v="1"/>
    <n v="0"/>
    <n v="5"/>
    <n v="5"/>
  </r>
  <r>
    <s v="SW-105294"/>
    <d v="2025-12-22T00:00:00"/>
    <x v="1"/>
    <s v="Q4"/>
    <x v="11"/>
    <x v="0"/>
    <x v="3"/>
    <x v="1"/>
    <x v="3"/>
    <s v="Fitness Tracker"/>
    <n v="1"/>
    <n v="74.459999999999994"/>
    <n v="0.2"/>
    <x v="1"/>
    <n v="59.57"/>
    <n v="47.09"/>
    <n v="12.48"/>
    <n v="1"/>
    <n v="1"/>
    <n v="4"/>
    <n v="4"/>
  </r>
  <r>
    <s v="SW-105295"/>
    <d v="2025-12-23T00:00:00"/>
    <x v="1"/>
    <s v="Q4"/>
    <x v="11"/>
    <x v="1"/>
    <x v="2"/>
    <x v="1"/>
    <x v="3"/>
    <s v="Dumbbell Set"/>
    <n v="1"/>
    <n v="198.42"/>
    <n v="0.3"/>
    <x v="3"/>
    <n v="138.88999999999999"/>
    <n v="139.69"/>
    <n v="-0.8"/>
    <n v="1"/>
    <n v="0"/>
    <n v="7"/>
    <n v="4"/>
  </r>
  <r>
    <s v="SW-105296"/>
    <d v="2025-12-23T00:00:00"/>
    <x v="1"/>
    <s v="Q4"/>
    <x v="11"/>
    <x v="0"/>
    <x v="0"/>
    <x v="1"/>
    <x v="3"/>
    <s v="Camping Tent"/>
    <n v="1"/>
    <n v="83.06"/>
    <n v="0.1"/>
    <x v="0"/>
    <n v="74.75"/>
    <n v="56.36"/>
    <n v="18.39"/>
    <n v="1"/>
    <n v="0"/>
    <n v="5"/>
    <n v="4"/>
  </r>
  <r>
    <s v="SW-105297"/>
    <d v="2025-12-23T00:00:00"/>
    <x v="1"/>
    <s v="Q4"/>
    <x v="11"/>
    <x v="0"/>
    <x v="2"/>
    <x v="0"/>
    <x v="0"/>
    <s v="Sunglasses"/>
    <n v="2"/>
    <n v="104.94"/>
    <n v="0.2"/>
    <x v="1"/>
    <n v="167.9"/>
    <n v="114.73"/>
    <n v="53.17"/>
    <n v="1"/>
    <n v="0"/>
    <n v="6"/>
    <n v="2"/>
  </r>
  <r>
    <s v="SW-105298"/>
    <d v="2025-12-23T00:00:00"/>
    <x v="1"/>
    <s v="Q4"/>
    <x v="11"/>
    <x v="2"/>
    <x v="4"/>
    <x v="0"/>
    <x v="2"/>
    <s v="Air Fryer"/>
    <n v="1"/>
    <n v="68.349999999999994"/>
    <n v="0.2"/>
    <x v="1"/>
    <n v="54.68"/>
    <n v="44.54"/>
    <n v="10.14"/>
    <n v="1"/>
    <n v="0"/>
    <n v="7"/>
    <n v="3"/>
  </r>
  <r>
    <s v="SW-105299"/>
    <d v="2025-12-23T00:00:00"/>
    <x v="1"/>
    <s v="Q4"/>
    <x v="11"/>
    <x v="1"/>
    <x v="2"/>
    <x v="1"/>
    <x v="0"/>
    <s v="Sunglasses"/>
    <n v="1"/>
    <n v="104.94"/>
    <n v="0.2"/>
    <x v="1"/>
    <n v="83.95"/>
    <n v="55.98"/>
    <n v="27.97"/>
    <n v="1"/>
    <n v="0"/>
    <n v="5"/>
    <n v="4"/>
  </r>
  <r>
    <s v="SW-105300"/>
    <d v="2025-12-23T00:00:00"/>
    <x v="1"/>
    <s v="Q4"/>
    <x v="11"/>
    <x v="0"/>
    <x v="0"/>
    <x v="1"/>
    <x v="4"/>
    <s v="Power Bank"/>
    <n v="1"/>
    <n v="508.8"/>
    <n v="0.25"/>
    <x v="3"/>
    <n v="381.6"/>
    <n v="394.55"/>
    <n v="-12.95"/>
    <n v="1"/>
    <n v="0"/>
    <n v="4"/>
    <n v="4"/>
  </r>
  <r>
    <s v="SW-105301"/>
    <d v="2025-12-23T00:00:00"/>
    <x v="1"/>
    <s v="Q4"/>
    <x v="11"/>
    <x v="0"/>
    <x v="3"/>
    <x v="0"/>
    <x v="0"/>
    <s v="Leather Handbag"/>
    <n v="1"/>
    <n v="138.5"/>
    <n v="0.05"/>
    <x v="0"/>
    <n v="131.57"/>
    <n v="75.58"/>
    <n v="55.99"/>
    <n v="1"/>
    <n v="0"/>
    <n v="3"/>
    <n v="5"/>
  </r>
  <r>
    <s v="SW-105302"/>
    <d v="2025-12-23T00:00:00"/>
    <x v="1"/>
    <s v="Q4"/>
    <x v="11"/>
    <x v="1"/>
    <x v="4"/>
    <x v="0"/>
    <x v="2"/>
    <s v="Bed Sheet Set"/>
    <n v="2"/>
    <n v="90.75"/>
    <n v="0.05"/>
    <x v="0"/>
    <n v="172.42"/>
    <n v="117.03"/>
    <n v="55.39"/>
    <n v="1"/>
    <n v="0"/>
    <n v="6"/>
    <n v="3"/>
  </r>
  <r>
    <s v="SW-105303"/>
    <d v="2025-12-23T00:00:00"/>
    <x v="1"/>
    <s v="Q4"/>
    <x v="11"/>
    <x v="0"/>
    <x v="2"/>
    <x v="1"/>
    <x v="1"/>
    <s v="Hair Dryer"/>
    <n v="1"/>
    <n v="33.18"/>
    <n v="0.15"/>
    <x v="1"/>
    <n v="28.2"/>
    <n v="16.11"/>
    <n v="12.09"/>
    <n v="1"/>
    <n v="0"/>
    <n v="5"/>
    <n v="3"/>
  </r>
  <r>
    <s v="SW-105304"/>
    <d v="2025-12-23T00:00:00"/>
    <x v="1"/>
    <s v="Q4"/>
    <x v="11"/>
    <x v="2"/>
    <x v="1"/>
    <x v="0"/>
    <x v="2"/>
    <s v="Air Fryer"/>
    <n v="1"/>
    <n v="68.349999999999994"/>
    <n v="0.1"/>
    <x v="0"/>
    <n v="61.51"/>
    <n v="45.23"/>
    <n v="16.28"/>
    <n v="1"/>
    <n v="0"/>
    <n v="6"/>
    <n v="3"/>
  </r>
  <r>
    <s v="SW-105305"/>
    <d v="2025-12-24T00:00:00"/>
    <x v="1"/>
    <s v="Q4"/>
    <x v="11"/>
    <x v="0"/>
    <x v="0"/>
    <x v="0"/>
    <x v="2"/>
    <s v="Air Fryer"/>
    <n v="4"/>
    <n v="68.349999999999994"/>
    <n v="0.2"/>
    <x v="1"/>
    <n v="218.72"/>
    <n v="179.5"/>
    <n v="39.22"/>
    <n v="1"/>
    <n v="0"/>
    <n v="4"/>
    <n v="4"/>
  </r>
  <r>
    <s v="SW-105306"/>
    <d v="2025-12-24T00:00:00"/>
    <x v="1"/>
    <s v="Q4"/>
    <x v="11"/>
    <x v="1"/>
    <x v="0"/>
    <x v="0"/>
    <x v="0"/>
    <s v="Denim Jacket"/>
    <n v="2"/>
    <n v="78.510000000000005"/>
    <n v="0.25"/>
    <x v="3"/>
    <n v="117.77"/>
    <n v="83.88"/>
    <n v="33.89"/>
    <n v="1"/>
    <n v="0"/>
    <n v="5"/>
    <n v="4"/>
  </r>
  <r>
    <s v="SW-105307"/>
    <d v="2025-12-24T00:00:00"/>
    <x v="1"/>
    <s v="Q4"/>
    <x v="11"/>
    <x v="1"/>
    <x v="2"/>
    <x v="0"/>
    <x v="1"/>
    <s v="Hair Dryer"/>
    <n v="2"/>
    <n v="33.18"/>
    <n v="0.15"/>
    <x v="1"/>
    <n v="56.41"/>
    <n v="30.89"/>
    <n v="25.52"/>
    <n v="1"/>
    <n v="0"/>
    <n v="4"/>
    <n v="5"/>
  </r>
  <r>
    <s v="SW-105308"/>
    <d v="2025-12-24T00:00:00"/>
    <x v="1"/>
    <s v="Q4"/>
    <x v="11"/>
    <x v="2"/>
    <x v="3"/>
    <x v="1"/>
    <x v="0"/>
    <s v="Cotton T-Shirt"/>
    <n v="1"/>
    <n v="19.41"/>
    <n v="0.3"/>
    <x v="3"/>
    <n v="13.59"/>
    <n v="10.88"/>
    <n v="2.71"/>
    <n v="1"/>
    <n v="0"/>
    <n v="6"/>
    <n v="4"/>
  </r>
  <r>
    <s v="SW-105309"/>
    <d v="2025-12-24T00:00:00"/>
    <x v="1"/>
    <s v="Q4"/>
    <x v="11"/>
    <x v="1"/>
    <x v="3"/>
    <x v="1"/>
    <x v="5"/>
    <s v="Story Book Set"/>
    <n v="2"/>
    <n v="10.76"/>
    <n v="0.1"/>
    <x v="0"/>
    <n v="19.37"/>
    <n v="14.94"/>
    <n v="4.43"/>
    <n v="1"/>
    <n v="0"/>
    <n v="3"/>
    <n v="4"/>
  </r>
  <r>
    <s v="SW-105310"/>
    <d v="2025-12-24T00:00:00"/>
    <x v="1"/>
    <s v="Q4"/>
    <x v="11"/>
    <x v="1"/>
    <x v="2"/>
    <x v="0"/>
    <x v="4"/>
    <s v="Smart Watch"/>
    <n v="1"/>
    <n v="216.08"/>
    <n v="0.15"/>
    <x v="1"/>
    <n v="183.67"/>
    <n v="170.01"/>
    <n v="13.66"/>
    <n v="1"/>
    <n v="0"/>
    <n v="5"/>
    <n v="3"/>
  </r>
  <r>
    <s v="SW-105311"/>
    <d v="2025-12-24T00:00:00"/>
    <x v="1"/>
    <s v="Q4"/>
    <x v="11"/>
    <x v="2"/>
    <x v="0"/>
    <x v="1"/>
    <x v="1"/>
    <s v="Skin Care Bundle"/>
    <n v="2"/>
    <n v="92.54"/>
    <n v="0.15"/>
    <x v="1"/>
    <n v="157.32"/>
    <n v="84.04"/>
    <n v="73.28"/>
    <n v="1"/>
    <n v="1"/>
    <n v="6"/>
    <n v="3"/>
  </r>
  <r>
    <s v="SW-105312"/>
    <d v="2025-12-24T00:00:00"/>
    <x v="1"/>
    <s v="Q4"/>
    <x v="11"/>
    <x v="0"/>
    <x v="0"/>
    <x v="1"/>
    <x v="0"/>
    <s v="Leather Handbag"/>
    <n v="1"/>
    <n v="138.5"/>
    <n v="0.15"/>
    <x v="1"/>
    <n v="117.72"/>
    <n v="74.09"/>
    <n v="43.63"/>
    <n v="1"/>
    <n v="0"/>
    <n v="4"/>
    <n v="3"/>
  </r>
  <r>
    <s v="SW-105313"/>
    <d v="2025-12-24T00:00:00"/>
    <x v="1"/>
    <s v="Q4"/>
    <x v="11"/>
    <x v="2"/>
    <x v="3"/>
    <x v="1"/>
    <x v="3"/>
    <s v="Camping Tent"/>
    <n v="3"/>
    <n v="83.06"/>
    <n v="0.2"/>
    <x v="1"/>
    <n v="199.34"/>
    <n v="168.24"/>
    <n v="31.1"/>
    <n v="1"/>
    <n v="0"/>
    <n v="3"/>
    <n v="5"/>
  </r>
  <r>
    <s v="SW-105314"/>
    <d v="2025-12-24T00:00:00"/>
    <x v="1"/>
    <s v="Q4"/>
    <x v="11"/>
    <x v="1"/>
    <x v="0"/>
    <x v="0"/>
    <x v="0"/>
    <s v="Sunglasses"/>
    <n v="1"/>
    <n v="104.94"/>
    <n v="0.1"/>
    <x v="0"/>
    <n v="94.45"/>
    <n v="56.98"/>
    <n v="37.47"/>
    <n v="1"/>
    <n v="0"/>
    <n v="6"/>
    <n v="3"/>
  </r>
  <r>
    <s v="SW-105315"/>
    <d v="2025-12-24T00:00:00"/>
    <x v="1"/>
    <s v="Q4"/>
    <x v="11"/>
    <x v="0"/>
    <x v="2"/>
    <x v="1"/>
    <x v="4"/>
    <s v="Smart Watch"/>
    <n v="1"/>
    <n v="216.08"/>
    <n v="0.1"/>
    <x v="0"/>
    <n v="194.47"/>
    <n v="162.34"/>
    <n v="32.130000000000003"/>
    <n v="1"/>
    <n v="0"/>
    <n v="4"/>
    <n v="4"/>
  </r>
  <r>
    <s v="SW-105316"/>
    <d v="2025-12-24T00:00:00"/>
    <x v="1"/>
    <s v="Q4"/>
    <x v="11"/>
    <x v="0"/>
    <x v="2"/>
    <x v="0"/>
    <x v="5"/>
    <s v="Bestseller Novel"/>
    <n v="2"/>
    <n v="45.28"/>
    <n v="0"/>
    <x v="2"/>
    <n v="90.56"/>
    <n v="65.05"/>
    <n v="25.51"/>
    <n v="1"/>
    <n v="0"/>
    <n v="5"/>
    <n v="4"/>
  </r>
  <r>
    <s v="SW-105317"/>
    <d v="2025-12-24T00:00:00"/>
    <x v="1"/>
    <s v="Q4"/>
    <x v="11"/>
    <x v="2"/>
    <x v="2"/>
    <x v="1"/>
    <x v="1"/>
    <s v="Hair Dryer"/>
    <n v="1"/>
    <n v="33.18"/>
    <n v="0.05"/>
    <x v="0"/>
    <n v="31.52"/>
    <n v="15.83"/>
    <n v="15.69"/>
    <n v="1"/>
    <n v="0"/>
    <n v="6"/>
    <n v="3"/>
  </r>
  <r>
    <s v="SW-105318"/>
    <d v="2025-12-24T00:00:00"/>
    <x v="1"/>
    <s v="Q4"/>
    <x v="11"/>
    <x v="0"/>
    <x v="2"/>
    <x v="1"/>
    <x v="0"/>
    <s v="Leather Handbag"/>
    <n v="1"/>
    <n v="138.5"/>
    <n v="0.2"/>
    <x v="1"/>
    <n v="110.8"/>
    <n v="73.05"/>
    <n v="37.75"/>
    <n v="1"/>
    <n v="0"/>
    <n v="5"/>
    <n v="3"/>
  </r>
  <r>
    <s v="SW-105319"/>
    <d v="2025-12-24T00:00:00"/>
    <x v="1"/>
    <s v="Q4"/>
    <x v="11"/>
    <x v="2"/>
    <x v="4"/>
    <x v="1"/>
    <x v="2"/>
    <s v="Coffee Maker"/>
    <n v="1"/>
    <n v="148.05000000000001"/>
    <n v="0.2"/>
    <x v="1"/>
    <n v="118.44"/>
    <n v="93.83"/>
    <n v="24.61"/>
    <n v="1"/>
    <n v="0"/>
    <n v="8"/>
    <n v="3"/>
  </r>
  <r>
    <s v="SW-105320"/>
    <d v="2025-12-24T00:00:00"/>
    <x v="1"/>
    <s v="Q4"/>
    <x v="11"/>
    <x v="1"/>
    <x v="3"/>
    <x v="1"/>
    <x v="5"/>
    <s v="Board Game"/>
    <n v="1"/>
    <n v="57.92"/>
    <n v="0.2"/>
    <x v="1"/>
    <n v="46.34"/>
    <n v="40.6"/>
    <n v="5.74"/>
    <n v="1"/>
    <n v="0"/>
    <n v="3"/>
    <n v="4"/>
  </r>
  <r>
    <s v="SW-105321"/>
    <d v="2025-12-24T00:00:00"/>
    <x v="1"/>
    <s v="Q4"/>
    <x v="11"/>
    <x v="2"/>
    <x v="4"/>
    <x v="1"/>
    <x v="0"/>
    <s v="Cotton T-Shirt"/>
    <n v="1"/>
    <n v="19.41"/>
    <n v="0.25"/>
    <x v="3"/>
    <n v="14.56"/>
    <n v="11.14"/>
    <n v="3.42"/>
    <n v="1"/>
    <n v="0"/>
    <n v="7"/>
    <n v="5"/>
  </r>
  <r>
    <s v="SW-105322"/>
    <d v="2025-12-24T00:00:00"/>
    <x v="1"/>
    <s v="Q4"/>
    <x v="11"/>
    <x v="1"/>
    <x v="2"/>
    <x v="0"/>
    <x v="0"/>
    <s v="Leather Handbag"/>
    <n v="2"/>
    <n v="138.5"/>
    <n v="0.1"/>
    <x v="0"/>
    <n v="249.3"/>
    <n v="139.88999999999999"/>
    <n v="109.41"/>
    <n v="1"/>
    <n v="1"/>
    <n v="5"/>
    <n v="2"/>
  </r>
  <r>
    <s v="SW-105323"/>
    <d v="2025-12-24T00:00:00"/>
    <x v="1"/>
    <s v="Q4"/>
    <x v="11"/>
    <x v="0"/>
    <x v="4"/>
    <x v="0"/>
    <x v="2"/>
    <s v="Coffee Maker"/>
    <n v="2"/>
    <n v="148.05000000000001"/>
    <n v="0.2"/>
    <x v="1"/>
    <n v="236.88"/>
    <n v="202.05"/>
    <n v="34.83"/>
    <n v="1"/>
    <n v="0"/>
    <n v="7"/>
    <n v="4"/>
  </r>
  <r>
    <s v="SW-105324"/>
    <d v="2025-12-24T00:00:00"/>
    <x v="1"/>
    <s v="Q4"/>
    <x v="11"/>
    <x v="2"/>
    <x v="0"/>
    <x v="0"/>
    <x v="0"/>
    <s v="Denim Jacket"/>
    <n v="1"/>
    <n v="78.510000000000005"/>
    <n v="0.2"/>
    <x v="1"/>
    <n v="62.81"/>
    <n v="45.43"/>
    <n v="17.38"/>
    <n v="1"/>
    <n v="0"/>
    <n v="5"/>
    <n v="4"/>
  </r>
  <r>
    <s v="SW-105325"/>
    <d v="2025-12-25T00:00:00"/>
    <x v="1"/>
    <s v="Q4"/>
    <x v="11"/>
    <x v="1"/>
    <x v="2"/>
    <x v="0"/>
    <x v="4"/>
    <s v="Smart Watch"/>
    <n v="2"/>
    <n v="216.08"/>
    <n v="0.2"/>
    <x v="1"/>
    <n v="345.73"/>
    <n v="342.43"/>
    <n v="3.3"/>
    <n v="1"/>
    <n v="0"/>
    <n v="5"/>
    <n v="4"/>
  </r>
  <r>
    <s v="SW-105326"/>
    <d v="2025-12-25T00:00:00"/>
    <x v="1"/>
    <s v="Q4"/>
    <x v="11"/>
    <x v="0"/>
    <x v="2"/>
    <x v="1"/>
    <x v="0"/>
    <s v="Summer Dress"/>
    <n v="2"/>
    <n v="33.99"/>
    <n v="0.3"/>
    <x v="3"/>
    <n v="47.59"/>
    <n v="39.22"/>
    <n v="8.3699999999999992"/>
    <n v="1"/>
    <n v="0"/>
    <n v="5"/>
    <n v="5"/>
  </r>
  <r>
    <s v="SW-105327"/>
    <d v="2025-12-25T00:00:00"/>
    <x v="1"/>
    <s v="Q4"/>
    <x v="11"/>
    <x v="2"/>
    <x v="2"/>
    <x v="1"/>
    <x v="0"/>
    <s v="Running Sneakers"/>
    <n v="1"/>
    <n v="94.85"/>
    <n v="0"/>
    <x v="2"/>
    <n v="94.85"/>
    <n v="51.54"/>
    <n v="43.31"/>
    <n v="1"/>
    <n v="0"/>
    <n v="5"/>
    <n v="5"/>
  </r>
  <r>
    <s v="SW-105328"/>
    <d v="2025-12-25T00:00:00"/>
    <x v="1"/>
    <s v="Q4"/>
    <x v="11"/>
    <x v="0"/>
    <x v="0"/>
    <x v="0"/>
    <x v="5"/>
    <s v="Building Blocks"/>
    <n v="1"/>
    <n v="48.86"/>
    <n v="0.2"/>
    <x v="1"/>
    <n v="39.090000000000003"/>
    <n v="33.58"/>
    <n v="5.51"/>
    <n v="1"/>
    <n v="0"/>
    <n v="5"/>
    <n v="4"/>
  </r>
  <r>
    <s v="SW-105329"/>
    <d v="2025-12-25T00:00:00"/>
    <x v="1"/>
    <s v="Q4"/>
    <x v="11"/>
    <x v="2"/>
    <x v="3"/>
    <x v="0"/>
    <x v="3"/>
    <s v="Dumbbell Set"/>
    <n v="1"/>
    <n v="198.42"/>
    <n v="0.15"/>
    <x v="1"/>
    <n v="168.66"/>
    <n v="135.12"/>
    <n v="33.54"/>
    <n v="1"/>
    <n v="0"/>
    <n v="4"/>
    <n v="4"/>
  </r>
  <r>
    <s v="SW-105330"/>
    <d v="2025-12-25T00:00:00"/>
    <x v="1"/>
    <s v="Q4"/>
    <x v="11"/>
    <x v="1"/>
    <x v="2"/>
    <x v="0"/>
    <x v="1"/>
    <s v="Face Serum"/>
    <n v="1"/>
    <n v="33.479999999999997"/>
    <n v="0"/>
    <x v="2"/>
    <n v="33.479999999999997"/>
    <n v="16.64"/>
    <n v="16.84"/>
    <n v="1"/>
    <n v="0"/>
    <n v="5"/>
    <n v="5"/>
  </r>
  <r>
    <s v="SW-105331"/>
    <d v="2025-12-25T00:00:00"/>
    <x v="1"/>
    <s v="Q4"/>
    <x v="11"/>
    <x v="0"/>
    <x v="4"/>
    <x v="1"/>
    <x v="2"/>
    <s v="Bed Sheet Set"/>
    <n v="1"/>
    <n v="90.75"/>
    <n v="0.2"/>
    <x v="1"/>
    <n v="72.599999999999994"/>
    <n v="59.31"/>
    <n v="13.29"/>
    <n v="1"/>
    <n v="0"/>
    <n v="7"/>
    <n v="3"/>
  </r>
  <r>
    <s v="SW-105332"/>
    <d v="2025-12-25T00:00:00"/>
    <x v="1"/>
    <s v="Q4"/>
    <x v="11"/>
    <x v="2"/>
    <x v="3"/>
    <x v="1"/>
    <x v="0"/>
    <s v="Leather Handbag"/>
    <n v="1"/>
    <n v="138.5"/>
    <n v="0.25"/>
    <x v="3"/>
    <n v="103.88"/>
    <n v="69.61"/>
    <n v="34.270000000000003"/>
    <n v="1"/>
    <n v="0"/>
    <n v="5"/>
    <n v="5"/>
  </r>
  <r>
    <s v="SW-105333"/>
    <d v="2025-12-25T00:00:00"/>
    <x v="1"/>
    <s v="Q4"/>
    <x v="11"/>
    <x v="1"/>
    <x v="3"/>
    <x v="1"/>
    <x v="4"/>
    <s v="Bluetooth Speaker"/>
    <n v="3"/>
    <n v="177.65"/>
    <n v="0.05"/>
    <x v="0"/>
    <n v="506.3"/>
    <n v="420.84"/>
    <n v="85.46"/>
    <n v="1"/>
    <n v="1"/>
    <n v="5"/>
    <n v="3"/>
  </r>
  <r>
    <s v="SW-105334"/>
    <d v="2025-12-26T00:00:00"/>
    <x v="1"/>
    <s v="Q4"/>
    <x v="11"/>
    <x v="1"/>
    <x v="2"/>
    <x v="1"/>
    <x v="3"/>
    <s v="Yoga Mat"/>
    <n v="1"/>
    <n v="137.05000000000001"/>
    <n v="0.1"/>
    <x v="0"/>
    <n v="123.35"/>
    <n v="90.78"/>
    <n v="32.57"/>
    <n v="1"/>
    <n v="1"/>
    <n v="5"/>
    <n v="3"/>
  </r>
  <r>
    <s v="SW-105335"/>
    <d v="2025-12-26T00:00:00"/>
    <x v="1"/>
    <s v="Q4"/>
    <x v="11"/>
    <x v="1"/>
    <x v="0"/>
    <x v="1"/>
    <x v="2"/>
    <s v="Bed Sheet Set"/>
    <n v="1"/>
    <n v="90.75"/>
    <n v="0.05"/>
    <x v="0"/>
    <n v="86.21"/>
    <n v="60.43"/>
    <n v="25.78"/>
    <n v="1"/>
    <n v="0"/>
    <n v="7"/>
    <n v="2"/>
  </r>
  <r>
    <s v="SW-105336"/>
    <d v="2025-12-26T00:00:00"/>
    <x v="1"/>
    <s v="Q4"/>
    <x v="11"/>
    <x v="0"/>
    <x v="0"/>
    <x v="1"/>
    <x v="2"/>
    <s v="Desk Lamp"/>
    <n v="1"/>
    <n v="117.63"/>
    <n v="0.15"/>
    <x v="1"/>
    <n v="99.99"/>
    <n v="74.64"/>
    <n v="25.35"/>
    <n v="1"/>
    <n v="0"/>
    <n v="5"/>
    <n v="5"/>
  </r>
  <r>
    <s v="SW-105337"/>
    <d v="2025-12-26T00:00:00"/>
    <x v="1"/>
    <s v="Q4"/>
    <x v="11"/>
    <x v="0"/>
    <x v="0"/>
    <x v="1"/>
    <x v="5"/>
    <s v="Bestseller Novel"/>
    <n v="1"/>
    <n v="45.28"/>
    <n v="0.2"/>
    <x v="1"/>
    <n v="36.22"/>
    <n v="32.08"/>
    <n v="4.1399999999999997"/>
    <n v="1"/>
    <n v="0"/>
    <n v="4"/>
    <n v="5"/>
  </r>
  <r>
    <s v="SW-105338"/>
    <d v="2025-12-26T00:00:00"/>
    <x v="1"/>
    <s v="Q4"/>
    <x v="11"/>
    <x v="0"/>
    <x v="3"/>
    <x v="1"/>
    <x v="5"/>
    <s v="Board Game"/>
    <n v="1"/>
    <n v="57.92"/>
    <n v="0.3"/>
    <x v="3"/>
    <n v="40.54"/>
    <n v="43.04"/>
    <n v="-2.5"/>
    <n v="1"/>
    <n v="0"/>
    <n v="3"/>
    <n v="5"/>
  </r>
  <r>
    <s v="SW-105339"/>
    <d v="2025-12-26T00:00:00"/>
    <x v="1"/>
    <s v="Q4"/>
    <x v="11"/>
    <x v="2"/>
    <x v="4"/>
    <x v="1"/>
    <x v="1"/>
    <s v="Makeup Kit"/>
    <n v="1"/>
    <n v="74.3"/>
    <n v="0.15"/>
    <x v="1"/>
    <n v="63.15"/>
    <n v="35.32"/>
    <n v="27.83"/>
    <n v="1"/>
    <n v="0"/>
    <n v="9"/>
    <n v="3"/>
  </r>
  <r>
    <s v="SW-105340"/>
    <d v="2025-12-26T00:00:00"/>
    <x v="1"/>
    <s v="Q4"/>
    <x v="11"/>
    <x v="2"/>
    <x v="3"/>
    <x v="1"/>
    <x v="0"/>
    <s v="Summer Dress"/>
    <n v="1"/>
    <n v="33.99"/>
    <n v="0.3"/>
    <x v="3"/>
    <n v="23.79"/>
    <n v="17.47"/>
    <n v="6.32"/>
    <n v="1"/>
    <n v="0"/>
    <n v="3"/>
    <n v="4"/>
  </r>
  <r>
    <s v="SW-105341"/>
    <d v="2025-12-26T00:00:00"/>
    <x v="1"/>
    <s v="Q4"/>
    <x v="11"/>
    <x v="0"/>
    <x v="3"/>
    <x v="0"/>
    <x v="3"/>
    <s v="Dumbbell Set"/>
    <n v="1"/>
    <n v="198.42"/>
    <n v="0.2"/>
    <x v="1"/>
    <n v="158.74"/>
    <n v="126.75"/>
    <n v="31.99"/>
    <n v="1"/>
    <n v="0"/>
    <n v="4"/>
    <n v="4"/>
  </r>
  <r>
    <s v="SW-105342"/>
    <d v="2025-12-26T00:00:00"/>
    <x v="1"/>
    <s v="Q4"/>
    <x v="11"/>
    <x v="1"/>
    <x v="3"/>
    <x v="1"/>
    <x v="0"/>
    <s v="Denim Jacket"/>
    <n v="2"/>
    <n v="78.510000000000005"/>
    <n v="0.05"/>
    <x v="0"/>
    <n v="149.16999999999999"/>
    <n v="84.05"/>
    <n v="65.12"/>
    <n v="1"/>
    <n v="1"/>
    <n v="4"/>
    <n v="3"/>
  </r>
  <r>
    <s v="SW-105343"/>
    <d v="2025-12-26T00:00:00"/>
    <x v="1"/>
    <s v="Q4"/>
    <x v="11"/>
    <x v="0"/>
    <x v="4"/>
    <x v="1"/>
    <x v="1"/>
    <s v="Perfume 100ml"/>
    <n v="1"/>
    <n v="54.56"/>
    <n v="0.2"/>
    <x v="1"/>
    <n v="43.65"/>
    <n v="26.83"/>
    <n v="16.82"/>
    <n v="1"/>
    <n v="0"/>
    <n v="6"/>
    <n v="4"/>
  </r>
  <r>
    <s v="SW-105344"/>
    <d v="2025-12-26T00:00:00"/>
    <x v="1"/>
    <s v="Q4"/>
    <x v="11"/>
    <x v="1"/>
    <x v="0"/>
    <x v="1"/>
    <x v="1"/>
    <s v="Hair Dryer"/>
    <n v="1"/>
    <n v="33.18"/>
    <n v="0.2"/>
    <x v="1"/>
    <n v="26.54"/>
    <n v="16.399999999999999"/>
    <n v="10.14"/>
    <n v="1"/>
    <n v="0"/>
    <n v="5"/>
    <n v="5"/>
  </r>
  <r>
    <s v="SW-105345"/>
    <d v="2025-12-26T00:00:00"/>
    <x v="1"/>
    <s v="Q4"/>
    <x v="11"/>
    <x v="0"/>
    <x v="2"/>
    <x v="1"/>
    <x v="5"/>
    <s v="Bestseller Novel"/>
    <n v="2"/>
    <n v="45.28"/>
    <n v="0.3"/>
    <x v="3"/>
    <n v="63.39"/>
    <n v="63.97"/>
    <n v="-0.57999999999999996"/>
    <n v="1"/>
    <n v="0"/>
    <n v="5"/>
    <n v="3"/>
  </r>
  <r>
    <s v="SW-105346"/>
    <d v="2025-12-26T00:00:00"/>
    <x v="1"/>
    <s v="Q4"/>
    <x v="11"/>
    <x v="2"/>
    <x v="0"/>
    <x v="1"/>
    <x v="0"/>
    <s v="Running Sneakers"/>
    <n v="1"/>
    <n v="94.85"/>
    <n v="0.25"/>
    <x v="3"/>
    <n v="71.14"/>
    <n v="52.72"/>
    <n v="18.420000000000002"/>
    <n v="1"/>
    <n v="0"/>
    <n v="4"/>
    <n v="4"/>
  </r>
  <r>
    <s v="SW-105347"/>
    <d v="2025-12-27T00:00:00"/>
    <x v="1"/>
    <s v="Q4"/>
    <x v="11"/>
    <x v="2"/>
    <x v="2"/>
    <x v="1"/>
    <x v="2"/>
    <s v="Cookware Set"/>
    <n v="1"/>
    <n v="233.81"/>
    <n v="0.1"/>
    <x v="0"/>
    <n v="210.43"/>
    <n v="158.13"/>
    <n v="52.3"/>
    <n v="1"/>
    <n v="0"/>
    <n v="4"/>
    <n v="5"/>
  </r>
  <r>
    <s v="SW-105348"/>
    <d v="2025-12-27T00:00:00"/>
    <x v="1"/>
    <s v="Q4"/>
    <x v="11"/>
    <x v="0"/>
    <x v="4"/>
    <x v="0"/>
    <x v="3"/>
    <s v="Cycling Helmet"/>
    <n v="1"/>
    <n v="85.42"/>
    <n v="0.1"/>
    <x v="0"/>
    <n v="76.88"/>
    <n v="58.88"/>
    <n v="18"/>
    <n v="1"/>
    <n v="0"/>
    <n v="7"/>
    <n v="4"/>
  </r>
  <r>
    <s v="SW-105349"/>
    <d v="2025-12-27T00:00:00"/>
    <x v="1"/>
    <s v="Q4"/>
    <x v="11"/>
    <x v="1"/>
    <x v="3"/>
    <x v="1"/>
    <x v="0"/>
    <s v="Denim Jacket"/>
    <n v="1"/>
    <n v="78.510000000000005"/>
    <n v="0.2"/>
    <x v="1"/>
    <n v="62.81"/>
    <n v="43.49"/>
    <n v="19.32"/>
    <n v="1"/>
    <n v="0"/>
    <n v="3"/>
    <n v="5"/>
  </r>
  <r>
    <s v="SW-105350"/>
    <d v="2025-12-27T00:00:00"/>
    <x v="1"/>
    <s v="Q4"/>
    <x v="11"/>
    <x v="2"/>
    <x v="2"/>
    <x v="1"/>
    <x v="2"/>
    <s v="Air Fryer"/>
    <n v="1"/>
    <n v="68.349999999999994"/>
    <n v="0.25"/>
    <x v="3"/>
    <n v="51.26"/>
    <n v="47.62"/>
    <n v="3.64"/>
    <n v="1"/>
    <n v="0"/>
    <n v="5"/>
    <n v="5"/>
  </r>
  <r>
    <s v="SW-105351"/>
    <d v="2025-12-27T00:00:00"/>
    <x v="1"/>
    <s v="Q4"/>
    <x v="11"/>
    <x v="1"/>
    <x v="3"/>
    <x v="1"/>
    <x v="1"/>
    <s v="Skin Care Bundle"/>
    <n v="1"/>
    <n v="92.54"/>
    <n v="0.25"/>
    <x v="3"/>
    <n v="69.400000000000006"/>
    <n v="44.1"/>
    <n v="25.3"/>
    <n v="1"/>
    <n v="0"/>
    <n v="3"/>
    <n v="4"/>
  </r>
  <r>
    <s v="SW-105352"/>
    <d v="2025-12-27T00:00:00"/>
    <x v="1"/>
    <s v="Q4"/>
    <x v="11"/>
    <x v="1"/>
    <x v="3"/>
    <x v="0"/>
    <x v="1"/>
    <s v="Hair Dryer"/>
    <n v="3"/>
    <n v="33.18"/>
    <n v="0.1"/>
    <x v="0"/>
    <n v="89.59"/>
    <n v="46.54"/>
    <n v="43.05"/>
    <n v="1"/>
    <n v="0"/>
    <n v="4"/>
    <n v="4"/>
  </r>
  <r>
    <s v="SW-105353"/>
    <d v="2025-12-27T00:00:00"/>
    <x v="1"/>
    <s v="Q4"/>
    <x v="11"/>
    <x v="2"/>
    <x v="3"/>
    <x v="0"/>
    <x v="4"/>
    <s v="4K Action Camera"/>
    <n v="3"/>
    <n v="636.09"/>
    <n v="0.25"/>
    <x v="3"/>
    <n v="1431.2"/>
    <n v="1545.72"/>
    <n v="-114.52"/>
    <n v="1"/>
    <n v="0"/>
    <n v="5"/>
    <n v="5"/>
  </r>
  <r>
    <s v="SW-105354"/>
    <d v="2025-12-27T00:00:00"/>
    <x v="1"/>
    <s v="Q4"/>
    <x v="11"/>
    <x v="1"/>
    <x v="2"/>
    <x v="1"/>
    <x v="0"/>
    <s v="Summer Dress"/>
    <n v="2"/>
    <n v="33.99"/>
    <n v="0.15"/>
    <x v="1"/>
    <n v="57.78"/>
    <n v="38.4"/>
    <n v="19.38"/>
    <n v="1"/>
    <n v="0"/>
    <n v="4"/>
    <n v="5"/>
  </r>
  <r>
    <s v="SW-105355"/>
    <d v="2025-12-27T00:00:00"/>
    <x v="1"/>
    <s v="Q4"/>
    <x v="11"/>
    <x v="0"/>
    <x v="2"/>
    <x v="0"/>
    <x v="2"/>
    <s v="Coffee Maker"/>
    <n v="1"/>
    <n v="148.05000000000001"/>
    <n v="0.25"/>
    <x v="3"/>
    <n v="111.04"/>
    <n v="92.76"/>
    <n v="18.28"/>
    <n v="1"/>
    <n v="0"/>
    <n v="5"/>
    <n v="5"/>
  </r>
  <r>
    <s v="SW-105356"/>
    <d v="2025-12-27T00:00:00"/>
    <x v="1"/>
    <s v="Q4"/>
    <x v="11"/>
    <x v="2"/>
    <x v="1"/>
    <x v="1"/>
    <x v="0"/>
    <s v="Running Sneakers"/>
    <n v="1"/>
    <n v="94.85"/>
    <n v="0.15"/>
    <x v="1"/>
    <n v="80.62"/>
    <n v="53.1"/>
    <n v="27.52"/>
    <n v="1"/>
    <n v="0"/>
    <n v="7"/>
    <n v="4"/>
  </r>
  <r>
    <s v="SW-105357"/>
    <d v="2025-12-27T00:00:00"/>
    <x v="1"/>
    <s v="Q4"/>
    <x v="11"/>
    <x v="2"/>
    <x v="2"/>
    <x v="1"/>
    <x v="4"/>
    <s v="Tablet 10in"/>
    <n v="1"/>
    <n v="490.3"/>
    <n v="0.2"/>
    <x v="1"/>
    <n v="392.24"/>
    <n v="414.46"/>
    <n v="-22.22"/>
    <n v="1"/>
    <n v="0"/>
    <n v="5"/>
    <n v="5"/>
  </r>
  <r>
    <s v="SW-105358"/>
    <d v="2025-12-27T00:00:00"/>
    <x v="1"/>
    <s v="Q4"/>
    <x v="11"/>
    <x v="0"/>
    <x v="3"/>
    <x v="1"/>
    <x v="2"/>
    <s v="Bed Sheet Set"/>
    <n v="1"/>
    <n v="90.75"/>
    <n v="0.1"/>
    <x v="0"/>
    <n v="81.680000000000007"/>
    <n v="59.2"/>
    <n v="22.48"/>
    <n v="1"/>
    <n v="0"/>
    <n v="5"/>
    <n v="5"/>
  </r>
  <r>
    <s v="SW-105359"/>
    <d v="2025-12-27T00:00:00"/>
    <x v="1"/>
    <s v="Q4"/>
    <x v="11"/>
    <x v="1"/>
    <x v="2"/>
    <x v="1"/>
    <x v="4"/>
    <s v="Smart Watch"/>
    <n v="1"/>
    <n v="216.08"/>
    <n v="0.2"/>
    <x v="1"/>
    <n v="172.86"/>
    <n v="172.38"/>
    <n v="0.48"/>
    <n v="1"/>
    <n v="0"/>
    <n v="8"/>
    <n v="4"/>
  </r>
  <r>
    <s v="SW-105360"/>
    <d v="2025-12-27T00:00:00"/>
    <x v="1"/>
    <s v="Q4"/>
    <x v="11"/>
    <x v="0"/>
    <x v="0"/>
    <x v="0"/>
    <x v="3"/>
    <s v="Yoga Mat"/>
    <n v="3"/>
    <n v="137.05000000000001"/>
    <n v="0.1"/>
    <x v="0"/>
    <n v="370.04"/>
    <n v="270.16000000000003"/>
    <n v="99.88"/>
    <n v="1"/>
    <n v="0"/>
    <n v="4"/>
    <n v="5"/>
  </r>
  <r>
    <s v="SW-105361"/>
    <d v="2025-12-27T00:00:00"/>
    <x v="1"/>
    <s v="Q4"/>
    <x v="11"/>
    <x v="0"/>
    <x v="0"/>
    <x v="1"/>
    <x v="4"/>
    <s v="4K Action Camera"/>
    <n v="1"/>
    <n v="636.09"/>
    <n v="0.25"/>
    <x v="3"/>
    <n v="477.07"/>
    <n v="513.47"/>
    <n v="-36.4"/>
    <n v="1"/>
    <n v="0"/>
    <n v="5"/>
    <n v="4"/>
  </r>
  <r>
    <s v="SW-105362"/>
    <d v="2025-12-28T00:00:00"/>
    <x v="1"/>
    <s v="Q4"/>
    <x v="11"/>
    <x v="1"/>
    <x v="3"/>
    <x v="1"/>
    <x v="2"/>
    <s v="Air Fryer"/>
    <n v="2"/>
    <n v="68.349999999999994"/>
    <n v="0.3"/>
    <x v="3"/>
    <n v="95.69"/>
    <n v="90.72"/>
    <n v="4.97"/>
    <n v="1"/>
    <n v="0"/>
    <n v="6"/>
    <n v="3"/>
  </r>
  <r>
    <s v="SW-105363"/>
    <d v="2025-12-28T00:00:00"/>
    <x v="1"/>
    <s v="Q4"/>
    <x v="11"/>
    <x v="0"/>
    <x v="4"/>
    <x v="0"/>
    <x v="0"/>
    <s v="Sunglasses"/>
    <n v="1"/>
    <n v="104.94"/>
    <n v="0.1"/>
    <x v="0"/>
    <n v="94.45"/>
    <n v="58.63"/>
    <n v="35.82"/>
    <n v="1"/>
    <n v="0"/>
    <n v="7"/>
    <n v="4"/>
  </r>
  <r>
    <s v="SW-105364"/>
    <d v="2025-12-28T00:00:00"/>
    <x v="1"/>
    <s v="Q4"/>
    <x v="11"/>
    <x v="0"/>
    <x v="1"/>
    <x v="1"/>
    <x v="4"/>
    <s v="Wireless Earbuds"/>
    <n v="3"/>
    <n v="588.41"/>
    <n v="0.2"/>
    <x v="1"/>
    <n v="1412.18"/>
    <n v="1353.11"/>
    <n v="59.07"/>
    <n v="1"/>
    <n v="0"/>
    <n v="6"/>
    <n v="4"/>
  </r>
  <r>
    <s v="SW-105365"/>
    <d v="2025-12-28T00:00:00"/>
    <x v="1"/>
    <s v="Q4"/>
    <x v="11"/>
    <x v="1"/>
    <x v="0"/>
    <x v="0"/>
    <x v="1"/>
    <s v="Hair Dryer"/>
    <n v="1"/>
    <n v="33.18"/>
    <n v="0.3"/>
    <x v="3"/>
    <n v="23.23"/>
    <n v="16.02"/>
    <n v="7.21"/>
    <n v="1"/>
    <n v="0"/>
    <n v="6"/>
    <n v="4"/>
  </r>
  <r>
    <s v="SW-105366"/>
    <d v="2025-12-28T00:00:00"/>
    <x v="1"/>
    <s v="Q4"/>
    <x v="11"/>
    <x v="0"/>
    <x v="1"/>
    <x v="0"/>
    <x v="3"/>
    <s v="Fitness Tracker"/>
    <n v="2"/>
    <n v="74.459999999999994"/>
    <n v="0.25"/>
    <x v="3"/>
    <n v="111.69"/>
    <n v="104.01"/>
    <n v="7.68"/>
    <n v="1"/>
    <n v="0"/>
    <n v="7"/>
    <n v="2"/>
  </r>
  <r>
    <s v="SW-105367"/>
    <d v="2025-12-28T00:00:00"/>
    <x v="1"/>
    <s v="Q4"/>
    <x v="11"/>
    <x v="0"/>
    <x v="0"/>
    <x v="1"/>
    <x v="4"/>
    <s v="Tablet 10in"/>
    <n v="2"/>
    <n v="490.3"/>
    <n v="0.2"/>
    <x v="1"/>
    <n v="784.48"/>
    <n v="773.38"/>
    <n v="11.1"/>
    <n v="1"/>
    <n v="1"/>
    <n v="4"/>
    <n v="2"/>
  </r>
  <r>
    <s v="SW-105368"/>
    <d v="2025-12-28T00:00:00"/>
    <x v="1"/>
    <s v="Q4"/>
    <x v="11"/>
    <x v="0"/>
    <x v="1"/>
    <x v="1"/>
    <x v="0"/>
    <s v="Leather Handbag"/>
    <n v="1"/>
    <n v="138.5"/>
    <n v="0.3"/>
    <x v="3"/>
    <n v="96.95"/>
    <n v="77.150000000000006"/>
    <n v="19.8"/>
    <n v="1"/>
    <n v="0"/>
    <n v="6"/>
    <n v="4"/>
  </r>
  <r>
    <s v="SW-105369"/>
    <d v="2025-12-28T00:00:00"/>
    <x v="1"/>
    <s v="Q4"/>
    <x v="11"/>
    <x v="0"/>
    <x v="4"/>
    <x v="0"/>
    <x v="0"/>
    <s v="Leather Handbag"/>
    <n v="1"/>
    <n v="138.5"/>
    <n v="0.1"/>
    <x v="0"/>
    <n v="124.65"/>
    <n v="73.239999999999995"/>
    <n v="51.41"/>
    <n v="1"/>
    <n v="0"/>
    <n v="6"/>
    <n v="3"/>
  </r>
  <r>
    <s v="SW-105370"/>
    <d v="2025-12-28T00:00:00"/>
    <x v="1"/>
    <s v="Q4"/>
    <x v="11"/>
    <x v="0"/>
    <x v="3"/>
    <x v="1"/>
    <x v="0"/>
    <s v="Summer Dress"/>
    <n v="1"/>
    <n v="33.99"/>
    <n v="0.2"/>
    <x v="1"/>
    <n v="27.19"/>
    <n v="18.399999999999999"/>
    <n v="8.7899999999999991"/>
    <n v="1"/>
    <n v="1"/>
    <n v="3"/>
    <n v="3"/>
  </r>
  <r>
    <s v="SW-105371"/>
    <d v="2025-12-28T00:00:00"/>
    <x v="1"/>
    <s v="Q4"/>
    <x v="11"/>
    <x v="2"/>
    <x v="2"/>
    <x v="1"/>
    <x v="0"/>
    <s v="Sunglasses"/>
    <n v="1"/>
    <n v="104.94"/>
    <n v="0.2"/>
    <x v="1"/>
    <n v="83.95"/>
    <n v="56.59"/>
    <n v="27.36"/>
    <n v="1"/>
    <n v="1"/>
    <n v="5"/>
    <n v="3"/>
  </r>
  <r>
    <s v="SW-105372"/>
    <d v="2025-12-28T00:00:00"/>
    <x v="1"/>
    <s v="Q4"/>
    <x v="11"/>
    <x v="0"/>
    <x v="3"/>
    <x v="1"/>
    <x v="3"/>
    <s v="Yoga Mat"/>
    <n v="3"/>
    <n v="137.05000000000001"/>
    <n v="0.05"/>
    <x v="0"/>
    <n v="390.59"/>
    <n v="272.58999999999997"/>
    <n v="118"/>
    <n v="1"/>
    <n v="0"/>
    <n v="4"/>
    <n v="4"/>
  </r>
  <r>
    <s v="SW-105373"/>
    <d v="2025-12-28T00:00:00"/>
    <x v="1"/>
    <s v="Q4"/>
    <x v="11"/>
    <x v="2"/>
    <x v="1"/>
    <x v="1"/>
    <x v="1"/>
    <s v="Face Serum"/>
    <n v="2"/>
    <n v="33.479999999999997"/>
    <n v="0.3"/>
    <x v="3"/>
    <n v="46.87"/>
    <n v="32.86"/>
    <n v="14.01"/>
    <n v="1"/>
    <n v="0"/>
    <n v="6"/>
    <n v="5"/>
  </r>
  <r>
    <s v="SW-105374"/>
    <d v="2025-12-29T00:00:00"/>
    <x v="1"/>
    <s v="Q4"/>
    <x v="11"/>
    <x v="0"/>
    <x v="3"/>
    <x v="0"/>
    <x v="4"/>
    <s v="Smart Watch"/>
    <n v="1"/>
    <n v="216.08"/>
    <n v="0.1"/>
    <x v="0"/>
    <n v="194.47"/>
    <n v="178.95"/>
    <n v="15.52"/>
    <n v="1"/>
    <n v="0"/>
    <n v="5"/>
    <n v="5"/>
  </r>
  <r>
    <s v="SW-105375"/>
    <d v="2025-12-29T00:00:00"/>
    <x v="1"/>
    <s v="Q4"/>
    <x v="11"/>
    <x v="2"/>
    <x v="2"/>
    <x v="1"/>
    <x v="5"/>
    <s v="Story Book Set"/>
    <n v="1"/>
    <n v="10.76"/>
    <n v="0.2"/>
    <x v="1"/>
    <n v="8.61"/>
    <n v="7.73"/>
    <n v="0.88"/>
    <n v="1"/>
    <n v="0"/>
    <n v="4"/>
    <n v="4"/>
  </r>
  <r>
    <s v="SW-105376"/>
    <d v="2025-12-29T00:00:00"/>
    <x v="1"/>
    <s v="Q4"/>
    <x v="11"/>
    <x v="0"/>
    <x v="3"/>
    <x v="0"/>
    <x v="0"/>
    <s v="Denim Jacket"/>
    <n v="1"/>
    <n v="78.510000000000005"/>
    <n v="0.2"/>
    <x v="1"/>
    <n v="62.81"/>
    <n v="45.41"/>
    <n v="17.399999999999999"/>
    <n v="1"/>
    <n v="0"/>
    <n v="4"/>
    <n v="5"/>
  </r>
  <r>
    <s v="SW-105377"/>
    <d v="2025-12-29T00:00:00"/>
    <x v="1"/>
    <s v="Q4"/>
    <x v="11"/>
    <x v="1"/>
    <x v="2"/>
    <x v="1"/>
    <x v="0"/>
    <s v="Cotton T-Shirt"/>
    <n v="1"/>
    <n v="19.41"/>
    <n v="0.2"/>
    <x v="1"/>
    <n v="15.53"/>
    <n v="10.5"/>
    <n v="5.03"/>
    <n v="1"/>
    <n v="0"/>
    <n v="4"/>
    <n v="4"/>
  </r>
  <r>
    <s v="SW-105378"/>
    <d v="2025-12-29T00:00:00"/>
    <x v="1"/>
    <s v="Q4"/>
    <x v="11"/>
    <x v="0"/>
    <x v="0"/>
    <x v="1"/>
    <x v="0"/>
    <s v="Summer Dress"/>
    <n v="1"/>
    <n v="33.99"/>
    <n v="0.05"/>
    <x v="0"/>
    <n v="32.29"/>
    <n v="18.5"/>
    <n v="13.79"/>
    <n v="1"/>
    <n v="0"/>
    <n v="8"/>
    <n v="3"/>
  </r>
  <r>
    <s v="SW-105379"/>
    <d v="2025-12-29T00:00:00"/>
    <x v="1"/>
    <s v="Q4"/>
    <x v="11"/>
    <x v="1"/>
    <x v="2"/>
    <x v="1"/>
    <x v="2"/>
    <s v="Coffee Maker"/>
    <n v="1"/>
    <n v="148.05000000000001"/>
    <n v="0.2"/>
    <x v="1"/>
    <n v="118.44"/>
    <n v="99.23"/>
    <n v="19.21"/>
    <n v="1"/>
    <n v="0"/>
    <n v="4"/>
    <n v="4"/>
  </r>
  <r>
    <s v="SW-105380"/>
    <d v="2025-12-29T00:00:00"/>
    <x v="1"/>
    <s v="Q4"/>
    <x v="11"/>
    <x v="2"/>
    <x v="3"/>
    <x v="1"/>
    <x v="5"/>
    <s v="Building Blocks"/>
    <n v="2"/>
    <n v="48.86"/>
    <n v="0.2"/>
    <x v="1"/>
    <n v="78.180000000000007"/>
    <n v="70.319999999999993"/>
    <n v="7.86"/>
    <n v="1"/>
    <n v="0"/>
    <n v="4"/>
    <n v="4"/>
  </r>
  <r>
    <s v="SW-105381"/>
    <d v="2025-12-29T00:00:00"/>
    <x v="1"/>
    <s v="Q4"/>
    <x v="11"/>
    <x v="1"/>
    <x v="2"/>
    <x v="0"/>
    <x v="1"/>
    <s v="Perfume 100ml"/>
    <n v="1"/>
    <n v="54.56"/>
    <n v="0.15"/>
    <x v="1"/>
    <n v="46.38"/>
    <n v="25.04"/>
    <n v="21.34"/>
    <n v="1"/>
    <n v="0"/>
    <n v="5"/>
    <n v="4"/>
  </r>
  <r>
    <s v="SW-105382"/>
    <d v="2025-12-29T00:00:00"/>
    <x v="1"/>
    <s v="Q4"/>
    <x v="11"/>
    <x v="1"/>
    <x v="2"/>
    <x v="0"/>
    <x v="0"/>
    <s v="Sunglasses"/>
    <n v="2"/>
    <n v="104.94"/>
    <n v="0.25"/>
    <x v="3"/>
    <n v="157.41"/>
    <n v="112.52"/>
    <n v="44.89"/>
    <n v="1"/>
    <n v="1"/>
    <n v="4"/>
    <n v="3"/>
  </r>
  <r>
    <s v="SW-105383"/>
    <d v="2025-12-29T00:00:00"/>
    <x v="1"/>
    <s v="Q4"/>
    <x v="11"/>
    <x v="1"/>
    <x v="0"/>
    <x v="0"/>
    <x v="5"/>
    <s v="Board Game"/>
    <n v="1"/>
    <n v="57.92"/>
    <n v="0.3"/>
    <x v="3"/>
    <n v="40.54"/>
    <n v="41.66"/>
    <n v="-1.1200000000000001"/>
    <n v="1"/>
    <n v="0"/>
    <n v="7"/>
    <n v="4"/>
  </r>
  <r>
    <s v="SW-105384"/>
    <d v="2025-12-29T00:00:00"/>
    <x v="1"/>
    <s v="Q4"/>
    <x v="11"/>
    <x v="0"/>
    <x v="3"/>
    <x v="0"/>
    <x v="4"/>
    <s v="4K Action Camera"/>
    <n v="4"/>
    <n v="636.09"/>
    <n v="0.25"/>
    <x v="3"/>
    <n v="1908.27"/>
    <n v="2051"/>
    <n v="-142.72999999999999"/>
    <n v="1"/>
    <n v="1"/>
    <n v="3"/>
    <n v="2"/>
  </r>
  <r>
    <s v="SW-105385"/>
    <d v="2025-12-30T00:00:00"/>
    <x v="1"/>
    <s v="Q4"/>
    <x v="11"/>
    <x v="0"/>
    <x v="4"/>
    <x v="1"/>
    <x v="3"/>
    <s v="Cycling Helmet"/>
    <n v="2"/>
    <n v="85.42"/>
    <n v="0.2"/>
    <x v="1"/>
    <n v="136.66999999999999"/>
    <n v="112.09"/>
    <n v="24.58"/>
    <n v="1"/>
    <n v="0"/>
    <n v="6"/>
    <n v="4"/>
  </r>
  <r>
    <s v="SW-105386"/>
    <d v="2025-12-30T00:00:00"/>
    <x v="1"/>
    <s v="Q4"/>
    <x v="11"/>
    <x v="1"/>
    <x v="2"/>
    <x v="0"/>
    <x v="3"/>
    <s v="Cycling Helmet"/>
    <n v="1"/>
    <n v="85.42"/>
    <n v="0.2"/>
    <x v="1"/>
    <n v="68.34"/>
    <n v="57.61"/>
    <n v="10.73"/>
    <n v="1"/>
    <n v="0"/>
    <n v="4"/>
    <n v="4"/>
  </r>
  <r>
    <s v="SW-105387"/>
    <d v="2025-12-30T00:00:00"/>
    <x v="1"/>
    <s v="Q4"/>
    <x v="11"/>
    <x v="0"/>
    <x v="0"/>
    <x v="0"/>
    <x v="1"/>
    <s v="Face Serum"/>
    <n v="2"/>
    <n v="33.479999999999997"/>
    <n v="0"/>
    <x v="2"/>
    <n v="66.959999999999994"/>
    <n v="31.72"/>
    <n v="35.24"/>
    <n v="1"/>
    <n v="0"/>
    <n v="4"/>
    <n v="5"/>
  </r>
  <r>
    <s v="SW-105388"/>
    <d v="2025-12-30T00:00:00"/>
    <x v="1"/>
    <s v="Q4"/>
    <x v="11"/>
    <x v="1"/>
    <x v="2"/>
    <x v="1"/>
    <x v="5"/>
    <s v="Building Blocks"/>
    <n v="1"/>
    <n v="48.86"/>
    <n v="0.25"/>
    <x v="3"/>
    <n v="36.64"/>
    <n v="36.369999999999997"/>
    <n v="0.27"/>
    <n v="1"/>
    <n v="0"/>
    <n v="4"/>
    <n v="4"/>
  </r>
  <r>
    <s v="SW-105389"/>
    <d v="2025-12-30T00:00:00"/>
    <x v="1"/>
    <s v="Q4"/>
    <x v="11"/>
    <x v="1"/>
    <x v="3"/>
    <x v="0"/>
    <x v="2"/>
    <s v="Cookware Set"/>
    <n v="2"/>
    <n v="233.81"/>
    <n v="0.15"/>
    <x v="1"/>
    <n v="397.48"/>
    <n v="307.37"/>
    <n v="90.11"/>
    <n v="1"/>
    <n v="0"/>
    <n v="4"/>
    <n v="4"/>
  </r>
  <r>
    <s v="SW-105390"/>
    <d v="2025-12-30T00:00:00"/>
    <x v="1"/>
    <s v="Q4"/>
    <x v="11"/>
    <x v="1"/>
    <x v="3"/>
    <x v="0"/>
    <x v="2"/>
    <s v="Storage Boxes"/>
    <n v="1"/>
    <n v="154.66"/>
    <n v="0.15"/>
    <x v="1"/>
    <n v="131.46"/>
    <n v="103.92"/>
    <n v="27.54"/>
    <n v="1"/>
    <n v="0"/>
    <n v="3"/>
    <n v="3"/>
  </r>
  <r>
    <s v="SW-105391"/>
    <d v="2025-12-30T00:00:00"/>
    <x v="1"/>
    <s v="Q4"/>
    <x v="11"/>
    <x v="0"/>
    <x v="0"/>
    <x v="1"/>
    <x v="4"/>
    <s v="4K Action Camera"/>
    <n v="1"/>
    <n v="636.09"/>
    <n v="0.2"/>
    <x v="1"/>
    <n v="508.87"/>
    <n v="494.24"/>
    <n v="14.63"/>
    <n v="1"/>
    <n v="0"/>
    <n v="4"/>
    <n v="4"/>
  </r>
  <r>
    <s v="SW-105392"/>
    <d v="2025-12-30T00:00:00"/>
    <x v="1"/>
    <s v="Q4"/>
    <x v="11"/>
    <x v="0"/>
    <x v="2"/>
    <x v="0"/>
    <x v="3"/>
    <s v="Cycling Helmet"/>
    <n v="3"/>
    <n v="85.42"/>
    <n v="0"/>
    <x v="2"/>
    <n v="256.26"/>
    <n v="173.29"/>
    <n v="82.97"/>
    <n v="1"/>
    <n v="1"/>
    <n v="4"/>
    <n v="3"/>
  </r>
  <r>
    <s v="SW-105393"/>
    <d v="2025-12-30T00:00:00"/>
    <x v="1"/>
    <s v="Q4"/>
    <x v="11"/>
    <x v="0"/>
    <x v="2"/>
    <x v="1"/>
    <x v="1"/>
    <s v="Face Serum"/>
    <n v="1"/>
    <n v="33.479999999999997"/>
    <n v="0"/>
    <x v="2"/>
    <n v="33.479999999999997"/>
    <n v="16.14"/>
    <n v="17.34"/>
    <n v="1"/>
    <n v="0"/>
    <n v="4"/>
    <n v="5"/>
  </r>
  <r>
    <s v="SW-105394"/>
    <d v="2025-12-30T00:00:00"/>
    <x v="1"/>
    <s v="Q4"/>
    <x v="11"/>
    <x v="2"/>
    <x v="4"/>
    <x v="0"/>
    <x v="0"/>
    <s v="Running Sneakers"/>
    <n v="2"/>
    <n v="94.85"/>
    <n v="0.1"/>
    <x v="0"/>
    <n v="170.73"/>
    <n v="107.29"/>
    <n v="63.44"/>
    <n v="1"/>
    <n v="0"/>
    <n v="6"/>
    <n v="4"/>
  </r>
  <r>
    <s v="SW-105395"/>
    <d v="2025-12-31T00:00:00"/>
    <x v="1"/>
    <s v="Q4"/>
    <x v="11"/>
    <x v="0"/>
    <x v="0"/>
    <x v="0"/>
    <x v="1"/>
    <s v="Skin Care Bundle"/>
    <n v="2"/>
    <n v="92.54"/>
    <n v="0.25"/>
    <x v="3"/>
    <n v="138.81"/>
    <n v="88.55"/>
    <n v="50.26"/>
    <n v="1"/>
    <n v="0"/>
    <n v="4"/>
    <n v="4"/>
  </r>
  <r>
    <s v="SW-105396"/>
    <d v="2025-12-31T00:00:00"/>
    <x v="1"/>
    <s v="Q4"/>
    <x v="11"/>
    <x v="1"/>
    <x v="2"/>
    <x v="1"/>
    <x v="5"/>
    <s v="Building Blocks"/>
    <n v="2"/>
    <n v="48.86"/>
    <n v="0.1"/>
    <x v="0"/>
    <n v="87.95"/>
    <n v="70.3"/>
    <n v="17.649999999999999"/>
    <n v="1"/>
    <n v="0"/>
    <n v="4"/>
    <n v="5"/>
  </r>
  <r>
    <s v="SW-105397"/>
    <d v="2025-12-31T00:00:00"/>
    <x v="1"/>
    <s v="Q4"/>
    <x v="11"/>
    <x v="1"/>
    <x v="3"/>
    <x v="1"/>
    <x v="1"/>
    <s v="Face Serum"/>
    <n v="3"/>
    <n v="33.479999999999997"/>
    <n v="0.25"/>
    <x v="3"/>
    <n v="75.33"/>
    <n v="49"/>
    <n v="26.33"/>
    <n v="1"/>
    <n v="0"/>
    <n v="3"/>
    <n v="4"/>
  </r>
  <r>
    <s v="SW-105398"/>
    <d v="2025-12-31T00:00:00"/>
    <x v="1"/>
    <s v="Q4"/>
    <x v="11"/>
    <x v="1"/>
    <x v="0"/>
    <x v="0"/>
    <x v="2"/>
    <s v="Desk Lamp"/>
    <n v="2"/>
    <n v="117.63"/>
    <n v="0.3"/>
    <x v="3"/>
    <n v="164.68"/>
    <n v="152.69999999999999"/>
    <n v="11.98"/>
    <n v="1"/>
    <n v="0"/>
    <n v="5"/>
    <n v="4"/>
  </r>
  <r>
    <s v="SW-105399"/>
    <d v="2025-12-31T00:00:00"/>
    <x v="1"/>
    <s v="Q4"/>
    <x v="11"/>
    <x v="0"/>
    <x v="2"/>
    <x v="1"/>
    <x v="0"/>
    <s v="Leather Handbag"/>
    <n v="1"/>
    <n v="138.5"/>
    <n v="0.3"/>
    <x v="3"/>
    <n v="96.95"/>
    <n v="77.52"/>
    <n v="19.43"/>
    <n v="1"/>
    <n v="1"/>
    <n v="5"/>
    <n v="4"/>
  </r>
  <r>
    <s v="SW-105400"/>
    <d v="2025-12-31T00:00:00"/>
    <x v="1"/>
    <s v="Q4"/>
    <x v="11"/>
    <x v="0"/>
    <x v="1"/>
    <x v="1"/>
    <x v="5"/>
    <s v="Board Game"/>
    <n v="1"/>
    <n v="57.92"/>
    <n v="0.25"/>
    <x v="3"/>
    <n v="43.44"/>
    <n v="40.299999999999997"/>
    <n v="3.14"/>
    <n v="1"/>
    <n v="0"/>
    <n v="8"/>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7C5BA-A997-4B16-9B2B-284B9FCE9EE6}" name="ptDiscount" cacheId="17"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U5:V10" firstHeaderRow="1" firstDataRow="1" firstDataCol="1"/>
  <pivotFields count="24">
    <pivotField compact="0" outline="0" showAll="0"/>
    <pivotField compact="0" numFmtId="165"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6">
        <item x="3"/>
        <item x="2"/>
        <item x="4"/>
        <item x="1"/>
        <item x="0"/>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numFmtId="166" outline="0" showAll="0"/>
    <pivotField compact="0" numFmtId="9" outline="0" showAll="0"/>
    <pivotField axis="axisRow" compact="0" outline="0" showAll="0" defaultSubtotal="0">
      <items count="4">
        <item x="2"/>
        <item x="0"/>
        <item x="1"/>
        <item x="3"/>
      </items>
    </pivotField>
    <pivotField compact="0" numFmtId="166"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13"/>
  </rowFields>
  <rowItems count="5">
    <i>
      <x/>
    </i>
    <i>
      <x v="1"/>
    </i>
    <i>
      <x v="2"/>
    </i>
    <i>
      <x v="3"/>
    </i>
    <i t="grand">
      <x/>
    </i>
  </rowItems>
  <colItems count="1">
    <i/>
  </colItems>
  <dataFields count="1">
    <dataField name="Margin " fld="22"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430D3-8549-4C58-BC49-677878304240}" name="ptReturns" cacheId="17"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R5:S12" firstHeaderRow="1" firstDataRow="1" firstDataCol="1"/>
  <pivotFields count="24">
    <pivotField compact="0" outline="0" showAll="0"/>
    <pivotField compact="0" numFmtId="165"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6">
        <item x="3"/>
        <item x="2"/>
        <item x="4"/>
        <item x="1"/>
        <item x="0"/>
        <item t="default"/>
      </items>
    </pivotField>
    <pivotField compact="0" outline="0" showAll="0">
      <items count="3">
        <item x="0"/>
        <item x="1"/>
        <item t="default"/>
      </items>
    </pivotField>
    <pivotField axis="axisRow" compact="0" outline="0" showAll="0" sortType="descending" defaultSubtotal="0">
      <items count="6">
        <item x="1"/>
        <item x="5"/>
        <item x="4"/>
        <item x="0"/>
        <item x="2"/>
        <item x="3"/>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pivotField compact="0" numFmtId="9" outline="0" showAll="0"/>
    <pivotField compact="0" outline="0" showAll="0"/>
    <pivotField compact="0" numFmtId="166"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1">
    <field x="8"/>
  </rowFields>
  <rowItems count="7">
    <i>
      <x v="3"/>
    </i>
    <i>
      <x v="5"/>
    </i>
    <i>
      <x v="2"/>
    </i>
    <i>
      <x v="4"/>
    </i>
    <i>
      <x v="1"/>
    </i>
    <i>
      <x/>
    </i>
    <i t="grand">
      <x/>
    </i>
  </rowItems>
  <colItems count="1">
    <i/>
  </colItems>
  <dataFields count="1">
    <dataField name="Return Rate " fld="23"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6CC7F9-7A79-446D-9809-3D016C535EB9}" name="ptChannel" cacheId="17"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O5:P9" firstHeaderRow="1" firstDataRow="1" firstDataCol="1"/>
  <pivotFields count="24">
    <pivotField compact="0" outline="0" showAll="0"/>
    <pivotField compact="0" numFmtId="165" outline="0" showAll="0"/>
    <pivotField compact="0" outline="0" showAll="0"/>
    <pivotField compact="0" outline="0" showAll="0"/>
    <pivotField compact="0" outline="0" showAll="0"/>
    <pivotField axis="axisRow" compact="0" outline="0" showAll="0" sortType="descending" defaultSubtotal="0">
      <items count="3">
        <item x="2"/>
        <item x="1"/>
        <item x="0"/>
      </items>
      <autoSortScope>
        <pivotArea dataOnly="0" outline="0" fieldPosition="0">
          <references count="1">
            <reference field="4294967294" count="1" selected="0">
              <x v="0"/>
            </reference>
          </references>
        </pivotArea>
      </autoSortScope>
    </pivotField>
    <pivotField compact="0" outline="0" showAll="0">
      <items count="6">
        <item x="3"/>
        <item x="2"/>
        <item x="4"/>
        <item x="1"/>
        <item x="0"/>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numFmtId="166" outline="0" showAll="0"/>
    <pivotField compact="0" numFmtId="9" outline="0" showAll="0"/>
    <pivotField compact="0" outline="0" showAll="0"/>
    <pivotField dataField="1" compact="0" numFmtId="166"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4">
    <i>
      <x v="2"/>
    </i>
    <i>
      <x v="1"/>
    </i>
    <i>
      <x/>
    </i>
    <i t="grand">
      <x/>
    </i>
  </rowItems>
  <colItems count="1">
    <i/>
  </colItems>
  <dataFields count="1">
    <dataField name="Revenue " fld="14"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F2B4C-3729-4CB7-B3F9-7D5E1E2BBFEF}" name="ptCategory" cacheId="17"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L5:M12" firstHeaderRow="1" firstDataRow="1" firstDataCol="1"/>
  <pivotFields count="24">
    <pivotField compact="0" outline="0" showAll="0"/>
    <pivotField compact="0" numFmtId="165"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6">
        <item x="3"/>
        <item x="2"/>
        <item x="4"/>
        <item x="1"/>
        <item x="0"/>
        <item t="default"/>
      </items>
    </pivotField>
    <pivotField compact="0" outline="0" showAll="0">
      <items count="3">
        <item x="0"/>
        <item x="1"/>
        <item t="default"/>
      </items>
    </pivotField>
    <pivotField axis="axisRow" compact="0" outline="0" showAll="0" sortType="descending" defaultSubtotal="0">
      <items count="6">
        <item x="1"/>
        <item x="5"/>
        <item x="4"/>
        <item x="0"/>
        <item x="2"/>
        <item x="3"/>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pivotField compact="0" numFmtId="9" outline="0" showAll="0"/>
    <pivotField compact="0" outline="0" showAll="0"/>
    <pivotField dataField="1" compact="0" numFmtId="166"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8"/>
  </rowFields>
  <rowItems count="7">
    <i>
      <x v="2"/>
    </i>
    <i>
      <x v="4"/>
    </i>
    <i>
      <x v="3"/>
    </i>
    <i>
      <x v="5"/>
    </i>
    <i>
      <x/>
    </i>
    <i>
      <x v="1"/>
    </i>
    <i t="grand">
      <x/>
    </i>
  </rowItems>
  <colItems count="1">
    <i/>
  </colItems>
  <dataFields count="1">
    <dataField name="Revenue " fld="14"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02E09-1F28-4F9C-8233-C0A80AAEC997}" name="ptTrend" cacheId="17"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G5:J19" firstHeaderRow="1" firstDataRow="2" firstDataCol="1"/>
  <pivotFields count="24">
    <pivotField compact="0" outline="0" showAll="0"/>
    <pivotField compact="0" numFmtId="165" outline="0" showAll="0"/>
    <pivotField axis="axisCol" compact="0" outline="0" showAll="0" defaultSubtotal="0">
      <items count="2">
        <item x="0"/>
        <item x="1"/>
      </items>
    </pivotField>
    <pivotField compact="0" outline="0" showAll="0"/>
    <pivotField axis="axisRow" compact="0" outline="0" showAll="0" defaultSubtotal="0">
      <items count="12">
        <item x="0"/>
        <item x="1"/>
        <item x="2"/>
        <item x="3"/>
        <item x="4"/>
        <item x="5"/>
        <item x="6"/>
        <item x="7"/>
        <item x="8"/>
        <item x="9"/>
        <item x="10"/>
        <item x="11"/>
      </items>
    </pivotField>
    <pivotField compact="0" outline="0" showAll="0">
      <items count="4">
        <item x="2"/>
        <item x="1"/>
        <item x="0"/>
        <item t="default"/>
      </items>
    </pivotField>
    <pivotField compact="0" outline="0" showAll="0">
      <items count="6">
        <item x="3"/>
        <item x="2"/>
        <item x="4"/>
        <item x="1"/>
        <item x="0"/>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numFmtId="166" outline="0" showAll="0"/>
    <pivotField compact="0" numFmtId="9" outline="0" showAll="0"/>
    <pivotField compact="0" outline="0" showAll="0"/>
    <pivotField dataField="1" compact="0" numFmtId="166"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13">
    <i>
      <x/>
    </i>
    <i>
      <x v="1"/>
    </i>
    <i>
      <x v="2"/>
    </i>
    <i>
      <x v="3"/>
    </i>
    <i>
      <x v="4"/>
    </i>
    <i>
      <x v="5"/>
    </i>
    <i>
      <x v="6"/>
    </i>
    <i>
      <x v="7"/>
    </i>
    <i>
      <x v="8"/>
    </i>
    <i>
      <x v="9"/>
    </i>
    <i>
      <x v="10"/>
    </i>
    <i>
      <x v="11"/>
    </i>
    <i t="grand">
      <x/>
    </i>
  </rowItems>
  <colFields count="1">
    <field x="2"/>
  </colFields>
  <colItems count="3">
    <i>
      <x/>
    </i>
    <i>
      <x v="1"/>
    </i>
    <i t="grand">
      <x/>
    </i>
  </colItems>
  <dataFields count="1">
    <dataField name="Revenue " fld="14" baseField="0" baseItem="0" numFmtId="167"/>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B815D8-AF1C-4EC8-ABED-63448907A12C}" name="ptKPI" cacheId="17" dataOnRows="1" applyNumberFormats="0" applyBorderFormats="0" applyFontFormats="0" applyPatternFormats="0" applyAlignmentFormats="0" applyWidthHeightFormats="1" dataCaption="Values" updatedVersion="8" minRefreshableVersion="3" itemPrintTitles="1" createdVersion="5" indent="0" compact="0" compactData="0" multipleFieldFilters="0">
  <location ref="B5:E11" firstHeaderRow="1" firstDataRow="2" firstDataCol="1"/>
  <pivotFields count="24">
    <pivotField compact="0" outline="0" showAll="0"/>
    <pivotField compact="0" numFmtId="165" outline="0" showAll="0"/>
    <pivotField axis="axisCol" compact="0" outline="0" showAll="0" defaultSubtotal="0">
      <items count="2">
        <item x="0"/>
        <item x="1"/>
      </items>
    </pivotField>
    <pivotField compact="0" outline="0" showAll="0"/>
    <pivotField compact="0" outline="0" showAll="0"/>
    <pivotField compact="0" outline="0" showAll="0">
      <items count="4">
        <item x="2"/>
        <item x="1"/>
        <item x="0"/>
        <item t="default"/>
      </items>
    </pivotField>
    <pivotField compact="0" outline="0" showAll="0">
      <items count="6">
        <item x="3"/>
        <item x="2"/>
        <item x="4"/>
        <item x="1"/>
        <item x="0"/>
        <item t="default"/>
      </items>
    </pivotField>
    <pivotField compact="0" outline="0" showAll="0">
      <items count="3">
        <item x="0"/>
        <item x="1"/>
        <item t="default"/>
      </items>
    </pivotField>
    <pivotField compact="0" outline="0" showAll="0">
      <items count="7">
        <item x="1"/>
        <item x="5"/>
        <item x="4"/>
        <item x="0"/>
        <item x="2"/>
        <item x="3"/>
        <item t="default"/>
      </items>
    </pivotField>
    <pivotField compact="0" outline="0" showAll="0"/>
    <pivotField compact="0" outline="0" showAll="0"/>
    <pivotField compact="0" numFmtId="166" outline="0" showAll="0"/>
    <pivotField compact="0" numFmtId="9" outline="0" showAll="0"/>
    <pivotField compact="0" outline="0" showAll="0"/>
    <pivotField dataField="1" compact="0" numFmtId="166" outline="0" showAll="0"/>
    <pivotField compact="0" numFmtId="166" outline="0" showAll="0"/>
    <pivotField compact="0" numFmtId="166" outline="0" showAll="0"/>
    <pivotField dataField="1"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
  </rowFields>
  <rowItems count="5">
    <i>
      <x/>
    </i>
    <i i="1">
      <x v="1"/>
    </i>
    <i i="2">
      <x v="2"/>
    </i>
    <i i="3">
      <x v="3"/>
    </i>
    <i i="4">
      <x v="4"/>
    </i>
  </rowItems>
  <colFields count="1">
    <field x="2"/>
  </colFields>
  <colItems count="3">
    <i>
      <x/>
    </i>
    <i>
      <x v="1"/>
    </i>
    <i t="grand">
      <x/>
    </i>
  </colItems>
  <dataFields count="5">
    <dataField name="Revenue " fld="14" baseField="0" baseItem="0" numFmtId="167"/>
    <dataField name="Orders " fld="17" baseField="0" baseItem="0" numFmtId="3"/>
    <dataField name="AOV " fld="21" baseField="0" baseItem="0" numFmtId="168"/>
    <dataField name="Margin " fld="22" baseField="0" baseItem="0" numFmtId="169"/>
    <dataField name="Return Rate " fld="23" baseField="0" baseItem="0" numFmtId="169"/>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EDEBA8-E277-479F-ABA1-6134CBFEC47B}" sourceName="Region">
  <pivotTables>
    <pivotTable tabId="2" name="ptKPI"/>
    <pivotTable tabId="2" name="ptTrend"/>
    <pivotTable tabId="2" name="ptCategory"/>
    <pivotTable tabId="2" name="ptChannel"/>
    <pivotTable tabId="2" name="ptReturns"/>
    <pivotTable tabId="2" name="ptDiscount"/>
  </pivotTables>
  <data>
    <tabular pivotCacheId="541384858">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3612110-6B85-41F0-B6BF-B099CDE4AC1D}" sourceName="Channel">
  <pivotTables>
    <pivotTable tabId="2" name="ptKPI"/>
    <pivotTable tabId="2" name="ptTrend"/>
    <pivotTable tabId="2" name="ptCategory"/>
    <pivotTable tabId="2" name="ptChannel"/>
    <pivotTable tabId="2" name="ptReturns"/>
    <pivotTable tabId="2" name="ptDiscount"/>
  </pivotTables>
  <data>
    <tabular pivotCacheId="54138485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7201F662-DDB8-4F7E-81F3-3080F52BDCA8}" sourceName="CustomerType">
  <pivotTables>
    <pivotTable tabId="2" name="ptKPI"/>
    <pivotTable tabId="2" name="ptTrend"/>
    <pivotTable tabId="2" name="ptCategory"/>
    <pivotTable tabId="2" name="ptChannel"/>
    <pivotTable tabId="2" name="ptReturns"/>
    <pivotTable tabId="2" name="ptDiscount"/>
  </pivotTables>
  <data>
    <tabular pivotCacheId="5413848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242428-11E0-4D1F-8EDD-3D42C352E953}" sourceName="Category">
  <pivotTables>
    <pivotTable tabId="2" name="ptKPI"/>
    <pivotTable tabId="2" name="ptTrend"/>
    <pivotTable tabId="2" name="ptCategory"/>
    <pivotTable tabId="2" name="ptChannel"/>
    <pivotTable tabId="2" name="ptReturns"/>
    <pivotTable tabId="2" name="ptDiscount"/>
  </pivotTables>
  <data>
    <tabular pivotCacheId="541384858">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15F43E-E9A8-4A3B-B27F-A850B32163F2}" cache="Slicer_Region" caption="Region" rowHeight="215900"/>
  <slicer name="Channel" xr10:uid="{85A95A37-9993-4589-AB71-613E851A58B5}" cache="Slicer_Channel" caption="Channel" rowHeight="215900"/>
  <slicer name="CustomerType" xr10:uid="{9416D182-91CE-4805-9429-1F62583B5495}" cache="Slicer_CustomerType" caption="Customer Type" rowHeight="215900"/>
  <slicer name="Category" xr10:uid="{A975FBED-E5F8-4740-B9BF-453FDA76D588}" cache="Slicer_Category" caption="Category"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ta" displayName="tblData" ref="A1:U5401">
  <autoFilter ref="A1:U5401" xr:uid="{00000000-0009-0000-0100-000001000000}"/>
  <tableColumns count="21">
    <tableColumn id="1" xr3:uid="{00000000-0010-0000-0000-000001000000}" name="OrderID"/>
    <tableColumn id="2" xr3:uid="{00000000-0010-0000-0000-000002000000}" name="OrderDate"/>
    <tableColumn id="3" xr3:uid="{00000000-0010-0000-0000-000003000000}" name="Year"/>
    <tableColumn id="4" xr3:uid="{00000000-0010-0000-0000-000004000000}" name="Quarter"/>
    <tableColumn id="5" xr3:uid="{00000000-0010-0000-0000-000005000000}" name="Month"/>
    <tableColumn id="6" xr3:uid="{00000000-0010-0000-0000-000006000000}" name="Channel"/>
    <tableColumn id="7" xr3:uid="{00000000-0010-0000-0000-000007000000}" name="Region"/>
    <tableColumn id="8" xr3:uid="{00000000-0010-0000-0000-000008000000}" name="CustomerType"/>
    <tableColumn id="9" xr3:uid="{00000000-0010-0000-0000-000009000000}" name="Category"/>
    <tableColumn id="10" xr3:uid="{00000000-0010-0000-0000-00000A000000}" name="Product"/>
    <tableColumn id="11" xr3:uid="{00000000-0010-0000-0000-00000B000000}" name="Quantity"/>
    <tableColumn id="12" xr3:uid="{00000000-0010-0000-0000-00000C000000}" name="UnitPrice"/>
    <tableColumn id="13" xr3:uid="{00000000-0010-0000-0000-00000D000000}" name="DiscountPct"/>
    <tableColumn id="14" xr3:uid="{00000000-0010-0000-0000-00000E000000}" name="DiscountBand"/>
    <tableColumn id="15" xr3:uid="{00000000-0010-0000-0000-00000F000000}" name="Revenue"/>
    <tableColumn id="16" xr3:uid="{00000000-0010-0000-0000-000010000000}" name="Cost"/>
    <tableColumn id="17" xr3:uid="{00000000-0010-0000-0000-000011000000}" name="Profit"/>
    <tableColumn id="18" xr3:uid="{00000000-0010-0000-0000-000012000000}" name="Orders"/>
    <tableColumn id="19" xr3:uid="{00000000-0010-0000-0000-000013000000}" name="Returned"/>
    <tableColumn id="20" xr3:uid="{00000000-0010-0000-0000-000014000000}" name="DeliveryDays"/>
    <tableColumn id="21" xr3:uid="{00000000-0010-0000-0000-000015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F1E3D"/>
      </a:dk2>
      <a:lt2>
        <a:srgbClr val="EEECE1"/>
      </a:lt2>
      <a:accent1>
        <a:srgbClr val="2563EB"/>
      </a:accent1>
      <a:accent2>
        <a:srgbClr val="F59E0B"/>
      </a:accent2>
      <a:accent3>
        <a:srgbClr val="10B981"/>
      </a:accent3>
      <a:accent4>
        <a:srgbClr val="EF4444"/>
      </a:accent4>
      <a:accent5>
        <a:srgbClr val="8B5CF6"/>
      </a:accent5>
      <a:accent6>
        <a:srgbClr val="64748B"/>
      </a:accent6>
      <a:hlink>
        <a:srgbClr val="0000FF"/>
      </a:hlink>
      <a:folHlink>
        <a:srgbClr val="800080"/>
      </a:folHlink>
    </a:clrScheme>
    <a:fontScheme name="Office">
      <a:majorFont>
        <a:latin typeface="Segoe U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egoe U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1E3D"/>
    <pageSetUpPr fitToPage="1"/>
  </sheetPr>
  <dimension ref="A1:BP55"/>
  <sheetViews>
    <sheetView showGridLines="0" showRowColHeaders="0" tabSelected="1" zoomScale="90" zoomScaleNormal="90" workbookViewId="0"/>
  </sheetViews>
  <sheetFormatPr defaultRowHeight="12" x14ac:dyDescent="0.2"/>
  <cols>
    <col min="1" max="74" width="2.75" style="19" customWidth="1"/>
    <col min="75" max="16384" width="9" style="19"/>
  </cols>
  <sheetData>
    <row r="1" spans="1:68" ht="15" customHeight="1" x14ac:dyDescent="0.2">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row>
    <row r="2" spans="1:68" ht="24" customHeight="1" x14ac:dyDescent="0.55000000000000004">
      <c r="A2" s="21"/>
      <c r="B2" s="22" t="s">
        <v>5490</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4" t="s">
        <v>5572</v>
      </c>
      <c r="BP2" s="21"/>
    </row>
    <row r="3" spans="1:68" ht="15" customHeight="1" x14ac:dyDescent="0.25">
      <c r="A3" s="21"/>
      <c r="B3" s="23" t="s">
        <v>5571</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5" t="s">
        <v>5556</v>
      </c>
      <c r="BP3" s="21"/>
    </row>
    <row r="4" spans="1:68" ht="15" customHeight="1" x14ac:dyDescent="0.2">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row>
    <row r="5" spans="1:68" ht="3.95" customHeight="1" x14ac:dyDescent="0.2">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row>
    <row r="6" spans="1:68" ht="15" customHeight="1" thickBot="1"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row>
    <row r="7" spans="1:68" ht="15" customHeight="1" x14ac:dyDescent="0.25">
      <c r="A7" s="20"/>
      <c r="B7" s="35" t="s">
        <v>5573</v>
      </c>
      <c r="C7" s="29"/>
      <c r="D7" s="29"/>
      <c r="E7" s="29"/>
      <c r="F7" s="29"/>
      <c r="G7" s="29"/>
      <c r="H7" s="29"/>
      <c r="I7" s="29"/>
      <c r="J7" s="29"/>
      <c r="K7" s="32"/>
      <c r="L7" s="20"/>
      <c r="M7" s="38" t="s">
        <v>5574</v>
      </c>
      <c r="N7" s="36"/>
      <c r="O7" s="36"/>
      <c r="P7" s="36"/>
      <c r="Q7" s="36"/>
      <c r="R7" s="36"/>
      <c r="S7" s="36"/>
      <c r="T7" s="36"/>
      <c r="U7" s="36"/>
      <c r="V7" s="37"/>
      <c r="W7" s="20"/>
      <c r="X7" s="38" t="s">
        <v>5575</v>
      </c>
      <c r="Y7" s="36"/>
      <c r="Z7" s="36"/>
      <c r="AA7" s="36"/>
      <c r="AB7" s="36"/>
      <c r="AC7" s="36"/>
      <c r="AD7" s="36"/>
      <c r="AE7" s="36"/>
      <c r="AF7" s="36"/>
      <c r="AG7" s="37"/>
      <c r="AH7" s="20"/>
      <c r="AI7" s="38" t="s">
        <v>5576</v>
      </c>
      <c r="AJ7" s="36"/>
      <c r="AK7" s="36"/>
      <c r="AL7" s="36"/>
      <c r="AM7" s="36"/>
      <c r="AN7" s="36"/>
      <c r="AO7" s="36"/>
      <c r="AP7" s="36"/>
      <c r="AQ7" s="36"/>
      <c r="AR7" s="37"/>
      <c r="AS7" s="20"/>
      <c r="AT7" s="38" t="s">
        <v>5577</v>
      </c>
      <c r="AU7" s="36"/>
      <c r="AV7" s="36"/>
      <c r="AW7" s="36"/>
      <c r="AX7" s="36"/>
      <c r="AY7" s="36"/>
      <c r="AZ7" s="36"/>
      <c r="BA7" s="36"/>
      <c r="BB7" s="36"/>
      <c r="BC7" s="37"/>
      <c r="BD7" s="20"/>
      <c r="BE7" s="38" t="s">
        <v>5578</v>
      </c>
      <c r="BF7" s="36"/>
      <c r="BG7" s="36"/>
      <c r="BH7" s="36"/>
      <c r="BI7" s="36"/>
      <c r="BJ7" s="36"/>
      <c r="BK7" s="36"/>
      <c r="BL7" s="36"/>
      <c r="BM7" s="36"/>
      <c r="BN7" s="37"/>
      <c r="BO7" s="20"/>
      <c r="BP7" s="20"/>
    </row>
    <row r="8" spans="1:68" ht="15" customHeight="1" x14ac:dyDescent="0.2">
      <c r="A8" s="20"/>
      <c r="B8" s="28"/>
      <c r="C8" s="27"/>
      <c r="D8" s="27"/>
      <c r="E8" s="27"/>
      <c r="F8" s="27"/>
      <c r="G8" s="27"/>
      <c r="H8" s="27"/>
      <c r="I8" s="27"/>
      <c r="J8" s="27"/>
      <c r="K8" s="33"/>
      <c r="L8" s="20"/>
      <c r="M8" s="39">
        <f>IFERROR(GETPIVOTDATA("Revenue ",Pivots!$B$5,"Year",2025),0)</f>
        <v>650810.15999999584</v>
      </c>
      <c r="N8" s="40"/>
      <c r="O8" s="40"/>
      <c r="P8" s="40"/>
      <c r="Q8" s="40"/>
      <c r="R8" s="40"/>
      <c r="S8" s="40"/>
      <c r="T8" s="40"/>
      <c r="U8" s="40"/>
      <c r="V8" s="41"/>
      <c r="W8" s="20"/>
      <c r="X8" s="45">
        <f>IFERROR(GETPIVOTDATA("Orders ",Pivots!$B$5,"Year",2025),0)</f>
        <v>2915</v>
      </c>
      <c r="Y8" s="46"/>
      <c r="Z8" s="46"/>
      <c r="AA8" s="46"/>
      <c r="AB8" s="46"/>
      <c r="AC8" s="46"/>
      <c r="AD8" s="46"/>
      <c r="AE8" s="46"/>
      <c r="AF8" s="46"/>
      <c r="AG8" s="47"/>
      <c r="AH8" s="20"/>
      <c r="AI8" s="48">
        <f>IFERROR(GETPIVOTDATA("AOV ",Pivots!$B$5,"Year",2025),0)</f>
        <v>223.26249056603632</v>
      </c>
      <c r="AJ8" s="49"/>
      <c r="AK8" s="49"/>
      <c r="AL8" s="49"/>
      <c r="AM8" s="49"/>
      <c r="AN8" s="49"/>
      <c r="AO8" s="49"/>
      <c r="AP8" s="49"/>
      <c r="AQ8" s="49"/>
      <c r="AR8" s="50"/>
      <c r="AS8" s="20"/>
      <c r="AT8" s="51">
        <f>IFERROR(GETPIVOTDATA("Margin ",Pivots!$B$5,"Year",2025),0)</f>
        <v>0.19944616414716193</v>
      </c>
      <c r="AU8" s="52"/>
      <c r="AV8" s="52"/>
      <c r="AW8" s="52"/>
      <c r="AX8" s="52"/>
      <c r="AY8" s="52"/>
      <c r="AZ8" s="52"/>
      <c r="BA8" s="52"/>
      <c r="BB8" s="52"/>
      <c r="BC8" s="53"/>
      <c r="BD8" s="20"/>
      <c r="BE8" s="51">
        <f>IFERROR(GETPIVOTDATA("Return Rate ",Pivots!$B$5,"Year",2025),0)</f>
        <v>7.8216123499142365E-2</v>
      </c>
      <c r="BF8" s="52"/>
      <c r="BG8" s="52"/>
      <c r="BH8" s="52"/>
      <c r="BI8" s="52"/>
      <c r="BJ8" s="52"/>
      <c r="BK8" s="52"/>
      <c r="BL8" s="52"/>
      <c r="BM8" s="52"/>
      <c r="BN8" s="53"/>
      <c r="BO8" s="20"/>
      <c r="BP8" s="20"/>
    </row>
    <row r="9" spans="1:68" ht="15" customHeight="1" x14ac:dyDescent="0.2">
      <c r="A9" s="20"/>
      <c r="B9" s="28"/>
      <c r="C9" s="27"/>
      <c r="D9" s="27"/>
      <c r="E9" s="27"/>
      <c r="F9" s="27"/>
      <c r="G9" s="27"/>
      <c r="H9" s="27"/>
      <c r="I9" s="27"/>
      <c r="J9" s="27"/>
      <c r="K9" s="33"/>
      <c r="L9" s="20"/>
      <c r="M9" s="39"/>
      <c r="N9" s="40"/>
      <c r="O9" s="40"/>
      <c r="P9" s="40"/>
      <c r="Q9" s="40"/>
      <c r="R9" s="40"/>
      <c r="S9" s="40"/>
      <c r="T9" s="40"/>
      <c r="U9" s="40"/>
      <c r="V9" s="41"/>
      <c r="W9" s="20"/>
      <c r="X9" s="45"/>
      <c r="Y9" s="46"/>
      <c r="Z9" s="46"/>
      <c r="AA9" s="46"/>
      <c r="AB9" s="46"/>
      <c r="AC9" s="46"/>
      <c r="AD9" s="46"/>
      <c r="AE9" s="46"/>
      <c r="AF9" s="46"/>
      <c r="AG9" s="47"/>
      <c r="AH9" s="20"/>
      <c r="AI9" s="48"/>
      <c r="AJ9" s="49"/>
      <c r="AK9" s="49"/>
      <c r="AL9" s="49"/>
      <c r="AM9" s="49"/>
      <c r="AN9" s="49"/>
      <c r="AO9" s="49"/>
      <c r="AP9" s="49"/>
      <c r="AQ9" s="49"/>
      <c r="AR9" s="50"/>
      <c r="AS9" s="20"/>
      <c r="AT9" s="51"/>
      <c r="AU9" s="52"/>
      <c r="AV9" s="52"/>
      <c r="AW9" s="52"/>
      <c r="AX9" s="52"/>
      <c r="AY9" s="52"/>
      <c r="AZ9" s="52"/>
      <c r="BA9" s="52"/>
      <c r="BB9" s="52"/>
      <c r="BC9" s="53"/>
      <c r="BD9" s="20"/>
      <c r="BE9" s="51"/>
      <c r="BF9" s="52"/>
      <c r="BG9" s="52"/>
      <c r="BH9" s="52"/>
      <c r="BI9" s="52"/>
      <c r="BJ9" s="52"/>
      <c r="BK9" s="52"/>
      <c r="BL9" s="52"/>
      <c r="BM9" s="52"/>
      <c r="BN9" s="53"/>
      <c r="BO9" s="20"/>
      <c r="BP9" s="20"/>
    </row>
    <row r="10" spans="1:68" ht="15" customHeight="1" x14ac:dyDescent="0.2">
      <c r="A10" s="20"/>
      <c r="B10" s="28"/>
      <c r="C10" s="27"/>
      <c r="D10" s="27"/>
      <c r="E10" s="27"/>
      <c r="F10" s="27"/>
      <c r="G10" s="27"/>
      <c r="H10" s="27"/>
      <c r="I10" s="27"/>
      <c r="J10" s="27"/>
      <c r="K10" s="33"/>
      <c r="L10" s="20"/>
      <c r="M10" s="42">
        <f>IFERROR(GETPIVOTDATA("Revenue ",Pivots!$B$5,"Year",2025)/GETPIVOTDATA("Revenue ",Pivots!$B$5,"Year",2024)-1,"")</f>
        <v>0.14960117605119883</v>
      </c>
      <c r="N10" s="43"/>
      <c r="O10" s="43"/>
      <c r="P10" s="43"/>
      <c r="Q10" s="43"/>
      <c r="R10" s="43"/>
      <c r="S10" s="43"/>
      <c r="T10" s="43"/>
      <c r="U10" s="43"/>
      <c r="V10" s="44"/>
      <c r="W10" s="20"/>
      <c r="X10" s="42">
        <f>IFERROR(GETPIVOTDATA("Orders ",Pivots!$B$5,"Year",2025)/GETPIVOTDATA("Orders ",Pivots!$B$5,"Year",2024)-1,"")</f>
        <v>0.17303822937625757</v>
      </c>
      <c r="Y10" s="43"/>
      <c r="Z10" s="43"/>
      <c r="AA10" s="43"/>
      <c r="AB10" s="43"/>
      <c r="AC10" s="43"/>
      <c r="AD10" s="43"/>
      <c r="AE10" s="43"/>
      <c r="AF10" s="43"/>
      <c r="AG10" s="44"/>
      <c r="AH10" s="20"/>
      <c r="AI10" s="42">
        <f>IFERROR(GETPIVOTDATA("AOV ",Pivots!$B$5,"Year",2025)/GETPIVOTDATA("AOV ",Pivots!$B$5,"Year",2024)-1,"")</f>
        <v>-1.9979786453780846E-2</v>
      </c>
      <c r="AJ10" s="43"/>
      <c r="AK10" s="43"/>
      <c r="AL10" s="43"/>
      <c r="AM10" s="43"/>
      <c r="AN10" s="43"/>
      <c r="AO10" s="43"/>
      <c r="AP10" s="43"/>
      <c r="AQ10" s="43"/>
      <c r="AR10" s="44"/>
      <c r="AS10" s="20"/>
      <c r="AT10" s="54">
        <f>IFERROR((GETPIVOTDATA("Margin ",Pivots!$B$5,"Year",2025)-GETPIVOTDATA("Margin ",Pivots!$B$5,"Year",2024))*100,"")</f>
        <v>0.91596513709680527</v>
      </c>
      <c r="AU10" s="55"/>
      <c r="AV10" s="55"/>
      <c r="AW10" s="55"/>
      <c r="AX10" s="55"/>
      <c r="AY10" s="55"/>
      <c r="AZ10" s="55"/>
      <c r="BA10" s="55"/>
      <c r="BB10" s="55"/>
      <c r="BC10" s="56"/>
      <c r="BD10" s="20"/>
      <c r="BE10" s="57">
        <f>IFERROR((GETPIVOTDATA("Return Rate ",Pivots!$B$5,"Year",2025)-GETPIVOTDATA("Return Rate ",Pivots!$B$5,"Year",2024))*100,"")</f>
        <v>-1.8363353362024633</v>
      </c>
      <c r="BF10" s="58"/>
      <c r="BG10" s="58"/>
      <c r="BH10" s="58"/>
      <c r="BI10" s="58"/>
      <c r="BJ10" s="58"/>
      <c r="BK10" s="58"/>
      <c r="BL10" s="58"/>
      <c r="BM10" s="58"/>
      <c r="BN10" s="59"/>
      <c r="BO10" s="20"/>
      <c r="BP10" s="20"/>
    </row>
    <row r="11" spans="1:68" ht="15" customHeight="1" x14ac:dyDescent="0.2">
      <c r="A11" s="20"/>
      <c r="B11" s="28"/>
      <c r="C11" s="27"/>
      <c r="D11" s="27"/>
      <c r="E11" s="27"/>
      <c r="F11" s="27"/>
      <c r="G11" s="27"/>
      <c r="H11" s="27"/>
      <c r="I11" s="27"/>
      <c r="J11" s="27"/>
      <c r="K11" s="33"/>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row>
    <row r="12" spans="1:68" ht="15" customHeight="1" x14ac:dyDescent="0.2">
      <c r="A12" s="20"/>
      <c r="B12" s="28"/>
      <c r="C12" s="27"/>
      <c r="D12" s="27"/>
      <c r="E12" s="27"/>
      <c r="F12" s="27"/>
      <c r="G12" s="27"/>
      <c r="H12" s="27"/>
      <c r="I12" s="27"/>
      <c r="J12" s="27"/>
      <c r="K12" s="33"/>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row>
    <row r="13" spans="1:68" ht="15" customHeight="1" x14ac:dyDescent="0.2">
      <c r="A13" s="20"/>
      <c r="B13" s="28"/>
      <c r="C13" s="27"/>
      <c r="D13" s="27"/>
      <c r="E13" s="27"/>
      <c r="F13" s="27"/>
      <c r="G13" s="27"/>
      <c r="H13" s="27"/>
      <c r="I13" s="27"/>
      <c r="J13" s="27"/>
      <c r="K13" s="33"/>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row>
    <row r="14" spans="1:68" ht="15" customHeight="1" x14ac:dyDescent="0.2">
      <c r="A14" s="20"/>
      <c r="B14" s="28"/>
      <c r="C14" s="27"/>
      <c r="D14" s="27"/>
      <c r="E14" s="27"/>
      <c r="F14" s="27"/>
      <c r="G14" s="27"/>
      <c r="H14" s="27"/>
      <c r="I14" s="27"/>
      <c r="J14" s="27"/>
      <c r="K14" s="33"/>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row>
    <row r="15" spans="1:68" ht="15" customHeight="1" x14ac:dyDescent="0.2">
      <c r="A15" s="20"/>
      <c r="B15" s="28"/>
      <c r="C15" s="27"/>
      <c r="D15" s="27"/>
      <c r="E15" s="27"/>
      <c r="F15" s="27"/>
      <c r="G15" s="27"/>
      <c r="H15" s="27"/>
      <c r="I15" s="27"/>
      <c r="J15" s="27"/>
      <c r="K15" s="33"/>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row>
    <row r="16" spans="1:68" ht="15" customHeight="1" x14ac:dyDescent="0.2">
      <c r="A16" s="20"/>
      <c r="B16" s="28"/>
      <c r="C16" s="27"/>
      <c r="D16" s="27"/>
      <c r="E16" s="27"/>
      <c r="F16" s="27"/>
      <c r="G16" s="27"/>
      <c r="H16" s="27"/>
      <c r="I16" s="27"/>
      <c r="J16" s="27"/>
      <c r="K16" s="33"/>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row>
    <row r="17" spans="1:68" ht="15" customHeight="1" x14ac:dyDescent="0.2">
      <c r="A17" s="20"/>
      <c r="B17" s="28"/>
      <c r="C17" s="27"/>
      <c r="D17" s="27"/>
      <c r="E17" s="27"/>
      <c r="F17" s="27"/>
      <c r="G17" s="27"/>
      <c r="H17" s="27"/>
      <c r="I17" s="27"/>
      <c r="J17" s="27"/>
      <c r="K17" s="33"/>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row>
    <row r="18" spans="1:68" ht="15" customHeight="1" x14ac:dyDescent="0.2">
      <c r="A18" s="20"/>
      <c r="B18" s="28"/>
      <c r="C18" s="27"/>
      <c r="D18" s="27"/>
      <c r="E18" s="27"/>
      <c r="F18" s="27"/>
      <c r="G18" s="27"/>
      <c r="H18" s="27"/>
      <c r="I18" s="27"/>
      <c r="J18" s="27"/>
      <c r="K18" s="33"/>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row>
    <row r="19" spans="1:68" ht="15" customHeight="1" x14ac:dyDescent="0.2">
      <c r="A19" s="20"/>
      <c r="B19" s="28"/>
      <c r="C19" s="27"/>
      <c r="D19" s="27"/>
      <c r="E19" s="27"/>
      <c r="F19" s="27"/>
      <c r="G19" s="27"/>
      <c r="H19" s="27"/>
      <c r="I19" s="27"/>
      <c r="J19" s="27"/>
      <c r="K19" s="33"/>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row>
    <row r="20" spans="1:68" ht="15" customHeight="1" x14ac:dyDescent="0.2">
      <c r="A20" s="20"/>
      <c r="B20" s="28"/>
      <c r="C20" s="27"/>
      <c r="D20" s="27"/>
      <c r="E20" s="27"/>
      <c r="F20" s="27"/>
      <c r="G20" s="27"/>
      <c r="H20" s="27"/>
      <c r="I20" s="27"/>
      <c r="J20" s="27"/>
      <c r="K20" s="33"/>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row>
    <row r="21" spans="1:68" ht="15" customHeight="1" x14ac:dyDescent="0.2">
      <c r="A21" s="20"/>
      <c r="B21" s="28"/>
      <c r="C21" s="27"/>
      <c r="D21" s="27"/>
      <c r="E21" s="27"/>
      <c r="F21" s="27"/>
      <c r="G21" s="27"/>
      <c r="H21" s="27"/>
      <c r="I21" s="27"/>
      <c r="J21" s="27"/>
      <c r="K21" s="33"/>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row>
    <row r="22" spans="1:68" ht="15" customHeight="1" x14ac:dyDescent="0.2">
      <c r="A22" s="20"/>
      <c r="B22" s="28"/>
      <c r="C22" s="27"/>
      <c r="D22" s="27"/>
      <c r="E22" s="27"/>
      <c r="F22" s="27"/>
      <c r="G22" s="27"/>
      <c r="H22" s="27"/>
      <c r="I22" s="27"/>
      <c r="J22" s="27"/>
      <c r="K22" s="33"/>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row>
    <row r="23" spans="1:68" ht="15" customHeight="1" x14ac:dyDescent="0.2">
      <c r="A23" s="20"/>
      <c r="B23" s="28"/>
      <c r="C23" s="27"/>
      <c r="D23" s="27"/>
      <c r="E23" s="27"/>
      <c r="F23" s="27"/>
      <c r="G23" s="27"/>
      <c r="H23" s="27"/>
      <c r="I23" s="27"/>
      <c r="J23" s="27"/>
      <c r="K23" s="33"/>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row>
    <row r="24" spans="1:68" ht="15" customHeight="1" x14ac:dyDescent="0.2">
      <c r="A24" s="20"/>
      <c r="B24" s="28"/>
      <c r="C24" s="27"/>
      <c r="D24" s="27"/>
      <c r="E24" s="27"/>
      <c r="F24" s="27"/>
      <c r="G24" s="27"/>
      <c r="H24" s="27"/>
      <c r="I24" s="27"/>
      <c r="J24" s="27"/>
      <c r="K24" s="33"/>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row>
    <row r="25" spans="1:68" ht="15" customHeight="1" x14ac:dyDescent="0.2">
      <c r="A25" s="20"/>
      <c r="B25" s="28"/>
      <c r="C25" s="27"/>
      <c r="D25" s="27"/>
      <c r="E25" s="27"/>
      <c r="F25" s="27"/>
      <c r="G25" s="27"/>
      <c r="H25" s="27"/>
      <c r="I25" s="27"/>
      <c r="J25" s="27"/>
      <c r="K25" s="33"/>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row>
    <row r="26" spans="1:68" ht="15" customHeight="1" x14ac:dyDescent="0.2">
      <c r="A26" s="20"/>
      <c r="B26" s="28"/>
      <c r="C26" s="27"/>
      <c r="D26" s="27"/>
      <c r="E26" s="27"/>
      <c r="F26" s="27"/>
      <c r="G26" s="27"/>
      <c r="H26" s="27"/>
      <c r="I26" s="27"/>
      <c r="J26" s="27"/>
      <c r="K26" s="33"/>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row>
    <row r="27" spans="1:68" ht="15" customHeight="1" x14ac:dyDescent="0.2">
      <c r="A27" s="20"/>
      <c r="B27" s="28"/>
      <c r="C27" s="27"/>
      <c r="D27" s="27"/>
      <c r="E27" s="27"/>
      <c r="F27" s="27"/>
      <c r="G27" s="27"/>
      <c r="H27" s="27"/>
      <c r="I27" s="27"/>
      <c r="J27" s="27"/>
      <c r="K27" s="33"/>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row>
    <row r="28" spans="1:68" ht="15" customHeight="1" x14ac:dyDescent="0.2">
      <c r="A28" s="20"/>
      <c r="B28" s="28"/>
      <c r="C28" s="27"/>
      <c r="D28" s="27"/>
      <c r="E28" s="27"/>
      <c r="F28" s="27"/>
      <c r="G28" s="27"/>
      <c r="H28" s="27"/>
      <c r="I28" s="27"/>
      <c r="J28" s="27"/>
      <c r="K28" s="33"/>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row>
    <row r="29" spans="1:68" ht="15" customHeight="1" x14ac:dyDescent="0.2">
      <c r="A29" s="20"/>
      <c r="B29" s="28"/>
      <c r="C29" s="27"/>
      <c r="D29" s="27"/>
      <c r="E29" s="27"/>
      <c r="F29" s="27"/>
      <c r="G29" s="27"/>
      <c r="H29" s="27"/>
      <c r="I29" s="27"/>
      <c r="J29" s="27"/>
      <c r="K29" s="33"/>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row>
    <row r="30" spans="1:68" ht="15" customHeight="1" x14ac:dyDescent="0.2">
      <c r="A30" s="20"/>
      <c r="B30" s="28"/>
      <c r="C30" s="27"/>
      <c r="D30" s="27"/>
      <c r="E30" s="27"/>
      <c r="F30" s="27"/>
      <c r="G30" s="27"/>
      <c r="H30" s="27"/>
      <c r="I30" s="27"/>
      <c r="J30" s="27"/>
      <c r="K30" s="33"/>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row>
    <row r="31" spans="1:68" ht="15" customHeight="1" x14ac:dyDescent="0.2">
      <c r="A31" s="20"/>
      <c r="B31" s="28"/>
      <c r="C31" s="27"/>
      <c r="D31" s="27"/>
      <c r="E31" s="27"/>
      <c r="F31" s="27"/>
      <c r="G31" s="27"/>
      <c r="H31" s="27"/>
      <c r="I31" s="27"/>
      <c r="J31" s="27"/>
      <c r="K31" s="33"/>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row>
    <row r="32" spans="1:68" ht="15" customHeight="1" x14ac:dyDescent="0.2">
      <c r="A32" s="20"/>
      <c r="B32" s="28"/>
      <c r="C32" s="27"/>
      <c r="D32" s="27"/>
      <c r="E32" s="27"/>
      <c r="F32" s="27"/>
      <c r="G32" s="27"/>
      <c r="H32" s="27"/>
      <c r="I32" s="27"/>
      <c r="J32" s="27"/>
      <c r="K32" s="33"/>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row>
    <row r="33" spans="1:68" ht="15" customHeight="1" x14ac:dyDescent="0.2">
      <c r="A33" s="20"/>
      <c r="B33" s="28"/>
      <c r="C33" s="27"/>
      <c r="D33" s="27"/>
      <c r="E33" s="27"/>
      <c r="F33" s="27"/>
      <c r="G33" s="27"/>
      <c r="H33" s="27"/>
      <c r="I33" s="27"/>
      <c r="J33" s="27"/>
      <c r="K33" s="33"/>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row>
    <row r="34" spans="1:68" ht="15" customHeight="1" x14ac:dyDescent="0.2">
      <c r="A34" s="20"/>
      <c r="B34" s="28"/>
      <c r="C34" s="27"/>
      <c r="D34" s="27"/>
      <c r="E34" s="27"/>
      <c r="F34" s="27"/>
      <c r="G34" s="27"/>
      <c r="H34" s="27"/>
      <c r="I34" s="27"/>
      <c r="J34" s="27"/>
      <c r="K34" s="33"/>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row>
    <row r="35" spans="1:68" ht="15" customHeight="1" x14ac:dyDescent="0.2">
      <c r="A35" s="20"/>
      <c r="B35" s="28"/>
      <c r="C35" s="27"/>
      <c r="D35" s="27"/>
      <c r="E35" s="27"/>
      <c r="F35" s="27"/>
      <c r="G35" s="27"/>
      <c r="H35" s="27"/>
      <c r="I35" s="27"/>
      <c r="J35" s="27"/>
      <c r="K35" s="33"/>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row>
    <row r="36" spans="1:68" ht="15" customHeight="1" x14ac:dyDescent="0.2">
      <c r="A36" s="20"/>
      <c r="B36" s="28"/>
      <c r="C36" s="27"/>
      <c r="D36" s="27"/>
      <c r="E36" s="27"/>
      <c r="F36" s="27"/>
      <c r="G36" s="27"/>
      <c r="H36" s="27"/>
      <c r="I36" s="27"/>
      <c r="J36" s="27"/>
      <c r="K36" s="33"/>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row>
    <row r="37" spans="1:68" ht="15" customHeight="1" x14ac:dyDescent="0.2">
      <c r="A37" s="20"/>
      <c r="B37" s="28"/>
      <c r="C37" s="27"/>
      <c r="D37" s="27"/>
      <c r="E37" s="27"/>
      <c r="F37" s="27"/>
      <c r="G37" s="27"/>
      <c r="H37" s="27"/>
      <c r="I37" s="27"/>
      <c r="J37" s="27"/>
      <c r="K37" s="33"/>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row>
    <row r="38" spans="1:68" ht="15" customHeight="1" x14ac:dyDescent="0.2">
      <c r="A38" s="20"/>
      <c r="B38" s="28"/>
      <c r="C38" s="27"/>
      <c r="D38" s="27"/>
      <c r="E38" s="27"/>
      <c r="F38" s="27"/>
      <c r="G38" s="27"/>
      <c r="H38" s="27"/>
      <c r="I38" s="27"/>
      <c r="J38" s="27"/>
      <c r="K38" s="33"/>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row>
    <row r="39" spans="1:68" ht="15" customHeight="1" x14ac:dyDescent="0.2">
      <c r="A39" s="20"/>
      <c r="B39" s="28"/>
      <c r="C39" s="27"/>
      <c r="D39" s="27"/>
      <c r="E39" s="27"/>
      <c r="F39" s="27"/>
      <c r="G39" s="27"/>
      <c r="H39" s="27"/>
      <c r="I39" s="27"/>
      <c r="J39" s="27"/>
      <c r="K39" s="33"/>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row>
    <row r="40" spans="1:68" ht="15" customHeight="1" x14ac:dyDescent="0.2">
      <c r="A40" s="20"/>
      <c r="B40" s="28"/>
      <c r="C40" s="27"/>
      <c r="D40" s="27"/>
      <c r="E40" s="27"/>
      <c r="F40" s="27"/>
      <c r="G40" s="27"/>
      <c r="H40" s="27"/>
      <c r="I40" s="27"/>
      <c r="J40" s="27"/>
      <c r="K40" s="33"/>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row>
    <row r="41" spans="1:68" ht="15" customHeight="1" x14ac:dyDescent="0.2">
      <c r="A41" s="20"/>
      <c r="B41" s="28"/>
      <c r="C41" s="27"/>
      <c r="D41" s="27"/>
      <c r="E41" s="27"/>
      <c r="F41" s="27"/>
      <c r="G41" s="27"/>
      <c r="H41" s="27"/>
      <c r="I41" s="27"/>
      <c r="J41" s="27"/>
      <c r="K41" s="33"/>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row>
    <row r="42" spans="1:68" ht="15" customHeight="1" x14ac:dyDescent="0.2">
      <c r="A42" s="20"/>
      <c r="B42" s="28"/>
      <c r="C42" s="27"/>
      <c r="D42" s="27"/>
      <c r="E42" s="27"/>
      <c r="F42" s="27"/>
      <c r="G42" s="27"/>
      <c r="H42" s="27"/>
      <c r="I42" s="27"/>
      <c r="J42" s="27"/>
      <c r="K42" s="33"/>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row>
    <row r="43" spans="1:68" ht="15" customHeight="1" x14ac:dyDescent="0.2">
      <c r="A43" s="20"/>
      <c r="B43" s="28"/>
      <c r="C43" s="27"/>
      <c r="D43" s="27"/>
      <c r="E43" s="27"/>
      <c r="F43" s="27"/>
      <c r="G43" s="27"/>
      <c r="H43" s="27"/>
      <c r="I43" s="27"/>
      <c r="J43" s="27"/>
      <c r="K43" s="33"/>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row>
    <row r="44" spans="1:68" ht="15" customHeight="1" x14ac:dyDescent="0.2">
      <c r="A44" s="20"/>
      <c r="B44" s="28"/>
      <c r="C44" s="27"/>
      <c r="D44" s="27"/>
      <c r="E44" s="27"/>
      <c r="F44" s="27"/>
      <c r="G44" s="27"/>
      <c r="H44" s="27"/>
      <c r="I44" s="27"/>
      <c r="J44" s="27"/>
      <c r="K44" s="33"/>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row>
    <row r="45" spans="1:68" ht="15" customHeight="1" x14ac:dyDescent="0.2">
      <c r="A45" s="20"/>
      <c r="B45" s="28"/>
      <c r="C45" s="27"/>
      <c r="D45" s="27"/>
      <c r="E45" s="27"/>
      <c r="F45" s="27"/>
      <c r="G45" s="27"/>
      <c r="H45" s="27"/>
      <c r="I45" s="27"/>
      <c r="J45" s="27"/>
      <c r="K45" s="33"/>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row>
    <row r="46" spans="1:68" ht="15" customHeight="1" x14ac:dyDescent="0.2">
      <c r="A46" s="20"/>
      <c r="B46" s="28"/>
      <c r="C46" s="27"/>
      <c r="D46" s="27"/>
      <c r="E46" s="27"/>
      <c r="F46" s="27"/>
      <c r="G46" s="27"/>
      <c r="H46" s="27"/>
      <c r="I46" s="27"/>
      <c r="J46" s="27"/>
      <c r="K46" s="33"/>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row>
    <row r="47" spans="1:68" ht="15" customHeight="1" x14ac:dyDescent="0.2">
      <c r="A47" s="20"/>
      <c r="B47" s="30"/>
      <c r="C47" s="31"/>
      <c r="D47" s="31"/>
      <c r="E47" s="31"/>
      <c r="F47" s="31"/>
      <c r="G47" s="31"/>
      <c r="H47" s="31"/>
      <c r="I47" s="31"/>
      <c r="J47" s="31"/>
      <c r="K47" s="34"/>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row>
    <row r="48" spans="1:68" ht="15" customHeight="1" x14ac:dyDescent="0.2">
      <c r="A48" s="20"/>
      <c r="B48" s="20"/>
      <c r="C48" s="20"/>
      <c r="D48" s="20"/>
      <c r="E48" s="20"/>
      <c r="F48" s="20"/>
      <c r="G48" s="20"/>
      <c r="H48" s="20"/>
      <c r="I48" s="20"/>
      <c r="J48" s="20"/>
      <c r="K48" s="20"/>
      <c r="L48" s="20"/>
      <c r="M48" s="60" t="s">
        <v>5579</v>
      </c>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row>
    <row r="49" spans="1:68" ht="1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row>
    <row r="50" spans="1:68" ht="15" customHeight="1" x14ac:dyDescent="0.2"/>
    <row r="51" spans="1:68" ht="15" customHeight="1" x14ac:dyDescent="0.2"/>
    <row r="52" spans="1:68" ht="15" customHeight="1" x14ac:dyDescent="0.2"/>
    <row r="53" spans="1:68" ht="15" customHeight="1" x14ac:dyDescent="0.2"/>
    <row r="54" spans="1:68" ht="15" customHeight="1" x14ac:dyDescent="0.2"/>
    <row r="55" spans="1:68" ht="15" customHeight="1" x14ac:dyDescent="0.2"/>
  </sheetData>
  <mergeCells count="10">
    <mergeCell ref="AT8:BC9"/>
    <mergeCell ref="AT10:BC10"/>
    <mergeCell ref="BE8:BN9"/>
    <mergeCell ref="BE10:BN10"/>
    <mergeCell ref="M8:V9"/>
    <mergeCell ref="M10:V10"/>
    <mergeCell ref="X8:AG9"/>
    <mergeCell ref="X10:AG10"/>
    <mergeCell ref="AI8:AR9"/>
    <mergeCell ref="AI10:AR10"/>
  </mergeCells>
  <pageMargins left="0.75" right="0.75" top="1" bottom="1" header="0.5" footer="0.5"/>
  <pageSetup scale="6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8D"/>
  </sheetPr>
  <dimension ref="B1:V19"/>
  <sheetViews>
    <sheetView workbookViewId="0"/>
  </sheetViews>
  <sheetFormatPr defaultRowHeight="16.5" x14ac:dyDescent="0.3"/>
  <cols>
    <col min="1" max="1" width="9" style="18"/>
    <col min="2" max="2" width="98.125" style="18" bestFit="1" customWidth="1"/>
    <col min="3" max="4" width="8.25" style="18" bestFit="1" customWidth="1"/>
    <col min="5" max="5" width="10.625" style="18" bestFit="1" customWidth="1"/>
    <col min="6" max="6" width="9" style="18"/>
    <col min="7" max="7" width="23.25" style="18" bestFit="1" customWidth="1"/>
    <col min="8" max="9" width="9.5" style="18" bestFit="1" customWidth="1"/>
    <col min="10" max="10" width="11.125" style="18" bestFit="1" customWidth="1"/>
    <col min="11" max="11" width="9" style="18"/>
    <col min="12" max="12" width="19.625" style="18" bestFit="1" customWidth="1"/>
    <col min="13" max="13" width="11.125" style="18" bestFit="1" customWidth="1"/>
    <col min="14" max="14" width="9" style="18"/>
    <col min="15" max="15" width="18.75" style="18" bestFit="1" customWidth="1"/>
    <col min="16" max="16" width="11.125" style="18" bestFit="1" customWidth="1"/>
    <col min="17" max="17" width="9" style="18"/>
    <col min="18" max="18" width="22.25" style="18" bestFit="1" customWidth="1"/>
    <col min="19" max="19" width="11" style="18" bestFit="1" customWidth="1"/>
    <col min="20" max="20" width="9" style="18"/>
    <col min="21" max="21" width="28.875" style="18" bestFit="1" customWidth="1"/>
    <col min="22" max="22" width="7.25" style="18" bestFit="1" customWidth="1"/>
    <col min="23" max="16384" width="9" style="18"/>
  </cols>
  <sheetData>
    <row r="1" spans="2:22" ht="17.25" x14ac:dyDescent="0.3">
      <c r="B1" s="11" t="s">
        <v>5557</v>
      </c>
    </row>
    <row r="3" spans="2:22" x14ac:dyDescent="0.3">
      <c r="B3" s="12" t="s">
        <v>5558</v>
      </c>
      <c r="G3" s="12" t="s">
        <v>5566</v>
      </c>
      <c r="L3" s="12" t="s">
        <v>5567</v>
      </c>
      <c r="O3" s="12" t="s">
        <v>5568</v>
      </c>
      <c r="R3" s="12" t="s">
        <v>5569</v>
      </c>
      <c r="U3" s="12" t="s">
        <v>5570</v>
      </c>
    </row>
    <row r="5" spans="2:22" x14ac:dyDescent="0.3">
      <c r="B5"/>
      <c r="C5" s="13" t="s">
        <v>2</v>
      </c>
      <c r="D5"/>
      <c r="E5"/>
      <c r="G5" s="13" t="s">
        <v>5560</v>
      </c>
      <c r="H5" s="13" t="s">
        <v>2</v>
      </c>
      <c r="I5"/>
      <c r="J5"/>
      <c r="L5" s="13" t="s">
        <v>8</v>
      </c>
      <c r="M5" t="s">
        <v>5560</v>
      </c>
      <c r="O5" s="13" t="s">
        <v>5</v>
      </c>
      <c r="P5" t="s">
        <v>5560</v>
      </c>
      <c r="R5" s="13" t="s">
        <v>8</v>
      </c>
      <c r="S5" t="s">
        <v>5565</v>
      </c>
      <c r="U5" s="13" t="s">
        <v>13</v>
      </c>
      <c r="V5" t="s">
        <v>5564</v>
      </c>
    </row>
    <row r="6" spans="2:22" x14ac:dyDescent="0.3">
      <c r="B6" s="13" t="s">
        <v>5561</v>
      </c>
      <c r="C6">
        <v>2024</v>
      </c>
      <c r="D6">
        <v>2025</v>
      </c>
      <c r="E6" t="s">
        <v>5559</v>
      </c>
      <c r="G6" s="13" t="s">
        <v>4</v>
      </c>
      <c r="H6">
        <v>2024</v>
      </c>
      <c r="I6">
        <v>2025</v>
      </c>
      <c r="J6" t="s">
        <v>5559</v>
      </c>
      <c r="L6" t="s">
        <v>70</v>
      </c>
      <c r="M6" s="14">
        <v>702668.39999999956</v>
      </c>
      <c r="O6" t="s">
        <v>24</v>
      </c>
      <c r="P6" s="14">
        <v>546491.78999999829</v>
      </c>
      <c r="R6" t="s">
        <v>27</v>
      </c>
      <c r="S6" s="17">
        <v>0.15707620528771385</v>
      </c>
      <c r="U6" t="s">
        <v>38</v>
      </c>
      <c r="V6" s="17">
        <v>0.27566335642695788</v>
      </c>
    </row>
    <row r="7" spans="2:22" x14ac:dyDescent="0.3">
      <c r="B7" t="s">
        <v>5560</v>
      </c>
      <c r="C7" s="14">
        <v>566118.20999999682</v>
      </c>
      <c r="D7" s="14">
        <v>650810.15999999584</v>
      </c>
      <c r="E7" s="14">
        <v>1216928.3699999927</v>
      </c>
      <c r="G7" t="s">
        <v>23</v>
      </c>
      <c r="H7" s="14">
        <v>42946.1</v>
      </c>
      <c r="I7" s="14">
        <v>45533.94999999999</v>
      </c>
      <c r="J7" s="14">
        <v>88480.049999999988</v>
      </c>
      <c r="L7" t="s">
        <v>42</v>
      </c>
      <c r="M7" s="14">
        <v>184254.75999999992</v>
      </c>
      <c r="O7" t="s">
        <v>31</v>
      </c>
      <c r="P7" s="14">
        <v>438128.85999999847</v>
      </c>
      <c r="R7" t="s">
        <v>67</v>
      </c>
      <c r="S7" s="17">
        <v>8.5007727975270481E-2</v>
      </c>
      <c r="U7" t="s">
        <v>29</v>
      </c>
      <c r="V7" s="17">
        <v>0.22357798669962384</v>
      </c>
    </row>
    <row r="8" spans="2:22" x14ac:dyDescent="0.3">
      <c r="B8" t="s">
        <v>5562</v>
      </c>
      <c r="C8" s="15">
        <v>2485</v>
      </c>
      <c r="D8" s="15">
        <v>2915</v>
      </c>
      <c r="E8" s="15">
        <v>5400</v>
      </c>
      <c r="G8" t="s">
        <v>242</v>
      </c>
      <c r="H8" s="14">
        <v>40413.43</v>
      </c>
      <c r="I8" s="14">
        <v>34400.30999999999</v>
      </c>
      <c r="J8" s="14">
        <v>74813.739999999991</v>
      </c>
      <c r="L8" t="s">
        <v>27</v>
      </c>
      <c r="M8" s="14">
        <v>138937.7900000005</v>
      </c>
      <c r="O8" t="s">
        <v>45</v>
      </c>
      <c r="P8" s="14">
        <v>232307.72000000026</v>
      </c>
      <c r="R8" t="s">
        <v>70</v>
      </c>
      <c r="S8" s="17">
        <v>7.8216989066442394E-2</v>
      </c>
      <c r="U8" t="s">
        <v>34</v>
      </c>
      <c r="V8" s="17">
        <v>0.12989826979234681</v>
      </c>
    </row>
    <row r="9" spans="2:22" x14ac:dyDescent="0.3">
      <c r="B9" t="s">
        <v>5563</v>
      </c>
      <c r="C9" s="16">
        <v>227.81416901408323</v>
      </c>
      <c r="D9" s="16">
        <v>223.26249056603632</v>
      </c>
      <c r="E9" s="16">
        <v>225.35710555555468</v>
      </c>
      <c r="G9" t="s">
        <v>402</v>
      </c>
      <c r="H9" s="14">
        <v>48109.720000000038</v>
      </c>
      <c r="I9" s="14">
        <v>51148.720000000008</v>
      </c>
      <c r="J9" s="14">
        <v>99258.440000000046</v>
      </c>
      <c r="L9" t="s">
        <v>67</v>
      </c>
      <c r="M9" s="14">
        <v>105161.80999999995</v>
      </c>
      <c r="O9" t="s">
        <v>5559</v>
      </c>
      <c r="P9" s="14">
        <v>1216928.3699999969</v>
      </c>
      <c r="R9" t="s">
        <v>42</v>
      </c>
      <c r="S9" s="17">
        <v>6.5708418891170434E-2</v>
      </c>
      <c r="U9" t="s">
        <v>62</v>
      </c>
      <c r="V9" s="17">
        <v>1.0032217227060146E-2</v>
      </c>
    </row>
    <row r="10" spans="2:22" x14ac:dyDescent="0.3">
      <c r="B10" t="s">
        <v>5564</v>
      </c>
      <c r="C10" s="17">
        <v>0.19028651277619388</v>
      </c>
      <c r="D10" s="17">
        <v>0.19944616414716193</v>
      </c>
      <c r="E10" s="17">
        <v>0.19518507075317945</v>
      </c>
      <c r="G10" t="s">
        <v>600</v>
      </c>
      <c r="H10" s="14">
        <v>48311.060000000012</v>
      </c>
      <c r="I10" s="14">
        <v>51472.319999999985</v>
      </c>
      <c r="J10" s="14">
        <v>99783.38</v>
      </c>
      <c r="L10" t="s">
        <v>36</v>
      </c>
      <c r="M10" s="14">
        <v>57590.820000000094</v>
      </c>
      <c r="R10" t="s">
        <v>84</v>
      </c>
      <c r="S10" s="17">
        <v>4.3252595155709339E-2</v>
      </c>
      <c r="U10" t="s">
        <v>5559</v>
      </c>
      <c r="V10" s="17">
        <v>0.19518507075317967</v>
      </c>
    </row>
    <row r="11" spans="2:22" x14ac:dyDescent="0.3">
      <c r="B11" t="s">
        <v>5565</v>
      </c>
      <c r="C11" s="17">
        <v>9.6579476861166996E-2</v>
      </c>
      <c r="D11" s="17">
        <v>7.8216123499142365E-2</v>
      </c>
      <c r="E11" s="17">
        <v>8.666666666666667E-2</v>
      </c>
      <c r="G11" t="s">
        <v>802</v>
      </c>
      <c r="H11" s="14">
        <v>43072.750000000007</v>
      </c>
      <c r="I11" s="14">
        <v>46769.169999999976</v>
      </c>
      <c r="J11" s="14">
        <v>89841.919999999984</v>
      </c>
      <c r="L11" t="s">
        <v>84</v>
      </c>
      <c r="M11" s="14">
        <v>28314.789999999979</v>
      </c>
      <c r="R11" t="s">
        <v>36</v>
      </c>
      <c r="S11" s="17">
        <v>3.9944903581267219E-2</v>
      </c>
    </row>
    <row r="12" spans="2:22" x14ac:dyDescent="0.3">
      <c r="G12" t="s">
        <v>1000</v>
      </c>
      <c r="H12" s="14">
        <v>46015.21000000005</v>
      </c>
      <c r="I12" s="14">
        <v>52946.500000000022</v>
      </c>
      <c r="J12" s="14">
        <v>98961.710000000079</v>
      </c>
      <c r="L12" t="s">
        <v>5559</v>
      </c>
      <c r="M12" s="14">
        <v>1216928.3700000001</v>
      </c>
      <c r="R12" t="s">
        <v>5559</v>
      </c>
      <c r="S12" s="17">
        <v>8.666666666666667E-2</v>
      </c>
    </row>
    <row r="13" spans="2:22" x14ac:dyDescent="0.3">
      <c r="G13" t="s">
        <v>1188</v>
      </c>
      <c r="H13" s="14">
        <v>39933.840000000011</v>
      </c>
      <c r="I13" s="14">
        <v>52045.000000000007</v>
      </c>
      <c r="J13" s="14">
        <v>91978.840000000026</v>
      </c>
    </row>
    <row r="14" spans="2:22" x14ac:dyDescent="0.3">
      <c r="G14" t="s">
        <v>1356</v>
      </c>
      <c r="H14" s="14">
        <v>34686.939999999995</v>
      </c>
      <c r="I14" s="14">
        <v>60511.73000000001</v>
      </c>
      <c r="J14" s="14">
        <v>95198.670000000013</v>
      </c>
    </row>
    <row r="15" spans="2:22" x14ac:dyDescent="0.3">
      <c r="G15" t="s">
        <v>1543</v>
      </c>
      <c r="H15" s="14">
        <v>42530.730000000018</v>
      </c>
      <c r="I15" s="14">
        <v>47778.24000000002</v>
      </c>
      <c r="J15" s="14">
        <v>90308.97000000003</v>
      </c>
    </row>
    <row r="16" spans="2:22" x14ac:dyDescent="0.3">
      <c r="G16" t="s">
        <v>1739</v>
      </c>
      <c r="H16" s="14">
        <v>47549.549999999981</v>
      </c>
      <c r="I16" s="14">
        <v>57014.880000000005</v>
      </c>
      <c r="J16" s="14">
        <v>104564.43</v>
      </c>
    </row>
    <row r="17" spans="7:10" x14ac:dyDescent="0.3">
      <c r="G17" t="s">
        <v>1959</v>
      </c>
      <c r="H17" s="14">
        <v>76271.709999999977</v>
      </c>
      <c r="I17" s="14">
        <v>78399.53</v>
      </c>
      <c r="J17" s="14">
        <v>154671.24</v>
      </c>
    </row>
    <row r="18" spans="7:10" x14ac:dyDescent="0.3">
      <c r="G18" t="s">
        <v>2310</v>
      </c>
      <c r="H18" s="14">
        <v>56277.17</v>
      </c>
      <c r="I18" s="14">
        <v>72789.809999999925</v>
      </c>
      <c r="J18" s="14">
        <v>129066.97999999992</v>
      </c>
    </row>
    <row r="19" spans="7:10" x14ac:dyDescent="0.3">
      <c r="G19" t="s">
        <v>5559</v>
      </c>
      <c r="H19" s="14">
        <v>566118.2100000002</v>
      </c>
      <c r="I19" s="14">
        <v>650810.15999999992</v>
      </c>
      <c r="J19" s="14">
        <v>1216928.3700000001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63EB"/>
  </sheetPr>
  <dimension ref="A1:U5401"/>
  <sheetViews>
    <sheetView workbookViewId="0">
      <pane ySplit="1" topLeftCell="A2" activePane="bottomLeft" state="frozen"/>
      <selection pane="bottomLeft"/>
    </sheetView>
  </sheetViews>
  <sheetFormatPr defaultRowHeight="15" x14ac:dyDescent="0.3"/>
  <cols>
    <col min="1" max="1" width="11.875" customWidth="1"/>
    <col min="2" max="2" width="12.875" customWidth="1"/>
    <col min="3" max="3" width="8.875" customWidth="1"/>
    <col min="4" max="4" width="9.875" customWidth="1"/>
    <col min="5" max="5" width="8.875" customWidth="1"/>
    <col min="6" max="6" width="13.875" customWidth="1"/>
    <col min="7" max="7" width="10.875" customWidth="1"/>
    <col min="8" max="8" width="14.875" customWidth="1"/>
    <col min="9" max="9" width="16.875" customWidth="1"/>
    <col min="10" max="10" width="18.875" customWidth="1"/>
    <col min="11" max="11" width="10.875" customWidth="1"/>
    <col min="12" max="12" width="11.875" customWidth="1"/>
    <col min="13" max="13" width="13.875" customWidth="1"/>
    <col min="14" max="14" width="14.875" customWidth="1"/>
    <col min="15" max="15" width="9.875" customWidth="1"/>
    <col min="16" max="18" width="8.875" customWidth="1"/>
    <col min="19" max="19" width="10.875" customWidth="1"/>
    <col min="20" max="20" width="14.875" customWidth="1"/>
    <col min="21" max="21" width="8.875" customWidth="1"/>
  </cols>
  <sheetData>
    <row r="1" spans="1:21"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6.5" x14ac:dyDescent="0.3">
      <c r="A2" t="s">
        <v>21</v>
      </c>
      <c r="B2" s="1">
        <v>45292</v>
      </c>
      <c r="C2">
        <v>2024</v>
      </c>
      <c r="D2" t="s">
        <v>22</v>
      </c>
      <c r="E2" t="s">
        <v>23</v>
      </c>
      <c r="F2" t="s">
        <v>24</v>
      </c>
      <c r="G2" t="s">
        <v>25</v>
      </c>
      <c r="H2" t="s">
        <v>26</v>
      </c>
      <c r="I2" t="s">
        <v>27</v>
      </c>
      <c r="J2" t="s">
        <v>28</v>
      </c>
      <c r="K2">
        <v>2</v>
      </c>
      <c r="L2" s="2">
        <v>138.5</v>
      </c>
      <c r="M2" s="3">
        <v>0.05</v>
      </c>
      <c r="N2" t="s">
        <v>29</v>
      </c>
      <c r="O2" s="2">
        <v>263.14999999999998</v>
      </c>
      <c r="P2" s="2">
        <v>154.41</v>
      </c>
      <c r="Q2" s="2">
        <v>108.74</v>
      </c>
      <c r="R2">
        <v>1</v>
      </c>
      <c r="S2">
        <v>1</v>
      </c>
      <c r="T2">
        <v>7</v>
      </c>
      <c r="U2">
        <v>2</v>
      </c>
    </row>
    <row r="3" spans="1:21" ht="16.5" x14ac:dyDescent="0.3">
      <c r="A3" t="s">
        <v>30</v>
      </c>
      <c r="B3" s="1">
        <v>45292</v>
      </c>
      <c r="C3">
        <v>2024</v>
      </c>
      <c r="D3" t="s">
        <v>22</v>
      </c>
      <c r="E3" t="s">
        <v>23</v>
      </c>
      <c r="F3" t="s">
        <v>31</v>
      </c>
      <c r="G3" t="s">
        <v>25</v>
      </c>
      <c r="H3" t="s">
        <v>32</v>
      </c>
      <c r="I3" t="s">
        <v>27</v>
      </c>
      <c r="J3" t="s">
        <v>33</v>
      </c>
      <c r="K3">
        <v>1</v>
      </c>
      <c r="L3" s="2">
        <v>78.510000000000005</v>
      </c>
      <c r="M3" s="3">
        <v>0.2</v>
      </c>
      <c r="N3" t="s">
        <v>34</v>
      </c>
      <c r="O3" s="2">
        <v>62.81</v>
      </c>
      <c r="P3" s="2">
        <v>42.93</v>
      </c>
      <c r="Q3" s="2">
        <v>19.88</v>
      </c>
      <c r="R3">
        <v>1</v>
      </c>
      <c r="S3">
        <v>0</v>
      </c>
      <c r="T3">
        <v>5</v>
      </c>
      <c r="U3">
        <v>5</v>
      </c>
    </row>
    <row r="4" spans="1:21" ht="16.5" x14ac:dyDescent="0.3">
      <c r="A4" t="s">
        <v>35</v>
      </c>
      <c r="B4" s="1">
        <v>45292</v>
      </c>
      <c r="C4">
        <v>2024</v>
      </c>
      <c r="D4" t="s">
        <v>22</v>
      </c>
      <c r="E4" t="s">
        <v>23</v>
      </c>
      <c r="F4" t="s">
        <v>24</v>
      </c>
      <c r="G4" t="s">
        <v>25</v>
      </c>
      <c r="H4" t="s">
        <v>26</v>
      </c>
      <c r="I4" t="s">
        <v>36</v>
      </c>
      <c r="J4" t="s">
        <v>37</v>
      </c>
      <c r="K4">
        <v>1</v>
      </c>
      <c r="L4" s="2">
        <v>33.18</v>
      </c>
      <c r="M4" s="3">
        <v>0</v>
      </c>
      <c r="N4" t="s">
        <v>38</v>
      </c>
      <c r="O4" s="2">
        <v>33.18</v>
      </c>
      <c r="P4" s="2">
        <v>15.69</v>
      </c>
      <c r="Q4" s="2">
        <v>17.489999999999998</v>
      </c>
      <c r="R4">
        <v>1</v>
      </c>
      <c r="S4">
        <v>0</v>
      </c>
      <c r="T4">
        <v>4</v>
      </c>
      <c r="U4">
        <v>5</v>
      </c>
    </row>
    <row r="5" spans="1:21" ht="16.5" x14ac:dyDescent="0.3">
      <c r="A5" t="s">
        <v>39</v>
      </c>
      <c r="B5" s="1">
        <v>45292</v>
      </c>
      <c r="C5">
        <v>2024</v>
      </c>
      <c r="D5" t="s">
        <v>22</v>
      </c>
      <c r="E5" t="s">
        <v>23</v>
      </c>
      <c r="F5" t="s">
        <v>24</v>
      </c>
      <c r="G5" t="s">
        <v>25</v>
      </c>
      <c r="H5" t="s">
        <v>26</v>
      </c>
      <c r="I5" t="s">
        <v>27</v>
      </c>
      <c r="J5" t="s">
        <v>40</v>
      </c>
      <c r="K5">
        <v>1</v>
      </c>
      <c r="L5" s="2">
        <v>104.94</v>
      </c>
      <c r="M5" s="3">
        <v>0.15</v>
      </c>
      <c r="N5" t="s">
        <v>34</v>
      </c>
      <c r="O5" s="2">
        <v>89.2</v>
      </c>
      <c r="P5" s="2">
        <v>58.07</v>
      </c>
      <c r="Q5" s="2">
        <v>31.13</v>
      </c>
      <c r="R5">
        <v>1</v>
      </c>
      <c r="S5">
        <v>0</v>
      </c>
      <c r="T5">
        <v>3</v>
      </c>
      <c r="U5">
        <v>5</v>
      </c>
    </row>
    <row r="6" spans="1:21" ht="16.5" x14ac:dyDescent="0.3">
      <c r="A6" t="s">
        <v>41</v>
      </c>
      <c r="B6" s="1">
        <v>45292</v>
      </c>
      <c r="C6">
        <v>2024</v>
      </c>
      <c r="D6" t="s">
        <v>22</v>
      </c>
      <c r="E6" t="s">
        <v>23</v>
      </c>
      <c r="F6" t="s">
        <v>31</v>
      </c>
      <c r="G6" t="s">
        <v>25</v>
      </c>
      <c r="H6" t="s">
        <v>32</v>
      </c>
      <c r="I6" t="s">
        <v>42</v>
      </c>
      <c r="J6" t="s">
        <v>43</v>
      </c>
      <c r="K6">
        <v>1</v>
      </c>
      <c r="L6" s="2">
        <v>154.66</v>
      </c>
      <c r="M6" s="3">
        <v>0.2</v>
      </c>
      <c r="N6" t="s">
        <v>34</v>
      </c>
      <c r="O6" s="2">
        <v>123.73</v>
      </c>
      <c r="P6" s="2">
        <v>103.78</v>
      </c>
      <c r="Q6" s="2">
        <v>19.95</v>
      </c>
      <c r="R6">
        <v>1</v>
      </c>
      <c r="S6">
        <v>0</v>
      </c>
      <c r="T6">
        <v>4</v>
      </c>
      <c r="U6">
        <v>4</v>
      </c>
    </row>
    <row r="7" spans="1:21" ht="16.5" x14ac:dyDescent="0.3">
      <c r="A7" t="s">
        <v>44</v>
      </c>
      <c r="B7" s="1">
        <v>45292</v>
      </c>
      <c r="C7">
        <v>2024</v>
      </c>
      <c r="D7" t="s">
        <v>22</v>
      </c>
      <c r="E7" t="s">
        <v>23</v>
      </c>
      <c r="F7" t="s">
        <v>45</v>
      </c>
      <c r="G7" t="s">
        <v>46</v>
      </c>
      <c r="H7" t="s">
        <v>32</v>
      </c>
      <c r="I7" t="s">
        <v>27</v>
      </c>
      <c r="J7" t="s">
        <v>47</v>
      </c>
      <c r="K7">
        <v>2</v>
      </c>
      <c r="L7" s="2">
        <v>33.99</v>
      </c>
      <c r="M7" s="3">
        <v>0.1</v>
      </c>
      <c r="N7" t="s">
        <v>29</v>
      </c>
      <c r="O7" s="2">
        <v>61.18</v>
      </c>
      <c r="P7" s="2">
        <v>38.01</v>
      </c>
      <c r="Q7" s="2">
        <v>23.17</v>
      </c>
      <c r="R7">
        <v>1</v>
      </c>
      <c r="S7">
        <v>0</v>
      </c>
      <c r="T7">
        <v>6</v>
      </c>
      <c r="U7">
        <v>3</v>
      </c>
    </row>
    <row r="8" spans="1:21" ht="16.5" x14ac:dyDescent="0.3">
      <c r="A8" t="s">
        <v>48</v>
      </c>
      <c r="B8" s="1">
        <v>45292</v>
      </c>
      <c r="C8">
        <v>2024</v>
      </c>
      <c r="D8" t="s">
        <v>22</v>
      </c>
      <c r="E8" t="s">
        <v>23</v>
      </c>
      <c r="F8" t="s">
        <v>24</v>
      </c>
      <c r="G8" t="s">
        <v>49</v>
      </c>
      <c r="H8" t="s">
        <v>26</v>
      </c>
      <c r="I8" t="s">
        <v>27</v>
      </c>
      <c r="J8" t="s">
        <v>40</v>
      </c>
      <c r="K8">
        <v>1</v>
      </c>
      <c r="L8" s="2">
        <v>104.94</v>
      </c>
      <c r="M8" s="3">
        <v>0.1</v>
      </c>
      <c r="N8" t="s">
        <v>29</v>
      </c>
      <c r="O8" s="2">
        <v>94.45</v>
      </c>
      <c r="P8" s="2">
        <v>55.44</v>
      </c>
      <c r="Q8" s="2">
        <v>39.01</v>
      </c>
      <c r="R8">
        <v>1</v>
      </c>
      <c r="S8">
        <v>0</v>
      </c>
      <c r="T8">
        <v>3</v>
      </c>
      <c r="U8">
        <v>5</v>
      </c>
    </row>
    <row r="9" spans="1:21" ht="16.5" x14ac:dyDescent="0.3">
      <c r="A9" t="s">
        <v>50</v>
      </c>
      <c r="B9" s="1">
        <v>45292</v>
      </c>
      <c r="C9">
        <v>2024</v>
      </c>
      <c r="D9" t="s">
        <v>22</v>
      </c>
      <c r="E9" t="s">
        <v>23</v>
      </c>
      <c r="F9" t="s">
        <v>24</v>
      </c>
      <c r="G9" t="s">
        <v>51</v>
      </c>
      <c r="H9" t="s">
        <v>26</v>
      </c>
      <c r="I9" t="s">
        <v>36</v>
      </c>
      <c r="J9" t="s">
        <v>52</v>
      </c>
      <c r="K9">
        <v>3</v>
      </c>
      <c r="L9" s="2">
        <v>92.54</v>
      </c>
      <c r="M9" s="3">
        <v>0</v>
      </c>
      <c r="N9" t="s">
        <v>38</v>
      </c>
      <c r="O9" s="2">
        <v>277.62</v>
      </c>
      <c r="P9" s="2">
        <v>135.58000000000001</v>
      </c>
      <c r="Q9" s="2">
        <v>142.04</v>
      </c>
      <c r="R9">
        <v>1</v>
      </c>
      <c r="S9">
        <v>0</v>
      </c>
      <c r="T9">
        <v>4</v>
      </c>
      <c r="U9">
        <v>5</v>
      </c>
    </row>
    <row r="10" spans="1:21" ht="16.5" x14ac:dyDescent="0.3">
      <c r="A10" t="s">
        <v>53</v>
      </c>
      <c r="B10" s="1">
        <v>45292</v>
      </c>
      <c r="C10">
        <v>2024</v>
      </c>
      <c r="D10" t="s">
        <v>22</v>
      </c>
      <c r="E10" t="s">
        <v>23</v>
      </c>
      <c r="F10" t="s">
        <v>31</v>
      </c>
      <c r="G10" t="s">
        <v>49</v>
      </c>
      <c r="H10" t="s">
        <v>32</v>
      </c>
      <c r="I10" t="s">
        <v>42</v>
      </c>
      <c r="J10" t="s">
        <v>54</v>
      </c>
      <c r="K10">
        <v>1</v>
      </c>
      <c r="L10" s="2">
        <v>148.05000000000001</v>
      </c>
      <c r="M10" s="3">
        <v>0.2</v>
      </c>
      <c r="N10" t="s">
        <v>34</v>
      </c>
      <c r="O10" s="2">
        <v>118.44</v>
      </c>
      <c r="P10" s="2">
        <v>101.49</v>
      </c>
      <c r="Q10" s="2">
        <v>16.95</v>
      </c>
      <c r="R10">
        <v>1</v>
      </c>
      <c r="S10">
        <v>0</v>
      </c>
      <c r="T10">
        <v>4</v>
      </c>
      <c r="U10">
        <v>5</v>
      </c>
    </row>
    <row r="11" spans="1:21" ht="16.5" x14ac:dyDescent="0.3">
      <c r="A11" t="s">
        <v>55</v>
      </c>
      <c r="B11" s="1">
        <v>45293</v>
      </c>
      <c r="C11">
        <v>2024</v>
      </c>
      <c r="D11" t="s">
        <v>22</v>
      </c>
      <c r="E11" t="s">
        <v>23</v>
      </c>
      <c r="F11" t="s">
        <v>24</v>
      </c>
      <c r="G11" t="s">
        <v>51</v>
      </c>
      <c r="H11" t="s">
        <v>32</v>
      </c>
      <c r="I11" t="s">
        <v>36</v>
      </c>
      <c r="J11" t="s">
        <v>56</v>
      </c>
      <c r="K11">
        <v>1</v>
      </c>
      <c r="L11" s="2">
        <v>74.3</v>
      </c>
      <c r="M11" s="3">
        <v>0.2</v>
      </c>
      <c r="N11" t="s">
        <v>34</v>
      </c>
      <c r="O11" s="2">
        <v>59.44</v>
      </c>
      <c r="P11" s="2">
        <v>35.090000000000003</v>
      </c>
      <c r="Q11" s="2">
        <v>24.35</v>
      </c>
      <c r="R11">
        <v>1</v>
      </c>
      <c r="S11">
        <v>0</v>
      </c>
      <c r="T11">
        <v>2</v>
      </c>
      <c r="U11">
        <v>4</v>
      </c>
    </row>
    <row r="12" spans="1:21" ht="16.5" x14ac:dyDescent="0.3">
      <c r="A12" t="s">
        <v>57</v>
      </c>
      <c r="B12" s="1">
        <v>45293</v>
      </c>
      <c r="C12">
        <v>2024</v>
      </c>
      <c r="D12" t="s">
        <v>22</v>
      </c>
      <c r="E12" t="s">
        <v>23</v>
      </c>
      <c r="F12" t="s">
        <v>31</v>
      </c>
      <c r="G12" t="s">
        <v>51</v>
      </c>
      <c r="H12" t="s">
        <v>32</v>
      </c>
      <c r="I12" t="s">
        <v>42</v>
      </c>
      <c r="J12" t="s">
        <v>58</v>
      </c>
      <c r="K12">
        <v>1</v>
      </c>
      <c r="L12" s="2">
        <v>233.81</v>
      </c>
      <c r="M12" s="3">
        <v>0.1</v>
      </c>
      <c r="N12" t="s">
        <v>29</v>
      </c>
      <c r="O12" s="2">
        <v>210.43</v>
      </c>
      <c r="P12" s="2">
        <v>157.76</v>
      </c>
      <c r="Q12" s="2">
        <v>52.67</v>
      </c>
      <c r="R12">
        <v>1</v>
      </c>
      <c r="S12">
        <v>0</v>
      </c>
      <c r="T12">
        <v>4</v>
      </c>
      <c r="U12">
        <v>4</v>
      </c>
    </row>
    <row r="13" spans="1:21" ht="16.5" x14ac:dyDescent="0.3">
      <c r="A13" t="s">
        <v>59</v>
      </c>
      <c r="B13" s="1">
        <v>45294</v>
      </c>
      <c r="C13">
        <v>2024</v>
      </c>
      <c r="D13" t="s">
        <v>22</v>
      </c>
      <c r="E13" t="s">
        <v>23</v>
      </c>
      <c r="F13" t="s">
        <v>24</v>
      </c>
      <c r="G13" t="s">
        <v>25</v>
      </c>
      <c r="H13" t="s">
        <v>26</v>
      </c>
      <c r="I13" t="s">
        <v>27</v>
      </c>
      <c r="J13" t="s">
        <v>60</v>
      </c>
      <c r="K13">
        <v>1</v>
      </c>
      <c r="L13" s="2">
        <v>94.85</v>
      </c>
      <c r="M13" s="3">
        <v>0.1</v>
      </c>
      <c r="N13" t="s">
        <v>29</v>
      </c>
      <c r="O13" s="2">
        <v>85.36</v>
      </c>
      <c r="P13" s="2">
        <v>51.56</v>
      </c>
      <c r="Q13" s="2">
        <v>33.799999999999997</v>
      </c>
      <c r="R13">
        <v>1</v>
      </c>
      <c r="S13">
        <v>0</v>
      </c>
      <c r="T13">
        <v>3</v>
      </c>
      <c r="U13">
        <v>5</v>
      </c>
    </row>
    <row r="14" spans="1:21" ht="16.5" x14ac:dyDescent="0.3">
      <c r="A14" t="s">
        <v>61</v>
      </c>
      <c r="B14" s="1">
        <v>45294</v>
      </c>
      <c r="C14">
        <v>2024</v>
      </c>
      <c r="D14" t="s">
        <v>22</v>
      </c>
      <c r="E14" t="s">
        <v>23</v>
      </c>
      <c r="F14" t="s">
        <v>31</v>
      </c>
      <c r="G14" t="s">
        <v>51</v>
      </c>
      <c r="H14" t="s">
        <v>26</v>
      </c>
      <c r="I14" t="s">
        <v>27</v>
      </c>
      <c r="J14" t="s">
        <v>33</v>
      </c>
      <c r="K14">
        <v>1</v>
      </c>
      <c r="L14" s="2">
        <v>78.510000000000005</v>
      </c>
      <c r="M14" s="3">
        <v>0.25</v>
      </c>
      <c r="N14" t="s">
        <v>62</v>
      </c>
      <c r="O14" s="2">
        <v>58.88</v>
      </c>
      <c r="P14" s="2">
        <v>43.83</v>
      </c>
      <c r="Q14" s="2">
        <v>15.05</v>
      </c>
      <c r="R14">
        <v>1</v>
      </c>
      <c r="S14">
        <v>0</v>
      </c>
      <c r="T14">
        <v>3</v>
      </c>
      <c r="U14">
        <v>4</v>
      </c>
    </row>
    <row r="15" spans="1:21" ht="16.5" x14ac:dyDescent="0.3">
      <c r="A15" t="s">
        <v>63</v>
      </c>
      <c r="B15" s="1">
        <v>45294</v>
      </c>
      <c r="C15">
        <v>2024</v>
      </c>
      <c r="D15" t="s">
        <v>22</v>
      </c>
      <c r="E15" t="s">
        <v>23</v>
      </c>
      <c r="F15" t="s">
        <v>24</v>
      </c>
      <c r="G15" t="s">
        <v>49</v>
      </c>
      <c r="H15" t="s">
        <v>26</v>
      </c>
      <c r="I15" t="s">
        <v>36</v>
      </c>
      <c r="J15" t="s">
        <v>37</v>
      </c>
      <c r="K15">
        <v>2</v>
      </c>
      <c r="L15" s="2">
        <v>33.18</v>
      </c>
      <c r="M15" s="3">
        <v>0</v>
      </c>
      <c r="N15" t="s">
        <v>38</v>
      </c>
      <c r="O15" s="2">
        <v>66.36</v>
      </c>
      <c r="P15" s="2">
        <v>31.27</v>
      </c>
      <c r="Q15" s="2">
        <v>35.090000000000003</v>
      </c>
      <c r="R15">
        <v>1</v>
      </c>
      <c r="S15">
        <v>0</v>
      </c>
      <c r="T15">
        <v>4</v>
      </c>
      <c r="U15">
        <v>4</v>
      </c>
    </row>
    <row r="16" spans="1:21" ht="16.5" x14ac:dyDescent="0.3">
      <c r="A16" t="s">
        <v>64</v>
      </c>
      <c r="B16" s="1">
        <v>45294</v>
      </c>
      <c r="C16">
        <v>2024</v>
      </c>
      <c r="D16" t="s">
        <v>22</v>
      </c>
      <c r="E16" t="s">
        <v>23</v>
      </c>
      <c r="F16" t="s">
        <v>24</v>
      </c>
      <c r="G16" t="s">
        <v>65</v>
      </c>
      <c r="H16" t="s">
        <v>32</v>
      </c>
      <c r="I16" t="s">
        <v>27</v>
      </c>
      <c r="J16" t="s">
        <v>40</v>
      </c>
      <c r="K16">
        <v>1</v>
      </c>
      <c r="L16" s="2">
        <v>104.94</v>
      </c>
      <c r="M16" s="3">
        <v>0</v>
      </c>
      <c r="N16" t="s">
        <v>38</v>
      </c>
      <c r="O16" s="2">
        <v>104.94</v>
      </c>
      <c r="P16" s="2">
        <v>53.23</v>
      </c>
      <c r="Q16" s="2">
        <v>51.71</v>
      </c>
      <c r="R16">
        <v>1</v>
      </c>
      <c r="S16">
        <v>0</v>
      </c>
      <c r="T16">
        <v>5</v>
      </c>
      <c r="U16">
        <v>5</v>
      </c>
    </row>
    <row r="17" spans="1:21" ht="16.5" x14ac:dyDescent="0.3">
      <c r="A17" t="s">
        <v>66</v>
      </c>
      <c r="B17" s="1">
        <v>45295</v>
      </c>
      <c r="C17">
        <v>2024</v>
      </c>
      <c r="D17" t="s">
        <v>22</v>
      </c>
      <c r="E17" t="s">
        <v>23</v>
      </c>
      <c r="F17" t="s">
        <v>45</v>
      </c>
      <c r="G17" t="s">
        <v>51</v>
      </c>
      <c r="H17" t="s">
        <v>32</v>
      </c>
      <c r="I17" t="s">
        <v>67</v>
      </c>
      <c r="J17" t="s">
        <v>68</v>
      </c>
      <c r="K17">
        <v>1</v>
      </c>
      <c r="L17" s="2">
        <v>74.459999999999994</v>
      </c>
      <c r="M17" s="3">
        <v>0.1</v>
      </c>
      <c r="N17" t="s">
        <v>29</v>
      </c>
      <c r="O17" s="2">
        <v>67.010000000000005</v>
      </c>
      <c r="P17" s="2">
        <v>48.57</v>
      </c>
      <c r="Q17" s="2">
        <v>18.440000000000001</v>
      </c>
      <c r="R17">
        <v>1</v>
      </c>
      <c r="S17">
        <v>0</v>
      </c>
      <c r="T17">
        <v>4</v>
      </c>
      <c r="U17">
        <v>4</v>
      </c>
    </row>
    <row r="18" spans="1:21" ht="16.5" x14ac:dyDescent="0.3">
      <c r="A18" t="s">
        <v>69</v>
      </c>
      <c r="B18" s="1">
        <v>45295</v>
      </c>
      <c r="C18">
        <v>2024</v>
      </c>
      <c r="D18" t="s">
        <v>22</v>
      </c>
      <c r="E18" t="s">
        <v>23</v>
      </c>
      <c r="F18" t="s">
        <v>45</v>
      </c>
      <c r="G18" t="s">
        <v>51</v>
      </c>
      <c r="H18" t="s">
        <v>32</v>
      </c>
      <c r="I18" t="s">
        <v>70</v>
      </c>
      <c r="J18" t="s">
        <v>71</v>
      </c>
      <c r="K18">
        <v>3</v>
      </c>
      <c r="L18" s="2">
        <v>588.41</v>
      </c>
      <c r="M18" s="3">
        <v>0</v>
      </c>
      <c r="N18" t="s">
        <v>38</v>
      </c>
      <c r="O18" s="2">
        <v>1765.23</v>
      </c>
      <c r="P18" s="2">
        <v>1305.45</v>
      </c>
      <c r="Q18" s="2">
        <v>459.78</v>
      </c>
      <c r="R18">
        <v>1</v>
      </c>
      <c r="S18">
        <v>0</v>
      </c>
      <c r="T18">
        <v>4</v>
      </c>
      <c r="U18">
        <v>4</v>
      </c>
    </row>
    <row r="19" spans="1:21" ht="16.5" x14ac:dyDescent="0.3">
      <c r="A19" t="s">
        <v>72</v>
      </c>
      <c r="B19" s="1">
        <v>45295</v>
      </c>
      <c r="C19">
        <v>2024</v>
      </c>
      <c r="D19" t="s">
        <v>22</v>
      </c>
      <c r="E19" t="s">
        <v>23</v>
      </c>
      <c r="F19" t="s">
        <v>24</v>
      </c>
      <c r="G19" t="s">
        <v>49</v>
      </c>
      <c r="H19" t="s">
        <v>26</v>
      </c>
      <c r="I19" t="s">
        <v>70</v>
      </c>
      <c r="J19" t="s">
        <v>71</v>
      </c>
      <c r="K19">
        <v>1</v>
      </c>
      <c r="L19" s="2">
        <v>588.41</v>
      </c>
      <c r="M19" s="3">
        <v>0.1</v>
      </c>
      <c r="N19" t="s">
        <v>29</v>
      </c>
      <c r="O19" s="2">
        <v>529.57000000000005</v>
      </c>
      <c r="P19" s="2">
        <v>472.72</v>
      </c>
      <c r="Q19" s="2">
        <v>56.85</v>
      </c>
      <c r="R19">
        <v>1</v>
      </c>
      <c r="S19">
        <v>0</v>
      </c>
      <c r="T19">
        <v>4</v>
      </c>
      <c r="U19">
        <v>4</v>
      </c>
    </row>
    <row r="20" spans="1:21" ht="16.5" x14ac:dyDescent="0.3">
      <c r="A20" t="s">
        <v>73</v>
      </c>
      <c r="B20" s="1">
        <v>45296</v>
      </c>
      <c r="C20">
        <v>2024</v>
      </c>
      <c r="D20" t="s">
        <v>22</v>
      </c>
      <c r="E20" t="s">
        <v>23</v>
      </c>
      <c r="F20" t="s">
        <v>45</v>
      </c>
      <c r="G20" t="s">
        <v>46</v>
      </c>
      <c r="H20" t="s">
        <v>32</v>
      </c>
      <c r="I20" t="s">
        <v>42</v>
      </c>
      <c r="J20" t="s">
        <v>54</v>
      </c>
      <c r="K20">
        <v>1</v>
      </c>
      <c r="L20" s="2">
        <v>148.05000000000001</v>
      </c>
      <c r="M20" s="3">
        <v>0.05</v>
      </c>
      <c r="N20" t="s">
        <v>29</v>
      </c>
      <c r="O20" s="2">
        <v>140.65</v>
      </c>
      <c r="P20" s="2">
        <v>95.06</v>
      </c>
      <c r="Q20" s="2">
        <v>45.59</v>
      </c>
      <c r="R20">
        <v>1</v>
      </c>
      <c r="S20">
        <v>0</v>
      </c>
      <c r="T20">
        <v>7</v>
      </c>
      <c r="U20">
        <v>4</v>
      </c>
    </row>
    <row r="21" spans="1:21" ht="16.5" x14ac:dyDescent="0.3">
      <c r="A21" t="s">
        <v>74</v>
      </c>
      <c r="B21" s="1">
        <v>45296</v>
      </c>
      <c r="C21">
        <v>2024</v>
      </c>
      <c r="D21" t="s">
        <v>22</v>
      </c>
      <c r="E21" t="s">
        <v>23</v>
      </c>
      <c r="F21" t="s">
        <v>31</v>
      </c>
      <c r="G21" t="s">
        <v>25</v>
      </c>
      <c r="H21" t="s">
        <v>32</v>
      </c>
      <c r="I21" t="s">
        <v>27</v>
      </c>
      <c r="J21" t="s">
        <v>28</v>
      </c>
      <c r="K21">
        <v>1</v>
      </c>
      <c r="L21" s="2">
        <v>138.5</v>
      </c>
      <c r="M21" s="3">
        <v>0.1</v>
      </c>
      <c r="N21" t="s">
        <v>29</v>
      </c>
      <c r="O21" s="2">
        <v>124.65</v>
      </c>
      <c r="P21" s="2">
        <v>78.5</v>
      </c>
      <c r="Q21" s="2">
        <v>46.15</v>
      </c>
      <c r="R21">
        <v>1</v>
      </c>
      <c r="S21">
        <v>0</v>
      </c>
      <c r="T21">
        <v>3</v>
      </c>
      <c r="U21">
        <v>5</v>
      </c>
    </row>
    <row r="22" spans="1:21" ht="16.5" x14ac:dyDescent="0.3">
      <c r="A22" t="s">
        <v>75</v>
      </c>
      <c r="B22" s="1">
        <v>45296</v>
      </c>
      <c r="C22">
        <v>2024</v>
      </c>
      <c r="D22" t="s">
        <v>22</v>
      </c>
      <c r="E22" t="s">
        <v>23</v>
      </c>
      <c r="F22" t="s">
        <v>24</v>
      </c>
      <c r="G22" t="s">
        <v>49</v>
      </c>
      <c r="H22" t="s">
        <v>26</v>
      </c>
      <c r="I22" t="s">
        <v>42</v>
      </c>
      <c r="J22" t="s">
        <v>76</v>
      </c>
      <c r="K22">
        <v>1</v>
      </c>
      <c r="L22" s="2">
        <v>90.75</v>
      </c>
      <c r="M22" s="3">
        <v>0.15</v>
      </c>
      <c r="N22" t="s">
        <v>34</v>
      </c>
      <c r="O22" s="2">
        <v>77.14</v>
      </c>
      <c r="P22" s="2">
        <v>59.63</v>
      </c>
      <c r="Q22" s="2">
        <v>17.510000000000002</v>
      </c>
      <c r="R22">
        <v>1</v>
      </c>
      <c r="S22">
        <v>0</v>
      </c>
      <c r="T22">
        <v>4</v>
      </c>
      <c r="U22">
        <v>4</v>
      </c>
    </row>
    <row r="23" spans="1:21" ht="16.5" x14ac:dyDescent="0.3">
      <c r="A23" t="s">
        <v>77</v>
      </c>
      <c r="B23" s="1">
        <v>45296</v>
      </c>
      <c r="C23">
        <v>2024</v>
      </c>
      <c r="D23" t="s">
        <v>22</v>
      </c>
      <c r="E23" t="s">
        <v>23</v>
      </c>
      <c r="F23" t="s">
        <v>24</v>
      </c>
      <c r="G23" t="s">
        <v>51</v>
      </c>
      <c r="H23" t="s">
        <v>32</v>
      </c>
      <c r="I23" t="s">
        <v>67</v>
      </c>
      <c r="J23" t="s">
        <v>78</v>
      </c>
      <c r="K23">
        <v>1</v>
      </c>
      <c r="L23" s="2">
        <v>85.42</v>
      </c>
      <c r="M23" s="3">
        <v>0</v>
      </c>
      <c r="N23" t="s">
        <v>38</v>
      </c>
      <c r="O23" s="2">
        <v>85.42</v>
      </c>
      <c r="P23" s="2">
        <v>53.26</v>
      </c>
      <c r="Q23" s="2">
        <v>32.159999999999997</v>
      </c>
      <c r="R23">
        <v>1</v>
      </c>
      <c r="S23">
        <v>0</v>
      </c>
      <c r="T23">
        <v>2</v>
      </c>
      <c r="U23">
        <v>5</v>
      </c>
    </row>
    <row r="24" spans="1:21" ht="16.5" x14ac:dyDescent="0.3">
      <c r="A24" t="s">
        <v>79</v>
      </c>
      <c r="B24" s="1">
        <v>45296</v>
      </c>
      <c r="C24">
        <v>2024</v>
      </c>
      <c r="D24" t="s">
        <v>22</v>
      </c>
      <c r="E24" t="s">
        <v>23</v>
      </c>
      <c r="F24" t="s">
        <v>24</v>
      </c>
      <c r="G24" t="s">
        <v>46</v>
      </c>
      <c r="H24" t="s">
        <v>32</v>
      </c>
      <c r="I24" t="s">
        <v>42</v>
      </c>
      <c r="J24" t="s">
        <v>43</v>
      </c>
      <c r="K24">
        <v>1</v>
      </c>
      <c r="L24" s="2">
        <v>154.66</v>
      </c>
      <c r="M24" s="3">
        <v>0.15</v>
      </c>
      <c r="N24" t="s">
        <v>34</v>
      </c>
      <c r="O24" s="2">
        <v>131.46</v>
      </c>
      <c r="P24" s="2">
        <v>102.13</v>
      </c>
      <c r="Q24" s="2">
        <v>29.33</v>
      </c>
      <c r="R24">
        <v>1</v>
      </c>
      <c r="S24">
        <v>0</v>
      </c>
      <c r="T24">
        <v>10</v>
      </c>
      <c r="U24">
        <v>5</v>
      </c>
    </row>
    <row r="25" spans="1:21" ht="16.5" x14ac:dyDescent="0.3">
      <c r="A25" t="s">
        <v>80</v>
      </c>
      <c r="B25" s="1">
        <v>45296</v>
      </c>
      <c r="C25">
        <v>2024</v>
      </c>
      <c r="D25" t="s">
        <v>22</v>
      </c>
      <c r="E25" t="s">
        <v>23</v>
      </c>
      <c r="F25" t="s">
        <v>24</v>
      </c>
      <c r="G25" t="s">
        <v>25</v>
      </c>
      <c r="H25" t="s">
        <v>32</v>
      </c>
      <c r="I25" t="s">
        <v>36</v>
      </c>
      <c r="J25" t="s">
        <v>37</v>
      </c>
      <c r="K25">
        <v>2</v>
      </c>
      <c r="L25" s="2">
        <v>33.18</v>
      </c>
      <c r="M25" s="3">
        <v>0.2</v>
      </c>
      <c r="N25" t="s">
        <v>34</v>
      </c>
      <c r="O25" s="2">
        <v>53.09</v>
      </c>
      <c r="P25" s="2">
        <v>31.89</v>
      </c>
      <c r="Q25" s="2">
        <v>21.2</v>
      </c>
      <c r="R25">
        <v>1</v>
      </c>
      <c r="S25">
        <v>0</v>
      </c>
      <c r="T25">
        <v>4</v>
      </c>
      <c r="U25">
        <v>5</v>
      </c>
    </row>
    <row r="26" spans="1:21" ht="16.5" x14ac:dyDescent="0.3">
      <c r="A26" t="s">
        <v>81</v>
      </c>
      <c r="B26" s="1">
        <v>45297</v>
      </c>
      <c r="C26">
        <v>2024</v>
      </c>
      <c r="D26" t="s">
        <v>22</v>
      </c>
      <c r="E26" t="s">
        <v>23</v>
      </c>
      <c r="F26" t="s">
        <v>45</v>
      </c>
      <c r="G26" t="s">
        <v>25</v>
      </c>
      <c r="H26" t="s">
        <v>32</v>
      </c>
      <c r="I26" t="s">
        <v>70</v>
      </c>
      <c r="J26" t="s">
        <v>82</v>
      </c>
      <c r="K26">
        <v>1</v>
      </c>
      <c r="L26" s="2">
        <v>508.8</v>
      </c>
      <c r="M26" s="3">
        <v>0</v>
      </c>
      <c r="N26" t="s">
        <v>38</v>
      </c>
      <c r="O26" s="2">
        <v>508.8</v>
      </c>
      <c r="P26" s="2">
        <v>402.51</v>
      </c>
      <c r="Q26" s="2">
        <v>106.29</v>
      </c>
      <c r="R26">
        <v>1</v>
      </c>
      <c r="S26">
        <v>0</v>
      </c>
      <c r="T26">
        <v>3</v>
      </c>
      <c r="U26">
        <v>4</v>
      </c>
    </row>
    <row r="27" spans="1:21" ht="16.5" x14ac:dyDescent="0.3">
      <c r="A27" t="s">
        <v>83</v>
      </c>
      <c r="B27" s="1">
        <v>45297</v>
      </c>
      <c r="C27">
        <v>2024</v>
      </c>
      <c r="D27" t="s">
        <v>22</v>
      </c>
      <c r="E27" t="s">
        <v>23</v>
      </c>
      <c r="F27" t="s">
        <v>24</v>
      </c>
      <c r="G27" t="s">
        <v>51</v>
      </c>
      <c r="H27" t="s">
        <v>32</v>
      </c>
      <c r="I27" t="s">
        <v>84</v>
      </c>
      <c r="J27" t="s">
        <v>85</v>
      </c>
      <c r="K27">
        <v>1</v>
      </c>
      <c r="L27" s="2">
        <v>57.92</v>
      </c>
      <c r="M27" s="3">
        <v>0</v>
      </c>
      <c r="N27" t="s">
        <v>38</v>
      </c>
      <c r="O27" s="2">
        <v>57.92</v>
      </c>
      <c r="P27" s="2">
        <v>42.55</v>
      </c>
      <c r="Q27" s="2">
        <v>15.37</v>
      </c>
      <c r="R27">
        <v>1</v>
      </c>
      <c r="S27">
        <v>0</v>
      </c>
      <c r="T27">
        <v>3</v>
      </c>
      <c r="U27">
        <v>3</v>
      </c>
    </row>
    <row r="28" spans="1:21" ht="16.5" x14ac:dyDescent="0.3">
      <c r="A28" t="s">
        <v>86</v>
      </c>
      <c r="B28" s="1">
        <v>45298</v>
      </c>
      <c r="C28">
        <v>2024</v>
      </c>
      <c r="D28" t="s">
        <v>22</v>
      </c>
      <c r="E28" t="s">
        <v>23</v>
      </c>
      <c r="F28" t="s">
        <v>24</v>
      </c>
      <c r="G28" t="s">
        <v>51</v>
      </c>
      <c r="H28" t="s">
        <v>32</v>
      </c>
      <c r="I28" t="s">
        <v>70</v>
      </c>
      <c r="J28" t="s">
        <v>87</v>
      </c>
      <c r="K28">
        <v>2</v>
      </c>
      <c r="L28" s="2">
        <v>490.3</v>
      </c>
      <c r="M28" s="3">
        <v>0</v>
      </c>
      <c r="N28" t="s">
        <v>38</v>
      </c>
      <c r="O28" s="2">
        <v>980.6</v>
      </c>
      <c r="P28" s="2">
        <v>751.04</v>
      </c>
      <c r="Q28" s="2">
        <v>229.56</v>
      </c>
      <c r="R28">
        <v>1</v>
      </c>
      <c r="S28">
        <v>0</v>
      </c>
      <c r="T28">
        <v>2</v>
      </c>
      <c r="U28">
        <v>5</v>
      </c>
    </row>
    <row r="29" spans="1:21" ht="16.5" x14ac:dyDescent="0.3">
      <c r="A29" t="s">
        <v>88</v>
      </c>
      <c r="B29" s="1">
        <v>45298</v>
      </c>
      <c r="C29">
        <v>2024</v>
      </c>
      <c r="D29" t="s">
        <v>22</v>
      </c>
      <c r="E29" t="s">
        <v>23</v>
      </c>
      <c r="F29" t="s">
        <v>24</v>
      </c>
      <c r="G29" t="s">
        <v>65</v>
      </c>
      <c r="H29" t="s">
        <v>32</v>
      </c>
      <c r="I29" t="s">
        <v>42</v>
      </c>
      <c r="J29" t="s">
        <v>89</v>
      </c>
      <c r="K29">
        <v>3</v>
      </c>
      <c r="L29" s="2">
        <v>68.349999999999994</v>
      </c>
      <c r="M29" s="3">
        <v>0</v>
      </c>
      <c r="N29" t="s">
        <v>38</v>
      </c>
      <c r="O29" s="2">
        <v>205.05</v>
      </c>
      <c r="P29" s="2">
        <v>144.63999999999999</v>
      </c>
      <c r="Q29" s="2">
        <v>60.41</v>
      </c>
      <c r="R29">
        <v>1</v>
      </c>
      <c r="S29">
        <v>0</v>
      </c>
      <c r="T29">
        <v>6</v>
      </c>
      <c r="U29">
        <v>3</v>
      </c>
    </row>
    <row r="30" spans="1:21" ht="16.5" x14ac:dyDescent="0.3">
      <c r="A30" t="s">
        <v>90</v>
      </c>
      <c r="B30" s="1">
        <v>45298</v>
      </c>
      <c r="C30">
        <v>2024</v>
      </c>
      <c r="D30" t="s">
        <v>22</v>
      </c>
      <c r="E30" t="s">
        <v>23</v>
      </c>
      <c r="F30" t="s">
        <v>24</v>
      </c>
      <c r="G30" t="s">
        <v>49</v>
      </c>
      <c r="H30" t="s">
        <v>32</v>
      </c>
      <c r="I30" t="s">
        <v>42</v>
      </c>
      <c r="J30" t="s">
        <v>58</v>
      </c>
      <c r="K30">
        <v>1</v>
      </c>
      <c r="L30" s="2">
        <v>233.81</v>
      </c>
      <c r="M30" s="3">
        <v>0.1</v>
      </c>
      <c r="N30" t="s">
        <v>29</v>
      </c>
      <c r="O30" s="2">
        <v>210.43</v>
      </c>
      <c r="P30" s="2">
        <v>149.6</v>
      </c>
      <c r="Q30" s="2">
        <v>60.83</v>
      </c>
      <c r="R30">
        <v>1</v>
      </c>
      <c r="S30">
        <v>1</v>
      </c>
      <c r="T30">
        <v>3</v>
      </c>
      <c r="U30">
        <v>3</v>
      </c>
    </row>
    <row r="31" spans="1:21" ht="16.5" x14ac:dyDescent="0.3">
      <c r="A31" t="s">
        <v>91</v>
      </c>
      <c r="B31" s="1">
        <v>45298</v>
      </c>
      <c r="C31">
        <v>2024</v>
      </c>
      <c r="D31" t="s">
        <v>22</v>
      </c>
      <c r="E31" t="s">
        <v>23</v>
      </c>
      <c r="F31" t="s">
        <v>45</v>
      </c>
      <c r="G31" t="s">
        <v>51</v>
      </c>
      <c r="H31" t="s">
        <v>26</v>
      </c>
      <c r="I31" t="s">
        <v>70</v>
      </c>
      <c r="J31" t="s">
        <v>82</v>
      </c>
      <c r="K31">
        <v>1</v>
      </c>
      <c r="L31" s="2">
        <v>508.8</v>
      </c>
      <c r="M31" s="3">
        <v>0</v>
      </c>
      <c r="N31" t="s">
        <v>38</v>
      </c>
      <c r="O31" s="2">
        <v>508.8</v>
      </c>
      <c r="P31" s="2">
        <v>412.42</v>
      </c>
      <c r="Q31" s="2">
        <v>96.38</v>
      </c>
      <c r="R31">
        <v>1</v>
      </c>
      <c r="S31">
        <v>0</v>
      </c>
      <c r="T31">
        <v>3</v>
      </c>
      <c r="U31">
        <v>4</v>
      </c>
    </row>
    <row r="32" spans="1:21" ht="16.5" x14ac:dyDescent="0.3">
      <c r="A32" t="s">
        <v>92</v>
      </c>
      <c r="B32" s="1">
        <v>45298</v>
      </c>
      <c r="C32">
        <v>2024</v>
      </c>
      <c r="D32" t="s">
        <v>22</v>
      </c>
      <c r="E32" t="s">
        <v>23</v>
      </c>
      <c r="F32" t="s">
        <v>24</v>
      </c>
      <c r="G32" t="s">
        <v>65</v>
      </c>
      <c r="H32" t="s">
        <v>32</v>
      </c>
      <c r="I32" t="s">
        <v>67</v>
      </c>
      <c r="J32" t="s">
        <v>93</v>
      </c>
      <c r="K32">
        <v>1</v>
      </c>
      <c r="L32" s="2">
        <v>198.42</v>
      </c>
      <c r="M32" s="3">
        <v>0.25</v>
      </c>
      <c r="N32" t="s">
        <v>62</v>
      </c>
      <c r="O32" s="2">
        <v>148.82</v>
      </c>
      <c r="P32" s="2">
        <v>139.56</v>
      </c>
      <c r="Q32" s="2">
        <v>9.26</v>
      </c>
      <c r="R32">
        <v>1</v>
      </c>
      <c r="S32">
        <v>0</v>
      </c>
      <c r="T32">
        <v>6</v>
      </c>
      <c r="U32">
        <v>4</v>
      </c>
    </row>
    <row r="33" spans="1:21" ht="16.5" x14ac:dyDescent="0.3">
      <c r="A33" t="s">
        <v>94</v>
      </c>
      <c r="B33" s="1">
        <v>45298</v>
      </c>
      <c r="C33">
        <v>2024</v>
      </c>
      <c r="D33" t="s">
        <v>22</v>
      </c>
      <c r="E33" t="s">
        <v>23</v>
      </c>
      <c r="F33" t="s">
        <v>24</v>
      </c>
      <c r="G33" t="s">
        <v>51</v>
      </c>
      <c r="H33" t="s">
        <v>32</v>
      </c>
      <c r="I33" t="s">
        <v>70</v>
      </c>
      <c r="J33" t="s">
        <v>82</v>
      </c>
      <c r="K33">
        <v>1</v>
      </c>
      <c r="L33" s="2">
        <v>508.8</v>
      </c>
      <c r="M33" s="3">
        <v>0</v>
      </c>
      <c r="N33" t="s">
        <v>38</v>
      </c>
      <c r="O33" s="2">
        <v>508.8</v>
      </c>
      <c r="P33" s="2">
        <v>416.25</v>
      </c>
      <c r="Q33" s="2">
        <v>92.55</v>
      </c>
      <c r="R33">
        <v>1</v>
      </c>
      <c r="S33">
        <v>0</v>
      </c>
      <c r="T33">
        <v>2</v>
      </c>
      <c r="U33">
        <v>5</v>
      </c>
    </row>
    <row r="34" spans="1:21" ht="16.5" x14ac:dyDescent="0.3">
      <c r="A34" t="s">
        <v>95</v>
      </c>
      <c r="B34" s="1">
        <v>45299</v>
      </c>
      <c r="C34">
        <v>2024</v>
      </c>
      <c r="D34" t="s">
        <v>22</v>
      </c>
      <c r="E34" t="s">
        <v>23</v>
      </c>
      <c r="F34" t="s">
        <v>24</v>
      </c>
      <c r="G34" t="s">
        <v>51</v>
      </c>
      <c r="H34" t="s">
        <v>32</v>
      </c>
      <c r="I34" t="s">
        <v>84</v>
      </c>
      <c r="J34" t="s">
        <v>96</v>
      </c>
      <c r="K34">
        <v>2</v>
      </c>
      <c r="L34" s="2">
        <v>10.76</v>
      </c>
      <c r="M34" s="3">
        <v>0.1</v>
      </c>
      <c r="N34" t="s">
        <v>29</v>
      </c>
      <c r="O34" s="2">
        <v>19.37</v>
      </c>
      <c r="P34" s="2">
        <v>15.3</v>
      </c>
      <c r="Q34" s="2">
        <v>4.07</v>
      </c>
      <c r="R34">
        <v>1</v>
      </c>
      <c r="S34">
        <v>0</v>
      </c>
      <c r="T34">
        <v>4</v>
      </c>
      <c r="U34">
        <v>5</v>
      </c>
    </row>
    <row r="35" spans="1:21" ht="16.5" x14ac:dyDescent="0.3">
      <c r="A35" t="s">
        <v>97</v>
      </c>
      <c r="B35" s="1">
        <v>45299</v>
      </c>
      <c r="C35">
        <v>2024</v>
      </c>
      <c r="D35" t="s">
        <v>22</v>
      </c>
      <c r="E35" t="s">
        <v>23</v>
      </c>
      <c r="F35" t="s">
        <v>24</v>
      </c>
      <c r="G35" t="s">
        <v>51</v>
      </c>
      <c r="H35" t="s">
        <v>32</v>
      </c>
      <c r="I35" t="s">
        <v>42</v>
      </c>
      <c r="J35" t="s">
        <v>98</v>
      </c>
      <c r="K35">
        <v>1</v>
      </c>
      <c r="L35" s="2">
        <v>117.63</v>
      </c>
      <c r="M35" s="3">
        <v>0.2</v>
      </c>
      <c r="N35" t="s">
        <v>34</v>
      </c>
      <c r="O35" s="2">
        <v>94.1</v>
      </c>
      <c r="P35" s="2">
        <v>75.37</v>
      </c>
      <c r="Q35" s="2">
        <v>18.73</v>
      </c>
      <c r="R35">
        <v>1</v>
      </c>
      <c r="S35">
        <v>0</v>
      </c>
      <c r="T35">
        <v>2</v>
      </c>
      <c r="U35">
        <v>4</v>
      </c>
    </row>
    <row r="36" spans="1:21" ht="16.5" x14ac:dyDescent="0.3">
      <c r="A36" t="s">
        <v>99</v>
      </c>
      <c r="B36" s="1">
        <v>45299</v>
      </c>
      <c r="C36">
        <v>2024</v>
      </c>
      <c r="D36" t="s">
        <v>22</v>
      </c>
      <c r="E36" t="s">
        <v>23</v>
      </c>
      <c r="F36" t="s">
        <v>24</v>
      </c>
      <c r="G36" t="s">
        <v>65</v>
      </c>
      <c r="H36" t="s">
        <v>26</v>
      </c>
      <c r="I36" t="s">
        <v>67</v>
      </c>
      <c r="J36" t="s">
        <v>68</v>
      </c>
      <c r="K36">
        <v>1</v>
      </c>
      <c r="L36" s="2">
        <v>74.459999999999994</v>
      </c>
      <c r="M36" s="3">
        <v>0.25</v>
      </c>
      <c r="N36" t="s">
        <v>62</v>
      </c>
      <c r="O36" s="2">
        <v>55.84</v>
      </c>
      <c r="P36" s="2">
        <v>49.09</v>
      </c>
      <c r="Q36" s="2">
        <v>6.75</v>
      </c>
      <c r="R36">
        <v>1</v>
      </c>
      <c r="S36">
        <v>0</v>
      </c>
      <c r="T36">
        <v>5</v>
      </c>
      <c r="U36">
        <v>5</v>
      </c>
    </row>
    <row r="37" spans="1:21" ht="16.5" x14ac:dyDescent="0.3">
      <c r="A37" t="s">
        <v>100</v>
      </c>
      <c r="B37" s="1">
        <v>45299</v>
      </c>
      <c r="C37">
        <v>2024</v>
      </c>
      <c r="D37" t="s">
        <v>22</v>
      </c>
      <c r="E37" t="s">
        <v>23</v>
      </c>
      <c r="F37" t="s">
        <v>45</v>
      </c>
      <c r="G37" t="s">
        <v>25</v>
      </c>
      <c r="H37" t="s">
        <v>26</v>
      </c>
      <c r="I37" t="s">
        <v>42</v>
      </c>
      <c r="J37" t="s">
        <v>58</v>
      </c>
      <c r="K37">
        <v>1</v>
      </c>
      <c r="L37" s="2">
        <v>233.81</v>
      </c>
      <c r="M37" s="3">
        <v>0.3</v>
      </c>
      <c r="N37" t="s">
        <v>62</v>
      </c>
      <c r="O37" s="2">
        <v>163.66999999999999</v>
      </c>
      <c r="P37" s="2">
        <v>154.22999999999999</v>
      </c>
      <c r="Q37" s="2">
        <v>9.44</v>
      </c>
      <c r="R37">
        <v>1</v>
      </c>
      <c r="S37">
        <v>0</v>
      </c>
      <c r="T37">
        <v>3</v>
      </c>
      <c r="U37">
        <v>4</v>
      </c>
    </row>
    <row r="38" spans="1:21" ht="16.5" x14ac:dyDescent="0.3">
      <c r="A38" t="s">
        <v>101</v>
      </c>
      <c r="B38" s="1">
        <v>45299</v>
      </c>
      <c r="C38">
        <v>2024</v>
      </c>
      <c r="D38" t="s">
        <v>22</v>
      </c>
      <c r="E38" t="s">
        <v>23</v>
      </c>
      <c r="F38" t="s">
        <v>24</v>
      </c>
      <c r="G38" t="s">
        <v>46</v>
      </c>
      <c r="H38" t="s">
        <v>26</v>
      </c>
      <c r="I38" t="s">
        <v>42</v>
      </c>
      <c r="J38" t="s">
        <v>43</v>
      </c>
      <c r="K38">
        <v>1</v>
      </c>
      <c r="L38" s="2">
        <v>154.66</v>
      </c>
      <c r="M38" s="3">
        <v>0.05</v>
      </c>
      <c r="N38" t="s">
        <v>29</v>
      </c>
      <c r="O38" s="2">
        <v>146.93</v>
      </c>
      <c r="P38" s="2">
        <v>104.61</v>
      </c>
      <c r="Q38" s="2">
        <v>42.32</v>
      </c>
      <c r="R38">
        <v>1</v>
      </c>
      <c r="S38">
        <v>0</v>
      </c>
      <c r="T38">
        <v>6</v>
      </c>
      <c r="U38">
        <v>3</v>
      </c>
    </row>
    <row r="39" spans="1:21" ht="16.5" x14ac:dyDescent="0.3">
      <c r="A39" t="s">
        <v>102</v>
      </c>
      <c r="B39" s="1">
        <v>45300</v>
      </c>
      <c r="C39">
        <v>2024</v>
      </c>
      <c r="D39" t="s">
        <v>22</v>
      </c>
      <c r="E39" t="s">
        <v>23</v>
      </c>
      <c r="F39" t="s">
        <v>31</v>
      </c>
      <c r="G39" t="s">
        <v>65</v>
      </c>
      <c r="H39" t="s">
        <v>26</v>
      </c>
      <c r="I39" t="s">
        <v>67</v>
      </c>
      <c r="J39" t="s">
        <v>103</v>
      </c>
      <c r="K39">
        <v>1</v>
      </c>
      <c r="L39" s="2">
        <v>83.06</v>
      </c>
      <c r="M39" s="3">
        <v>0</v>
      </c>
      <c r="N39" t="s">
        <v>38</v>
      </c>
      <c r="O39" s="2">
        <v>83.06</v>
      </c>
      <c r="P39" s="2">
        <v>52.95</v>
      </c>
      <c r="Q39" s="2">
        <v>30.11</v>
      </c>
      <c r="R39">
        <v>1</v>
      </c>
      <c r="S39">
        <v>0</v>
      </c>
      <c r="T39">
        <v>6</v>
      </c>
      <c r="U39">
        <v>4</v>
      </c>
    </row>
    <row r="40" spans="1:21" ht="16.5" x14ac:dyDescent="0.3">
      <c r="A40" t="s">
        <v>104</v>
      </c>
      <c r="B40" s="1">
        <v>45300</v>
      </c>
      <c r="C40">
        <v>2024</v>
      </c>
      <c r="D40" t="s">
        <v>22</v>
      </c>
      <c r="E40" t="s">
        <v>23</v>
      </c>
      <c r="F40" t="s">
        <v>31</v>
      </c>
      <c r="G40" t="s">
        <v>46</v>
      </c>
      <c r="H40" t="s">
        <v>26</v>
      </c>
      <c r="I40" t="s">
        <v>42</v>
      </c>
      <c r="J40" t="s">
        <v>89</v>
      </c>
      <c r="K40">
        <v>1</v>
      </c>
      <c r="L40" s="2">
        <v>68.349999999999994</v>
      </c>
      <c r="M40" s="3">
        <v>0.05</v>
      </c>
      <c r="N40" t="s">
        <v>29</v>
      </c>
      <c r="O40" s="2">
        <v>64.930000000000007</v>
      </c>
      <c r="P40" s="2">
        <v>45.38</v>
      </c>
      <c r="Q40" s="2">
        <v>19.55</v>
      </c>
      <c r="R40">
        <v>1</v>
      </c>
      <c r="S40">
        <v>0</v>
      </c>
      <c r="T40">
        <v>5</v>
      </c>
      <c r="U40">
        <v>4</v>
      </c>
    </row>
    <row r="41" spans="1:21" ht="16.5" x14ac:dyDescent="0.3">
      <c r="A41" t="s">
        <v>105</v>
      </c>
      <c r="B41" s="1">
        <v>45300</v>
      </c>
      <c r="C41">
        <v>2024</v>
      </c>
      <c r="D41" t="s">
        <v>22</v>
      </c>
      <c r="E41" t="s">
        <v>23</v>
      </c>
      <c r="F41" t="s">
        <v>31</v>
      </c>
      <c r="G41" t="s">
        <v>49</v>
      </c>
      <c r="H41" t="s">
        <v>26</v>
      </c>
      <c r="I41" t="s">
        <v>84</v>
      </c>
      <c r="J41" t="s">
        <v>106</v>
      </c>
      <c r="K41">
        <v>1</v>
      </c>
      <c r="L41" s="2">
        <v>45.28</v>
      </c>
      <c r="M41" s="3">
        <v>0</v>
      </c>
      <c r="N41" t="s">
        <v>38</v>
      </c>
      <c r="O41" s="2">
        <v>45.28</v>
      </c>
      <c r="P41" s="2">
        <v>32.520000000000003</v>
      </c>
      <c r="Q41" s="2">
        <v>12.76</v>
      </c>
      <c r="R41">
        <v>1</v>
      </c>
      <c r="S41">
        <v>0</v>
      </c>
      <c r="T41">
        <v>5</v>
      </c>
      <c r="U41">
        <v>5</v>
      </c>
    </row>
    <row r="42" spans="1:21" ht="16.5" x14ac:dyDescent="0.3">
      <c r="A42" t="s">
        <v>107</v>
      </c>
      <c r="B42" s="1">
        <v>45300</v>
      </c>
      <c r="C42">
        <v>2024</v>
      </c>
      <c r="D42" t="s">
        <v>22</v>
      </c>
      <c r="E42" t="s">
        <v>23</v>
      </c>
      <c r="F42" t="s">
        <v>45</v>
      </c>
      <c r="G42" t="s">
        <v>51</v>
      </c>
      <c r="H42" t="s">
        <v>32</v>
      </c>
      <c r="I42" t="s">
        <v>42</v>
      </c>
      <c r="J42" t="s">
        <v>43</v>
      </c>
      <c r="K42">
        <v>1</v>
      </c>
      <c r="L42" s="2">
        <v>154.66</v>
      </c>
      <c r="M42" s="3">
        <v>0</v>
      </c>
      <c r="N42" t="s">
        <v>38</v>
      </c>
      <c r="O42" s="2">
        <v>154.66</v>
      </c>
      <c r="P42" s="2">
        <v>98.82</v>
      </c>
      <c r="Q42" s="2">
        <v>55.84</v>
      </c>
      <c r="R42">
        <v>1</v>
      </c>
      <c r="S42">
        <v>0</v>
      </c>
      <c r="T42">
        <v>5</v>
      </c>
      <c r="U42">
        <v>5</v>
      </c>
    </row>
    <row r="43" spans="1:21" ht="16.5" x14ac:dyDescent="0.3">
      <c r="A43" t="s">
        <v>108</v>
      </c>
      <c r="B43" s="1">
        <v>45300</v>
      </c>
      <c r="C43">
        <v>2024</v>
      </c>
      <c r="D43" t="s">
        <v>22</v>
      </c>
      <c r="E43" t="s">
        <v>23</v>
      </c>
      <c r="F43" t="s">
        <v>31</v>
      </c>
      <c r="G43" t="s">
        <v>65</v>
      </c>
      <c r="H43" t="s">
        <v>32</v>
      </c>
      <c r="I43" t="s">
        <v>42</v>
      </c>
      <c r="J43" t="s">
        <v>89</v>
      </c>
      <c r="K43">
        <v>1</v>
      </c>
      <c r="L43" s="2">
        <v>68.349999999999994</v>
      </c>
      <c r="M43" s="3">
        <v>0.1</v>
      </c>
      <c r="N43" t="s">
        <v>29</v>
      </c>
      <c r="O43" s="2">
        <v>61.51</v>
      </c>
      <c r="P43" s="2">
        <v>46.14</v>
      </c>
      <c r="Q43" s="2">
        <v>15.37</v>
      </c>
      <c r="R43">
        <v>1</v>
      </c>
      <c r="S43">
        <v>0</v>
      </c>
      <c r="T43">
        <v>5</v>
      </c>
      <c r="U43">
        <v>5</v>
      </c>
    </row>
    <row r="44" spans="1:21" ht="16.5" x14ac:dyDescent="0.3">
      <c r="A44" t="s">
        <v>109</v>
      </c>
      <c r="B44" s="1">
        <v>45300</v>
      </c>
      <c r="C44">
        <v>2024</v>
      </c>
      <c r="D44" t="s">
        <v>22</v>
      </c>
      <c r="E44" t="s">
        <v>23</v>
      </c>
      <c r="F44" t="s">
        <v>24</v>
      </c>
      <c r="G44" t="s">
        <v>65</v>
      </c>
      <c r="H44" t="s">
        <v>32</v>
      </c>
      <c r="I44" t="s">
        <v>27</v>
      </c>
      <c r="J44" t="s">
        <v>110</v>
      </c>
      <c r="K44">
        <v>1</v>
      </c>
      <c r="L44" s="2">
        <v>19.41</v>
      </c>
      <c r="M44" s="3">
        <v>0.15</v>
      </c>
      <c r="N44" t="s">
        <v>34</v>
      </c>
      <c r="O44" s="2">
        <v>16.5</v>
      </c>
      <c r="P44" s="2">
        <v>10.93</v>
      </c>
      <c r="Q44" s="2">
        <v>5.57</v>
      </c>
      <c r="R44">
        <v>1</v>
      </c>
      <c r="S44">
        <v>0</v>
      </c>
      <c r="T44">
        <v>6</v>
      </c>
      <c r="U44">
        <v>4</v>
      </c>
    </row>
    <row r="45" spans="1:21" ht="16.5" x14ac:dyDescent="0.3">
      <c r="A45" t="s">
        <v>111</v>
      </c>
      <c r="B45" s="1">
        <v>45300</v>
      </c>
      <c r="C45">
        <v>2024</v>
      </c>
      <c r="D45" t="s">
        <v>22</v>
      </c>
      <c r="E45" t="s">
        <v>23</v>
      </c>
      <c r="F45" t="s">
        <v>24</v>
      </c>
      <c r="G45" t="s">
        <v>49</v>
      </c>
      <c r="H45" t="s">
        <v>32</v>
      </c>
      <c r="I45" t="s">
        <v>36</v>
      </c>
      <c r="J45" t="s">
        <v>52</v>
      </c>
      <c r="K45">
        <v>2</v>
      </c>
      <c r="L45" s="2">
        <v>92.54</v>
      </c>
      <c r="M45" s="3">
        <v>0.15</v>
      </c>
      <c r="N45" t="s">
        <v>34</v>
      </c>
      <c r="O45" s="2">
        <v>157.32</v>
      </c>
      <c r="P45" s="2">
        <v>90.96</v>
      </c>
      <c r="Q45" s="2">
        <v>66.36</v>
      </c>
      <c r="R45">
        <v>1</v>
      </c>
      <c r="S45">
        <v>0</v>
      </c>
      <c r="T45">
        <v>3</v>
      </c>
      <c r="U45">
        <v>4</v>
      </c>
    </row>
    <row r="46" spans="1:21" ht="16.5" x14ac:dyDescent="0.3">
      <c r="A46" t="s">
        <v>112</v>
      </c>
      <c r="B46" s="1">
        <v>45300</v>
      </c>
      <c r="C46">
        <v>2024</v>
      </c>
      <c r="D46" t="s">
        <v>22</v>
      </c>
      <c r="E46" t="s">
        <v>23</v>
      </c>
      <c r="F46" t="s">
        <v>45</v>
      </c>
      <c r="G46" t="s">
        <v>65</v>
      </c>
      <c r="H46" t="s">
        <v>32</v>
      </c>
      <c r="I46" t="s">
        <v>36</v>
      </c>
      <c r="J46" t="s">
        <v>37</v>
      </c>
      <c r="K46">
        <v>1</v>
      </c>
      <c r="L46" s="2">
        <v>33.18</v>
      </c>
      <c r="M46" s="3">
        <v>0</v>
      </c>
      <c r="N46" t="s">
        <v>38</v>
      </c>
      <c r="O46" s="2">
        <v>33.18</v>
      </c>
      <c r="P46" s="2">
        <v>16.41</v>
      </c>
      <c r="Q46" s="2">
        <v>16.77</v>
      </c>
      <c r="R46">
        <v>1</v>
      </c>
      <c r="S46">
        <v>0</v>
      </c>
      <c r="T46">
        <v>5</v>
      </c>
      <c r="U46">
        <v>4</v>
      </c>
    </row>
    <row r="47" spans="1:21" ht="16.5" x14ac:dyDescent="0.3">
      <c r="A47" t="s">
        <v>113</v>
      </c>
      <c r="B47" s="1">
        <v>45301</v>
      </c>
      <c r="C47">
        <v>2024</v>
      </c>
      <c r="D47" t="s">
        <v>22</v>
      </c>
      <c r="E47" t="s">
        <v>23</v>
      </c>
      <c r="F47" t="s">
        <v>45</v>
      </c>
      <c r="G47" t="s">
        <v>25</v>
      </c>
      <c r="H47" t="s">
        <v>26</v>
      </c>
      <c r="I47" t="s">
        <v>67</v>
      </c>
      <c r="J47" t="s">
        <v>103</v>
      </c>
      <c r="K47">
        <v>1</v>
      </c>
      <c r="L47" s="2">
        <v>83.06</v>
      </c>
      <c r="M47" s="3">
        <v>0.05</v>
      </c>
      <c r="N47" t="s">
        <v>29</v>
      </c>
      <c r="O47" s="2">
        <v>78.91</v>
      </c>
      <c r="P47" s="2">
        <v>57.25</v>
      </c>
      <c r="Q47" s="2">
        <v>21.66</v>
      </c>
      <c r="R47">
        <v>1</v>
      </c>
      <c r="S47">
        <v>0</v>
      </c>
      <c r="T47">
        <v>3</v>
      </c>
      <c r="U47">
        <v>5</v>
      </c>
    </row>
    <row r="48" spans="1:21" ht="16.5" x14ac:dyDescent="0.3">
      <c r="A48" t="s">
        <v>114</v>
      </c>
      <c r="B48" s="1">
        <v>45301</v>
      </c>
      <c r="C48">
        <v>2024</v>
      </c>
      <c r="D48" t="s">
        <v>22</v>
      </c>
      <c r="E48" t="s">
        <v>23</v>
      </c>
      <c r="F48" t="s">
        <v>45</v>
      </c>
      <c r="G48" t="s">
        <v>51</v>
      </c>
      <c r="H48" t="s">
        <v>26</v>
      </c>
      <c r="I48" t="s">
        <v>36</v>
      </c>
      <c r="J48" t="s">
        <v>115</v>
      </c>
      <c r="K48">
        <v>1</v>
      </c>
      <c r="L48" s="2">
        <v>33.479999999999997</v>
      </c>
      <c r="M48" s="3">
        <v>0.25</v>
      </c>
      <c r="N48" t="s">
        <v>62</v>
      </c>
      <c r="O48" s="2">
        <v>25.11</v>
      </c>
      <c r="P48" s="2">
        <v>15.89</v>
      </c>
      <c r="Q48" s="2">
        <v>9.2200000000000006</v>
      </c>
      <c r="R48">
        <v>1</v>
      </c>
      <c r="S48">
        <v>0</v>
      </c>
      <c r="T48">
        <v>2</v>
      </c>
      <c r="U48">
        <v>5</v>
      </c>
    </row>
    <row r="49" spans="1:21" ht="16.5" x14ac:dyDescent="0.3">
      <c r="A49" t="s">
        <v>116</v>
      </c>
      <c r="B49" s="1">
        <v>45302</v>
      </c>
      <c r="C49">
        <v>2024</v>
      </c>
      <c r="D49" t="s">
        <v>22</v>
      </c>
      <c r="E49" t="s">
        <v>23</v>
      </c>
      <c r="F49" t="s">
        <v>24</v>
      </c>
      <c r="G49" t="s">
        <v>25</v>
      </c>
      <c r="H49" t="s">
        <v>32</v>
      </c>
      <c r="I49" t="s">
        <v>42</v>
      </c>
      <c r="J49" t="s">
        <v>98</v>
      </c>
      <c r="K49">
        <v>1</v>
      </c>
      <c r="L49" s="2">
        <v>117.63</v>
      </c>
      <c r="M49" s="3">
        <v>0.25</v>
      </c>
      <c r="N49" t="s">
        <v>62</v>
      </c>
      <c r="O49" s="2">
        <v>88.22</v>
      </c>
      <c r="P49" s="2">
        <v>77.31</v>
      </c>
      <c r="Q49" s="2">
        <v>10.91</v>
      </c>
      <c r="R49">
        <v>1</v>
      </c>
      <c r="S49">
        <v>0</v>
      </c>
      <c r="T49">
        <v>4</v>
      </c>
      <c r="U49">
        <v>4</v>
      </c>
    </row>
    <row r="50" spans="1:21" ht="16.5" x14ac:dyDescent="0.3">
      <c r="A50" t="s">
        <v>117</v>
      </c>
      <c r="B50" s="1">
        <v>45302</v>
      </c>
      <c r="C50">
        <v>2024</v>
      </c>
      <c r="D50" t="s">
        <v>22</v>
      </c>
      <c r="E50" t="s">
        <v>23</v>
      </c>
      <c r="F50" t="s">
        <v>31</v>
      </c>
      <c r="G50" t="s">
        <v>49</v>
      </c>
      <c r="H50" t="s">
        <v>32</v>
      </c>
      <c r="I50" t="s">
        <v>42</v>
      </c>
      <c r="J50" t="s">
        <v>54</v>
      </c>
      <c r="K50">
        <v>4</v>
      </c>
      <c r="L50" s="2">
        <v>148.05000000000001</v>
      </c>
      <c r="M50" s="3">
        <v>0.05</v>
      </c>
      <c r="N50" t="s">
        <v>29</v>
      </c>
      <c r="O50" s="2">
        <v>562.59</v>
      </c>
      <c r="P50" s="2">
        <v>399.78</v>
      </c>
      <c r="Q50" s="2">
        <v>162.81</v>
      </c>
      <c r="R50">
        <v>1</v>
      </c>
      <c r="S50">
        <v>0</v>
      </c>
      <c r="T50">
        <v>3</v>
      </c>
      <c r="U50">
        <v>5</v>
      </c>
    </row>
    <row r="51" spans="1:21" ht="16.5" x14ac:dyDescent="0.3">
      <c r="A51" t="s">
        <v>118</v>
      </c>
      <c r="B51" s="1">
        <v>45302</v>
      </c>
      <c r="C51">
        <v>2024</v>
      </c>
      <c r="D51" t="s">
        <v>22</v>
      </c>
      <c r="E51" t="s">
        <v>23</v>
      </c>
      <c r="F51" t="s">
        <v>24</v>
      </c>
      <c r="G51" t="s">
        <v>49</v>
      </c>
      <c r="H51" t="s">
        <v>26</v>
      </c>
      <c r="I51" t="s">
        <v>27</v>
      </c>
      <c r="J51" t="s">
        <v>28</v>
      </c>
      <c r="K51">
        <v>2</v>
      </c>
      <c r="L51" s="2">
        <v>138.5</v>
      </c>
      <c r="M51" s="3">
        <v>0.15</v>
      </c>
      <c r="N51" t="s">
        <v>34</v>
      </c>
      <c r="O51" s="2">
        <v>235.45</v>
      </c>
      <c r="P51" s="2">
        <v>153.77000000000001</v>
      </c>
      <c r="Q51" s="2">
        <v>81.680000000000007</v>
      </c>
      <c r="R51">
        <v>1</v>
      </c>
      <c r="S51">
        <v>0</v>
      </c>
      <c r="T51">
        <v>4</v>
      </c>
      <c r="U51">
        <v>4</v>
      </c>
    </row>
    <row r="52" spans="1:21" ht="16.5" x14ac:dyDescent="0.3">
      <c r="A52" t="s">
        <v>119</v>
      </c>
      <c r="B52" s="1">
        <v>45302</v>
      </c>
      <c r="C52">
        <v>2024</v>
      </c>
      <c r="D52" t="s">
        <v>22</v>
      </c>
      <c r="E52" t="s">
        <v>23</v>
      </c>
      <c r="F52" t="s">
        <v>31</v>
      </c>
      <c r="G52" t="s">
        <v>51</v>
      </c>
      <c r="H52" t="s">
        <v>26</v>
      </c>
      <c r="I52" t="s">
        <v>27</v>
      </c>
      <c r="J52" t="s">
        <v>110</v>
      </c>
      <c r="K52">
        <v>1</v>
      </c>
      <c r="L52" s="2">
        <v>19.41</v>
      </c>
      <c r="M52" s="3">
        <v>0.15</v>
      </c>
      <c r="N52" t="s">
        <v>34</v>
      </c>
      <c r="O52" s="2">
        <v>16.5</v>
      </c>
      <c r="P52" s="2">
        <v>10.62</v>
      </c>
      <c r="Q52" s="2">
        <v>5.88</v>
      </c>
      <c r="R52">
        <v>1</v>
      </c>
      <c r="S52">
        <v>0</v>
      </c>
      <c r="T52">
        <v>3</v>
      </c>
      <c r="U52">
        <v>5</v>
      </c>
    </row>
    <row r="53" spans="1:21" ht="16.5" x14ac:dyDescent="0.3">
      <c r="A53" t="s">
        <v>120</v>
      </c>
      <c r="B53" s="1">
        <v>45302</v>
      </c>
      <c r="C53">
        <v>2024</v>
      </c>
      <c r="D53" t="s">
        <v>22</v>
      </c>
      <c r="E53" t="s">
        <v>23</v>
      </c>
      <c r="F53" t="s">
        <v>24</v>
      </c>
      <c r="G53" t="s">
        <v>49</v>
      </c>
      <c r="H53" t="s">
        <v>26</v>
      </c>
      <c r="I53" t="s">
        <v>27</v>
      </c>
      <c r="J53" t="s">
        <v>40</v>
      </c>
      <c r="K53">
        <v>1</v>
      </c>
      <c r="L53" s="2">
        <v>104.94</v>
      </c>
      <c r="M53" s="3">
        <v>0</v>
      </c>
      <c r="N53" t="s">
        <v>38</v>
      </c>
      <c r="O53" s="2">
        <v>104.94</v>
      </c>
      <c r="P53" s="2">
        <v>57.91</v>
      </c>
      <c r="Q53" s="2">
        <v>47.03</v>
      </c>
      <c r="R53">
        <v>1</v>
      </c>
      <c r="S53">
        <v>0</v>
      </c>
      <c r="T53">
        <v>6</v>
      </c>
      <c r="U53">
        <v>4</v>
      </c>
    </row>
    <row r="54" spans="1:21" ht="16.5" x14ac:dyDescent="0.3">
      <c r="A54" t="s">
        <v>121</v>
      </c>
      <c r="B54" s="1">
        <v>45303</v>
      </c>
      <c r="C54">
        <v>2024</v>
      </c>
      <c r="D54" t="s">
        <v>22</v>
      </c>
      <c r="E54" t="s">
        <v>23</v>
      </c>
      <c r="F54" t="s">
        <v>24</v>
      </c>
      <c r="G54" t="s">
        <v>46</v>
      </c>
      <c r="H54" t="s">
        <v>32</v>
      </c>
      <c r="I54" t="s">
        <v>70</v>
      </c>
      <c r="J54" t="s">
        <v>87</v>
      </c>
      <c r="K54">
        <v>1</v>
      </c>
      <c r="L54" s="2">
        <v>490.3</v>
      </c>
      <c r="M54" s="3">
        <v>0.05</v>
      </c>
      <c r="N54" t="s">
        <v>29</v>
      </c>
      <c r="O54" s="2">
        <v>465.78</v>
      </c>
      <c r="P54" s="2">
        <v>396.54</v>
      </c>
      <c r="Q54" s="2">
        <v>69.239999999999995</v>
      </c>
      <c r="R54">
        <v>1</v>
      </c>
      <c r="S54">
        <v>0</v>
      </c>
      <c r="T54">
        <v>6</v>
      </c>
      <c r="U54">
        <v>4</v>
      </c>
    </row>
    <row r="55" spans="1:21" ht="16.5" x14ac:dyDescent="0.3">
      <c r="A55" t="s">
        <v>122</v>
      </c>
      <c r="B55" s="1">
        <v>45303</v>
      </c>
      <c r="C55">
        <v>2024</v>
      </c>
      <c r="D55" t="s">
        <v>22</v>
      </c>
      <c r="E55" t="s">
        <v>23</v>
      </c>
      <c r="F55" t="s">
        <v>31</v>
      </c>
      <c r="G55" t="s">
        <v>25</v>
      </c>
      <c r="H55" t="s">
        <v>32</v>
      </c>
      <c r="I55" t="s">
        <v>67</v>
      </c>
      <c r="J55" t="s">
        <v>93</v>
      </c>
      <c r="K55">
        <v>2</v>
      </c>
      <c r="L55" s="2">
        <v>198.42</v>
      </c>
      <c r="M55" s="3">
        <v>0.05</v>
      </c>
      <c r="N55" t="s">
        <v>29</v>
      </c>
      <c r="O55" s="2">
        <v>377</v>
      </c>
      <c r="P55" s="2">
        <v>268.24</v>
      </c>
      <c r="Q55" s="2">
        <v>108.76</v>
      </c>
      <c r="R55">
        <v>1</v>
      </c>
      <c r="S55">
        <v>0</v>
      </c>
      <c r="T55">
        <v>3</v>
      </c>
      <c r="U55">
        <v>5</v>
      </c>
    </row>
    <row r="56" spans="1:21" ht="16.5" x14ac:dyDescent="0.3">
      <c r="A56" t="s">
        <v>123</v>
      </c>
      <c r="B56" s="1">
        <v>45303</v>
      </c>
      <c r="C56">
        <v>2024</v>
      </c>
      <c r="D56" t="s">
        <v>22</v>
      </c>
      <c r="E56" t="s">
        <v>23</v>
      </c>
      <c r="F56" t="s">
        <v>24</v>
      </c>
      <c r="G56" t="s">
        <v>49</v>
      </c>
      <c r="H56" t="s">
        <v>32</v>
      </c>
      <c r="I56" t="s">
        <v>42</v>
      </c>
      <c r="J56" t="s">
        <v>58</v>
      </c>
      <c r="K56">
        <v>1</v>
      </c>
      <c r="L56" s="2">
        <v>233.81</v>
      </c>
      <c r="M56" s="3">
        <v>0.2</v>
      </c>
      <c r="N56" t="s">
        <v>34</v>
      </c>
      <c r="O56" s="2">
        <v>187.05</v>
      </c>
      <c r="P56" s="2">
        <v>143.69999999999999</v>
      </c>
      <c r="Q56" s="2">
        <v>43.35</v>
      </c>
      <c r="R56">
        <v>1</v>
      </c>
      <c r="S56">
        <v>0</v>
      </c>
      <c r="T56">
        <v>3</v>
      </c>
      <c r="U56">
        <v>5</v>
      </c>
    </row>
    <row r="57" spans="1:21" ht="16.5" x14ac:dyDescent="0.3">
      <c r="A57" t="s">
        <v>124</v>
      </c>
      <c r="B57" s="1">
        <v>45304</v>
      </c>
      <c r="C57">
        <v>2024</v>
      </c>
      <c r="D57" t="s">
        <v>22</v>
      </c>
      <c r="E57" t="s">
        <v>23</v>
      </c>
      <c r="F57" t="s">
        <v>24</v>
      </c>
      <c r="G57" t="s">
        <v>51</v>
      </c>
      <c r="H57" t="s">
        <v>26</v>
      </c>
      <c r="I57" t="s">
        <v>42</v>
      </c>
      <c r="J57" t="s">
        <v>43</v>
      </c>
      <c r="K57">
        <v>4</v>
      </c>
      <c r="L57" s="2">
        <v>154.66</v>
      </c>
      <c r="M57" s="3">
        <v>0</v>
      </c>
      <c r="N57" t="s">
        <v>38</v>
      </c>
      <c r="O57" s="2">
        <v>618.64</v>
      </c>
      <c r="P57" s="2">
        <v>404.59</v>
      </c>
      <c r="Q57" s="2">
        <v>214.05</v>
      </c>
      <c r="R57">
        <v>1</v>
      </c>
      <c r="S57">
        <v>0</v>
      </c>
      <c r="T57">
        <v>2</v>
      </c>
      <c r="U57">
        <v>4</v>
      </c>
    </row>
    <row r="58" spans="1:21" ht="16.5" x14ac:dyDescent="0.3">
      <c r="A58" t="s">
        <v>125</v>
      </c>
      <c r="B58" s="1">
        <v>45304</v>
      </c>
      <c r="C58">
        <v>2024</v>
      </c>
      <c r="D58" t="s">
        <v>22</v>
      </c>
      <c r="E58" t="s">
        <v>23</v>
      </c>
      <c r="F58" t="s">
        <v>24</v>
      </c>
      <c r="G58" t="s">
        <v>25</v>
      </c>
      <c r="H58" t="s">
        <v>32</v>
      </c>
      <c r="I58" t="s">
        <v>36</v>
      </c>
      <c r="J58" t="s">
        <v>126</v>
      </c>
      <c r="K58">
        <v>3</v>
      </c>
      <c r="L58" s="2">
        <v>54.56</v>
      </c>
      <c r="M58" s="3">
        <v>0</v>
      </c>
      <c r="N58" t="s">
        <v>38</v>
      </c>
      <c r="O58" s="2">
        <v>163.68</v>
      </c>
      <c r="P58" s="2">
        <v>78.709999999999994</v>
      </c>
      <c r="Q58" s="2">
        <v>84.97</v>
      </c>
      <c r="R58">
        <v>1</v>
      </c>
      <c r="S58">
        <v>0</v>
      </c>
      <c r="T58">
        <v>4</v>
      </c>
      <c r="U58">
        <v>5</v>
      </c>
    </row>
    <row r="59" spans="1:21" ht="16.5" x14ac:dyDescent="0.3">
      <c r="A59" t="s">
        <v>127</v>
      </c>
      <c r="B59" s="1">
        <v>45304</v>
      </c>
      <c r="C59">
        <v>2024</v>
      </c>
      <c r="D59" t="s">
        <v>22</v>
      </c>
      <c r="E59" t="s">
        <v>23</v>
      </c>
      <c r="F59" t="s">
        <v>24</v>
      </c>
      <c r="G59" t="s">
        <v>46</v>
      </c>
      <c r="H59" t="s">
        <v>32</v>
      </c>
      <c r="I59" t="s">
        <v>84</v>
      </c>
      <c r="J59" t="s">
        <v>106</v>
      </c>
      <c r="K59">
        <v>1</v>
      </c>
      <c r="L59" s="2">
        <v>45.28</v>
      </c>
      <c r="M59" s="3">
        <v>0.15</v>
      </c>
      <c r="N59" t="s">
        <v>34</v>
      </c>
      <c r="O59" s="2">
        <v>38.49</v>
      </c>
      <c r="P59" s="2">
        <v>31.48</v>
      </c>
      <c r="Q59" s="2">
        <v>7.01</v>
      </c>
      <c r="R59">
        <v>1</v>
      </c>
      <c r="S59">
        <v>0</v>
      </c>
      <c r="T59">
        <v>5</v>
      </c>
      <c r="U59">
        <v>4</v>
      </c>
    </row>
    <row r="60" spans="1:21" ht="16.5" x14ac:dyDescent="0.3">
      <c r="A60" t="s">
        <v>128</v>
      </c>
      <c r="B60" s="1">
        <v>45304</v>
      </c>
      <c r="C60">
        <v>2024</v>
      </c>
      <c r="D60" t="s">
        <v>22</v>
      </c>
      <c r="E60" t="s">
        <v>23</v>
      </c>
      <c r="F60" t="s">
        <v>24</v>
      </c>
      <c r="G60" t="s">
        <v>25</v>
      </c>
      <c r="H60" t="s">
        <v>32</v>
      </c>
      <c r="I60" t="s">
        <v>70</v>
      </c>
      <c r="J60" t="s">
        <v>129</v>
      </c>
      <c r="K60">
        <v>1</v>
      </c>
      <c r="L60" s="2">
        <v>177.65</v>
      </c>
      <c r="M60" s="3">
        <v>0.1</v>
      </c>
      <c r="N60" t="s">
        <v>29</v>
      </c>
      <c r="O60" s="2">
        <v>159.88999999999999</v>
      </c>
      <c r="P60" s="2">
        <v>144.47</v>
      </c>
      <c r="Q60" s="2">
        <v>15.42</v>
      </c>
      <c r="R60">
        <v>1</v>
      </c>
      <c r="S60">
        <v>0</v>
      </c>
      <c r="T60">
        <v>3</v>
      </c>
      <c r="U60">
        <v>4</v>
      </c>
    </row>
    <row r="61" spans="1:21" ht="16.5" x14ac:dyDescent="0.3">
      <c r="A61" t="s">
        <v>130</v>
      </c>
      <c r="B61" s="1">
        <v>45304</v>
      </c>
      <c r="C61">
        <v>2024</v>
      </c>
      <c r="D61" t="s">
        <v>22</v>
      </c>
      <c r="E61" t="s">
        <v>23</v>
      </c>
      <c r="F61" t="s">
        <v>31</v>
      </c>
      <c r="G61" t="s">
        <v>25</v>
      </c>
      <c r="H61" t="s">
        <v>32</v>
      </c>
      <c r="I61" t="s">
        <v>42</v>
      </c>
      <c r="J61" t="s">
        <v>43</v>
      </c>
      <c r="K61">
        <v>1</v>
      </c>
      <c r="L61" s="2">
        <v>154.66</v>
      </c>
      <c r="M61" s="3">
        <v>0</v>
      </c>
      <c r="N61" t="s">
        <v>38</v>
      </c>
      <c r="O61" s="2">
        <v>154.66</v>
      </c>
      <c r="P61" s="2">
        <v>101.29</v>
      </c>
      <c r="Q61" s="2">
        <v>53.37</v>
      </c>
      <c r="R61">
        <v>1</v>
      </c>
      <c r="S61">
        <v>0</v>
      </c>
      <c r="T61">
        <v>4</v>
      </c>
      <c r="U61">
        <v>4</v>
      </c>
    </row>
    <row r="62" spans="1:21" ht="16.5" x14ac:dyDescent="0.3">
      <c r="A62" t="s">
        <v>131</v>
      </c>
      <c r="B62" s="1">
        <v>45304</v>
      </c>
      <c r="C62">
        <v>2024</v>
      </c>
      <c r="D62" t="s">
        <v>22</v>
      </c>
      <c r="E62" t="s">
        <v>23</v>
      </c>
      <c r="F62" t="s">
        <v>31</v>
      </c>
      <c r="G62" t="s">
        <v>65</v>
      </c>
      <c r="H62" t="s">
        <v>32</v>
      </c>
      <c r="I62" t="s">
        <v>84</v>
      </c>
      <c r="J62" t="s">
        <v>132</v>
      </c>
      <c r="K62">
        <v>1</v>
      </c>
      <c r="L62" s="2">
        <v>48.86</v>
      </c>
      <c r="M62" s="3">
        <v>0</v>
      </c>
      <c r="N62" t="s">
        <v>38</v>
      </c>
      <c r="O62" s="2">
        <v>48.86</v>
      </c>
      <c r="P62" s="2">
        <v>36.590000000000003</v>
      </c>
      <c r="Q62" s="2">
        <v>12.27</v>
      </c>
      <c r="R62">
        <v>1</v>
      </c>
      <c r="S62">
        <v>0</v>
      </c>
      <c r="T62">
        <v>5</v>
      </c>
      <c r="U62">
        <v>4</v>
      </c>
    </row>
    <row r="63" spans="1:21" ht="16.5" x14ac:dyDescent="0.3">
      <c r="A63" t="s">
        <v>133</v>
      </c>
      <c r="B63" s="1">
        <v>45305</v>
      </c>
      <c r="C63">
        <v>2024</v>
      </c>
      <c r="D63" t="s">
        <v>22</v>
      </c>
      <c r="E63" t="s">
        <v>23</v>
      </c>
      <c r="F63" t="s">
        <v>24</v>
      </c>
      <c r="G63" t="s">
        <v>49</v>
      </c>
      <c r="H63" t="s">
        <v>32</v>
      </c>
      <c r="I63" t="s">
        <v>42</v>
      </c>
      <c r="J63" t="s">
        <v>98</v>
      </c>
      <c r="K63">
        <v>2</v>
      </c>
      <c r="L63" s="2">
        <v>117.63</v>
      </c>
      <c r="M63" s="3">
        <v>0</v>
      </c>
      <c r="N63" t="s">
        <v>38</v>
      </c>
      <c r="O63" s="2">
        <v>235.26</v>
      </c>
      <c r="P63" s="2">
        <v>159.38</v>
      </c>
      <c r="Q63" s="2">
        <v>75.88</v>
      </c>
      <c r="R63">
        <v>1</v>
      </c>
      <c r="S63">
        <v>0</v>
      </c>
      <c r="T63">
        <v>3</v>
      </c>
      <c r="U63">
        <v>4</v>
      </c>
    </row>
    <row r="64" spans="1:21" ht="16.5" x14ac:dyDescent="0.3">
      <c r="A64" t="s">
        <v>134</v>
      </c>
      <c r="B64" s="1">
        <v>45305</v>
      </c>
      <c r="C64">
        <v>2024</v>
      </c>
      <c r="D64" t="s">
        <v>22</v>
      </c>
      <c r="E64" t="s">
        <v>23</v>
      </c>
      <c r="F64" t="s">
        <v>31</v>
      </c>
      <c r="G64" t="s">
        <v>25</v>
      </c>
      <c r="H64" t="s">
        <v>26</v>
      </c>
      <c r="I64" t="s">
        <v>70</v>
      </c>
      <c r="J64" t="s">
        <v>82</v>
      </c>
      <c r="K64">
        <v>2</v>
      </c>
      <c r="L64" s="2">
        <v>508.8</v>
      </c>
      <c r="M64" s="3">
        <v>0.1</v>
      </c>
      <c r="N64" t="s">
        <v>29</v>
      </c>
      <c r="O64" s="2">
        <v>915.84</v>
      </c>
      <c r="P64" s="2">
        <v>840.09</v>
      </c>
      <c r="Q64" s="2">
        <v>75.75</v>
      </c>
      <c r="R64">
        <v>1</v>
      </c>
      <c r="S64">
        <v>0</v>
      </c>
      <c r="T64">
        <v>4</v>
      </c>
      <c r="U64">
        <v>5</v>
      </c>
    </row>
    <row r="65" spans="1:21" ht="16.5" x14ac:dyDescent="0.3">
      <c r="A65" t="s">
        <v>135</v>
      </c>
      <c r="B65" s="1">
        <v>45305</v>
      </c>
      <c r="C65">
        <v>2024</v>
      </c>
      <c r="D65" t="s">
        <v>22</v>
      </c>
      <c r="E65" t="s">
        <v>23</v>
      </c>
      <c r="F65" t="s">
        <v>24</v>
      </c>
      <c r="G65" t="s">
        <v>25</v>
      </c>
      <c r="H65" t="s">
        <v>32</v>
      </c>
      <c r="I65" t="s">
        <v>70</v>
      </c>
      <c r="J65" t="s">
        <v>129</v>
      </c>
      <c r="K65">
        <v>1</v>
      </c>
      <c r="L65" s="2">
        <v>177.65</v>
      </c>
      <c r="M65" s="3">
        <v>0.1</v>
      </c>
      <c r="N65" t="s">
        <v>29</v>
      </c>
      <c r="O65" s="2">
        <v>159.88999999999999</v>
      </c>
      <c r="P65" s="2">
        <v>139.97999999999999</v>
      </c>
      <c r="Q65" s="2">
        <v>19.91</v>
      </c>
      <c r="R65">
        <v>1</v>
      </c>
      <c r="S65">
        <v>0</v>
      </c>
      <c r="T65">
        <v>3</v>
      </c>
      <c r="U65">
        <v>5</v>
      </c>
    </row>
    <row r="66" spans="1:21" ht="16.5" x14ac:dyDescent="0.3">
      <c r="A66" t="s">
        <v>136</v>
      </c>
      <c r="B66" s="1">
        <v>45305</v>
      </c>
      <c r="C66">
        <v>2024</v>
      </c>
      <c r="D66" t="s">
        <v>22</v>
      </c>
      <c r="E66" t="s">
        <v>23</v>
      </c>
      <c r="F66" t="s">
        <v>31</v>
      </c>
      <c r="G66" t="s">
        <v>51</v>
      </c>
      <c r="H66" t="s">
        <v>32</v>
      </c>
      <c r="I66" t="s">
        <v>70</v>
      </c>
      <c r="J66" t="s">
        <v>129</v>
      </c>
      <c r="K66">
        <v>1</v>
      </c>
      <c r="L66" s="2">
        <v>177.65</v>
      </c>
      <c r="M66" s="3">
        <v>0.1</v>
      </c>
      <c r="N66" t="s">
        <v>29</v>
      </c>
      <c r="O66" s="2">
        <v>159.88999999999999</v>
      </c>
      <c r="P66" s="2">
        <v>139.25</v>
      </c>
      <c r="Q66" s="2">
        <v>20.64</v>
      </c>
      <c r="R66">
        <v>1</v>
      </c>
      <c r="S66">
        <v>0</v>
      </c>
      <c r="T66">
        <v>3</v>
      </c>
      <c r="U66">
        <v>5</v>
      </c>
    </row>
    <row r="67" spans="1:21" ht="16.5" x14ac:dyDescent="0.3">
      <c r="A67" t="s">
        <v>137</v>
      </c>
      <c r="B67" s="1">
        <v>45305</v>
      </c>
      <c r="C67">
        <v>2024</v>
      </c>
      <c r="D67" t="s">
        <v>22</v>
      </c>
      <c r="E67" t="s">
        <v>23</v>
      </c>
      <c r="F67" t="s">
        <v>31</v>
      </c>
      <c r="G67" t="s">
        <v>51</v>
      </c>
      <c r="H67" t="s">
        <v>32</v>
      </c>
      <c r="I67" t="s">
        <v>36</v>
      </c>
      <c r="J67" t="s">
        <v>126</v>
      </c>
      <c r="K67">
        <v>2</v>
      </c>
      <c r="L67" s="2">
        <v>54.56</v>
      </c>
      <c r="M67" s="3">
        <v>0</v>
      </c>
      <c r="N67" t="s">
        <v>38</v>
      </c>
      <c r="O67" s="2">
        <v>109.12</v>
      </c>
      <c r="P67" s="2">
        <v>52.38</v>
      </c>
      <c r="Q67" s="2">
        <v>56.74</v>
      </c>
      <c r="R67">
        <v>1</v>
      </c>
      <c r="S67">
        <v>0</v>
      </c>
      <c r="T67">
        <v>2</v>
      </c>
      <c r="U67">
        <v>4</v>
      </c>
    </row>
    <row r="68" spans="1:21" ht="16.5" x14ac:dyDescent="0.3">
      <c r="A68" t="s">
        <v>138</v>
      </c>
      <c r="B68" s="1">
        <v>45305</v>
      </c>
      <c r="C68">
        <v>2024</v>
      </c>
      <c r="D68" t="s">
        <v>22</v>
      </c>
      <c r="E68" t="s">
        <v>23</v>
      </c>
      <c r="F68" t="s">
        <v>24</v>
      </c>
      <c r="G68" t="s">
        <v>51</v>
      </c>
      <c r="H68" t="s">
        <v>26</v>
      </c>
      <c r="I68" t="s">
        <v>27</v>
      </c>
      <c r="J68" t="s">
        <v>47</v>
      </c>
      <c r="K68">
        <v>1</v>
      </c>
      <c r="L68" s="2">
        <v>33.99</v>
      </c>
      <c r="M68" s="3">
        <v>0</v>
      </c>
      <c r="N68" t="s">
        <v>38</v>
      </c>
      <c r="O68" s="2">
        <v>33.99</v>
      </c>
      <c r="P68" s="2">
        <v>18.14</v>
      </c>
      <c r="Q68" s="2">
        <v>15.85</v>
      </c>
      <c r="R68">
        <v>1</v>
      </c>
      <c r="S68">
        <v>0</v>
      </c>
      <c r="T68">
        <v>3</v>
      </c>
      <c r="U68">
        <v>5</v>
      </c>
    </row>
    <row r="69" spans="1:21" ht="16.5" x14ac:dyDescent="0.3">
      <c r="A69" t="s">
        <v>139</v>
      </c>
      <c r="B69" s="1">
        <v>45306</v>
      </c>
      <c r="C69">
        <v>2024</v>
      </c>
      <c r="D69" t="s">
        <v>22</v>
      </c>
      <c r="E69" t="s">
        <v>23</v>
      </c>
      <c r="F69" t="s">
        <v>45</v>
      </c>
      <c r="G69" t="s">
        <v>49</v>
      </c>
      <c r="H69" t="s">
        <v>26</v>
      </c>
      <c r="I69" t="s">
        <v>27</v>
      </c>
      <c r="J69" t="s">
        <v>28</v>
      </c>
      <c r="K69">
        <v>1</v>
      </c>
      <c r="L69" s="2">
        <v>138.5</v>
      </c>
      <c r="M69" s="3">
        <v>0</v>
      </c>
      <c r="N69" t="s">
        <v>38</v>
      </c>
      <c r="O69" s="2">
        <v>138.5</v>
      </c>
      <c r="P69" s="2">
        <v>73.87</v>
      </c>
      <c r="Q69" s="2">
        <v>64.63</v>
      </c>
      <c r="R69">
        <v>1</v>
      </c>
      <c r="S69">
        <v>0</v>
      </c>
      <c r="T69">
        <v>4</v>
      </c>
      <c r="U69">
        <v>4</v>
      </c>
    </row>
    <row r="70" spans="1:21" ht="16.5" x14ac:dyDescent="0.3">
      <c r="A70" t="s">
        <v>140</v>
      </c>
      <c r="B70" s="1">
        <v>45306</v>
      </c>
      <c r="C70">
        <v>2024</v>
      </c>
      <c r="D70" t="s">
        <v>22</v>
      </c>
      <c r="E70" t="s">
        <v>23</v>
      </c>
      <c r="F70" t="s">
        <v>24</v>
      </c>
      <c r="G70" t="s">
        <v>25</v>
      </c>
      <c r="H70" t="s">
        <v>26</v>
      </c>
      <c r="I70" t="s">
        <v>42</v>
      </c>
      <c r="J70" t="s">
        <v>98</v>
      </c>
      <c r="K70">
        <v>1</v>
      </c>
      <c r="L70" s="2">
        <v>117.63</v>
      </c>
      <c r="M70" s="3">
        <v>0.2</v>
      </c>
      <c r="N70" t="s">
        <v>34</v>
      </c>
      <c r="O70" s="2">
        <v>94.1</v>
      </c>
      <c r="P70" s="2">
        <v>77.38</v>
      </c>
      <c r="Q70" s="2">
        <v>16.72</v>
      </c>
      <c r="R70">
        <v>1</v>
      </c>
      <c r="S70">
        <v>0</v>
      </c>
      <c r="T70">
        <v>4</v>
      </c>
      <c r="U70">
        <v>3</v>
      </c>
    </row>
    <row r="71" spans="1:21" ht="16.5" x14ac:dyDescent="0.3">
      <c r="A71" t="s">
        <v>141</v>
      </c>
      <c r="B71" s="1">
        <v>45306</v>
      </c>
      <c r="C71">
        <v>2024</v>
      </c>
      <c r="D71" t="s">
        <v>22</v>
      </c>
      <c r="E71" t="s">
        <v>23</v>
      </c>
      <c r="F71" t="s">
        <v>31</v>
      </c>
      <c r="G71" t="s">
        <v>49</v>
      </c>
      <c r="H71" t="s">
        <v>26</v>
      </c>
      <c r="I71" t="s">
        <v>67</v>
      </c>
      <c r="J71" t="s">
        <v>78</v>
      </c>
      <c r="K71">
        <v>1</v>
      </c>
      <c r="L71" s="2">
        <v>85.42</v>
      </c>
      <c r="M71" s="3">
        <v>0</v>
      </c>
      <c r="N71" t="s">
        <v>38</v>
      </c>
      <c r="O71" s="2">
        <v>85.42</v>
      </c>
      <c r="P71" s="2">
        <v>55.88</v>
      </c>
      <c r="Q71" s="2">
        <v>29.54</v>
      </c>
      <c r="R71">
        <v>1</v>
      </c>
      <c r="S71">
        <v>1</v>
      </c>
      <c r="T71">
        <v>4</v>
      </c>
      <c r="U71">
        <v>3</v>
      </c>
    </row>
    <row r="72" spans="1:21" ht="16.5" x14ac:dyDescent="0.3">
      <c r="A72" t="s">
        <v>142</v>
      </c>
      <c r="B72" s="1">
        <v>45306</v>
      </c>
      <c r="C72">
        <v>2024</v>
      </c>
      <c r="D72" t="s">
        <v>22</v>
      </c>
      <c r="E72" t="s">
        <v>23</v>
      </c>
      <c r="F72" t="s">
        <v>24</v>
      </c>
      <c r="G72" t="s">
        <v>51</v>
      </c>
      <c r="H72" t="s">
        <v>26</v>
      </c>
      <c r="I72" t="s">
        <v>67</v>
      </c>
      <c r="J72" t="s">
        <v>103</v>
      </c>
      <c r="K72">
        <v>1</v>
      </c>
      <c r="L72" s="2">
        <v>83.06</v>
      </c>
      <c r="M72" s="3">
        <v>0</v>
      </c>
      <c r="N72" t="s">
        <v>38</v>
      </c>
      <c r="O72" s="2">
        <v>83.06</v>
      </c>
      <c r="P72" s="2">
        <v>55.76</v>
      </c>
      <c r="Q72" s="2">
        <v>27.3</v>
      </c>
      <c r="R72">
        <v>1</v>
      </c>
      <c r="S72">
        <v>1</v>
      </c>
      <c r="T72">
        <v>2</v>
      </c>
      <c r="U72">
        <v>4</v>
      </c>
    </row>
    <row r="73" spans="1:21" ht="16.5" x14ac:dyDescent="0.3">
      <c r="A73" t="s">
        <v>143</v>
      </c>
      <c r="B73" s="1">
        <v>45306</v>
      </c>
      <c r="C73">
        <v>2024</v>
      </c>
      <c r="D73" t="s">
        <v>22</v>
      </c>
      <c r="E73" t="s">
        <v>23</v>
      </c>
      <c r="F73" t="s">
        <v>24</v>
      </c>
      <c r="G73" t="s">
        <v>51</v>
      </c>
      <c r="H73" t="s">
        <v>26</v>
      </c>
      <c r="I73" t="s">
        <v>42</v>
      </c>
      <c r="J73" t="s">
        <v>76</v>
      </c>
      <c r="K73">
        <v>1</v>
      </c>
      <c r="L73" s="2">
        <v>90.75</v>
      </c>
      <c r="M73" s="3">
        <v>0.15</v>
      </c>
      <c r="N73" t="s">
        <v>34</v>
      </c>
      <c r="O73" s="2">
        <v>77.14</v>
      </c>
      <c r="P73" s="2">
        <v>61.89</v>
      </c>
      <c r="Q73" s="2">
        <v>15.25</v>
      </c>
      <c r="R73">
        <v>1</v>
      </c>
      <c r="S73">
        <v>0</v>
      </c>
      <c r="T73">
        <v>2</v>
      </c>
      <c r="U73">
        <v>3</v>
      </c>
    </row>
    <row r="74" spans="1:21" ht="16.5" x14ac:dyDescent="0.3">
      <c r="A74" t="s">
        <v>144</v>
      </c>
      <c r="B74" s="1">
        <v>45306</v>
      </c>
      <c r="C74">
        <v>2024</v>
      </c>
      <c r="D74" t="s">
        <v>22</v>
      </c>
      <c r="E74" t="s">
        <v>23</v>
      </c>
      <c r="F74" t="s">
        <v>45</v>
      </c>
      <c r="G74" t="s">
        <v>51</v>
      </c>
      <c r="H74" t="s">
        <v>26</v>
      </c>
      <c r="I74" t="s">
        <v>42</v>
      </c>
      <c r="J74" t="s">
        <v>98</v>
      </c>
      <c r="K74">
        <v>1</v>
      </c>
      <c r="L74" s="2">
        <v>117.63</v>
      </c>
      <c r="M74" s="3">
        <v>0</v>
      </c>
      <c r="N74" t="s">
        <v>38</v>
      </c>
      <c r="O74" s="2">
        <v>117.63</v>
      </c>
      <c r="P74" s="2">
        <v>77.47</v>
      </c>
      <c r="Q74" s="2">
        <v>40.159999999999997</v>
      </c>
      <c r="R74">
        <v>1</v>
      </c>
      <c r="S74">
        <v>1</v>
      </c>
      <c r="T74">
        <v>3</v>
      </c>
      <c r="U74">
        <v>3</v>
      </c>
    </row>
    <row r="75" spans="1:21" ht="16.5" x14ac:dyDescent="0.3">
      <c r="A75" t="s">
        <v>145</v>
      </c>
      <c r="B75" s="1">
        <v>45306</v>
      </c>
      <c r="C75">
        <v>2024</v>
      </c>
      <c r="D75" t="s">
        <v>22</v>
      </c>
      <c r="E75" t="s">
        <v>23</v>
      </c>
      <c r="F75" t="s">
        <v>31</v>
      </c>
      <c r="G75" t="s">
        <v>49</v>
      </c>
      <c r="H75" t="s">
        <v>32</v>
      </c>
      <c r="I75" t="s">
        <v>42</v>
      </c>
      <c r="J75" t="s">
        <v>76</v>
      </c>
      <c r="K75">
        <v>1</v>
      </c>
      <c r="L75" s="2">
        <v>90.75</v>
      </c>
      <c r="M75" s="3">
        <v>0</v>
      </c>
      <c r="N75" t="s">
        <v>38</v>
      </c>
      <c r="O75" s="2">
        <v>90.75</v>
      </c>
      <c r="P75" s="2">
        <v>57.69</v>
      </c>
      <c r="Q75" s="2">
        <v>33.06</v>
      </c>
      <c r="R75">
        <v>1</v>
      </c>
      <c r="S75">
        <v>0</v>
      </c>
      <c r="T75">
        <v>4</v>
      </c>
      <c r="U75">
        <v>4</v>
      </c>
    </row>
    <row r="76" spans="1:21" ht="16.5" x14ac:dyDescent="0.3">
      <c r="A76" t="s">
        <v>146</v>
      </c>
      <c r="B76" s="1">
        <v>45307</v>
      </c>
      <c r="C76">
        <v>2024</v>
      </c>
      <c r="D76" t="s">
        <v>22</v>
      </c>
      <c r="E76" t="s">
        <v>23</v>
      </c>
      <c r="F76" t="s">
        <v>31</v>
      </c>
      <c r="G76" t="s">
        <v>49</v>
      </c>
      <c r="H76" t="s">
        <v>32</v>
      </c>
      <c r="I76" t="s">
        <v>42</v>
      </c>
      <c r="J76" t="s">
        <v>58</v>
      </c>
      <c r="K76">
        <v>1</v>
      </c>
      <c r="L76" s="2">
        <v>233.81</v>
      </c>
      <c r="M76" s="3">
        <v>0</v>
      </c>
      <c r="N76" t="s">
        <v>38</v>
      </c>
      <c r="O76" s="2">
        <v>233.81</v>
      </c>
      <c r="P76" s="2">
        <v>161.57</v>
      </c>
      <c r="Q76" s="2">
        <v>72.239999999999995</v>
      </c>
      <c r="R76">
        <v>1</v>
      </c>
      <c r="S76">
        <v>0</v>
      </c>
      <c r="T76">
        <v>5</v>
      </c>
      <c r="U76">
        <v>5</v>
      </c>
    </row>
    <row r="77" spans="1:21" ht="16.5" x14ac:dyDescent="0.3">
      <c r="A77" t="s">
        <v>147</v>
      </c>
      <c r="B77" s="1">
        <v>45307</v>
      </c>
      <c r="C77">
        <v>2024</v>
      </c>
      <c r="D77" t="s">
        <v>22</v>
      </c>
      <c r="E77" t="s">
        <v>23</v>
      </c>
      <c r="F77" t="s">
        <v>31</v>
      </c>
      <c r="G77" t="s">
        <v>49</v>
      </c>
      <c r="H77" t="s">
        <v>26</v>
      </c>
      <c r="I77" t="s">
        <v>67</v>
      </c>
      <c r="J77" t="s">
        <v>93</v>
      </c>
      <c r="K77">
        <v>1</v>
      </c>
      <c r="L77" s="2">
        <v>198.42</v>
      </c>
      <c r="M77" s="3">
        <v>0.2</v>
      </c>
      <c r="N77" t="s">
        <v>34</v>
      </c>
      <c r="O77" s="2">
        <v>158.74</v>
      </c>
      <c r="P77" s="2">
        <v>128.85</v>
      </c>
      <c r="Q77" s="2">
        <v>29.89</v>
      </c>
      <c r="R77">
        <v>1</v>
      </c>
      <c r="S77">
        <v>0</v>
      </c>
      <c r="T77">
        <v>3</v>
      </c>
      <c r="U77">
        <v>5</v>
      </c>
    </row>
    <row r="78" spans="1:21" ht="16.5" x14ac:dyDescent="0.3">
      <c r="A78" t="s">
        <v>148</v>
      </c>
      <c r="B78" s="1">
        <v>45307</v>
      </c>
      <c r="C78">
        <v>2024</v>
      </c>
      <c r="D78" t="s">
        <v>22</v>
      </c>
      <c r="E78" t="s">
        <v>23</v>
      </c>
      <c r="F78" t="s">
        <v>31</v>
      </c>
      <c r="G78" t="s">
        <v>51</v>
      </c>
      <c r="H78" t="s">
        <v>26</v>
      </c>
      <c r="I78" t="s">
        <v>84</v>
      </c>
      <c r="J78" t="s">
        <v>106</v>
      </c>
      <c r="K78">
        <v>1</v>
      </c>
      <c r="L78" s="2">
        <v>45.28</v>
      </c>
      <c r="M78" s="3">
        <v>0.25</v>
      </c>
      <c r="N78" t="s">
        <v>62</v>
      </c>
      <c r="O78" s="2">
        <v>33.96</v>
      </c>
      <c r="P78" s="2">
        <v>32.67</v>
      </c>
      <c r="Q78" s="2">
        <v>1.29</v>
      </c>
      <c r="R78">
        <v>1</v>
      </c>
      <c r="S78">
        <v>0</v>
      </c>
      <c r="T78">
        <v>3</v>
      </c>
      <c r="U78">
        <v>5</v>
      </c>
    </row>
    <row r="79" spans="1:21" ht="16.5" x14ac:dyDescent="0.3">
      <c r="A79" t="s">
        <v>149</v>
      </c>
      <c r="B79" s="1">
        <v>45308</v>
      </c>
      <c r="C79">
        <v>2024</v>
      </c>
      <c r="D79" t="s">
        <v>22</v>
      </c>
      <c r="E79" t="s">
        <v>23</v>
      </c>
      <c r="F79" t="s">
        <v>24</v>
      </c>
      <c r="G79" t="s">
        <v>49</v>
      </c>
      <c r="H79" t="s">
        <v>26</v>
      </c>
      <c r="I79" t="s">
        <v>36</v>
      </c>
      <c r="J79" t="s">
        <v>115</v>
      </c>
      <c r="K79">
        <v>4</v>
      </c>
      <c r="L79" s="2">
        <v>33.479999999999997</v>
      </c>
      <c r="M79" s="3">
        <v>0.1</v>
      </c>
      <c r="N79" t="s">
        <v>29</v>
      </c>
      <c r="O79" s="2">
        <v>120.53</v>
      </c>
      <c r="P79" s="2">
        <v>61.42</v>
      </c>
      <c r="Q79" s="2">
        <v>59.11</v>
      </c>
      <c r="R79">
        <v>1</v>
      </c>
      <c r="S79">
        <v>0</v>
      </c>
      <c r="T79">
        <v>3</v>
      </c>
      <c r="U79">
        <v>5</v>
      </c>
    </row>
    <row r="80" spans="1:21" ht="16.5" x14ac:dyDescent="0.3">
      <c r="A80" t="s">
        <v>150</v>
      </c>
      <c r="B80" s="1">
        <v>45308</v>
      </c>
      <c r="C80">
        <v>2024</v>
      </c>
      <c r="D80" t="s">
        <v>22</v>
      </c>
      <c r="E80" t="s">
        <v>23</v>
      </c>
      <c r="F80" t="s">
        <v>31</v>
      </c>
      <c r="G80" t="s">
        <v>65</v>
      </c>
      <c r="H80" t="s">
        <v>32</v>
      </c>
      <c r="I80" t="s">
        <v>70</v>
      </c>
      <c r="J80" t="s">
        <v>82</v>
      </c>
      <c r="K80">
        <v>1</v>
      </c>
      <c r="L80" s="2">
        <v>508.8</v>
      </c>
      <c r="M80" s="3">
        <v>0.1</v>
      </c>
      <c r="N80" t="s">
        <v>29</v>
      </c>
      <c r="O80" s="2">
        <v>457.92</v>
      </c>
      <c r="P80" s="2">
        <v>392.05</v>
      </c>
      <c r="Q80" s="2">
        <v>65.87</v>
      </c>
      <c r="R80">
        <v>1</v>
      </c>
      <c r="S80">
        <v>0</v>
      </c>
      <c r="T80">
        <v>6</v>
      </c>
      <c r="U80">
        <v>3</v>
      </c>
    </row>
    <row r="81" spans="1:21" ht="16.5" x14ac:dyDescent="0.3">
      <c r="A81" t="s">
        <v>151</v>
      </c>
      <c r="B81" s="1">
        <v>45308</v>
      </c>
      <c r="C81">
        <v>2024</v>
      </c>
      <c r="D81" t="s">
        <v>22</v>
      </c>
      <c r="E81" t="s">
        <v>23</v>
      </c>
      <c r="F81" t="s">
        <v>24</v>
      </c>
      <c r="G81" t="s">
        <v>25</v>
      </c>
      <c r="H81" t="s">
        <v>32</v>
      </c>
      <c r="I81" t="s">
        <v>27</v>
      </c>
      <c r="J81" t="s">
        <v>60</v>
      </c>
      <c r="K81">
        <v>1</v>
      </c>
      <c r="L81" s="2">
        <v>94.85</v>
      </c>
      <c r="M81" s="3">
        <v>0.1</v>
      </c>
      <c r="N81" t="s">
        <v>29</v>
      </c>
      <c r="O81" s="2">
        <v>85.36</v>
      </c>
      <c r="P81" s="2">
        <v>51.65</v>
      </c>
      <c r="Q81" s="2">
        <v>33.71</v>
      </c>
      <c r="R81">
        <v>1</v>
      </c>
      <c r="S81">
        <v>0</v>
      </c>
      <c r="T81">
        <v>5</v>
      </c>
      <c r="U81">
        <v>5</v>
      </c>
    </row>
    <row r="82" spans="1:21" ht="16.5" x14ac:dyDescent="0.3">
      <c r="A82" t="s">
        <v>152</v>
      </c>
      <c r="B82" s="1">
        <v>45308</v>
      </c>
      <c r="C82">
        <v>2024</v>
      </c>
      <c r="D82" t="s">
        <v>22</v>
      </c>
      <c r="E82" t="s">
        <v>23</v>
      </c>
      <c r="F82" t="s">
        <v>45</v>
      </c>
      <c r="G82" t="s">
        <v>46</v>
      </c>
      <c r="H82" t="s">
        <v>32</v>
      </c>
      <c r="I82" t="s">
        <v>27</v>
      </c>
      <c r="J82" t="s">
        <v>28</v>
      </c>
      <c r="K82">
        <v>2</v>
      </c>
      <c r="L82" s="2">
        <v>138.5</v>
      </c>
      <c r="M82" s="3">
        <v>0.1</v>
      </c>
      <c r="N82" t="s">
        <v>29</v>
      </c>
      <c r="O82" s="2">
        <v>249.3</v>
      </c>
      <c r="P82" s="2">
        <v>155.57</v>
      </c>
      <c r="Q82" s="2">
        <v>93.73</v>
      </c>
      <c r="R82">
        <v>1</v>
      </c>
      <c r="S82">
        <v>0</v>
      </c>
      <c r="T82">
        <v>9</v>
      </c>
      <c r="U82">
        <v>4</v>
      </c>
    </row>
    <row r="83" spans="1:21" ht="16.5" x14ac:dyDescent="0.3">
      <c r="A83" t="s">
        <v>153</v>
      </c>
      <c r="B83" s="1">
        <v>45308</v>
      </c>
      <c r="C83">
        <v>2024</v>
      </c>
      <c r="D83" t="s">
        <v>22</v>
      </c>
      <c r="E83" t="s">
        <v>23</v>
      </c>
      <c r="F83" t="s">
        <v>45</v>
      </c>
      <c r="G83" t="s">
        <v>51</v>
      </c>
      <c r="H83" t="s">
        <v>26</v>
      </c>
      <c r="I83" t="s">
        <v>36</v>
      </c>
      <c r="J83" t="s">
        <v>52</v>
      </c>
      <c r="K83">
        <v>1</v>
      </c>
      <c r="L83" s="2">
        <v>92.54</v>
      </c>
      <c r="M83" s="3">
        <v>0.25</v>
      </c>
      <c r="N83" t="s">
        <v>62</v>
      </c>
      <c r="O83" s="2">
        <v>69.400000000000006</v>
      </c>
      <c r="P83" s="2">
        <v>44.93</v>
      </c>
      <c r="Q83" s="2">
        <v>24.47</v>
      </c>
      <c r="R83">
        <v>1</v>
      </c>
      <c r="S83">
        <v>0</v>
      </c>
      <c r="T83">
        <v>2</v>
      </c>
      <c r="U83">
        <v>4</v>
      </c>
    </row>
    <row r="84" spans="1:21" ht="16.5" x14ac:dyDescent="0.3">
      <c r="A84" t="s">
        <v>154</v>
      </c>
      <c r="B84" s="1">
        <v>45308</v>
      </c>
      <c r="C84">
        <v>2024</v>
      </c>
      <c r="D84" t="s">
        <v>22</v>
      </c>
      <c r="E84" t="s">
        <v>23</v>
      </c>
      <c r="F84" t="s">
        <v>45</v>
      </c>
      <c r="G84" t="s">
        <v>25</v>
      </c>
      <c r="H84" t="s">
        <v>32</v>
      </c>
      <c r="I84" t="s">
        <v>70</v>
      </c>
      <c r="J84" t="s">
        <v>71</v>
      </c>
      <c r="K84">
        <v>2</v>
      </c>
      <c r="L84" s="2">
        <v>588.41</v>
      </c>
      <c r="M84" s="3">
        <v>0.25</v>
      </c>
      <c r="N84" t="s">
        <v>62</v>
      </c>
      <c r="O84" s="2">
        <v>882.62</v>
      </c>
      <c r="P84" s="2">
        <v>986.98</v>
      </c>
      <c r="Q84" s="2">
        <v>-104.36</v>
      </c>
      <c r="R84">
        <v>1</v>
      </c>
      <c r="S84">
        <v>0</v>
      </c>
      <c r="T84">
        <v>4</v>
      </c>
      <c r="U84">
        <v>4</v>
      </c>
    </row>
    <row r="85" spans="1:21" ht="16.5" x14ac:dyDescent="0.3">
      <c r="A85" t="s">
        <v>155</v>
      </c>
      <c r="B85" s="1">
        <v>45309</v>
      </c>
      <c r="C85">
        <v>2024</v>
      </c>
      <c r="D85" t="s">
        <v>22</v>
      </c>
      <c r="E85" t="s">
        <v>23</v>
      </c>
      <c r="F85" t="s">
        <v>24</v>
      </c>
      <c r="G85" t="s">
        <v>65</v>
      </c>
      <c r="H85" t="s">
        <v>26</v>
      </c>
      <c r="I85" t="s">
        <v>42</v>
      </c>
      <c r="J85" t="s">
        <v>76</v>
      </c>
      <c r="K85">
        <v>1</v>
      </c>
      <c r="L85" s="2">
        <v>90.75</v>
      </c>
      <c r="M85" s="3">
        <v>0.2</v>
      </c>
      <c r="N85" t="s">
        <v>34</v>
      </c>
      <c r="O85" s="2">
        <v>72.599999999999994</v>
      </c>
      <c r="P85" s="2">
        <v>59.11</v>
      </c>
      <c r="Q85" s="2">
        <v>13.49</v>
      </c>
      <c r="R85">
        <v>1</v>
      </c>
      <c r="S85">
        <v>0</v>
      </c>
      <c r="T85">
        <v>5</v>
      </c>
      <c r="U85">
        <v>4</v>
      </c>
    </row>
    <row r="86" spans="1:21" ht="16.5" x14ac:dyDescent="0.3">
      <c r="A86" t="s">
        <v>156</v>
      </c>
      <c r="B86" s="1">
        <v>45309</v>
      </c>
      <c r="C86">
        <v>2024</v>
      </c>
      <c r="D86" t="s">
        <v>22</v>
      </c>
      <c r="E86" t="s">
        <v>23</v>
      </c>
      <c r="F86" t="s">
        <v>31</v>
      </c>
      <c r="G86" t="s">
        <v>51</v>
      </c>
      <c r="H86" t="s">
        <v>26</v>
      </c>
      <c r="I86" t="s">
        <v>84</v>
      </c>
      <c r="J86" t="s">
        <v>85</v>
      </c>
      <c r="K86">
        <v>1</v>
      </c>
      <c r="L86" s="2">
        <v>57.92</v>
      </c>
      <c r="M86" s="3">
        <v>0</v>
      </c>
      <c r="N86" t="s">
        <v>38</v>
      </c>
      <c r="O86" s="2">
        <v>57.92</v>
      </c>
      <c r="P86" s="2">
        <v>41.77</v>
      </c>
      <c r="Q86" s="2">
        <v>16.149999999999999</v>
      </c>
      <c r="R86">
        <v>1</v>
      </c>
      <c r="S86">
        <v>0</v>
      </c>
      <c r="T86">
        <v>2</v>
      </c>
      <c r="U86">
        <v>4</v>
      </c>
    </row>
    <row r="87" spans="1:21" ht="16.5" x14ac:dyDescent="0.3">
      <c r="A87" t="s">
        <v>157</v>
      </c>
      <c r="B87" s="1">
        <v>45309</v>
      </c>
      <c r="C87">
        <v>2024</v>
      </c>
      <c r="D87" t="s">
        <v>22</v>
      </c>
      <c r="E87" t="s">
        <v>23</v>
      </c>
      <c r="F87" t="s">
        <v>24</v>
      </c>
      <c r="G87" t="s">
        <v>51</v>
      </c>
      <c r="H87" t="s">
        <v>32</v>
      </c>
      <c r="I87" t="s">
        <v>42</v>
      </c>
      <c r="J87" t="s">
        <v>89</v>
      </c>
      <c r="K87">
        <v>4</v>
      </c>
      <c r="L87" s="2">
        <v>68.349999999999994</v>
      </c>
      <c r="M87" s="3">
        <v>0</v>
      </c>
      <c r="N87" t="s">
        <v>38</v>
      </c>
      <c r="O87" s="2">
        <v>273.39999999999998</v>
      </c>
      <c r="P87" s="2">
        <v>188.68</v>
      </c>
      <c r="Q87" s="2">
        <v>84.72</v>
      </c>
      <c r="R87">
        <v>1</v>
      </c>
      <c r="S87">
        <v>0</v>
      </c>
      <c r="T87">
        <v>4</v>
      </c>
      <c r="U87">
        <v>3</v>
      </c>
    </row>
    <row r="88" spans="1:21" ht="16.5" x14ac:dyDescent="0.3">
      <c r="A88" t="s">
        <v>158</v>
      </c>
      <c r="B88" s="1">
        <v>45309</v>
      </c>
      <c r="C88">
        <v>2024</v>
      </c>
      <c r="D88" t="s">
        <v>22</v>
      </c>
      <c r="E88" t="s">
        <v>23</v>
      </c>
      <c r="F88" t="s">
        <v>24</v>
      </c>
      <c r="G88" t="s">
        <v>46</v>
      </c>
      <c r="H88" t="s">
        <v>32</v>
      </c>
      <c r="I88" t="s">
        <v>42</v>
      </c>
      <c r="J88" t="s">
        <v>43</v>
      </c>
      <c r="K88">
        <v>2</v>
      </c>
      <c r="L88" s="2">
        <v>154.66</v>
      </c>
      <c r="M88" s="3">
        <v>0</v>
      </c>
      <c r="N88" t="s">
        <v>38</v>
      </c>
      <c r="O88" s="2">
        <v>309.32</v>
      </c>
      <c r="P88" s="2">
        <v>207.21</v>
      </c>
      <c r="Q88" s="2">
        <v>102.11</v>
      </c>
      <c r="R88">
        <v>1</v>
      </c>
      <c r="S88">
        <v>0</v>
      </c>
      <c r="T88">
        <v>5</v>
      </c>
      <c r="U88">
        <v>5</v>
      </c>
    </row>
    <row r="89" spans="1:21" ht="16.5" x14ac:dyDescent="0.3">
      <c r="A89" t="s">
        <v>159</v>
      </c>
      <c r="B89" s="1">
        <v>45310</v>
      </c>
      <c r="C89">
        <v>2024</v>
      </c>
      <c r="D89" t="s">
        <v>22</v>
      </c>
      <c r="E89" t="s">
        <v>23</v>
      </c>
      <c r="F89" t="s">
        <v>31</v>
      </c>
      <c r="G89" t="s">
        <v>49</v>
      </c>
      <c r="H89" t="s">
        <v>32</v>
      </c>
      <c r="I89" t="s">
        <v>67</v>
      </c>
      <c r="J89" t="s">
        <v>103</v>
      </c>
      <c r="K89">
        <v>2</v>
      </c>
      <c r="L89" s="2">
        <v>83.06</v>
      </c>
      <c r="M89" s="3">
        <v>0.1</v>
      </c>
      <c r="N89" t="s">
        <v>29</v>
      </c>
      <c r="O89" s="2">
        <v>149.51</v>
      </c>
      <c r="P89" s="2">
        <v>112.12</v>
      </c>
      <c r="Q89" s="2">
        <v>37.39</v>
      </c>
      <c r="R89">
        <v>1</v>
      </c>
      <c r="S89">
        <v>0</v>
      </c>
      <c r="T89">
        <v>3</v>
      </c>
      <c r="U89">
        <v>3</v>
      </c>
    </row>
    <row r="90" spans="1:21" ht="16.5" x14ac:dyDescent="0.3">
      <c r="A90" t="s">
        <v>160</v>
      </c>
      <c r="B90" s="1">
        <v>45310</v>
      </c>
      <c r="C90">
        <v>2024</v>
      </c>
      <c r="D90" t="s">
        <v>22</v>
      </c>
      <c r="E90" t="s">
        <v>23</v>
      </c>
      <c r="F90" t="s">
        <v>24</v>
      </c>
      <c r="G90" t="s">
        <v>25</v>
      </c>
      <c r="H90" t="s">
        <v>32</v>
      </c>
      <c r="I90" t="s">
        <v>70</v>
      </c>
      <c r="J90" t="s">
        <v>87</v>
      </c>
      <c r="K90">
        <v>1</v>
      </c>
      <c r="L90" s="2">
        <v>490.3</v>
      </c>
      <c r="M90" s="3">
        <v>0.05</v>
      </c>
      <c r="N90" t="s">
        <v>29</v>
      </c>
      <c r="O90" s="2">
        <v>465.78</v>
      </c>
      <c r="P90" s="2">
        <v>375.75</v>
      </c>
      <c r="Q90" s="2">
        <v>90.03</v>
      </c>
      <c r="R90">
        <v>1</v>
      </c>
      <c r="S90">
        <v>0</v>
      </c>
      <c r="T90">
        <v>5</v>
      </c>
      <c r="U90">
        <v>4</v>
      </c>
    </row>
    <row r="91" spans="1:21" ht="16.5" x14ac:dyDescent="0.3">
      <c r="A91" t="s">
        <v>161</v>
      </c>
      <c r="B91" s="1">
        <v>45310</v>
      </c>
      <c r="C91">
        <v>2024</v>
      </c>
      <c r="D91" t="s">
        <v>22</v>
      </c>
      <c r="E91" t="s">
        <v>23</v>
      </c>
      <c r="F91" t="s">
        <v>45</v>
      </c>
      <c r="G91" t="s">
        <v>25</v>
      </c>
      <c r="H91" t="s">
        <v>32</v>
      </c>
      <c r="I91" t="s">
        <v>70</v>
      </c>
      <c r="J91" t="s">
        <v>162</v>
      </c>
      <c r="K91">
        <v>1</v>
      </c>
      <c r="L91" s="2">
        <v>636.09</v>
      </c>
      <c r="M91" s="3">
        <v>0</v>
      </c>
      <c r="N91" t="s">
        <v>38</v>
      </c>
      <c r="O91" s="2">
        <v>636.09</v>
      </c>
      <c r="P91" s="2">
        <v>498.43</v>
      </c>
      <c r="Q91" s="2">
        <v>137.66</v>
      </c>
      <c r="R91">
        <v>1</v>
      </c>
      <c r="S91">
        <v>0</v>
      </c>
      <c r="T91">
        <v>3</v>
      </c>
      <c r="U91">
        <v>4</v>
      </c>
    </row>
    <row r="92" spans="1:21" ht="16.5" x14ac:dyDescent="0.3">
      <c r="A92" t="s">
        <v>163</v>
      </c>
      <c r="B92" s="1">
        <v>45310</v>
      </c>
      <c r="C92">
        <v>2024</v>
      </c>
      <c r="D92" t="s">
        <v>22</v>
      </c>
      <c r="E92" t="s">
        <v>23</v>
      </c>
      <c r="F92" t="s">
        <v>24</v>
      </c>
      <c r="G92" t="s">
        <v>51</v>
      </c>
      <c r="H92" t="s">
        <v>32</v>
      </c>
      <c r="I92" t="s">
        <v>36</v>
      </c>
      <c r="J92" t="s">
        <v>37</v>
      </c>
      <c r="K92">
        <v>4</v>
      </c>
      <c r="L92" s="2">
        <v>33.18</v>
      </c>
      <c r="M92" s="3">
        <v>0</v>
      </c>
      <c r="N92" t="s">
        <v>38</v>
      </c>
      <c r="O92" s="2">
        <v>132.72</v>
      </c>
      <c r="P92" s="2">
        <v>63.89</v>
      </c>
      <c r="Q92" s="2">
        <v>68.83</v>
      </c>
      <c r="R92">
        <v>1</v>
      </c>
      <c r="S92">
        <v>0</v>
      </c>
      <c r="T92">
        <v>3</v>
      </c>
      <c r="U92">
        <v>4</v>
      </c>
    </row>
    <row r="93" spans="1:21" ht="16.5" x14ac:dyDescent="0.3">
      <c r="A93" t="s">
        <v>164</v>
      </c>
      <c r="B93" s="1">
        <v>45310</v>
      </c>
      <c r="C93">
        <v>2024</v>
      </c>
      <c r="D93" t="s">
        <v>22</v>
      </c>
      <c r="E93" t="s">
        <v>23</v>
      </c>
      <c r="F93" t="s">
        <v>45</v>
      </c>
      <c r="G93" t="s">
        <v>49</v>
      </c>
      <c r="H93" t="s">
        <v>32</v>
      </c>
      <c r="I93" t="s">
        <v>36</v>
      </c>
      <c r="J93" t="s">
        <v>52</v>
      </c>
      <c r="K93">
        <v>2</v>
      </c>
      <c r="L93" s="2">
        <v>92.54</v>
      </c>
      <c r="M93" s="3">
        <v>0</v>
      </c>
      <c r="N93" t="s">
        <v>38</v>
      </c>
      <c r="O93" s="2">
        <v>185.08</v>
      </c>
      <c r="P93" s="2">
        <v>87.73</v>
      </c>
      <c r="Q93" s="2">
        <v>97.35</v>
      </c>
      <c r="R93">
        <v>1</v>
      </c>
      <c r="S93">
        <v>0</v>
      </c>
      <c r="T93">
        <v>4</v>
      </c>
      <c r="U93">
        <v>4</v>
      </c>
    </row>
    <row r="94" spans="1:21" ht="16.5" x14ac:dyDescent="0.3">
      <c r="A94" t="s">
        <v>165</v>
      </c>
      <c r="B94" s="1">
        <v>45310</v>
      </c>
      <c r="C94">
        <v>2024</v>
      </c>
      <c r="D94" t="s">
        <v>22</v>
      </c>
      <c r="E94" t="s">
        <v>23</v>
      </c>
      <c r="F94" t="s">
        <v>45</v>
      </c>
      <c r="G94" t="s">
        <v>25</v>
      </c>
      <c r="H94" t="s">
        <v>26</v>
      </c>
      <c r="I94" t="s">
        <v>42</v>
      </c>
      <c r="J94" t="s">
        <v>76</v>
      </c>
      <c r="K94">
        <v>2</v>
      </c>
      <c r="L94" s="2">
        <v>90.75</v>
      </c>
      <c r="M94" s="3">
        <v>0</v>
      </c>
      <c r="N94" t="s">
        <v>38</v>
      </c>
      <c r="O94" s="2">
        <v>181.5</v>
      </c>
      <c r="P94" s="2">
        <v>117.72</v>
      </c>
      <c r="Q94" s="2">
        <v>63.78</v>
      </c>
      <c r="R94">
        <v>1</v>
      </c>
      <c r="S94">
        <v>0</v>
      </c>
      <c r="T94">
        <v>4</v>
      </c>
      <c r="U94">
        <v>4</v>
      </c>
    </row>
    <row r="95" spans="1:21" ht="16.5" x14ac:dyDescent="0.3">
      <c r="A95" t="s">
        <v>166</v>
      </c>
      <c r="B95" s="1">
        <v>45310</v>
      </c>
      <c r="C95">
        <v>2024</v>
      </c>
      <c r="D95" t="s">
        <v>22</v>
      </c>
      <c r="E95" t="s">
        <v>23</v>
      </c>
      <c r="F95" t="s">
        <v>45</v>
      </c>
      <c r="G95" t="s">
        <v>46</v>
      </c>
      <c r="H95" t="s">
        <v>32</v>
      </c>
      <c r="I95" t="s">
        <v>70</v>
      </c>
      <c r="J95" t="s">
        <v>162</v>
      </c>
      <c r="K95">
        <v>1</v>
      </c>
      <c r="L95" s="2">
        <v>636.09</v>
      </c>
      <c r="M95" s="3">
        <v>0</v>
      </c>
      <c r="N95" t="s">
        <v>38</v>
      </c>
      <c r="O95" s="2">
        <v>636.09</v>
      </c>
      <c r="P95" s="2">
        <v>516.91</v>
      </c>
      <c r="Q95" s="2">
        <v>119.18</v>
      </c>
      <c r="R95">
        <v>1</v>
      </c>
      <c r="S95">
        <v>0</v>
      </c>
      <c r="T95">
        <v>7</v>
      </c>
      <c r="U95">
        <v>4</v>
      </c>
    </row>
    <row r="96" spans="1:21" ht="16.5" x14ac:dyDescent="0.3">
      <c r="A96" t="s">
        <v>167</v>
      </c>
      <c r="B96" s="1">
        <v>45310</v>
      </c>
      <c r="C96">
        <v>2024</v>
      </c>
      <c r="D96" t="s">
        <v>22</v>
      </c>
      <c r="E96" t="s">
        <v>23</v>
      </c>
      <c r="F96" t="s">
        <v>24</v>
      </c>
      <c r="G96" t="s">
        <v>49</v>
      </c>
      <c r="H96" t="s">
        <v>32</v>
      </c>
      <c r="I96" t="s">
        <v>36</v>
      </c>
      <c r="J96" t="s">
        <v>115</v>
      </c>
      <c r="K96">
        <v>1</v>
      </c>
      <c r="L96" s="2">
        <v>33.479999999999997</v>
      </c>
      <c r="M96" s="3">
        <v>0.05</v>
      </c>
      <c r="N96" t="s">
        <v>29</v>
      </c>
      <c r="O96" s="2">
        <v>31.81</v>
      </c>
      <c r="P96" s="2">
        <v>15.62</v>
      </c>
      <c r="Q96" s="2">
        <v>16.190000000000001</v>
      </c>
      <c r="R96">
        <v>1</v>
      </c>
      <c r="S96">
        <v>0</v>
      </c>
      <c r="T96">
        <v>3</v>
      </c>
      <c r="U96">
        <v>5</v>
      </c>
    </row>
    <row r="97" spans="1:21" ht="16.5" x14ac:dyDescent="0.3">
      <c r="A97" t="s">
        <v>168</v>
      </c>
      <c r="B97" s="1">
        <v>45311</v>
      </c>
      <c r="C97">
        <v>2024</v>
      </c>
      <c r="D97" t="s">
        <v>22</v>
      </c>
      <c r="E97" t="s">
        <v>23</v>
      </c>
      <c r="F97" t="s">
        <v>31</v>
      </c>
      <c r="G97" t="s">
        <v>51</v>
      </c>
      <c r="H97" t="s">
        <v>26</v>
      </c>
      <c r="I97" t="s">
        <v>70</v>
      </c>
      <c r="J97" t="s">
        <v>162</v>
      </c>
      <c r="K97">
        <v>1</v>
      </c>
      <c r="L97" s="2">
        <v>636.09</v>
      </c>
      <c r="M97" s="3">
        <v>0.25</v>
      </c>
      <c r="N97" t="s">
        <v>62</v>
      </c>
      <c r="O97" s="2">
        <v>477.07</v>
      </c>
      <c r="P97" s="2">
        <v>513.54999999999995</v>
      </c>
      <c r="Q97" s="2">
        <v>-36.479999999999997</v>
      </c>
      <c r="R97">
        <v>1</v>
      </c>
      <c r="S97">
        <v>0</v>
      </c>
      <c r="T97">
        <v>2</v>
      </c>
      <c r="U97">
        <v>4</v>
      </c>
    </row>
    <row r="98" spans="1:21" ht="16.5" x14ac:dyDescent="0.3">
      <c r="A98" t="s">
        <v>169</v>
      </c>
      <c r="B98" s="1">
        <v>45311</v>
      </c>
      <c r="C98">
        <v>2024</v>
      </c>
      <c r="D98" t="s">
        <v>22</v>
      </c>
      <c r="E98" t="s">
        <v>23</v>
      </c>
      <c r="F98" t="s">
        <v>45</v>
      </c>
      <c r="G98" t="s">
        <v>25</v>
      </c>
      <c r="H98" t="s">
        <v>32</v>
      </c>
      <c r="I98" t="s">
        <v>70</v>
      </c>
      <c r="J98" t="s">
        <v>162</v>
      </c>
      <c r="K98">
        <v>3</v>
      </c>
      <c r="L98" s="2">
        <v>636.09</v>
      </c>
      <c r="M98" s="3">
        <v>0.1</v>
      </c>
      <c r="N98" t="s">
        <v>29</v>
      </c>
      <c r="O98" s="2">
        <v>1717.44</v>
      </c>
      <c r="P98" s="2">
        <v>1561.21</v>
      </c>
      <c r="Q98" s="2">
        <v>156.22999999999999</v>
      </c>
      <c r="R98">
        <v>1</v>
      </c>
      <c r="S98">
        <v>0</v>
      </c>
      <c r="T98">
        <v>6</v>
      </c>
      <c r="U98">
        <v>3</v>
      </c>
    </row>
    <row r="99" spans="1:21" ht="16.5" x14ac:dyDescent="0.3">
      <c r="A99" t="s">
        <v>170</v>
      </c>
      <c r="B99" s="1">
        <v>45311</v>
      </c>
      <c r="C99">
        <v>2024</v>
      </c>
      <c r="D99" t="s">
        <v>22</v>
      </c>
      <c r="E99" t="s">
        <v>23</v>
      </c>
      <c r="F99" t="s">
        <v>24</v>
      </c>
      <c r="G99" t="s">
        <v>25</v>
      </c>
      <c r="H99" t="s">
        <v>26</v>
      </c>
      <c r="I99" t="s">
        <v>27</v>
      </c>
      <c r="J99" t="s">
        <v>28</v>
      </c>
      <c r="K99">
        <v>1</v>
      </c>
      <c r="L99" s="2">
        <v>138.5</v>
      </c>
      <c r="M99" s="3">
        <v>0.15</v>
      </c>
      <c r="N99" t="s">
        <v>34</v>
      </c>
      <c r="O99" s="2">
        <v>117.72</v>
      </c>
      <c r="P99" s="2">
        <v>76.75</v>
      </c>
      <c r="Q99" s="2">
        <v>40.97</v>
      </c>
      <c r="R99">
        <v>1</v>
      </c>
      <c r="S99">
        <v>0</v>
      </c>
      <c r="T99">
        <v>5</v>
      </c>
      <c r="U99">
        <v>4</v>
      </c>
    </row>
    <row r="100" spans="1:21" ht="16.5" x14ac:dyDescent="0.3">
      <c r="A100" t="s">
        <v>171</v>
      </c>
      <c r="B100" s="1">
        <v>45311</v>
      </c>
      <c r="C100">
        <v>2024</v>
      </c>
      <c r="D100" t="s">
        <v>22</v>
      </c>
      <c r="E100" t="s">
        <v>23</v>
      </c>
      <c r="F100" t="s">
        <v>24</v>
      </c>
      <c r="G100" t="s">
        <v>65</v>
      </c>
      <c r="H100" t="s">
        <v>32</v>
      </c>
      <c r="I100" t="s">
        <v>42</v>
      </c>
      <c r="J100" t="s">
        <v>98</v>
      </c>
      <c r="K100">
        <v>1</v>
      </c>
      <c r="L100" s="2">
        <v>117.63</v>
      </c>
      <c r="M100" s="3">
        <v>0.05</v>
      </c>
      <c r="N100" t="s">
        <v>29</v>
      </c>
      <c r="O100" s="2">
        <v>111.75</v>
      </c>
      <c r="P100" s="2">
        <v>72.900000000000006</v>
      </c>
      <c r="Q100" s="2">
        <v>38.85</v>
      </c>
      <c r="R100">
        <v>1</v>
      </c>
      <c r="S100">
        <v>0</v>
      </c>
      <c r="T100">
        <v>5</v>
      </c>
      <c r="U100">
        <v>4</v>
      </c>
    </row>
    <row r="101" spans="1:21" ht="16.5" x14ac:dyDescent="0.3">
      <c r="A101" t="s">
        <v>172</v>
      </c>
      <c r="B101" s="1">
        <v>45311</v>
      </c>
      <c r="C101">
        <v>2024</v>
      </c>
      <c r="D101" t="s">
        <v>22</v>
      </c>
      <c r="E101" t="s">
        <v>23</v>
      </c>
      <c r="F101" t="s">
        <v>31</v>
      </c>
      <c r="G101" t="s">
        <v>25</v>
      </c>
      <c r="H101" t="s">
        <v>32</v>
      </c>
      <c r="I101" t="s">
        <v>67</v>
      </c>
      <c r="J101" t="s">
        <v>78</v>
      </c>
      <c r="K101">
        <v>1</v>
      </c>
      <c r="L101" s="2">
        <v>85.42</v>
      </c>
      <c r="M101" s="3">
        <v>0.05</v>
      </c>
      <c r="N101" t="s">
        <v>29</v>
      </c>
      <c r="O101" s="2">
        <v>81.150000000000006</v>
      </c>
      <c r="P101" s="2">
        <v>54.89</v>
      </c>
      <c r="Q101" s="2">
        <v>26.26</v>
      </c>
      <c r="R101">
        <v>1</v>
      </c>
      <c r="S101">
        <v>0</v>
      </c>
      <c r="T101">
        <v>4</v>
      </c>
      <c r="U101">
        <v>4</v>
      </c>
    </row>
    <row r="102" spans="1:21" ht="16.5" x14ac:dyDescent="0.3">
      <c r="A102" t="s">
        <v>173</v>
      </c>
      <c r="B102" s="1">
        <v>45312</v>
      </c>
      <c r="C102">
        <v>2024</v>
      </c>
      <c r="D102" t="s">
        <v>22</v>
      </c>
      <c r="E102" t="s">
        <v>23</v>
      </c>
      <c r="F102" t="s">
        <v>24</v>
      </c>
      <c r="G102" t="s">
        <v>25</v>
      </c>
      <c r="H102" t="s">
        <v>26</v>
      </c>
      <c r="I102" t="s">
        <v>67</v>
      </c>
      <c r="J102" t="s">
        <v>174</v>
      </c>
      <c r="K102">
        <v>4</v>
      </c>
      <c r="L102" s="2">
        <v>137.05000000000001</v>
      </c>
      <c r="M102" s="3">
        <v>0</v>
      </c>
      <c r="N102" t="s">
        <v>38</v>
      </c>
      <c r="O102" s="2">
        <v>548.20000000000005</v>
      </c>
      <c r="P102" s="2">
        <v>357.02</v>
      </c>
      <c r="Q102" s="2">
        <v>191.18</v>
      </c>
      <c r="R102">
        <v>1</v>
      </c>
      <c r="S102">
        <v>0</v>
      </c>
      <c r="T102">
        <v>6</v>
      </c>
      <c r="U102">
        <v>3</v>
      </c>
    </row>
    <row r="103" spans="1:21" ht="16.5" x14ac:dyDescent="0.3">
      <c r="A103" t="s">
        <v>175</v>
      </c>
      <c r="B103" s="1">
        <v>45312</v>
      </c>
      <c r="C103">
        <v>2024</v>
      </c>
      <c r="D103" t="s">
        <v>22</v>
      </c>
      <c r="E103" t="s">
        <v>23</v>
      </c>
      <c r="F103" t="s">
        <v>24</v>
      </c>
      <c r="G103" t="s">
        <v>51</v>
      </c>
      <c r="H103" t="s">
        <v>32</v>
      </c>
      <c r="I103" t="s">
        <v>36</v>
      </c>
      <c r="J103" t="s">
        <v>115</v>
      </c>
      <c r="K103">
        <v>1</v>
      </c>
      <c r="L103" s="2">
        <v>33.479999999999997</v>
      </c>
      <c r="M103" s="3">
        <v>0.05</v>
      </c>
      <c r="N103" t="s">
        <v>29</v>
      </c>
      <c r="O103" s="2">
        <v>31.81</v>
      </c>
      <c r="P103" s="2">
        <v>16.329999999999998</v>
      </c>
      <c r="Q103" s="2">
        <v>15.48</v>
      </c>
      <c r="R103">
        <v>1</v>
      </c>
      <c r="S103">
        <v>0</v>
      </c>
      <c r="T103">
        <v>2</v>
      </c>
      <c r="U103">
        <v>5</v>
      </c>
    </row>
    <row r="104" spans="1:21" ht="16.5" x14ac:dyDescent="0.3">
      <c r="A104" t="s">
        <v>176</v>
      </c>
      <c r="B104" s="1">
        <v>45312</v>
      </c>
      <c r="C104">
        <v>2024</v>
      </c>
      <c r="D104" t="s">
        <v>22</v>
      </c>
      <c r="E104" t="s">
        <v>23</v>
      </c>
      <c r="F104" t="s">
        <v>24</v>
      </c>
      <c r="G104" t="s">
        <v>46</v>
      </c>
      <c r="H104" t="s">
        <v>32</v>
      </c>
      <c r="I104" t="s">
        <v>27</v>
      </c>
      <c r="J104" t="s">
        <v>40</v>
      </c>
      <c r="K104">
        <v>2</v>
      </c>
      <c r="L104" s="2">
        <v>104.94</v>
      </c>
      <c r="M104" s="3">
        <v>0</v>
      </c>
      <c r="N104" t="s">
        <v>38</v>
      </c>
      <c r="O104" s="2">
        <v>209.88</v>
      </c>
      <c r="P104" s="2">
        <v>107.8</v>
      </c>
      <c r="Q104" s="2">
        <v>102.08</v>
      </c>
      <c r="R104">
        <v>1</v>
      </c>
      <c r="S104">
        <v>0</v>
      </c>
      <c r="T104">
        <v>6</v>
      </c>
      <c r="U104">
        <v>4</v>
      </c>
    </row>
    <row r="105" spans="1:21" ht="16.5" x14ac:dyDescent="0.3">
      <c r="A105" t="s">
        <v>177</v>
      </c>
      <c r="B105" s="1">
        <v>45312</v>
      </c>
      <c r="C105">
        <v>2024</v>
      </c>
      <c r="D105" t="s">
        <v>22</v>
      </c>
      <c r="E105" t="s">
        <v>23</v>
      </c>
      <c r="F105" t="s">
        <v>45</v>
      </c>
      <c r="G105" t="s">
        <v>51</v>
      </c>
      <c r="H105" t="s">
        <v>32</v>
      </c>
      <c r="I105" t="s">
        <v>36</v>
      </c>
      <c r="J105" t="s">
        <v>37</v>
      </c>
      <c r="K105">
        <v>2</v>
      </c>
      <c r="L105" s="2">
        <v>33.18</v>
      </c>
      <c r="M105" s="3">
        <v>0</v>
      </c>
      <c r="N105" t="s">
        <v>38</v>
      </c>
      <c r="O105" s="2">
        <v>66.36</v>
      </c>
      <c r="P105" s="2">
        <v>31.35</v>
      </c>
      <c r="Q105" s="2">
        <v>35.01</v>
      </c>
      <c r="R105">
        <v>1</v>
      </c>
      <c r="S105">
        <v>0</v>
      </c>
      <c r="T105">
        <v>3</v>
      </c>
      <c r="U105">
        <v>5</v>
      </c>
    </row>
    <row r="106" spans="1:21" ht="16.5" x14ac:dyDescent="0.3">
      <c r="A106" t="s">
        <v>178</v>
      </c>
      <c r="B106" s="1">
        <v>45313</v>
      </c>
      <c r="C106">
        <v>2024</v>
      </c>
      <c r="D106" t="s">
        <v>22</v>
      </c>
      <c r="E106" t="s">
        <v>23</v>
      </c>
      <c r="F106" t="s">
        <v>31</v>
      </c>
      <c r="G106" t="s">
        <v>49</v>
      </c>
      <c r="H106" t="s">
        <v>32</v>
      </c>
      <c r="I106" t="s">
        <v>42</v>
      </c>
      <c r="J106" t="s">
        <v>76</v>
      </c>
      <c r="K106">
        <v>3</v>
      </c>
      <c r="L106" s="2">
        <v>90.75</v>
      </c>
      <c r="M106" s="3">
        <v>0.2</v>
      </c>
      <c r="N106" t="s">
        <v>34</v>
      </c>
      <c r="O106" s="2">
        <v>217.8</v>
      </c>
      <c r="P106" s="2">
        <v>176.29</v>
      </c>
      <c r="Q106" s="2">
        <v>41.51</v>
      </c>
      <c r="R106">
        <v>1</v>
      </c>
      <c r="S106">
        <v>0</v>
      </c>
      <c r="T106">
        <v>4</v>
      </c>
      <c r="U106">
        <v>4</v>
      </c>
    </row>
    <row r="107" spans="1:21" ht="16.5" x14ac:dyDescent="0.3">
      <c r="A107" t="s">
        <v>179</v>
      </c>
      <c r="B107" s="1">
        <v>45313</v>
      </c>
      <c r="C107">
        <v>2024</v>
      </c>
      <c r="D107" t="s">
        <v>22</v>
      </c>
      <c r="E107" t="s">
        <v>23</v>
      </c>
      <c r="F107" t="s">
        <v>31</v>
      </c>
      <c r="G107" t="s">
        <v>49</v>
      </c>
      <c r="H107" t="s">
        <v>32</v>
      </c>
      <c r="I107" t="s">
        <v>70</v>
      </c>
      <c r="J107" t="s">
        <v>87</v>
      </c>
      <c r="K107">
        <v>1</v>
      </c>
      <c r="L107" s="2">
        <v>490.3</v>
      </c>
      <c r="M107" s="3">
        <v>0.1</v>
      </c>
      <c r="N107" t="s">
        <v>29</v>
      </c>
      <c r="O107" s="2">
        <v>441.27</v>
      </c>
      <c r="P107" s="2">
        <v>402</v>
      </c>
      <c r="Q107" s="2">
        <v>39.270000000000003</v>
      </c>
      <c r="R107">
        <v>1</v>
      </c>
      <c r="S107">
        <v>1</v>
      </c>
      <c r="T107">
        <v>4</v>
      </c>
      <c r="U107">
        <v>3</v>
      </c>
    </row>
    <row r="108" spans="1:21" ht="16.5" x14ac:dyDescent="0.3">
      <c r="A108" t="s">
        <v>180</v>
      </c>
      <c r="B108" s="1">
        <v>45313</v>
      </c>
      <c r="C108">
        <v>2024</v>
      </c>
      <c r="D108" t="s">
        <v>22</v>
      </c>
      <c r="E108" t="s">
        <v>23</v>
      </c>
      <c r="F108" t="s">
        <v>24</v>
      </c>
      <c r="G108" t="s">
        <v>46</v>
      </c>
      <c r="H108" t="s">
        <v>32</v>
      </c>
      <c r="I108" t="s">
        <v>70</v>
      </c>
      <c r="J108" t="s">
        <v>82</v>
      </c>
      <c r="K108">
        <v>1</v>
      </c>
      <c r="L108" s="2">
        <v>508.8</v>
      </c>
      <c r="M108" s="3">
        <v>0.2</v>
      </c>
      <c r="N108" t="s">
        <v>34</v>
      </c>
      <c r="O108" s="2">
        <v>407.04</v>
      </c>
      <c r="P108" s="2">
        <v>412.76</v>
      </c>
      <c r="Q108" s="2">
        <v>-5.72</v>
      </c>
      <c r="R108">
        <v>1</v>
      </c>
      <c r="S108">
        <v>1</v>
      </c>
      <c r="T108">
        <v>6</v>
      </c>
      <c r="U108">
        <v>3</v>
      </c>
    </row>
    <row r="109" spans="1:21" ht="16.5" x14ac:dyDescent="0.3">
      <c r="A109" t="s">
        <v>181</v>
      </c>
      <c r="B109" s="1">
        <v>45313</v>
      </c>
      <c r="C109">
        <v>2024</v>
      </c>
      <c r="D109" t="s">
        <v>22</v>
      </c>
      <c r="E109" t="s">
        <v>23</v>
      </c>
      <c r="F109" t="s">
        <v>24</v>
      </c>
      <c r="G109" t="s">
        <v>49</v>
      </c>
      <c r="H109" t="s">
        <v>32</v>
      </c>
      <c r="I109" t="s">
        <v>67</v>
      </c>
      <c r="J109" t="s">
        <v>174</v>
      </c>
      <c r="K109">
        <v>1</v>
      </c>
      <c r="L109" s="2">
        <v>137.05000000000001</v>
      </c>
      <c r="M109" s="3">
        <v>0.05</v>
      </c>
      <c r="N109" t="s">
        <v>29</v>
      </c>
      <c r="O109" s="2">
        <v>130.19999999999999</v>
      </c>
      <c r="P109" s="2">
        <v>91.86</v>
      </c>
      <c r="Q109" s="2">
        <v>38.340000000000003</v>
      </c>
      <c r="R109">
        <v>1</v>
      </c>
      <c r="S109">
        <v>0</v>
      </c>
      <c r="T109">
        <v>4</v>
      </c>
      <c r="U109">
        <v>5</v>
      </c>
    </row>
    <row r="110" spans="1:21" ht="16.5" x14ac:dyDescent="0.3">
      <c r="A110" t="s">
        <v>182</v>
      </c>
      <c r="B110" s="1">
        <v>45313</v>
      </c>
      <c r="C110">
        <v>2024</v>
      </c>
      <c r="D110" t="s">
        <v>22</v>
      </c>
      <c r="E110" t="s">
        <v>23</v>
      </c>
      <c r="F110" t="s">
        <v>45</v>
      </c>
      <c r="G110" t="s">
        <v>65</v>
      </c>
      <c r="H110" t="s">
        <v>32</v>
      </c>
      <c r="I110" t="s">
        <v>67</v>
      </c>
      <c r="J110" t="s">
        <v>78</v>
      </c>
      <c r="K110">
        <v>1</v>
      </c>
      <c r="L110" s="2">
        <v>85.42</v>
      </c>
      <c r="M110" s="3">
        <v>0</v>
      </c>
      <c r="N110" t="s">
        <v>38</v>
      </c>
      <c r="O110" s="2">
        <v>85.42</v>
      </c>
      <c r="P110" s="2">
        <v>59.27</v>
      </c>
      <c r="Q110" s="2">
        <v>26.15</v>
      </c>
      <c r="R110">
        <v>1</v>
      </c>
      <c r="S110">
        <v>0</v>
      </c>
      <c r="T110">
        <v>5</v>
      </c>
      <c r="U110">
        <v>5</v>
      </c>
    </row>
    <row r="111" spans="1:21" ht="16.5" x14ac:dyDescent="0.3">
      <c r="A111" t="s">
        <v>183</v>
      </c>
      <c r="B111" s="1">
        <v>45313</v>
      </c>
      <c r="C111">
        <v>2024</v>
      </c>
      <c r="D111" t="s">
        <v>22</v>
      </c>
      <c r="E111" t="s">
        <v>23</v>
      </c>
      <c r="F111" t="s">
        <v>24</v>
      </c>
      <c r="G111" t="s">
        <v>25</v>
      </c>
      <c r="H111" t="s">
        <v>26</v>
      </c>
      <c r="I111" t="s">
        <v>70</v>
      </c>
      <c r="J111" t="s">
        <v>162</v>
      </c>
      <c r="K111">
        <v>4</v>
      </c>
      <c r="L111" s="2">
        <v>636.09</v>
      </c>
      <c r="M111" s="3">
        <v>0.1</v>
      </c>
      <c r="N111" t="s">
        <v>29</v>
      </c>
      <c r="O111" s="2">
        <v>2289.92</v>
      </c>
      <c r="P111" s="2">
        <v>2082.54</v>
      </c>
      <c r="Q111" s="2">
        <v>207.38</v>
      </c>
      <c r="R111">
        <v>1</v>
      </c>
      <c r="S111">
        <v>1</v>
      </c>
      <c r="T111">
        <v>3</v>
      </c>
      <c r="U111">
        <v>3</v>
      </c>
    </row>
    <row r="112" spans="1:21" ht="16.5" x14ac:dyDescent="0.3">
      <c r="A112" t="s">
        <v>184</v>
      </c>
      <c r="B112" s="1">
        <v>45314</v>
      </c>
      <c r="C112">
        <v>2024</v>
      </c>
      <c r="D112" t="s">
        <v>22</v>
      </c>
      <c r="E112" t="s">
        <v>23</v>
      </c>
      <c r="F112" t="s">
        <v>45</v>
      </c>
      <c r="G112" t="s">
        <v>46</v>
      </c>
      <c r="H112" t="s">
        <v>26</v>
      </c>
      <c r="I112" t="s">
        <v>42</v>
      </c>
      <c r="J112" t="s">
        <v>76</v>
      </c>
      <c r="K112">
        <v>2</v>
      </c>
      <c r="L112" s="2">
        <v>90.75</v>
      </c>
      <c r="M112" s="3">
        <v>0.15</v>
      </c>
      <c r="N112" t="s">
        <v>34</v>
      </c>
      <c r="O112" s="2">
        <v>154.28</v>
      </c>
      <c r="P112" s="2">
        <v>125.03</v>
      </c>
      <c r="Q112" s="2">
        <v>29.25</v>
      </c>
      <c r="R112">
        <v>1</v>
      </c>
      <c r="S112">
        <v>1</v>
      </c>
      <c r="T112">
        <v>5</v>
      </c>
      <c r="U112">
        <v>3</v>
      </c>
    </row>
    <row r="113" spans="1:21" ht="16.5" x14ac:dyDescent="0.3">
      <c r="A113" t="s">
        <v>185</v>
      </c>
      <c r="B113" s="1">
        <v>45314</v>
      </c>
      <c r="C113">
        <v>2024</v>
      </c>
      <c r="D113" t="s">
        <v>22</v>
      </c>
      <c r="E113" t="s">
        <v>23</v>
      </c>
      <c r="F113" t="s">
        <v>24</v>
      </c>
      <c r="G113" t="s">
        <v>25</v>
      </c>
      <c r="H113" t="s">
        <v>32</v>
      </c>
      <c r="I113" t="s">
        <v>84</v>
      </c>
      <c r="J113" t="s">
        <v>106</v>
      </c>
      <c r="K113">
        <v>1</v>
      </c>
      <c r="L113" s="2">
        <v>45.28</v>
      </c>
      <c r="M113" s="3">
        <v>0.2</v>
      </c>
      <c r="N113" t="s">
        <v>34</v>
      </c>
      <c r="O113" s="2">
        <v>36.22</v>
      </c>
      <c r="P113" s="2">
        <v>34.68</v>
      </c>
      <c r="Q113" s="2">
        <v>1.54</v>
      </c>
      <c r="R113">
        <v>1</v>
      </c>
      <c r="S113">
        <v>0</v>
      </c>
      <c r="T113">
        <v>3</v>
      </c>
      <c r="U113">
        <v>4</v>
      </c>
    </row>
    <row r="114" spans="1:21" ht="16.5" x14ac:dyDescent="0.3">
      <c r="A114" t="s">
        <v>186</v>
      </c>
      <c r="B114" s="1">
        <v>45314</v>
      </c>
      <c r="C114">
        <v>2024</v>
      </c>
      <c r="D114" t="s">
        <v>22</v>
      </c>
      <c r="E114" t="s">
        <v>23</v>
      </c>
      <c r="F114" t="s">
        <v>24</v>
      </c>
      <c r="G114" t="s">
        <v>25</v>
      </c>
      <c r="H114" t="s">
        <v>26</v>
      </c>
      <c r="I114" t="s">
        <v>84</v>
      </c>
      <c r="J114" t="s">
        <v>85</v>
      </c>
      <c r="K114">
        <v>1</v>
      </c>
      <c r="L114" s="2">
        <v>57.92</v>
      </c>
      <c r="M114" s="3">
        <v>0.1</v>
      </c>
      <c r="N114" t="s">
        <v>29</v>
      </c>
      <c r="O114" s="2">
        <v>52.13</v>
      </c>
      <c r="P114" s="2">
        <v>43.31</v>
      </c>
      <c r="Q114" s="2">
        <v>8.82</v>
      </c>
      <c r="R114">
        <v>1</v>
      </c>
      <c r="S114">
        <v>0</v>
      </c>
      <c r="T114">
        <v>5</v>
      </c>
      <c r="U114">
        <v>5</v>
      </c>
    </row>
    <row r="115" spans="1:21" ht="16.5" x14ac:dyDescent="0.3">
      <c r="A115" t="s">
        <v>187</v>
      </c>
      <c r="B115" s="1">
        <v>45314</v>
      </c>
      <c r="C115">
        <v>2024</v>
      </c>
      <c r="D115" t="s">
        <v>22</v>
      </c>
      <c r="E115" t="s">
        <v>23</v>
      </c>
      <c r="F115" t="s">
        <v>31</v>
      </c>
      <c r="G115" t="s">
        <v>49</v>
      </c>
      <c r="H115" t="s">
        <v>26</v>
      </c>
      <c r="I115" t="s">
        <v>27</v>
      </c>
      <c r="J115" t="s">
        <v>28</v>
      </c>
      <c r="K115">
        <v>2</v>
      </c>
      <c r="L115" s="2">
        <v>138.5</v>
      </c>
      <c r="M115" s="3">
        <v>0</v>
      </c>
      <c r="N115" t="s">
        <v>38</v>
      </c>
      <c r="O115" s="2">
        <v>277</v>
      </c>
      <c r="P115" s="2">
        <v>140.58000000000001</v>
      </c>
      <c r="Q115" s="2">
        <v>136.41999999999999</v>
      </c>
      <c r="R115">
        <v>1</v>
      </c>
      <c r="S115">
        <v>0</v>
      </c>
      <c r="T115">
        <v>4</v>
      </c>
      <c r="U115">
        <v>4</v>
      </c>
    </row>
    <row r="116" spans="1:21" ht="16.5" x14ac:dyDescent="0.3">
      <c r="A116" t="s">
        <v>188</v>
      </c>
      <c r="B116" s="1">
        <v>45314</v>
      </c>
      <c r="C116">
        <v>2024</v>
      </c>
      <c r="D116" t="s">
        <v>22</v>
      </c>
      <c r="E116" t="s">
        <v>23</v>
      </c>
      <c r="F116" t="s">
        <v>24</v>
      </c>
      <c r="G116" t="s">
        <v>49</v>
      </c>
      <c r="H116" t="s">
        <v>26</v>
      </c>
      <c r="I116" t="s">
        <v>70</v>
      </c>
      <c r="J116" t="s">
        <v>82</v>
      </c>
      <c r="K116">
        <v>1</v>
      </c>
      <c r="L116" s="2">
        <v>508.8</v>
      </c>
      <c r="M116" s="3">
        <v>0.1</v>
      </c>
      <c r="N116" t="s">
        <v>29</v>
      </c>
      <c r="O116" s="2">
        <v>457.92</v>
      </c>
      <c r="P116" s="2">
        <v>395.62</v>
      </c>
      <c r="Q116" s="2">
        <v>62.3</v>
      </c>
      <c r="R116">
        <v>1</v>
      </c>
      <c r="S116">
        <v>0</v>
      </c>
      <c r="T116">
        <v>4</v>
      </c>
      <c r="U116">
        <v>5</v>
      </c>
    </row>
    <row r="117" spans="1:21" ht="16.5" x14ac:dyDescent="0.3">
      <c r="A117" t="s">
        <v>189</v>
      </c>
      <c r="B117" s="1">
        <v>45314</v>
      </c>
      <c r="C117">
        <v>2024</v>
      </c>
      <c r="D117" t="s">
        <v>22</v>
      </c>
      <c r="E117" t="s">
        <v>23</v>
      </c>
      <c r="F117" t="s">
        <v>24</v>
      </c>
      <c r="G117" t="s">
        <v>25</v>
      </c>
      <c r="H117" t="s">
        <v>32</v>
      </c>
      <c r="I117" t="s">
        <v>36</v>
      </c>
      <c r="J117" t="s">
        <v>56</v>
      </c>
      <c r="K117">
        <v>1</v>
      </c>
      <c r="L117" s="2">
        <v>74.3</v>
      </c>
      <c r="M117" s="3">
        <v>0.25</v>
      </c>
      <c r="N117" t="s">
        <v>62</v>
      </c>
      <c r="O117" s="2">
        <v>55.72</v>
      </c>
      <c r="P117" s="2">
        <v>35.39</v>
      </c>
      <c r="Q117" s="2">
        <v>20.329999999999998</v>
      </c>
      <c r="R117">
        <v>1</v>
      </c>
      <c r="S117">
        <v>1</v>
      </c>
      <c r="T117">
        <v>4</v>
      </c>
      <c r="U117">
        <v>4</v>
      </c>
    </row>
    <row r="118" spans="1:21" ht="16.5" x14ac:dyDescent="0.3">
      <c r="A118" t="s">
        <v>190</v>
      </c>
      <c r="B118" s="1">
        <v>45315</v>
      </c>
      <c r="C118">
        <v>2024</v>
      </c>
      <c r="D118" t="s">
        <v>22</v>
      </c>
      <c r="E118" t="s">
        <v>23</v>
      </c>
      <c r="F118" t="s">
        <v>24</v>
      </c>
      <c r="G118" t="s">
        <v>51</v>
      </c>
      <c r="H118" t="s">
        <v>32</v>
      </c>
      <c r="I118" t="s">
        <v>27</v>
      </c>
      <c r="J118" t="s">
        <v>28</v>
      </c>
      <c r="K118">
        <v>1</v>
      </c>
      <c r="L118" s="2">
        <v>138.5</v>
      </c>
      <c r="M118" s="3">
        <v>0.05</v>
      </c>
      <c r="N118" t="s">
        <v>29</v>
      </c>
      <c r="O118" s="2">
        <v>131.57</v>
      </c>
      <c r="P118" s="2">
        <v>74.760000000000005</v>
      </c>
      <c r="Q118" s="2">
        <v>56.81</v>
      </c>
      <c r="R118">
        <v>1</v>
      </c>
      <c r="S118">
        <v>0</v>
      </c>
      <c r="T118">
        <v>3</v>
      </c>
      <c r="U118">
        <v>4</v>
      </c>
    </row>
    <row r="119" spans="1:21" ht="16.5" x14ac:dyDescent="0.3">
      <c r="A119" t="s">
        <v>191</v>
      </c>
      <c r="B119" s="1">
        <v>45315</v>
      </c>
      <c r="C119">
        <v>2024</v>
      </c>
      <c r="D119" t="s">
        <v>22</v>
      </c>
      <c r="E119" t="s">
        <v>23</v>
      </c>
      <c r="F119" t="s">
        <v>31</v>
      </c>
      <c r="G119" t="s">
        <v>25</v>
      </c>
      <c r="H119" t="s">
        <v>32</v>
      </c>
      <c r="I119" t="s">
        <v>27</v>
      </c>
      <c r="J119" t="s">
        <v>47</v>
      </c>
      <c r="K119">
        <v>1</v>
      </c>
      <c r="L119" s="2">
        <v>33.99</v>
      </c>
      <c r="M119" s="3">
        <v>0.15</v>
      </c>
      <c r="N119" t="s">
        <v>34</v>
      </c>
      <c r="O119" s="2">
        <v>28.89</v>
      </c>
      <c r="P119" s="2">
        <v>18.43</v>
      </c>
      <c r="Q119" s="2">
        <v>10.46</v>
      </c>
      <c r="R119">
        <v>1</v>
      </c>
      <c r="S119">
        <v>0</v>
      </c>
      <c r="T119">
        <v>3</v>
      </c>
      <c r="U119">
        <v>3</v>
      </c>
    </row>
    <row r="120" spans="1:21" ht="16.5" x14ac:dyDescent="0.3">
      <c r="A120" t="s">
        <v>192</v>
      </c>
      <c r="B120" s="1">
        <v>45315</v>
      </c>
      <c r="C120">
        <v>2024</v>
      </c>
      <c r="D120" t="s">
        <v>22</v>
      </c>
      <c r="E120" t="s">
        <v>23</v>
      </c>
      <c r="F120" t="s">
        <v>24</v>
      </c>
      <c r="G120" t="s">
        <v>51</v>
      </c>
      <c r="H120" t="s">
        <v>26</v>
      </c>
      <c r="I120" t="s">
        <v>84</v>
      </c>
      <c r="J120" t="s">
        <v>132</v>
      </c>
      <c r="K120">
        <v>1</v>
      </c>
      <c r="L120" s="2">
        <v>48.86</v>
      </c>
      <c r="M120" s="3">
        <v>0</v>
      </c>
      <c r="N120" t="s">
        <v>38</v>
      </c>
      <c r="O120" s="2">
        <v>48.86</v>
      </c>
      <c r="P120" s="2">
        <v>34.229999999999997</v>
      </c>
      <c r="Q120" s="2">
        <v>14.63</v>
      </c>
      <c r="R120">
        <v>1</v>
      </c>
      <c r="S120">
        <v>0</v>
      </c>
      <c r="T120">
        <v>3</v>
      </c>
      <c r="U120">
        <v>5</v>
      </c>
    </row>
    <row r="121" spans="1:21" ht="16.5" x14ac:dyDescent="0.3">
      <c r="A121" t="s">
        <v>193</v>
      </c>
      <c r="B121" s="1">
        <v>45315</v>
      </c>
      <c r="C121">
        <v>2024</v>
      </c>
      <c r="D121" t="s">
        <v>22</v>
      </c>
      <c r="E121" t="s">
        <v>23</v>
      </c>
      <c r="F121" t="s">
        <v>45</v>
      </c>
      <c r="G121" t="s">
        <v>46</v>
      </c>
      <c r="H121" t="s">
        <v>32</v>
      </c>
      <c r="I121" t="s">
        <v>42</v>
      </c>
      <c r="J121" t="s">
        <v>43</v>
      </c>
      <c r="K121">
        <v>1</v>
      </c>
      <c r="L121" s="2">
        <v>154.66</v>
      </c>
      <c r="M121" s="3">
        <v>0.2</v>
      </c>
      <c r="N121" t="s">
        <v>34</v>
      </c>
      <c r="O121" s="2">
        <v>123.73</v>
      </c>
      <c r="P121" s="2">
        <v>100.89</v>
      </c>
      <c r="Q121" s="2">
        <v>22.84</v>
      </c>
      <c r="R121">
        <v>1</v>
      </c>
      <c r="S121">
        <v>0</v>
      </c>
      <c r="T121">
        <v>7</v>
      </c>
      <c r="U121">
        <v>4</v>
      </c>
    </row>
    <row r="122" spans="1:21" ht="16.5" x14ac:dyDescent="0.3">
      <c r="A122" t="s">
        <v>194</v>
      </c>
      <c r="B122" s="1">
        <v>45315</v>
      </c>
      <c r="C122">
        <v>2024</v>
      </c>
      <c r="D122" t="s">
        <v>22</v>
      </c>
      <c r="E122" t="s">
        <v>23</v>
      </c>
      <c r="F122" t="s">
        <v>31</v>
      </c>
      <c r="G122" t="s">
        <v>49</v>
      </c>
      <c r="H122" t="s">
        <v>32</v>
      </c>
      <c r="I122" t="s">
        <v>36</v>
      </c>
      <c r="J122" t="s">
        <v>52</v>
      </c>
      <c r="K122">
        <v>1</v>
      </c>
      <c r="L122" s="2">
        <v>92.54</v>
      </c>
      <c r="M122" s="3">
        <v>0</v>
      </c>
      <c r="N122" t="s">
        <v>38</v>
      </c>
      <c r="O122" s="2">
        <v>92.54</v>
      </c>
      <c r="P122" s="2">
        <v>46.93</v>
      </c>
      <c r="Q122" s="2">
        <v>45.61</v>
      </c>
      <c r="R122">
        <v>1</v>
      </c>
      <c r="S122">
        <v>0</v>
      </c>
      <c r="T122">
        <v>4</v>
      </c>
      <c r="U122">
        <v>4</v>
      </c>
    </row>
    <row r="123" spans="1:21" ht="16.5" x14ac:dyDescent="0.3">
      <c r="A123" t="s">
        <v>195</v>
      </c>
      <c r="B123" s="1">
        <v>45315</v>
      </c>
      <c r="C123">
        <v>2024</v>
      </c>
      <c r="D123" t="s">
        <v>22</v>
      </c>
      <c r="E123" t="s">
        <v>23</v>
      </c>
      <c r="F123" t="s">
        <v>24</v>
      </c>
      <c r="G123" t="s">
        <v>25</v>
      </c>
      <c r="H123" t="s">
        <v>32</v>
      </c>
      <c r="I123" t="s">
        <v>84</v>
      </c>
      <c r="J123" t="s">
        <v>106</v>
      </c>
      <c r="K123">
        <v>1</v>
      </c>
      <c r="L123" s="2">
        <v>45.28</v>
      </c>
      <c r="M123" s="3">
        <v>0.2</v>
      </c>
      <c r="N123" t="s">
        <v>34</v>
      </c>
      <c r="O123" s="2">
        <v>36.22</v>
      </c>
      <c r="P123" s="2">
        <v>32.380000000000003</v>
      </c>
      <c r="Q123" s="2">
        <v>3.84</v>
      </c>
      <c r="R123">
        <v>1</v>
      </c>
      <c r="S123">
        <v>0</v>
      </c>
      <c r="T123">
        <v>3</v>
      </c>
      <c r="U123">
        <v>5</v>
      </c>
    </row>
    <row r="124" spans="1:21" ht="16.5" x14ac:dyDescent="0.3">
      <c r="A124" t="s">
        <v>196</v>
      </c>
      <c r="B124" s="1">
        <v>45315</v>
      </c>
      <c r="C124">
        <v>2024</v>
      </c>
      <c r="D124" t="s">
        <v>22</v>
      </c>
      <c r="E124" t="s">
        <v>23</v>
      </c>
      <c r="F124" t="s">
        <v>24</v>
      </c>
      <c r="G124" t="s">
        <v>51</v>
      </c>
      <c r="H124" t="s">
        <v>32</v>
      </c>
      <c r="I124" t="s">
        <v>36</v>
      </c>
      <c r="J124" t="s">
        <v>126</v>
      </c>
      <c r="K124">
        <v>2</v>
      </c>
      <c r="L124" s="2">
        <v>54.56</v>
      </c>
      <c r="M124" s="3">
        <v>0</v>
      </c>
      <c r="N124" t="s">
        <v>38</v>
      </c>
      <c r="O124" s="2">
        <v>109.12</v>
      </c>
      <c r="P124" s="2">
        <v>55.64</v>
      </c>
      <c r="Q124" s="2">
        <v>53.48</v>
      </c>
      <c r="R124">
        <v>1</v>
      </c>
      <c r="S124">
        <v>0</v>
      </c>
      <c r="T124">
        <v>5</v>
      </c>
      <c r="U124">
        <v>4</v>
      </c>
    </row>
    <row r="125" spans="1:21" ht="16.5" x14ac:dyDescent="0.3">
      <c r="A125" t="s">
        <v>197</v>
      </c>
      <c r="B125" s="1">
        <v>45315</v>
      </c>
      <c r="C125">
        <v>2024</v>
      </c>
      <c r="D125" t="s">
        <v>22</v>
      </c>
      <c r="E125" t="s">
        <v>23</v>
      </c>
      <c r="F125" t="s">
        <v>24</v>
      </c>
      <c r="G125" t="s">
        <v>25</v>
      </c>
      <c r="H125" t="s">
        <v>26</v>
      </c>
      <c r="I125" t="s">
        <v>42</v>
      </c>
      <c r="J125" t="s">
        <v>89</v>
      </c>
      <c r="K125">
        <v>2</v>
      </c>
      <c r="L125" s="2">
        <v>68.349999999999994</v>
      </c>
      <c r="M125" s="3">
        <v>0.15</v>
      </c>
      <c r="N125" t="s">
        <v>34</v>
      </c>
      <c r="O125" s="2">
        <v>116.2</v>
      </c>
      <c r="P125" s="2">
        <v>88.26</v>
      </c>
      <c r="Q125" s="2">
        <v>27.94</v>
      </c>
      <c r="R125">
        <v>1</v>
      </c>
      <c r="S125">
        <v>0</v>
      </c>
      <c r="T125">
        <v>3</v>
      </c>
      <c r="U125">
        <v>5</v>
      </c>
    </row>
    <row r="126" spans="1:21" ht="16.5" x14ac:dyDescent="0.3">
      <c r="A126" t="s">
        <v>198</v>
      </c>
      <c r="B126" s="1">
        <v>45315</v>
      </c>
      <c r="C126">
        <v>2024</v>
      </c>
      <c r="D126" t="s">
        <v>22</v>
      </c>
      <c r="E126" t="s">
        <v>23</v>
      </c>
      <c r="F126" t="s">
        <v>45</v>
      </c>
      <c r="G126" t="s">
        <v>46</v>
      </c>
      <c r="H126" t="s">
        <v>26</v>
      </c>
      <c r="I126" t="s">
        <v>42</v>
      </c>
      <c r="J126" t="s">
        <v>54</v>
      </c>
      <c r="K126">
        <v>2</v>
      </c>
      <c r="L126" s="2">
        <v>148.05000000000001</v>
      </c>
      <c r="M126" s="3">
        <v>0.15</v>
      </c>
      <c r="N126" t="s">
        <v>34</v>
      </c>
      <c r="O126" s="2">
        <v>251.68</v>
      </c>
      <c r="P126" s="2">
        <v>195.81</v>
      </c>
      <c r="Q126" s="2">
        <v>55.87</v>
      </c>
      <c r="R126">
        <v>1</v>
      </c>
      <c r="S126">
        <v>0</v>
      </c>
      <c r="T126">
        <v>12</v>
      </c>
      <c r="U126">
        <v>3</v>
      </c>
    </row>
    <row r="127" spans="1:21" ht="16.5" x14ac:dyDescent="0.3">
      <c r="A127" t="s">
        <v>199</v>
      </c>
      <c r="B127" s="1">
        <v>45316</v>
      </c>
      <c r="C127">
        <v>2024</v>
      </c>
      <c r="D127" t="s">
        <v>22</v>
      </c>
      <c r="E127" t="s">
        <v>23</v>
      </c>
      <c r="F127" t="s">
        <v>24</v>
      </c>
      <c r="G127" t="s">
        <v>25</v>
      </c>
      <c r="H127" t="s">
        <v>32</v>
      </c>
      <c r="I127" t="s">
        <v>42</v>
      </c>
      <c r="J127" t="s">
        <v>43</v>
      </c>
      <c r="K127">
        <v>1</v>
      </c>
      <c r="L127" s="2">
        <v>154.66</v>
      </c>
      <c r="M127" s="3">
        <v>0.05</v>
      </c>
      <c r="N127" t="s">
        <v>29</v>
      </c>
      <c r="O127" s="2">
        <v>146.93</v>
      </c>
      <c r="P127" s="2">
        <v>105.79</v>
      </c>
      <c r="Q127" s="2">
        <v>41.14</v>
      </c>
      <c r="R127">
        <v>1</v>
      </c>
      <c r="S127">
        <v>0</v>
      </c>
      <c r="T127">
        <v>5</v>
      </c>
      <c r="U127">
        <v>4</v>
      </c>
    </row>
    <row r="128" spans="1:21" ht="16.5" x14ac:dyDescent="0.3">
      <c r="A128" t="s">
        <v>200</v>
      </c>
      <c r="B128" s="1">
        <v>45316</v>
      </c>
      <c r="C128">
        <v>2024</v>
      </c>
      <c r="D128" t="s">
        <v>22</v>
      </c>
      <c r="E128" t="s">
        <v>23</v>
      </c>
      <c r="F128" t="s">
        <v>24</v>
      </c>
      <c r="G128" t="s">
        <v>49</v>
      </c>
      <c r="H128" t="s">
        <v>26</v>
      </c>
      <c r="I128" t="s">
        <v>42</v>
      </c>
      <c r="J128" t="s">
        <v>98</v>
      </c>
      <c r="K128">
        <v>1</v>
      </c>
      <c r="L128" s="2">
        <v>117.63</v>
      </c>
      <c r="M128" s="3">
        <v>0</v>
      </c>
      <c r="N128" t="s">
        <v>38</v>
      </c>
      <c r="O128" s="2">
        <v>117.63</v>
      </c>
      <c r="P128" s="2">
        <v>76.52</v>
      </c>
      <c r="Q128" s="2">
        <v>41.11</v>
      </c>
      <c r="R128">
        <v>1</v>
      </c>
      <c r="S128">
        <v>0</v>
      </c>
      <c r="T128">
        <v>4</v>
      </c>
      <c r="U128">
        <v>5</v>
      </c>
    </row>
    <row r="129" spans="1:21" ht="16.5" x14ac:dyDescent="0.3">
      <c r="A129" t="s">
        <v>201</v>
      </c>
      <c r="B129" s="1">
        <v>45316</v>
      </c>
      <c r="C129">
        <v>2024</v>
      </c>
      <c r="D129" t="s">
        <v>22</v>
      </c>
      <c r="E129" t="s">
        <v>23</v>
      </c>
      <c r="F129" t="s">
        <v>24</v>
      </c>
      <c r="G129" t="s">
        <v>51</v>
      </c>
      <c r="H129" t="s">
        <v>32</v>
      </c>
      <c r="I129" t="s">
        <v>27</v>
      </c>
      <c r="J129" t="s">
        <v>47</v>
      </c>
      <c r="K129">
        <v>2</v>
      </c>
      <c r="L129" s="2">
        <v>33.99</v>
      </c>
      <c r="M129" s="3">
        <v>0</v>
      </c>
      <c r="N129" t="s">
        <v>38</v>
      </c>
      <c r="O129" s="2">
        <v>67.98</v>
      </c>
      <c r="P129" s="2">
        <v>38.21</v>
      </c>
      <c r="Q129" s="2">
        <v>29.77</v>
      </c>
      <c r="R129">
        <v>1</v>
      </c>
      <c r="S129">
        <v>0</v>
      </c>
      <c r="T129">
        <v>2</v>
      </c>
      <c r="U129">
        <v>3</v>
      </c>
    </row>
    <row r="130" spans="1:21" ht="16.5" x14ac:dyDescent="0.3">
      <c r="A130" t="s">
        <v>202</v>
      </c>
      <c r="B130" s="1">
        <v>45316</v>
      </c>
      <c r="C130">
        <v>2024</v>
      </c>
      <c r="D130" t="s">
        <v>22</v>
      </c>
      <c r="E130" t="s">
        <v>23</v>
      </c>
      <c r="F130" t="s">
        <v>45</v>
      </c>
      <c r="G130" t="s">
        <v>25</v>
      </c>
      <c r="H130" t="s">
        <v>32</v>
      </c>
      <c r="I130" t="s">
        <v>27</v>
      </c>
      <c r="J130" t="s">
        <v>33</v>
      </c>
      <c r="K130">
        <v>1</v>
      </c>
      <c r="L130" s="2">
        <v>78.510000000000005</v>
      </c>
      <c r="M130" s="3">
        <v>0</v>
      </c>
      <c r="N130" t="s">
        <v>38</v>
      </c>
      <c r="O130" s="2">
        <v>78.510000000000005</v>
      </c>
      <c r="P130" s="2">
        <v>39.75</v>
      </c>
      <c r="Q130" s="2">
        <v>38.76</v>
      </c>
      <c r="R130">
        <v>1</v>
      </c>
      <c r="S130">
        <v>0</v>
      </c>
      <c r="T130">
        <v>4</v>
      </c>
      <c r="U130">
        <v>5</v>
      </c>
    </row>
    <row r="131" spans="1:21" ht="16.5" x14ac:dyDescent="0.3">
      <c r="A131" t="s">
        <v>203</v>
      </c>
      <c r="B131" s="1">
        <v>45316</v>
      </c>
      <c r="C131">
        <v>2024</v>
      </c>
      <c r="D131" t="s">
        <v>22</v>
      </c>
      <c r="E131" t="s">
        <v>23</v>
      </c>
      <c r="F131" t="s">
        <v>24</v>
      </c>
      <c r="G131" t="s">
        <v>25</v>
      </c>
      <c r="H131" t="s">
        <v>32</v>
      </c>
      <c r="I131" t="s">
        <v>70</v>
      </c>
      <c r="J131" t="s">
        <v>71</v>
      </c>
      <c r="K131">
        <v>4</v>
      </c>
      <c r="L131" s="2">
        <v>588.41</v>
      </c>
      <c r="M131" s="3">
        <v>0.05</v>
      </c>
      <c r="N131" t="s">
        <v>29</v>
      </c>
      <c r="O131" s="2">
        <v>2235.96</v>
      </c>
      <c r="P131" s="2">
        <v>1884.11</v>
      </c>
      <c r="Q131" s="2">
        <v>351.85</v>
      </c>
      <c r="R131">
        <v>1</v>
      </c>
      <c r="S131">
        <v>0</v>
      </c>
      <c r="T131">
        <v>4</v>
      </c>
      <c r="U131">
        <v>5</v>
      </c>
    </row>
    <row r="132" spans="1:21" ht="16.5" x14ac:dyDescent="0.3">
      <c r="A132" t="s">
        <v>204</v>
      </c>
      <c r="B132" s="1">
        <v>45316</v>
      </c>
      <c r="C132">
        <v>2024</v>
      </c>
      <c r="D132" t="s">
        <v>22</v>
      </c>
      <c r="E132" t="s">
        <v>23</v>
      </c>
      <c r="F132" t="s">
        <v>45</v>
      </c>
      <c r="G132" t="s">
        <v>25</v>
      </c>
      <c r="H132" t="s">
        <v>32</v>
      </c>
      <c r="I132" t="s">
        <v>42</v>
      </c>
      <c r="J132" t="s">
        <v>58</v>
      </c>
      <c r="K132">
        <v>2</v>
      </c>
      <c r="L132" s="2">
        <v>233.81</v>
      </c>
      <c r="M132" s="3">
        <v>0.1</v>
      </c>
      <c r="N132" t="s">
        <v>29</v>
      </c>
      <c r="O132" s="2">
        <v>420.86</v>
      </c>
      <c r="P132" s="2">
        <v>308.54000000000002</v>
      </c>
      <c r="Q132" s="2">
        <v>112.32</v>
      </c>
      <c r="R132">
        <v>1</v>
      </c>
      <c r="S132">
        <v>0</v>
      </c>
      <c r="T132">
        <v>5</v>
      </c>
      <c r="U132">
        <v>4</v>
      </c>
    </row>
    <row r="133" spans="1:21" ht="16.5" x14ac:dyDescent="0.3">
      <c r="A133" t="s">
        <v>205</v>
      </c>
      <c r="B133" s="1">
        <v>45316</v>
      </c>
      <c r="C133">
        <v>2024</v>
      </c>
      <c r="D133" t="s">
        <v>22</v>
      </c>
      <c r="E133" t="s">
        <v>23</v>
      </c>
      <c r="F133" t="s">
        <v>24</v>
      </c>
      <c r="G133" t="s">
        <v>25</v>
      </c>
      <c r="H133" t="s">
        <v>26</v>
      </c>
      <c r="I133" t="s">
        <v>27</v>
      </c>
      <c r="J133" t="s">
        <v>60</v>
      </c>
      <c r="K133">
        <v>2</v>
      </c>
      <c r="L133" s="2">
        <v>94.85</v>
      </c>
      <c r="M133" s="3">
        <v>0</v>
      </c>
      <c r="N133" t="s">
        <v>38</v>
      </c>
      <c r="O133" s="2">
        <v>189.7</v>
      </c>
      <c r="P133" s="2">
        <v>102.51</v>
      </c>
      <c r="Q133" s="2">
        <v>87.19</v>
      </c>
      <c r="R133">
        <v>1</v>
      </c>
      <c r="S133">
        <v>0</v>
      </c>
      <c r="T133">
        <v>3</v>
      </c>
      <c r="U133">
        <v>4</v>
      </c>
    </row>
    <row r="134" spans="1:21" ht="16.5" x14ac:dyDescent="0.3">
      <c r="A134" t="s">
        <v>206</v>
      </c>
      <c r="B134" s="1">
        <v>45317</v>
      </c>
      <c r="C134">
        <v>2024</v>
      </c>
      <c r="D134" t="s">
        <v>22</v>
      </c>
      <c r="E134" t="s">
        <v>23</v>
      </c>
      <c r="F134" t="s">
        <v>24</v>
      </c>
      <c r="G134" t="s">
        <v>25</v>
      </c>
      <c r="H134" t="s">
        <v>26</v>
      </c>
      <c r="I134" t="s">
        <v>70</v>
      </c>
      <c r="J134" t="s">
        <v>162</v>
      </c>
      <c r="K134">
        <v>2</v>
      </c>
      <c r="L134" s="2">
        <v>636.09</v>
      </c>
      <c r="M134" s="3">
        <v>0.05</v>
      </c>
      <c r="N134" t="s">
        <v>29</v>
      </c>
      <c r="O134" s="2">
        <v>1208.57</v>
      </c>
      <c r="P134" s="2">
        <v>1042.92</v>
      </c>
      <c r="Q134" s="2">
        <v>165.65</v>
      </c>
      <c r="R134">
        <v>1</v>
      </c>
      <c r="S134">
        <v>0</v>
      </c>
      <c r="T134">
        <v>4</v>
      </c>
      <c r="U134">
        <v>5</v>
      </c>
    </row>
    <row r="135" spans="1:21" ht="16.5" x14ac:dyDescent="0.3">
      <c r="A135" t="s">
        <v>207</v>
      </c>
      <c r="B135" s="1">
        <v>45317</v>
      </c>
      <c r="C135">
        <v>2024</v>
      </c>
      <c r="D135" t="s">
        <v>22</v>
      </c>
      <c r="E135" t="s">
        <v>23</v>
      </c>
      <c r="F135" t="s">
        <v>45</v>
      </c>
      <c r="G135" t="s">
        <v>49</v>
      </c>
      <c r="H135" t="s">
        <v>32</v>
      </c>
      <c r="I135" t="s">
        <v>27</v>
      </c>
      <c r="J135" t="s">
        <v>110</v>
      </c>
      <c r="K135">
        <v>1</v>
      </c>
      <c r="L135" s="2">
        <v>19.41</v>
      </c>
      <c r="M135" s="3">
        <v>0.05</v>
      </c>
      <c r="N135" t="s">
        <v>29</v>
      </c>
      <c r="O135" s="2">
        <v>18.440000000000001</v>
      </c>
      <c r="P135" s="2">
        <v>9.86</v>
      </c>
      <c r="Q135" s="2">
        <v>8.58</v>
      </c>
      <c r="R135">
        <v>1</v>
      </c>
      <c r="S135">
        <v>0</v>
      </c>
      <c r="T135">
        <v>3</v>
      </c>
      <c r="U135">
        <v>5</v>
      </c>
    </row>
    <row r="136" spans="1:21" ht="16.5" x14ac:dyDescent="0.3">
      <c r="A136" t="s">
        <v>208</v>
      </c>
      <c r="B136" s="1">
        <v>45318</v>
      </c>
      <c r="C136">
        <v>2024</v>
      </c>
      <c r="D136" t="s">
        <v>22</v>
      </c>
      <c r="E136" t="s">
        <v>23</v>
      </c>
      <c r="F136" t="s">
        <v>31</v>
      </c>
      <c r="G136" t="s">
        <v>25</v>
      </c>
      <c r="H136" t="s">
        <v>32</v>
      </c>
      <c r="I136" t="s">
        <v>70</v>
      </c>
      <c r="J136" t="s">
        <v>162</v>
      </c>
      <c r="K136">
        <v>3</v>
      </c>
      <c r="L136" s="2">
        <v>636.09</v>
      </c>
      <c r="M136" s="3">
        <v>0.1</v>
      </c>
      <c r="N136" t="s">
        <v>29</v>
      </c>
      <c r="O136" s="2">
        <v>1717.44</v>
      </c>
      <c r="P136" s="2">
        <v>1506.9</v>
      </c>
      <c r="Q136" s="2">
        <v>210.54</v>
      </c>
      <c r="R136">
        <v>1</v>
      </c>
      <c r="S136">
        <v>0</v>
      </c>
      <c r="T136">
        <v>4</v>
      </c>
      <c r="U136">
        <v>5</v>
      </c>
    </row>
    <row r="137" spans="1:21" ht="16.5" x14ac:dyDescent="0.3">
      <c r="A137" t="s">
        <v>209</v>
      </c>
      <c r="B137" s="1">
        <v>45318</v>
      </c>
      <c r="C137">
        <v>2024</v>
      </c>
      <c r="D137" t="s">
        <v>22</v>
      </c>
      <c r="E137" t="s">
        <v>23</v>
      </c>
      <c r="F137" t="s">
        <v>31</v>
      </c>
      <c r="G137" t="s">
        <v>49</v>
      </c>
      <c r="H137" t="s">
        <v>26</v>
      </c>
      <c r="I137" t="s">
        <v>27</v>
      </c>
      <c r="J137" t="s">
        <v>110</v>
      </c>
      <c r="K137">
        <v>1</v>
      </c>
      <c r="L137" s="2">
        <v>19.41</v>
      </c>
      <c r="M137" s="3">
        <v>0.15</v>
      </c>
      <c r="N137" t="s">
        <v>34</v>
      </c>
      <c r="O137" s="2">
        <v>16.5</v>
      </c>
      <c r="P137" s="2">
        <v>10.52</v>
      </c>
      <c r="Q137" s="2">
        <v>5.98</v>
      </c>
      <c r="R137">
        <v>1</v>
      </c>
      <c r="S137">
        <v>0</v>
      </c>
      <c r="T137">
        <v>4</v>
      </c>
      <c r="U137">
        <v>5</v>
      </c>
    </row>
    <row r="138" spans="1:21" ht="16.5" x14ac:dyDescent="0.3">
      <c r="A138" t="s">
        <v>210</v>
      </c>
      <c r="B138" s="1">
        <v>45318</v>
      </c>
      <c r="C138">
        <v>2024</v>
      </c>
      <c r="D138" t="s">
        <v>22</v>
      </c>
      <c r="E138" t="s">
        <v>23</v>
      </c>
      <c r="F138" t="s">
        <v>45</v>
      </c>
      <c r="G138" t="s">
        <v>25</v>
      </c>
      <c r="H138" t="s">
        <v>26</v>
      </c>
      <c r="I138" t="s">
        <v>27</v>
      </c>
      <c r="J138" t="s">
        <v>40</v>
      </c>
      <c r="K138">
        <v>2</v>
      </c>
      <c r="L138" s="2">
        <v>104.94</v>
      </c>
      <c r="M138" s="3">
        <v>0.3</v>
      </c>
      <c r="N138" t="s">
        <v>62</v>
      </c>
      <c r="O138" s="2">
        <v>146.91999999999999</v>
      </c>
      <c r="P138" s="2">
        <v>116.55</v>
      </c>
      <c r="Q138" s="2">
        <v>30.37</v>
      </c>
      <c r="R138">
        <v>1</v>
      </c>
      <c r="S138">
        <v>0</v>
      </c>
      <c r="T138">
        <v>3</v>
      </c>
      <c r="U138">
        <v>4</v>
      </c>
    </row>
    <row r="139" spans="1:21" ht="16.5" x14ac:dyDescent="0.3">
      <c r="A139" t="s">
        <v>211</v>
      </c>
      <c r="B139" s="1">
        <v>45318</v>
      </c>
      <c r="C139">
        <v>2024</v>
      </c>
      <c r="D139" t="s">
        <v>22</v>
      </c>
      <c r="E139" t="s">
        <v>23</v>
      </c>
      <c r="F139" t="s">
        <v>31</v>
      </c>
      <c r="G139" t="s">
        <v>51</v>
      </c>
      <c r="H139" t="s">
        <v>32</v>
      </c>
      <c r="I139" t="s">
        <v>36</v>
      </c>
      <c r="J139" t="s">
        <v>37</v>
      </c>
      <c r="K139">
        <v>4</v>
      </c>
      <c r="L139" s="2">
        <v>33.18</v>
      </c>
      <c r="M139" s="3">
        <v>0.05</v>
      </c>
      <c r="N139" t="s">
        <v>29</v>
      </c>
      <c r="O139" s="2">
        <v>126.08</v>
      </c>
      <c r="P139" s="2">
        <v>65.86</v>
      </c>
      <c r="Q139" s="2">
        <v>60.22</v>
      </c>
      <c r="R139">
        <v>1</v>
      </c>
      <c r="S139">
        <v>0</v>
      </c>
      <c r="T139">
        <v>3</v>
      </c>
      <c r="U139">
        <v>5</v>
      </c>
    </row>
    <row r="140" spans="1:21" ht="16.5" x14ac:dyDescent="0.3">
      <c r="A140" t="s">
        <v>212</v>
      </c>
      <c r="B140" s="1">
        <v>45318</v>
      </c>
      <c r="C140">
        <v>2024</v>
      </c>
      <c r="D140" t="s">
        <v>22</v>
      </c>
      <c r="E140" t="s">
        <v>23</v>
      </c>
      <c r="F140" t="s">
        <v>24</v>
      </c>
      <c r="G140" t="s">
        <v>51</v>
      </c>
      <c r="H140" t="s">
        <v>32</v>
      </c>
      <c r="I140" t="s">
        <v>27</v>
      </c>
      <c r="J140" t="s">
        <v>28</v>
      </c>
      <c r="K140">
        <v>1</v>
      </c>
      <c r="L140" s="2">
        <v>138.5</v>
      </c>
      <c r="M140" s="3">
        <v>0</v>
      </c>
      <c r="N140" t="s">
        <v>38</v>
      </c>
      <c r="O140" s="2">
        <v>138.5</v>
      </c>
      <c r="P140" s="2">
        <v>72.78</v>
      </c>
      <c r="Q140" s="2">
        <v>65.72</v>
      </c>
      <c r="R140">
        <v>1</v>
      </c>
      <c r="S140">
        <v>0</v>
      </c>
      <c r="T140">
        <v>2</v>
      </c>
      <c r="U140">
        <v>4</v>
      </c>
    </row>
    <row r="141" spans="1:21" ht="16.5" x14ac:dyDescent="0.3">
      <c r="A141" t="s">
        <v>213</v>
      </c>
      <c r="B141" s="1">
        <v>45318</v>
      </c>
      <c r="C141">
        <v>2024</v>
      </c>
      <c r="D141" t="s">
        <v>22</v>
      </c>
      <c r="E141" t="s">
        <v>23</v>
      </c>
      <c r="F141" t="s">
        <v>24</v>
      </c>
      <c r="G141" t="s">
        <v>25</v>
      </c>
      <c r="H141" t="s">
        <v>32</v>
      </c>
      <c r="I141" t="s">
        <v>27</v>
      </c>
      <c r="J141" t="s">
        <v>40</v>
      </c>
      <c r="K141">
        <v>1</v>
      </c>
      <c r="L141" s="2">
        <v>104.94</v>
      </c>
      <c r="M141" s="3">
        <v>0.1</v>
      </c>
      <c r="N141" t="s">
        <v>29</v>
      </c>
      <c r="O141" s="2">
        <v>94.45</v>
      </c>
      <c r="P141" s="2">
        <v>55.64</v>
      </c>
      <c r="Q141" s="2">
        <v>38.81</v>
      </c>
      <c r="R141">
        <v>1</v>
      </c>
      <c r="S141">
        <v>0</v>
      </c>
      <c r="T141">
        <v>3</v>
      </c>
      <c r="U141">
        <v>4</v>
      </c>
    </row>
    <row r="142" spans="1:21" ht="16.5" x14ac:dyDescent="0.3">
      <c r="A142" t="s">
        <v>214</v>
      </c>
      <c r="B142" s="1">
        <v>45318</v>
      </c>
      <c r="C142">
        <v>2024</v>
      </c>
      <c r="D142" t="s">
        <v>22</v>
      </c>
      <c r="E142" t="s">
        <v>23</v>
      </c>
      <c r="F142" t="s">
        <v>31</v>
      </c>
      <c r="G142" t="s">
        <v>46</v>
      </c>
      <c r="H142" t="s">
        <v>32</v>
      </c>
      <c r="I142" t="s">
        <v>27</v>
      </c>
      <c r="J142" t="s">
        <v>110</v>
      </c>
      <c r="K142">
        <v>1</v>
      </c>
      <c r="L142" s="2">
        <v>19.41</v>
      </c>
      <c r="M142" s="3">
        <v>0.15</v>
      </c>
      <c r="N142" t="s">
        <v>34</v>
      </c>
      <c r="O142" s="2">
        <v>16.5</v>
      </c>
      <c r="P142" s="2">
        <v>10.93</v>
      </c>
      <c r="Q142" s="2">
        <v>5.57</v>
      </c>
      <c r="R142">
        <v>1</v>
      </c>
      <c r="S142">
        <v>0</v>
      </c>
      <c r="T142">
        <v>6</v>
      </c>
      <c r="U142">
        <v>2</v>
      </c>
    </row>
    <row r="143" spans="1:21" ht="16.5" x14ac:dyDescent="0.3">
      <c r="A143" t="s">
        <v>215</v>
      </c>
      <c r="B143" s="1">
        <v>45319</v>
      </c>
      <c r="C143">
        <v>2024</v>
      </c>
      <c r="D143" t="s">
        <v>22</v>
      </c>
      <c r="E143" t="s">
        <v>23</v>
      </c>
      <c r="F143" t="s">
        <v>45</v>
      </c>
      <c r="G143" t="s">
        <v>49</v>
      </c>
      <c r="H143" t="s">
        <v>32</v>
      </c>
      <c r="I143" t="s">
        <v>67</v>
      </c>
      <c r="J143" t="s">
        <v>103</v>
      </c>
      <c r="K143">
        <v>2</v>
      </c>
      <c r="L143" s="2">
        <v>83.06</v>
      </c>
      <c r="M143" s="3">
        <v>0</v>
      </c>
      <c r="N143" t="s">
        <v>38</v>
      </c>
      <c r="O143" s="2">
        <v>166.12</v>
      </c>
      <c r="P143" s="2">
        <v>115.14</v>
      </c>
      <c r="Q143" s="2">
        <v>50.98</v>
      </c>
      <c r="R143">
        <v>1</v>
      </c>
      <c r="S143">
        <v>0</v>
      </c>
      <c r="T143">
        <v>4</v>
      </c>
      <c r="U143">
        <v>5</v>
      </c>
    </row>
    <row r="144" spans="1:21" ht="16.5" x14ac:dyDescent="0.3">
      <c r="A144" t="s">
        <v>216</v>
      </c>
      <c r="B144" s="1">
        <v>45319</v>
      </c>
      <c r="C144">
        <v>2024</v>
      </c>
      <c r="D144" t="s">
        <v>22</v>
      </c>
      <c r="E144" t="s">
        <v>23</v>
      </c>
      <c r="F144" t="s">
        <v>24</v>
      </c>
      <c r="G144" t="s">
        <v>51</v>
      </c>
      <c r="H144" t="s">
        <v>32</v>
      </c>
      <c r="I144" t="s">
        <v>27</v>
      </c>
      <c r="J144" t="s">
        <v>60</v>
      </c>
      <c r="K144">
        <v>1</v>
      </c>
      <c r="L144" s="2">
        <v>94.85</v>
      </c>
      <c r="M144" s="3">
        <v>0</v>
      </c>
      <c r="N144" t="s">
        <v>38</v>
      </c>
      <c r="O144" s="2">
        <v>94.85</v>
      </c>
      <c r="P144" s="2">
        <v>47.65</v>
      </c>
      <c r="Q144" s="2">
        <v>47.2</v>
      </c>
      <c r="R144">
        <v>1</v>
      </c>
      <c r="S144">
        <v>0</v>
      </c>
      <c r="T144">
        <v>3</v>
      </c>
      <c r="U144">
        <v>4</v>
      </c>
    </row>
    <row r="145" spans="1:21" ht="16.5" x14ac:dyDescent="0.3">
      <c r="A145" t="s">
        <v>217</v>
      </c>
      <c r="B145" s="1">
        <v>45319</v>
      </c>
      <c r="C145">
        <v>2024</v>
      </c>
      <c r="D145" t="s">
        <v>22</v>
      </c>
      <c r="E145" t="s">
        <v>23</v>
      </c>
      <c r="F145" t="s">
        <v>31</v>
      </c>
      <c r="G145" t="s">
        <v>65</v>
      </c>
      <c r="H145" t="s">
        <v>32</v>
      </c>
      <c r="I145" t="s">
        <v>27</v>
      </c>
      <c r="J145" t="s">
        <v>40</v>
      </c>
      <c r="K145">
        <v>1</v>
      </c>
      <c r="L145" s="2">
        <v>104.94</v>
      </c>
      <c r="M145" s="3">
        <v>0</v>
      </c>
      <c r="N145" t="s">
        <v>38</v>
      </c>
      <c r="O145" s="2">
        <v>104.94</v>
      </c>
      <c r="P145" s="2">
        <v>55.06</v>
      </c>
      <c r="Q145" s="2">
        <v>49.88</v>
      </c>
      <c r="R145">
        <v>1</v>
      </c>
      <c r="S145">
        <v>1</v>
      </c>
      <c r="T145">
        <v>6</v>
      </c>
      <c r="U145">
        <v>2</v>
      </c>
    </row>
    <row r="146" spans="1:21" ht="16.5" x14ac:dyDescent="0.3">
      <c r="A146" t="s">
        <v>218</v>
      </c>
      <c r="B146" s="1">
        <v>45319</v>
      </c>
      <c r="C146">
        <v>2024</v>
      </c>
      <c r="D146" t="s">
        <v>22</v>
      </c>
      <c r="E146" t="s">
        <v>23</v>
      </c>
      <c r="F146" t="s">
        <v>24</v>
      </c>
      <c r="G146" t="s">
        <v>65</v>
      </c>
      <c r="H146" t="s">
        <v>26</v>
      </c>
      <c r="I146" t="s">
        <v>27</v>
      </c>
      <c r="J146" t="s">
        <v>40</v>
      </c>
      <c r="K146">
        <v>2</v>
      </c>
      <c r="L146" s="2">
        <v>104.94</v>
      </c>
      <c r="M146" s="3">
        <v>0.05</v>
      </c>
      <c r="N146" t="s">
        <v>29</v>
      </c>
      <c r="O146" s="2">
        <v>199.39</v>
      </c>
      <c r="P146" s="2">
        <v>110</v>
      </c>
      <c r="Q146" s="2">
        <v>89.39</v>
      </c>
      <c r="R146">
        <v>1</v>
      </c>
      <c r="S146">
        <v>0</v>
      </c>
      <c r="T146">
        <v>8</v>
      </c>
      <c r="U146">
        <v>5</v>
      </c>
    </row>
    <row r="147" spans="1:21" ht="16.5" x14ac:dyDescent="0.3">
      <c r="A147" t="s">
        <v>219</v>
      </c>
      <c r="B147" s="1">
        <v>45320</v>
      </c>
      <c r="C147">
        <v>2024</v>
      </c>
      <c r="D147" t="s">
        <v>22</v>
      </c>
      <c r="E147" t="s">
        <v>23</v>
      </c>
      <c r="F147" t="s">
        <v>24</v>
      </c>
      <c r="G147" t="s">
        <v>49</v>
      </c>
      <c r="H147" t="s">
        <v>26</v>
      </c>
      <c r="I147" t="s">
        <v>67</v>
      </c>
      <c r="J147" t="s">
        <v>93</v>
      </c>
      <c r="K147">
        <v>2</v>
      </c>
      <c r="L147" s="2">
        <v>198.42</v>
      </c>
      <c r="M147" s="3">
        <v>0.1</v>
      </c>
      <c r="N147" t="s">
        <v>29</v>
      </c>
      <c r="O147" s="2">
        <v>357.16</v>
      </c>
      <c r="P147" s="2">
        <v>264.95</v>
      </c>
      <c r="Q147" s="2">
        <v>92.21</v>
      </c>
      <c r="R147">
        <v>1</v>
      </c>
      <c r="S147">
        <v>1</v>
      </c>
      <c r="T147">
        <v>3</v>
      </c>
      <c r="U147">
        <v>2</v>
      </c>
    </row>
    <row r="148" spans="1:21" ht="16.5" x14ac:dyDescent="0.3">
      <c r="A148" t="s">
        <v>220</v>
      </c>
      <c r="B148" s="1">
        <v>45320</v>
      </c>
      <c r="C148">
        <v>2024</v>
      </c>
      <c r="D148" t="s">
        <v>22</v>
      </c>
      <c r="E148" t="s">
        <v>23</v>
      </c>
      <c r="F148" t="s">
        <v>31</v>
      </c>
      <c r="G148" t="s">
        <v>25</v>
      </c>
      <c r="H148" t="s">
        <v>32</v>
      </c>
      <c r="I148" t="s">
        <v>67</v>
      </c>
      <c r="J148" t="s">
        <v>174</v>
      </c>
      <c r="K148">
        <v>1</v>
      </c>
      <c r="L148" s="2">
        <v>137.05000000000001</v>
      </c>
      <c r="M148" s="3">
        <v>0.05</v>
      </c>
      <c r="N148" t="s">
        <v>29</v>
      </c>
      <c r="O148" s="2">
        <v>130.19999999999999</v>
      </c>
      <c r="P148" s="2">
        <v>92.3</v>
      </c>
      <c r="Q148" s="2">
        <v>37.9</v>
      </c>
      <c r="R148">
        <v>1</v>
      </c>
      <c r="S148">
        <v>0</v>
      </c>
      <c r="T148">
        <v>4</v>
      </c>
      <c r="U148">
        <v>3</v>
      </c>
    </row>
    <row r="149" spans="1:21" ht="16.5" x14ac:dyDescent="0.3">
      <c r="A149" t="s">
        <v>221</v>
      </c>
      <c r="B149" s="1">
        <v>45320</v>
      </c>
      <c r="C149">
        <v>2024</v>
      </c>
      <c r="D149" t="s">
        <v>22</v>
      </c>
      <c r="E149" t="s">
        <v>23</v>
      </c>
      <c r="F149" t="s">
        <v>31</v>
      </c>
      <c r="G149" t="s">
        <v>25</v>
      </c>
      <c r="H149" t="s">
        <v>32</v>
      </c>
      <c r="I149" t="s">
        <v>36</v>
      </c>
      <c r="J149" t="s">
        <v>52</v>
      </c>
      <c r="K149">
        <v>3</v>
      </c>
      <c r="L149" s="2">
        <v>92.54</v>
      </c>
      <c r="M149" s="3">
        <v>0.05</v>
      </c>
      <c r="N149" t="s">
        <v>29</v>
      </c>
      <c r="O149" s="2">
        <v>263.74</v>
      </c>
      <c r="P149" s="2">
        <v>127.34</v>
      </c>
      <c r="Q149" s="2">
        <v>136.4</v>
      </c>
      <c r="R149">
        <v>1</v>
      </c>
      <c r="S149">
        <v>0</v>
      </c>
      <c r="T149">
        <v>5</v>
      </c>
      <c r="U149">
        <v>5</v>
      </c>
    </row>
    <row r="150" spans="1:21" ht="16.5" x14ac:dyDescent="0.3">
      <c r="A150" t="s">
        <v>222</v>
      </c>
      <c r="B150" s="1">
        <v>45320</v>
      </c>
      <c r="C150">
        <v>2024</v>
      </c>
      <c r="D150" t="s">
        <v>22</v>
      </c>
      <c r="E150" t="s">
        <v>23</v>
      </c>
      <c r="F150" t="s">
        <v>45</v>
      </c>
      <c r="G150" t="s">
        <v>51</v>
      </c>
      <c r="H150" t="s">
        <v>32</v>
      </c>
      <c r="I150" t="s">
        <v>84</v>
      </c>
      <c r="J150" t="s">
        <v>223</v>
      </c>
      <c r="K150">
        <v>2</v>
      </c>
      <c r="L150" s="2">
        <v>16.97</v>
      </c>
      <c r="M150" s="3">
        <v>0.05</v>
      </c>
      <c r="N150" t="s">
        <v>29</v>
      </c>
      <c r="O150" s="2">
        <v>32.24</v>
      </c>
      <c r="P150" s="2">
        <v>24.92</v>
      </c>
      <c r="Q150" s="2">
        <v>7.32</v>
      </c>
      <c r="R150">
        <v>1</v>
      </c>
      <c r="S150">
        <v>0</v>
      </c>
      <c r="T150">
        <v>2</v>
      </c>
      <c r="U150">
        <v>4</v>
      </c>
    </row>
    <row r="151" spans="1:21" ht="16.5" x14ac:dyDescent="0.3">
      <c r="A151" t="s">
        <v>224</v>
      </c>
      <c r="B151" s="1">
        <v>45320</v>
      </c>
      <c r="C151">
        <v>2024</v>
      </c>
      <c r="D151" t="s">
        <v>22</v>
      </c>
      <c r="E151" t="s">
        <v>23</v>
      </c>
      <c r="F151" t="s">
        <v>45</v>
      </c>
      <c r="G151" t="s">
        <v>51</v>
      </c>
      <c r="H151" t="s">
        <v>32</v>
      </c>
      <c r="I151" t="s">
        <v>27</v>
      </c>
      <c r="J151" t="s">
        <v>47</v>
      </c>
      <c r="K151">
        <v>1</v>
      </c>
      <c r="L151" s="2">
        <v>33.99</v>
      </c>
      <c r="M151" s="3">
        <v>0</v>
      </c>
      <c r="N151" t="s">
        <v>38</v>
      </c>
      <c r="O151" s="2">
        <v>33.99</v>
      </c>
      <c r="P151" s="2">
        <v>18.82</v>
      </c>
      <c r="Q151" s="2">
        <v>15.17</v>
      </c>
      <c r="R151">
        <v>1</v>
      </c>
      <c r="S151">
        <v>0</v>
      </c>
      <c r="T151">
        <v>4</v>
      </c>
      <c r="U151">
        <v>4</v>
      </c>
    </row>
    <row r="152" spans="1:21" ht="16.5" x14ac:dyDescent="0.3">
      <c r="A152" t="s">
        <v>225</v>
      </c>
      <c r="B152" s="1">
        <v>45320</v>
      </c>
      <c r="C152">
        <v>2024</v>
      </c>
      <c r="D152" t="s">
        <v>22</v>
      </c>
      <c r="E152" t="s">
        <v>23</v>
      </c>
      <c r="F152" t="s">
        <v>31</v>
      </c>
      <c r="G152" t="s">
        <v>65</v>
      </c>
      <c r="H152" t="s">
        <v>26</v>
      </c>
      <c r="I152" t="s">
        <v>84</v>
      </c>
      <c r="J152" t="s">
        <v>96</v>
      </c>
      <c r="K152">
        <v>3</v>
      </c>
      <c r="L152" s="2">
        <v>10.76</v>
      </c>
      <c r="M152" s="3">
        <v>0</v>
      </c>
      <c r="N152" t="s">
        <v>38</v>
      </c>
      <c r="O152" s="2">
        <v>32.28</v>
      </c>
      <c r="P152" s="2">
        <v>22.69</v>
      </c>
      <c r="Q152" s="2">
        <v>9.59</v>
      </c>
      <c r="R152">
        <v>1</v>
      </c>
      <c r="S152">
        <v>0</v>
      </c>
      <c r="T152">
        <v>7</v>
      </c>
      <c r="U152">
        <v>3</v>
      </c>
    </row>
    <row r="153" spans="1:21" ht="16.5" x14ac:dyDescent="0.3">
      <c r="A153" t="s">
        <v>226</v>
      </c>
      <c r="B153" s="1">
        <v>45320</v>
      </c>
      <c r="C153">
        <v>2024</v>
      </c>
      <c r="D153" t="s">
        <v>22</v>
      </c>
      <c r="E153" t="s">
        <v>23</v>
      </c>
      <c r="F153" t="s">
        <v>31</v>
      </c>
      <c r="G153" t="s">
        <v>49</v>
      </c>
      <c r="H153" t="s">
        <v>32</v>
      </c>
      <c r="I153" t="s">
        <v>70</v>
      </c>
      <c r="J153" t="s">
        <v>82</v>
      </c>
      <c r="K153">
        <v>2</v>
      </c>
      <c r="L153" s="2">
        <v>508.8</v>
      </c>
      <c r="M153" s="3">
        <v>0.1</v>
      </c>
      <c r="N153" t="s">
        <v>29</v>
      </c>
      <c r="O153" s="2">
        <v>915.84</v>
      </c>
      <c r="P153" s="2">
        <v>821.83</v>
      </c>
      <c r="Q153" s="2">
        <v>94.01</v>
      </c>
      <c r="R153">
        <v>1</v>
      </c>
      <c r="S153">
        <v>0</v>
      </c>
      <c r="T153">
        <v>5</v>
      </c>
      <c r="U153">
        <v>4</v>
      </c>
    </row>
    <row r="154" spans="1:21" ht="16.5" x14ac:dyDescent="0.3">
      <c r="A154" t="s">
        <v>227</v>
      </c>
      <c r="B154" s="1">
        <v>45320</v>
      </c>
      <c r="C154">
        <v>2024</v>
      </c>
      <c r="D154" t="s">
        <v>22</v>
      </c>
      <c r="E154" t="s">
        <v>23</v>
      </c>
      <c r="F154" t="s">
        <v>31</v>
      </c>
      <c r="G154" t="s">
        <v>49</v>
      </c>
      <c r="H154" t="s">
        <v>26</v>
      </c>
      <c r="I154" t="s">
        <v>42</v>
      </c>
      <c r="J154" t="s">
        <v>58</v>
      </c>
      <c r="K154">
        <v>4</v>
      </c>
      <c r="L154" s="2">
        <v>233.81</v>
      </c>
      <c r="M154" s="3">
        <v>0.25</v>
      </c>
      <c r="N154" t="s">
        <v>62</v>
      </c>
      <c r="O154" s="2">
        <v>701.43</v>
      </c>
      <c r="P154" s="2">
        <v>612.64</v>
      </c>
      <c r="Q154" s="2">
        <v>88.79</v>
      </c>
      <c r="R154">
        <v>1</v>
      </c>
      <c r="S154">
        <v>0</v>
      </c>
      <c r="T154">
        <v>3</v>
      </c>
      <c r="U154">
        <v>4</v>
      </c>
    </row>
    <row r="155" spans="1:21" ht="16.5" x14ac:dyDescent="0.3">
      <c r="A155" t="s">
        <v>228</v>
      </c>
      <c r="B155" s="1">
        <v>45320</v>
      </c>
      <c r="C155">
        <v>2024</v>
      </c>
      <c r="D155" t="s">
        <v>22</v>
      </c>
      <c r="E155" t="s">
        <v>23</v>
      </c>
      <c r="F155" t="s">
        <v>24</v>
      </c>
      <c r="G155" t="s">
        <v>65</v>
      </c>
      <c r="H155" t="s">
        <v>26</v>
      </c>
      <c r="I155" t="s">
        <v>36</v>
      </c>
      <c r="J155" t="s">
        <v>126</v>
      </c>
      <c r="K155">
        <v>2</v>
      </c>
      <c r="L155" s="2">
        <v>54.56</v>
      </c>
      <c r="M155" s="3">
        <v>0</v>
      </c>
      <c r="N155" t="s">
        <v>38</v>
      </c>
      <c r="O155" s="2">
        <v>109.12</v>
      </c>
      <c r="P155" s="2">
        <v>52.55</v>
      </c>
      <c r="Q155" s="2">
        <v>56.57</v>
      </c>
      <c r="R155">
        <v>1</v>
      </c>
      <c r="S155">
        <v>0</v>
      </c>
      <c r="T155">
        <v>7</v>
      </c>
      <c r="U155">
        <v>3</v>
      </c>
    </row>
    <row r="156" spans="1:21" ht="16.5" x14ac:dyDescent="0.3">
      <c r="A156" t="s">
        <v>229</v>
      </c>
      <c r="B156" s="1">
        <v>45320</v>
      </c>
      <c r="C156">
        <v>2024</v>
      </c>
      <c r="D156" t="s">
        <v>22</v>
      </c>
      <c r="E156" t="s">
        <v>23</v>
      </c>
      <c r="F156" t="s">
        <v>24</v>
      </c>
      <c r="G156" t="s">
        <v>51</v>
      </c>
      <c r="H156" t="s">
        <v>26</v>
      </c>
      <c r="I156" t="s">
        <v>36</v>
      </c>
      <c r="J156" t="s">
        <v>52</v>
      </c>
      <c r="K156">
        <v>1</v>
      </c>
      <c r="L156" s="2">
        <v>92.54</v>
      </c>
      <c r="M156" s="3">
        <v>0.3</v>
      </c>
      <c r="N156" t="s">
        <v>62</v>
      </c>
      <c r="O156" s="2">
        <v>64.78</v>
      </c>
      <c r="P156" s="2">
        <v>44.98</v>
      </c>
      <c r="Q156" s="2">
        <v>19.8</v>
      </c>
      <c r="R156">
        <v>1</v>
      </c>
      <c r="S156">
        <v>0</v>
      </c>
      <c r="T156">
        <v>3</v>
      </c>
      <c r="U156">
        <v>4</v>
      </c>
    </row>
    <row r="157" spans="1:21" ht="16.5" x14ac:dyDescent="0.3">
      <c r="A157" t="s">
        <v>230</v>
      </c>
      <c r="B157" s="1">
        <v>45321</v>
      </c>
      <c r="C157">
        <v>2024</v>
      </c>
      <c r="D157" t="s">
        <v>22</v>
      </c>
      <c r="E157" t="s">
        <v>23</v>
      </c>
      <c r="F157" t="s">
        <v>31</v>
      </c>
      <c r="G157" t="s">
        <v>25</v>
      </c>
      <c r="H157" t="s">
        <v>32</v>
      </c>
      <c r="I157" t="s">
        <v>70</v>
      </c>
      <c r="J157" t="s">
        <v>162</v>
      </c>
      <c r="K157">
        <v>4</v>
      </c>
      <c r="L157" s="2">
        <v>636.09</v>
      </c>
      <c r="M157" s="3">
        <v>0</v>
      </c>
      <c r="N157" t="s">
        <v>38</v>
      </c>
      <c r="O157" s="2">
        <v>2544.36</v>
      </c>
      <c r="P157" s="2">
        <v>2102.1</v>
      </c>
      <c r="Q157" s="2">
        <v>442.26</v>
      </c>
      <c r="R157">
        <v>1</v>
      </c>
      <c r="S157">
        <v>0</v>
      </c>
      <c r="T157">
        <v>4</v>
      </c>
      <c r="U157">
        <v>4</v>
      </c>
    </row>
    <row r="158" spans="1:21" ht="16.5" x14ac:dyDescent="0.3">
      <c r="A158" t="s">
        <v>231</v>
      </c>
      <c r="B158" s="1">
        <v>45321</v>
      </c>
      <c r="C158">
        <v>2024</v>
      </c>
      <c r="D158" t="s">
        <v>22</v>
      </c>
      <c r="E158" t="s">
        <v>23</v>
      </c>
      <c r="F158" t="s">
        <v>24</v>
      </c>
      <c r="G158" t="s">
        <v>49</v>
      </c>
      <c r="H158" t="s">
        <v>32</v>
      </c>
      <c r="I158" t="s">
        <v>36</v>
      </c>
      <c r="J158" t="s">
        <v>126</v>
      </c>
      <c r="K158">
        <v>2</v>
      </c>
      <c r="L158" s="2">
        <v>54.56</v>
      </c>
      <c r="M158" s="3">
        <v>0</v>
      </c>
      <c r="N158" t="s">
        <v>38</v>
      </c>
      <c r="O158" s="2">
        <v>109.12</v>
      </c>
      <c r="P158" s="2">
        <v>54.85</v>
      </c>
      <c r="Q158" s="2">
        <v>54.27</v>
      </c>
      <c r="R158">
        <v>1</v>
      </c>
      <c r="S158">
        <v>0</v>
      </c>
      <c r="T158">
        <v>5</v>
      </c>
      <c r="U158">
        <v>4</v>
      </c>
    </row>
    <row r="159" spans="1:21" ht="16.5" x14ac:dyDescent="0.3">
      <c r="A159" t="s">
        <v>232</v>
      </c>
      <c r="B159" s="1">
        <v>45321</v>
      </c>
      <c r="C159">
        <v>2024</v>
      </c>
      <c r="D159" t="s">
        <v>22</v>
      </c>
      <c r="E159" t="s">
        <v>23</v>
      </c>
      <c r="F159" t="s">
        <v>31</v>
      </c>
      <c r="G159" t="s">
        <v>51</v>
      </c>
      <c r="H159" t="s">
        <v>32</v>
      </c>
      <c r="I159" t="s">
        <v>84</v>
      </c>
      <c r="J159" t="s">
        <v>132</v>
      </c>
      <c r="K159">
        <v>1</v>
      </c>
      <c r="L159" s="2">
        <v>48.86</v>
      </c>
      <c r="M159" s="3">
        <v>0</v>
      </c>
      <c r="N159" t="s">
        <v>38</v>
      </c>
      <c r="O159" s="2">
        <v>48.86</v>
      </c>
      <c r="P159" s="2">
        <v>36.57</v>
      </c>
      <c r="Q159" s="2">
        <v>12.29</v>
      </c>
      <c r="R159">
        <v>1</v>
      </c>
      <c r="S159">
        <v>0</v>
      </c>
      <c r="T159">
        <v>2</v>
      </c>
      <c r="U159">
        <v>4</v>
      </c>
    </row>
    <row r="160" spans="1:21" ht="16.5" x14ac:dyDescent="0.3">
      <c r="A160" t="s">
        <v>233</v>
      </c>
      <c r="B160" s="1">
        <v>45321</v>
      </c>
      <c r="C160">
        <v>2024</v>
      </c>
      <c r="D160" t="s">
        <v>22</v>
      </c>
      <c r="E160" t="s">
        <v>23</v>
      </c>
      <c r="F160" t="s">
        <v>45</v>
      </c>
      <c r="G160" t="s">
        <v>25</v>
      </c>
      <c r="H160" t="s">
        <v>26</v>
      </c>
      <c r="I160" t="s">
        <v>36</v>
      </c>
      <c r="J160" t="s">
        <v>56</v>
      </c>
      <c r="K160">
        <v>2</v>
      </c>
      <c r="L160" s="2">
        <v>74.3</v>
      </c>
      <c r="M160" s="3">
        <v>0.2</v>
      </c>
      <c r="N160" t="s">
        <v>34</v>
      </c>
      <c r="O160" s="2">
        <v>118.88</v>
      </c>
      <c r="P160" s="2">
        <v>72.930000000000007</v>
      </c>
      <c r="Q160" s="2">
        <v>45.95</v>
      </c>
      <c r="R160">
        <v>1</v>
      </c>
      <c r="S160">
        <v>1</v>
      </c>
      <c r="T160">
        <v>5</v>
      </c>
      <c r="U160">
        <v>3</v>
      </c>
    </row>
    <row r="161" spans="1:21" ht="16.5" x14ac:dyDescent="0.3">
      <c r="A161" t="s">
        <v>234</v>
      </c>
      <c r="B161" s="1">
        <v>45321</v>
      </c>
      <c r="C161">
        <v>2024</v>
      </c>
      <c r="D161" t="s">
        <v>22</v>
      </c>
      <c r="E161" t="s">
        <v>23</v>
      </c>
      <c r="F161" t="s">
        <v>24</v>
      </c>
      <c r="G161" t="s">
        <v>65</v>
      </c>
      <c r="H161" t="s">
        <v>32</v>
      </c>
      <c r="I161" t="s">
        <v>42</v>
      </c>
      <c r="J161" t="s">
        <v>54</v>
      </c>
      <c r="K161">
        <v>1</v>
      </c>
      <c r="L161" s="2">
        <v>148.05000000000001</v>
      </c>
      <c r="M161" s="3">
        <v>0.1</v>
      </c>
      <c r="N161" t="s">
        <v>29</v>
      </c>
      <c r="O161" s="2">
        <v>133.24</v>
      </c>
      <c r="P161" s="2">
        <v>99.4</v>
      </c>
      <c r="Q161" s="2">
        <v>33.840000000000003</v>
      </c>
      <c r="R161">
        <v>1</v>
      </c>
      <c r="S161">
        <v>0</v>
      </c>
      <c r="T161">
        <v>6</v>
      </c>
      <c r="U161">
        <v>5</v>
      </c>
    </row>
    <row r="162" spans="1:21" ht="16.5" x14ac:dyDescent="0.3">
      <c r="A162" t="s">
        <v>235</v>
      </c>
      <c r="B162" s="1">
        <v>45322</v>
      </c>
      <c r="C162">
        <v>2024</v>
      </c>
      <c r="D162" t="s">
        <v>22</v>
      </c>
      <c r="E162" t="s">
        <v>23</v>
      </c>
      <c r="F162" t="s">
        <v>24</v>
      </c>
      <c r="G162" t="s">
        <v>51</v>
      </c>
      <c r="H162" t="s">
        <v>32</v>
      </c>
      <c r="I162" t="s">
        <v>67</v>
      </c>
      <c r="J162" t="s">
        <v>103</v>
      </c>
      <c r="K162">
        <v>3</v>
      </c>
      <c r="L162" s="2">
        <v>83.06</v>
      </c>
      <c r="M162" s="3">
        <v>0</v>
      </c>
      <c r="N162" t="s">
        <v>38</v>
      </c>
      <c r="O162" s="2">
        <v>249.18</v>
      </c>
      <c r="P162" s="2">
        <v>166.98</v>
      </c>
      <c r="Q162" s="2">
        <v>82.2</v>
      </c>
      <c r="R162">
        <v>1</v>
      </c>
      <c r="S162">
        <v>0</v>
      </c>
      <c r="T162">
        <v>2</v>
      </c>
      <c r="U162">
        <v>3</v>
      </c>
    </row>
    <row r="163" spans="1:21" ht="16.5" x14ac:dyDescent="0.3">
      <c r="A163" t="s">
        <v>236</v>
      </c>
      <c r="B163" s="1">
        <v>45322</v>
      </c>
      <c r="C163">
        <v>2024</v>
      </c>
      <c r="D163" t="s">
        <v>22</v>
      </c>
      <c r="E163" t="s">
        <v>23</v>
      </c>
      <c r="F163" t="s">
        <v>45</v>
      </c>
      <c r="G163" t="s">
        <v>49</v>
      </c>
      <c r="H163" t="s">
        <v>32</v>
      </c>
      <c r="I163" t="s">
        <v>84</v>
      </c>
      <c r="J163" t="s">
        <v>223</v>
      </c>
      <c r="K163">
        <v>1</v>
      </c>
      <c r="L163" s="2">
        <v>16.97</v>
      </c>
      <c r="M163" s="3">
        <v>0.15</v>
      </c>
      <c r="N163" t="s">
        <v>34</v>
      </c>
      <c r="O163" s="2">
        <v>14.42</v>
      </c>
      <c r="P163" s="2">
        <v>11.89</v>
      </c>
      <c r="Q163" s="2">
        <v>2.5299999999999998</v>
      </c>
      <c r="R163">
        <v>1</v>
      </c>
      <c r="S163">
        <v>0</v>
      </c>
      <c r="T163">
        <v>4</v>
      </c>
      <c r="U163">
        <v>4</v>
      </c>
    </row>
    <row r="164" spans="1:21" ht="16.5" x14ac:dyDescent="0.3">
      <c r="A164" t="s">
        <v>237</v>
      </c>
      <c r="B164" s="1">
        <v>45322</v>
      </c>
      <c r="C164">
        <v>2024</v>
      </c>
      <c r="D164" t="s">
        <v>22</v>
      </c>
      <c r="E164" t="s">
        <v>23</v>
      </c>
      <c r="F164" t="s">
        <v>31</v>
      </c>
      <c r="G164" t="s">
        <v>25</v>
      </c>
      <c r="H164" t="s">
        <v>32</v>
      </c>
      <c r="I164" t="s">
        <v>42</v>
      </c>
      <c r="J164" t="s">
        <v>58</v>
      </c>
      <c r="K164">
        <v>1</v>
      </c>
      <c r="L164" s="2">
        <v>233.81</v>
      </c>
      <c r="M164" s="3">
        <v>0.25</v>
      </c>
      <c r="N164" t="s">
        <v>62</v>
      </c>
      <c r="O164" s="2">
        <v>175.36</v>
      </c>
      <c r="P164" s="2">
        <v>159.58000000000001</v>
      </c>
      <c r="Q164" s="2">
        <v>15.78</v>
      </c>
      <c r="R164">
        <v>1</v>
      </c>
      <c r="S164">
        <v>0</v>
      </c>
      <c r="T164">
        <v>3</v>
      </c>
      <c r="U164">
        <v>5</v>
      </c>
    </row>
    <row r="165" spans="1:21" ht="16.5" x14ac:dyDescent="0.3">
      <c r="A165" t="s">
        <v>238</v>
      </c>
      <c r="B165" s="1">
        <v>45322</v>
      </c>
      <c r="C165">
        <v>2024</v>
      </c>
      <c r="D165" t="s">
        <v>22</v>
      </c>
      <c r="E165" t="s">
        <v>23</v>
      </c>
      <c r="F165" t="s">
        <v>45</v>
      </c>
      <c r="G165" t="s">
        <v>51</v>
      </c>
      <c r="H165" t="s">
        <v>32</v>
      </c>
      <c r="I165" t="s">
        <v>70</v>
      </c>
      <c r="J165" t="s">
        <v>71</v>
      </c>
      <c r="K165">
        <v>1</v>
      </c>
      <c r="L165" s="2">
        <v>588.41</v>
      </c>
      <c r="M165" s="3">
        <v>0.1</v>
      </c>
      <c r="N165" t="s">
        <v>29</v>
      </c>
      <c r="O165" s="2">
        <v>529.57000000000005</v>
      </c>
      <c r="P165" s="2">
        <v>481.64</v>
      </c>
      <c r="Q165" s="2">
        <v>47.93</v>
      </c>
      <c r="R165">
        <v>1</v>
      </c>
      <c r="S165">
        <v>0</v>
      </c>
      <c r="T165">
        <v>3</v>
      </c>
      <c r="U165">
        <v>5</v>
      </c>
    </row>
    <row r="166" spans="1:21" ht="16.5" x14ac:dyDescent="0.3">
      <c r="A166" t="s">
        <v>239</v>
      </c>
      <c r="B166" s="1">
        <v>45322</v>
      </c>
      <c r="C166">
        <v>2024</v>
      </c>
      <c r="D166" t="s">
        <v>22</v>
      </c>
      <c r="E166" t="s">
        <v>23</v>
      </c>
      <c r="F166" t="s">
        <v>24</v>
      </c>
      <c r="G166" t="s">
        <v>51</v>
      </c>
      <c r="H166" t="s">
        <v>26</v>
      </c>
      <c r="I166" t="s">
        <v>27</v>
      </c>
      <c r="J166" t="s">
        <v>40</v>
      </c>
      <c r="K166">
        <v>1</v>
      </c>
      <c r="L166" s="2">
        <v>104.94</v>
      </c>
      <c r="M166" s="3">
        <v>0.1</v>
      </c>
      <c r="N166" t="s">
        <v>29</v>
      </c>
      <c r="O166" s="2">
        <v>94.45</v>
      </c>
      <c r="P166" s="2">
        <v>54.21</v>
      </c>
      <c r="Q166" s="2">
        <v>40.24</v>
      </c>
      <c r="R166">
        <v>1</v>
      </c>
      <c r="S166">
        <v>0</v>
      </c>
      <c r="T166">
        <v>2</v>
      </c>
      <c r="U166">
        <v>5</v>
      </c>
    </row>
    <row r="167" spans="1:21" ht="16.5" x14ac:dyDescent="0.3">
      <c r="A167" t="s">
        <v>240</v>
      </c>
      <c r="B167" s="1">
        <v>45322</v>
      </c>
      <c r="C167">
        <v>2024</v>
      </c>
      <c r="D167" t="s">
        <v>22</v>
      </c>
      <c r="E167" t="s">
        <v>23</v>
      </c>
      <c r="F167" t="s">
        <v>24</v>
      </c>
      <c r="G167" t="s">
        <v>51</v>
      </c>
      <c r="H167" t="s">
        <v>32</v>
      </c>
      <c r="I167" t="s">
        <v>27</v>
      </c>
      <c r="J167" t="s">
        <v>28</v>
      </c>
      <c r="K167">
        <v>1</v>
      </c>
      <c r="L167" s="2">
        <v>138.5</v>
      </c>
      <c r="M167" s="3">
        <v>0.15</v>
      </c>
      <c r="N167" t="s">
        <v>34</v>
      </c>
      <c r="O167" s="2">
        <v>117.72</v>
      </c>
      <c r="P167" s="2">
        <v>75.13</v>
      </c>
      <c r="Q167" s="2">
        <v>42.59</v>
      </c>
      <c r="R167">
        <v>1</v>
      </c>
      <c r="S167">
        <v>0</v>
      </c>
      <c r="T167">
        <v>2</v>
      </c>
      <c r="U167">
        <v>4</v>
      </c>
    </row>
    <row r="168" spans="1:21" ht="16.5" x14ac:dyDescent="0.3">
      <c r="A168" t="s">
        <v>241</v>
      </c>
      <c r="B168" s="1">
        <v>45323</v>
      </c>
      <c r="C168">
        <v>2024</v>
      </c>
      <c r="D168" t="s">
        <v>22</v>
      </c>
      <c r="E168" t="s">
        <v>242</v>
      </c>
      <c r="F168" t="s">
        <v>24</v>
      </c>
      <c r="G168" t="s">
        <v>25</v>
      </c>
      <c r="H168" t="s">
        <v>32</v>
      </c>
      <c r="I168" t="s">
        <v>70</v>
      </c>
      <c r="J168" t="s">
        <v>129</v>
      </c>
      <c r="K168">
        <v>1</v>
      </c>
      <c r="L168" s="2">
        <v>177.65</v>
      </c>
      <c r="M168" s="3">
        <v>0.15</v>
      </c>
      <c r="N168" t="s">
        <v>34</v>
      </c>
      <c r="O168" s="2">
        <v>151</v>
      </c>
      <c r="P168" s="2">
        <v>139.08000000000001</v>
      </c>
      <c r="Q168" s="2">
        <v>11.92</v>
      </c>
      <c r="R168">
        <v>1</v>
      </c>
      <c r="S168">
        <v>0</v>
      </c>
      <c r="T168">
        <v>4</v>
      </c>
      <c r="U168">
        <v>4</v>
      </c>
    </row>
    <row r="169" spans="1:21" ht="16.5" x14ac:dyDescent="0.3">
      <c r="A169" t="s">
        <v>243</v>
      </c>
      <c r="B169" s="1">
        <v>45323</v>
      </c>
      <c r="C169">
        <v>2024</v>
      </c>
      <c r="D169" t="s">
        <v>22</v>
      </c>
      <c r="E169" t="s">
        <v>242</v>
      </c>
      <c r="F169" t="s">
        <v>45</v>
      </c>
      <c r="G169" t="s">
        <v>46</v>
      </c>
      <c r="H169" t="s">
        <v>32</v>
      </c>
      <c r="I169" t="s">
        <v>70</v>
      </c>
      <c r="J169" t="s">
        <v>162</v>
      </c>
      <c r="K169">
        <v>1</v>
      </c>
      <c r="L169" s="2">
        <v>636.09</v>
      </c>
      <c r="M169" s="3">
        <v>0</v>
      </c>
      <c r="N169" t="s">
        <v>38</v>
      </c>
      <c r="O169" s="2">
        <v>636.09</v>
      </c>
      <c r="P169" s="2">
        <v>511.79</v>
      </c>
      <c r="Q169" s="2">
        <v>124.3</v>
      </c>
      <c r="R169">
        <v>1</v>
      </c>
      <c r="S169">
        <v>0</v>
      </c>
      <c r="T169">
        <v>6</v>
      </c>
      <c r="U169">
        <v>4</v>
      </c>
    </row>
    <row r="170" spans="1:21" ht="16.5" x14ac:dyDescent="0.3">
      <c r="A170" t="s">
        <v>244</v>
      </c>
      <c r="B170" s="1">
        <v>45324</v>
      </c>
      <c r="C170">
        <v>2024</v>
      </c>
      <c r="D170" t="s">
        <v>22</v>
      </c>
      <c r="E170" t="s">
        <v>242</v>
      </c>
      <c r="F170" t="s">
        <v>31</v>
      </c>
      <c r="G170" t="s">
        <v>65</v>
      </c>
      <c r="H170" t="s">
        <v>32</v>
      </c>
      <c r="I170" t="s">
        <v>27</v>
      </c>
      <c r="J170" t="s">
        <v>40</v>
      </c>
      <c r="K170">
        <v>2</v>
      </c>
      <c r="L170" s="2">
        <v>104.94</v>
      </c>
      <c r="M170" s="3">
        <v>0.2</v>
      </c>
      <c r="N170" t="s">
        <v>34</v>
      </c>
      <c r="O170" s="2">
        <v>167.9</v>
      </c>
      <c r="P170" s="2">
        <v>113.09</v>
      </c>
      <c r="Q170" s="2">
        <v>54.81</v>
      </c>
      <c r="R170">
        <v>1</v>
      </c>
      <c r="S170">
        <v>0</v>
      </c>
      <c r="T170">
        <v>6</v>
      </c>
      <c r="U170">
        <v>4</v>
      </c>
    </row>
    <row r="171" spans="1:21" ht="16.5" x14ac:dyDescent="0.3">
      <c r="A171" t="s">
        <v>245</v>
      </c>
      <c r="B171" s="1">
        <v>45324</v>
      </c>
      <c r="C171">
        <v>2024</v>
      </c>
      <c r="D171" t="s">
        <v>22</v>
      </c>
      <c r="E171" t="s">
        <v>242</v>
      </c>
      <c r="F171" t="s">
        <v>31</v>
      </c>
      <c r="G171" t="s">
        <v>65</v>
      </c>
      <c r="H171" t="s">
        <v>32</v>
      </c>
      <c r="I171" t="s">
        <v>84</v>
      </c>
      <c r="J171" t="s">
        <v>85</v>
      </c>
      <c r="K171">
        <v>1</v>
      </c>
      <c r="L171" s="2">
        <v>57.92</v>
      </c>
      <c r="M171" s="3">
        <v>0.1</v>
      </c>
      <c r="N171" t="s">
        <v>29</v>
      </c>
      <c r="O171" s="2">
        <v>52.13</v>
      </c>
      <c r="P171" s="2">
        <v>41.14</v>
      </c>
      <c r="Q171" s="2">
        <v>10.99</v>
      </c>
      <c r="R171">
        <v>1</v>
      </c>
      <c r="S171">
        <v>0</v>
      </c>
      <c r="T171">
        <v>7</v>
      </c>
      <c r="U171">
        <v>3</v>
      </c>
    </row>
    <row r="172" spans="1:21" ht="16.5" x14ac:dyDescent="0.3">
      <c r="A172" t="s">
        <v>246</v>
      </c>
      <c r="B172" s="1">
        <v>45324</v>
      </c>
      <c r="C172">
        <v>2024</v>
      </c>
      <c r="D172" t="s">
        <v>22</v>
      </c>
      <c r="E172" t="s">
        <v>242</v>
      </c>
      <c r="F172" t="s">
        <v>31</v>
      </c>
      <c r="G172" t="s">
        <v>65</v>
      </c>
      <c r="H172" t="s">
        <v>32</v>
      </c>
      <c r="I172" t="s">
        <v>70</v>
      </c>
      <c r="J172" t="s">
        <v>129</v>
      </c>
      <c r="K172">
        <v>2</v>
      </c>
      <c r="L172" s="2">
        <v>177.65</v>
      </c>
      <c r="M172" s="3">
        <v>0.15</v>
      </c>
      <c r="N172" t="s">
        <v>34</v>
      </c>
      <c r="O172" s="2">
        <v>302</v>
      </c>
      <c r="P172" s="2">
        <v>278.95</v>
      </c>
      <c r="Q172" s="2">
        <v>23.05</v>
      </c>
      <c r="R172">
        <v>1</v>
      </c>
      <c r="S172">
        <v>1</v>
      </c>
      <c r="T172">
        <v>7</v>
      </c>
      <c r="U172">
        <v>3</v>
      </c>
    </row>
    <row r="173" spans="1:21" ht="16.5" x14ac:dyDescent="0.3">
      <c r="A173" t="s">
        <v>247</v>
      </c>
      <c r="B173" s="1">
        <v>45324</v>
      </c>
      <c r="C173">
        <v>2024</v>
      </c>
      <c r="D173" t="s">
        <v>22</v>
      </c>
      <c r="E173" t="s">
        <v>242</v>
      </c>
      <c r="F173" t="s">
        <v>24</v>
      </c>
      <c r="G173" t="s">
        <v>51</v>
      </c>
      <c r="H173" t="s">
        <v>26</v>
      </c>
      <c r="I173" t="s">
        <v>70</v>
      </c>
      <c r="J173" t="s">
        <v>162</v>
      </c>
      <c r="K173">
        <v>2</v>
      </c>
      <c r="L173" s="2">
        <v>636.09</v>
      </c>
      <c r="M173" s="3">
        <v>0.05</v>
      </c>
      <c r="N173" t="s">
        <v>29</v>
      </c>
      <c r="O173" s="2">
        <v>1208.57</v>
      </c>
      <c r="P173" s="2">
        <v>1003.1</v>
      </c>
      <c r="Q173" s="2">
        <v>205.47</v>
      </c>
      <c r="R173">
        <v>1</v>
      </c>
      <c r="S173">
        <v>0</v>
      </c>
      <c r="T173">
        <v>2</v>
      </c>
      <c r="U173">
        <v>4</v>
      </c>
    </row>
    <row r="174" spans="1:21" ht="16.5" x14ac:dyDescent="0.3">
      <c r="A174" t="s">
        <v>248</v>
      </c>
      <c r="B174" s="1">
        <v>45325</v>
      </c>
      <c r="C174">
        <v>2024</v>
      </c>
      <c r="D174" t="s">
        <v>22</v>
      </c>
      <c r="E174" t="s">
        <v>242</v>
      </c>
      <c r="F174" t="s">
        <v>45</v>
      </c>
      <c r="G174" t="s">
        <v>25</v>
      </c>
      <c r="H174" t="s">
        <v>32</v>
      </c>
      <c r="I174" t="s">
        <v>36</v>
      </c>
      <c r="J174" t="s">
        <v>37</v>
      </c>
      <c r="K174">
        <v>1</v>
      </c>
      <c r="L174" s="2">
        <v>33.18</v>
      </c>
      <c r="M174" s="3">
        <v>0.2</v>
      </c>
      <c r="N174" t="s">
        <v>34</v>
      </c>
      <c r="O174" s="2">
        <v>26.54</v>
      </c>
      <c r="P174" s="2">
        <v>16.760000000000002</v>
      </c>
      <c r="Q174" s="2">
        <v>9.7799999999999994</v>
      </c>
      <c r="R174">
        <v>1</v>
      </c>
      <c r="S174">
        <v>0</v>
      </c>
      <c r="T174">
        <v>3</v>
      </c>
      <c r="U174">
        <v>5</v>
      </c>
    </row>
    <row r="175" spans="1:21" ht="16.5" x14ac:dyDescent="0.3">
      <c r="A175" t="s">
        <v>249</v>
      </c>
      <c r="B175" s="1">
        <v>45325</v>
      </c>
      <c r="C175">
        <v>2024</v>
      </c>
      <c r="D175" t="s">
        <v>22</v>
      </c>
      <c r="E175" t="s">
        <v>242</v>
      </c>
      <c r="F175" t="s">
        <v>24</v>
      </c>
      <c r="G175" t="s">
        <v>51</v>
      </c>
      <c r="H175" t="s">
        <v>32</v>
      </c>
      <c r="I175" t="s">
        <v>70</v>
      </c>
      <c r="J175" t="s">
        <v>82</v>
      </c>
      <c r="K175">
        <v>1</v>
      </c>
      <c r="L175" s="2">
        <v>508.8</v>
      </c>
      <c r="M175" s="3">
        <v>0.3</v>
      </c>
      <c r="N175" t="s">
        <v>62</v>
      </c>
      <c r="O175" s="2">
        <v>356.16</v>
      </c>
      <c r="P175" s="2">
        <v>408.68</v>
      </c>
      <c r="Q175" s="2">
        <v>-52.52</v>
      </c>
      <c r="R175">
        <v>1</v>
      </c>
      <c r="S175">
        <v>0</v>
      </c>
      <c r="T175">
        <v>4</v>
      </c>
      <c r="U175">
        <v>3</v>
      </c>
    </row>
    <row r="176" spans="1:21" ht="16.5" x14ac:dyDescent="0.3">
      <c r="A176" t="s">
        <v>250</v>
      </c>
      <c r="B176" s="1">
        <v>45325</v>
      </c>
      <c r="C176">
        <v>2024</v>
      </c>
      <c r="D176" t="s">
        <v>22</v>
      </c>
      <c r="E176" t="s">
        <v>242</v>
      </c>
      <c r="F176" t="s">
        <v>31</v>
      </c>
      <c r="G176" t="s">
        <v>49</v>
      </c>
      <c r="H176" t="s">
        <v>32</v>
      </c>
      <c r="I176" t="s">
        <v>42</v>
      </c>
      <c r="J176" t="s">
        <v>89</v>
      </c>
      <c r="K176">
        <v>1</v>
      </c>
      <c r="L176" s="2">
        <v>68.349999999999994</v>
      </c>
      <c r="M176" s="3">
        <v>0.05</v>
      </c>
      <c r="N176" t="s">
        <v>29</v>
      </c>
      <c r="O176" s="2">
        <v>64.930000000000007</v>
      </c>
      <c r="P176" s="2">
        <v>44.82</v>
      </c>
      <c r="Q176" s="2">
        <v>20.11</v>
      </c>
      <c r="R176">
        <v>1</v>
      </c>
      <c r="S176">
        <v>0</v>
      </c>
      <c r="T176">
        <v>3</v>
      </c>
      <c r="U176">
        <v>4</v>
      </c>
    </row>
    <row r="177" spans="1:21" ht="16.5" x14ac:dyDescent="0.3">
      <c r="A177" t="s">
        <v>251</v>
      </c>
      <c r="B177" s="1">
        <v>45325</v>
      </c>
      <c r="C177">
        <v>2024</v>
      </c>
      <c r="D177" t="s">
        <v>22</v>
      </c>
      <c r="E177" t="s">
        <v>242</v>
      </c>
      <c r="F177" t="s">
        <v>24</v>
      </c>
      <c r="G177" t="s">
        <v>49</v>
      </c>
      <c r="H177" t="s">
        <v>32</v>
      </c>
      <c r="I177" t="s">
        <v>70</v>
      </c>
      <c r="J177" t="s">
        <v>252</v>
      </c>
      <c r="K177">
        <v>1</v>
      </c>
      <c r="L177" s="2">
        <v>216.08</v>
      </c>
      <c r="M177" s="3">
        <v>0.15</v>
      </c>
      <c r="N177" t="s">
        <v>34</v>
      </c>
      <c r="O177" s="2">
        <v>183.67</v>
      </c>
      <c r="P177" s="2">
        <v>165.17</v>
      </c>
      <c r="Q177" s="2">
        <v>18.5</v>
      </c>
      <c r="R177">
        <v>1</v>
      </c>
      <c r="S177">
        <v>0</v>
      </c>
      <c r="T177">
        <v>4</v>
      </c>
      <c r="U177">
        <v>4</v>
      </c>
    </row>
    <row r="178" spans="1:21" ht="16.5" x14ac:dyDescent="0.3">
      <c r="A178" t="s">
        <v>253</v>
      </c>
      <c r="B178" s="1">
        <v>45325</v>
      </c>
      <c r="C178">
        <v>2024</v>
      </c>
      <c r="D178" t="s">
        <v>22</v>
      </c>
      <c r="E178" t="s">
        <v>242</v>
      </c>
      <c r="F178" t="s">
        <v>31</v>
      </c>
      <c r="G178" t="s">
        <v>65</v>
      </c>
      <c r="H178" t="s">
        <v>32</v>
      </c>
      <c r="I178" t="s">
        <v>84</v>
      </c>
      <c r="J178" t="s">
        <v>85</v>
      </c>
      <c r="K178">
        <v>4</v>
      </c>
      <c r="L178" s="2">
        <v>57.92</v>
      </c>
      <c r="M178" s="3">
        <v>0</v>
      </c>
      <c r="N178" t="s">
        <v>38</v>
      </c>
      <c r="O178" s="2">
        <v>231.68</v>
      </c>
      <c r="P178" s="2">
        <v>170.99</v>
      </c>
      <c r="Q178" s="2">
        <v>60.69</v>
      </c>
      <c r="R178">
        <v>1</v>
      </c>
      <c r="S178">
        <v>0</v>
      </c>
      <c r="T178">
        <v>6</v>
      </c>
      <c r="U178">
        <v>3</v>
      </c>
    </row>
    <row r="179" spans="1:21" ht="16.5" x14ac:dyDescent="0.3">
      <c r="A179" t="s">
        <v>254</v>
      </c>
      <c r="B179" s="1">
        <v>45325</v>
      </c>
      <c r="C179">
        <v>2024</v>
      </c>
      <c r="D179" t="s">
        <v>22</v>
      </c>
      <c r="E179" t="s">
        <v>242</v>
      </c>
      <c r="F179" t="s">
        <v>24</v>
      </c>
      <c r="G179" t="s">
        <v>51</v>
      </c>
      <c r="H179" t="s">
        <v>32</v>
      </c>
      <c r="I179" t="s">
        <v>42</v>
      </c>
      <c r="J179" t="s">
        <v>76</v>
      </c>
      <c r="K179">
        <v>1</v>
      </c>
      <c r="L179" s="2">
        <v>90.75</v>
      </c>
      <c r="M179" s="3">
        <v>0.05</v>
      </c>
      <c r="N179" t="s">
        <v>29</v>
      </c>
      <c r="O179" s="2">
        <v>86.21</v>
      </c>
      <c r="P179" s="2">
        <v>60.77</v>
      </c>
      <c r="Q179" s="2">
        <v>25.44</v>
      </c>
      <c r="R179">
        <v>1</v>
      </c>
      <c r="S179">
        <v>0</v>
      </c>
      <c r="T179">
        <v>2</v>
      </c>
      <c r="U179">
        <v>3</v>
      </c>
    </row>
    <row r="180" spans="1:21" ht="16.5" x14ac:dyDescent="0.3">
      <c r="A180" t="s">
        <v>255</v>
      </c>
      <c r="B180" s="1">
        <v>45325</v>
      </c>
      <c r="C180">
        <v>2024</v>
      </c>
      <c r="D180" t="s">
        <v>22</v>
      </c>
      <c r="E180" t="s">
        <v>242</v>
      </c>
      <c r="F180" t="s">
        <v>24</v>
      </c>
      <c r="G180" t="s">
        <v>65</v>
      </c>
      <c r="H180" t="s">
        <v>26</v>
      </c>
      <c r="I180" t="s">
        <v>27</v>
      </c>
      <c r="J180" t="s">
        <v>33</v>
      </c>
      <c r="K180">
        <v>1</v>
      </c>
      <c r="L180" s="2">
        <v>78.510000000000005</v>
      </c>
      <c r="M180" s="3">
        <v>0</v>
      </c>
      <c r="N180" t="s">
        <v>38</v>
      </c>
      <c r="O180" s="2">
        <v>78.510000000000005</v>
      </c>
      <c r="P180" s="2">
        <v>42.36</v>
      </c>
      <c r="Q180" s="2">
        <v>36.15</v>
      </c>
      <c r="R180">
        <v>1</v>
      </c>
      <c r="S180">
        <v>0</v>
      </c>
      <c r="T180">
        <v>6</v>
      </c>
      <c r="U180">
        <v>3</v>
      </c>
    </row>
    <row r="181" spans="1:21" ht="16.5" x14ac:dyDescent="0.3">
      <c r="A181" t="s">
        <v>256</v>
      </c>
      <c r="B181" s="1">
        <v>45325</v>
      </c>
      <c r="C181">
        <v>2024</v>
      </c>
      <c r="D181" t="s">
        <v>22</v>
      </c>
      <c r="E181" t="s">
        <v>242</v>
      </c>
      <c r="F181" t="s">
        <v>45</v>
      </c>
      <c r="G181" t="s">
        <v>25</v>
      </c>
      <c r="H181" t="s">
        <v>26</v>
      </c>
      <c r="I181" t="s">
        <v>84</v>
      </c>
      <c r="J181" t="s">
        <v>96</v>
      </c>
      <c r="K181">
        <v>1</v>
      </c>
      <c r="L181" s="2">
        <v>10.76</v>
      </c>
      <c r="M181" s="3">
        <v>0</v>
      </c>
      <c r="N181" t="s">
        <v>38</v>
      </c>
      <c r="O181" s="2">
        <v>10.76</v>
      </c>
      <c r="P181" s="2">
        <v>7.73</v>
      </c>
      <c r="Q181" s="2">
        <v>3.03</v>
      </c>
      <c r="R181">
        <v>1</v>
      </c>
      <c r="S181">
        <v>0</v>
      </c>
      <c r="T181">
        <v>4</v>
      </c>
      <c r="U181">
        <v>5</v>
      </c>
    </row>
    <row r="182" spans="1:21" ht="16.5" x14ac:dyDescent="0.3">
      <c r="A182" t="s">
        <v>257</v>
      </c>
      <c r="B182" s="1">
        <v>45325</v>
      </c>
      <c r="C182">
        <v>2024</v>
      </c>
      <c r="D182" t="s">
        <v>22</v>
      </c>
      <c r="E182" t="s">
        <v>242</v>
      </c>
      <c r="F182" t="s">
        <v>31</v>
      </c>
      <c r="G182" t="s">
        <v>51</v>
      </c>
      <c r="H182" t="s">
        <v>32</v>
      </c>
      <c r="I182" t="s">
        <v>84</v>
      </c>
      <c r="J182" t="s">
        <v>85</v>
      </c>
      <c r="K182">
        <v>1</v>
      </c>
      <c r="L182" s="2">
        <v>57.92</v>
      </c>
      <c r="M182" s="3">
        <v>0.1</v>
      </c>
      <c r="N182" t="s">
        <v>29</v>
      </c>
      <c r="O182" s="2">
        <v>52.13</v>
      </c>
      <c r="P182" s="2">
        <v>40.950000000000003</v>
      </c>
      <c r="Q182" s="2">
        <v>11.18</v>
      </c>
      <c r="R182">
        <v>1</v>
      </c>
      <c r="S182">
        <v>0</v>
      </c>
      <c r="T182">
        <v>4</v>
      </c>
      <c r="U182">
        <v>3</v>
      </c>
    </row>
    <row r="183" spans="1:21" ht="16.5" x14ac:dyDescent="0.3">
      <c r="A183" t="s">
        <v>258</v>
      </c>
      <c r="B183" s="1">
        <v>45326</v>
      </c>
      <c r="C183">
        <v>2024</v>
      </c>
      <c r="D183" t="s">
        <v>22</v>
      </c>
      <c r="E183" t="s">
        <v>242</v>
      </c>
      <c r="F183" t="s">
        <v>24</v>
      </c>
      <c r="G183" t="s">
        <v>51</v>
      </c>
      <c r="H183" t="s">
        <v>26</v>
      </c>
      <c r="I183" t="s">
        <v>42</v>
      </c>
      <c r="J183" t="s">
        <v>76</v>
      </c>
      <c r="K183">
        <v>1</v>
      </c>
      <c r="L183" s="2">
        <v>90.75</v>
      </c>
      <c r="M183" s="3">
        <v>0</v>
      </c>
      <c r="N183" t="s">
        <v>38</v>
      </c>
      <c r="O183" s="2">
        <v>90.75</v>
      </c>
      <c r="P183" s="2">
        <v>59.03</v>
      </c>
      <c r="Q183" s="2">
        <v>31.72</v>
      </c>
      <c r="R183">
        <v>1</v>
      </c>
      <c r="S183">
        <v>0</v>
      </c>
      <c r="T183">
        <v>4</v>
      </c>
      <c r="U183">
        <v>5</v>
      </c>
    </row>
    <row r="184" spans="1:21" ht="16.5" x14ac:dyDescent="0.3">
      <c r="A184" t="s">
        <v>259</v>
      </c>
      <c r="B184" s="1">
        <v>45326</v>
      </c>
      <c r="C184">
        <v>2024</v>
      </c>
      <c r="D184" t="s">
        <v>22</v>
      </c>
      <c r="E184" t="s">
        <v>242</v>
      </c>
      <c r="F184" t="s">
        <v>24</v>
      </c>
      <c r="G184" t="s">
        <v>46</v>
      </c>
      <c r="H184" t="s">
        <v>32</v>
      </c>
      <c r="I184" t="s">
        <v>70</v>
      </c>
      <c r="J184" t="s">
        <v>82</v>
      </c>
      <c r="K184">
        <v>2</v>
      </c>
      <c r="L184" s="2">
        <v>508.8</v>
      </c>
      <c r="M184" s="3">
        <v>0.25</v>
      </c>
      <c r="N184" t="s">
        <v>62</v>
      </c>
      <c r="O184" s="2">
        <v>763.2</v>
      </c>
      <c r="P184" s="2">
        <v>836.94</v>
      </c>
      <c r="Q184" s="2">
        <v>-73.739999999999995</v>
      </c>
      <c r="R184">
        <v>1</v>
      </c>
      <c r="S184">
        <v>0</v>
      </c>
      <c r="T184">
        <v>6</v>
      </c>
      <c r="U184">
        <v>4</v>
      </c>
    </row>
    <row r="185" spans="1:21" ht="16.5" x14ac:dyDescent="0.3">
      <c r="A185" t="s">
        <v>260</v>
      </c>
      <c r="B185" s="1">
        <v>45326</v>
      </c>
      <c r="C185">
        <v>2024</v>
      </c>
      <c r="D185" t="s">
        <v>22</v>
      </c>
      <c r="E185" t="s">
        <v>242</v>
      </c>
      <c r="F185" t="s">
        <v>24</v>
      </c>
      <c r="G185" t="s">
        <v>65</v>
      </c>
      <c r="H185" t="s">
        <v>26</v>
      </c>
      <c r="I185" t="s">
        <v>70</v>
      </c>
      <c r="J185" t="s">
        <v>252</v>
      </c>
      <c r="K185">
        <v>1</v>
      </c>
      <c r="L185" s="2">
        <v>216.08</v>
      </c>
      <c r="M185" s="3">
        <v>0.05</v>
      </c>
      <c r="N185" t="s">
        <v>29</v>
      </c>
      <c r="O185" s="2">
        <v>205.28</v>
      </c>
      <c r="P185" s="2">
        <v>176.26</v>
      </c>
      <c r="Q185" s="2">
        <v>29.02</v>
      </c>
      <c r="R185">
        <v>1</v>
      </c>
      <c r="S185">
        <v>0</v>
      </c>
      <c r="T185">
        <v>7</v>
      </c>
      <c r="U185">
        <v>3</v>
      </c>
    </row>
    <row r="186" spans="1:21" ht="16.5" x14ac:dyDescent="0.3">
      <c r="A186" t="s">
        <v>261</v>
      </c>
      <c r="B186" s="1">
        <v>45326</v>
      </c>
      <c r="C186">
        <v>2024</v>
      </c>
      <c r="D186" t="s">
        <v>22</v>
      </c>
      <c r="E186" t="s">
        <v>242</v>
      </c>
      <c r="F186" t="s">
        <v>45</v>
      </c>
      <c r="G186" t="s">
        <v>25</v>
      </c>
      <c r="H186" t="s">
        <v>32</v>
      </c>
      <c r="I186" t="s">
        <v>70</v>
      </c>
      <c r="J186" t="s">
        <v>82</v>
      </c>
      <c r="K186">
        <v>2</v>
      </c>
      <c r="L186" s="2">
        <v>508.8</v>
      </c>
      <c r="M186" s="3">
        <v>0</v>
      </c>
      <c r="N186" t="s">
        <v>38</v>
      </c>
      <c r="O186" s="2">
        <v>1017.6</v>
      </c>
      <c r="P186" s="2">
        <v>830.3</v>
      </c>
      <c r="Q186" s="2">
        <v>187.3</v>
      </c>
      <c r="R186">
        <v>1</v>
      </c>
      <c r="S186">
        <v>0</v>
      </c>
      <c r="T186">
        <v>3</v>
      </c>
      <c r="U186">
        <v>4</v>
      </c>
    </row>
    <row r="187" spans="1:21" ht="16.5" x14ac:dyDescent="0.3">
      <c r="A187" t="s">
        <v>262</v>
      </c>
      <c r="B187" s="1">
        <v>45326</v>
      </c>
      <c r="C187">
        <v>2024</v>
      </c>
      <c r="D187" t="s">
        <v>22</v>
      </c>
      <c r="E187" t="s">
        <v>242</v>
      </c>
      <c r="F187" t="s">
        <v>45</v>
      </c>
      <c r="G187" t="s">
        <v>25</v>
      </c>
      <c r="H187" t="s">
        <v>26</v>
      </c>
      <c r="I187" t="s">
        <v>27</v>
      </c>
      <c r="J187" t="s">
        <v>40</v>
      </c>
      <c r="K187">
        <v>3</v>
      </c>
      <c r="L187" s="2">
        <v>104.94</v>
      </c>
      <c r="M187" s="3">
        <v>0.05</v>
      </c>
      <c r="N187" t="s">
        <v>29</v>
      </c>
      <c r="O187" s="2">
        <v>299.08</v>
      </c>
      <c r="P187" s="2">
        <v>161</v>
      </c>
      <c r="Q187" s="2">
        <v>138.08000000000001</v>
      </c>
      <c r="R187">
        <v>1</v>
      </c>
      <c r="S187">
        <v>0</v>
      </c>
      <c r="T187">
        <v>5</v>
      </c>
      <c r="U187">
        <v>5</v>
      </c>
    </row>
    <row r="188" spans="1:21" ht="16.5" x14ac:dyDescent="0.3">
      <c r="A188" t="s">
        <v>263</v>
      </c>
      <c r="B188" s="1">
        <v>45326</v>
      </c>
      <c r="C188">
        <v>2024</v>
      </c>
      <c r="D188" t="s">
        <v>22</v>
      </c>
      <c r="E188" t="s">
        <v>242</v>
      </c>
      <c r="F188" t="s">
        <v>24</v>
      </c>
      <c r="G188" t="s">
        <v>51</v>
      </c>
      <c r="H188" t="s">
        <v>32</v>
      </c>
      <c r="I188" t="s">
        <v>67</v>
      </c>
      <c r="J188" t="s">
        <v>103</v>
      </c>
      <c r="K188">
        <v>3</v>
      </c>
      <c r="L188" s="2">
        <v>83.06</v>
      </c>
      <c r="M188" s="3">
        <v>0.25</v>
      </c>
      <c r="N188" t="s">
        <v>62</v>
      </c>
      <c r="O188" s="2">
        <v>186.88</v>
      </c>
      <c r="P188" s="2">
        <v>162.74</v>
      </c>
      <c r="Q188" s="2">
        <v>24.14</v>
      </c>
      <c r="R188">
        <v>1</v>
      </c>
      <c r="S188">
        <v>0</v>
      </c>
      <c r="T188">
        <v>2</v>
      </c>
      <c r="U188">
        <v>5</v>
      </c>
    </row>
    <row r="189" spans="1:21" ht="16.5" x14ac:dyDescent="0.3">
      <c r="A189" t="s">
        <v>264</v>
      </c>
      <c r="B189" s="1">
        <v>45327</v>
      </c>
      <c r="C189">
        <v>2024</v>
      </c>
      <c r="D189" t="s">
        <v>22</v>
      </c>
      <c r="E189" t="s">
        <v>242</v>
      </c>
      <c r="F189" t="s">
        <v>24</v>
      </c>
      <c r="G189" t="s">
        <v>51</v>
      </c>
      <c r="H189" t="s">
        <v>26</v>
      </c>
      <c r="I189" t="s">
        <v>42</v>
      </c>
      <c r="J189" t="s">
        <v>98</v>
      </c>
      <c r="K189">
        <v>2</v>
      </c>
      <c r="L189" s="2">
        <v>117.63</v>
      </c>
      <c r="M189" s="3">
        <v>0.15</v>
      </c>
      <c r="N189" t="s">
        <v>34</v>
      </c>
      <c r="O189" s="2">
        <v>199.97</v>
      </c>
      <c r="P189" s="2">
        <v>154.02000000000001</v>
      </c>
      <c r="Q189" s="2">
        <v>45.95</v>
      </c>
      <c r="R189">
        <v>1</v>
      </c>
      <c r="S189">
        <v>0</v>
      </c>
      <c r="T189">
        <v>4</v>
      </c>
      <c r="U189">
        <v>5</v>
      </c>
    </row>
    <row r="190" spans="1:21" ht="16.5" x14ac:dyDescent="0.3">
      <c r="A190" t="s">
        <v>265</v>
      </c>
      <c r="B190" s="1">
        <v>45327</v>
      </c>
      <c r="C190">
        <v>2024</v>
      </c>
      <c r="D190" t="s">
        <v>22</v>
      </c>
      <c r="E190" t="s">
        <v>242</v>
      </c>
      <c r="F190" t="s">
        <v>31</v>
      </c>
      <c r="G190" t="s">
        <v>49</v>
      </c>
      <c r="H190" t="s">
        <v>32</v>
      </c>
      <c r="I190" t="s">
        <v>70</v>
      </c>
      <c r="J190" t="s">
        <v>82</v>
      </c>
      <c r="K190">
        <v>3</v>
      </c>
      <c r="L190" s="2">
        <v>508.8</v>
      </c>
      <c r="M190" s="3">
        <v>0.15</v>
      </c>
      <c r="N190" t="s">
        <v>34</v>
      </c>
      <c r="O190" s="2">
        <v>1297.44</v>
      </c>
      <c r="P190" s="2">
        <v>1222.24</v>
      </c>
      <c r="Q190" s="2">
        <v>75.2</v>
      </c>
      <c r="R190">
        <v>1</v>
      </c>
      <c r="S190">
        <v>0</v>
      </c>
      <c r="T190">
        <v>3</v>
      </c>
      <c r="U190">
        <v>5</v>
      </c>
    </row>
    <row r="191" spans="1:21" ht="16.5" x14ac:dyDescent="0.3">
      <c r="A191" t="s">
        <v>266</v>
      </c>
      <c r="B191" s="1">
        <v>45327</v>
      </c>
      <c r="C191">
        <v>2024</v>
      </c>
      <c r="D191" t="s">
        <v>22</v>
      </c>
      <c r="E191" t="s">
        <v>242</v>
      </c>
      <c r="F191" t="s">
        <v>24</v>
      </c>
      <c r="G191" t="s">
        <v>46</v>
      </c>
      <c r="H191" t="s">
        <v>32</v>
      </c>
      <c r="I191" t="s">
        <v>42</v>
      </c>
      <c r="J191" t="s">
        <v>98</v>
      </c>
      <c r="K191">
        <v>1</v>
      </c>
      <c r="L191" s="2">
        <v>117.63</v>
      </c>
      <c r="M191" s="3">
        <v>0.1</v>
      </c>
      <c r="N191" t="s">
        <v>29</v>
      </c>
      <c r="O191" s="2">
        <v>105.87</v>
      </c>
      <c r="P191" s="2">
        <v>75.69</v>
      </c>
      <c r="Q191" s="2">
        <v>30.18</v>
      </c>
      <c r="R191">
        <v>1</v>
      </c>
      <c r="S191">
        <v>0</v>
      </c>
      <c r="T191">
        <v>5</v>
      </c>
      <c r="U191">
        <v>4</v>
      </c>
    </row>
    <row r="192" spans="1:21" ht="16.5" x14ac:dyDescent="0.3">
      <c r="A192" t="s">
        <v>267</v>
      </c>
      <c r="B192" s="1">
        <v>45327</v>
      </c>
      <c r="C192">
        <v>2024</v>
      </c>
      <c r="D192" t="s">
        <v>22</v>
      </c>
      <c r="E192" t="s">
        <v>242</v>
      </c>
      <c r="F192" t="s">
        <v>24</v>
      </c>
      <c r="G192" t="s">
        <v>49</v>
      </c>
      <c r="H192" t="s">
        <v>32</v>
      </c>
      <c r="I192" t="s">
        <v>67</v>
      </c>
      <c r="J192" t="s">
        <v>174</v>
      </c>
      <c r="K192">
        <v>4</v>
      </c>
      <c r="L192" s="2">
        <v>137.05000000000001</v>
      </c>
      <c r="M192" s="3">
        <v>0</v>
      </c>
      <c r="N192" t="s">
        <v>38</v>
      </c>
      <c r="O192" s="2">
        <v>548.20000000000005</v>
      </c>
      <c r="P192" s="2">
        <v>353.73</v>
      </c>
      <c r="Q192" s="2">
        <v>194.47</v>
      </c>
      <c r="R192">
        <v>1</v>
      </c>
      <c r="S192">
        <v>0</v>
      </c>
      <c r="T192">
        <v>4</v>
      </c>
      <c r="U192">
        <v>4</v>
      </c>
    </row>
    <row r="193" spans="1:21" ht="16.5" x14ac:dyDescent="0.3">
      <c r="A193" t="s">
        <v>268</v>
      </c>
      <c r="B193" s="1">
        <v>45327</v>
      </c>
      <c r="C193">
        <v>2024</v>
      </c>
      <c r="D193" t="s">
        <v>22</v>
      </c>
      <c r="E193" t="s">
        <v>242</v>
      </c>
      <c r="F193" t="s">
        <v>31</v>
      </c>
      <c r="G193" t="s">
        <v>25</v>
      </c>
      <c r="H193" t="s">
        <v>32</v>
      </c>
      <c r="I193" t="s">
        <v>84</v>
      </c>
      <c r="J193" t="s">
        <v>223</v>
      </c>
      <c r="K193">
        <v>1</v>
      </c>
      <c r="L193" s="2">
        <v>16.97</v>
      </c>
      <c r="M193" s="3">
        <v>0</v>
      </c>
      <c r="N193" t="s">
        <v>38</v>
      </c>
      <c r="O193" s="2">
        <v>16.97</v>
      </c>
      <c r="P193" s="2">
        <v>12.69</v>
      </c>
      <c r="Q193" s="2">
        <v>4.28</v>
      </c>
      <c r="R193">
        <v>1</v>
      </c>
      <c r="S193">
        <v>0</v>
      </c>
      <c r="T193">
        <v>3</v>
      </c>
      <c r="U193">
        <v>5</v>
      </c>
    </row>
    <row r="194" spans="1:21" ht="16.5" x14ac:dyDescent="0.3">
      <c r="A194" t="s">
        <v>269</v>
      </c>
      <c r="B194" s="1">
        <v>45328</v>
      </c>
      <c r="C194">
        <v>2024</v>
      </c>
      <c r="D194" t="s">
        <v>22</v>
      </c>
      <c r="E194" t="s">
        <v>242</v>
      </c>
      <c r="F194" t="s">
        <v>45</v>
      </c>
      <c r="G194" t="s">
        <v>51</v>
      </c>
      <c r="H194" t="s">
        <v>26</v>
      </c>
      <c r="I194" t="s">
        <v>27</v>
      </c>
      <c r="J194" t="s">
        <v>60</v>
      </c>
      <c r="K194">
        <v>1</v>
      </c>
      <c r="L194" s="2">
        <v>94.85</v>
      </c>
      <c r="M194" s="3">
        <v>0.25</v>
      </c>
      <c r="N194" t="s">
        <v>62</v>
      </c>
      <c r="O194" s="2">
        <v>71.14</v>
      </c>
      <c r="P194" s="2">
        <v>50.8</v>
      </c>
      <c r="Q194" s="2">
        <v>20.34</v>
      </c>
      <c r="R194">
        <v>1</v>
      </c>
      <c r="S194">
        <v>0</v>
      </c>
      <c r="T194">
        <v>3</v>
      </c>
      <c r="U194">
        <v>5</v>
      </c>
    </row>
    <row r="195" spans="1:21" ht="16.5" x14ac:dyDescent="0.3">
      <c r="A195" t="s">
        <v>270</v>
      </c>
      <c r="B195" s="1">
        <v>45328</v>
      </c>
      <c r="C195">
        <v>2024</v>
      </c>
      <c r="D195" t="s">
        <v>22</v>
      </c>
      <c r="E195" t="s">
        <v>242</v>
      </c>
      <c r="F195" t="s">
        <v>24</v>
      </c>
      <c r="G195" t="s">
        <v>51</v>
      </c>
      <c r="H195" t="s">
        <v>26</v>
      </c>
      <c r="I195" t="s">
        <v>67</v>
      </c>
      <c r="J195" t="s">
        <v>68</v>
      </c>
      <c r="K195">
        <v>1</v>
      </c>
      <c r="L195" s="2">
        <v>74.459999999999994</v>
      </c>
      <c r="M195" s="3">
        <v>0</v>
      </c>
      <c r="N195" t="s">
        <v>38</v>
      </c>
      <c r="O195" s="2">
        <v>74.459999999999994</v>
      </c>
      <c r="P195" s="2">
        <v>48.36</v>
      </c>
      <c r="Q195" s="2">
        <v>26.1</v>
      </c>
      <c r="R195">
        <v>1</v>
      </c>
      <c r="S195">
        <v>0</v>
      </c>
      <c r="T195">
        <v>2</v>
      </c>
      <c r="U195">
        <v>5</v>
      </c>
    </row>
    <row r="196" spans="1:21" ht="16.5" x14ac:dyDescent="0.3">
      <c r="A196" t="s">
        <v>271</v>
      </c>
      <c r="B196" s="1">
        <v>45328</v>
      </c>
      <c r="C196">
        <v>2024</v>
      </c>
      <c r="D196" t="s">
        <v>22</v>
      </c>
      <c r="E196" t="s">
        <v>242</v>
      </c>
      <c r="F196" t="s">
        <v>24</v>
      </c>
      <c r="G196" t="s">
        <v>51</v>
      </c>
      <c r="H196" t="s">
        <v>26</v>
      </c>
      <c r="I196" t="s">
        <v>70</v>
      </c>
      <c r="J196" t="s">
        <v>129</v>
      </c>
      <c r="K196">
        <v>2</v>
      </c>
      <c r="L196" s="2">
        <v>177.65</v>
      </c>
      <c r="M196" s="3">
        <v>0.1</v>
      </c>
      <c r="N196" t="s">
        <v>29</v>
      </c>
      <c r="O196" s="2">
        <v>319.77</v>
      </c>
      <c r="P196" s="2">
        <v>293.60000000000002</v>
      </c>
      <c r="Q196" s="2">
        <v>26.17</v>
      </c>
      <c r="R196">
        <v>1</v>
      </c>
      <c r="S196">
        <v>0</v>
      </c>
      <c r="T196">
        <v>3</v>
      </c>
      <c r="U196">
        <v>5</v>
      </c>
    </row>
    <row r="197" spans="1:21" ht="16.5" x14ac:dyDescent="0.3">
      <c r="A197" t="s">
        <v>272</v>
      </c>
      <c r="B197" s="1">
        <v>45328</v>
      </c>
      <c r="C197">
        <v>2024</v>
      </c>
      <c r="D197" t="s">
        <v>22</v>
      </c>
      <c r="E197" t="s">
        <v>242</v>
      </c>
      <c r="F197" t="s">
        <v>24</v>
      </c>
      <c r="G197" t="s">
        <v>65</v>
      </c>
      <c r="H197" t="s">
        <v>26</v>
      </c>
      <c r="I197" t="s">
        <v>27</v>
      </c>
      <c r="J197" t="s">
        <v>28</v>
      </c>
      <c r="K197">
        <v>1</v>
      </c>
      <c r="L197" s="2">
        <v>138.5</v>
      </c>
      <c r="M197" s="3">
        <v>0</v>
      </c>
      <c r="N197" t="s">
        <v>38</v>
      </c>
      <c r="O197" s="2">
        <v>138.5</v>
      </c>
      <c r="P197" s="2">
        <v>73.58</v>
      </c>
      <c r="Q197" s="2">
        <v>64.92</v>
      </c>
      <c r="R197">
        <v>1</v>
      </c>
      <c r="S197">
        <v>0</v>
      </c>
      <c r="T197">
        <v>6</v>
      </c>
      <c r="U197">
        <v>2</v>
      </c>
    </row>
    <row r="198" spans="1:21" ht="16.5" x14ac:dyDescent="0.3">
      <c r="A198" t="s">
        <v>273</v>
      </c>
      <c r="B198" s="1">
        <v>45328</v>
      </c>
      <c r="C198">
        <v>2024</v>
      </c>
      <c r="D198" t="s">
        <v>22</v>
      </c>
      <c r="E198" t="s">
        <v>242</v>
      </c>
      <c r="F198" t="s">
        <v>31</v>
      </c>
      <c r="G198" t="s">
        <v>25</v>
      </c>
      <c r="H198" t="s">
        <v>26</v>
      </c>
      <c r="I198" t="s">
        <v>42</v>
      </c>
      <c r="J198" t="s">
        <v>89</v>
      </c>
      <c r="K198">
        <v>1</v>
      </c>
      <c r="L198" s="2">
        <v>68.349999999999994</v>
      </c>
      <c r="M198" s="3">
        <v>0.25</v>
      </c>
      <c r="N198" t="s">
        <v>62</v>
      </c>
      <c r="O198" s="2">
        <v>51.26</v>
      </c>
      <c r="P198" s="2">
        <v>43.63</v>
      </c>
      <c r="Q198" s="2">
        <v>7.63</v>
      </c>
      <c r="R198">
        <v>1</v>
      </c>
      <c r="S198">
        <v>0</v>
      </c>
      <c r="T198">
        <v>4</v>
      </c>
      <c r="U198">
        <v>5</v>
      </c>
    </row>
    <row r="199" spans="1:21" ht="16.5" x14ac:dyDescent="0.3">
      <c r="A199" t="s">
        <v>274</v>
      </c>
      <c r="B199" s="1">
        <v>45328</v>
      </c>
      <c r="C199">
        <v>2024</v>
      </c>
      <c r="D199" t="s">
        <v>22</v>
      </c>
      <c r="E199" t="s">
        <v>242</v>
      </c>
      <c r="F199" t="s">
        <v>24</v>
      </c>
      <c r="G199" t="s">
        <v>25</v>
      </c>
      <c r="H199" t="s">
        <v>26</v>
      </c>
      <c r="I199" t="s">
        <v>27</v>
      </c>
      <c r="J199" t="s">
        <v>60</v>
      </c>
      <c r="K199">
        <v>1</v>
      </c>
      <c r="L199" s="2">
        <v>94.85</v>
      </c>
      <c r="M199" s="3">
        <v>0.3</v>
      </c>
      <c r="N199" t="s">
        <v>62</v>
      </c>
      <c r="O199" s="2">
        <v>66.400000000000006</v>
      </c>
      <c r="P199" s="2">
        <v>50.46</v>
      </c>
      <c r="Q199" s="2">
        <v>15.94</v>
      </c>
      <c r="R199">
        <v>1</v>
      </c>
      <c r="S199">
        <v>0</v>
      </c>
      <c r="T199">
        <v>5</v>
      </c>
      <c r="U199">
        <v>5</v>
      </c>
    </row>
    <row r="200" spans="1:21" ht="16.5" x14ac:dyDescent="0.3">
      <c r="A200" t="s">
        <v>275</v>
      </c>
      <c r="B200" s="1">
        <v>45328</v>
      </c>
      <c r="C200">
        <v>2024</v>
      </c>
      <c r="D200" t="s">
        <v>22</v>
      </c>
      <c r="E200" t="s">
        <v>242</v>
      </c>
      <c r="F200" t="s">
        <v>24</v>
      </c>
      <c r="G200" t="s">
        <v>51</v>
      </c>
      <c r="H200" t="s">
        <v>26</v>
      </c>
      <c r="I200" t="s">
        <v>27</v>
      </c>
      <c r="J200" t="s">
        <v>40</v>
      </c>
      <c r="K200">
        <v>1</v>
      </c>
      <c r="L200" s="2">
        <v>104.94</v>
      </c>
      <c r="M200" s="3">
        <v>0</v>
      </c>
      <c r="N200" t="s">
        <v>38</v>
      </c>
      <c r="O200" s="2">
        <v>104.94</v>
      </c>
      <c r="P200" s="2">
        <v>54.39</v>
      </c>
      <c r="Q200" s="2">
        <v>50.55</v>
      </c>
      <c r="R200">
        <v>1</v>
      </c>
      <c r="S200">
        <v>0</v>
      </c>
      <c r="T200">
        <v>2</v>
      </c>
      <c r="U200">
        <v>4</v>
      </c>
    </row>
    <row r="201" spans="1:21" ht="16.5" x14ac:dyDescent="0.3">
      <c r="A201" t="s">
        <v>276</v>
      </c>
      <c r="B201" s="1">
        <v>45328</v>
      </c>
      <c r="C201">
        <v>2024</v>
      </c>
      <c r="D201" t="s">
        <v>22</v>
      </c>
      <c r="E201" t="s">
        <v>242</v>
      </c>
      <c r="F201" t="s">
        <v>45</v>
      </c>
      <c r="G201" t="s">
        <v>49</v>
      </c>
      <c r="H201" t="s">
        <v>26</v>
      </c>
      <c r="I201" t="s">
        <v>70</v>
      </c>
      <c r="J201" t="s">
        <v>252</v>
      </c>
      <c r="K201">
        <v>1</v>
      </c>
      <c r="L201" s="2">
        <v>216.08</v>
      </c>
      <c r="M201" s="3">
        <v>0.15</v>
      </c>
      <c r="N201" t="s">
        <v>34</v>
      </c>
      <c r="O201" s="2">
        <v>183.67</v>
      </c>
      <c r="P201" s="2">
        <v>168.08</v>
      </c>
      <c r="Q201" s="2">
        <v>15.59</v>
      </c>
      <c r="R201">
        <v>1</v>
      </c>
      <c r="S201">
        <v>0</v>
      </c>
      <c r="T201">
        <v>6</v>
      </c>
      <c r="U201">
        <v>3</v>
      </c>
    </row>
    <row r="202" spans="1:21" ht="16.5" x14ac:dyDescent="0.3">
      <c r="A202" t="s">
        <v>277</v>
      </c>
      <c r="B202" s="1">
        <v>45328</v>
      </c>
      <c r="C202">
        <v>2024</v>
      </c>
      <c r="D202" t="s">
        <v>22</v>
      </c>
      <c r="E202" t="s">
        <v>242</v>
      </c>
      <c r="F202" t="s">
        <v>45</v>
      </c>
      <c r="G202" t="s">
        <v>51</v>
      </c>
      <c r="H202" t="s">
        <v>32</v>
      </c>
      <c r="I202" t="s">
        <v>42</v>
      </c>
      <c r="J202" t="s">
        <v>43</v>
      </c>
      <c r="K202">
        <v>1</v>
      </c>
      <c r="L202" s="2">
        <v>154.66</v>
      </c>
      <c r="M202" s="3">
        <v>0.1</v>
      </c>
      <c r="N202" t="s">
        <v>29</v>
      </c>
      <c r="O202" s="2">
        <v>139.19</v>
      </c>
      <c r="P202" s="2">
        <v>107.99</v>
      </c>
      <c r="Q202" s="2">
        <v>31.2</v>
      </c>
      <c r="R202">
        <v>1</v>
      </c>
      <c r="S202">
        <v>0</v>
      </c>
      <c r="T202">
        <v>2</v>
      </c>
      <c r="U202">
        <v>4</v>
      </c>
    </row>
    <row r="203" spans="1:21" ht="16.5" x14ac:dyDescent="0.3">
      <c r="A203" t="s">
        <v>278</v>
      </c>
      <c r="B203" s="1">
        <v>45328</v>
      </c>
      <c r="C203">
        <v>2024</v>
      </c>
      <c r="D203" t="s">
        <v>22</v>
      </c>
      <c r="E203" t="s">
        <v>242</v>
      </c>
      <c r="F203" t="s">
        <v>45</v>
      </c>
      <c r="G203" t="s">
        <v>49</v>
      </c>
      <c r="H203" t="s">
        <v>26</v>
      </c>
      <c r="I203" t="s">
        <v>70</v>
      </c>
      <c r="J203" t="s">
        <v>129</v>
      </c>
      <c r="K203">
        <v>4</v>
      </c>
      <c r="L203" s="2">
        <v>177.65</v>
      </c>
      <c r="M203" s="3">
        <v>0</v>
      </c>
      <c r="N203" t="s">
        <v>38</v>
      </c>
      <c r="O203" s="2">
        <v>710.6</v>
      </c>
      <c r="P203" s="2">
        <v>565.83000000000004</v>
      </c>
      <c r="Q203" s="2">
        <v>144.77000000000001</v>
      </c>
      <c r="R203">
        <v>1</v>
      </c>
      <c r="S203">
        <v>0</v>
      </c>
      <c r="T203">
        <v>4</v>
      </c>
      <c r="U203">
        <v>4</v>
      </c>
    </row>
    <row r="204" spans="1:21" ht="16.5" x14ac:dyDescent="0.3">
      <c r="A204" t="s">
        <v>279</v>
      </c>
      <c r="B204" s="1">
        <v>45328</v>
      </c>
      <c r="C204">
        <v>2024</v>
      </c>
      <c r="D204" t="s">
        <v>22</v>
      </c>
      <c r="E204" t="s">
        <v>242</v>
      </c>
      <c r="F204" t="s">
        <v>45</v>
      </c>
      <c r="G204" t="s">
        <v>51</v>
      </c>
      <c r="H204" t="s">
        <v>32</v>
      </c>
      <c r="I204" t="s">
        <v>36</v>
      </c>
      <c r="J204" t="s">
        <v>37</v>
      </c>
      <c r="K204">
        <v>2</v>
      </c>
      <c r="L204" s="2">
        <v>33.18</v>
      </c>
      <c r="M204" s="3">
        <v>0</v>
      </c>
      <c r="N204" t="s">
        <v>38</v>
      </c>
      <c r="O204" s="2">
        <v>66.36</v>
      </c>
      <c r="P204" s="2">
        <v>30.89</v>
      </c>
      <c r="Q204" s="2">
        <v>35.47</v>
      </c>
      <c r="R204">
        <v>1</v>
      </c>
      <c r="S204">
        <v>0</v>
      </c>
      <c r="T204">
        <v>3</v>
      </c>
      <c r="U204">
        <v>5</v>
      </c>
    </row>
    <row r="205" spans="1:21" ht="16.5" x14ac:dyDescent="0.3">
      <c r="A205" t="s">
        <v>280</v>
      </c>
      <c r="B205" s="1">
        <v>45328</v>
      </c>
      <c r="C205">
        <v>2024</v>
      </c>
      <c r="D205" t="s">
        <v>22</v>
      </c>
      <c r="E205" t="s">
        <v>242</v>
      </c>
      <c r="F205" t="s">
        <v>31</v>
      </c>
      <c r="G205" t="s">
        <v>49</v>
      </c>
      <c r="H205" t="s">
        <v>32</v>
      </c>
      <c r="I205" t="s">
        <v>67</v>
      </c>
      <c r="J205" t="s">
        <v>78</v>
      </c>
      <c r="K205">
        <v>1</v>
      </c>
      <c r="L205" s="2">
        <v>85.42</v>
      </c>
      <c r="M205" s="3">
        <v>0</v>
      </c>
      <c r="N205" t="s">
        <v>38</v>
      </c>
      <c r="O205" s="2">
        <v>85.42</v>
      </c>
      <c r="P205" s="2">
        <v>57.88</v>
      </c>
      <c r="Q205" s="2">
        <v>27.54</v>
      </c>
      <c r="R205">
        <v>1</v>
      </c>
      <c r="S205">
        <v>0</v>
      </c>
      <c r="T205">
        <v>3</v>
      </c>
      <c r="U205">
        <v>5</v>
      </c>
    </row>
    <row r="206" spans="1:21" ht="16.5" x14ac:dyDescent="0.3">
      <c r="A206" t="s">
        <v>281</v>
      </c>
      <c r="B206" s="1">
        <v>45328</v>
      </c>
      <c r="C206">
        <v>2024</v>
      </c>
      <c r="D206" t="s">
        <v>22</v>
      </c>
      <c r="E206" t="s">
        <v>242</v>
      </c>
      <c r="F206" t="s">
        <v>24</v>
      </c>
      <c r="G206" t="s">
        <v>49</v>
      </c>
      <c r="H206" t="s">
        <v>32</v>
      </c>
      <c r="I206" t="s">
        <v>84</v>
      </c>
      <c r="J206" t="s">
        <v>85</v>
      </c>
      <c r="K206">
        <v>1</v>
      </c>
      <c r="L206" s="2">
        <v>57.92</v>
      </c>
      <c r="M206" s="3">
        <v>0.05</v>
      </c>
      <c r="N206" t="s">
        <v>29</v>
      </c>
      <c r="O206" s="2">
        <v>55.02</v>
      </c>
      <c r="P206" s="2">
        <v>41.86</v>
      </c>
      <c r="Q206" s="2">
        <v>13.16</v>
      </c>
      <c r="R206">
        <v>1</v>
      </c>
      <c r="S206">
        <v>0</v>
      </c>
      <c r="T206">
        <v>3</v>
      </c>
      <c r="U206">
        <v>4</v>
      </c>
    </row>
    <row r="207" spans="1:21" ht="16.5" x14ac:dyDescent="0.3">
      <c r="A207" t="s">
        <v>282</v>
      </c>
      <c r="B207" s="1">
        <v>45328</v>
      </c>
      <c r="C207">
        <v>2024</v>
      </c>
      <c r="D207" t="s">
        <v>22</v>
      </c>
      <c r="E207" t="s">
        <v>242</v>
      </c>
      <c r="F207" t="s">
        <v>24</v>
      </c>
      <c r="G207" t="s">
        <v>49</v>
      </c>
      <c r="H207" t="s">
        <v>32</v>
      </c>
      <c r="I207" t="s">
        <v>84</v>
      </c>
      <c r="J207" t="s">
        <v>132</v>
      </c>
      <c r="K207">
        <v>2</v>
      </c>
      <c r="L207" s="2">
        <v>48.86</v>
      </c>
      <c r="M207" s="3">
        <v>0</v>
      </c>
      <c r="N207" t="s">
        <v>38</v>
      </c>
      <c r="O207" s="2">
        <v>97.72</v>
      </c>
      <c r="P207" s="2">
        <v>67.319999999999993</v>
      </c>
      <c r="Q207" s="2">
        <v>30.4</v>
      </c>
      <c r="R207">
        <v>1</v>
      </c>
      <c r="S207">
        <v>0</v>
      </c>
      <c r="T207">
        <v>5</v>
      </c>
      <c r="U207">
        <v>5</v>
      </c>
    </row>
    <row r="208" spans="1:21" ht="16.5" x14ac:dyDescent="0.3">
      <c r="A208" t="s">
        <v>283</v>
      </c>
      <c r="B208" s="1">
        <v>45329</v>
      </c>
      <c r="C208">
        <v>2024</v>
      </c>
      <c r="D208" t="s">
        <v>22</v>
      </c>
      <c r="E208" t="s">
        <v>242</v>
      </c>
      <c r="F208" t="s">
        <v>24</v>
      </c>
      <c r="G208" t="s">
        <v>25</v>
      </c>
      <c r="H208" t="s">
        <v>32</v>
      </c>
      <c r="I208" t="s">
        <v>67</v>
      </c>
      <c r="J208" t="s">
        <v>93</v>
      </c>
      <c r="K208">
        <v>1</v>
      </c>
      <c r="L208" s="2">
        <v>198.42</v>
      </c>
      <c r="M208" s="3">
        <v>0.1</v>
      </c>
      <c r="N208" t="s">
        <v>29</v>
      </c>
      <c r="O208" s="2">
        <v>178.58</v>
      </c>
      <c r="P208" s="2">
        <v>139.55000000000001</v>
      </c>
      <c r="Q208" s="2">
        <v>39.03</v>
      </c>
      <c r="R208">
        <v>1</v>
      </c>
      <c r="S208">
        <v>0</v>
      </c>
      <c r="T208">
        <v>4</v>
      </c>
      <c r="U208">
        <v>5</v>
      </c>
    </row>
    <row r="209" spans="1:21" ht="16.5" x14ac:dyDescent="0.3">
      <c r="A209" t="s">
        <v>284</v>
      </c>
      <c r="B209" s="1">
        <v>45329</v>
      </c>
      <c r="C209">
        <v>2024</v>
      </c>
      <c r="D209" t="s">
        <v>22</v>
      </c>
      <c r="E209" t="s">
        <v>242</v>
      </c>
      <c r="F209" t="s">
        <v>24</v>
      </c>
      <c r="G209" t="s">
        <v>49</v>
      </c>
      <c r="H209" t="s">
        <v>32</v>
      </c>
      <c r="I209" t="s">
        <v>36</v>
      </c>
      <c r="J209" t="s">
        <v>52</v>
      </c>
      <c r="K209">
        <v>2</v>
      </c>
      <c r="L209" s="2">
        <v>92.54</v>
      </c>
      <c r="M209" s="3">
        <v>0.05</v>
      </c>
      <c r="N209" t="s">
        <v>29</v>
      </c>
      <c r="O209" s="2">
        <v>175.83</v>
      </c>
      <c r="P209" s="2">
        <v>92.95</v>
      </c>
      <c r="Q209" s="2">
        <v>82.88</v>
      </c>
      <c r="R209">
        <v>1</v>
      </c>
      <c r="S209">
        <v>0</v>
      </c>
      <c r="T209">
        <v>6</v>
      </c>
      <c r="U209">
        <v>3</v>
      </c>
    </row>
    <row r="210" spans="1:21" ht="16.5" x14ac:dyDescent="0.3">
      <c r="A210" t="s">
        <v>285</v>
      </c>
      <c r="B210" s="1">
        <v>45329</v>
      </c>
      <c r="C210">
        <v>2024</v>
      </c>
      <c r="D210" t="s">
        <v>22</v>
      </c>
      <c r="E210" t="s">
        <v>242</v>
      </c>
      <c r="F210" t="s">
        <v>24</v>
      </c>
      <c r="G210" t="s">
        <v>25</v>
      </c>
      <c r="H210" t="s">
        <v>32</v>
      </c>
      <c r="I210" t="s">
        <v>42</v>
      </c>
      <c r="J210" t="s">
        <v>43</v>
      </c>
      <c r="K210">
        <v>1</v>
      </c>
      <c r="L210" s="2">
        <v>154.66</v>
      </c>
      <c r="M210" s="3">
        <v>0.05</v>
      </c>
      <c r="N210" t="s">
        <v>29</v>
      </c>
      <c r="O210" s="2">
        <v>146.93</v>
      </c>
      <c r="P210" s="2">
        <v>100.59</v>
      </c>
      <c r="Q210" s="2">
        <v>46.34</v>
      </c>
      <c r="R210">
        <v>1</v>
      </c>
      <c r="S210">
        <v>0</v>
      </c>
      <c r="T210">
        <v>5</v>
      </c>
      <c r="U210">
        <v>4</v>
      </c>
    </row>
    <row r="211" spans="1:21" ht="16.5" x14ac:dyDescent="0.3">
      <c r="A211" t="s">
        <v>286</v>
      </c>
      <c r="B211" s="1">
        <v>45329</v>
      </c>
      <c r="C211">
        <v>2024</v>
      </c>
      <c r="D211" t="s">
        <v>22</v>
      </c>
      <c r="E211" t="s">
        <v>242</v>
      </c>
      <c r="F211" t="s">
        <v>24</v>
      </c>
      <c r="G211" t="s">
        <v>25</v>
      </c>
      <c r="H211" t="s">
        <v>32</v>
      </c>
      <c r="I211" t="s">
        <v>27</v>
      </c>
      <c r="J211" t="s">
        <v>110</v>
      </c>
      <c r="K211">
        <v>1</v>
      </c>
      <c r="L211" s="2">
        <v>19.41</v>
      </c>
      <c r="M211" s="3">
        <v>0</v>
      </c>
      <c r="N211" t="s">
        <v>38</v>
      </c>
      <c r="O211" s="2">
        <v>19.41</v>
      </c>
      <c r="P211" s="2">
        <v>10.51</v>
      </c>
      <c r="Q211" s="2">
        <v>8.9</v>
      </c>
      <c r="R211">
        <v>1</v>
      </c>
      <c r="S211">
        <v>0</v>
      </c>
      <c r="T211">
        <v>3</v>
      </c>
      <c r="U211">
        <v>4</v>
      </c>
    </row>
    <row r="212" spans="1:21" ht="16.5" x14ac:dyDescent="0.3">
      <c r="A212" t="s">
        <v>287</v>
      </c>
      <c r="B212" s="1">
        <v>45329</v>
      </c>
      <c r="C212">
        <v>2024</v>
      </c>
      <c r="D212" t="s">
        <v>22</v>
      </c>
      <c r="E212" t="s">
        <v>242</v>
      </c>
      <c r="F212" t="s">
        <v>45</v>
      </c>
      <c r="G212" t="s">
        <v>49</v>
      </c>
      <c r="H212" t="s">
        <v>26</v>
      </c>
      <c r="I212" t="s">
        <v>84</v>
      </c>
      <c r="J212" t="s">
        <v>96</v>
      </c>
      <c r="K212">
        <v>1</v>
      </c>
      <c r="L212" s="2">
        <v>10.76</v>
      </c>
      <c r="M212" s="3">
        <v>0.25</v>
      </c>
      <c r="N212" t="s">
        <v>62</v>
      </c>
      <c r="O212" s="2">
        <v>8.07</v>
      </c>
      <c r="P212" s="2">
        <v>7.99</v>
      </c>
      <c r="Q212" s="2">
        <v>0.08</v>
      </c>
      <c r="R212">
        <v>1</v>
      </c>
      <c r="S212">
        <v>0</v>
      </c>
      <c r="T212">
        <v>5</v>
      </c>
      <c r="U212">
        <v>4</v>
      </c>
    </row>
    <row r="213" spans="1:21" ht="16.5" x14ac:dyDescent="0.3">
      <c r="A213" t="s">
        <v>288</v>
      </c>
      <c r="B213" s="1">
        <v>45329</v>
      </c>
      <c r="C213">
        <v>2024</v>
      </c>
      <c r="D213" t="s">
        <v>22</v>
      </c>
      <c r="E213" t="s">
        <v>242</v>
      </c>
      <c r="F213" t="s">
        <v>24</v>
      </c>
      <c r="G213" t="s">
        <v>51</v>
      </c>
      <c r="H213" t="s">
        <v>32</v>
      </c>
      <c r="I213" t="s">
        <v>67</v>
      </c>
      <c r="J213" t="s">
        <v>78</v>
      </c>
      <c r="K213">
        <v>3</v>
      </c>
      <c r="L213" s="2">
        <v>85.42</v>
      </c>
      <c r="M213" s="3">
        <v>0</v>
      </c>
      <c r="N213" t="s">
        <v>38</v>
      </c>
      <c r="O213" s="2">
        <v>256.26</v>
      </c>
      <c r="P213" s="2">
        <v>176.94</v>
      </c>
      <c r="Q213" s="2">
        <v>79.319999999999993</v>
      </c>
      <c r="R213">
        <v>1</v>
      </c>
      <c r="S213">
        <v>0</v>
      </c>
      <c r="T213">
        <v>4</v>
      </c>
      <c r="U213">
        <v>5</v>
      </c>
    </row>
    <row r="214" spans="1:21" ht="16.5" x14ac:dyDescent="0.3">
      <c r="A214" t="s">
        <v>289</v>
      </c>
      <c r="B214" s="1">
        <v>45330</v>
      </c>
      <c r="C214">
        <v>2024</v>
      </c>
      <c r="D214" t="s">
        <v>22</v>
      </c>
      <c r="E214" t="s">
        <v>242</v>
      </c>
      <c r="F214" t="s">
        <v>24</v>
      </c>
      <c r="G214" t="s">
        <v>49</v>
      </c>
      <c r="H214" t="s">
        <v>32</v>
      </c>
      <c r="I214" t="s">
        <v>84</v>
      </c>
      <c r="J214" t="s">
        <v>106</v>
      </c>
      <c r="K214">
        <v>1</v>
      </c>
      <c r="L214" s="2">
        <v>45.28</v>
      </c>
      <c r="M214" s="3">
        <v>0</v>
      </c>
      <c r="N214" t="s">
        <v>38</v>
      </c>
      <c r="O214" s="2">
        <v>45.28</v>
      </c>
      <c r="P214" s="2">
        <v>32.24</v>
      </c>
      <c r="Q214" s="2">
        <v>13.04</v>
      </c>
      <c r="R214">
        <v>1</v>
      </c>
      <c r="S214">
        <v>1</v>
      </c>
      <c r="T214">
        <v>6</v>
      </c>
      <c r="U214">
        <v>2</v>
      </c>
    </row>
    <row r="215" spans="1:21" ht="16.5" x14ac:dyDescent="0.3">
      <c r="A215" t="s">
        <v>290</v>
      </c>
      <c r="B215" s="1">
        <v>45330</v>
      </c>
      <c r="C215">
        <v>2024</v>
      </c>
      <c r="D215" t="s">
        <v>22</v>
      </c>
      <c r="E215" t="s">
        <v>242</v>
      </c>
      <c r="F215" t="s">
        <v>31</v>
      </c>
      <c r="G215" t="s">
        <v>51</v>
      </c>
      <c r="H215" t="s">
        <v>32</v>
      </c>
      <c r="I215" t="s">
        <v>67</v>
      </c>
      <c r="J215" t="s">
        <v>78</v>
      </c>
      <c r="K215">
        <v>1</v>
      </c>
      <c r="L215" s="2">
        <v>85.42</v>
      </c>
      <c r="M215" s="3">
        <v>0.15</v>
      </c>
      <c r="N215" t="s">
        <v>34</v>
      </c>
      <c r="O215" s="2">
        <v>72.61</v>
      </c>
      <c r="P215" s="2">
        <v>58.86</v>
      </c>
      <c r="Q215" s="2">
        <v>13.75</v>
      </c>
      <c r="R215">
        <v>1</v>
      </c>
      <c r="S215">
        <v>0</v>
      </c>
      <c r="T215">
        <v>3</v>
      </c>
      <c r="U215">
        <v>4</v>
      </c>
    </row>
    <row r="216" spans="1:21" ht="16.5" x14ac:dyDescent="0.3">
      <c r="A216" t="s">
        <v>291</v>
      </c>
      <c r="B216" s="1">
        <v>45330</v>
      </c>
      <c r="C216">
        <v>2024</v>
      </c>
      <c r="D216" t="s">
        <v>22</v>
      </c>
      <c r="E216" t="s">
        <v>242</v>
      </c>
      <c r="F216" t="s">
        <v>45</v>
      </c>
      <c r="G216" t="s">
        <v>25</v>
      </c>
      <c r="H216" t="s">
        <v>26</v>
      </c>
      <c r="I216" t="s">
        <v>70</v>
      </c>
      <c r="J216" t="s">
        <v>252</v>
      </c>
      <c r="K216">
        <v>2</v>
      </c>
      <c r="L216" s="2">
        <v>216.08</v>
      </c>
      <c r="M216" s="3">
        <v>0.2</v>
      </c>
      <c r="N216" t="s">
        <v>34</v>
      </c>
      <c r="O216" s="2">
        <v>345.73</v>
      </c>
      <c r="P216" s="2">
        <v>359</v>
      </c>
      <c r="Q216" s="2">
        <v>-13.27</v>
      </c>
      <c r="R216">
        <v>1</v>
      </c>
      <c r="S216">
        <v>0</v>
      </c>
      <c r="T216">
        <v>5</v>
      </c>
      <c r="U216">
        <v>5</v>
      </c>
    </row>
    <row r="217" spans="1:21" ht="16.5" x14ac:dyDescent="0.3">
      <c r="A217" t="s">
        <v>292</v>
      </c>
      <c r="B217" s="1">
        <v>45330</v>
      </c>
      <c r="C217">
        <v>2024</v>
      </c>
      <c r="D217" t="s">
        <v>22</v>
      </c>
      <c r="E217" t="s">
        <v>242</v>
      </c>
      <c r="F217" t="s">
        <v>24</v>
      </c>
      <c r="G217" t="s">
        <v>25</v>
      </c>
      <c r="H217" t="s">
        <v>26</v>
      </c>
      <c r="I217" t="s">
        <v>42</v>
      </c>
      <c r="J217" t="s">
        <v>43</v>
      </c>
      <c r="K217">
        <v>1</v>
      </c>
      <c r="L217" s="2">
        <v>154.66</v>
      </c>
      <c r="M217" s="3">
        <v>0.1</v>
      </c>
      <c r="N217" t="s">
        <v>29</v>
      </c>
      <c r="O217" s="2">
        <v>139.19</v>
      </c>
      <c r="P217" s="2">
        <v>101.82</v>
      </c>
      <c r="Q217" s="2">
        <v>37.369999999999997</v>
      </c>
      <c r="R217">
        <v>1</v>
      </c>
      <c r="S217">
        <v>1</v>
      </c>
      <c r="T217">
        <v>4</v>
      </c>
      <c r="U217">
        <v>3</v>
      </c>
    </row>
    <row r="218" spans="1:21" ht="16.5" x14ac:dyDescent="0.3">
      <c r="A218" t="s">
        <v>293</v>
      </c>
      <c r="B218" s="1">
        <v>45330</v>
      </c>
      <c r="C218">
        <v>2024</v>
      </c>
      <c r="D218" t="s">
        <v>22</v>
      </c>
      <c r="E218" t="s">
        <v>242</v>
      </c>
      <c r="F218" t="s">
        <v>31</v>
      </c>
      <c r="G218" t="s">
        <v>46</v>
      </c>
      <c r="H218" t="s">
        <v>26</v>
      </c>
      <c r="I218" t="s">
        <v>27</v>
      </c>
      <c r="J218" t="s">
        <v>28</v>
      </c>
      <c r="K218">
        <v>3</v>
      </c>
      <c r="L218" s="2">
        <v>138.5</v>
      </c>
      <c r="M218" s="3">
        <v>0.15</v>
      </c>
      <c r="N218" t="s">
        <v>34</v>
      </c>
      <c r="O218" s="2">
        <v>353.18</v>
      </c>
      <c r="P218" s="2">
        <v>212.08</v>
      </c>
      <c r="Q218" s="2">
        <v>141.1</v>
      </c>
      <c r="R218">
        <v>1</v>
      </c>
      <c r="S218">
        <v>0</v>
      </c>
      <c r="T218">
        <v>6</v>
      </c>
      <c r="U218">
        <v>5</v>
      </c>
    </row>
    <row r="219" spans="1:21" ht="16.5" x14ac:dyDescent="0.3">
      <c r="A219" t="s">
        <v>294</v>
      </c>
      <c r="B219" s="1">
        <v>45331</v>
      </c>
      <c r="C219">
        <v>2024</v>
      </c>
      <c r="D219" t="s">
        <v>22</v>
      </c>
      <c r="E219" t="s">
        <v>242</v>
      </c>
      <c r="F219" t="s">
        <v>31</v>
      </c>
      <c r="G219" t="s">
        <v>46</v>
      </c>
      <c r="H219" t="s">
        <v>32</v>
      </c>
      <c r="I219" t="s">
        <v>84</v>
      </c>
      <c r="J219" t="s">
        <v>85</v>
      </c>
      <c r="K219">
        <v>1</v>
      </c>
      <c r="L219" s="2">
        <v>57.92</v>
      </c>
      <c r="M219" s="3">
        <v>0.05</v>
      </c>
      <c r="N219" t="s">
        <v>29</v>
      </c>
      <c r="O219" s="2">
        <v>55.02</v>
      </c>
      <c r="P219" s="2">
        <v>43.55</v>
      </c>
      <c r="Q219" s="2">
        <v>11.47</v>
      </c>
      <c r="R219">
        <v>1</v>
      </c>
      <c r="S219">
        <v>0</v>
      </c>
      <c r="T219">
        <v>5</v>
      </c>
      <c r="U219">
        <v>5</v>
      </c>
    </row>
    <row r="220" spans="1:21" ht="16.5" x14ac:dyDescent="0.3">
      <c r="A220" t="s">
        <v>295</v>
      </c>
      <c r="B220" s="1">
        <v>45331</v>
      </c>
      <c r="C220">
        <v>2024</v>
      </c>
      <c r="D220" t="s">
        <v>22</v>
      </c>
      <c r="E220" t="s">
        <v>242</v>
      </c>
      <c r="F220" t="s">
        <v>24</v>
      </c>
      <c r="G220" t="s">
        <v>51</v>
      </c>
      <c r="H220" t="s">
        <v>26</v>
      </c>
      <c r="I220" t="s">
        <v>36</v>
      </c>
      <c r="J220" t="s">
        <v>37</v>
      </c>
      <c r="K220">
        <v>1</v>
      </c>
      <c r="L220" s="2">
        <v>33.18</v>
      </c>
      <c r="M220" s="3">
        <v>0</v>
      </c>
      <c r="N220" t="s">
        <v>38</v>
      </c>
      <c r="O220" s="2">
        <v>33.18</v>
      </c>
      <c r="P220" s="2">
        <v>15.93</v>
      </c>
      <c r="Q220" s="2">
        <v>17.25</v>
      </c>
      <c r="R220">
        <v>1</v>
      </c>
      <c r="S220">
        <v>0</v>
      </c>
      <c r="T220">
        <v>4</v>
      </c>
      <c r="U220">
        <v>5</v>
      </c>
    </row>
    <row r="221" spans="1:21" ht="16.5" x14ac:dyDescent="0.3">
      <c r="A221" t="s">
        <v>296</v>
      </c>
      <c r="B221" s="1">
        <v>45331</v>
      </c>
      <c r="C221">
        <v>2024</v>
      </c>
      <c r="D221" t="s">
        <v>22</v>
      </c>
      <c r="E221" t="s">
        <v>242</v>
      </c>
      <c r="F221" t="s">
        <v>24</v>
      </c>
      <c r="G221" t="s">
        <v>65</v>
      </c>
      <c r="H221" t="s">
        <v>32</v>
      </c>
      <c r="I221" t="s">
        <v>70</v>
      </c>
      <c r="J221" t="s">
        <v>71</v>
      </c>
      <c r="K221">
        <v>4</v>
      </c>
      <c r="L221" s="2">
        <v>588.41</v>
      </c>
      <c r="M221" s="3">
        <v>0.1</v>
      </c>
      <c r="N221" t="s">
        <v>29</v>
      </c>
      <c r="O221" s="2">
        <v>2118.2800000000002</v>
      </c>
      <c r="P221" s="2">
        <v>1932.97</v>
      </c>
      <c r="Q221" s="2">
        <v>185.31</v>
      </c>
      <c r="R221">
        <v>1</v>
      </c>
      <c r="S221">
        <v>0</v>
      </c>
      <c r="T221">
        <v>7</v>
      </c>
      <c r="U221">
        <v>4</v>
      </c>
    </row>
    <row r="222" spans="1:21" ht="16.5" x14ac:dyDescent="0.3">
      <c r="A222" t="s">
        <v>297</v>
      </c>
      <c r="B222" s="1">
        <v>45331</v>
      </c>
      <c r="C222">
        <v>2024</v>
      </c>
      <c r="D222" t="s">
        <v>22</v>
      </c>
      <c r="E222" t="s">
        <v>242</v>
      </c>
      <c r="F222" t="s">
        <v>24</v>
      </c>
      <c r="G222" t="s">
        <v>25</v>
      </c>
      <c r="H222" t="s">
        <v>32</v>
      </c>
      <c r="I222" t="s">
        <v>67</v>
      </c>
      <c r="J222" t="s">
        <v>78</v>
      </c>
      <c r="K222">
        <v>4</v>
      </c>
      <c r="L222" s="2">
        <v>85.42</v>
      </c>
      <c r="M222" s="3">
        <v>0.05</v>
      </c>
      <c r="N222" t="s">
        <v>29</v>
      </c>
      <c r="O222" s="2">
        <v>324.60000000000002</v>
      </c>
      <c r="P222" s="2">
        <v>226.56</v>
      </c>
      <c r="Q222" s="2">
        <v>98.04</v>
      </c>
      <c r="R222">
        <v>1</v>
      </c>
      <c r="S222">
        <v>0</v>
      </c>
      <c r="T222">
        <v>5</v>
      </c>
      <c r="U222">
        <v>5</v>
      </c>
    </row>
    <row r="223" spans="1:21" ht="16.5" x14ac:dyDescent="0.3">
      <c r="A223" t="s">
        <v>298</v>
      </c>
      <c r="B223" s="1">
        <v>45331</v>
      </c>
      <c r="C223">
        <v>2024</v>
      </c>
      <c r="D223" t="s">
        <v>22</v>
      </c>
      <c r="E223" t="s">
        <v>242</v>
      </c>
      <c r="F223" t="s">
        <v>31</v>
      </c>
      <c r="G223" t="s">
        <v>51</v>
      </c>
      <c r="H223" t="s">
        <v>26</v>
      </c>
      <c r="I223" t="s">
        <v>42</v>
      </c>
      <c r="J223" t="s">
        <v>58</v>
      </c>
      <c r="K223">
        <v>2</v>
      </c>
      <c r="L223" s="2">
        <v>233.81</v>
      </c>
      <c r="M223" s="3">
        <v>0</v>
      </c>
      <c r="N223" t="s">
        <v>38</v>
      </c>
      <c r="O223" s="2">
        <v>467.62</v>
      </c>
      <c r="P223" s="2">
        <v>303.83</v>
      </c>
      <c r="Q223" s="2">
        <v>163.79</v>
      </c>
      <c r="R223">
        <v>1</v>
      </c>
      <c r="S223">
        <v>0</v>
      </c>
      <c r="T223">
        <v>3</v>
      </c>
      <c r="U223">
        <v>4</v>
      </c>
    </row>
    <row r="224" spans="1:21" ht="16.5" x14ac:dyDescent="0.3">
      <c r="A224" t="s">
        <v>299</v>
      </c>
      <c r="B224" s="1">
        <v>45331</v>
      </c>
      <c r="C224">
        <v>2024</v>
      </c>
      <c r="D224" t="s">
        <v>22</v>
      </c>
      <c r="E224" t="s">
        <v>242</v>
      </c>
      <c r="F224" t="s">
        <v>24</v>
      </c>
      <c r="G224" t="s">
        <v>51</v>
      </c>
      <c r="H224" t="s">
        <v>26</v>
      </c>
      <c r="I224" t="s">
        <v>27</v>
      </c>
      <c r="J224" t="s">
        <v>47</v>
      </c>
      <c r="K224">
        <v>1</v>
      </c>
      <c r="L224" s="2">
        <v>33.99</v>
      </c>
      <c r="M224" s="3">
        <v>0</v>
      </c>
      <c r="N224" t="s">
        <v>38</v>
      </c>
      <c r="O224" s="2">
        <v>33.99</v>
      </c>
      <c r="P224" s="2">
        <v>18.07</v>
      </c>
      <c r="Q224" s="2">
        <v>15.92</v>
      </c>
      <c r="R224">
        <v>1</v>
      </c>
      <c r="S224">
        <v>0</v>
      </c>
      <c r="T224">
        <v>3</v>
      </c>
      <c r="U224">
        <v>5</v>
      </c>
    </row>
    <row r="225" spans="1:21" ht="16.5" x14ac:dyDescent="0.3">
      <c r="A225" t="s">
        <v>300</v>
      </c>
      <c r="B225" s="1">
        <v>45331</v>
      </c>
      <c r="C225">
        <v>2024</v>
      </c>
      <c r="D225" t="s">
        <v>22</v>
      </c>
      <c r="E225" t="s">
        <v>242</v>
      </c>
      <c r="F225" t="s">
        <v>31</v>
      </c>
      <c r="G225" t="s">
        <v>49</v>
      </c>
      <c r="H225" t="s">
        <v>26</v>
      </c>
      <c r="I225" t="s">
        <v>27</v>
      </c>
      <c r="J225" t="s">
        <v>47</v>
      </c>
      <c r="K225">
        <v>3</v>
      </c>
      <c r="L225" s="2">
        <v>33.99</v>
      </c>
      <c r="M225" s="3">
        <v>0</v>
      </c>
      <c r="N225" t="s">
        <v>38</v>
      </c>
      <c r="O225" s="2">
        <v>101.97</v>
      </c>
      <c r="P225" s="2">
        <v>54.92</v>
      </c>
      <c r="Q225" s="2">
        <v>47.05</v>
      </c>
      <c r="R225">
        <v>1</v>
      </c>
      <c r="S225">
        <v>0</v>
      </c>
      <c r="T225">
        <v>5</v>
      </c>
      <c r="U225">
        <v>4</v>
      </c>
    </row>
    <row r="226" spans="1:21" ht="16.5" x14ac:dyDescent="0.3">
      <c r="A226" t="s">
        <v>301</v>
      </c>
      <c r="B226" s="1">
        <v>45331</v>
      </c>
      <c r="C226">
        <v>2024</v>
      </c>
      <c r="D226" t="s">
        <v>22</v>
      </c>
      <c r="E226" t="s">
        <v>242</v>
      </c>
      <c r="F226" t="s">
        <v>45</v>
      </c>
      <c r="G226" t="s">
        <v>46</v>
      </c>
      <c r="H226" t="s">
        <v>32</v>
      </c>
      <c r="I226" t="s">
        <v>67</v>
      </c>
      <c r="J226" t="s">
        <v>78</v>
      </c>
      <c r="K226">
        <v>1</v>
      </c>
      <c r="L226" s="2">
        <v>85.42</v>
      </c>
      <c r="M226" s="3">
        <v>0.25</v>
      </c>
      <c r="N226" t="s">
        <v>62</v>
      </c>
      <c r="O226" s="2">
        <v>64.06</v>
      </c>
      <c r="P226" s="2">
        <v>60.1</v>
      </c>
      <c r="Q226" s="2">
        <v>3.96</v>
      </c>
      <c r="R226">
        <v>1</v>
      </c>
      <c r="S226">
        <v>0</v>
      </c>
      <c r="T226">
        <v>7</v>
      </c>
      <c r="U226">
        <v>3</v>
      </c>
    </row>
    <row r="227" spans="1:21" ht="16.5" x14ac:dyDescent="0.3">
      <c r="A227" t="s">
        <v>302</v>
      </c>
      <c r="B227" s="1">
        <v>45331</v>
      </c>
      <c r="C227">
        <v>2024</v>
      </c>
      <c r="D227" t="s">
        <v>22</v>
      </c>
      <c r="E227" t="s">
        <v>242</v>
      </c>
      <c r="F227" t="s">
        <v>24</v>
      </c>
      <c r="G227" t="s">
        <v>49</v>
      </c>
      <c r="H227" t="s">
        <v>32</v>
      </c>
      <c r="I227" t="s">
        <v>27</v>
      </c>
      <c r="J227" t="s">
        <v>110</v>
      </c>
      <c r="K227">
        <v>1</v>
      </c>
      <c r="L227" s="2">
        <v>19.41</v>
      </c>
      <c r="M227" s="3">
        <v>0.1</v>
      </c>
      <c r="N227" t="s">
        <v>29</v>
      </c>
      <c r="O227" s="2">
        <v>17.47</v>
      </c>
      <c r="P227" s="2">
        <v>10.82</v>
      </c>
      <c r="Q227" s="2">
        <v>6.65</v>
      </c>
      <c r="R227">
        <v>1</v>
      </c>
      <c r="S227">
        <v>0</v>
      </c>
      <c r="T227">
        <v>3</v>
      </c>
      <c r="U227">
        <v>4</v>
      </c>
    </row>
    <row r="228" spans="1:21" ht="16.5" x14ac:dyDescent="0.3">
      <c r="A228" t="s">
        <v>303</v>
      </c>
      <c r="B228" s="1">
        <v>45332</v>
      </c>
      <c r="C228">
        <v>2024</v>
      </c>
      <c r="D228" t="s">
        <v>22</v>
      </c>
      <c r="E228" t="s">
        <v>242</v>
      </c>
      <c r="F228" t="s">
        <v>24</v>
      </c>
      <c r="G228" t="s">
        <v>51</v>
      </c>
      <c r="H228" t="s">
        <v>26</v>
      </c>
      <c r="I228" t="s">
        <v>70</v>
      </c>
      <c r="J228" t="s">
        <v>252</v>
      </c>
      <c r="K228">
        <v>2</v>
      </c>
      <c r="L228" s="2">
        <v>216.08</v>
      </c>
      <c r="M228" s="3">
        <v>0</v>
      </c>
      <c r="N228" t="s">
        <v>38</v>
      </c>
      <c r="O228" s="2">
        <v>432.16</v>
      </c>
      <c r="P228" s="2">
        <v>328.08</v>
      </c>
      <c r="Q228" s="2">
        <v>104.08</v>
      </c>
      <c r="R228">
        <v>1</v>
      </c>
      <c r="S228">
        <v>0</v>
      </c>
      <c r="T228">
        <v>4</v>
      </c>
      <c r="U228">
        <v>4</v>
      </c>
    </row>
    <row r="229" spans="1:21" ht="16.5" x14ac:dyDescent="0.3">
      <c r="A229" t="s">
        <v>304</v>
      </c>
      <c r="B229" s="1">
        <v>45332</v>
      </c>
      <c r="C229">
        <v>2024</v>
      </c>
      <c r="D229" t="s">
        <v>22</v>
      </c>
      <c r="E229" t="s">
        <v>242</v>
      </c>
      <c r="F229" t="s">
        <v>45</v>
      </c>
      <c r="G229" t="s">
        <v>49</v>
      </c>
      <c r="H229" t="s">
        <v>32</v>
      </c>
      <c r="I229" t="s">
        <v>27</v>
      </c>
      <c r="J229" t="s">
        <v>40</v>
      </c>
      <c r="K229">
        <v>2</v>
      </c>
      <c r="L229" s="2">
        <v>104.94</v>
      </c>
      <c r="M229" s="3">
        <v>0</v>
      </c>
      <c r="N229" t="s">
        <v>38</v>
      </c>
      <c r="O229" s="2">
        <v>209.88</v>
      </c>
      <c r="P229" s="2">
        <v>111.5</v>
      </c>
      <c r="Q229" s="2">
        <v>98.38</v>
      </c>
      <c r="R229">
        <v>1</v>
      </c>
      <c r="S229">
        <v>0</v>
      </c>
      <c r="T229">
        <v>3</v>
      </c>
      <c r="U229">
        <v>4</v>
      </c>
    </row>
    <row r="230" spans="1:21" ht="16.5" x14ac:dyDescent="0.3">
      <c r="A230" t="s">
        <v>305</v>
      </c>
      <c r="B230" s="1">
        <v>45332</v>
      </c>
      <c r="C230">
        <v>2024</v>
      </c>
      <c r="D230" t="s">
        <v>22</v>
      </c>
      <c r="E230" t="s">
        <v>242</v>
      </c>
      <c r="F230" t="s">
        <v>45</v>
      </c>
      <c r="G230" t="s">
        <v>51</v>
      </c>
      <c r="H230" t="s">
        <v>32</v>
      </c>
      <c r="I230" t="s">
        <v>36</v>
      </c>
      <c r="J230" t="s">
        <v>56</v>
      </c>
      <c r="K230">
        <v>1</v>
      </c>
      <c r="L230" s="2">
        <v>74.3</v>
      </c>
      <c r="M230" s="3">
        <v>0</v>
      </c>
      <c r="N230" t="s">
        <v>38</v>
      </c>
      <c r="O230" s="2">
        <v>74.3</v>
      </c>
      <c r="P230" s="2">
        <v>36.08</v>
      </c>
      <c r="Q230" s="2">
        <v>38.22</v>
      </c>
      <c r="R230">
        <v>1</v>
      </c>
      <c r="S230">
        <v>0</v>
      </c>
      <c r="T230">
        <v>2</v>
      </c>
      <c r="U230">
        <v>5</v>
      </c>
    </row>
    <row r="231" spans="1:21" ht="16.5" x14ac:dyDescent="0.3">
      <c r="A231" t="s">
        <v>306</v>
      </c>
      <c r="B231" s="1">
        <v>45332</v>
      </c>
      <c r="C231">
        <v>2024</v>
      </c>
      <c r="D231" t="s">
        <v>22</v>
      </c>
      <c r="E231" t="s">
        <v>242</v>
      </c>
      <c r="F231" t="s">
        <v>31</v>
      </c>
      <c r="G231" t="s">
        <v>51</v>
      </c>
      <c r="H231" t="s">
        <v>32</v>
      </c>
      <c r="I231" t="s">
        <v>36</v>
      </c>
      <c r="J231" t="s">
        <v>37</v>
      </c>
      <c r="K231">
        <v>1</v>
      </c>
      <c r="L231" s="2">
        <v>33.18</v>
      </c>
      <c r="M231" s="3">
        <v>0</v>
      </c>
      <c r="N231" t="s">
        <v>38</v>
      </c>
      <c r="O231" s="2">
        <v>33.18</v>
      </c>
      <c r="P231" s="2">
        <v>15.85</v>
      </c>
      <c r="Q231" s="2">
        <v>17.329999999999998</v>
      </c>
      <c r="R231">
        <v>1</v>
      </c>
      <c r="S231">
        <v>0</v>
      </c>
      <c r="T231">
        <v>2</v>
      </c>
      <c r="U231">
        <v>4</v>
      </c>
    </row>
    <row r="232" spans="1:21" ht="16.5" x14ac:dyDescent="0.3">
      <c r="A232" t="s">
        <v>307</v>
      </c>
      <c r="B232" s="1">
        <v>45332</v>
      </c>
      <c r="C232">
        <v>2024</v>
      </c>
      <c r="D232" t="s">
        <v>22</v>
      </c>
      <c r="E232" t="s">
        <v>242</v>
      </c>
      <c r="F232" t="s">
        <v>45</v>
      </c>
      <c r="G232" t="s">
        <v>25</v>
      </c>
      <c r="H232" t="s">
        <v>26</v>
      </c>
      <c r="I232" t="s">
        <v>27</v>
      </c>
      <c r="J232" t="s">
        <v>47</v>
      </c>
      <c r="K232">
        <v>1</v>
      </c>
      <c r="L232" s="2">
        <v>33.99</v>
      </c>
      <c r="M232" s="3">
        <v>0</v>
      </c>
      <c r="N232" t="s">
        <v>38</v>
      </c>
      <c r="O232" s="2">
        <v>33.99</v>
      </c>
      <c r="P232" s="2">
        <v>18.52</v>
      </c>
      <c r="Q232" s="2">
        <v>15.47</v>
      </c>
      <c r="R232">
        <v>1</v>
      </c>
      <c r="S232">
        <v>0</v>
      </c>
      <c r="T232">
        <v>4</v>
      </c>
      <c r="U232">
        <v>5</v>
      </c>
    </row>
    <row r="233" spans="1:21" ht="16.5" x14ac:dyDescent="0.3">
      <c r="A233" t="s">
        <v>308</v>
      </c>
      <c r="B233" s="1">
        <v>45332</v>
      </c>
      <c r="C233">
        <v>2024</v>
      </c>
      <c r="D233" t="s">
        <v>22</v>
      </c>
      <c r="E233" t="s">
        <v>242</v>
      </c>
      <c r="F233" t="s">
        <v>24</v>
      </c>
      <c r="G233" t="s">
        <v>46</v>
      </c>
      <c r="H233" t="s">
        <v>26</v>
      </c>
      <c r="I233" t="s">
        <v>70</v>
      </c>
      <c r="J233" t="s">
        <v>162</v>
      </c>
      <c r="K233">
        <v>1</v>
      </c>
      <c r="L233" s="2">
        <v>636.09</v>
      </c>
      <c r="M233" s="3">
        <v>0.1</v>
      </c>
      <c r="N233" t="s">
        <v>29</v>
      </c>
      <c r="O233" s="2">
        <v>572.48</v>
      </c>
      <c r="P233" s="2">
        <v>521.11</v>
      </c>
      <c r="Q233" s="2">
        <v>51.37</v>
      </c>
      <c r="R233">
        <v>1</v>
      </c>
      <c r="S233">
        <v>0</v>
      </c>
      <c r="T233">
        <v>7</v>
      </c>
      <c r="U233">
        <v>5</v>
      </c>
    </row>
    <row r="234" spans="1:21" ht="16.5" x14ac:dyDescent="0.3">
      <c r="A234" t="s">
        <v>309</v>
      </c>
      <c r="B234" s="1">
        <v>45332</v>
      </c>
      <c r="C234">
        <v>2024</v>
      </c>
      <c r="D234" t="s">
        <v>22</v>
      </c>
      <c r="E234" t="s">
        <v>242</v>
      </c>
      <c r="F234" t="s">
        <v>24</v>
      </c>
      <c r="G234" t="s">
        <v>25</v>
      </c>
      <c r="H234" t="s">
        <v>32</v>
      </c>
      <c r="I234" t="s">
        <v>27</v>
      </c>
      <c r="J234" t="s">
        <v>40</v>
      </c>
      <c r="K234">
        <v>2</v>
      </c>
      <c r="L234" s="2">
        <v>104.94</v>
      </c>
      <c r="M234" s="3">
        <v>0</v>
      </c>
      <c r="N234" t="s">
        <v>38</v>
      </c>
      <c r="O234" s="2">
        <v>209.88</v>
      </c>
      <c r="P234" s="2">
        <v>115.49</v>
      </c>
      <c r="Q234" s="2">
        <v>94.39</v>
      </c>
      <c r="R234">
        <v>1</v>
      </c>
      <c r="S234">
        <v>0</v>
      </c>
      <c r="T234">
        <v>4</v>
      </c>
      <c r="U234">
        <v>5</v>
      </c>
    </row>
    <row r="235" spans="1:21" ht="16.5" x14ac:dyDescent="0.3">
      <c r="A235" t="s">
        <v>310</v>
      </c>
      <c r="B235" s="1">
        <v>45333</v>
      </c>
      <c r="C235">
        <v>2024</v>
      </c>
      <c r="D235" t="s">
        <v>22</v>
      </c>
      <c r="E235" t="s">
        <v>242</v>
      </c>
      <c r="F235" t="s">
        <v>24</v>
      </c>
      <c r="G235" t="s">
        <v>46</v>
      </c>
      <c r="H235" t="s">
        <v>26</v>
      </c>
      <c r="I235" t="s">
        <v>36</v>
      </c>
      <c r="J235" t="s">
        <v>37</v>
      </c>
      <c r="K235">
        <v>1</v>
      </c>
      <c r="L235" s="2">
        <v>33.18</v>
      </c>
      <c r="M235" s="3">
        <v>0</v>
      </c>
      <c r="N235" t="s">
        <v>38</v>
      </c>
      <c r="O235" s="2">
        <v>33.18</v>
      </c>
      <c r="P235" s="2">
        <v>15.77</v>
      </c>
      <c r="Q235" s="2">
        <v>17.41</v>
      </c>
      <c r="R235">
        <v>1</v>
      </c>
      <c r="S235">
        <v>0</v>
      </c>
      <c r="T235">
        <v>6</v>
      </c>
      <c r="U235">
        <v>4</v>
      </c>
    </row>
    <row r="236" spans="1:21" ht="16.5" x14ac:dyDescent="0.3">
      <c r="A236" t="s">
        <v>311</v>
      </c>
      <c r="B236" s="1">
        <v>45334</v>
      </c>
      <c r="C236">
        <v>2024</v>
      </c>
      <c r="D236" t="s">
        <v>22</v>
      </c>
      <c r="E236" t="s">
        <v>242</v>
      </c>
      <c r="F236" t="s">
        <v>24</v>
      </c>
      <c r="G236" t="s">
        <v>25</v>
      </c>
      <c r="H236" t="s">
        <v>26</v>
      </c>
      <c r="I236" t="s">
        <v>70</v>
      </c>
      <c r="J236" t="s">
        <v>162</v>
      </c>
      <c r="K236">
        <v>2</v>
      </c>
      <c r="L236" s="2">
        <v>636.09</v>
      </c>
      <c r="M236" s="3">
        <v>0.3</v>
      </c>
      <c r="N236" t="s">
        <v>62</v>
      </c>
      <c r="O236" s="2">
        <v>890.53</v>
      </c>
      <c r="P236" s="2">
        <v>1008.06</v>
      </c>
      <c r="Q236" s="2">
        <v>-117.53</v>
      </c>
      <c r="R236">
        <v>1</v>
      </c>
      <c r="S236">
        <v>0</v>
      </c>
      <c r="T236">
        <v>3</v>
      </c>
      <c r="U236">
        <v>4</v>
      </c>
    </row>
    <row r="237" spans="1:21" ht="16.5" x14ac:dyDescent="0.3">
      <c r="A237" t="s">
        <v>312</v>
      </c>
      <c r="B237" s="1">
        <v>45334</v>
      </c>
      <c r="C237">
        <v>2024</v>
      </c>
      <c r="D237" t="s">
        <v>22</v>
      </c>
      <c r="E237" t="s">
        <v>242</v>
      </c>
      <c r="F237" t="s">
        <v>24</v>
      </c>
      <c r="G237" t="s">
        <v>51</v>
      </c>
      <c r="H237" t="s">
        <v>32</v>
      </c>
      <c r="I237" t="s">
        <v>42</v>
      </c>
      <c r="J237" t="s">
        <v>58</v>
      </c>
      <c r="K237">
        <v>1</v>
      </c>
      <c r="L237" s="2">
        <v>233.81</v>
      </c>
      <c r="M237" s="3">
        <v>0</v>
      </c>
      <c r="N237" t="s">
        <v>38</v>
      </c>
      <c r="O237" s="2">
        <v>233.81</v>
      </c>
      <c r="P237" s="2">
        <v>154.32</v>
      </c>
      <c r="Q237" s="2">
        <v>79.489999999999995</v>
      </c>
      <c r="R237">
        <v>1</v>
      </c>
      <c r="S237">
        <v>0</v>
      </c>
      <c r="T237">
        <v>3</v>
      </c>
      <c r="U237">
        <v>5</v>
      </c>
    </row>
    <row r="238" spans="1:21" ht="16.5" x14ac:dyDescent="0.3">
      <c r="A238" t="s">
        <v>313</v>
      </c>
      <c r="B238" s="1">
        <v>45334</v>
      </c>
      <c r="C238">
        <v>2024</v>
      </c>
      <c r="D238" t="s">
        <v>22</v>
      </c>
      <c r="E238" t="s">
        <v>242</v>
      </c>
      <c r="F238" t="s">
        <v>45</v>
      </c>
      <c r="G238" t="s">
        <v>25</v>
      </c>
      <c r="H238" t="s">
        <v>26</v>
      </c>
      <c r="I238" t="s">
        <v>70</v>
      </c>
      <c r="J238" t="s">
        <v>71</v>
      </c>
      <c r="K238">
        <v>2</v>
      </c>
      <c r="L238" s="2">
        <v>588.41</v>
      </c>
      <c r="M238" s="3">
        <v>0.1</v>
      </c>
      <c r="N238" t="s">
        <v>29</v>
      </c>
      <c r="O238" s="2">
        <v>1059.1400000000001</v>
      </c>
      <c r="P238" s="2">
        <v>908.54</v>
      </c>
      <c r="Q238" s="2">
        <v>150.6</v>
      </c>
      <c r="R238">
        <v>1</v>
      </c>
      <c r="S238">
        <v>0</v>
      </c>
      <c r="T238">
        <v>5</v>
      </c>
      <c r="U238">
        <v>5</v>
      </c>
    </row>
    <row r="239" spans="1:21" ht="16.5" x14ac:dyDescent="0.3">
      <c r="A239" t="s">
        <v>314</v>
      </c>
      <c r="B239" s="1">
        <v>45334</v>
      </c>
      <c r="C239">
        <v>2024</v>
      </c>
      <c r="D239" t="s">
        <v>22</v>
      </c>
      <c r="E239" t="s">
        <v>242</v>
      </c>
      <c r="F239" t="s">
        <v>31</v>
      </c>
      <c r="G239" t="s">
        <v>25</v>
      </c>
      <c r="H239" t="s">
        <v>32</v>
      </c>
      <c r="I239" t="s">
        <v>27</v>
      </c>
      <c r="J239" t="s">
        <v>40</v>
      </c>
      <c r="K239">
        <v>2</v>
      </c>
      <c r="L239" s="2">
        <v>104.94</v>
      </c>
      <c r="M239" s="3">
        <v>0</v>
      </c>
      <c r="N239" t="s">
        <v>38</v>
      </c>
      <c r="O239" s="2">
        <v>209.88</v>
      </c>
      <c r="P239" s="2">
        <v>110.01</v>
      </c>
      <c r="Q239" s="2">
        <v>99.87</v>
      </c>
      <c r="R239">
        <v>1</v>
      </c>
      <c r="S239">
        <v>0</v>
      </c>
      <c r="T239">
        <v>4</v>
      </c>
      <c r="U239">
        <v>5</v>
      </c>
    </row>
    <row r="240" spans="1:21" ht="16.5" x14ac:dyDescent="0.3">
      <c r="A240" t="s">
        <v>315</v>
      </c>
      <c r="B240" s="1">
        <v>45334</v>
      </c>
      <c r="C240">
        <v>2024</v>
      </c>
      <c r="D240" t="s">
        <v>22</v>
      </c>
      <c r="E240" t="s">
        <v>242</v>
      </c>
      <c r="F240" t="s">
        <v>31</v>
      </c>
      <c r="G240" t="s">
        <v>49</v>
      </c>
      <c r="H240" t="s">
        <v>26</v>
      </c>
      <c r="I240" t="s">
        <v>70</v>
      </c>
      <c r="J240" t="s">
        <v>252</v>
      </c>
      <c r="K240">
        <v>2</v>
      </c>
      <c r="L240" s="2">
        <v>216.08</v>
      </c>
      <c r="M240" s="3">
        <v>0.1</v>
      </c>
      <c r="N240" t="s">
        <v>29</v>
      </c>
      <c r="O240" s="2">
        <v>388.94</v>
      </c>
      <c r="P240" s="2">
        <v>340.9</v>
      </c>
      <c r="Q240" s="2">
        <v>48.04</v>
      </c>
      <c r="R240">
        <v>1</v>
      </c>
      <c r="S240">
        <v>0</v>
      </c>
      <c r="T240">
        <v>3</v>
      </c>
      <c r="U240">
        <v>4</v>
      </c>
    </row>
    <row r="241" spans="1:21" ht="16.5" x14ac:dyDescent="0.3">
      <c r="A241" t="s">
        <v>316</v>
      </c>
      <c r="B241" s="1">
        <v>45334</v>
      </c>
      <c r="C241">
        <v>2024</v>
      </c>
      <c r="D241" t="s">
        <v>22</v>
      </c>
      <c r="E241" t="s">
        <v>242</v>
      </c>
      <c r="F241" t="s">
        <v>31</v>
      </c>
      <c r="G241" t="s">
        <v>65</v>
      </c>
      <c r="H241" t="s">
        <v>26</v>
      </c>
      <c r="I241" t="s">
        <v>70</v>
      </c>
      <c r="J241" t="s">
        <v>71</v>
      </c>
      <c r="K241">
        <v>3</v>
      </c>
      <c r="L241" s="2">
        <v>588.41</v>
      </c>
      <c r="M241" s="3">
        <v>0.1</v>
      </c>
      <c r="N241" t="s">
        <v>29</v>
      </c>
      <c r="O241" s="2">
        <v>1588.71</v>
      </c>
      <c r="P241" s="2">
        <v>1421.26</v>
      </c>
      <c r="Q241" s="2">
        <v>167.45</v>
      </c>
      <c r="R241">
        <v>1</v>
      </c>
      <c r="S241">
        <v>1</v>
      </c>
      <c r="T241">
        <v>6</v>
      </c>
      <c r="U241">
        <v>1</v>
      </c>
    </row>
    <row r="242" spans="1:21" ht="16.5" x14ac:dyDescent="0.3">
      <c r="A242" t="s">
        <v>317</v>
      </c>
      <c r="B242" s="1">
        <v>45334</v>
      </c>
      <c r="C242">
        <v>2024</v>
      </c>
      <c r="D242" t="s">
        <v>22</v>
      </c>
      <c r="E242" t="s">
        <v>242</v>
      </c>
      <c r="F242" t="s">
        <v>24</v>
      </c>
      <c r="G242" t="s">
        <v>25</v>
      </c>
      <c r="H242" t="s">
        <v>32</v>
      </c>
      <c r="I242" t="s">
        <v>27</v>
      </c>
      <c r="J242" t="s">
        <v>110</v>
      </c>
      <c r="K242">
        <v>1</v>
      </c>
      <c r="L242" s="2">
        <v>19.41</v>
      </c>
      <c r="M242" s="3">
        <v>0</v>
      </c>
      <c r="N242" t="s">
        <v>38</v>
      </c>
      <c r="O242" s="2">
        <v>19.41</v>
      </c>
      <c r="P242" s="2">
        <v>10.42</v>
      </c>
      <c r="Q242" s="2">
        <v>8.99</v>
      </c>
      <c r="R242">
        <v>1</v>
      </c>
      <c r="S242">
        <v>0</v>
      </c>
      <c r="T242">
        <v>5</v>
      </c>
      <c r="U242">
        <v>4</v>
      </c>
    </row>
    <row r="243" spans="1:21" ht="16.5" x14ac:dyDescent="0.3">
      <c r="A243" t="s">
        <v>318</v>
      </c>
      <c r="B243" s="1">
        <v>45334</v>
      </c>
      <c r="C243">
        <v>2024</v>
      </c>
      <c r="D243" t="s">
        <v>22</v>
      </c>
      <c r="E243" t="s">
        <v>242</v>
      </c>
      <c r="F243" t="s">
        <v>31</v>
      </c>
      <c r="G243" t="s">
        <v>65</v>
      </c>
      <c r="H243" t="s">
        <v>26</v>
      </c>
      <c r="I243" t="s">
        <v>70</v>
      </c>
      <c r="J243" t="s">
        <v>162</v>
      </c>
      <c r="K243">
        <v>2</v>
      </c>
      <c r="L243" s="2">
        <v>636.09</v>
      </c>
      <c r="M243" s="3">
        <v>0</v>
      </c>
      <c r="N243" t="s">
        <v>38</v>
      </c>
      <c r="O243" s="2">
        <v>1272.18</v>
      </c>
      <c r="P243" s="2">
        <v>1069.75</v>
      </c>
      <c r="Q243" s="2">
        <v>202.43</v>
      </c>
      <c r="R243">
        <v>1</v>
      </c>
      <c r="S243">
        <v>0</v>
      </c>
      <c r="T243">
        <v>6</v>
      </c>
      <c r="U243">
        <v>4</v>
      </c>
    </row>
    <row r="244" spans="1:21" ht="16.5" x14ac:dyDescent="0.3">
      <c r="A244" t="s">
        <v>319</v>
      </c>
      <c r="B244" s="1">
        <v>45335</v>
      </c>
      <c r="C244">
        <v>2024</v>
      </c>
      <c r="D244" t="s">
        <v>22</v>
      </c>
      <c r="E244" t="s">
        <v>242</v>
      </c>
      <c r="F244" t="s">
        <v>31</v>
      </c>
      <c r="G244" t="s">
        <v>25</v>
      </c>
      <c r="H244" t="s">
        <v>26</v>
      </c>
      <c r="I244" t="s">
        <v>67</v>
      </c>
      <c r="J244" t="s">
        <v>103</v>
      </c>
      <c r="K244">
        <v>1</v>
      </c>
      <c r="L244" s="2">
        <v>83.06</v>
      </c>
      <c r="M244" s="3">
        <v>0.05</v>
      </c>
      <c r="N244" t="s">
        <v>29</v>
      </c>
      <c r="O244" s="2">
        <v>78.91</v>
      </c>
      <c r="P244" s="2">
        <v>56.39</v>
      </c>
      <c r="Q244" s="2">
        <v>22.52</v>
      </c>
      <c r="R244">
        <v>1</v>
      </c>
      <c r="S244">
        <v>0</v>
      </c>
      <c r="T244">
        <v>3</v>
      </c>
      <c r="U244">
        <v>3</v>
      </c>
    </row>
    <row r="245" spans="1:21" ht="16.5" x14ac:dyDescent="0.3">
      <c r="A245" t="s">
        <v>320</v>
      </c>
      <c r="B245" s="1">
        <v>45335</v>
      </c>
      <c r="C245">
        <v>2024</v>
      </c>
      <c r="D245" t="s">
        <v>22</v>
      </c>
      <c r="E245" t="s">
        <v>242</v>
      </c>
      <c r="F245" t="s">
        <v>24</v>
      </c>
      <c r="G245" t="s">
        <v>25</v>
      </c>
      <c r="H245" t="s">
        <v>32</v>
      </c>
      <c r="I245" t="s">
        <v>36</v>
      </c>
      <c r="J245" t="s">
        <v>37</v>
      </c>
      <c r="K245">
        <v>1</v>
      </c>
      <c r="L245" s="2">
        <v>33.18</v>
      </c>
      <c r="M245" s="3">
        <v>0.2</v>
      </c>
      <c r="N245" t="s">
        <v>34</v>
      </c>
      <c r="O245" s="2">
        <v>26.54</v>
      </c>
      <c r="P245" s="2">
        <v>15.72</v>
      </c>
      <c r="Q245" s="2">
        <v>10.82</v>
      </c>
      <c r="R245">
        <v>1</v>
      </c>
      <c r="S245">
        <v>0</v>
      </c>
      <c r="T245">
        <v>5</v>
      </c>
      <c r="U245">
        <v>4</v>
      </c>
    </row>
    <row r="246" spans="1:21" ht="16.5" x14ac:dyDescent="0.3">
      <c r="A246" t="s">
        <v>321</v>
      </c>
      <c r="B246" s="1">
        <v>45335</v>
      </c>
      <c r="C246">
        <v>2024</v>
      </c>
      <c r="D246" t="s">
        <v>22</v>
      </c>
      <c r="E246" t="s">
        <v>242</v>
      </c>
      <c r="F246" t="s">
        <v>24</v>
      </c>
      <c r="G246" t="s">
        <v>49</v>
      </c>
      <c r="H246" t="s">
        <v>26</v>
      </c>
      <c r="I246" t="s">
        <v>70</v>
      </c>
      <c r="J246" t="s">
        <v>87</v>
      </c>
      <c r="K246">
        <v>1</v>
      </c>
      <c r="L246" s="2">
        <v>490.3</v>
      </c>
      <c r="M246" s="3">
        <v>0.3</v>
      </c>
      <c r="N246" t="s">
        <v>62</v>
      </c>
      <c r="O246" s="2">
        <v>343.21</v>
      </c>
      <c r="P246" s="2">
        <v>365.63</v>
      </c>
      <c r="Q246" s="2">
        <v>-22.42</v>
      </c>
      <c r="R246">
        <v>1</v>
      </c>
      <c r="S246">
        <v>0</v>
      </c>
      <c r="T246">
        <v>3</v>
      </c>
      <c r="U246">
        <v>4</v>
      </c>
    </row>
    <row r="247" spans="1:21" ht="16.5" x14ac:dyDescent="0.3">
      <c r="A247" t="s">
        <v>322</v>
      </c>
      <c r="B247" s="1">
        <v>45335</v>
      </c>
      <c r="C247">
        <v>2024</v>
      </c>
      <c r="D247" t="s">
        <v>22</v>
      </c>
      <c r="E247" t="s">
        <v>242</v>
      </c>
      <c r="F247" t="s">
        <v>24</v>
      </c>
      <c r="G247" t="s">
        <v>49</v>
      </c>
      <c r="H247" t="s">
        <v>26</v>
      </c>
      <c r="I247" t="s">
        <v>42</v>
      </c>
      <c r="J247" t="s">
        <v>54</v>
      </c>
      <c r="K247">
        <v>2</v>
      </c>
      <c r="L247" s="2">
        <v>148.05000000000001</v>
      </c>
      <c r="M247" s="3">
        <v>0.2</v>
      </c>
      <c r="N247" t="s">
        <v>34</v>
      </c>
      <c r="O247" s="2">
        <v>236.88</v>
      </c>
      <c r="P247" s="2">
        <v>190.78</v>
      </c>
      <c r="Q247" s="2">
        <v>46.1</v>
      </c>
      <c r="R247">
        <v>1</v>
      </c>
      <c r="S247">
        <v>0</v>
      </c>
      <c r="T247">
        <v>4</v>
      </c>
      <c r="U247">
        <v>4</v>
      </c>
    </row>
    <row r="248" spans="1:21" ht="16.5" x14ac:dyDescent="0.3">
      <c r="A248" t="s">
        <v>323</v>
      </c>
      <c r="B248" s="1">
        <v>45336</v>
      </c>
      <c r="C248">
        <v>2024</v>
      </c>
      <c r="D248" t="s">
        <v>22</v>
      </c>
      <c r="E248" t="s">
        <v>242</v>
      </c>
      <c r="F248" t="s">
        <v>24</v>
      </c>
      <c r="G248" t="s">
        <v>51</v>
      </c>
      <c r="H248" t="s">
        <v>32</v>
      </c>
      <c r="I248" t="s">
        <v>36</v>
      </c>
      <c r="J248" t="s">
        <v>37</v>
      </c>
      <c r="K248">
        <v>1</v>
      </c>
      <c r="L248" s="2">
        <v>33.18</v>
      </c>
      <c r="M248" s="3">
        <v>0.05</v>
      </c>
      <c r="N248" t="s">
        <v>29</v>
      </c>
      <c r="O248" s="2">
        <v>31.52</v>
      </c>
      <c r="P248" s="2">
        <v>15.84</v>
      </c>
      <c r="Q248" s="2">
        <v>15.68</v>
      </c>
      <c r="R248">
        <v>1</v>
      </c>
      <c r="S248">
        <v>0</v>
      </c>
      <c r="T248">
        <v>2</v>
      </c>
      <c r="U248">
        <v>5</v>
      </c>
    </row>
    <row r="249" spans="1:21" ht="16.5" x14ac:dyDescent="0.3">
      <c r="A249" t="s">
        <v>324</v>
      </c>
      <c r="B249" s="1">
        <v>45336</v>
      </c>
      <c r="C249">
        <v>2024</v>
      </c>
      <c r="D249" t="s">
        <v>22</v>
      </c>
      <c r="E249" t="s">
        <v>242</v>
      </c>
      <c r="F249" t="s">
        <v>24</v>
      </c>
      <c r="G249" t="s">
        <v>49</v>
      </c>
      <c r="H249" t="s">
        <v>32</v>
      </c>
      <c r="I249" t="s">
        <v>27</v>
      </c>
      <c r="J249" t="s">
        <v>47</v>
      </c>
      <c r="K249">
        <v>1</v>
      </c>
      <c r="L249" s="2">
        <v>33.99</v>
      </c>
      <c r="M249" s="3">
        <v>0.15</v>
      </c>
      <c r="N249" t="s">
        <v>34</v>
      </c>
      <c r="O249" s="2">
        <v>28.89</v>
      </c>
      <c r="P249" s="2">
        <v>17.5</v>
      </c>
      <c r="Q249" s="2">
        <v>11.39</v>
      </c>
      <c r="R249">
        <v>1</v>
      </c>
      <c r="S249">
        <v>0</v>
      </c>
      <c r="T249">
        <v>3</v>
      </c>
      <c r="U249">
        <v>4</v>
      </c>
    </row>
    <row r="250" spans="1:21" ht="16.5" x14ac:dyDescent="0.3">
      <c r="A250" t="s">
        <v>325</v>
      </c>
      <c r="B250" s="1">
        <v>45336</v>
      </c>
      <c r="C250">
        <v>2024</v>
      </c>
      <c r="D250" t="s">
        <v>22</v>
      </c>
      <c r="E250" t="s">
        <v>242</v>
      </c>
      <c r="F250" t="s">
        <v>31</v>
      </c>
      <c r="G250" t="s">
        <v>49</v>
      </c>
      <c r="H250" t="s">
        <v>32</v>
      </c>
      <c r="I250" t="s">
        <v>36</v>
      </c>
      <c r="J250" t="s">
        <v>37</v>
      </c>
      <c r="K250">
        <v>1</v>
      </c>
      <c r="L250" s="2">
        <v>33.18</v>
      </c>
      <c r="M250" s="3">
        <v>0.05</v>
      </c>
      <c r="N250" t="s">
        <v>29</v>
      </c>
      <c r="O250" s="2">
        <v>31.52</v>
      </c>
      <c r="P250" s="2">
        <v>16.670000000000002</v>
      </c>
      <c r="Q250" s="2">
        <v>14.85</v>
      </c>
      <c r="R250">
        <v>1</v>
      </c>
      <c r="S250">
        <v>0</v>
      </c>
      <c r="T250">
        <v>4</v>
      </c>
      <c r="U250">
        <v>4</v>
      </c>
    </row>
    <row r="251" spans="1:21" ht="16.5" x14ac:dyDescent="0.3">
      <c r="A251" t="s">
        <v>326</v>
      </c>
      <c r="B251" s="1">
        <v>45336</v>
      </c>
      <c r="C251">
        <v>2024</v>
      </c>
      <c r="D251" t="s">
        <v>22</v>
      </c>
      <c r="E251" t="s">
        <v>242</v>
      </c>
      <c r="F251" t="s">
        <v>45</v>
      </c>
      <c r="G251" t="s">
        <v>51</v>
      </c>
      <c r="H251" t="s">
        <v>32</v>
      </c>
      <c r="I251" t="s">
        <v>27</v>
      </c>
      <c r="J251" t="s">
        <v>28</v>
      </c>
      <c r="K251">
        <v>2</v>
      </c>
      <c r="L251" s="2">
        <v>138.5</v>
      </c>
      <c r="M251" s="3">
        <v>0.15</v>
      </c>
      <c r="N251" t="s">
        <v>34</v>
      </c>
      <c r="O251" s="2">
        <v>235.45</v>
      </c>
      <c r="P251" s="2">
        <v>151.16999999999999</v>
      </c>
      <c r="Q251" s="2">
        <v>84.28</v>
      </c>
      <c r="R251">
        <v>1</v>
      </c>
      <c r="S251">
        <v>0</v>
      </c>
      <c r="T251">
        <v>2</v>
      </c>
      <c r="U251">
        <v>4</v>
      </c>
    </row>
    <row r="252" spans="1:21" ht="16.5" x14ac:dyDescent="0.3">
      <c r="A252" t="s">
        <v>327</v>
      </c>
      <c r="B252" s="1">
        <v>45337</v>
      </c>
      <c r="C252">
        <v>2024</v>
      </c>
      <c r="D252" t="s">
        <v>22</v>
      </c>
      <c r="E252" t="s">
        <v>242</v>
      </c>
      <c r="F252" t="s">
        <v>31</v>
      </c>
      <c r="G252" t="s">
        <v>65</v>
      </c>
      <c r="H252" t="s">
        <v>26</v>
      </c>
      <c r="I252" t="s">
        <v>36</v>
      </c>
      <c r="J252" t="s">
        <v>52</v>
      </c>
      <c r="K252">
        <v>2</v>
      </c>
      <c r="L252" s="2">
        <v>92.54</v>
      </c>
      <c r="M252" s="3">
        <v>0</v>
      </c>
      <c r="N252" t="s">
        <v>38</v>
      </c>
      <c r="O252" s="2">
        <v>185.08</v>
      </c>
      <c r="P252" s="2">
        <v>89.54</v>
      </c>
      <c r="Q252" s="2">
        <v>95.54</v>
      </c>
      <c r="R252">
        <v>1</v>
      </c>
      <c r="S252">
        <v>0</v>
      </c>
      <c r="T252">
        <v>6</v>
      </c>
      <c r="U252">
        <v>2</v>
      </c>
    </row>
    <row r="253" spans="1:21" ht="16.5" x14ac:dyDescent="0.3">
      <c r="A253" t="s">
        <v>328</v>
      </c>
      <c r="B253" s="1">
        <v>45337</v>
      </c>
      <c r="C253">
        <v>2024</v>
      </c>
      <c r="D253" t="s">
        <v>22</v>
      </c>
      <c r="E253" t="s">
        <v>242</v>
      </c>
      <c r="F253" t="s">
        <v>24</v>
      </c>
      <c r="G253" t="s">
        <v>51</v>
      </c>
      <c r="H253" t="s">
        <v>32</v>
      </c>
      <c r="I253" t="s">
        <v>70</v>
      </c>
      <c r="J253" t="s">
        <v>162</v>
      </c>
      <c r="K253">
        <v>1</v>
      </c>
      <c r="L253" s="2">
        <v>636.09</v>
      </c>
      <c r="M253" s="3">
        <v>0.05</v>
      </c>
      <c r="N253" t="s">
        <v>29</v>
      </c>
      <c r="O253" s="2">
        <v>604.29</v>
      </c>
      <c r="P253" s="2">
        <v>517.44000000000005</v>
      </c>
      <c r="Q253" s="2">
        <v>86.85</v>
      </c>
      <c r="R253">
        <v>1</v>
      </c>
      <c r="S253">
        <v>0</v>
      </c>
      <c r="T253">
        <v>2</v>
      </c>
      <c r="U253">
        <v>5</v>
      </c>
    </row>
    <row r="254" spans="1:21" ht="16.5" x14ac:dyDescent="0.3">
      <c r="A254" t="s">
        <v>329</v>
      </c>
      <c r="B254" s="1">
        <v>45337</v>
      </c>
      <c r="C254">
        <v>2024</v>
      </c>
      <c r="D254" t="s">
        <v>22</v>
      </c>
      <c r="E254" t="s">
        <v>242</v>
      </c>
      <c r="F254" t="s">
        <v>24</v>
      </c>
      <c r="G254" t="s">
        <v>49</v>
      </c>
      <c r="H254" t="s">
        <v>26</v>
      </c>
      <c r="I254" t="s">
        <v>27</v>
      </c>
      <c r="J254" t="s">
        <v>40</v>
      </c>
      <c r="K254">
        <v>4</v>
      </c>
      <c r="L254" s="2">
        <v>104.94</v>
      </c>
      <c r="M254" s="3">
        <v>0.05</v>
      </c>
      <c r="N254" t="s">
        <v>29</v>
      </c>
      <c r="O254" s="2">
        <v>398.77</v>
      </c>
      <c r="P254" s="2">
        <v>232.73</v>
      </c>
      <c r="Q254" s="2">
        <v>166.04</v>
      </c>
      <c r="R254">
        <v>1</v>
      </c>
      <c r="S254">
        <v>0</v>
      </c>
      <c r="T254">
        <v>3</v>
      </c>
      <c r="U254">
        <v>4</v>
      </c>
    </row>
    <row r="255" spans="1:21" ht="16.5" x14ac:dyDescent="0.3">
      <c r="A255" t="s">
        <v>330</v>
      </c>
      <c r="B255" s="1">
        <v>45338</v>
      </c>
      <c r="C255">
        <v>2024</v>
      </c>
      <c r="D255" t="s">
        <v>22</v>
      </c>
      <c r="E255" t="s">
        <v>242</v>
      </c>
      <c r="F255" t="s">
        <v>31</v>
      </c>
      <c r="G255" t="s">
        <v>49</v>
      </c>
      <c r="H255" t="s">
        <v>32</v>
      </c>
      <c r="I255" t="s">
        <v>84</v>
      </c>
      <c r="J255" t="s">
        <v>96</v>
      </c>
      <c r="K255">
        <v>2</v>
      </c>
      <c r="L255" s="2">
        <v>10.76</v>
      </c>
      <c r="M255" s="3">
        <v>0.2</v>
      </c>
      <c r="N255" t="s">
        <v>34</v>
      </c>
      <c r="O255" s="2">
        <v>17.22</v>
      </c>
      <c r="P255" s="2">
        <v>14.75</v>
      </c>
      <c r="Q255" s="2">
        <v>2.4700000000000002</v>
      </c>
      <c r="R255">
        <v>1</v>
      </c>
      <c r="S255">
        <v>0</v>
      </c>
      <c r="T255">
        <v>4</v>
      </c>
      <c r="U255">
        <v>4</v>
      </c>
    </row>
    <row r="256" spans="1:21" ht="16.5" x14ac:dyDescent="0.3">
      <c r="A256" t="s">
        <v>331</v>
      </c>
      <c r="B256" s="1">
        <v>45338</v>
      </c>
      <c r="C256">
        <v>2024</v>
      </c>
      <c r="D256" t="s">
        <v>22</v>
      </c>
      <c r="E256" t="s">
        <v>242</v>
      </c>
      <c r="F256" t="s">
        <v>45</v>
      </c>
      <c r="G256" t="s">
        <v>25</v>
      </c>
      <c r="H256" t="s">
        <v>32</v>
      </c>
      <c r="I256" t="s">
        <v>27</v>
      </c>
      <c r="J256" t="s">
        <v>40</v>
      </c>
      <c r="K256">
        <v>1</v>
      </c>
      <c r="L256" s="2">
        <v>104.94</v>
      </c>
      <c r="M256" s="3">
        <v>0.1</v>
      </c>
      <c r="N256" t="s">
        <v>29</v>
      </c>
      <c r="O256" s="2">
        <v>94.45</v>
      </c>
      <c r="P256" s="2">
        <v>56.75</v>
      </c>
      <c r="Q256" s="2">
        <v>37.700000000000003</v>
      </c>
      <c r="R256">
        <v>1</v>
      </c>
      <c r="S256">
        <v>0</v>
      </c>
      <c r="T256">
        <v>3</v>
      </c>
      <c r="U256">
        <v>5</v>
      </c>
    </row>
    <row r="257" spans="1:21" ht="16.5" x14ac:dyDescent="0.3">
      <c r="A257" t="s">
        <v>332</v>
      </c>
      <c r="B257" s="1">
        <v>45338</v>
      </c>
      <c r="C257">
        <v>2024</v>
      </c>
      <c r="D257" t="s">
        <v>22</v>
      </c>
      <c r="E257" t="s">
        <v>242</v>
      </c>
      <c r="F257" t="s">
        <v>45</v>
      </c>
      <c r="G257" t="s">
        <v>25</v>
      </c>
      <c r="H257" t="s">
        <v>26</v>
      </c>
      <c r="I257" t="s">
        <v>42</v>
      </c>
      <c r="J257" t="s">
        <v>89</v>
      </c>
      <c r="K257">
        <v>1</v>
      </c>
      <c r="L257" s="2">
        <v>68.349999999999994</v>
      </c>
      <c r="M257" s="3">
        <v>0</v>
      </c>
      <c r="N257" t="s">
        <v>38</v>
      </c>
      <c r="O257" s="2">
        <v>68.349999999999994</v>
      </c>
      <c r="P257" s="2">
        <v>44</v>
      </c>
      <c r="Q257" s="2">
        <v>24.35</v>
      </c>
      <c r="R257">
        <v>1</v>
      </c>
      <c r="S257">
        <v>0</v>
      </c>
      <c r="T257">
        <v>4</v>
      </c>
      <c r="U257">
        <v>5</v>
      </c>
    </row>
    <row r="258" spans="1:21" ht="16.5" x14ac:dyDescent="0.3">
      <c r="A258" t="s">
        <v>333</v>
      </c>
      <c r="B258" s="1">
        <v>45338</v>
      </c>
      <c r="C258">
        <v>2024</v>
      </c>
      <c r="D258" t="s">
        <v>22</v>
      </c>
      <c r="E258" t="s">
        <v>242</v>
      </c>
      <c r="F258" t="s">
        <v>45</v>
      </c>
      <c r="G258" t="s">
        <v>49</v>
      </c>
      <c r="H258" t="s">
        <v>26</v>
      </c>
      <c r="I258" t="s">
        <v>84</v>
      </c>
      <c r="J258" t="s">
        <v>106</v>
      </c>
      <c r="K258">
        <v>1</v>
      </c>
      <c r="L258" s="2">
        <v>45.28</v>
      </c>
      <c r="M258" s="3">
        <v>0</v>
      </c>
      <c r="N258" t="s">
        <v>38</v>
      </c>
      <c r="O258" s="2">
        <v>45.28</v>
      </c>
      <c r="P258" s="2">
        <v>32.81</v>
      </c>
      <c r="Q258" s="2">
        <v>12.47</v>
      </c>
      <c r="R258">
        <v>1</v>
      </c>
      <c r="S258">
        <v>0</v>
      </c>
      <c r="T258">
        <v>3</v>
      </c>
      <c r="U258">
        <v>4</v>
      </c>
    </row>
    <row r="259" spans="1:21" ht="16.5" x14ac:dyDescent="0.3">
      <c r="A259" t="s">
        <v>334</v>
      </c>
      <c r="B259" s="1">
        <v>45338</v>
      </c>
      <c r="C259">
        <v>2024</v>
      </c>
      <c r="D259" t="s">
        <v>22</v>
      </c>
      <c r="E259" t="s">
        <v>242</v>
      </c>
      <c r="F259" t="s">
        <v>24</v>
      </c>
      <c r="G259" t="s">
        <v>25</v>
      </c>
      <c r="H259" t="s">
        <v>32</v>
      </c>
      <c r="I259" t="s">
        <v>67</v>
      </c>
      <c r="J259" t="s">
        <v>78</v>
      </c>
      <c r="K259">
        <v>3</v>
      </c>
      <c r="L259" s="2">
        <v>85.42</v>
      </c>
      <c r="M259" s="3">
        <v>0</v>
      </c>
      <c r="N259" t="s">
        <v>38</v>
      </c>
      <c r="O259" s="2">
        <v>256.26</v>
      </c>
      <c r="P259" s="2">
        <v>176.88</v>
      </c>
      <c r="Q259" s="2">
        <v>79.38</v>
      </c>
      <c r="R259">
        <v>1</v>
      </c>
      <c r="S259">
        <v>0</v>
      </c>
      <c r="T259">
        <v>4</v>
      </c>
      <c r="U259">
        <v>5</v>
      </c>
    </row>
    <row r="260" spans="1:21" ht="16.5" x14ac:dyDescent="0.3">
      <c r="A260" t="s">
        <v>335</v>
      </c>
      <c r="B260" s="1">
        <v>45339</v>
      </c>
      <c r="C260">
        <v>2024</v>
      </c>
      <c r="D260" t="s">
        <v>22</v>
      </c>
      <c r="E260" t="s">
        <v>242</v>
      </c>
      <c r="F260" t="s">
        <v>31</v>
      </c>
      <c r="G260" t="s">
        <v>51</v>
      </c>
      <c r="H260" t="s">
        <v>26</v>
      </c>
      <c r="I260" t="s">
        <v>42</v>
      </c>
      <c r="J260" t="s">
        <v>43</v>
      </c>
      <c r="K260">
        <v>1</v>
      </c>
      <c r="L260" s="2">
        <v>154.66</v>
      </c>
      <c r="M260" s="3">
        <v>0</v>
      </c>
      <c r="N260" t="s">
        <v>38</v>
      </c>
      <c r="O260" s="2">
        <v>154.66</v>
      </c>
      <c r="P260" s="2">
        <v>99.27</v>
      </c>
      <c r="Q260" s="2">
        <v>55.39</v>
      </c>
      <c r="R260">
        <v>1</v>
      </c>
      <c r="S260">
        <v>0</v>
      </c>
      <c r="T260">
        <v>3</v>
      </c>
      <c r="U260">
        <v>5</v>
      </c>
    </row>
    <row r="261" spans="1:21" ht="16.5" x14ac:dyDescent="0.3">
      <c r="A261" t="s">
        <v>336</v>
      </c>
      <c r="B261" s="1">
        <v>45339</v>
      </c>
      <c r="C261">
        <v>2024</v>
      </c>
      <c r="D261" t="s">
        <v>22</v>
      </c>
      <c r="E261" t="s">
        <v>242</v>
      </c>
      <c r="F261" t="s">
        <v>24</v>
      </c>
      <c r="G261" t="s">
        <v>46</v>
      </c>
      <c r="H261" t="s">
        <v>26</v>
      </c>
      <c r="I261" t="s">
        <v>36</v>
      </c>
      <c r="J261" t="s">
        <v>52</v>
      </c>
      <c r="K261">
        <v>1</v>
      </c>
      <c r="L261" s="2">
        <v>92.54</v>
      </c>
      <c r="M261" s="3">
        <v>0.15</v>
      </c>
      <c r="N261" t="s">
        <v>34</v>
      </c>
      <c r="O261" s="2">
        <v>78.66</v>
      </c>
      <c r="P261" s="2">
        <v>45.39</v>
      </c>
      <c r="Q261" s="2">
        <v>33.270000000000003</v>
      </c>
      <c r="R261">
        <v>1</v>
      </c>
      <c r="S261">
        <v>0</v>
      </c>
      <c r="T261">
        <v>8</v>
      </c>
      <c r="U261">
        <v>4</v>
      </c>
    </row>
    <row r="262" spans="1:21" ht="16.5" x14ac:dyDescent="0.3">
      <c r="A262" t="s">
        <v>337</v>
      </c>
      <c r="B262" s="1">
        <v>45339</v>
      </c>
      <c r="C262">
        <v>2024</v>
      </c>
      <c r="D262" t="s">
        <v>22</v>
      </c>
      <c r="E262" t="s">
        <v>242</v>
      </c>
      <c r="F262" t="s">
        <v>24</v>
      </c>
      <c r="G262" t="s">
        <v>51</v>
      </c>
      <c r="H262" t="s">
        <v>32</v>
      </c>
      <c r="I262" t="s">
        <v>70</v>
      </c>
      <c r="J262" t="s">
        <v>252</v>
      </c>
      <c r="K262">
        <v>1</v>
      </c>
      <c r="L262" s="2">
        <v>216.08</v>
      </c>
      <c r="M262" s="3">
        <v>0</v>
      </c>
      <c r="N262" t="s">
        <v>38</v>
      </c>
      <c r="O262" s="2">
        <v>216.08</v>
      </c>
      <c r="P262" s="2">
        <v>173.85</v>
      </c>
      <c r="Q262" s="2">
        <v>42.23</v>
      </c>
      <c r="R262">
        <v>1</v>
      </c>
      <c r="S262">
        <v>0</v>
      </c>
      <c r="T262">
        <v>3</v>
      </c>
      <c r="U262">
        <v>5</v>
      </c>
    </row>
    <row r="263" spans="1:21" ht="16.5" x14ac:dyDescent="0.3">
      <c r="A263" t="s">
        <v>338</v>
      </c>
      <c r="B263" s="1">
        <v>45339</v>
      </c>
      <c r="C263">
        <v>2024</v>
      </c>
      <c r="D263" t="s">
        <v>22</v>
      </c>
      <c r="E263" t="s">
        <v>242</v>
      </c>
      <c r="F263" t="s">
        <v>24</v>
      </c>
      <c r="G263" t="s">
        <v>25</v>
      </c>
      <c r="H263" t="s">
        <v>32</v>
      </c>
      <c r="I263" t="s">
        <v>36</v>
      </c>
      <c r="J263" t="s">
        <v>126</v>
      </c>
      <c r="K263">
        <v>1</v>
      </c>
      <c r="L263" s="2">
        <v>54.56</v>
      </c>
      <c r="M263" s="3">
        <v>0</v>
      </c>
      <c r="N263" t="s">
        <v>38</v>
      </c>
      <c r="O263" s="2">
        <v>54.56</v>
      </c>
      <c r="P263" s="2">
        <v>27</v>
      </c>
      <c r="Q263" s="2">
        <v>27.56</v>
      </c>
      <c r="R263">
        <v>1</v>
      </c>
      <c r="S263">
        <v>0</v>
      </c>
      <c r="T263">
        <v>5</v>
      </c>
      <c r="U263">
        <v>4</v>
      </c>
    </row>
    <row r="264" spans="1:21" ht="16.5" x14ac:dyDescent="0.3">
      <c r="A264" t="s">
        <v>339</v>
      </c>
      <c r="B264" s="1">
        <v>45339</v>
      </c>
      <c r="C264">
        <v>2024</v>
      </c>
      <c r="D264" t="s">
        <v>22</v>
      </c>
      <c r="E264" t="s">
        <v>242</v>
      </c>
      <c r="F264" t="s">
        <v>24</v>
      </c>
      <c r="G264" t="s">
        <v>46</v>
      </c>
      <c r="H264" t="s">
        <v>26</v>
      </c>
      <c r="I264" t="s">
        <v>84</v>
      </c>
      <c r="J264" t="s">
        <v>85</v>
      </c>
      <c r="K264">
        <v>1</v>
      </c>
      <c r="L264" s="2">
        <v>57.92</v>
      </c>
      <c r="M264" s="3">
        <v>0.15</v>
      </c>
      <c r="N264" t="s">
        <v>34</v>
      </c>
      <c r="O264" s="2">
        <v>49.23</v>
      </c>
      <c r="P264" s="2">
        <v>41.68</v>
      </c>
      <c r="Q264" s="2">
        <v>7.55</v>
      </c>
      <c r="R264">
        <v>1</v>
      </c>
      <c r="S264">
        <v>0</v>
      </c>
      <c r="T264">
        <v>6</v>
      </c>
      <c r="U264">
        <v>3</v>
      </c>
    </row>
    <row r="265" spans="1:21" ht="16.5" x14ac:dyDescent="0.3">
      <c r="A265" t="s">
        <v>340</v>
      </c>
      <c r="B265" s="1">
        <v>45339</v>
      </c>
      <c r="C265">
        <v>2024</v>
      </c>
      <c r="D265" t="s">
        <v>22</v>
      </c>
      <c r="E265" t="s">
        <v>242</v>
      </c>
      <c r="F265" t="s">
        <v>24</v>
      </c>
      <c r="G265" t="s">
        <v>46</v>
      </c>
      <c r="H265" t="s">
        <v>32</v>
      </c>
      <c r="I265" t="s">
        <v>42</v>
      </c>
      <c r="J265" t="s">
        <v>54</v>
      </c>
      <c r="K265">
        <v>1</v>
      </c>
      <c r="L265" s="2">
        <v>148.05000000000001</v>
      </c>
      <c r="M265" s="3">
        <v>0.1</v>
      </c>
      <c r="N265" t="s">
        <v>29</v>
      </c>
      <c r="O265" s="2">
        <v>133.24</v>
      </c>
      <c r="P265" s="2">
        <v>93.98</v>
      </c>
      <c r="Q265" s="2">
        <v>39.26</v>
      </c>
      <c r="R265">
        <v>1</v>
      </c>
      <c r="S265">
        <v>0</v>
      </c>
      <c r="T265">
        <v>7</v>
      </c>
      <c r="U265">
        <v>3</v>
      </c>
    </row>
    <row r="266" spans="1:21" ht="16.5" x14ac:dyDescent="0.3">
      <c r="A266" t="s">
        <v>341</v>
      </c>
      <c r="B266" s="1">
        <v>45339</v>
      </c>
      <c r="C266">
        <v>2024</v>
      </c>
      <c r="D266" t="s">
        <v>22</v>
      </c>
      <c r="E266" t="s">
        <v>242</v>
      </c>
      <c r="F266" t="s">
        <v>45</v>
      </c>
      <c r="G266" t="s">
        <v>25</v>
      </c>
      <c r="H266" t="s">
        <v>32</v>
      </c>
      <c r="I266" t="s">
        <v>42</v>
      </c>
      <c r="J266" t="s">
        <v>43</v>
      </c>
      <c r="K266">
        <v>1</v>
      </c>
      <c r="L266" s="2">
        <v>154.66</v>
      </c>
      <c r="M266" s="3">
        <v>0.05</v>
      </c>
      <c r="N266" t="s">
        <v>29</v>
      </c>
      <c r="O266" s="2">
        <v>146.93</v>
      </c>
      <c r="P266" s="2">
        <v>106.26</v>
      </c>
      <c r="Q266" s="2">
        <v>40.67</v>
      </c>
      <c r="R266">
        <v>1</v>
      </c>
      <c r="S266">
        <v>0</v>
      </c>
      <c r="T266">
        <v>4</v>
      </c>
      <c r="U266">
        <v>4</v>
      </c>
    </row>
    <row r="267" spans="1:21" ht="16.5" x14ac:dyDescent="0.3">
      <c r="A267" t="s">
        <v>342</v>
      </c>
      <c r="B267" s="1">
        <v>45339</v>
      </c>
      <c r="C267">
        <v>2024</v>
      </c>
      <c r="D267" t="s">
        <v>22</v>
      </c>
      <c r="E267" t="s">
        <v>242</v>
      </c>
      <c r="F267" t="s">
        <v>31</v>
      </c>
      <c r="G267" t="s">
        <v>51</v>
      </c>
      <c r="H267" t="s">
        <v>32</v>
      </c>
      <c r="I267" t="s">
        <v>84</v>
      </c>
      <c r="J267" t="s">
        <v>85</v>
      </c>
      <c r="K267">
        <v>1</v>
      </c>
      <c r="L267" s="2">
        <v>57.92</v>
      </c>
      <c r="M267" s="3">
        <v>0.1</v>
      </c>
      <c r="N267" t="s">
        <v>29</v>
      </c>
      <c r="O267" s="2">
        <v>52.13</v>
      </c>
      <c r="P267" s="2">
        <v>40.39</v>
      </c>
      <c r="Q267" s="2">
        <v>11.74</v>
      </c>
      <c r="R267">
        <v>1</v>
      </c>
      <c r="S267">
        <v>0</v>
      </c>
      <c r="T267">
        <v>3</v>
      </c>
      <c r="U267">
        <v>4</v>
      </c>
    </row>
    <row r="268" spans="1:21" ht="16.5" x14ac:dyDescent="0.3">
      <c r="A268" t="s">
        <v>343</v>
      </c>
      <c r="B268" s="1">
        <v>45340</v>
      </c>
      <c r="C268">
        <v>2024</v>
      </c>
      <c r="D268" t="s">
        <v>22</v>
      </c>
      <c r="E268" t="s">
        <v>242</v>
      </c>
      <c r="F268" t="s">
        <v>45</v>
      </c>
      <c r="G268" t="s">
        <v>51</v>
      </c>
      <c r="H268" t="s">
        <v>32</v>
      </c>
      <c r="I268" t="s">
        <v>36</v>
      </c>
      <c r="J268" t="s">
        <v>52</v>
      </c>
      <c r="K268">
        <v>1</v>
      </c>
      <c r="L268" s="2">
        <v>92.54</v>
      </c>
      <c r="M268" s="3">
        <v>0.2</v>
      </c>
      <c r="N268" t="s">
        <v>34</v>
      </c>
      <c r="O268" s="2">
        <v>74.03</v>
      </c>
      <c r="P268" s="2">
        <v>44.64</v>
      </c>
      <c r="Q268" s="2">
        <v>29.39</v>
      </c>
      <c r="R268">
        <v>1</v>
      </c>
      <c r="S268">
        <v>0</v>
      </c>
      <c r="T268">
        <v>2</v>
      </c>
      <c r="U268">
        <v>4</v>
      </c>
    </row>
    <row r="269" spans="1:21" ht="16.5" x14ac:dyDescent="0.3">
      <c r="A269" t="s">
        <v>344</v>
      </c>
      <c r="B269" s="1">
        <v>45340</v>
      </c>
      <c r="C269">
        <v>2024</v>
      </c>
      <c r="D269" t="s">
        <v>22</v>
      </c>
      <c r="E269" t="s">
        <v>242</v>
      </c>
      <c r="F269" t="s">
        <v>31</v>
      </c>
      <c r="G269" t="s">
        <v>25</v>
      </c>
      <c r="H269" t="s">
        <v>32</v>
      </c>
      <c r="I269" t="s">
        <v>70</v>
      </c>
      <c r="J269" t="s">
        <v>252</v>
      </c>
      <c r="K269">
        <v>1</v>
      </c>
      <c r="L269" s="2">
        <v>216.08</v>
      </c>
      <c r="M269" s="3">
        <v>0.1</v>
      </c>
      <c r="N269" t="s">
        <v>29</v>
      </c>
      <c r="O269" s="2">
        <v>194.47</v>
      </c>
      <c r="P269" s="2">
        <v>174.28</v>
      </c>
      <c r="Q269" s="2">
        <v>20.190000000000001</v>
      </c>
      <c r="R269">
        <v>1</v>
      </c>
      <c r="S269">
        <v>0</v>
      </c>
      <c r="T269">
        <v>3</v>
      </c>
      <c r="U269">
        <v>5</v>
      </c>
    </row>
    <row r="270" spans="1:21" ht="16.5" x14ac:dyDescent="0.3">
      <c r="A270" t="s">
        <v>345</v>
      </c>
      <c r="B270" s="1">
        <v>45340</v>
      </c>
      <c r="C270">
        <v>2024</v>
      </c>
      <c r="D270" t="s">
        <v>22</v>
      </c>
      <c r="E270" t="s">
        <v>242</v>
      </c>
      <c r="F270" t="s">
        <v>24</v>
      </c>
      <c r="G270" t="s">
        <v>49</v>
      </c>
      <c r="H270" t="s">
        <v>26</v>
      </c>
      <c r="I270" t="s">
        <v>70</v>
      </c>
      <c r="J270" t="s">
        <v>71</v>
      </c>
      <c r="K270">
        <v>1</v>
      </c>
      <c r="L270" s="2">
        <v>588.41</v>
      </c>
      <c r="M270" s="3">
        <v>0</v>
      </c>
      <c r="N270" t="s">
        <v>38</v>
      </c>
      <c r="O270" s="2">
        <v>588.41</v>
      </c>
      <c r="P270" s="2">
        <v>452.94</v>
      </c>
      <c r="Q270" s="2">
        <v>135.47</v>
      </c>
      <c r="R270">
        <v>1</v>
      </c>
      <c r="S270">
        <v>0</v>
      </c>
      <c r="T270">
        <v>5</v>
      </c>
      <c r="U270">
        <v>4</v>
      </c>
    </row>
    <row r="271" spans="1:21" ht="16.5" x14ac:dyDescent="0.3">
      <c r="A271" t="s">
        <v>346</v>
      </c>
      <c r="B271" s="1">
        <v>45340</v>
      </c>
      <c r="C271">
        <v>2024</v>
      </c>
      <c r="D271" t="s">
        <v>22</v>
      </c>
      <c r="E271" t="s">
        <v>242</v>
      </c>
      <c r="F271" t="s">
        <v>24</v>
      </c>
      <c r="G271" t="s">
        <v>49</v>
      </c>
      <c r="H271" t="s">
        <v>26</v>
      </c>
      <c r="I271" t="s">
        <v>27</v>
      </c>
      <c r="J271" t="s">
        <v>40</v>
      </c>
      <c r="K271">
        <v>3</v>
      </c>
      <c r="L271" s="2">
        <v>104.94</v>
      </c>
      <c r="M271" s="3">
        <v>0.25</v>
      </c>
      <c r="N271" t="s">
        <v>62</v>
      </c>
      <c r="O271" s="2">
        <v>236.12</v>
      </c>
      <c r="P271" s="2">
        <v>173.16</v>
      </c>
      <c r="Q271" s="2">
        <v>62.96</v>
      </c>
      <c r="R271">
        <v>1</v>
      </c>
      <c r="S271">
        <v>0</v>
      </c>
      <c r="T271">
        <v>5</v>
      </c>
      <c r="U271">
        <v>5</v>
      </c>
    </row>
    <row r="272" spans="1:21" ht="16.5" x14ac:dyDescent="0.3">
      <c r="A272" t="s">
        <v>347</v>
      </c>
      <c r="B272" s="1">
        <v>45340</v>
      </c>
      <c r="C272">
        <v>2024</v>
      </c>
      <c r="D272" t="s">
        <v>22</v>
      </c>
      <c r="E272" t="s">
        <v>242</v>
      </c>
      <c r="F272" t="s">
        <v>31</v>
      </c>
      <c r="G272" t="s">
        <v>49</v>
      </c>
      <c r="H272" t="s">
        <v>26</v>
      </c>
      <c r="I272" t="s">
        <v>67</v>
      </c>
      <c r="J272" t="s">
        <v>68</v>
      </c>
      <c r="K272">
        <v>1</v>
      </c>
      <c r="L272" s="2">
        <v>74.459999999999994</v>
      </c>
      <c r="M272" s="3">
        <v>0.05</v>
      </c>
      <c r="N272" t="s">
        <v>29</v>
      </c>
      <c r="O272" s="2">
        <v>70.739999999999995</v>
      </c>
      <c r="P272" s="2">
        <v>52.02</v>
      </c>
      <c r="Q272" s="2">
        <v>18.72</v>
      </c>
      <c r="R272">
        <v>1</v>
      </c>
      <c r="S272">
        <v>0</v>
      </c>
      <c r="T272">
        <v>3</v>
      </c>
      <c r="U272">
        <v>5</v>
      </c>
    </row>
    <row r="273" spans="1:21" ht="16.5" x14ac:dyDescent="0.3">
      <c r="A273" t="s">
        <v>348</v>
      </c>
      <c r="B273" s="1">
        <v>45340</v>
      </c>
      <c r="C273">
        <v>2024</v>
      </c>
      <c r="D273" t="s">
        <v>22</v>
      </c>
      <c r="E273" t="s">
        <v>242</v>
      </c>
      <c r="F273" t="s">
        <v>31</v>
      </c>
      <c r="G273" t="s">
        <v>65</v>
      </c>
      <c r="H273" t="s">
        <v>26</v>
      </c>
      <c r="I273" t="s">
        <v>84</v>
      </c>
      <c r="J273" t="s">
        <v>96</v>
      </c>
      <c r="K273">
        <v>2</v>
      </c>
      <c r="L273" s="2">
        <v>10.76</v>
      </c>
      <c r="M273" s="3">
        <v>0.05</v>
      </c>
      <c r="N273" t="s">
        <v>29</v>
      </c>
      <c r="O273" s="2">
        <v>20.440000000000001</v>
      </c>
      <c r="P273" s="2">
        <v>15.66</v>
      </c>
      <c r="Q273" s="2">
        <v>4.78</v>
      </c>
      <c r="R273">
        <v>1</v>
      </c>
      <c r="S273">
        <v>0</v>
      </c>
      <c r="T273">
        <v>6</v>
      </c>
      <c r="U273">
        <v>4</v>
      </c>
    </row>
    <row r="274" spans="1:21" ht="16.5" x14ac:dyDescent="0.3">
      <c r="A274" t="s">
        <v>349</v>
      </c>
      <c r="B274" s="1">
        <v>45340</v>
      </c>
      <c r="C274">
        <v>2024</v>
      </c>
      <c r="D274" t="s">
        <v>22</v>
      </c>
      <c r="E274" t="s">
        <v>242</v>
      </c>
      <c r="F274" t="s">
        <v>31</v>
      </c>
      <c r="G274" t="s">
        <v>46</v>
      </c>
      <c r="H274" t="s">
        <v>26</v>
      </c>
      <c r="I274" t="s">
        <v>70</v>
      </c>
      <c r="J274" t="s">
        <v>87</v>
      </c>
      <c r="K274">
        <v>1</v>
      </c>
      <c r="L274" s="2">
        <v>490.3</v>
      </c>
      <c r="M274" s="3">
        <v>0.05</v>
      </c>
      <c r="N274" t="s">
        <v>29</v>
      </c>
      <c r="O274" s="2">
        <v>465.78</v>
      </c>
      <c r="P274" s="2">
        <v>392.02</v>
      </c>
      <c r="Q274" s="2">
        <v>73.760000000000005</v>
      </c>
      <c r="R274">
        <v>1</v>
      </c>
      <c r="S274">
        <v>0</v>
      </c>
      <c r="T274">
        <v>7</v>
      </c>
      <c r="U274">
        <v>4</v>
      </c>
    </row>
    <row r="275" spans="1:21" ht="16.5" x14ac:dyDescent="0.3">
      <c r="A275" t="s">
        <v>350</v>
      </c>
      <c r="B275" s="1">
        <v>45340</v>
      </c>
      <c r="C275">
        <v>2024</v>
      </c>
      <c r="D275" t="s">
        <v>22</v>
      </c>
      <c r="E275" t="s">
        <v>242</v>
      </c>
      <c r="F275" t="s">
        <v>24</v>
      </c>
      <c r="G275" t="s">
        <v>49</v>
      </c>
      <c r="H275" t="s">
        <v>26</v>
      </c>
      <c r="I275" t="s">
        <v>27</v>
      </c>
      <c r="J275" t="s">
        <v>110</v>
      </c>
      <c r="K275">
        <v>3</v>
      </c>
      <c r="L275" s="2">
        <v>19.41</v>
      </c>
      <c r="M275" s="3">
        <v>0.15</v>
      </c>
      <c r="N275" t="s">
        <v>34</v>
      </c>
      <c r="O275" s="2">
        <v>49.5</v>
      </c>
      <c r="P275" s="2">
        <v>31.42</v>
      </c>
      <c r="Q275" s="2">
        <v>18.079999999999998</v>
      </c>
      <c r="R275">
        <v>1</v>
      </c>
      <c r="S275">
        <v>0</v>
      </c>
      <c r="T275">
        <v>3</v>
      </c>
      <c r="U275">
        <v>4</v>
      </c>
    </row>
    <row r="276" spans="1:21" ht="16.5" x14ac:dyDescent="0.3">
      <c r="A276" t="s">
        <v>351</v>
      </c>
      <c r="B276" s="1">
        <v>45342</v>
      </c>
      <c r="C276">
        <v>2024</v>
      </c>
      <c r="D276" t="s">
        <v>22</v>
      </c>
      <c r="E276" t="s">
        <v>242</v>
      </c>
      <c r="F276" t="s">
        <v>24</v>
      </c>
      <c r="G276" t="s">
        <v>49</v>
      </c>
      <c r="H276" t="s">
        <v>32</v>
      </c>
      <c r="I276" t="s">
        <v>36</v>
      </c>
      <c r="J276" t="s">
        <v>126</v>
      </c>
      <c r="K276">
        <v>1</v>
      </c>
      <c r="L276" s="2">
        <v>54.56</v>
      </c>
      <c r="M276" s="3">
        <v>0.2</v>
      </c>
      <c r="N276" t="s">
        <v>34</v>
      </c>
      <c r="O276" s="2">
        <v>43.65</v>
      </c>
      <c r="P276" s="2">
        <v>26.69</v>
      </c>
      <c r="Q276" s="2">
        <v>16.96</v>
      </c>
      <c r="R276">
        <v>1</v>
      </c>
      <c r="S276">
        <v>1</v>
      </c>
      <c r="T276">
        <v>4</v>
      </c>
      <c r="U276">
        <v>3</v>
      </c>
    </row>
    <row r="277" spans="1:21" ht="16.5" x14ac:dyDescent="0.3">
      <c r="A277" t="s">
        <v>352</v>
      </c>
      <c r="B277" s="1">
        <v>45342</v>
      </c>
      <c r="C277">
        <v>2024</v>
      </c>
      <c r="D277" t="s">
        <v>22</v>
      </c>
      <c r="E277" t="s">
        <v>242</v>
      </c>
      <c r="F277" t="s">
        <v>45</v>
      </c>
      <c r="G277" t="s">
        <v>49</v>
      </c>
      <c r="H277" t="s">
        <v>26</v>
      </c>
      <c r="I277" t="s">
        <v>27</v>
      </c>
      <c r="J277" t="s">
        <v>110</v>
      </c>
      <c r="K277">
        <v>3</v>
      </c>
      <c r="L277" s="2">
        <v>19.41</v>
      </c>
      <c r="M277" s="3">
        <v>0</v>
      </c>
      <c r="N277" t="s">
        <v>38</v>
      </c>
      <c r="O277" s="2">
        <v>58.23</v>
      </c>
      <c r="P277" s="2">
        <v>31.62</v>
      </c>
      <c r="Q277" s="2">
        <v>26.61</v>
      </c>
      <c r="R277">
        <v>1</v>
      </c>
      <c r="S277">
        <v>1</v>
      </c>
      <c r="T277">
        <v>3</v>
      </c>
      <c r="U277">
        <v>4</v>
      </c>
    </row>
    <row r="278" spans="1:21" ht="16.5" x14ac:dyDescent="0.3">
      <c r="A278" t="s">
        <v>353</v>
      </c>
      <c r="B278" s="1">
        <v>45342</v>
      </c>
      <c r="C278">
        <v>2024</v>
      </c>
      <c r="D278" t="s">
        <v>22</v>
      </c>
      <c r="E278" t="s">
        <v>242</v>
      </c>
      <c r="F278" t="s">
        <v>31</v>
      </c>
      <c r="G278" t="s">
        <v>49</v>
      </c>
      <c r="H278" t="s">
        <v>32</v>
      </c>
      <c r="I278" t="s">
        <v>27</v>
      </c>
      <c r="J278" t="s">
        <v>60</v>
      </c>
      <c r="K278">
        <v>2</v>
      </c>
      <c r="L278" s="2">
        <v>94.85</v>
      </c>
      <c r="M278" s="3">
        <v>0.2</v>
      </c>
      <c r="N278" t="s">
        <v>34</v>
      </c>
      <c r="O278" s="2">
        <v>151.76</v>
      </c>
      <c r="P278" s="2">
        <v>101.62</v>
      </c>
      <c r="Q278" s="2">
        <v>50.14</v>
      </c>
      <c r="R278">
        <v>1</v>
      </c>
      <c r="S278">
        <v>0</v>
      </c>
      <c r="T278">
        <v>3</v>
      </c>
      <c r="U278">
        <v>4</v>
      </c>
    </row>
    <row r="279" spans="1:21" ht="16.5" x14ac:dyDescent="0.3">
      <c r="A279" t="s">
        <v>354</v>
      </c>
      <c r="B279" s="1">
        <v>45343</v>
      </c>
      <c r="C279">
        <v>2024</v>
      </c>
      <c r="D279" t="s">
        <v>22</v>
      </c>
      <c r="E279" t="s">
        <v>242</v>
      </c>
      <c r="F279" t="s">
        <v>45</v>
      </c>
      <c r="G279" t="s">
        <v>25</v>
      </c>
      <c r="H279" t="s">
        <v>26</v>
      </c>
      <c r="I279" t="s">
        <v>70</v>
      </c>
      <c r="J279" t="s">
        <v>71</v>
      </c>
      <c r="K279">
        <v>2</v>
      </c>
      <c r="L279" s="2">
        <v>588.41</v>
      </c>
      <c r="M279" s="3">
        <v>0.05</v>
      </c>
      <c r="N279" t="s">
        <v>29</v>
      </c>
      <c r="O279" s="2">
        <v>1117.98</v>
      </c>
      <c r="P279" s="2">
        <v>981.4</v>
      </c>
      <c r="Q279" s="2">
        <v>136.58000000000001</v>
      </c>
      <c r="R279">
        <v>1</v>
      </c>
      <c r="S279">
        <v>0</v>
      </c>
      <c r="T279">
        <v>4</v>
      </c>
      <c r="U279">
        <v>5</v>
      </c>
    </row>
    <row r="280" spans="1:21" ht="16.5" x14ac:dyDescent="0.3">
      <c r="A280" t="s">
        <v>355</v>
      </c>
      <c r="B280" s="1">
        <v>45343</v>
      </c>
      <c r="C280">
        <v>2024</v>
      </c>
      <c r="D280" t="s">
        <v>22</v>
      </c>
      <c r="E280" t="s">
        <v>242</v>
      </c>
      <c r="F280" t="s">
        <v>24</v>
      </c>
      <c r="G280" t="s">
        <v>51</v>
      </c>
      <c r="H280" t="s">
        <v>26</v>
      </c>
      <c r="I280" t="s">
        <v>84</v>
      </c>
      <c r="J280" t="s">
        <v>132</v>
      </c>
      <c r="K280">
        <v>3</v>
      </c>
      <c r="L280" s="2">
        <v>48.86</v>
      </c>
      <c r="M280" s="3">
        <v>0.05</v>
      </c>
      <c r="N280" t="s">
        <v>29</v>
      </c>
      <c r="O280" s="2">
        <v>139.25</v>
      </c>
      <c r="P280" s="2">
        <v>102.08</v>
      </c>
      <c r="Q280" s="2">
        <v>37.17</v>
      </c>
      <c r="R280">
        <v>1</v>
      </c>
      <c r="S280">
        <v>0</v>
      </c>
      <c r="T280">
        <v>4</v>
      </c>
      <c r="U280">
        <v>4</v>
      </c>
    </row>
    <row r="281" spans="1:21" ht="16.5" x14ac:dyDescent="0.3">
      <c r="A281" t="s">
        <v>356</v>
      </c>
      <c r="B281" s="1">
        <v>45343</v>
      </c>
      <c r="C281">
        <v>2024</v>
      </c>
      <c r="D281" t="s">
        <v>22</v>
      </c>
      <c r="E281" t="s">
        <v>242</v>
      </c>
      <c r="F281" t="s">
        <v>31</v>
      </c>
      <c r="G281" t="s">
        <v>51</v>
      </c>
      <c r="H281" t="s">
        <v>26</v>
      </c>
      <c r="I281" t="s">
        <v>70</v>
      </c>
      <c r="J281" t="s">
        <v>87</v>
      </c>
      <c r="K281">
        <v>2</v>
      </c>
      <c r="L281" s="2">
        <v>490.3</v>
      </c>
      <c r="M281" s="3">
        <v>0</v>
      </c>
      <c r="N281" t="s">
        <v>38</v>
      </c>
      <c r="O281" s="2">
        <v>980.6</v>
      </c>
      <c r="P281" s="2">
        <v>767.06</v>
      </c>
      <c r="Q281" s="2">
        <v>213.54</v>
      </c>
      <c r="R281">
        <v>1</v>
      </c>
      <c r="S281">
        <v>0</v>
      </c>
      <c r="T281">
        <v>3</v>
      </c>
      <c r="U281">
        <v>4</v>
      </c>
    </row>
    <row r="282" spans="1:21" ht="16.5" x14ac:dyDescent="0.3">
      <c r="A282" t="s">
        <v>357</v>
      </c>
      <c r="B282" s="1">
        <v>45343</v>
      </c>
      <c r="C282">
        <v>2024</v>
      </c>
      <c r="D282" t="s">
        <v>22</v>
      </c>
      <c r="E282" t="s">
        <v>242</v>
      </c>
      <c r="F282" t="s">
        <v>24</v>
      </c>
      <c r="G282" t="s">
        <v>65</v>
      </c>
      <c r="H282" t="s">
        <v>26</v>
      </c>
      <c r="I282" t="s">
        <v>67</v>
      </c>
      <c r="J282" t="s">
        <v>93</v>
      </c>
      <c r="K282">
        <v>1</v>
      </c>
      <c r="L282" s="2">
        <v>198.42</v>
      </c>
      <c r="M282" s="3">
        <v>0.15</v>
      </c>
      <c r="N282" t="s">
        <v>34</v>
      </c>
      <c r="O282" s="2">
        <v>168.66</v>
      </c>
      <c r="P282" s="2">
        <v>129.86000000000001</v>
      </c>
      <c r="Q282" s="2">
        <v>38.799999999999997</v>
      </c>
      <c r="R282">
        <v>1</v>
      </c>
      <c r="S282">
        <v>0</v>
      </c>
      <c r="T282">
        <v>6</v>
      </c>
      <c r="U282">
        <v>3</v>
      </c>
    </row>
    <row r="283" spans="1:21" ht="16.5" x14ac:dyDescent="0.3">
      <c r="A283" t="s">
        <v>358</v>
      </c>
      <c r="B283" s="1">
        <v>45343</v>
      </c>
      <c r="C283">
        <v>2024</v>
      </c>
      <c r="D283" t="s">
        <v>22</v>
      </c>
      <c r="E283" t="s">
        <v>242</v>
      </c>
      <c r="F283" t="s">
        <v>31</v>
      </c>
      <c r="G283" t="s">
        <v>51</v>
      </c>
      <c r="H283" t="s">
        <v>32</v>
      </c>
      <c r="I283" t="s">
        <v>42</v>
      </c>
      <c r="J283" t="s">
        <v>98</v>
      </c>
      <c r="K283">
        <v>3</v>
      </c>
      <c r="L283" s="2">
        <v>117.63</v>
      </c>
      <c r="M283" s="3">
        <v>0</v>
      </c>
      <c r="N283" t="s">
        <v>38</v>
      </c>
      <c r="O283" s="2">
        <v>352.89</v>
      </c>
      <c r="P283" s="2">
        <v>235.65</v>
      </c>
      <c r="Q283" s="2">
        <v>117.24</v>
      </c>
      <c r="R283">
        <v>1</v>
      </c>
      <c r="S283">
        <v>0</v>
      </c>
      <c r="T283">
        <v>2</v>
      </c>
      <c r="U283">
        <v>4</v>
      </c>
    </row>
    <row r="284" spans="1:21" ht="16.5" x14ac:dyDescent="0.3">
      <c r="A284" t="s">
        <v>359</v>
      </c>
      <c r="B284" s="1">
        <v>45343</v>
      </c>
      <c r="C284">
        <v>2024</v>
      </c>
      <c r="D284" t="s">
        <v>22</v>
      </c>
      <c r="E284" t="s">
        <v>242</v>
      </c>
      <c r="F284" t="s">
        <v>24</v>
      </c>
      <c r="G284" t="s">
        <v>51</v>
      </c>
      <c r="H284" t="s">
        <v>32</v>
      </c>
      <c r="I284" t="s">
        <v>27</v>
      </c>
      <c r="J284" t="s">
        <v>110</v>
      </c>
      <c r="K284">
        <v>1</v>
      </c>
      <c r="L284" s="2">
        <v>19.41</v>
      </c>
      <c r="M284" s="3">
        <v>0.05</v>
      </c>
      <c r="N284" t="s">
        <v>29</v>
      </c>
      <c r="O284" s="2">
        <v>18.440000000000001</v>
      </c>
      <c r="P284" s="2">
        <v>10.47</v>
      </c>
      <c r="Q284" s="2">
        <v>7.97</v>
      </c>
      <c r="R284">
        <v>1</v>
      </c>
      <c r="S284">
        <v>0</v>
      </c>
      <c r="T284">
        <v>4</v>
      </c>
      <c r="U284">
        <v>5</v>
      </c>
    </row>
    <row r="285" spans="1:21" ht="16.5" x14ac:dyDescent="0.3">
      <c r="A285" t="s">
        <v>360</v>
      </c>
      <c r="B285" s="1">
        <v>45343</v>
      </c>
      <c r="C285">
        <v>2024</v>
      </c>
      <c r="D285" t="s">
        <v>22</v>
      </c>
      <c r="E285" t="s">
        <v>242</v>
      </c>
      <c r="F285" t="s">
        <v>31</v>
      </c>
      <c r="G285" t="s">
        <v>49</v>
      </c>
      <c r="H285" t="s">
        <v>32</v>
      </c>
      <c r="I285" t="s">
        <v>36</v>
      </c>
      <c r="J285" t="s">
        <v>115</v>
      </c>
      <c r="K285">
        <v>1</v>
      </c>
      <c r="L285" s="2">
        <v>33.479999999999997</v>
      </c>
      <c r="M285" s="3">
        <v>0</v>
      </c>
      <c r="N285" t="s">
        <v>38</v>
      </c>
      <c r="O285" s="2">
        <v>33.479999999999997</v>
      </c>
      <c r="P285" s="2">
        <v>16.46</v>
      </c>
      <c r="Q285" s="2">
        <v>17.02</v>
      </c>
      <c r="R285">
        <v>1</v>
      </c>
      <c r="S285">
        <v>0</v>
      </c>
      <c r="T285">
        <v>3</v>
      </c>
      <c r="U285">
        <v>4</v>
      </c>
    </row>
    <row r="286" spans="1:21" ht="16.5" x14ac:dyDescent="0.3">
      <c r="A286" t="s">
        <v>361</v>
      </c>
      <c r="B286" s="1">
        <v>45344</v>
      </c>
      <c r="C286">
        <v>2024</v>
      </c>
      <c r="D286" t="s">
        <v>22</v>
      </c>
      <c r="E286" t="s">
        <v>242</v>
      </c>
      <c r="F286" t="s">
        <v>24</v>
      </c>
      <c r="G286" t="s">
        <v>51</v>
      </c>
      <c r="H286" t="s">
        <v>32</v>
      </c>
      <c r="I286" t="s">
        <v>70</v>
      </c>
      <c r="J286" t="s">
        <v>71</v>
      </c>
      <c r="K286">
        <v>1</v>
      </c>
      <c r="L286" s="2">
        <v>588.41</v>
      </c>
      <c r="M286" s="3">
        <v>0.2</v>
      </c>
      <c r="N286" t="s">
        <v>34</v>
      </c>
      <c r="O286" s="2">
        <v>470.73</v>
      </c>
      <c r="P286" s="2">
        <v>465.28</v>
      </c>
      <c r="Q286" s="2">
        <v>5.45</v>
      </c>
      <c r="R286">
        <v>1</v>
      </c>
      <c r="S286">
        <v>0</v>
      </c>
      <c r="T286">
        <v>3</v>
      </c>
      <c r="U286">
        <v>4</v>
      </c>
    </row>
    <row r="287" spans="1:21" ht="16.5" x14ac:dyDescent="0.3">
      <c r="A287" t="s">
        <v>362</v>
      </c>
      <c r="B287" s="1">
        <v>45344</v>
      </c>
      <c r="C287">
        <v>2024</v>
      </c>
      <c r="D287" t="s">
        <v>22</v>
      </c>
      <c r="E287" t="s">
        <v>242</v>
      </c>
      <c r="F287" t="s">
        <v>24</v>
      </c>
      <c r="G287" t="s">
        <v>51</v>
      </c>
      <c r="H287" t="s">
        <v>26</v>
      </c>
      <c r="I287" t="s">
        <v>27</v>
      </c>
      <c r="J287" t="s">
        <v>33</v>
      </c>
      <c r="K287">
        <v>1</v>
      </c>
      <c r="L287" s="2">
        <v>78.510000000000005</v>
      </c>
      <c r="M287" s="3">
        <v>0.05</v>
      </c>
      <c r="N287" t="s">
        <v>29</v>
      </c>
      <c r="O287" s="2">
        <v>74.58</v>
      </c>
      <c r="P287" s="2">
        <v>41.56</v>
      </c>
      <c r="Q287" s="2">
        <v>33.020000000000003</v>
      </c>
      <c r="R287">
        <v>1</v>
      </c>
      <c r="S287">
        <v>0</v>
      </c>
      <c r="T287">
        <v>2</v>
      </c>
      <c r="U287">
        <v>4</v>
      </c>
    </row>
    <row r="288" spans="1:21" ht="16.5" x14ac:dyDescent="0.3">
      <c r="A288" t="s">
        <v>363</v>
      </c>
      <c r="B288" s="1">
        <v>45344</v>
      </c>
      <c r="C288">
        <v>2024</v>
      </c>
      <c r="D288" t="s">
        <v>22</v>
      </c>
      <c r="E288" t="s">
        <v>242</v>
      </c>
      <c r="F288" t="s">
        <v>24</v>
      </c>
      <c r="G288" t="s">
        <v>51</v>
      </c>
      <c r="H288" t="s">
        <v>26</v>
      </c>
      <c r="I288" t="s">
        <v>36</v>
      </c>
      <c r="J288" t="s">
        <v>56</v>
      </c>
      <c r="K288">
        <v>2</v>
      </c>
      <c r="L288" s="2">
        <v>74.3</v>
      </c>
      <c r="M288" s="3">
        <v>0.15</v>
      </c>
      <c r="N288" t="s">
        <v>34</v>
      </c>
      <c r="O288" s="2">
        <v>126.31</v>
      </c>
      <c r="P288" s="2">
        <v>71.08</v>
      </c>
      <c r="Q288" s="2">
        <v>55.23</v>
      </c>
      <c r="R288">
        <v>1</v>
      </c>
      <c r="S288">
        <v>0</v>
      </c>
      <c r="T288">
        <v>3</v>
      </c>
      <c r="U288">
        <v>5</v>
      </c>
    </row>
    <row r="289" spans="1:21" ht="16.5" x14ac:dyDescent="0.3">
      <c r="A289" t="s">
        <v>364</v>
      </c>
      <c r="B289" s="1">
        <v>45345</v>
      </c>
      <c r="C289">
        <v>2024</v>
      </c>
      <c r="D289" t="s">
        <v>22</v>
      </c>
      <c r="E289" t="s">
        <v>242</v>
      </c>
      <c r="F289" t="s">
        <v>24</v>
      </c>
      <c r="G289" t="s">
        <v>65</v>
      </c>
      <c r="H289" t="s">
        <v>26</v>
      </c>
      <c r="I289" t="s">
        <v>27</v>
      </c>
      <c r="J289" t="s">
        <v>47</v>
      </c>
      <c r="K289">
        <v>1</v>
      </c>
      <c r="L289" s="2">
        <v>33.99</v>
      </c>
      <c r="M289" s="3">
        <v>0</v>
      </c>
      <c r="N289" t="s">
        <v>38</v>
      </c>
      <c r="O289" s="2">
        <v>33.99</v>
      </c>
      <c r="P289" s="2">
        <v>18.190000000000001</v>
      </c>
      <c r="Q289" s="2">
        <v>15.8</v>
      </c>
      <c r="R289">
        <v>1</v>
      </c>
      <c r="S289">
        <v>1</v>
      </c>
      <c r="T289">
        <v>6</v>
      </c>
      <c r="U289">
        <v>2</v>
      </c>
    </row>
    <row r="290" spans="1:21" ht="16.5" x14ac:dyDescent="0.3">
      <c r="A290" t="s">
        <v>365</v>
      </c>
      <c r="B290" s="1">
        <v>45345</v>
      </c>
      <c r="C290">
        <v>2024</v>
      </c>
      <c r="D290" t="s">
        <v>22</v>
      </c>
      <c r="E290" t="s">
        <v>242</v>
      </c>
      <c r="F290" t="s">
        <v>24</v>
      </c>
      <c r="G290" t="s">
        <v>51</v>
      </c>
      <c r="H290" t="s">
        <v>26</v>
      </c>
      <c r="I290" t="s">
        <v>84</v>
      </c>
      <c r="J290" t="s">
        <v>106</v>
      </c>
      <c r="K290">
        <v>2</v>
      </c>
      <c r="L290" s="2">
        <v>45.28</v>
      </c>
      <c r="M290" s="3">
        <v>0.05</v>
      </c>
      <c r="N290" t="s">
        <v>29</v>
      </c>
      <c r="O290" s="2">
        <v>86.03</v>
      </c>
      <c r="P290" s="2">
        <v>62.59</v>
      </c>
      <c r="Q290" s="2">
        <v>23.44</v>
      </c>
      <c r="R290">
        <v>1</v>
      </c>
      <c r="S290">
        <v>0</v>
      </c>
      <c r="T290">
        <v>2</v>
      </c>
      <c r="U290">
        <v>5</v>
      </c>
    </row>
    <row r="291" spans="1:21" ht="16.5" x14ac:dyDescent="0.3">
      <c r="A291" t="s">
        <v>366</v>
      </c>
      <c r="B291" s="1">
        <v>45345</v>
      </c>
      <c r="C291">
        <v>2024</v>
      </c>
      <c r="D291" t="s">
        <v>22</v>
      </c>
      <c r="E291" t="s">
        <v>242</v>
      </c>
      <c r="F291" t="s">
        <v>31</v>
      </c>
      <c r="G291" t="s">
        <v>49</v>
      </c>
      <c r="H291" t="s">
        <v>32</v>
      </c>
      <c r="I291" t="s">
        <v>42</v>
      </c>
      <c r="J291" t="s">
        <v>76</v>
      </c>
      <c r="K291">
        <v>3</v>
      </c>
      <c r="L291" s="2">
        <v>90.75</v>
      </c>
      <c r="M291" s="3">
        <v>0.05</v>
      </c>
      <c r="N291" t="s">
        <v>29</v>
      </c>
      <c r="O291" s="2">
        <v>258.64</v>
      </c>
      <c r="P291" s="2">
        <v>185.5</v>
      </c>
      <c r="Q291" s="2">
        <v>73.14</v>
      </c>
      <c r="R291">
        <v>1</v>
      </c>
      <c r="S291">
        <v>0</v>
      </c>
      <c r="T291">
        <v>3</v>
      </c>
      <c r="U291">
        <v>4</v>
      </c>
    </row>
    <row r="292" spans="1:21" ht="16.5" x14ac:dyDescent="0.3">
      <c r="A292" t="s">
        <v>367</v>
      </c>
      <c r="B292" s="1">
        <v>45345</v>
      </c>
      <c r="C292">
        <v>2024</v>
      </c>
      <c r="D292" t="s">
        <v>22</v>
      </c>
      <c r="E292" t="s">
        <v>242</v>
      </c>
      <c r="F292" t="s">
        <v>24</v>
      </c>
      <c r="G292" t="s">
        <v>25</v>
      </c>
      <c r="H292" t="s">
        <v>26</v>
      </c>
      <c r="I292" t="s">
        <v>36</v>
      </c>
      <c r="J292" t="s">
        <v>56</v>
      </c>
      <c r="K292">
        <v>2</v>
      </c>
      <c r="L292" s="2">
        <v>74.3</v>
      </c>
      <c r="M292" s="3">
        <v>0.1</v>
      </c>
      <c r="N292" t="s">
        <v>29</v>
      </c>
      <c r="O292" s="2">
        <v>133.74</v>
      </c>
      <c r="P292" s="2">
        <v>69.73</v>
      </c>
      <c r="Q292" s="2">
        <v>64.010000000000005</v>
      </c>
      <c r="R292">
        <v>1</v>
      </c>
      <c r="S292">
        <v>0</v>
      </c>
      <c r="T292">
        <v>3</v>
      </c>
      <c r="U292">
        <v>4</v>
      </c>
    </row>
    <row r="293" spans="1:21" ht="16.5" x14ac:dyDescent="0.3">
      <c r="A293" t="s">
        <v>368</v>
      </c>
      <c r="B293" s="1">
        <v>45345</v>
      </c>
      <c r="C293">
        <v>2024</v>
      </c>
      <c r="D293" t="s">
        <v>22</v>
      </c>
      <c r="E293" t="s">
        <v>242</v>
      </c>
      <c r="F293" t="s">
        <v>24</v>
      </c>
      <c r="G293" t="s">
        <v>51</v>
      </c>
      <c r="H293" t="s">
        <v>32</v>
      </c>
      <c r="I293" t="s">
        <v>70</v>
      </c>
      <c r="J293" t="s">
        <v>87</v>
      </c>
      <c r="K293">
        <v>1</v>
      </c>
      <c r="L293" s="2">
        <v>490.3</v>
      </c>
      <c r="M293" s="3">
        <v>0</v>
      </c>
      <c r="N293" t="s">
        <v>38</v>
      </c>
      <c r="O293" s="2">
        <v>490.3</v>
      </c>
      <c r="P293" s="2">
        <v>400.69</v>
      </c>
      <c r="Q293" s="2">
        <v>89.61</v>
      </c>
      <c r="R293">
        <v>1</v>
      </c>
      <c r="S293">
        <v>0</v>
      </c>
      <c r="T293">
        <v>4</v>
      </c>
      <c r="U293">
        <v>4</v>
      </c>
    </row>
    <row r="294" spans="1:21" ht="16.5" x14ac:dyDescent="0.3">
      <c r="A294" t="s">
        <v>369</v>
      </c>
      <c r="B294" s="1">
        <v>45345</v>
      </c>
      <c r="C294">
        <v>2024</v>
      </c>
      <c r="D294" t="s">
        <v>22</v>
      </c>
      <c r="E294" t="s">
        <v>242</v>
      </c>
      <c r="F294" t="s">
        <v>31</v>
      </c>
      <c r="G294" t="s">
        <v>46</v>
      </c>
      <c r="H294" t="s">
        <v>32</v>
      </c>
      <c r="I294" t="s">
        <v>67</v>
      </c>
      <c r="J294" t="s">
        <v>103</v>
      </c>
      <c r="K294">
        <v>4</v>
      </c>
      <c r="L294" s="2">
        <v>83.06</v>
      </c>
      <c r="M294" s="3">
        <v>0.2</v>
      </c>
      <c r="N294" t="s">
        <v>34</v>
      </c>
      <c r="O294" s="2">
        <v>265.79000000000002</v>
      </c>
      <c r="P294" s="2">
        <v>222.28</v>
      </c>
      <c r="Q294" s="2">
        <v>43.51</v>
      </c>
      <c r="R294">
        <v>1</v>
      </c>
      <c r="S294">
        <v>0</v>
      </c>
      <c r="T294">
        <v>6</v>
      </c>
      <c r="U294">
        <v>5</v>
      </c>
    </row>
    <row r="295" spans="1:21" ht="16.5" x14ac:dyDescent="0.3">
      <c r="A295" t="s">
        <v>370</v>
      </c>
      <c r="B295" s="1">
        <v>45345</v>
      </c>
      <c r="C295">
        <v>2024</v>
      </c>
      <c r="D295" t="s">
        <v>22</v>
      </c>
      <c r="E295" t="s">
        <v>242</v>
      </c>
      <c r="F295" t="s">
        <v>24</v>
      </c>
      <c r="G295" t="s">
        <v>65</v>
      </c>
      <c r="H295" t="s">
        <v>26</v>
      </c>
      <c r="I295" t="s">
        <v>42</v>
      </c>
      <c r="J295" t="s">
        <v>98</v>
      </c>
      <c r="K295">
        <v>3</v>
      </c>
      <c r="L295" s="2">
        <v>117.63</v>
      </c>
      <c r="M295" s="3">
        <v>0.1</v>
      </c>
      <c r="N295" t="s">
        <v>29</v>
      </c>
      <c r="O295" s="2">
        <v>317.60000000000002</v>
      </c>
      <c r="P295" s="2">
        <v>240.16</v>
      </c>
      <c r="Q295" s="2">
        <v>77.44</v>
      </c>
      <c r="R295">
        <v>1</v>
      </c>
      <c r="S295">
        <v>0</v>
      </c>
      <c r="T295">
        <v>9</v>
      </c>
      <c r="U295">
        <v>3</v>
      </c>
    </row>
    <row r="296" spans="1:21" ht="16.5" x14ac:dyDescent="0.3">
      <c r="A296" t="s">
        <v>371</v>
      </c>
      <c r="B296" s="1">
        <v>45346</v>
      </c>
      <c r="C296">
        <v>2024</v>
      </c>
      <c r="D296" t="s">
        <v>22</v>
      </c>
      <c r="E296" t="s">
        <v>242</v>
      </c>
      <c r="F296" t="s">
        <v>24</v>
      </c>
      <c r="G296" t="s">
        <v>25</v>
      </c>
      <c r="H296" t="s">
        <v>32</v>
      </c>
      <c r="I296" t="s">
        <v>42</v>
      </c>
      <c r="J296" t="s">
        <v>76</v>
      </c>
      <c r="K296">
        <v>1</v>
      </c>
      <c r="L296" s="2">
        <v>90.75</v>
      </c>
      <c r="M296" s="3">
        <v>0.15</v>
      </c>
      <c r="N296" t="s">
        <v>34</v>
      </c>
      <c r="O296" s="2">
        <v>77.14</v>
      </c>
      <c r="P296" s="2">
        <v>60.89</v>
      </c>
      <c r="Q296" s="2">
        <v>16.25</v>
      </c>
      <c r="R296">
        <v>1</v>
      </c>
      <c r="S296">
        <v>0</v>
      </c>
      <c r="T296">
        <v>4</v>
      </c>
      <c r="U296">
        <v>4</v>
      </c>
    </row>
    <row r="297" spans="1:21" ht="16.5" x14ac:dyDescent="0.3">
      <c r="A297" t="s">
        <v>372</v>
      </c>
      <c r="B297" s="1">
        <v>45346</v>
      </c>
      <c r="C297">
        <v>2024</v>
      </c>
      <c r="D297" t="s">
        <v>22</v>
      </c>
      <c r="E297" t="s">
        <v>242</v>
      </c>
      <c r="F297" t="s">
        <v>24</v>
      </c>
      <c r="G297" t="s">
        <v>49</v>
      </c>
      <c r="H297" t="s">
        <v>32</v>
      </c>
      <c r="I297" t="s">
        <v>70</v>
      </c>
      <c r="J297" t="s">
        <v>71</v>
      </c>
      <c r="K297">
        <v>1</v>
      </c>
      <c r="L297" s="2">
        <v>588.41</v>
      </c>
      <c r="M297" s="3">
        <v>0.15</v>
      </c>
      <c r="N297" t="s">
        <v>34</v>
      </c>
      <c r="O297" s="2">
        <v>500.15</v>
      </c>
      <c r="P297" s="2">
        <v>437.71</v>
      </c>
      <c r="Q297" s="2">
        <v>62.44</v>
      </c>
      <c r="R297">
        <v>1</v>
      </c>
      <c r="S297">
        <v>1</v>
      </c>
      <c r="T297">
        <v>4</v>
      </c>
      <c r="U297">
        <v>3</v>
      </c>
    </row>
    <row r="298" spans="1:21" ht="16.5" x14ac:dyDescent="0.3">
      <c r="A298" t="s">
        <v>373</v>
      </c>
      <c r="B298" s="1">
        <v>45347</v>
      </c>
      <c r="C298">
        <v>2024</v>
      </c>
      <c r="D298" t="s">
        <v>22</v>
      </c>
      <c r="E298" t="s">
        <v>242</v>
      </c>
      <c r="F298" t="s">
        <v>24</v>
      </c>
      <c r="G298" t="s">
        <v>25</v>
      </c>
      <c r="H298" t="s">
        <v>32</v>
      </c>
      <c r="I298" t="s">
        <v>42</v>
      </c>
      <c r="J298" t="s">
        <v>58</v>
      </c>
      <c r="K298">
        <v>3</v>
      </c>
      <c r="L298" s="2">
        <v>233.81</v>
      </c>
      <c r="M298" s="3">
        <v>0</v>
      </c>
      <c r="N298" t="s">
        <v>38</v>
      </c>
      <c r="O298" s="2">
        <v>701.43</v>
      </c>
      <c r="P298" s="2">
        <v>496.62</v>
      </c>
      <c r="Q298" s="2">
        <v>204.81</v>
      </c>
      <c r="R298">
        <v>1</v>
      </c>
      <c r="S298">
        <v>0</v>
      </c>
      <c r="T298">
        <v>4</v>
      </c>
      <c r="U298">
        <v>4</v>
      </c>
    </row>
    <row r="299" spans="1:21" ht="16.5" x14ac:dyDescent="0.3">
      <c r="A299" t="s">
        <v>374</v>
      </c>
      <c r="B299" s="1">
        <v>45347</v>
      </c>
      <c r="C299">
        <v>2024</v>
      </c>
      <c r="D299" t="s">
        <v>22</v>
      </c>
      <c r="E299" t="s">
        <v>242</v>
      </c>
      <c r="F299" t="s">
        <v>31</v>
      </c>
      <c r="G299" t="s">
        <v>46</v>
      </c>
      <c r="H299" t="s">
        <v>32</v>
      </c>
      <c r="I299" t="s">
        <v>27</v>
      </c>
      <c r="J299" t="s">
        <v>28</v>
      </c>
      <c r="K299">
        <v>1</v>
      </c>
      <c r="L299" s="2">
        <v>138.5</v>
      </c>
      <c r="M299" s="3">
        <v>0</v>
      </c>
      <c r="N299" t="s">
        <v>38</v>
      </c>
      <c r="O299" s="2">
        <v>138.5</v>
      </c>
      <c r="P299" s="2">
        <v>74.45</v>
      </c>
      <c r="Q299" s="2">
        <v>64.05</v>
      </c>
      <c r="R299">
        <v>1</v>
      </c>
      <c r="S299">
        <v>0</v>
      </c>
      <c r="T299">
        <v>5</v>
      </c>
      <c r="U299">
        <v>4</v>
      </c>
    </row>
    <row r="300" spans="1:21" ht="16.5" x14ac:dyDescent="0.3">
      <c r="A300" t="s">
        <v>375</v>
      </c>
      <c r="B300" s="1">
        <v>45347</v>
      </c>
      <c r="C300">
        <v>2024</v>
      </c>
      <c r="D300" t="s">
        <v>22</v>
      </c>
      <c r="E300" t="s">
        <v>242</v>
      </c>
      <c r="F300" t="s">
        <v>24</v>
      </c>
      <c r="G300" t="s">
        <v>25</v>
      </c>
      <c r="H300" t="s">
        <v>26</v>
      </c>
      <c r="I300" t="s">
        <v>67</v>
      </c>
      <c r="J300" t="s">
        <v>93</v>
      </c>
      <c r="K300">
        <v>1</v>
      </c>
      <c r="L300" s="2">
        <v>198.42</v>
      </c>
      <c r="M300" s="3">
        <v>0</v>
      </c>
      <c r="N300" t="s">
        <v>38</v>
      </c>
      <c r="O300" s="2">
        <v>198.42</v>
      </c>
      <c r="P300" s="2">
        <v>135.46</v>
      </c>
      <c r="Q300" s="2">
        <v>62.96</v>
      </c>
      <c r="R300">
        <v>1</v>
      </c>
      <c r="S300">
        <v>0</v>
      </c>
      <c r="T300">
        <v>9</v>
      </c>
      <c r="U300">
        <v>3</v>
      </c>
    </row>
    <row r="301" spans="1:21" ht="16.5" x14ac:dyDescent="0.3">
      <c r="A301" t="s">
        <v>376</v>
      </c>
      <c r="B301" s="1">
        <v>45347</v>
      </c>
      <c r="C301">
        <v>2024</v>
      </c>
      <c r="D301" t="s">
        <v>22</v>
      </c>
      <c r="E301" t="s">
        <v>242</v>
      </c>
      <c r="F301" t="s">
        <v>31</v>
      </c>
      <c r="G301" t="s">
        <v>51</v>
      </c>
      <c r="H301" t="s">
        <v>26</v>
      </c>
      <c r="I301" t="s">
        <v>70</v>
      </c>
      <c r="J301" t="s">
        <v>162</v>
      </c>
      <c r="K301">
        <v>1</v>
      </c>
      <c r="L301" s="2">
        <v>636.09</v>
      </c>
      <c r="M301" s="3">
        <v>0.15</v>
      </c>
      <c r="N301" t="s">
        <v>34</v>
      </c>
      <c r="O301" s="2">
        <v>540.67999999999995</v>
      </c>
      <c r="P301" s="2">
        <v>480.17</v>
      </c>
      <c r="Q301" s="2">
        <v>60.51</v>
      </c>
      <c r="R301">
        <v>1</v>
      </c>
      <c r="S301">
        <v>0</v>
      </c>
      <c r="T301">
        <v>3</v>
      </c>
      <c r="U301">
        <v>4</v>
      </c>
    </row>
    <row r="302" spans="1:21" ht="16.5" x14ac:dyDescent="0.3">
      <c r="A302" t="s">
        <v>377</v>
      </c>
      <c r="B302" s="1">
        <v>45347</v>
      </c>
      <c r="C302">
        <v>2024</v>
      </c>
      <c r="D302" t="s">
        <v>22</v>
      </c>
      <c r="E302" t="s">
        <v>242</v>
      </c>
      <c r="F302" t="s">
        <v>31</v>
      </c>
      <c r="G302" t="s">
        <v>46</v>
      </c>
      <c r="H302" t="s">
        <v>32</v>
      </c>
      <c r="I302" t="s">
        <v>84</v>
      </c>
      <c r="J302" t="s">
        <v>85</v>
      </c>
      <c r="K302">
        <v>1</v>
      </c>
      <c r="L302" s="2">
        <v>57.92</v>
      </c>
      <c r="M302" s="3">
        <v>0.15</v>
      </c>
      <c r="N302" t="s">
        <v>34</v>
      </c>
      <c r="O302" s="2">
        <v>49.23</v>
      </c>
      <c r="P302" s="2">
        <v>42.09</v>
      </c>
      <c r="Q302" s="2">
        <v>7.14</v>
      </c>
      <c r="R302">
        <v>1</v>
      </c>
      <c r="S302">
        <v>0</v>
      </c>
      <c r="T302">
        <v>7</v>
      </c>
      <c r="U302">
        <v>3</v>
      </c>
    </row>
    <row r="303" spans="1:21" ht="16.5" x14ac:dyDescent="0.3">
      <c r="A303" t="s">
        <v>378</v>
      </c>
      <c r="B303" s="1">
        <v>45347</v>
      </c>
      <c r="C303">
        <v>2024</v>
      </c>
      <c r="D303" t="s">
        <v>22</v>
      </c>
      <c r="E303" t="s">
        <v>242</v>
      </c>
      <c r="F303" t="s">
        <v>24</v>
      </c>
      <c r="G303" t="s">
        <v>49</v>
      </c>
      <c r="H303" t="s">
        <v>32</v>
      </c>
      <c r="I303" t="s">
        <v>67</v>
      </c>
      <c r="J303" t="s">
        <v>93</v>
      </c>
      <c r="K303">
        <v>1</v>
      </c>
      <c r="L303" s="2">
        <v>198.42</v>
      </c>
      <c r="M303" s="3">
        <v>0.3</v>
      </c>
      <c r="N303" t="s">
        <v>62</v>
      </c>
      <c r="O303" s="2">
        <v>138.88999999999999</v>
      </c>
      <c r="P303" s="2">
        <v>137.88999999999999</v>
      </c>
      <c r="Q303" s="2">
        <v>1</v>
      </c>
      <c r="R303">
        <v>1</v>
      </c>
      <c r="S303">
        <v>0</v>
      </c>
      <c r="T303">
        <v>4</v>
      </c>
      <c r="U303">
        <v>3</v>
      </c>
    </row>
    <row r="304" spans="1:21" ht="16.5" x14ac:dyDescent="0.3">
      <c r="A304" t="s">
        <v>379</v>
      </c>
      <c r="B304" s="1">
        <v>45347</v>
      </c>
      <c r="C304">
        <v>2024</v>
      </c>
      <c r="D304" t="s">
        <v>22</v>
      </c>
      <c r="E304" t="s">
        <v>242</v>
      </c>
      <c r="F304" t="s">
        <v>24</v>
      </c>
      <c r="G304" t="s">
        <v>46</v>
      </c>
      <c r="H304" t="s">
        <v>26</v>
      </c>
      <c r="I304" t="s">
        <v>42</v>
      </c>
      <c r="J304" t="s">
        <v>98</v>
      </c>
      <c r="K304">
        <v>1</v>
      </c>
      <c r="L304" s="2">
        <v>117.63</v>
      </c>
      <c r="M304" s="3">
        <v>0.05</v>
      </c>
      <c r="N304" t="s">
        <v>29</v>
      </c>
      <c r="O304" s="2">
        <v>111.75</v>
      </c>
      <c r="P304" s="2">
        <v>76.64</v>
      </c>
      <c r="Q304" s="2">
        <v>35.11</v>
      </c>
      <c r="R304">
        <v>1</v>
      </c>
      <c r="S304">
        <v>0</v>
      </c>
      <c r="T304">
        <v>5</v>
      </c>
      <c r="U304">
        <v>5</v>
      </c>
    </row>
    <row r="305" spans="1:21" ht="16.5" x14ac:dyDescent="0.3">
      <c r="A305" t="s">
        <v>380</v>
      </c>
      <c r="B305" s="1">
        <v>45347</v>
      </c>
      <c r="C305">
        <v>2024</v>
      </c>
      <c r="D305" t="s">
        <v>22</v>
      </c>
      <c r="E305" t="s">
        <v>242</v>
      </c>
      <c r="F305" t="s">
        <v>31</v>
      </c>
      <c r="G305" t="s">
        <v>25</v>
      </c>
      <c r="H305" t="s">
        <v>32</v>
      </c>
      <c r="I305" t="s">
        <v>27</v>
      </c>
      <c r="J305" t="s">
        <v>60</v>
      </c>
      <c r="K305">
        <v>1</v>
      </c>
      <c r="L305" s="2">
        <v>94.85</v>
      </c>
      <c r="M305" s="3">
        <v>0.1</v>
      </c>
      <c r="N305" t="s">
        <v>29</v>
      </c>
      <c r="O305" s="2">
        <v>85.36</v>
      </c>
      <c r="P305" s="2">
        <v>52.98</v>
      </c>
      <c r="Q305" s="2">
        <v>32.380000000000003</v>
      </c>
      <c r="R305">
        <v>1</v>
      </c>
      <c r="S305">
        <v>0</v>
      </c>
      <c r="T305">
        <v>6</v>
      </c>
      <c r="U305">
        <v>4</v>
      </c>
    </row>
    <row r="306" spans="1:21" ht="16.5" x14ac:dyDescent="0.3">
      <c r="A306" t="s">
        <v>381</v>
      </c>
      <c r="B306" s="1">
        <v>45347</v>
      </c>
      <c r="C306">
        <v>2024</v>
      </c>
      <c r="D306" t="s">
        <v>22</v>
      </c>
      <c r="E306" t="s">
        <v>242</v>
      </c>
      <c r="F306" t="s">
        <v>24</v>
      </c>
      <c r="G306" t="s">
        <v>51</v>
      </c>
      <c r="H306" t="s">
        <v>26</v>
      </c>
      <c r="I306" t="s">
        <v>36</v>
      </c>
      <c r="J306" t="s">
        <v>126</v>
      </c>
      <c r="K306">
        <v>1</v>
      </c>
      <c r="L306" s="2">
        <v>54.56</v>
      </c>
      <c r="M306" s="3">
        <v>0</v>
      </c>
      <c r="N306" t="s">
        <v>38</v>
      </c>
      <c r="O306" s="2">
        <v>54.56</v>
      </c>
      <c r="P306" s="2">
        <v>26.56</v>
      </c>
      <c r="Q306" s="2">
        <v>28</v>
      </c>
      <c r="R306">
        <v>1</v>
      </c>
      <c r="S306">
        <v>0</v>
      </c>
      <c r="T306">
        <v>2</v>
      </c>
      <c r="U306">
        <v>5</v>
      </c>
    </row>
    <row r="307" spans="1:21" ht="16.5" x14ac:dyDescent="0.3">
      <c r="A307" t="s">
        <v>382</v>
      </c>
      <c r="B307" s="1">
        <v>45347</v>
      </c>
      <c r="C307">
        <v>2024</v>
      </c>
      <c r="D307" t="s">
        <v>22</v>
      </c>
      <c r="E307" t="s">
        <v>242</v>
      </c>
      <c r="F307" t="s">
        <v>24</v>
      </c>
      <c r="G307" t="s">
        <v>25</v>
      </c>
      <c r="H307" t="s">
        <v>32</v>
      </c>
      <c r="I307" t="s">
        <v>70</v>
      </c>
      <c r="J307" t="s">
        <v>162</v>
      </c>
      <c r="K307">
        <v>1</v>
      </c>
      <c r="L307" s="2">
        <v>636.09</v>
      </c>
      <c r="M307" s="3">
        <v>0.05</v>
      </c>
      <c r="N307" t="s">
        <v>29</v>
      </c>
      <c r="O307" s="2">
        <v>604.29</v>
      </c>
      <c r="P307" s="2">
        <v>502.23</v>
      </c>
      <c r="Q307" s="2">
        <v>102.06</v>
      </c>
      <c r="R307">
        <v>1</v>
      </c>
      <c r="S307">
        <v>0</v>
      </c>
      <c r="T307">
        <v>6</v>
      </c>
      <c r="U307">
        <v>3</v>
      </c>
    </row>
    <row r="308" spans="1:21" ht="16.5" x14ac:dyDescent="0.3">
      <c r="A308" t="s">
        <v>383</v>
      </c>
      <c r="B308" s="1">
        <v>45348</v>
      </c>
      <c r="C308">
        <v>2024</v>
      </c>
      <c r="D308" t="s">
        <v>22</v>
      </c>
      <c r="E308" t="s">
        <v>242</v>
      </c>
      <c r="F308" t="s">
        <v>45</v>
      </c>
      <c r="G308" t="s">
        <v>65</v>
      </c>
      <c r="H308" t="s">
        <v>32</v>
      </c>
      <c r="I308" t="s">
        <v>27</v>
      </c>
      <c r="J308" t="s">
        <v>28</v>
      </c>
      <c r="K308">
        <v>2</v>
      </c>
      <c r="L308" s="2">
        <v>138.5</v>
      </c>
      <c r="M308" s="3">
        <v>0.15</v>
      </c>
      <c r="N308" t="s">
        <v>34</v>
      </c>
      <c r="O308" s="2">
        <v>235.45</v>
      </c>
      <c r="P308" s="2">
        <v>154.69</v>
      </c>
      <c r="Q308" s="2">
        <v>80.760000000000005</v>
      </c>
      <c r="R308">
        <v>1</v>
      </c>
      <c r="S308">
        <v>1</v>
      </c>
      <c r="T308">
        <v>5</v>
      </c>
      <c r="U308">
        <v>2</v>
      </c>
    </row>
    <row r="309" spans="1:21" ht="16.5" x14ac:dyDescent="0.3">
      <c r="A309" t="s">
        <v>384</v>
      </c>
      <c r="B309" s="1">
        <v>45348</v>
      </c>
      <c r="C309">
        <v>2024</v>
      </c>
      <c r="D309" t="s">
        <v>22</v>
      </c>
      <c r="E309" t="s">
        <v>242</v>
      </c>
      <c r="F309" t="s">
        <v>24</v>
      </c>
      <c r="G309" t="s">
        <v>49</v>
      </c>
      <c r="H309" t="s">
        <v>32</v>
      </c>
      <c r="I309" t="s">
        <v>27</v>
      </c>
      <c r="J309" t="s">
        <v>28</v>
      </c>
      <c r="K309">
        <v>1</v>
      </c>
      <c r="L309" s="2">
        <v>138.5</v>
      </c>
      <c r="M309" s="3">
        <v>0</v>
      </c>
      <c r="N309" t="s">
        <v>38</v>
      </c>
      <c r="O309" s="2">
        <v>138.5</v>
      </c>
      <c r="P309" s="2">
        <v>75.37</v>
      </c>
      <c r="Q309" s="2">
        <v>63.13</v>
      </c>
      <c r="R309">
        <v>1</v>
      </c>
      <c r="S309">
        <v>1</v>
      </c>
      <c r="T309">
        <v>3</v>
      </c>
      <c r="U309">
        <v>3</v>
      </c>
    </row>
    <row r="310" spans="1:21" ht="16.5" x14ac:dyDescent="0.3">
      <c r="A310" t="s">
        <v>385</v>
      </c>
      <c r="B310" s="1">
        <v>45348</v>
      </c>
      <c r="C310">
        <v>2024</v>
      </c>
      <c r="D310" t="s">
        <v>22</v>
      </c>
      <c r="E310" t="s">
        <v>242</v>
      </c>
      <c r="F310" t="s">
        <v>31</v>
      </c>
      <c r="G310" t="s">
        <v>25</v>
      </c>
      <c r="H310" t="s">
        <v>32</v>
      </c>
      <c r="I310" t="s">
        <v>42</v>
      </c>
      <c r="J310" t="s">
        <v>98</v>
      </c>
      <c r="K310">
        <v>1</v>
      </c>
      <c r="L310" s="2">
        <v>117.63</v>
      </c>
      <c r="M310" s="3">
        <v>0.15</v>
      </c>
      <c r="N310" t="s">
        <v>34</v>
      </c>
      <c r="O310" s="2">
        <v>99.99</v>
      </c>
      <c r="P310" s="2">
        <v>72.92</v>
      </c>
      <c r="Q310" s="2">
        <v>27.07</v>
      </c>
      <c r="R310">
        <v>1</v>
      </c>
      <c r="S310">
        <v>0</v>
      </c>
      <c r="T310">
        <v>7</v>
      </c>
      <c r="U310">
        <v>2</v>
      </c>
    </row>
    <row r="311" spans="1:21" ht="16.5" x14ac:dyDescent="0.3">
      <c r="A311" t="s">
        <v>386</v>
      </c>
      <c r="B311" s="1">
        <v>45348</v>
      </c>
      <c r="C311">
        <v>2024</v>
      </c>
      <c r="D311" t="s">
        <v>22</v>
      </c>
      <c r="E311" t="s">
        <v>242</v>
      </c>
      <c r="F311" t="s">
        <v>31</v>
      </c>
      <c r="G311" t="s">
        <v>46</v>
      </c>
      <c r="H311" t="s">
        <v>26</v>
      </c>
      <c r="I311" t="s">
        <v>27</v>
      </c>
      <c r="J311" t="s">
        <v>60</v>
      </c>
      <c r="K311">
        <v>1</v>
      </c>
      <c r="L311" s="2">
        <v>94.85</v>
      </c>
      <c r="M311" s="3">
        <v>0</v>
      </c>
      <c r="N311" t="s">
        <v>38</v>
      </c>
      <c r="O311" s="2">
        <v>94.85</v>
      </c>
      <c r="P311" s="2">
        <v>50.79</v>
      </c>
      <c r="Q311" s="2">
        <v>44.06</v>
      </c>
      <c r="R311">
        <v>1</v>
      </c>
      <c r="S311">
        <v>0</v>
      </c>
      <c r="T311">
        <v>7</v>
      </c>
      <c r="U311">
        <v>4</v>
      </c>
    </row>
    <row r="312" spans="1:21" ht="16.5" x14ac:dyDescent="0.3">
      <c r="A312" t="s">
        <v>387</v>
      </c>
      <c r="B312" s="1">
        <v>45349</v>
      </c>
      <c r="C312">
        <v>2024</v>
      </c>
      <c r="D312" t="s">
        <v>22</v>
      </c>
      <c r="E312" t="s">
        <v>242</v>
      </c>
      <c r="F312" t="s">
        <v>31</v>
      </c>
      <c r="G312" t="s">
        <v>51</v>
      </c>
      <c r="H312" t="s">
        <v>32</v>
      </c>
      <c r="I312" t="s">
        <v>67</v>
      </c>
      <c r="J312" t="s">
        <v>93</v>
      </c>
      <c r="K312">
        <v>1</v>
      </c>
      <c r="L312" s="2">
        <v>198.42</v>
      </c>
      <c r="M312" s="3">
        <v>0</v>
      </c>
      <c r="N312" t="s">
        <v>38</v>
      </c>
      <c r="O312" s="2">
        <v>198.42</v>
      </c>
      <c r="P312" s="2">
        <v>128.88</v>
      </c>
      <c r="Q312" s="2">
        <v>69.540000000000006</v>
      </c>
      <c r="R312">
        <v>1</v>
      </c>
      <c r="S312">
        <v>0</v>
      </c>
      <c r="T312">
        <v>3</v>
      </c>
      <c r="U312">
        <v>5</v>
      </c>
    </row>
    <row r="313" spans="1:21" ht="16.5" x14ac:dyDescent="0.3">
      <c r="A313" t="s">
        <v>388</v>
      </c>
      <c r="B313" s="1">
        <v>45349</v>
      </c>
      <c r="C313">
        <v>2024</v>
      </c>
      <c r="D313" t="s">
        <v>22</v>
      </c>
      <c r="E313" t="s">
        <v>242</v>
      </c>
      <c r="F313" t="s">
        <v>24</v>
      </c>
      <c r="G313" t="s">
        <v>25</v>
      </c>
      <c r="H313" t="s">
        <v>32</v>
      </c>
      <c r="I313" t="s">
        <v>42</v>
      </c>
      <c r="J313" t="s">
        <v>89</v>
      </c>
      <c r="K313">
        <v>2</v>
      </c>
      <c r="L313" s="2">
        <v>68.349999999999994</v>
      </c>
      <c r="M313" s="3">
        <v>0.2</v>
      </c>
      <c r="N313" t="s">
        <v>34</v>
      </c>
      <c r="O313" s="2">
        <v>109.36</v>
      </c>
      <c r="P313" s="2">
        <v>89.72</v>
      </c>
      <c r="Q313" s="2">
        <v>19.64</v>
      </c>
      <c r="R313">
        <v>1</v>
      </c>
      <c r="S313">
        <v>0</v>
      </c>
      <c r="T313">
        <v>4</v>
      </c>
      <c r="U313">
        <v>4</v>
      </c>
    </row>
    <row r="314" spans="1:21" ht="16.5" x14ac:dyDescent="0.3">
      <c r="A314" t="s">
        <v>389</v>
      </c>
      <c r="B314" s="1">
        <v>45349</v>
      </c>
      <c r="C314">
        <v>2024</v>
      </c>
      <c r="D314" t="s">
        <v>22</v>
      </c>
      <c r="E314" t="s">
        <v>242</v>
      </c>
      <c r="F314" t="s">
        <v>24</v>
      </c>
      <c r="G314" t="s">
        <v>51</v>
      </c>
      <c r="H314" t="s">
        <v>32</v>
      </c>
      <c r="I314" t="s">
        <v>27</v>
      </c>
      <c r="J314" t="s">
        <v>110</v>
      </c>
      <c r="K314">
        <v>2</v>
      </c>
      <c r="L314" s="2">
        <v>19.41</v>
      </c>
      <c r="M314" s="3">
        <v>0.05</v>
      </c>
      <c r="N314" t="s">
        <v>29</v>
      </c>
      <c r="O314" s="2">
        <v>36.880000000000003</v>
      </c>
      <c r="P314" s="2">
        <v>20.59</v>
      </c>
      <c r="Q314" s="2">
        <v>16.29</v>
      </c>
      <c r="R314">
        <v>1</v>
      </c>
      <c r="S314">
        <v>0</v>
      </c>
      <c r="T314">
        <v>4</v>
      </c>
      <c r="U314">
        <v>3</v>
      </c>
    </row>
    <row r="315" spans="1:21" ht="16.5" x14ac:dyDescent="0.3">
      <c r="A315" t="s">
        <v>390</v>
      </c>
      <c r="B315" s="1">
        <v>45349</v>
      </c>
      <c r="C315">
        <v>2024</v>
      </c>
      <c r="D315" t="s">
        <v>22</v>
      </c>
      <c r="E315" t="s">
        <v>242</v>
      </c>
      <c r="F315" t="s">
        <v>31</v>
      </c>
      <c r="G315" t="s">
        <v>49</v>
      </c>
      <c r="H315" t="s">
        <v>26</v>
      </c>
      <c r="I315" t="s">
        <v>27</v>
      </c>
      <c r="J315" t="s">
        <v>33</v>
      </c>
      <c r="K315">
        <v>3</v>
      </c>
      <c r="L315" s="2">
        <v>78.510000000000005</v>
      </c>
      <c r="M315" s="3">
        <v>0.15</v>
      </c>
      <c r="N315" t="s">
        <v>34</v>
      </c>
      <c r="O315" s="2">
        <v>200.2</v>
      </c>
      <c r="P315" s="2">
        <v>124.7</v>
      </c>
      <c r="Q315" s="2">
        <v>75.5</v>
      </c>
      <c r="R315">
        <v>1</v>
      </c>
      <c r="S315">
        <v>0</v>
      </c>
      <c r="T315">
        <v>3</v>
      </c>
      <c r="U315">
        <v>4</v>
      </c>
    </row>
    <row r="316" spans="1:21" ht="16.5" x14ac:dyDescent="0.3">
      <c r="A316" t="s">
        <v>391</v>
      </c>
      <c r="B316" s="1">
        <v>45350</v>
      </c>
      <c r="C316">
        <v>2024</v>
      </c>
      <c r="D316" t="s">
        <v>22</v>
      </c>
      <c r="E316" t="s">
        <v>242</v>
      </c>
      <c r="F316" t="s">
        <v>45</v>
      </c>
      <c r="G316" t="s">
        <v>49</v>
      </c>
      <c r="H316" t="s">
        <v>26</v>
      </c>
      <c r="I316" t="s">
        <v>36</v>
      </c>
      <c r="J316" t="s">
        <v>52</v>
      </c>
      <c r="K316">
        <v>1</v>
      </c>
      <c r="L316" s="2">
        <v>92.54</v>
      </c>
      <c r="M316" s="3">
        <v>0</v>
      </c>
      <c r="N316" t="s">
        <v>38</v>
      </c>
      <c r="O316" s="2">
        <v>92.54</v>
      </c>
      <c r="P316" s="2">
        <v>42</v>
      </c>
      <c r="Q316" s="2">
        <v>50.54</v>
      </c>
      <c r="R316">
        <v>1</v>
      </c>
      <c r="S316">
        <v>0</v>
      </c>
      <c r="T316">
        <v>4</v>
      </c>
      <c r="U316">
        <v>4</v>
      </c>
    </row>
    <row r="317" spans="1:21" ht="16.5" x14ac:dyDescent="0.3">
      <c r="A317" t="s">
        <v>392</v>
      </c>
      <c r="B317" s="1">
        <v>45350</v>
      </c>
      <c r="C317">
        <v>2024</v>
      </c>
      <c r="D317" t="s">
        <v>22</v>
      </c>
      <c r="E317" t="s">
        <v>242</v>
      </c>
      <c r="F317" t="s">
        <v>24</v>
      </c>
      <c r="G317" t="s">
        <v>51</v>
      </c>
      <c r="H317" t="s">
        <v>26</v>
      </c>
      <c r="I317" t="s">
        <v>70</v>
      </c>
      <c r="J317" t="s">
        <v>87</v>
      </c>
      <c r="K317">
        <v>2</v>
      </c>
      <c r="L317" s="2">
        <v>490.3</v>
      </c>
      <c r="M317" s="3">
        <v>0</v>
      </c>
      <c r="N317" t="s">
        <v>38</v>
      </c>
      <c r="O317" s="2">
        <v>980.6</v>
      </c>
      <c r="P317" s="2">
        <v>794.56</v>
      </c>
      <c r="Q317" s="2">
        <v>186.04</v>
      </c>
      <c r="R317">
        <v>1</v>
      </c>
      <c r="S317">
        <v>0</v>
      </c>
      <c r="T317">
        <v>4</v>
      </c>
      <c r="U317">
        <v>4</v>
      </c>
    </row>
    <row r="318" spans="1:21" ht="16.5" x14ac:dyDescent="0.3">
      <c r="A318" t="s">
        <v>393</v>
      </c>
      <c r="B318" s="1">
        <v>45351</v>
      </c>
      <c r="C318">
        <v>2024</v>
      </c>
      <c r="D318" t="s">
        <v>22</v>
      </c>
      <c r="E318" t="s">
        <v>242</v>
      </c>
      <c r="F318" t="s">
        <v>24</v>
      </c>
      <c r="G318" t="s">
        <v>49</v>
      </c>
      <c r="H318" t="s">
        <v>26</v>
      </c>
      <c r="I318" t="s">
        <v>36</v>
      </c>
      <c r="J318" t="s">
        <v>115</v>
      </c>
      <c r="K318">
        <v>3</v>
      </c>
      <c r="L318" s="2">
        <v>33.479999999999997</v>
      </c>
      <c r="M318" s="3">
        <v>0</v>
      </c>
      <c r="N318" t="s">
        <v>38</v>
      </c>
      <c r="O318" s="2">
        <v>100.44</v>
      </c>
      <c r="P318" s="2">
        <v>45.32</v>
      </c>
      <c r="Q318" s="2">
        <v>55.12</v>
      </c>
      <c r="R318">
        <v>1</v>
      </c>
      <c r="S318">
        <v>0</v>
      </c>
      <c r="T318">
        <v>6</v>
      </c>
      <c r="U318">
        <v>4</v>
      </c>
    </row>
    <row r="319" spans="1:21" ht="16.5" x14ac:dyDescent="0.3">
      <c r="A319" t="s">
        <v>394</v>
      </c>
      <c r="B319" s="1">
        <v>45351</v>
      </c>
      <c r="C319">
        <v>2024</v>
      </c>
      <c r="D319" t="s">
        <v>22</v>
      </c>
      <c r="E319" t="s">
        <v>242</v>
      </c>
      <c r="F319" t="s">
        <v>31</v>
      </c>
      <c r="G319" t="s">
        <v>51</v>
      </c>
      <c r="H319" t="s">
        <v>32</v>
      </c>
      <c r="I319" t="s">
        <v>42</v>
      </c>
      <c r="J319" t="s">
        <v>89</v>
      </c>
      <c r="K319">
        <v>1</v>
      </c>
      <c r="L319" s="2">
        <v>68.349999999999994</v>
      </c>
      <c r="M319" s="3">
        <v>0.1</v>
      </c>
      <c r="N319" t="s">
        <v>29</v>
      </c>
      <c r="O319" s="2">
        <v>61.51</v>
      </c>
      <c r="P319" s="2">
        <v>43.47</v>
      </c>
      <c r="Q319" s="2">
        <v>18.04</v>
      </c>
      <c r="R319">
        <v>1</v>
      </c>
      <c r="S319">
        <v>0</v>
      </c>
      <c r="T319">
        <v>2</v>
      </c>
      <c r="U319">
        <v>5</v>
      </c>
    </row>
    <row r="320" spans="1:21" ht="16.5" x14ac:dyDescent="0.3">
      <c r="A320" t="s">
        <v>395</v>
      </c>
      <c r="B320" s="1">
        <v>45351</v>
      </c>
      <c r="C320">
        <v>2024</v>
      </c>
      <c r="D320" t="s">
        <v>22</v>
      </c>
      <c r="E320" t="s">
        <v>242</v>
      </c>
      <c r="F320" t="s">
        <v>31</v>
      </c>
      <c r="G320" t="s">
        <v>25</v>
      </c>
      <c r="H320" t="s">
        <v>32</v>
      </c>
      <c r="I320" t="s">
        <v>36</v>
      </c>
      <c r="J320" t="s">
        <v>115</v>
      </c>
      <c r="K320">
        <v>1</v>
      </c>
      <c r="L320" s="2">
        <v>33.479999999999997</v>
      </c>
      <c r="M320" s="3">
        <v>0.3</v>
      </c>
      <c r="N320" t="s">
        <v>62</v>
      </c>
      <c r="O320" s="2">
        <v>23.44</v>
      </c>
      <c r="P320" s="2">
        <v>14.78</v>
      </c>
      <c r="Q320" s="2">
        <v>8.66</v>
      </c>
      <c r="R320">
        <v>1</v>
      </c>
      <c r="S320">
        <v>0</v>
      </c>
      <c r="T320">
        <v>4</v>
      </c>
      <c r="U320">
        <v>4</v>
      </c>
    </row>
    <row r="321" spans="1:21" ht="16.5" x14ac:dyDescent="0.3">
      <c r="A321" t="s">
        <v>396</v>
      </c>
      <c r="B321" s="1">
        <v>45351</v>
      </c>
      <c r="C321">
        <v>2024</v>
      </c>
      <c r="D321" t="s">
        <v>22</v>
      </c>
      <c r="E321" t="s">
        <v>242</v>
      </c>
      <c r="F321" t="s">
        <v>24</v>
      </c>
      <c r="G321" t="s">
        <v>51</v>
      </c>
      <c r="H321" t="s">
        <v>32</v>
      </c>
      <c r="I321" t="s">
        <v>70</v>
      </c>
      <c r="J321" t="s">
        <v>162</v>
      </c>
      <c r="K321">
        <v>1</v>
      </c>
      <c r="L321" s="2">
        <v>636.09</v>
      </c>
      <c r="M321" s="3">
        <v>0.15</v>
      </c>
      <c r="N321" t="s">
        <v>34</v>
      </c>
      <c r="O321" s="2">
        <v>540.67999999999995</v>
      </c>
      <c r="P321" s="2">
        <v>512.11</v>
      </c>
      <c r="Q321" s="2">
        <v>28.57</v>
      </c>
      <c r="R321">
        <v>1</v>
      </c>
      <c r="S321">
        <v>0</v>
      </c>
      <c r="T321">
        <v>3</v>
      </c>
      <c r="U321">
        <v>5</v>
      </c>
    </row>
    <row r="322" spans="1:21" ht="16.5" x14ac:dyDescent="0.3">
      <c r="A322" t="s">
        <v>397</v>
      </c>
      <c r="B322" s="1">
        <v>45351</v>
      </c>
      <c r="C322">
        <v>2024</v>
      </c>
      <c r="D322" t="s">
        <v>22</v>
      </c>
      <c r="E322" t="s">
        <v>242</v>
      </c>
      <c r="F322" t="s">
        <v>24</v>
      </c>
      <c r="G322" t="s">
        <v>25</v>
      </c>
      <c r="H322" t="s">
        <v>32</v>
      </c>
      <c r="I322" t="s">
        <v>70</v>
      </c>
      <c r="J322" t="s">
        <v>129</v>
      </c>
      <c r="K322">
        <v>2</v>
      </c>
      <c r="L322" s="2">
        <v>177.65</v>
      </c>
      <c r="M322" s="3">
        <v>0.25</v>
      </c>
      <c r="N322" t="s">
        <v>62</v>
      </c>
      <c r="O322" s="2">
        <v>266.48</v>
      </c>
      <c r="P322" s="2">
        <v>290.02999999999997</v>
      </c>
      <c r="Q322" s="2">
        <v>-23.55</v>
      </c>
      <c r="R322">
        <v>1</v>
      </c>
      <c r="S322">
        <v>0</v>
      </c>
      <c r="T322">
        <v>4</v>
      </c>
      <c r="U322">
        <v>5</v>
      </c>
    </row>
    <row r="323" spans="1:21" ht="16.5" x14ac:dyDescent="0.3">
      <c r="A323" t="s">
        <v>398</v>
      </c>
      <c r="B323" s="1">
        <v>45351</v>
      </c>
      <c r="C323">
        <v>2024</v>
      </c>
      <c r="D323" t="s">
        <v>22</v>
      </c>
      <c r="E323" t="s">
        <v>242</v>
      </c>
      <c r="F323" t="s">
        <v>24</v>
      </c>
      <c r="G323" t="s">
        <v>25</v>
      </c>
      <c r="H323" t="s">
        <v>32</v>
      </c>
      <c r="I323" t="s">
        <v>70</v>
      </c>
      <c r="J323" t="s">
        <v>82</v>
      </c>
      <c r="K323">
        <v>1</v>
      </c>
      <c r="L323" s="2">
        <v>508.8</v>
      </c>
      <c r="M323" s="3">
        <v>0.05</v>
      </c>
      <c r="N323" t="s">
        <v>29</v>
      </c>
      <c r="O323" s="2">
        <v>483.36</v>
      </c>
      <c r="P323" s="2">
        <v>438.66</v>
      </c>
      <c r="Q323" s="2">
        <v>44.7</v>
      </c>
      <c r="R323">
        <v>1</v>
      </c>
      <c r="S323">
        <v>0</v>
      </c>
      <c r="T323">
        <v>5</v>
      </c>
      <c r="U323">
        <v>5</v>
      </c>
    </row>
    <row r="324" spans="1:21" ht="16.5" x14ac:dyDescent="0.3">
      <c r="A324" t="s">
        <v>399</v>
      </c>
      <c r="B324" s="1">
        <v>45351</v>
      </c>
      <c r="C324">
        <v>2024</v>
      </c>
      <c r="D324" t="s">
        <v>22</v>
      </c>
      <c r="E324" t="s">
        <v>242</v>
      </c>
      <c r="F324" t="s">
        <v>45</v>
      </c>
      <c r="G324" t="s">
        <v>25</v>
      </c>
      <c r="H324" t="s">
        <v>32</v>
      </c>
      <c r="I324" t="s">
        <v>67</v>
      </c>
      <c r="J324" t="s">
        <v>78</v>
      </c>
      <c r="K324">
        <v>2</v>
      </c>
      <c r="L324" s="2">
        <v>85.42</v>
      </c>
      <c r="M324" s="3">
        <v>0</v>
      </c>
      <c r="N324" t="s">
        <v>38</v>
      </c>
      <c r="O324" s="2">
        <v>170.84</v>
      </c>
      <c r="P324" s="2">
        <v>114.5</v>
      </c>
      <c r="Q324" s="2">
        <v>56.34</v>
      </c>
      <c r="R324">
        <v>1</v>
      </c>
      <c r="S324">
        <v>0</v>
      </c>
      <c r="T324">
        <v>3</v>
      </c>
      <c r="U324">
        <v>3</v>
      </c>
    </row>
    <row r="325" spans="1:21" ht="16.5" x14ac:dyDescent="0.3">
      <c r="A325" t="s">
        <v>400</v>
      </c>
      <c r="B325" s="1">
        <v>45351</v>
      </c>
      <c r="C325">
        <v>2024</v>
      </c>
      <c r="D325" t="s">
        <v>22</v>
      </c>
      <c r="E325" t="s">
        <v>242</v>
      </c>
      <c r="F325" t="s">
        <v>24</v>
      </c>
      <c r="G325" t="s">
        <v>49</v>
      </c>
      <c r="H325" t="s">
        <v>26</v>
      </c>
      <c r="I325" t="s">
        <v>36</v>
      </c>
      <c r="J325" t="s">
        <v>37</v>
      </c>
      <c r="K325">
        <v>2</v>
      </c>
      <c r="L325" s="2">
        <v>33.18</v>
      </c>
      <c r="M325" s="3">
        <v>0</v>
      </c>
      <c r="N325" t="s">
        <v>38</v>
      </c>
      <c r="O325" s="2">
        <v>66.36</v>
      </c>
      <c r="P325" s="2">
        <v>33.340000000000003</v>
      </c>
      <c r="Q325" s="2">
        <v>33.020000000000003</v>
      </c>
      <c r="R325">
        <v>1</v>
      </c>
      <c r="S325">
        <v>0</v>
      </c>
      <c r="T325">
        <v>7</v>
      </c>
      <c r="U325">
        <v>3</v>
      </c>
    </row>
    <row r="326" spans="1:21" ht="16.5" x14ac:dyDescent="0.3">
      <c r="A326" t="s">
        <v>401</v>
      </c>
      <c r="B326" s="1">
        <v>45352</v>
      </c>
      <c r="C326">
        <v>2024</v>
      </c>
      <c r="D326" t="s">
        <v>22</v>
      </c>
      <c r="E326" t="s">
        <v>402</v>
      </c>
      <c r="F326" t="s">
        <v>31</v>
      </c>
      <c r="G326" t="s">
        <v>65</v>
      </c>
      <c r="H326" t="s">
        <v>26</v>
      </c>
      <c r="I326" t="s">
        <v>70</v>
      </c>
      <c r="J326" t="s">
        <v>82</v>
      </c>
      <c r="K326">
        <v>1</v>
      </c>
      <c r="L326" s="2">
        <v>508.8</v>
      </c>
      <c r="M326" s="3">
        <v>0</v>
      </c>
      <c r="N326" t="s">
        <v>38</v>
      </c>
      <c r="O326" s="2">
        <v>508.8</v>
      </c>
      <c r="P326" s="2">
        <v>406.51</v>
      </c>
      <c r="Q326" s="2">
        <v>102.29</v>
      </c>
      <c r="R326">
        <v>1</v>
      </c>
      <c r="S326">
        <v>1</v>
      </c>
      <c r="T326">
        <v>5</v>
      </c>
      <c r="U326">
        <v>4</v>
      </c>
    </row>
    <row r="327" spans="1:21" ht="16.5" x14ac:dyDescent="0.3">
      <c r="A327" t="s">
        <v>403</v>
      </c>
      <c r="B327" s="1">
        <v>45352</v>
      </c>
      <c r="C327">
        <v>2024</v>
      </c>
      <c r="D327" t="s">
        <v>22</v>
      </c>
      <c r="E327" t="s">
        <v>402</v>
      </c>
      <c r="F327" t="s">
        <v>24</v>
      </c>
      <c r="G327" t="s">
        <v>65</v>
      </c>
      <c r="H327" t="s">
        <v>26</v>
      </c>
      <c r="I327" t="s">
        <v>27</v>
      </c>
      <c r="J327" t="s">
        <v>40</v>
      </c>
      <c r="K327">
        <v>2</v>
      </c>
      <c r="L327" s="2">
        <v>104.94</v>
      </c>
      <c r="M327" s="3">
        <v>0.1</v>
      </c>
      <c r="N327" t="s">
        <v>29</v>
      </c>
      <c r="O327" s="2">
        <v>188.89</v>
      </c>
      <c r="P327" s="2">
        <v>110.73</v>
      </c>
      <c r="Q327" s="2">
        <v>78.16</v>
      </c>
      <c r="R327">
        <v>1</v>
      </c>
      <c r="S327">
        <v>0</v>
      </c>
      <c r="T327">
        <v>5</v>
      </c>
      <c r="U327">
        <v>4</v>
      </c>
    </row>
    <row r="328" spans="1:21" ht="16.5" x14ac:dyDescent="0.3">
      <c r="A328" t="s">
        <v>404</v>
      </c>
      <c r="B328" s="1">
        <v>45352</v>
      </c>
      <c r="C328">
        <v>2024</v>
      </c>
      <c r="D328" t="s">
        <v>22</v>
      </c>
      <c r="E328" t="s">
        <v>402</v>
      </c>
      <c r="F328" t="s">
        <v>24</v>
      </c>
      <c r="G328" t="s">
        <v>65</v>
      </c>
      <c r="H328" t="s">
        <v>26</v>
      </c>
      <c r="I328" t="s">
        <v>70</v>
      </c>
      <c r="J328" t="s">
        <v>82</v>
      </c>
      <c r="K328">
        <v>3</v>
      </c>
      <c r="L328" s="2">
        <v>508.8</v>
      </c>
      <c r="M328" s="3">
        <v>0</v>
      </c>
      <c r="N328" t="s">
        <v>38</v>
      </c>
      <c r="O328" s="2">
        <v>1526.4</v>
      </c>
      <c r="P328" s="2">
        <v>1260.51</v>
      </c>
      <c r="Q328" s="2">
        <v>265.89</v>
      </c>
      <c r="R328">
        <v>1</v>
      </c>
      <c r="S328">
        <v>0</v>
      </c>
      <c r="T328">
        <v>6</v>
      </c>
      <c r="U328">
        <v>3</v>
      </c>
    </row>
    <row r="329" spans="1:21" ht="16.5" x14ac:dyDescent="0.3">
      <c r="A329" t="s">
        <v>405</v>
      </c>
      <c r="B329" s="1">
        <v>45352</v>
      </c>
      <c r="C329">
        <v>2024</v>
      </c>
      <c r="D329" t="s">
        <v>22</v>
      </c>
      <c r="E329" t="s">
        <v>402</v>
      </c>
      <c r="F329" t="s">
        <v>24</v>
      </c>
      <c r="G329" t="s">
        <v>51</v>
      </c>
      <c r="H329" t="s">
        <v>32</v>
      </c>
      <c r="I329" t="s">
        <v>42</v>
      </c>
      <c r="J329" t="s">
        <v>76</v>
      </c>
      <c r="K329">
        <v>2</v>
      </c>
      <c r="L329" s="2">
        <v>90.75</v>
      </c>
      <c r="M329" s="3">
        <v>0</v>
      </c>
      <c r="N329" t="s">
        <v>38</v>
      </c>
      <c r="O329" s="2">
        <v>181.5</v>
      </c>
      <c r="P329" s="2">
        <v>121.25</v>
      </c>
      <c r="Q329" s="2">
        <v>60.25</v>
      </c>
      <c r="R329">
        <v>1</v>
      </c>
      <c r="S329">
        <v>0</v>
      </c>
      <c r="T329">
        <v>2</v>
      </c>
      <c r="U329">
        <v>5</v>
      </c>
    </row>
    <row r="330" spans="1:21" ht="16.5" x14ac:dyDescent="0.3">
      <c r="A330" t="s">
        <v>406</v>
      </c>
      <c r="B330" s="1">
        <v>45352</v>
      </c>
      <c r="C330">
        <v>2024</v>
      </c>
      <c r="D330" t="s">
        <v>22</v>
      </c>
      <c r="E330" t="s">
        <v>402</v>
      </c>
      <c r="F330" t="s">
        <v>31</v>
      </c>
      <c r="G330" t="s">
        <v>46</v>
      </c>
      <c r="H330" t="s">
        <v>32</v>
      </c>
      <c r="I330" t="s">
        <v>70</v>
      </c>
      <c r="J330" t="s">
        <v>129</v>
      </c>
      <c r="K330">
        <v>1</v>
      </c>
      <c r="L330" s="2">
        <v>177.65</v>
      </c>
      <c r="M330" s="3">
        <v>0.2</v>
      </c>
      <c r="N330" t="s">
        <v>34</v>
      </c>
      <c r="O330" s="2">
        <v>142.12</v>
      </c>
      <c r="P330" s="2">
        <v>143.32</v>
      </c>
      <c r="Q330" s="2">
        <v>-1.2</v>
      </c>
      <c r="R330">
        <v>1</v>
      </c>
      <c r="S330">
        <v>0</v>
      </c>
      <c r="T330">
        <v>5</v>
      </c>
      <c r="U330">
        <v>4</v>
      </c>
    </row>
    <row r="331" spans="1:21" ht="16.5" x14ac:dyDescent="0.3">
      <c r="A331" t="s">
        <v>407</v>
      </c>
      <c r="B331" s="1">
        <v>45352</v>
      </c>
      <c r="C331">
        <v>2024</v>
      </c>
      <c r="D331" t="s">
        <v>22</v>
      </c>
      <c r="E331" t="s">
        <v>402</v>
      </c>
      <c r="F331" t="s">
        <v>31</v>
      </c>
      <c r="G331" t="s">
        <v>49</v>
      </c>
      <c r="H331" t="s">
        <v>32</v>
      </c>
      <c r="I331" t="s">
        <v>27</v>
      </c>
      <c r="J331" t="s">
        <v>33</v>
      </c>
      <c r="K331">
        <v>1</v>
      </c>
      <c r="L331" s="2">
        <v>78.510000000000005</v>
      </c>
      <c r="M331" s="3">
        <v>0</v>
      </c>
      <c r="N331" t="s">
        <v>38</v>
      </c>
      <c r="O331" s="2">
        <v>78.510000000000005</v>
      </c>
      <c r="P331" s="2">
        <v>41.52</v>
      </c>
      <c r="Q331" s="2">
        <v>36.99</v>
      </c>
      <c r="R331">
        <v>1</v>
      </c>
      <c r="S331">
        <v>1</v>
      </c>
      <c r="T331">
        <v>5</v>
      </c>
      <c r="U331">
        <v>3</v>
      </c>
    </row>
    <row r="332" spans="1:21" ht="16.5" x14ac:dyDescent="0.3">
      <c r="A332" t="s">
        <v>408</v>
      </c>
      <c r="B332" s="1">
        <v>45352</v>
      </c>
      <c r="C332">
        <v>2024</v>
      </c>
      <c r="D332" t="s">
        <v>22</v>
      </c>
      <c r="E332" t="s">
        <v>402</v>
      </c>
      <c r="F332" t="s">
        <v>24</v>
      </c>
      <c r="G332" t="s">
        <v>25</v>
      </c>
      <c r="H332" t="s">
        <v>26</v>
      </c>
      <c r="I332" t="s">
        <v>27</v>
      </c>
      <c r="J332" t="s">
        <v>110</v>
      </c>
      <c r="K332">
        <v>1</v>
      </c>
      <c r="L332" s="2">
        <v>19.41</v>
      </c>
      <c r="M332" s="3">
        <v>0</v>
      </c>
      <c r="N332" t="s">
        <v>38</v>
      </c>
      <c r="O332" s="2">
        <v>19.41</v>
      </c>
      <c r="P332" s="2">
        <v>10.62</v>
      </c>
      <c r="Q332" s="2">
        <v>8.7899999999999991</v>
      </c>
      <c r="R332">
        <v>1</v>
      </c>
      <c r="S332">
        <v>0</v>
      </c>
      <c r="T332">
        <v>3</v>
      </c>
      <c r="U332">
        <v>4</v>
      </c>
    </row>
    <row r="333" spans="1:21" ht="16.5" x14ac:dyDescent="0.3">
      <c r="A333" t="s">
        <v>409</v>
      </c>
      <c r="B333" s="1">
        <v>45352</v>
      </c>
      <c r="C333">
        <v>2024</v>
      </c>
      <c r="D333" t="s">
        <v>22</v>
      </c>
      <c r="E333" t="s">
        <v>402</v>
      </c>
      <c r="F333" t="s">
        <v>31</v>
      </c>
      <c r="G333" t="s">
        <v>51</v>
      </c>
      <c r="H333" t="s">
        <v>32</v>
      </c>
      <c r="I333" t="s">
        <v>84</v>
      </c>
      <c r="J333" t="s">
        <v>132</v>
      </c>
      <c r="K333">
        <v>2</v>
      </c>
      <c r="L333" s="2">
        <v>48.86</v>
      </c>
      <c r="M333" s="3">
        <v>0.1</v>
      </c>
      <c r="N333" t="s">
        <v>29</v>
      </c>
      <c r="O333" s="2">
        <v>87.95</v>
      </c>
      <c r="P333" s="2">
        <v>70.430000000000007</v>
      </c>
      <c r="Q333" s="2">
        <v>17.52</v>
      </c>
      <c r="R333">
        <v>1</v>
      </c>
      <c r="S333">
        <v>0</v>
      </c>
      <c r="T333">
        <v>3</v>
      </c>
      <c r="U333">
        <v>5</v>
      </c>
    </row>
    <row r="334" spans="1:21" ht="16.5" x14ac:dyDescent="0.3">
      <c r="A334" t="s">
        <v>410</v>
      </c>
      <c r="B334" s="1">
        <v>45352</v>
      </c>
      <c r="C334">
        <v>2024</v>
      </c>
      <c r="D334" t="s">
        <v>22</v>
      </c>
      <c r="E334" t="s">
        <v>402</v>
      </c>
      <c r="F334" t="s">
        <v>24</v>
      </c>
      <c r="G334" t="s">
        <v>46</v>
      </c>
      <c r="H334" t="s">
        <v>32</v>
      </c>
      <c r="I334" t="s">
        <v>84</v>
      </c>
      <c r="J334" t="s">
        <v>96</v>
      </c>
      <c r="K334">
        <v>1</v>
      </c>
      <c r="L334" s="2">
        <v>10.76</v>
      </c>
      <c r="M334" s="3">
        <v>0</v>
      </c>
      <c r="N334" t="s">
        <v>38</v>
      </c>
      <c r="O334" s="2">
        <v>10.76</v>
      </c>
      <c r="P334" s="2">
        <v>8.0500000000000007</v>
      </c>
      <c r="Q334" s="2">
        <v>2.71</v>
      </c>
      <c r="R334">
        <v>1</v>
      </c>
      <c r="S334">
        <v>0</v>
      </c>
      <c r="T334">
        <v>9</v>
      </c>
      <c r="U334">
        <v>4</v>
      </c>
    </row>
    <row r="335" spans="1:21" ht="16.5" x14ac:dyDescent="0.3">
      <c r="A335" t="s">
        <v>411</v>
      </c>
      <c r="B335" s="1">
        <v>45353</v>
      </c>
      <c r="C335">
        <v>2024</v>
      </c>
      <c r="D335" t="s">
        <v>22</v>
      </c>
      <c r="E335" t="s">
        <v>402</v>
      </c>
      <c r="F335" t="s">
        <v>24</v>
      </c>
      <c r="G335" t="s">
        <v>49</v>
      </c>
      <c r="H335" t="s">
        <v>32</v>
      </c>
      <c r="I335" t="s">
        <v>27</v>
      </c>
      <c r="J335" t="s">
        <v>110</v>
      </c>
      <c r="K335">
        <v>1</v>
      </c>
      <c r="L335" s="2">
        <v>19.41</v>
      </c>
      <c r="M335" s="3">
        <v>0.15</v>
      </c>
      <c r="N335" t="s">
        <v>34</v>
      </c>
      <c r="O335" s="2">
        <v>16.5</v>
      </c>
      <c r="P335" s="2">
        <v>10.44</v>
      </c>
      <c r="Q335" s="2">
        <v>6.06</v>
      </c>
      <c r="R335">
        <v>1</v>
      </c>
      <c r="S335">
        <v>0</v>
      </c>
      <c r="T335">
        <v>4</v>
      </c>
      <c r="U335">
        <v>4</v>
      </c>
    </row>
    <row r="336" spans="1:21" ht="16.5" x14ac:dyDescent="0.3">
      <c r="A336" t="s">
        <v>412</v>
      </c>
      <c r="B336" s="1">
        <v>45353</v>
      </c>
      <c r="C336">
        <v>2024</v>
      </c>
      <c r="D336" t="s">
        <v>22</v>
      </c>
      <c r="E336" t="s">
        <v>402</v>
      </c>
      <c r="F336" t="s">
        <v>24</v>
      </c>
      <c r="G336" t="s">
        <v>25</v>
      </c>
      <c r="H336" t="s">
        <v>26</v>
      </c>
      <c r="I336" t="s">
        <v>42</v>
      </c>
      <c r="J336" t="s">
        <v>43</v>
      </c>
      <c r="K336">
        <v>1</v>
      </c>
      <c r="L336" s="2">
        <v>154.66</v>
      </c>
      <c r="M336" s="3">
        <v>0.05</v>
      </c>
      <c r="N336" t="s">
        <v>29</v>
      </c>
      <c r="O336" s="2">
        <v>146.93</v>
      </c>
      <c r="P336" s="2">
        <v>101.39</v>
      </c>
      <c r="Q336" s="2">
        <v>45.54</v>
      </c>
      <c r="R336">
        <v>1</v>
      </c>
      <c r="S336">
        <v>0</v>
      </c>
      <c r="T336">
        <v>4</v>
      </c>
      <c r="U336">
        <v>4</v>
      </c>
    </row>
    <row r="337" spans="1:21" ht="16.5" x14ac:dyDescent="0.3">
      <c r="A337" t="s">
        <v>413</v>
      </c>
      <c r="B337" s="1">
        <v>45353</v>
      </c>
      <c r="C337">
        <v>2024</v>
      </c>
      <c r="D337" t="s">
        <v>22</v>
      </c>
      <c r="E337" t="s">
        <v>402</v>
      </c>
      <c r="F337" t="s">
        <v>24</v>
      </c>
      <c r="G337" t="s">
        <v>25</v>
      </c>
      <c r="H337" t="s">
        <v>32</v>
      </c>
      <c r="I337" t="s">
        <v>36</v>
      </c>
      <c r="J337" t="s">
        <v>126</v>
      </c>
      <c r="K337">
        <v>1</v>
      </c>
      <c r="L337" s="2">
        <v>54.56</v>
      </c>
      <c r="M337" s="3">
        <v>0.05</v>
      </c>
      <c r="N337" t="s">
        <v>29</v>
      </c>
      <c r="O337" s="2">
        <v>51.83</v>
      </c>
      <c r="P337" s="2">
        <v>26.69</v>
      </c>
      <c r="Q337" s="2">
        <v>25.14</v>
      </c>
      <c r="R337">
        <v>1</v>
      </c>
      <c r="S337">
        <v>0</v>
      </c>
      <c r="T337">
        <v>4</v>
      </c>
      <c r="U337">
        <v>5</v>
      </c>
    </row>
    <row r="338" spans="1:21" ht="16.5" x14ac:dyDescent="0.3">
      <c r="A338" t="s">
        <v>414</v>
      </c>
      <c r="B338" s="1">
        <v>45353</v>
      </c>
      <c r="C338">
        <v>2024</v>
      </c>
      <c r="D338" t="s">
        <v>22</v>
      </c>
      <c r="E338" t="s">
        <v>402</v>
      </c>
      <c r="F338" t="s">
        <v>45</v>
      </c>
      <c r="G338" t="s">
        <v>25</v>
      </c>
      <c r="H338" t="s">
        <v>26</v>
      </c>
      <c r="I338" t="s">
        <v>70</v>
      </c>
      <c r="J338" t="s">
        <v>252</v>
      </c>
      <c r="K338">
        <v>2</v>
      </c>
      <c r="L338" s="2">
        <v>216.08</v>
      </c>
      <c r="M338" s="3">
        <v>0.15</v>
      </c>
      <c r="N338" t="s">
        <v>34</v>
      </c>
      <c r="O338" s="2">
        <v>367.34</v>
      </c>
      <c r="P338" s="2">
        <v>346.21</v>
      </c>
      <c r="Q338" s="2">
        <v>21.13</v>
      </c>
      <c r="R338">
        <v>1</v>
      </c>
      <c r="S338">
        <v>0</v>
      </c>
      <c r="T338">
        <v>3</v>
      </c>
      <c r="U338">
        <v>5</v>
      </c>
    </row>
    <row r="339" spans="1:21" ht="16.5" x14ac:dyDescent="0.3">
      <c r="A339" t="s">
        <v>415</v>
      </c>
      <c r="B339" s="1">
        <v>45353</v>
      </c>
      <c r="C339">
        <v>2024</v>
      </c>
      <c r="D339" t="s">
        <v>22</v>
      </c>
      <c r="E339" t="s">
        <v>402</v>
      </c>
      <c r="F339" t="s">
        <v>24</v>
      </c>
      <c r="G339" t="s">
        <v>25</v>
      </c>
      <c r="H339" t="s">
        <v>32</v>
      </c>
      <c r="I339" t="s">
        <v>36</v>
      </c>
      <c r="J339" t="s">
        <v>126</v>
      </c>
      <c r="K339">
        <v>2</v>
      </c>
      <c r="L339" s="2">
        <v>54.56</v>
      </c>
      <c r="M339" s="3">
        <v>0.05</v>
      </c>
      <c r="N339" t="s">
        <v>29</v>
      </c>
      <c r="O339" s="2">
        <v>103.66</v>
      </c>
      <c r="P339" s="2">
        <v>51.83</v>
      </c>
      <c r="Q339" s="2">
        <v>51.83</v>
      </c>
      <c r="R339">
        <v>1</v>
      </c>
      <c r="S339">
        <v>0</v>
      </c>
      <c r="T339">
        <v>4</v>
      </c>
      <c r="U339">
        <v>4</v>
      </c>
    </row>
    <row r="340" spans="1:21" ht="16.5" x14ac:dyDescent="0.3">
      <c r="A340" t="s">
        <v>416</v>
      </c>
      <c r="B340" s="1">
        <v>45353</v>
      </c>
      <c r="C340">
        <v>2024</v>
      </c>
      <c r="D340" t="s">
        <v>22</v>
      </c>
      <c r="E340" t="s">
        <v>402</v>
      </c>
      <c r="F340" t="s">
        <v>31</v>
      </c>
      <c r="G340" t="s">
        <v>65</v>
      </c>
      <c r="H340" t="s">
        <v>32</v>
      </c>
      <c r="I340" t="s">
        <v>67</v>
      </c>
      <c r="J340" t="s">
        <v>103</v>
      </c>
      <c r="K340">
        <v>2</v>
      </c>
      <c r="L340" s="2">
        <v>83.06</v>
      </c>
      <c r="M340" s="3">
        <v>0.1</v>
      </c>
      <c r="N340" t="s">
        <v>29</v>
      </c>
      <c r="O340" s="2">
        <v>149.51</v>
      </c>
      <c r="P340" s="2">
        <v>112.58</v>
      </c>
      <c r="Q340" s="2">
        <v>36.93</v>
      </c>
      <c r="R340">
        <v>1</v>
      </c>
      <c r="S340">
        <v>1</v>
      </c>
      <c r="T340">
        <v>6</v>
      </c>
      <c r="U340">
        <v>2</v>
      </c>
    </row>
    <row r="341" spans="1:21" ht="16.5" x14ac:dyDescent="0.3">
      <c r="A341" t="s">
        <v>417</v>
      </c>
      <c r="B341" s="1">
        <v>45353</v>
      </c>
      <c r="C341">
        <v>2024</v>
      </c>
      <c r="D341" t="s">
        <v>22</v>
      </c>
      <c r="E341" t="s">
        <v>402</v>
      </c>
      <c r="F341" t="s">
        <v>45</v>
      </c>
      <c r="G341" t="s">
        <v>51</v>
      </c>
      <c r="H341" t="s">
        <v>32</v>
      </c>
      <c r="I341" t="s">
        <v>36</v>
      </c>
      <c r="J341" t="s">
        <v>56</v>
      </c>
      <c r="K341">
        <v>1</v>
      </c>
      <c r="L341" s="2">
        <v>74.3</v>
      </c>
      <c r="M341" s="3">
        <v>0</v>
      </c>
      <c r="N341" t="s">
        <v>38</v>
      </c>
      <c r="O341" s="2">
        <v>74.3</v>
      </c>
      <c r="P341" s="2">
        <v>36.979999999999997</v>
      </c>
      <c r="Q341" s="2">
        <v>37.32</v>
      </c>
      <c r="R341">
        <v>1</v>
      </c>
      <c r="S341">
        <v>0</v>
      </c>
      <c r="T341">
        <v>6</v>
      </c>
      <c r="U341">
        <v>4</v>
      </c>
    </row>
    <row r="342" spans="1:21" ht="16.5" x14ac:dyDescent="0.3">
      <c r="A342" t="s">
        <v>418</v>
      </c>
      <c r="B342" s="1">
        <v>45354</v>
      </c>
      <c r="C342">
        <v>2024</v>
      </c>
      <c r="D342" t="s">
        <v>22</v>
      </c>
      <c r="E342" t="s">
        <v>402</v>
      </c>
      <c r="F342" t="s">
        <v>31</v>
      </c>
      <c r="G342" t="s">
        <v>51</v>
      </c>
      <c r="H342" t="s">
        <v>26</v>
      </c>
      <c r="I342" t="s">
        <v>27</v>
      </c>
      <c r="J342" t="s">
        <v>110</v>
      </c>
      <c r="K342">
        <v>1</v>
      </c>
      <c r="L342" s="2">
        <v>19.41</v>
      </c>
      <c r="M342" s="3">
        <v>0.05</v>
      </c>
      <c r="N342" t="s">
        <v>29</v>
      </c>
      <c r="O342" s="2">
        <v>18.440000000000001</v>
      </c>
      <c r="P342" s="2">
        <v>10.37</v>
      </c>
      <c r="Q342" s="2">
        <v>8.07</v>
      </c>
      <c r="R342">
        <v>1</v>
      </c>
      <c r="S342">
        <v>0</v>
      </c>
      <c r="T342">
        <v>2</v>
      </c>
      <c r="U342">
        <v>5</v>
      </c>
    </row>
    <row r="343" spans="1:21" ht="16.5" x14ac:dyDescent="0.3">
      <c r="A343" t="s">
        <v>419</v>
      </c>
      <c r="B343" s="1">
        <v>45354</v>
      </c>
      <c r="C343">
        <v>2024</v>
      </c>
      <c r="D343" t="s">
        <v>22</v>
      </c>
      <c r="E343" t="s">
        <v>402</v>
      </c>
      <c r="F343" t="s">
        <v>24</v>
      </c>
      <c r="G343" t="s">
        <v>65</v>
      </c>
      <c r="H343" t="s">
        <v>26</v>
      </c>
      <c r="I343" t="s">
        <v>67</v>
      </c>
      <c r="J343" t="s">
        <v>68</v>
      </c>
      <c r="K343">
        <v>2</v>
      </c>
      <c r="L343" s="2">
        <v>74.459999999999994</v>
      </c>
      <c r="M343" s="3">
        <v>0.25</v>
      </c>
      <c r="N343" t="s">
        <v>62</v>
      </c>
      <c r="O343" s="2">
        <v>111.69</v>
      </c>
      <c r="P343" s="2">
        <v>104.03</v>
      </c>
      <c r="Q343" s="2">
        <v>7.66</v>
      </c>
      <c r="R343">
        <v>1</v>
      </c>
      <c r="S343">
        <v>0</v>
      </c>
      <c r="T343">
        <v>6</v>
      </c>
      <c r="U343">
        <v>4</v>
      </c>
    </row>
    <row r="344" spans="1:21" ht="16.5" x14ac:dyDescent="0.3">
      <c r="A344" t="s">
        <v>420</v>
      </c>
      <c r="B344" s="1">
        <v>45355</v>
      </c>
      <c r="C344">
        <v>2024</v>
      </c>
      <c r="D344" t="s">
        <v>22</v>
      </c>
      <c r="E344" t="s">
        <v>402</v>
      </c>
      <c r="F344" t="s">
        <v>24</v>
      </c>
      <c r="G344" t="s">
        <v>49</v>
      </c>
      <c r="H344" t="s">
        <v>32</v>
      </c>
      <c r="I344" t="s">
        <v>84</v>
      </c>
      <c r="J344" t="s">
        <v>85</v>
      </c>
      <c r="K344">
        <v>1</v>
      </c>
      <c r="L344" s="2">
        <v>57.92</v>
      </c>
      <c r="M344" s="3">
        <v>0.05</v>
      </c>
      <c r="N344" t="s">
        <v>29</v>
      </c>
      <c r="O344" s="2">
        <v>55.02</v>
      </c>
      <c r="P344" s="2">
        <v>39.840000000000003</v>
      </c>
      <c r="Q344" s="2">
        <v>15.18</v>
      </c>
      <c r="R344">
        <v>1</v>
      </c>
      <c r="S344">
        <v>0</v>
      </c>
      <c r="T344">
        <v>3</v>
      </c>
      <c r="U344">
        <v>5</v>
      </c>
    </row>
    <row r="345" spans="1:21" ht="16.5" x14ac:dyDescent="0.3">
      <c r="A345" t="s">
        <v>421</v>
      </c>
      <c r="B345" s="1">
        <v>45355</v>
      </c>
      <c r="C345">
        <v>2024</v>
      </c>
      <c r="D345" t="s">
        <v>22</v>
      </c>
      <c r="E345" t="s">
        <v>402</v>
      </c>
      <c r="F345" t="s">
        <v>24</v>
      </c>
      <c r="G345" t="s">
        <v>49</v>
      </c>
      <c r="H345" t="s">
        <v>26</v>
      </c>
      <c r="I345" t="s">
        <v>67</v>
      </c>
      <c r="J345" t="s">
        <v>174</v>
      </c>
      <c r="K345">
        <v>2</v>
      </c>
      <c r="L345" s="2">
        <v>137.05000000000001</v>
      </c>
      <c r="M345" s="3">
        <v>0.1</v>
      </c>
      <c r="N345" t="s">
        <v>29</v>
      </c>
      <c r="O345" s="2">
        <v>246.69</v>
      </c>
      <c r="P345" s="2">
        <v>185.6</v>
      </c>
      <c r="Q345" s="2">
        <v>61.09</v>
      </c>
      <c r="R345">
        <v>1</v>
      </c>
      <c r="S345">
        <v>0</v>
      </c>
      <c r="T345">
        <v>4</v>
      </c>
      <c r="U345">
        <v>5</v>
      </c>
    </row>
    <row r="346" spans="1:21" ht="16.5" x14ac:dyDescent="0.3">
      <c r="A346" t="s">
        <v>422</v>
      </c>
      <c r="B346" s="1">
        <v>45355</v>
      </c>
      <c r="C346">
        <v>2024</v>
      </c>
      <c r="D346" t="s">
        <v>22</v>
      </c>
      <c r="E346" t="s">
        <v>402</v>
      </c>
      <c r="F346" t="s">
        <v>24</v>
      </c>
      <c r="G346" t="s">
        <v>25</v>
      </c>
      <c r="H346" t="s">
        <v>26</v>
      </c>
      <c r="I346" t="s">
        <v>70</v>
      </c>
      <c r="J346" t="s">
        <v>82</v>
      </c>
      <c r="K346">
        <v>3</v>
      </c>
      <c r="L346" s="2">
        <v>508.8</v>
      </c>
      <c r="M346" s="3">
        <v>0.15</v>
      </c>
      <c r="N346" t="s">
        <v>34</v>
      </c>
      <c r="O346" s="2">
        <v>1297.44</v>
      </c>
      <c r="P346" s="2">
        <v>1188.3399999999999</v>
      </c>
      <c r="Q346" s="2">
        <v>109.1</v>
      </c>
      <c r="R346">
        <v>1</v>
      </c>
      <c r="S346">
        <v>0</v>
      </c>
      <c r="T346">
        <v>6</v>
      </c>
      <c r="U346">
        <v>5</v>
      </c>
    </row>
    <row r="347" spans="1:21" ht="16.5" x14ac:dyDescent="0.3">
      <c r="A347" t="s">
        <v>423</v>
      </c>
      <c r="B347" s="1">
        <v>45356</v>
      </c>
      <c r="C347">
        <v>2024</v>
      </c>
      <c r="D347" t="s">
        <v>22</v>
      </c>
      <c r="E347" t="s">
        <v>402</v>
      </c>
      <c r="F347" t="s">
        <v>24</v>
      </c>
      <c r="G347" t="s">
        <v>46</v>
      </c>
      <c r="H347" t="s">
        <v>26</v>
      </c>
      <c r="I347" t="s">
        <v>70</v>
      </c>
      <c r="J347" t="s">
        <v>71</v>
      </c>
      <c r="K347">
        <v>1</v>
      </c>
      <c r="L347" s="2">
        <v>588.41</v>
      </c>
      <c r="M347" s="3">
        <v>0.1</v>
      </c>
      <c r="N347" t="s">
        <v>29</v>
      </c>
      <c r="O347" s="2">
        <v>529.57000000000005</v>
      </c>
      <c r="P347" s="2">
        <v>484.22</v>
      </c>
      <c r="Q347" s="2">
        <v>45.35</v>
      </c>
      <c r="R347">
        <v>1</v>
      </c>
      <c r="S347">
        <v>0</v>
      </c>
      <c r="T347">
        <v>6</v>
      </c>
      <c r="U347">
        <v>4</v>
      </c>
    </row>
    <row r="348" spans="1:21" ht="16.5" x14ac:dyDescent="0.3">
      <c r="A348" t="s">
        <v>424</v>
      </c>
      <c r="B348" s="1">
        <v>45356</v>
      </c>
      <c r="C348">
        <v>2024</v>
      </c>
      <c r="D348" t="s">
        <v>22</v>
      </c>
      <c r="E348" t="s">
        <v>402</v>
      </c>
      <c r="F348" t="s">
        <v>24</v>
      </c>
      <c r="G348" t="s">
        <v>46</v>
      </c>
      <c r="H348" t="s">
        <v>26</v>
      </c>
      <c r="I348" t="s">
        <v>42</v>
      </c>
      <c r="J348" t="s">
        <v>76</v>
      </c>
      <c r="K348">
        <v>1</v>
      </c>
      <c r="L348" s="2">
        <v>90.75</v>
      </c>
      <c r="M348" s="3">
        <v>0</v>
      </c>
      <c r="N348" t="s">
        <v>38</v>
      </c>
      <c r="O348" s="2">
        <v>90.75</v>
      </c>
      <c r="P348" s="2">
        <v>62.25</v>
      </c>
      <c r="Q348" s="2">
        <v>28.5</v>
      </c>
      <c r="R348">
        <v>1</v>
      </c>
      <c r="S348">
        <v>0</v>
      </c>
      <c r="T348">
        <v>5</v>
      </c>
      <c r="U348">
        <v>4</v>
      </c>
    </row>
    <row r="349" spans="1:21" ht="16.5" x14ac:dyDescent="0.3">
      <c r="A349" t="s">
        <v>425</v>
      </c>
      <c r="B349" s="1">
        <v>45356</v>
      </c>
      <c r="C349">
        <v>2024</v>
      </c>
      <c r="D349" t="s">
        <v>22</v>
      </c>
      <c r="E349" t="s">
        <v>402</v>
      </c>
      <c r="F349" t="s">
        <v>45</v>
      </c>
      <c r="G349" t="s">
        <v>25</v>
      </c>
      <c r="H349" t="s">
        <v>26</v>
      </c>
      <c r="I349" t="s">
        <v>42</v>
      </c>
      <c r="J349" t="s">
        <v>98</v>
      </c>
      <c r="K349">
        <v>1</v>
      </c>
      <c r="L349" s="2">
        <v>117.63</v>
      </c>
      <c r="M349" s="3">
        <v>0.05</v>
      </c>
      <c r="N349" t="s">
        <v>29</v>
      </c>
      <c r="O349" s="2">
        <v>111.75</v>
      </c>
      <c r="P349" s="2">
        <v>76.31</v>
      </c>
      <c r="Q349" s="2">
        <v>35.44</v>
      </c>
      <c r="R349">
        <v>1</v>
      </c>
      <c r="S349">
        <v>0</v>
      </c>
      <c r="T349">
        <v>4</v>
      </c>
      <c r="U349">
        <v>5</v>
      </c>
    </row>
    <row r="350" spans="1:21" ht="16.5" x14ac:dyDescent="0.3">
      <c r="A350" t="s">
        <v>426</v>
      </c>
      <c r="B350" s="1">
        <v>45356</v>
      </c>
      <c r="C350">
        <v>2024</v>
      </c>
      <c r="D350" t="s">
        <v>22</v>
      </c>
      <c r="E350" t="s">
        <v>402</v>
      </c>
      <c r="F350" t="s">
        <v>31</v>
      </c>
      <c r="G350" t="s">
        <v>65</v>
      </c>
      <c r="H350" t="s">
        <v>32</v>
      </c>
      <c r="I350" t="s">
        <v>70</v>
      </c>
      <c r="J350" t="s">
        <v>71</v>
      </c>
      <c r="K350">
        <v>1</v>
      </c>
      <c r="L350" s="2">
        <v>588.41</v>
      </c>
      <c r="M350" s="3">
        <v>0.05</v>
      </c>
      <c r="N350" t="s">
        <v>29</v>
      </c>
      <c r="O350" s="2">
        <v>558.99</v>
      </c>
      <c r="P350" s="2">
        <v>471.23</v>
      </c>
      <c r="Q350" s="2">
        <v>87.76</v>
      </c>
      <c r="R350">
        <v>1</v>
      </c>
      <c r="S350">
        <v>0</v>
      </c>
      <c r="T350">
        <v>5</v>
      </c>
      <c r="U350">
        <v>4</v>
      </c>
    </row>
    <row r="351" spans="1:21" ht="16.5" x14ac:dyDescent="0.3">
      <c r="A351" t="s">
        <v>427</v>
      </c>
      <c r="B351" s="1">
        <v>45356</v>
      </c>
      <c r="C351">
        <v>2024</v>
      </c>
      <c r="D351" t="s">
        <v>22</v>
      </c>
      <c r="E351" t="s">
        <v>402</v>
      </c>
      <c r="F351" t="s">
        <v>24</v>
      </c>
      <c r="G351" t="s">
        <v>25</v>
      </c>
      <c r="H351" t="s">
        <v>32</v>
      </c>
      <c r="I351" t="s">
        <v>70</v>
      </c>
      <c r="J351" t="s">
        <v>71</v>
      </c>
      <c r="K351">
        <v>1</v>
      </c>
      <c r="L351" s="2">
        <v>588.41</v>
      </c>
      <c r="M351" s="3">
        <v>0.25</v>
      </c>
      <c r="N351" t="s">
        <v>62</v>
      </c>
      <c r="O351" s="2">
        <v>441.31</v>
      </c>
      <c r="P351" s="2">
        <v>429.95</v>
      </c>
      <c r="Q351" s="2">
        <v>11.36</v>
      </c>
      <c r="R351">
        <v>1</v>
      </c>
      <c r="S351">
        <v>0</v>
      </c>
      <c r="T351">
        <v>4</v>
      </c>
      <c r="U351">
        <v>5</v>
      </c>
    </row>
    <row r="352" spans="1:21" ht="16.5" x14ac:dyDescent="0.3">
      <c r="A352" t="s">
        <v>428</v>
      </c>
      <c r="B352" s="1">
        <v>45356</v>
      </c>
      <c r="C352">
        <v>2024</v>
      </c>
      <c r="D352" t="s">
        <v>22</v>
      </c>
      <c r="E352" t="s">
        <v>402</v>
      </c>
      <c r="F352" t="s">
        <v>24</v>
      </c>
      <c r="G352" t="s">
        <v>46</v>
      </c>
      <c r="H352" t="s">
        <v>26</v>
      </c>
      <c r="I352" t="s">
        <v>36</v>
      </c>
      <c r="J352" t="s">
        <v>115</v>
      </c>
      <c r="K352">
        <v>2</v>
      </c>
      <c r="L352" s="2">
        <v>33.479999999999997</v>
      </c>
      <c r="M352" s="3">
        <v>0.15</v>
      </c>
      <c r="N352" t="s">
        <v>34</v>
      </c>
      <c r="O352" s="2">
        <v>56.92</v>
      </c>
      <c r="P352" s="2">
        <v>31.88</v>
      </c>
      <c r="Q352" s="2">
        <v>25.04</v>
      </c>
      <c r="R352">
        <v>1</v>
      </c>
      <c r="S352">
        <v>0</v>
      </c>
      <c r="T352">
        <v>5</v>
      </c>
      <c r="U352">
        <v>4</v>
      </c>
    </row>
    <row r="353" spans="1:21" ht="16.5" x14ac:dyDescent="0.3">
      <c r="A353" t="s">
        <v>429</v>
      </c>
      <c r="B353" s="1">
        <v>45356</v>
      </c>
      <c r="C353">
        <v>2024</v>
      </c>
      <c r="D353" t="s">
        <v>22</v>
      </c>
      <c r="E353" t="s">
        <v>402</v>
      </c>
      <c r="F353" t="s">
        <v>31</v>
      </c>
      <c r="G353" t="s">
        <v>51</v>
      </c>
      <c r="H353" t="s">
        <v>26</v>
      </c>
      <c r="I353" t="s">
        <v>27</v>
      </c>
      <c r="J353" t="s">
        <v>40</v>
      </c>
      <c r="K353">
        <v>1</v>
      </c>
      <c r="L353" s="2">
        <v>104.94</v>
      </c>
      <c r="M353" s="3">
        <v>0.05</v>
      </c>
      <c r="N353" t="s">
        <v>29</v>
      </c>
      <c r="O353" s="2">
        <v>99.69</v>
      </c>
      <c r="P353" s="2">
        <v>57.26</v>
      </c>
      <c r="Q353" s="2">
        <v>42.43</v>
      </c>
      <c r="R353">
        <v>1</v>
      </c>
      <c r="S353">
        <v>0</v>
      </c>
      <c r="T353">
        <v>2</v>
      </c>
      <c r="U353">
        <v>4</v>
      </c>
    </row>
    <row r="354" spans="1:21" ht="16.5" x14ac:dyDescent="0.3">
      <c r="A354" t="s">
        <v>430</v>
      </c>
      <c r="B354" s="1">
        <v>45356</v>
      </c>
      <c r="C354">
        <v>2024</v>
      </c>
      <c r="D354" t="s">
        <v>22</v>
      </c>
      <c r="E354" t="s">
        <v>402</v>
      </c>
      <c r="F354" t="s">
        <v>31</v>
      </c>
      <c r="G354" t="s">
        <v>49</v>
      </c>
      <c r="H354" t="s">
        <v>32</v>
      </c>
      <c r="I354" t="s">
        <v>42</v>
      </c>
      <c r="J354" t="s">
        <v>54</v>
      </c>
      <c r="K354">
        <v>1</v>
      </c>
      <c r="L354" s="2">
        <v>148.05000000000001</v>
      </c>
      <c r="M354" s="3">
        <v>0.05</v>
      </c>
      <c r="N354" t="s">
        <v>29</v>
      </c>
      <c r="O354" s="2">
        <v>140.65</v>
      </c>
      <c r="P354" s="2">
        <v>94.75</v>
      </c>
      <c r="Q354" s="2">
        <v>45.9</v>
      </c>
      <c r="R354">
        <v>1</v>
      </c>
      <c r="S354">
        <v>0</v>
      </c>
      <c r="T354">
        <v>3</v>
      </c>
      <c r="U354">
        <v>5</v>
      </c>
    </row>
    <row r="355" spans="1:21" ht="16.5" x14ac:dyDescent="0.3">
      <c r="A355" t="s">
        <v>431</v>
      </c>
      <c r="B355" s="1">
        <v>45356</v>
      </c>
      <c r="C355">
        <v>2024</v>
      </c>
      <c r="D355" t="s">
        <v>22</v>
      </c>
      <c r="E355" t="s">
        <v>402</v>
      </c>
      <c r="F355" t="s">
        <v>24</v>
      </c>
      <c r="G355" t="s">
        <v>51</v>
      </c>
      <c r="H355" t="s">
        <v>26</v>
      </c>
      <c r="I355" t="s">
        <v>84</v>
      </c>
      <c r="J355" t="s">
        <v>223</v>
      </c>
      <c r="K355">
        <v>1</v>
      </c>
      <c r="L355" s="2">
        <v>16.97</v>
      </c>
      <c r="M355" s="3">
        <v>0.1</v>
      </c>
      <c r="N355" t="s">
        <v>29</v>
      </c>
      <c r="O355" s="2">
        <v>15.27</v>
      </c>
      <c r="P355" s="2">
        <v>13.05</v>
      </c>
      <c r="Q355" s="2">
        <v>2.2200000000000002</v>
      </c>
      <c r="R355">
        <v>1</v>
      </c>
      <c r="S355">
        <v>0</v>
      </c>
      <c r="T355">
        <v>2</v>
      </c>
      <c r="U355">
        <v>3</v>
      </c>
    </row>
    <row r="356" spans="1:21" ht="16.5" x14ac:dyDescent="0.3">
      <c r="A356" t="s">
        <v>432</v>
      </c>
      <c r="B356" s="1">
        <v>45357</v>
      </c>
      <c r="C356">
        <v>2024</v>
      </c>
      <c r="D356" t="s">
        <v>22</v>
      </c>
      <c r="E356" t="s">
        <v>402</v>
      </c>
      <c r="F356" t="s">
        <v>45</v>
      </c>
      <c r="G356" t="s">
        <v>51</v>
      </c>
      <c r="H356" t="s">
        <v>26</v>
      </c>
      <c r="I356" t="s">
        <v>67</v>
      </c>
      <c r="J356" t="s">
        <v>103</v>
      </c>
      <c r="K356">
        <v>1</v>
      </c>
      <c r="L356" s="2">
        <v>83.06</v>
      </c>
      <c r="M356" s="3">
        <v>0.05</v>
      </c>
      <c r="N356" t="s">
        <v>29</v>
      </c>
      <c r="O356" s="2">
        <v>78.91</v>
      </c>
      <c r="P356" s="2">
        <v>54.56</v>
      </c>
      <c r="Q356" s="2">
        <v>24.35</v>
      </c>
      <c r="R356">
        <v>1</v>
      </c>
      <c r="S356">
        <v>0</v>
      </c>
      <c r="T356">
        <v>4</v>
      </c>
      <c r="U356">
        <v>4</v>
      </c>
    </row>
    <row r="357" spans="1:21" ht="16.5" x14ac:dyDescent="0.3">
      <c r="A357" t="s">
        <v>433</v>
      </c>
      <c r="B357" s="1">
        <v>45357</v>
      </c>
      <c r="C357">
        <v>2024</v>
      </c>
      <c r="D357" t="s">
        <v>22</v>
      </c>
      <c r="E357" t="s">
        <v>402</v>
      </c>
      <c r="F357" t="s">
        <v>45</v>
      </c>
      <c r="G357" t="s">
        <v>51</v>
      </c>
      <c r="H357" t="s">
        <v>32</v>
      </c>
      <c r="I357" t="s">
        <v>36</v>
      </c>
      <c r="J357" t="s">
        <v>115</v>
      </c>
      <c r="K357">
        <v>1</v>
      </c>
      <c r="L357" s="2">
        <v>33.479999999999997</v>
      </c>
      <c r="M357" s="3">
        <v>0</v>
      </c>
      <c r="N357" t="s">
        <v>38</v>
      </c>
      <c r="O357" s="2">
        <v>33.479999999999997</v>
      </c>
      <c r="P357" s="2">
        <v>15.8</v>
      </c>
      <c r="Q357" s="2">
        <v>17.68</v>
      </c>
      <c r="R357">
        <v>1</v>
      </c>
      <c r="S357">
        <v>0</v>
      </c>
      <c r="T357">
        <v>2</v>
      </c>
      <c r="U357">
        <v>4</v>
      </c>
    </row>
    <row r="358" spans="1:21" ht="16.5" x14ac:dyDescent="0.3">
      <c r="A358" t="s">
        <v>434</v>
      </c>
      <c r="B358" s="1">
        <v>45357</v>
      </c>
      <c r="C358">
        <v>2024</v>
      </c>
      <c r="D358" t="s">
        <v>22</v>
      </c>
      <c r="E358" t="s">
        <v>402</v>
      </c>
      <c r="F358" t="s">
        <v>45</v>
      </c>
      <c r="G358" t="s">
        <v>25</v>
      </c>
      <c r="H358" t="s">
        <v>32</v>
      </c>
      <c r="I358" t="s">
        <v>42</v>
      </c>
      <c r="J358" t="s">
        <v>76</v>
      </c>
      <c r="K358">
        <v>1</v>
      </c>
      <c r="L358" s="2">
        <v>90.75</v>
      </c>
      <c r="M358" s="3">
        <v>0</v>
      </c>
      <c r="N358" t="s">
        <v>38</v>
      </c>
      <c r="O358" s="2">
        <v>90.75</v>
      </c>
      <c r="P358" s="2">
        <v>61.63</v>
      </c>
      <c r="Q358" s="2">
        <v>29.12</v>
      </c>
      <c r="R358">
        <v>1</v>
      </c>
      <c r="S358">
        <v>0</v>
      </c>
      <c r="T358">
        <v>4</v>
      </c>
      <c r="U358">
        <v>4</v>
      </c>
    </row>
    <row r="359" spans="1:21" ht="16.5" x14ac:dyDescent="0.3">
      <c r="A359" t="s">
        <v>435</v>
      </c>
      <c r="B359" s="1">
        <v>45357</v>
      </c>
      <c r="C359">
        <v>2024</v>
      </c>
      <c r="D359" t="s">
        <v>22</v>
      </c>
      <c r="E359" t="s">
        <v>402</v>
      </c>
      <c r="F359" t="s">
        <v>45</v>
      </c>
      <c r="G359" t="s">
        <v>51</v>
      </c>
      <c r="H359" t="s">
        <v>32</v>
      </c>
      <c r="I359" t="s">
        <v>42</v>
      </c>
      <c r="J359" t="s">
        <v>43</v>
      </c>
      <c r="K359">
        <v>2</v>
      </c>
      <c r="L359" s="2">
        <v>154.66</v>
      </c>
      <c r="M359" s="3">
        <v>0.05</v>
      </c>
      <c r="N359" t="s">
        <v>29</v>
      </c>
      <c r="O359" s="2">
        <v>293.85000000000002</v>
      </c>
      <c r="P359" s="2">
        <v>192.88</v>
      </c>
      <c r="Q359" s="2">
        <v>100.97</v>
      </c>
      <c r="R359">
        <v>1</v>
      </c>
      <c r="S359">
        <v>0</v>
      </c>
      <c r="T359">
        <v>4</v>
      </c>
      <c r="U359">
        <v>4</v>
      </c>
    </row>
    <row r="360" spans="1:21" ht="16.5" x14ac:dyDescent="0.3">
      <c r="A360" t="s">
        <v>436</v>
      </c>
      <c r="B360" s="1">
        <v>45358</v>
      </c>
      <c r="C360">
        <v>2024</v>
      </c>
      <c r="D360" t="s">
        <v>22</v>
      </c>
      <c r="E360" t="s">
        <v>402</v>
      </c>
      <c r="F360" t="s">
        <v>31</v>
      </c>
      <c r="G360" t="s">
        <v>51</v>
      </c>
      <c r="H360" t="s">
        <v>32</v>
      </c>
      <c r="I360" t="s">
        <v>27</v>
      </c>
      <c r="J360" t="s">
        <v>60</v>
      </c>
      <c r="K360">
        <v>2</v>
      </c>
      <c r="L360" s="2">
        <v>94.85</v>
      </c>
      <c r="M360" s="3">
        <v>0.15</v>
      </c>
      <c r="N360" t="s">
        <v>34</v>
      </c>
      <c r="O360" s="2">
        <v>161.24</v>
      </c>
      <c r="P360" s="2">
        <v>101.42</v>
      </c>
      <c r="Q360" s="2">
        <v>59.82</v>
      </c>
      <c r="R360">
        <v>1</v>
      </c>
      <c r="S360">
        <v>0</v>
      </c>
      <c r="T360">
        <v>2</v>
      </c>
      <c r="U360">
        <v>4</v>
      </c>
    </row>
    <row r="361" spans="1:21" ht="16.5" x14ac:dyDescent="0.3">
      <c r="A361" t="s">
        <v>437</v>
      </c>
      <c r="B361" s="1">
        <v>45358</v>
      </c>
      <c r="C361">
        <v>2024</v>
      </c>
      <c r="D361" t="s">
        <v>22</v>
      </c>
      <c r="E361" t="s">
        <v>402</v>
      </c>
      <c r="F361" t="s">
        <v>31</v>
      </c>
      <c r="G361" t="s">
        <v>49</v>
      </c>
      <c r="H361" t="s">
        <v>32</v>
      </c>
      <c r="I361" t="s">
        <v>70</v>
      </c>
      <c r="J361" t="s">
        <v>87</v>
      </c>
      <c r="K361">
        <v>2</v>
      </c>
      <c r="L361" s="2">
        <v>490.3</v>
      </c>
      <c r="M361" s="3">
        <v>0</v>
      </c>
      <c r="N361" t="s">
        <v>38</v>
      </c>
      <c r="O361" s="2">
        <v>980.6</v>
      </c>
      <c r="P361" s="2">
        <v>744.25</v>
      </c>
      <c r="Q361" s="2">
        <v>236.35</v>
      </c>
      <c r="R361">
        <v>1</v>
      </c>
      <c r="S361">
        <v>0</v>
      </c>
      <c r="T361">
        <v>3</v>
      </c>
      <c r="U361">
        <v>5</v>
      </c>
    </row>
    <row r="362" spans="1:21" ht="16.5" x14ac:dyDescent="0.3">
      <c r="A362" t="s">
        <v>438</v>
      </c>
      <c r="B362" s="1">
        <v>45358</v>
      </c>
      <c r="C362">
        <v>2024</v>
      </c>
      <c r="D362" t="s">
        <v>22</v>
      </c>
      <c r="E362" t="s">
        <v>402</v>
      </c>
      <c r="F362" t="s">
        <v>31</v>
      </c>
      <c r="G362" t="s">
        <v>65</v>
      </c>
      <c r="H362" t="s">
        <v>32</v>
      </c>
      <c r="I362" t="s">
        <v>42</v>
      </c>
      <c r="J362" t="s">
        <v>54</v>
      </c>
      <c r="K362">
        <v>3</v>
      </c>
      <c r="L362" s="2">
        <v>148.05000000000001</v>
      </c>
      <c r="M362" s="3">
        <v>0.15</v>
      </c>
      <c r="N362" t="s">
        <v>34</v>
      </c>
      <c r="O362" s="2">
        <v>377.53</v>
      </c>
      <c r="P362" s="2">
        <v>277.95</v>
      </c>
      <c r="Q362" s="2">
        <v>99.58</v>
      </c>
      <c r="R362">
        <v>1</v>
      </c>
      <c r="S362">
        <v>0</v>
      </c>
      <c r="T362">
        <v>6</v>
      </c>
      <c r="U362">
        <v>3</v>
      </c>
    </row>
    <row r="363" spans="1:21" ht="16.5" x14ac:dyDescent="0.3">
      <c r="A363" t="s">
        <v>439</v>
      </c>
      <c r="B363" s="1">
        <v>45358</v>
      </c>
      <c r="C363">
        <v>2024</v>
      </c>
      <c r="D363" t="s">
        <v>22</v>
      </c>
      <c r="E363" t="s">
        <v>402</v>
      </c>
      <c r="F363" t="s">
        <v>24</v>
      </c>
      <c r="G363" t="s">
        <v>51</v>
      </c>
      <c r="H363" t="s">
        <v>26</v>
      </c>
      <c r="I363" t="s">
        <v>42</v>
      </c>
      <c r="J363" t="s">
        <v>58</v>
      </c>
      <c r="K363">
        <v>1</v>
      </c>
      <c r="L363" s="2">
        <v>233.81</v>
      </c>
      <c r="M363" s="3">
        <v>0.05</v>
      </c>
      <c r="N363" t="s">
        <v>29</v>
      </c>
      <c r="O363" s="2">
        <v>222.12</v>
      </c>
      <c r="P363" s="2">
        <v>149.82</v>
      </c>
      <c r="Q363" s="2">
        <v>72.3</v>
      </c>
      <c r="R363">
        <v>1</v>
      </c>
      <c r="S363">
        <v>1</v>
      </c>
      <c r="T363">
        <v>2</v>
      </c>
      <c r="U363">
        <v>3</v>
      </c>
    </row>
    <row r="364" spans="1:21" ht="16.5" x14ac:dyDescent="0.3">
      <c r="A364" t="s">
        <v>440</v>
      </c>
      <c r="B364" s="1">
        <v>45358</v>
      </c>
      <c r="C364">
        <v>2024</v>
      </c>
      <c r="D364" t="s">
        <v>22</v>
      </c>
      <c r="E364" t="s">
        <v>402</v>
      </c>
      <c r="F364" t="s">
        <v>45</v>
      </c>
      <c r="G364" t="s">
        <v>49</v>
      </c>
      <c r="H364" t="s">
        <v>26</v>
      </c>
      <c r="I364" t="s">
        <v>70</v>
      </c>
      <c r="J364" t="s">
        <v>129</v>
      </c>
      <c r="K364">
        <v>1</v>
      </c>
      <c r="L364" s="2">
        <v>177.65</v>
      </c>
      <c r="M364" s="3">
        <v>0.1</v>
      </c>
      <c r="N364" t="s">
        <v>29</v>
      </c>
      <c r="O364" s="2">
        <v>159.88999999999999</v>
      </c>
      <c r="P364" s="2">
        <v>147.24</v>
      </c>
      <c r="Q364" s="2">
        <v>12.65</v>
      </c>
      <c r="R364">
        <v>1</v>
      </c>
      <c r="S364">
        <v>0</v>
      </c>
      <c r="T364">
        <v>5</v>
      </c>
      <c r="U364">
        <v>5</v>
      </c>
    </row>
    <row r="365" spans="1:21" ht="16.5" x14ac:dyDescent="0.3">
      <c r="A365" t="s">
        <v>441</v>
      </c>
      <c r="B365" s="1">
        <v>45358</v>
      </c>
      <c r="C365">
        <v>2024</v>
      </c>
      <c r="D365" t="s">
        <v>22</v>
      </c>
      <c r="E365" t="s">
        <v>402</v>
      </c>
      <c r="F365" t="s">
        <v>45</v>
      </c>
      <c r="G365" t="s">
        <v>25</v>
      </c>
      <c r="H365" t="s">
        <v>26</v>
      </c>
      <c r="I365" t="s">
        <v>36</v>
      </c>
      <c r="J365" t="s">
        <v>115</v>
      </c>
      <c r="K365">
        <v>1</v>
      </c>
      <c r="L365" s="2">
        <v>33.479999999999997</v>
      </c>
      <c r="M365" s="3">
        <v>0.25</v>
      </c>
      <c r="N365" t="s">
        <v>62</v>
      </c>
      <c r="O365" s="2">
        <v>25.11</v>
      </c>
      <c r="P365" s="2">
        <v>16.38</v>
      </c>
      <c r="Q365" s="2">
        <v>8.73</v>
      </c>
      <c r="R365">
        <v>1</v>
      </c>
      <c r="S365">
        <v>0</v>
      </c>
      <c r="T365">
        <v>6</v>
      </c>
      <c r="U365">
        <v>5</v>
      </c>
    </row>
    <row r="366" spans="1:21" ht="16.5" x14ac:dyDescent="0.3">
      <c r="A366" t="s">
        <v>442</v>
      </c>
      <c r="B366" s="1">
        <v>45359</v>
      </c>
      <c r="C366">
        <v>2024</v>
      </c>
      <c r="D366" t="s">
        <v>22</v>
      </c>
      <c r="E366" t="s">
        <v>402</v>
      </c>
      <c r="F366" t="s">
        <v>24</v>
      </c>
      <c r="G366" t="s">
        <v>49</v>
      </c>
      <c r="H366" t="s">
        <v>32</v>
      </c>
      <c r="I366" t="s">
        <v>42</v>
      </c>
      <c r="J366" t="s">
        <v>98</v>
      </c>
      <c r="K366">
        <v>1</v>
      </c>
      <c r="L366" s="2">
        <v>117.63</v>
      </c>
      <c r="M366" s="3">
        <v>0.1</v>
      </c>
      <c r="N366" t="s">
        <v>29</v>
      </c>
      <c r="O366" s="2">
        <v>105.87</v>
      </c>
      <c r="P366" s="2">
        <v>76.36</v>
      </c>
      <c r="Q366" s="2">
        <v>29.51</v>
      </c>
      <c r="R366">
        <v>1</v>
      </c>
      <c r="S366">
        <v>0</v>
      </c>
      <c r="T366">
        <v>3</v>
      </c>
      <c r="U366">
        <v>4</v>
      </c>
    </row>
    <row r="367" spans="1:21" ht="16.5" x14ac:dyDescent="0.3">
      <c r="A367" t="s">
        <v>443</v>
      </c>
      <c r="B367" s="1">
        <v>45359</v>
      </c>
      <c r="C367">
        <v>2024</v>
      </c>
      <c r="D367" t="s">
        <v>22</v>
      </c>
      <c r="E367" t="s">
        <v>402</v>
      </c>
      <c r="F367" t="s">
        <v>45</v>
      </c>
      <c r="G367" t="s">
        <v>51</v>
      </c>
      <c r="H367" t="s">
        <v>32</v>
      </c>
      <c r="I367" t="s">
        <v>27</v>
      </c>
      <c r="J367" t="s">
        <v>60</v>
      </c>
      <c r="K367">
        <v>1</v>
      </c>
      <c r="L367" s="2">
        <v>94.85</v>
      </c>
      <c r="M367" s="3">
        <v>0.25</v>
      </c>
      <c r="N367" t="s">
        <v>62</v>
      </c>
      <c r="O367" s="2">
        <v>71.14</v>
      </c>
      <c r="P367" s="2">
        <v>52.08</v>
      </c>
      <c r="Q367" s="2">
        <v>19.059999999999999</v>
      </c>
      <c r="R367">
        <v>1</v>
      </c>
      <c r="S367">
        <v>0</v>
      </c>
      <c r="T367">
        <v>3</v>
      </c>
      <c r="U367">
        <v>5</v>
      </c>
    </row>
    <row r="368" spans="1:21" ht="16.5" x14ac:dyDescent="0.3">
      <c r="A368" t="s">
        <v>444</v>
      </c>
      <c r="B368" s="1">
        <v>45359</v>
      </c>
      <c r="C368">
        <v>2024</v>
      </c>
      <c r="D368" t="s">
        <v>22</v>
      </c>
      <c r="E368" t="s">
        <v>402</v>
      </c>
      <c r="F368" t="s">
        <v>31</v>
      </c>
      <c r="G368" t="s">
        <v>51</v>
      </c>
      <c r="H368" t="s">
        <v>32</v>
      </c>
      <c r="I368" t="s">
        <v>70</v>
      </c>
      <c r="J368" t="s">
        <v>129</v>
      </c>
      <c r="K368">
        <v>1</v>
      </c>
      <c r="L368" s="2">
        <v>177.65</v>
      </c>
      <c r="M368" s="3">
        <v>0</v>
      </c>
      <c r="N368" t="s">
        <v>38</v>
      </c>
      <c r="O368" s="2">
        <v>177.65</v>
      </c>
      <c r="P368" s="2">
        <v>143.61000000000001</v>
      </c>
      <c r="Q368" s="2">
        <v>34.04</v>
      </c>
      <c r="R368">
        <v>1</v>
      </c>
      <c r="S368">
        <v>0</v>
      </c>
      <c r="T368">
        <v>3</v>
      </c>
      <c r="U368">
        <v>4</v>
      </c>
    </row>
    <row r="369" spans="1:21" ht="16.5" x14ac:dyDescent="0.3">
      <c r="A369" t="s">
        <v>445</v>
      </c>
      <c r="B369" s="1">
        <v>45359</v>
      </c>
      <c r="C369">
        <v>2024</v>
      </c>
      <c r="D369" t="s">
        <v>22</v>
      </c>
      <c r="E369" t="s">
        <v>402</v>
      </c>
      <c r="F369" t="s">
        <v>24</v>
      </c>
      <c r="G369" t="s">
        <v>25</v>
      </c>
      <c r="H369" t="s">
        <v>32</v>
      </c>
      <c r="I369" t="s">
        <v>27</v>
      </c>
      <c r="J369" t="s">
        <v>33</v>
      </c>
      <c r="K369">
        <v>2</v>
      </c>
      <c r="L369" s="2">
        <v>78.510000000000005</v>
      </c>
      <c r="M369" s="3">
        <v>0.1</v>
      </c>
      <c r="N369" t="s">
        <v>29</v>
      </c>
      <c r="O369" s="2">
        <v>141.32</v>
      </c>
      <c r="P369" s="2">
        <v>80.569999999999993</v>
      </c>
      <c r="Q369" s="2">
        <v>60.75</v>
      </c>
      <c r="R369">
        <v>1</v>
      </c>
      <c r="S369">
        <v>0</v>
      </c>
      <c r="T369">
        <v>5</v>
      </c>
      <c r="U369">
        <v>4</v>
      </c>
    </row>
    <row r="370" spans="1:21" ht="16.5" x14ac:dyDescent="0.3">
      <c r="A370" t="s">
        <v>446</v>
      </c>
      <c r="B370" s="1">
        <v>45359</v>
      </c>
      <c r="C370">
        <v>2024</v>
      </c>
      <c r="D370" t="s">
        <v>22</v>
      </c>
      <c r="E370" t="s">
        <v>402</v>
      </c>
      <c r="F370" t="s">
        <v>45</v>
      </c>
      <c r="G370" t="s">
        <v>46</v>
      </c>
      <c r="H370" t="s">
        <v>32</v>
      </c>
      <c r="I370" t="s">
        <v>27</v>
      </c>
      <c r="J370" t="s">
        <v>110</v>
      </c>
      <c r="K370">
        <v>1</v>
      </c>
      <c r="L370" s="2">
        <v>19.41</v>
      </c>
      <c r="M370" s="3">
        <v>0.1</v>
      </c>
      <c r="N370" t="s">
        <v>29</v>
      </c>
      <c r="O370" s="2">
        <v>17.47</v>
      </c>
      <c r="P370" s="2">
        <v>10.210000000000001</v>
      </c>
      <c r="Q370" s="2">
        <v>7.26</v>
      </c>
      <c r="R370">
        <v>1</v>
      </c>
      <c r="S370">
        <v>0</v>
      </c>
      <c r="T370">
        <v>8</v>
      </c>
      <c r="U370">
        <v>2</v>
      </c>
    </row>
    <row r="371" spans="1:21" ht="16.5" x14ac:dyDescent="0.3">
      <c r="A371" t="s">
        <v>447</v>
      </c>
      <c r="B371" s="1">
        <v>45359</v>
      </c>
      <c r="C371">
        <v>2024</v>
      </c>
      <c r="D371" t="s">
        <v>22</v>
      </c>
      <c r="E371" t="s">
        <v>402</v>
      </c>
      <c r="F371" t="s">
        <v>31</v>
      </c>
      <c r="G371" t="s">
        <v>65</v>
      </c>
      <c r="H371" t="s">
        <v>32</v>
      </c>
      <c r="I371" t="s">
        <v>27</v>
      </c>
      <c r="J371" t="s">
        <v>33</v>
      </c>
      <c r="K371">
        <v>4</v>
      </c>
      <c r="L371" s="2">
        <v>78.510000000000005</v>
      </c>
      <c r="M371" s="3">
        <v>0.1</v>
      </c>
      <c r="N371" t="s">
        <v>29</v>
      </c>
      <c r="O371" s="2">
        <v>282.64</v>
      </c>
      <c r="P371" s="2">
        <v>165.54</v>
      </c>
      <c r="Q371" s="2">
        <v>117.1</v>
      </c>
      <c r="R371">
        <v>1</v>
      </c>
      <c r="S371">
        <v>0</v>
      </c>
      <c r="T371">
        <v>6</v>
      </c>
      <c r="U371">
        <v>3</v>
      </c>
    </row>
    <row r="372" spans="1:21" ht="16.5" x14ac:dyDescent="0.3">
      <c r="A372" t="s">
        <v>448</v>
      </c>
      <c r="B372" s="1">
        <v>45359</v>
      </c>
      <c r="C372">
        <v>2024</v>
      </c>
      <c r="D372" t="s">
        <v>22</v>
      </c>
      <c r="E372" t="s">
        <v>402</v>
      </c>
      <c r="F372" t="s">
        <v>24</v>
      </c>
      <c r="G372" t="s">
        <v>25</v>
      </c>
      <c r="H372" t="s">
        <v>26</v>
      </c>
      <c r="I372" t="s">
        <v>70</v>
      </c>
      <c r="J372" t="s">
        <v>129</v>
      </c>
      <c r="K372">
        <v>1</v>
      </c>
      <c r="L372" s="2">
        <v>177.65</v>
      </c>
      <c r="M372" s="3">
        <v>0.15</v>
      </c>
      <c r="N372" t="s">
        <v>34</v>
      </c>
      <c r="O372" s="2">
        <v>151</v>
      </c>
      <c r="P372" s="2">
        <v>143.44</v>
      </c>
      <c r="Q372" s="2">
        <v>7.56</v>
      </c>
      <c r="R372">
        <v>1</v>
      </c>
      <c r="S372">
        <v>0</v>
      </c>
      <c r="T372">
        <v>5</v>
      </c>
      <c r="U372">
        <v>4</v>
      </c>
    </row>
    <row r="373" spans="1:21" ht="16.5" x14ac:dyDescent="0.3">
      <c r="A373" t="s">
        <v>449</v>
      </c>
      <c r="B373" s="1">
        <v>45360</v>
      </c>
      <c r="C373">
        <v>2024</v>
      </c>
      <c r="D373" t="s">
        <v>22</v>
      </c>
      <c r="E373" t="s">
        <v>402</v>
      </c>
      <c r="F373" t="s">
        <v>31</v>
      </c>
      <c r="G373" t="s">
        <v>49</v>
      </c>
      <c r="H373" t="s">
        <v>32</v>
      </c>
      <c r="I373" t="s">
        <v>67</v>
      </c>
      <c r="J373" t="s">
        <v>78</v>
      </c>
      <c r="K373">
        <v>3</v>
      </c>
      <c r="L373" s="2">
        <v>85.42</v>
      </c>
      <c r="M373" s="3">
        <v>0.05</v>
      </c>
      <c r="N373" t="s">
        <v>29</v>
      </c>
      <c r="O373" s="2">
        <v>243.45</v>
      </c>
      <c r="P373" s="2">
        <v>163.31</v>
      </c>
      <c r="Q373" s="2">
        <v>80.14</v>
      </c>
      <c r="R373">
        <v>1</v>
      </c>
      <c r="S373">
        <v>0</v>
      </c>
      <c r="T373">
        <v>5</v>
      </c>
      <c r="U373">
        <v>4</v>
      </c>
    </row>
    <row r="374" spans="1:21" ht="16.5" x14ac:dyDescent="0.3">
      <c r="A374" t="s">
        <v>450</v>
      </c>
      <c r="B374" s="1">
        <v>45360</v>
      </c>
      <c r="C374">
        <v>2024</v>
      </c>
      <c r="D374" t="s">
        <v>22</v>
      </c>
      <c r="E374" t="s">
        <v>402</v>
      </c>
      <c r="F374" t="s">
        <v>45</v>
      </c>
      <c r="G374" t="s">
        <v>25</v>
      </c>
      <c r="H374" t="s">
        <v>32</v>
      </c>
      <c r="I374" t="s">
        <v>70</v>
      </c>
      <c r="J374" t="s">
        <v>162</v>
      </c>
      <c r="K374">
        <v>1</v>
      </c>
      <c r="L374" s="2">
        <v>636.09</v>
      </c>
      <c r="M374" s="3">
        <v>0.1</v>
      </c>
      <c r="N374" t="s">
        <v>29</v>
      </c>
      <c r="O374" s="2">
        <v>572.48</v>
      </c>
      <c r="P374" s="2">
        <v>486.36</v>
      </c>
      <c r="Q374" s="2">
        <v>86.12</v>
      </c>
      <c r="R374">
        <v>1</v>
      </c>
      <c r="S374">
        <v>1</v>
      </c>
      <c r="T374">
        <v>3</v>
      </c>
      <c r="U374">
        <v>3</v>
      </c>
    </row>
    <row r="375" spans="1:21" ht="16.5" x14ac:dyDescent="0.3">
      <c r="A375" t="s">
        <v>451</v>
      </c>
      <c r="B375" s="1">
        <v>45360</v>
      </c>
      <c r="C375">
        <v>2024</v>
      </c>
      <c r="D375" t="s">
        <v>22</v>
      </c>
      <c r="E375" t="s">
        <v>402</v>
      </c>
      <c r="F375" t="s">
        <v>24</v>
      </c>
      <c r="G375" t="s">
        <v>49</v>
      </c>
      <c r="H375" t="s">
        <v>26</v>
      </c>
      <c r="I375" t="s">
        <v>84</v>
      </c>
      <c r="J375" t="s">
        <v>223</v>
      </c>
      <c r="K375">
        <v>1</v>
      </c>
      <c r="L375" s="2">
        <v>16.97</v>
      </c>
      <c r="M375" s="3">
        <v>0</v>
      </c>
      <c r="N375" t="s">
        <v>38</v>
      </c>
      <c r="O375" s="2">
        <v>16.97</v>
      </c>
      <c r="P375" s="2">
        <v>11.46</v>
      </c>
      <c r="Q375" s="2">
        <v>5.51</v>
      </c>
      <c r="R375">
        <v>1</v>
      </c>
      <c r="S375">
        <v>0</v>
      </c>
      <c r="T375">
        <v>4</v>
      </c>
      <c r="U375">
        <v>5</v>
      </c>
    </row>
    <row r="376" spans="1:21" ht="16.5" x14ac:dyDescent="0.3">
      <c r="A376" t="s">
        <v>452</v>
      </c>
      <c r="B376" s="1">
        <v>45360</v>
      </c>
      <c r="C376">
        <v>2024</v>
      </c>
      <c r="D376" t="s">
        <v>22</v>
      </c>
      <c r="E376" t="s">
        <v>402</v>
      </c>
      <c r="F376" t="s">
        <v>45</v>
      </c>
      <c r="G376" t="s">
        <v>25</v>
      </c>
      <c r="H376" t="s">
        <v>32</v>
      </c>
      <c r="I376" t="s">
        <v>27</v>
      </c>
      <c r="J376" t="s">
        <v>33</v>
      </c>
      <c r="K376">
        <v>2</v>
      </c>
      <c r="L376" s="2">
        <v>78.510000000000005</v>
      </c>
      <c r="M376" s="3">
        <v>0.1</v>
      </c>
      <c r="N376" t="s">
        <v>29</v>
      </c>
      <c r="O376" s="2">
        <v>141.32</v>
      </c>
      <c r="P376" s="2">
        <v>87.04</v>
      </c>
      <c r="Q376" s="2">
        <v>54.28</v>
      </c>
      <c r="R376">
        <v>1</v>
      </c>
      <c r="S376">
        <v>1</v>
      </c>
      <c r="T376">
        <v>4</v>
      </c>
      <c r="U376">
        <v>2</v>
      </c>
    </row>
    <row r="377" spans="1:21" ht="16.5" x14ac:dyDescent="0.3">
      <c r="A377" t="s">
        <v>453</v>
      </c>
      <c r="B377" s="1">
        <v>45360</v>
      </c>
      <c r="C377">
        <v>2024</v>
      </c>
      <c r="D377" t="s">
        <v>22</v>
      </c>
      <c r="E377" t="s">
        <v>402</v>
      </c>
      <c r="F377" t="s">
        <v>45</v>
      </c>
      <c r="G377" t="s">
        <v>51</v>
      </c>
      <c r="H377" t="s">
        <v>32</v>
      </c>
      <c r="I377" t="s">
        <v>27</v>
      </c>
      <c r="J377" t="s">
        <v>60</v>
      </c>
      <c r="K377">
        <v>1</v>
      </c>
      <c r="L377" s="2">
        <v>94.85</v>
      </c>
      <c r="M377" s="3">
        <v>0.15</v>
      </c>
      <c r="N377" t="s">
        <v>34</v>
      </c>
      <c r="O377" s="2">
        <v>80.62</v>
      </c>
      <c r="P377" s="2">
        <v>51.6</v>
      </c>
      <c r="Q377" s="2">
        <v>29.02</v>
      </c>
      <c r="R377">
        <v>1</v>
      </c>
      <c r="S377">
        <v>0</v>
      </c>
      <c r="T377">
        <v>3</v>
      </c>
      <c r="U377">
        <v>4</v>
      </c>
    </row>
    <row r="378" spans="1:21" ht="16.5" x14ac:dyDescent="0.3">
      <c r="A378" t="s">
        <v>454</v>
      </c>
      <c r="B378" s="1">
        <v>45360</v>
      </c>
      <c r="C378">
        <v>2024</v>
      </c>
      <c r="D378" t="s">
        <v>22</v>
      </c>
      <c r="E378" t="s">
        <v>402</v>
      </c>
      <c r="F378" t="s">
        <v>24</v>
      </c>
      <c r="G378" t="s">
        <v>25</v>
      </c>
      <c r="H378" t="s">
        <v>26</v>
      </c>
      <c r="I378" t="s">
        <v>36</v>
      </c>
      <c r="J378" t="s">
        <v>52</v>
      </c>
      <c r="K378">
        <v>1</v>
      </c>
      <c r="L378" s="2">
        <v>92.54</v>
      </c>
      <c r="M378" s="3">
        <v>0</v>
      </c>
      <c r="N378" t="s">
        <v>38</v>
      </c>
      <c r="O378" s="2">
        <v>92.54</v>
      </c>
      <c r="P378" s="2">
        <v>43.95</v>
      </c>
      <c r="Q378" s="2">
        <v>48.59</v>
      </c>
      <c r="R378">
        <v>1</v>
      </c>
      <c r="S378">
        <v>0</v>
      </c>
      <c r="T378">
        <v>4</v>
      </c>
      <c r="U378">
        <v>4</v>
      </c>
    </row>
    <row r="379" spans="1:21" ht="16.5" x14ac:dyDescent="0.3">
      <c r="A379" t="s">
        <v>455</v>
      </c>
      <c r="B379" s="1">
        <v>45360</v>
      </c>
      <c r="C379">
        <v>2024</v>
      </c>
      <c r="D379" t="s">
        <v>22</v>
      </c>
      <c r="E379" t="s">
        <v>402</v>
      </c>
      <c r="F379" t="s">
        <v>31</v>
      </c>
      <c r="G379" t="s">
        <v>49</v>
      </c>
      <c r="H379" t="s">
        <v>32</v>
      </c>
      <c r="I379" t="s">
        <v>70</v>
      </c>
      <c r="J379" t="s">
        <v>71</v>
      </c>
      <c r="K379">
        <v>3</v>
      </c>
      <c r="L379" s="2">
        <v>588.41</v>
      </c>
      <c r="M379" s="3">
        <v>0</v>
      </c>
      <c r="N379" t="s">
        <v>38</v>
      </c>
      <c r="O379" s="2">
        <v>1765.23</v>
      </c>
      <c r="P379" s="2">
        <v>1385.72</v>
      </c>
      <c r="Q379" s="2">
        <v>379.51</v>
      </c>
      <c r="R379">
        <v>1</v>
      </c>
      <c r="S379">
        <v>0</v>
      </c>
      <c r="T379">
        <v>3</v>
      </c>
      <c r="U379">
        <v>4</v>
      </c>
    </row>
    <row r="380" spans="1:21" ht="16.5" x14ac:dyDescent="0.3">
      <c r="A380" t="s">
        <v>456</v>
      </c>
      <c r="B380" s="1">
        <v>45360</v>
      </c>
      <c r="C380">
        <v>2024</v>
      </c>
      <c r="D380" t="s">
        <v>22</v>
      </c>
      <c r="E380" t="s">
        <v>402</v>
      </c>
      <c r="F380" t="s">
        <v>24</v>
      </c>
      <c r="G380" t="s">
        <v>49</v>
      </c>
      <c r="H380" t="s">
        <v>32</v>
      </c>
      <c r="I380" t="s">
        <v>27</v>
      </c>
      <c r="J380" t="s">
        <v>47</v>
      </c>
      <c r="K380">
        <v>1</v>
      </c>
      <c r="L380" s="2">
        <v>33.99</v>
      </c>
      <c r="M380" s="3">
        <v>0.1</v>
      </c>
      <c r="N380" t="s">
        <v>29</v>
      </c>
      <c r="O380" s="2">
        <v>30.59</v>
      </c>
      <c r="P380" s="2">
        <v>17.850000000000001</v>
      </c>
      <c r="Q380" s="2">
        <v>12.74</v>
      </c>
      <c r="R380">
        <v>1</v>
      </c>
      <c r="S380">
        <v>1</v>
      </c>
      <c r="T380">
        <v>3</v>
      </c>
      <c r="U380">
        <v>3</v>
      </c>
    </row>
    <row r="381" spans="1:21" ht="16.5" x14ac:dyDescent="0.3">
      <c r="A381" t="s">
        <v>457</v>
      </c>
      <c r="B381" s="1">
        <v>45360</v>
      </c>
      <c r="C381">
        <v>2024</v>
      </c>
      <c r="D381" t="s">
        <v>22</v>
      </c>
      <c r="E381" t="s">
        <v>402</v>
      </c>
      <c r="F381" t="s">
        <v>24</v>
      </c>
      <c r="G381" t="s">
        <v>49</v>
      </c>
      <c r="H381" t="s">
        <v>26</v>
      </c>
      <c r="I381" t="s">
        <v>84</v>
      </c>
      <c r="J381" t="s">
        <v>132</v>
      </c>
      <c r="K381">
        <v>1</v>
      </c>
      <c r="L381" s="2">
        <v>48.86</v>
      </c>
      <c r="M381" s="3">
        <v>0.25</v>
      </c>
      <c r="N381" t="s">
        <v>62</v>
      </c>
      <c r="O381" s="2">
        <v>36.64</v>
      </c>
      <c r="P381" s="2">
        <v>36.479999999999997</v>
      </c>
      <c r="Q381" s="2">
        <v>0.16</v>
      </c>
      <c r="R381">
        <v>1</v>
      </c>
      <c r="S381">
        <v>0</v>
      </c>
      <c r="T381">
        <v>4</v>
      </c>
      <c r="U381">
        <v>4</v>
      </c>
    </row>
    <row r="382" spans="1:21" ht="16.5" x14ac:dyDescent="0.3">
      <c r="A382" t="s">
        <v>458</v>
      </c>
      <c r="B382" s="1">
        <v>45360</v>
      </c>
      <c r="C382">
        <v>2024</v>
      </c>
      <c r="D382" t="s">
        <v>22</v>
      </c>
      <c r="E382" t="s">
        <v>402</v>
      </c>
      <c r="F382" t="s">
        <v>45</v>
      </c>
      <c r="G382" t="s">
        <v>49</v>
      </c>
      <c r="H382" t="s">
        <v>32</v>
      </c>
      <c r="I382" t="s">
        <v>70</v>
      </c>
      <c r="J382" t="s">
        <v>71</v>
      </c>
      <c r="K382">
        <v>1</v>
      </c>
      <c r="L382" s="2">
        <v>588.41</v>
      </c>
      <c r="M382" s="3">
        <v>0.15</v>
      </c>
      <c r="N382" t="s">
        <v>34</v>
      </c>
      <c r="O382" s="2">
        <v>500.15</v>
      </c>
      <c r="P382" s="2">
        <v>453.62</v>
      </c>
      <c r="Q382" s="2">
        <v>46.53</v>
      </c>
      <c r="R382">
        <v>1</v>
      </c>
      <c r="S382">
        <v>0</v>
      </c>
      <c r="T382">
        <v>5</v>
      </c>
      <c r="U382">
        <v>5</v>
      </c>
    </row>
    <row r="383" spans="1:21" ht="16.5" x14ac:dyDescent="0.3">
      <c r="A383" t="s">
        <v>459</v>
      </c>
      <c r="B383" s="1">
        <v>45360</v>
      </c>
      <c r="C383">
        <v>2024</v>
      </c>
      <c r="D383" t="s">
        <v>22</v>
      </c>
      <c r="E383" t="s">
        <v>402</v>
      </c>
      <c r="F383" t="s">
        <v>24</v>
      </c>
      <c r="G383" t="s">
        <v>25</v>
      </c>
      <c r="H383" t="s">
        <v>32</v>
      </c>
      <c r="I383" t="s">
        <v>27</v>
      </c>
      <c r="J383" t="s">
        <v>60</v>
      </c>
      <c r="K383">
        <v>2</v>
      </c>
      <c r="L383" s="2">
        <v>94.85</v>
      </c>
      <c r="M383" s="3">
        <v>0.15</v>
      </c>
      <c r="N383" t="s">
        <v>34</v>
      </c>
      <c r="O383" s="2">
        <v>161.24</v>
      </c>
      <c r="P383" s="2">
        <v>100.25</v>
      </c>
      <c r="Q383" s="2">
        <v>60.99</v>
      </c>
      <c r="R383">
        <v>1</v>
      </c>
      <c r="S383">
        <v>0</v>
      </c>
      <c r="T383">
        <v>3</v>
      </c>
      <c r="U383">
        <v>5</v>
      </c>
    </row>
    <row r="384" spans="1:21" ht="16.5" x14ac:dyDescent="0.3">
      <c r="A384" t="s">
        <v>460</v>
      </c>
      <c r="B384" s="1">
        <v>45361</v>
      </c>
      <c r="C384">
        <v>2024</v>
      </c>
      <c r="D384" t="s">
        <v>22</v>
      </c>
      <c r="E384" t="s">
        <v>402</v>
      </c>
      <c r="F384" t="s">
        <v>24</v>
      </c>
      <c r="G384" t="s">
        <v>65</v>
      </c>
      <c r="H384" t="s">
        <v>26</v>
      </c>
      <c r="I384" t="s">
        <v>84</v>
      </c>
      <c r="J384" t="s">
        <v>96</v>
      </c>
      <c r="K384">
        <v>3</v>
      </c>
      <c r="L384" s="2">
        <v>10.76</v>
      </c>
      <c r="M384" s="3">
        <v>0.05</v>
      </c>
      <c r="N384" t="s">
        <v>29</v>
      </c>
      <c r="O384" s="2">
        <v>30.67</v>
      </c>
      <c r="P384" s="2">
        <v>22.62</v>
      </c>
      <c r="Q384" s="2">
        <v>8.0500000000000007</v>
      </c>
      <c r="R384">
        <v>1</v>
      </c>
      <c r="S384">
        <v>0</v>
      </c>
      <c r="T384">
        <v>6</v>
      </c>
      <c r="U384">
        <v>4</v>
      </c>
    </row>
    <row r="385" spans="1:21" ht="16.5" x14ac:dyDescent="0.3">
      <c r="A385" t="s">
        <v>461</v>
      </c>
      <c r="B385" s="1">
        <v>45361</v>
      </c>
      <c r="C385">
        <v>2024</v>
      </c>
      <c r="D385" t="s">
        <v>22</v>
      </c>
      <c r="E385" t="s">
        <v>402</v>
      </c>
      <c r="F385" t="s">
        <v>24</v>
      </c>
      <c r="G385" t="s">
        <v>65</v>
      </c>
      <c r="H385" t="s">
        <v>32</v>
      </c>
      <c r="I385" t="s">
        <v>27</v>
      </c>
      <c r="J385" t="s">
        <v>47</v>
      </c>
      <c r="K385">
        <v>1</v>
      </c>
      <c r="L385" s="2">
        <v>33.99</v>
      </c>
      <c r="M385" s="3">
        <v>0</v>
      </c>
      <c r="N385" t="s">
        <v>38</v>
      </c>
      <c r="O385" s="2">
        <v>33.99</v>
      </c>
      <c r="P385" s="2">
        <v>18.23</v>
      </c>
      <c r="Q385" s="2">
        <v>15.76</v>
      </c>
      <c r="R385">
        <v>1</v>
      </c>
      <c r="S385">
        <v>0</v>
      </c>
      <c r="T385">
        <v>6</v>
      </c>
      <c r="U385">
        <v>5</v>
      </c>
    </row>
    <row r="386" spans="1:21" ht="16.5" x14ac:dyDescent="0.3">
      <c r="A386" t="s">
        <v>462</v>
      </c>
      <c r="B386" s="1">
        <v>45361</v>
      </c>
      <c r="C386">
        <v>2024</v>
      </c>
      <c r="D386" t="s">
        <v>22</v>
      </c>
      <c r="E386" t="s">
        <v>402</v>
      </c>
      <c r="F386" t="s">
        <v>24</v>
      </c>
      <c r="G386" t="s">
        <v>49</v>
      </c>
      <c r="H386" t="s">
        <v>26</v>
      </c>
      <c r="I386" t="s">
        <v>36</v>
      </c>
      <c r="J386" t="s">
        <v>126</v>
      </c>
      <c r="K386">
        <v>1</v>
      </c>
      <c r="L386" s="2">
        <v>54.56</v>
      </c>
      <c r="M386" s="3">
        <v>0.1</v>
      </c>
      <c r="N386" t="s">
        <v>29</v>
      </c>
      <c r="O386" s="2">
        <v>49.1</v>
      </c>
      <c r="P386" s="2">
        <v>26.05</v>
      </c>
      <c r="Q386" s="2">
        <v>23.05</v>
      </c>
      <c r="R386">
        <v>1</v>
      </c>
      <c r="S386">
        <v>0</v>
      </c>
      <c r="T386">
        <v>3</v>
      </c>
      <c r="U386">
        <v>4</v>
      </c>
    </row>
    <row r="387" spans="1:21" ht="16.5" x14ac:dyDescent="0.3">
      <c r="A387" t="s">
        <v>463</v>
      </c>
      <c r="B387" s="1">
        <v>45361</v>
      </c>
      <c r="C387">
        <v>2024</v>
      </c>
      <c r="D387" t="s">
        <v>22</v>
      </c>
      <c r="E387" t="s">
        <v>402</v>
      </c>
      <c r="F387" t="s">
        <v>24</v>
      </c>
      <c r="G387" t="s">
        <v>49</v>
      </c>
      <c r="H387" t="s">
        <v>26</v>
      </c>
      <c r="I387" t="s">
        <v>36</v>
      </c>
      <c r="J387" t="s">
        <v>126</v>
      </c>
      <c r="K387">
        <v>1</v>
      </c>
      <c r="L387" s="2">
        <v>54.56</v>
      </c>
      <c r="M387" s="3">
        <v>0.3</v>
      </c>
      <c r="N387" t="s">
        <v>62</v>
      </c>
      <c r="O387" s="2">
        <v>38.19</v>
      </c>
      <c r="P387" s="2">
        <v>26</v>
      </c>
      <c r="Q387" s="2">
        <v>12.19</v>
      </c>
      <c r="R387">
        <v>1</v>
      </c>
      <c r="S387">
        <v>0</v>
      </c>
      <c r="T387">
        <v>4</v>
      </c>
      <c r="U387">
        <v>5</v>
      </c>
    </row>
    <row r="388" spans="1:21" ht="16.5" x14ac:dyDescent="0.3">
      <c r="A388" t="s">
        <v>464</v>
      </c>
      <c r="B388" s="1">
        <v>45362</v>
      </c>
      <c r="C388">
        <v>2024</v>
      </c>
      <c r="D388" t="s">
        <v>22</v>
      </c>
      <c r="E388" t="s">
        <v>402</v>
      </c>
      <c r="F388" t="s">
        <v>31</v>
      </c>
      <c r="G388" t="s">
        <v>65</v>
      </c>
      <c r="H388" t="s">
        <v>26</v>
      </c>
      <c r="I388" t="s">
        <v>27</v>
      </c>
      <c r="J388" t="s">
        <v>110</v>
      </c>
      <c r="K388">
        <v>2</v>
      </c>
      <c r="L388" s="2">
        <v>19.41</v>
      </c>
      <c r="M388" s="3">
        <v>0.2</v>
      </c>
      <c r="N388" t="s">
        <v>34</v>
      </c>
      <c r="O388" s="2">
        <v>31.06</v>
      </c>
      <c r="P388" s="2">
        <v>18.73</v>
      </c>
      <c r="Q388" s="2">
        <v>12.33</v>
      </c>
      <c r="R388">
        <v>1</v>
      </c>
      <c r="S388">
        <v>0</v>
      </c>
      <c r="T388">
        <v>6</v>
      </c>
      <c r="U388">
        <v>2</v>
      </c>
    </row>
    <row r="389" spans="1:21" ht="16.5" x14ac:dyDescent="0.3">
      <c r="A389" t="s">
        <v>465</v>
      </c>
      <c r="B389" s="1">
        <v>45362</v>
      </c>
      <c r="C389">
        <v>2024</v>
      </c>
      <c r="D389" t="s">
        <v>22</v>
      </c>
      <c r="E389" t="s">
        <v>402</v>
      </c>
      <c r="F389" t="s">
        <v>24</v>
      </c>
      <c r="G389" t="s">
        <v>65</v>
      </c>
      <c r="H389" t="s">
        <v>32</v>
      </c>
      <c r="I389" t="s">
        <v>70</v>
      </c>
      <c r="J389" t="s">
        <v>87</v>
      </c>
      <c r="K389">
        <v>1</v>
      </c>
      <c r="L389" s="2">
        <v>490.3</v>
      </c>
      <c r="M389" s="3">
        <v>0.25</v>
      </c>
      <c r="N389" t="s">
        <v>62</v>
      </c>
      <c r="O389" s="2">
        <v>367.72</v>
      </c>
      <c r="P389" s="2">
        <v>378.12</v>
      </c>
      <c r="Q389" s="2">
        <v>-10.4</v>
      </c>
      <c r="R389">
        <v>1</v>
      </c>
      <c r="S389">
        <v>0</v>
      </c>
      <c r="T389">
        <v>6</v>
      </c>
      <c r="U389">
        <v>3</v>
      </c>
    </row>
    <row r="390" spans="1:21" ht="16.5" x14ac:dyDescent="0.3">
      <c r="A390" t="s">
        <v>466</v>
      </c>
      <c r="B390" s="1">
        <v>45362</v>
      </c>
      <c r="C390">
        <v>2024</v>
      </c>
      <c r="D390" t="s">
        <v>22</v>
      </c>
      <c r="E390" t="s">
        <v>402</v>
      </c>
      <c r="F390" t="s">
        <v>24</v>
      </c>
      <c r="G390" t="s">
        <v>25</v>
      </c>
      <c r="H390" t="s">
        <v>26</v>
      </c>
      <c r="I390" t="s">
        <v>27</v>
      </c>
      <c r="J390" t="s">
        <v>40</v>
      </c>
      <c r="K390">
        <v>1</v>
      </c>
      <c r="L390" s="2">
        <v>104.94</v>
      </c>
      <c r="M390" s="3">
        <v>0.05</v>
      </c>
      <c r="N390" t="s">
        <v>29</v>
      </c>
      <c r="O390" s="2">
        <v>99.69</v>
      </c>
      <c r="P390" s="2">
        <v>56.33</v>
      </c>
      <c r="Q390" s="2">
        <v>43.36</v>
      </c>
      <c r="R390">
        <v>1</v>
      </c>
      <c r="S390">
        <v>0</v>
      </c>
      <c r="T390">
        <v>5</v>
      </c>
      <c r="U390">
        <v>4</v>
      </c>
    </row>
    <row r="391" spans="1:21" ht="16.5" x14ac:dyDescent="0.3">
      <c r="A391" t="s">
        <v>467</v>
      </c>
      <c r="B391" s="1">
        <v>45362</v>
      </c>
      <c r="C391">
        <v>2024</v>
      </c>
      <c r="D391" t="s">
        <v>22</v>
      </c>
      <c r="E391" t="s">
        <v>402</v>
      </c>
      <c r="F391" t="s">
        <v>24</v>
      </c>
      <c r="G391" t="s">
        <v>49</v>
      </c>
      <c r="H391" t="s">
        <v>26</v>
      </c>
      <c r="I391" t="s">
        <v>70</v>
      </c>
      <c r="J391" t="s">
        <v>82</v>
      </c>
      <c r="K391">
        <v>1</v>
      </c>
      <c r="L391" s="2">
        <v>508.8</v>
      </c>
      <c r="M391" s="3">
        <v>0.1</v>
      </c>
      <c r="N391" t="s">
        <v>29</v>
      </c>
      <c r="O391" s="2">
        <v>457.92</v>
      </c>
      <c r="P391" s="2">
        <v>415.43</v>
      </c>
      <c r="Q391" s="2">
        <v>42.49</v>
      </c>
      <c r="R391">
        <v>1</v>
      </c>
      <c r="S391">
        <v>0</v>
      </c>
      <c r="T391">
        <v>3</v>
      </c>
      <c r="U391">
        <v>5</v>
      </c>
    </row>
    <row r="392" spans="1:21" ht="16.5" x14ac:dyDescent="0.3">
      <c r="A392" t="s">
        <v>468</v>
      </c>
      <c r="B392" s="1">
        <v>45362</v>
      </c>
      <c r="C392">
        <v>2024</v>
      </c>
      <c r="D392" t="s">
        <v>22</v>
      </c>
      <c r="E392" t="s">
        <v>402</v>
      </c>
      <c r="F392" t="s">
        <v>31</v>
      </c>
      <c r="G392" t="s">
        <v>46</v>
      </c>
      <c r="H392" t="s">
        <v>26</v>
      </c>
      <c r="I392" t="s">
        <v>27</v>
      </c>
      <c r="J392" t="s">
        <v>60</v>
      </c>
      <c r="K392">
        <v>4</v>
      </c>
      <c r="L392" s="2">
        <v>94.85</v>
      </c>
      <c r="M392" s="3">
        <v>0.1</v>
      </c>
      <c r="N392" t="s">
        <v>29</v>
      </c>
      <c r="O392" s="2">
        <v>341.46</v>
      </c>
      <c r="P392" s="2">
        <v>203.01</v>
      </c>
      <c r="Q392" s="2">
        <v>138.44999999999999</v>
      </c>
      <c r="R392">
        <v>1</v>
      </c>
      <c r="S392">
        <v>1</v>
      </c>
      <c r="T392">
        <v>6</v>
      </c>
      <c r="U392">
        <v>2</v>
      </c>
    </row>
    <row r="393" spans="1:21" ht="16.5" x14ac:dyDescent="0.3">
      <c r="A393" t="s">
        <v>469</v>
      </c>
      <c r="B393" s="1">
        <v>45363</v>
      </c>
      <c r="C393">
        <v>2024</v>
      </c>
      <c r="D393" t="s">
        <v>22</v>
      </c>
      <c r="E393" t="s">
        <v>402</v>
      </c>
      <c r="F393" t="s">
        <v>31</v>
      </c>
      <c r="G393" t="s">
        <v>51</v>
      </c>
      <c r="H393" t="s">
        <v>32</v>
      </c>
      <c r="I393" t="s">
        <v>27</v>
      </c>
      <c r="J393" t="s">
        <v>110</v>
      </c>
      <c r="K393">
        <v>1</v>
      </c>
      <c r="L393" s="2">
        <v>19.41</v>
      </c>
      <c r="M393" s="3">
        <v>0.2</v>
      </c>
      <c r="N393" t="s">
        <v>34</v>
      </c>
      <c r="O393" s="2">
        <v>15.53</v>
      </c>
      <c r="P393" s="2">
        <v>9.8699999999999992</v>
      </c>
      <c r="Q393" s="2">
        <v>5.66</v>
      </c>
      <c r="R393">
        <v>1</v>
      </c>
      <c r="S393">
        <v>0</v>
      </c>
      <c r="T393">
        <v>3</v>
      </c>
      <c r="U393">
        <v>4</v>
      </c>
    </row>
    <row r="394" spans="1:21" ht="16.5" x14ac:dyDescent="0.3">
      <c r="A394" t="s">
        <v>470</v>
      </c>
      <c r="B394" s="1">
        <v>45363</v>
      </c>
      <c r="C394">
        <v>2024</v>
      </c>
      <c r="D394" t="s">
        <v>22</v>
      </c>
      <c r="E394" t="s">
        <v>402</v>
      </c>
      <c r="F394" t="s">
        <v>24</v>
      </c>
      <c r="G394" t="s">
        <v>51</v>
      </c>
      <c r="H394" t="s">
        <v>26</v>
      </c>
      <c r="I394" t="s">
        <v>84</v>
      </c>
      <c r="J394" t="s">
        <v>132</v>
      </c>
      <c r="K394">
        <v>2</v>
      </c>
      <c r="L394" s="2">
        <v>48.86</v>
      </c>
      <c r="M394" s="3">
        <v>0.15</v>
      </c>
      <c r="N394" t="s">
        <v>34</v>
      </c>
      <c r="O394" s="2">
        <v>83.06</v>
      </c>
      <c r="P394" s="2">
        <v>71.819999999999993</v>
      </c>
      <c r="Q394" s="2">
        <v>11.24</v>
      </c>
      <c r="R394">
        <v>1</v>
      </c>
      <c r="S394">
        <v>0</v>
      </c>
      <c r="T394">
        <v>2</v>
      </c>
      <c r="U394">
        <v>5</v>
      </c>
    </row>
    <row r="395" spans="1:21" ht="16.5" x14ac:dyDescent="0.3">
      <c r="A395" t="s">
        <v>471</v>
      </c>
      <c r="B395" s="1">
        <v>45363</v>
      </c>
      <c r="C395">
        <v>2024</v>
      </c>
      <c r="D395" t="s">
        <v>22</v>
      </c>
      <c r="E395" t="s">
        <v>402</v>
      </c>
      <c r="F395" t="s">
        <v>31</v>
      </c>
      <c r="G395" t="s">
        <v>25</v>
      </c>
      <c r="H395" t="s">
        <v>32</v>
      </c>
      <c r="I395" t="s">
        <v>84</v>
      </c>
      <c r="J395" t="s">
        <v>223</v>
      </c>
      <c r="K395">
        <v>1</v>
      </c>
      <c r="L395" s="2">
        <v>16.97</v>
      </c>
      <c r="M395" s="3">
        <v>0.05</v>
      </c>
      <c r="N395" t="s">
        <v>29</v>
      </c>
      <c r="O395" s="2">
        <v>16.12</v>
      </c>
      <c r="P395" s="2">
        <v>12.28</v>
      </c>
      <c r="Q395" s="2">
        <v>3.84</v>
      </c>
      <c r="R395">
        <v>1</v>
      </c>
      <c r="S395">
        <v>0</v>
      </c>
      <c r="T395">
        <v>5</v>
      </c>
      <c r="U395">
        <v>5</v>
      </c>
    </row>
    <row r="396" spans="1:21" ht="16.5" x14ac:dyDescent="0.3">
      <c r="A396" t="s">
        <v>472</v>
      </c>
      <c r="B396" s="1">
        <v>45364</v>
      </c>
      <c r="C396">
        <v>2024</v>
      </c>
      <c r="D396" t="s">
        <v>22</v>
      </c>
      <c r="E396" t="s">
        <v>402</v>
      </c>
      <c r="F396" t="s">
        <v>45</v>
      </c>
      <c r="G396" t="s">
        <v>51</v>
      </c>
      <c r="H396" t="s">
        <v>32</v>
      </c>
      <c r="I396" t="s">
        <v>27</v>
      </c>
      <c r="J396" t="s">
        <v>110</v>
      </c>
      <c r="K396">
        <v>2</v>
      </c>
      <c r="L396" s="2">
        <v>19.41</v>
      </c>
      <c r="M396" s="3">
        <v>0.1</v>
      </c>
      <c r="N396" t="s">
        <v>29</v>
      </c>
      <c r="O396" s="2">
        <v>34.94</v>
      </c>
      <c r="P396" s="2">
        <v>20.38</v>
      </c>
      <c r="Q396" s="2">
        <v>14.56</v>
      </c>
      <c r="R396">
        <v>1</v>
      </c>
      <c r="S396">
        <v>0</v>
      </c>
      <c r="T396">
        <v>2</v>
      </c>
      <c r="U396">
        <v>4</v>
      </c>
    </row>
    <row r="397" spans="1:21" ht="16.5" x14ac:dyDescent="0.3">
      <c r="A397" t="s">
        <v>473</v>
      </c>
      <c r="B397" s="1">
        <v>45364</v>
      </c>
      <c r="C397">
        <v>2024</v>
      </c>
      <c r="D397" t="s">
        <v>22</v>
      </c>
      <c r="E397" t="s">
        <v>402</v>
      </c>
      <c r="F397" t="s">
        <v>31</v>
      </c>
      <c r="G397" t="s">
        <v>51</v>
      </c>
      <c r="H397" t="s">
        <v>26</v>
      </c>
      <c r="I397" t="s">
        <v>70</v>
      </c>
      <c r="J397" t="s">
        <v>82</v>
      </c>
      <c r="K397">
        <v>1</v>
      </c>
      <c r="L397" s="2">
        <v>508.8</v>
      </c>
      <c r="M397" s="3">
        <v>0.2</v>
      </c>
      <c r="N397" t="s">
        <v>34</v>
      </c>
      <c r="O397" s="2">
        <v>407.04</v>
      </c>
      <c r="P397" s="2">
        <v>411.34</v>
      </c>
      <c r="Q397" s="2">
        <v>-4.3</v>
      </c>
      <c r="R397">
        <v>1</v>
      </c>
      <c r="S397">
        <v>0</v>
      </c>
      <c r="T397">
        <v>4</v>
      </c>
      <c r="U397">
        <v>4</v>
      </c>
    </row>
    <row r="398" spans="1:21" ht="16.5" x14ac:dyDescent="0.3">
      <c r="A398" t="s">
        <v>474</v>
      </c>
      <c r="B398" s="1">
        <v>45364</v>
      </c>
      <c r="C398">
        <v>2024</v>
      </c>
      <c r="D398" t="s">
        <v>22</v>
      </c>
      <c r="E398" t="s">
        <v>402</v>
      </c>
      <c r="F398" t="s">
        <v>31</v>
      </c>
      <c r="G398" t="s">
        <v>51</v>
      </c>
      <c r="H398" t="s">
        <v>32</v>
      </c>
      <c r="I398" t="s">
        <v>42</v>
      </c>
      <c r="J398" t="s">
        <v>54</v>
      </c>
      <c r="K398">
        <v>1</v>
      </c>
      <c r="L398" s="2">
        <v>148.05000000000001</v>
      </c>
      <c r="M398" s="3">
        <v>0.15</v>
      </c>
      <c r="N398" t="s">
        <v>34</v>
      </c>
      <c r="O398" s="2">
        <v>125.84</v>
      </c>
      <c r="P398" s="2">
        <v>99.89</v>
      </c>
      <c r="Q398" s="2">
        <v>25.95</v>
      </c>
      <c r="R398">
        <v>1</v>
      </c>
      <c r="S398">
        <v>0</v>
      </c>
      <c r="T398">
        <v>3</v>
      </c>
      <c r="U398">
        <v>4</v>
      </c>
    </row>
    <row r="399" spans="1:21" ht="16.5" x14ac:dyDescent="0.3">
      <c r="A399" t="s">
        <v>475</v>
      </c>
      <c r="B399" s="1">
        <v>45364</v>
      </c>
      <c r="C399">
        <v>2024</v>
      </c>
      <c r="D399" t="s">
        <v>22</v>
      </c>
      <c r="E399" t="s">
        <v>402</v>
      </c>
      <c r="F399" t="s">
        <v>31</v>
      </c>
      <c r="G399" t="s">
        <v>49</v>
      </c>
      <c r="H399" t="s">
        <v>32</v>
      </c>
      <c r="I399" t="s">
        <v>42</v>
      </c>
      <c r="J399" t="s">
        <v>76</v>
      </c>
      <c r="K399">
        <v>1</v>
      </c>
      <c r="L399" s="2">
        <v>90.75</v>
      </c>
      <c r="M399" s="3">
        <v>0.25</v>
      </c>
      <c r="N399" t="s">
        <v>62</v>
      </c>
      <c r="O399" s="2">
        <v>68.06</v>
      </c>
      <c r="P399" s="2">
        <v>62.65</v>
      </c>
      <c r="Q399" s="2">
        <v>5.41</v>
      </c>
      <c r="R399">
        <v>1</v>
      </c>
      <c r="S399">
        <v>0</v>
      </c>
      <c r="T399">
        <v>3</v>
      </c>
      <c r="U399">
        <v>4</v>
      </c>
    </row>
    <row r="400" spans="1:21" ht="16.5" x14ac:dyDescent="0.3">
      <c r="A400" t="s">
        <v>476</v>
      </c>
      <c r="B400" s="1">
        <v>45364</v>
      </c>
      <c r="C400">
        <v>2024</v>
      </c>
      <c r="D400" t="s">
        <v>22</v>
      </c>
      <c r="E400" t="s">
        <v>402</v>
      </c>
      <c r="F400" t="s">
        <v>24</v>
      </c>
      <c r="G400" t="s">
        <v>65</v>
      </c>
      <c r="H400" t="s">
        <v>26</v>
      </c>
      <c r="I400" t="s">
        <v>70</v>
      </c>
      <c r="J400" t="s">
        <v>129</v>
      </c>
      <c r="K400">
        <v>1</v>
      </c>
      <c r="L400" s="2">
        <v>177.65</v>
      </c>
      <c r="M400" s="3">
        <v>0.15</v>
      </c>
      <c r="N400" t="s">
        <v>34</v>
      </c>
      <c r="O400" s="2">
        <v>151</v>
      </c>
      <c r="P400" s="2">
        <v>139.38999999999999</v>
      </c>
      <c r="Q400" s="2">
        <v>11.61</v>
      </c>
      <c r="R400">
        <v>1</v>
      </c>
      <c r="S400">
        <v>0</v>
      </c>
      <c r="T400">
        <v>5</v>
      </c>
      <c r="U400">
        <v>5</v>
      </c>
    </row>
    <row r="401" spans="1:21" ht="16.5" x14ac:dyDescent="0.3">
      <c r="A401" t="s">
        <v>477</v>
      </c>
      <c r="B401" s="1">
        <v>45364</v>
      </c>
      <c r="C401">
        <v>2024</v>
      </c>
      <c r="D401" t="s">
        <v>22</v>
      </c>
      <c r="E401" t="s">
        <v>402</v>
      </c>
      <c r="F401" t="s">
        <v>45</v>
      </c>
      <c r="G401" t="s">
        <v>65</v>
      </c>
      <c r="H401" t="s">
        <v>32</v>
      </c>
      <c r="I401" t="s">
        <v>70</v>
      </c>
      <c r="J401" t="s">
        <v>82</v>
      </c>
      <c r="K401">
        <v>1</v>
      </c>
      <c r="L401" s="2">
        <v>508.8</v>
      </c>
      <c r="M401" s="3">
        <v>0</v>
      </c>
      <c r="N401" t="s">
        <v>38</v>
      </c>
      <c r="O401" s="2">
        <v>508.8</v>
      </c>
      <c r="P401" s="2">
        <v>402.73</v>
      </c>
      <c r="Q401" s="2">
        <v>106.07</v>
      </c>
      <c r="R401">
        <v>1</v>
      </c>
      <c r="S401">
        <v>1</v>
      </c>
      <c r="T401">
        <v>7</v>
      </c>
      <c r="U401">
        <v>3</v>
      </c>
    </row>
    <row r="402" spans="1:21" ht="16.5" x14ac:dyDescent="0.3">
      <c r="A402" t="s">
        <v>478</v>
      </c>
      <c r="B402" s="1">
        <v>45365</v>
      </c>
      <c r="C402">
        <v>2024</v>
      </c>
      <c r="D402" t="s">
        <v>22</v>
      </c>
      <c r="E402" t="s">
        <v>402</v>
      </c>
      <c r="F402" t="s">
        <v>24</v>
      </c>
      <c r="G402" t="s">
        <v>25</v>
      </c>
      <c r="H402" t="s">
        <v>32</v>
      </c>
      <c r="I402" t="s">
        <v>36</v>
      </c>
      <c r="J402" t="s">
        <v>37</v>
      </c>
      <c r="K402">
        <v>1</v>
      </c>
      <c r="L402" s="2">
        <v>33.18</v>
      </c>
      <c r="M402" s="3">
        <v>0.2</v>
      </c>
      <c r="N402" t="s">
        <v>34</v>
      </c>
      <c r="O402" s="2">
        <v>26.54</v>
      </c>
      <c r="P402" s="2">
        <v>16.37</v>
      </c>
      <c r="Q402" s="2">
        <v>10.17</v>
      </c>
      <c r="R402">
        <v>1</v>
      </c>
      <c r="S402">
        <v>0</v>
      </c>
      <c r="T402">
        <v>3</v>
      </c>
      <c r="U402">
        <v>3</v>
      </c>
    </row>
    <row r="403" spans="1:21" ht="16.5" x14ac:dyDescent="0.3">
      <c r="A403" t="s">
        <v>479</v>
      </c>
      <c r="B403" s="1">
        <v>45365</v>
      </c>
      <c r="C403">
        <v>2024</v>
      </c>
      <c r="D403" t="s">
        <v>22</v>
      </c>
      <c r="E403" t="s">
        <v>402</v>
      </c>
      <c r="F403" t="s">
        <v>24</v>
      </c>
      <c r="G403" t="s">
        <v>49</v>
      </c>
      <c r="H403" t="s">
        <v>26</v>
      </c>
      <c r="I403" t="s">
        <v>36</v>
      </c>
      <c r="J403" t="s">
        <v>126</v>
      </c>
      <c r="K403">
        <v>1</v>
      </c>
      <c r="L403" s="2">
        <v>54.56</v>
      </c>
      <c r="M403" s="3">
        <v>0</v>
      </c>
      <c r="N403" t="s">
        <v>38</v>
      </c>
      <c r="O403" s="2">
        <v>54.56</v>
      </c>
      <c r="P403" s="2">
        <v>26.57</v>
      </c>
      <c r="Q403" s="2">
        <v>27.99</v>
      </c>
      <c r="R403">
        <v>1</v>
      </c>
      <c r="S403">
        <v>0</v>
      </c>
      <c r="T403">
        <v>3</v>
      </c>
      <c r="U403">
        <v>4</v>
      </c>
    </row>
    <row r="404" spans="1:21" ht="16.5" x14ac:dyDescent="0.3">
      <c r="A404" t="s">
        <v>480</v>
      </c>
      <c r="B404" s="1">
        <v>45365</v>
      </c>
      <c r="C404">
        <v>2024</v>
      </c>
      <c r="D404" t="s">
        <v>22</v>
      </c>
      <c r="E404" t="s">
        <v>402</v>
      </c>
      <c r="F404" t="s">
        <v>24</v>
      </c>
      <c r="G404" t="s">
        <v>49</v>
      </c>
      <c r="H404" t="s">
        <v>32</v>
      </c>
      <c r="I404" t="s">
        <v>70</v>
      </c>
      <c r="J404" t="s">
        <v>82</v>
      </c>
      <c r="K404">
        <v>2</v>
      </c>
      <c r="L404" s="2">
        <v>508.8</v>
      </c>
      <c r="M404" s="3">
        <v>0</v>
      </c>
      <c r="N404" t="s">
        <v>38</v>
      </c>
      <c r="O404" s="2">
        <v>1017.6</v>
      </c>
      <c r="P404" s="2">
        <v>828.38</v>
      </c>
      <c r="Q404" s="2">
        <v>189.22</v>
      </c>
      <c r="R404">
        <v>1</v>
      </c>
      <c r="S404">
        <v>0</v>
      </c>
      <c r="T404">
        <v>4</v>
      </c>
      <c r="U404">
        <v>4</v>
      </c>
    </row>
    <row r="405" spans="1:21" ht="16.5" x14ac:dyDescent="0.3">
      <c r="A405" t="s">
        <v>481</v>
      </c>
      <c r="B405" s="1">
        <v>45365</v>
      </c>
      <c r="C405">
        <v>2024</v>
      </c>
      <c r="D405" t="s">
        <v>22</v>
      </c>
      <c r="E405" t="s">
        <v>402</v>
      </c>
      <c r="F405" t="s">
        <v>24</v>
      </c>
      <c r="G405" t="s">
        <v>25</v>
      </c>
      <c r="H405" t="s">
        <v>32</v>
      </c>
      <c r="I405" t="s">
        <v>70</v>
      </c>
      <c r="J405" t="s">
        <v>162</v>
      </c>
      <c r="K405">
        <v>3</v>
      </c>
      <c r="L405" s="2">
        <v>636.09</v>
      </c>
      <c r="M405" s="3">
        <v>0</v>
      </c>
      <c r="N405" t="s">
        <v>38</v>
      </c>
      <c r="O405" s="2">
        <v>1908.27</v>
      </c>
      <c r="P405" s="2">
        <v>1505.82</v>
      </c>
      <c r="Q405" s="2">
        <v>402.45</v>
      </c>
      <c r="R405">
        <v>1</v>
      </c>
      <c r="S405">
        <v>0</v>
      </c>
      <c r="T405">
        <v>4</v>
      </c>
      <c r="U405">
        <v>5</v>
      </c>
    </row>
    <row r="406" spans="1:21" ht="16.5" x14ac:dyDescent="0.3">
      <c r="A406" t="s">
        <v>482</v>
      </c>
      <c r="B406" s="1">
        <v>45365</v>
      </c>
      <c r="C406">
        <v>2024</v>
      </c>
      <c r="D406" t="s">
        <v>22</v>
      </c>
      <c r="E406" t="s">
        <v>402</v>
      </c>
      <c r="F406" t="s">
        <v>31</v>
      </c>
      <c r="G406" t="s">
        <v>65</v>
      </c>
      <c r="H406" t="s">
        <v>32</v>
      </c>
      <c r="I406" t="s">
        <v>42</v>
      </c>
      <c r="J406" t="s">
        <v>98</v>
      </c>
      <c r="K406">
        <v>1</v>
      </c>
      <c r="L406" s="2">
        <v>117.63</v>
      </c>
      <c r="M406" s="3">
        <v>0.15</v>
      </c>
      <c r="N406" t="s">
        <v>34</v>
      </c>
      <c r="O406" s="2">
        <v>99.99</v>
      </c>
      <c r="P406" s="2">
        <v>77.63</v>
      </c>
      <c r="Q406" s="2">
        <v>22.36</v>
      </c>
      <c r="R406">
        <v>1</v>
      </c>
      <c r="S406">
        <v>0</v>
      </c>
      <c r="T406">
        <v>6</v>
      </c>
      <c r="U406">
        <v>4</v>
      </c>
    </row>
    <row r="407" spans="1:21" ht="16.5" x14ac:dyDescent="0.3">
      <c r="A407" t="s">
        <v>483</v>
      </c>
      <c r="B407" s="1">
        <v>45365</v>
      </c>
      <c r="C407">
        <v>2024</v>
      </c>
      <c r="D407" t="s">
        <v>22</v>
      </c>
      <c r="E407" t="s">
        <v>402</v>
      </c>
      <c r="F407" t="s">
        <v>45</v>
      </c>
      <c r="G407" t="s">
        <v>51</v>
      </c>
      <c r="H407" t="s">
        <v>32</v>
      </c>
      <c r="I407" t="s">
        <v>36</v>
      </c>
      <c r="J407" t="s">
        <v>37</v>
      </c>
      <c r="K407">
        <v>1</v>
      </c>
      <c r="L407" s="2">
        <v>33.18</v>
      </c>
      <c r="M407" s="3">
        <v>0.2</v>
      </c>
      <c r="N407" t="s">
        <v>34</v>
      </c>
      <c r="O407" s="2">
        <v>26.54</v>
      </c>
      <c r="P407" s="2">
        <v>15.84</v>
      </c>
      <c r="Q407" s="2">
        <v>10.7</v>
      </c>
      <c r="R407">
        <v>1</v>
      </c>
      <c r="S407">
        <v>0</v>
      </c>
      <c r="T407">
        <v>2</v>
      </c>
      <c r="U407">
        <v>3</v>
      </c>
    </row>
    <row r="408" spans="1:21" ht="16.5" x14ac:dyDescent="0.3">
      <c r="A408" t="s">
        <v>484</v>
      </c>
      <c r="B408" s="1">
        <v>45366</v>
      </c>
      <c r="C408">
        <v>2024</v>
      </c>
      <c r="D408" t="s">
        <v>22</v>
      </c>
      <c r="E408" t="s">
        <v>402</v>
      </c>
      <c r="F408" t="s">
        <v>45</v>
      </c>
      <c r="G408" t="s">
        <v>49</v>
      </c>
      <c r="H408" t="s">
        <v>32</v>
      </c>
      <c r="I408" t="s">
        <v>36</v>
      </c>
      <c r="J408" t="s">
        <v>126</v>
      </c>
      <c r="K408">
        <v>3</v>
      </c>
      <c r="L408" s="2">
        <v>54.56</v>
      </c>
      <c r="M408" s="3">
        <v>0.25</v>
      </c>
      <c r="N408" t="s">
        <v>62</v>
      </c>
      <c r="O408" s="2">
        <v>122.76</v>
      </c>
      <c r="P408" s="2">
        <v>77.03</v>
      </c>
      <c r="Q408" s="2">
        <v>45.73</v>
      </c>
      <c r="R408">
        <v>1</v>
      </c>
      <c r="S408">
        <v>0</v>
      </c>
      <c r="T408">
        <v>4</v>
      </c>
      <c r="U408">
        <v>4</v>
      </c>
    </row>
    <row r="409" spans="1:21" ht="16.5" x14ac:dyDescent="0.3">
      <c r="A409" t="s">
        <v>485</v>
      </c>
      <c r="B409" s="1">
        <v>45366</v>
      </c>
      <c r="C409">
        <v>2024</v>
      </c>
      <c r="D409" t="s">
        <v>22</v>
      </c>
      <c r="E409" t="s">
        <v>402</v>
      </c>
      <c r="F409" t="s">
        <v>24</v>
      </c>
      <c r="G409" t="s">
        <v>46</v>
      </c>
      <c r="H409" t="s">
        <v>32</v>
      </c>
      <c r="I409" t="s">
        <v>70</v>
      </c>
      <c r="J409" t="s">
        <v>129</v>
      </c>
      <c r="K409">
        <v>2</v>
      </c>
      <c r="L409" s="2">
        <v>177.65</v>
      </c>
      <c r="M409" s="3">
        <v>0</v>
      </c>
      <c r="N409" t="s">
        <v>38</v>
      </c>
      <c r="O409" s="2">
        <v>355.3</v>
      </c>
      <c r="P409" s="2">
        <v>285.02</v>
      </c>
      <c r="Q409" s="2">
        <v>70.28</v>
      </c>
      <c r="R409">
        <v>1</v>
      </c>
      <c r="S409">
        <v>1</v>
      </c>
      <c r="T409">
        <v>5</v>
      </c>
      <c r="U409">
        <v>3</v>
      </c>
    </row>
    <row r="410" spans="1:21" ht="16.5" x14ac:dyDescent="0.3">
      <c r="A410" t="s">
        <v>486</v>
      </c>
      <c r="B410" s="1">
        <v>45366</v>
      </c>
      <c r="C410">
        <v>2024</v>
      </c>
      <c r="D410" t="s">
        <v>22</v>
      </c>
      <c r="E410" t="s">
        <v>402</v>
      </c>
      <c r="F410" t="s">
        <v>31</v>
      </c>
      <c r="G410" t="s">
        <v>25</v>
      </c>
      <c r="H410" t="s">
        <v>32</v>
      </c>
      <c r="I410" t="s">
        <v>70</v>
      </c>
      <c r="J410" t="s">
        <v>71</v>
      </c>
      <c r="K410">
        <v>1</v>
      </c>
      <c r="L410" s="2">
        <v>588.41</v>
      </c>
      <c r="M410" s="3">
        <v>0</v>
      </c>
      <c r="N410" t="s">
        <v>38</v>
      </c>
      <c r="O410" s="2">
        <v>588.41</v>
      </c>
      <c r="P410" s="2">
        <v>462.38</v>
      </c>
      <c r="Q410" s="2">
        <v>126.03</v>
      </c>
      <c r="R410">
        <v>1</v>
      </c>
      <c r="S410">
        <v>0</v>
      </c>
      <c r="T410">
        <v>3</v>
      </c>
      <c r="U410">
        <v>4</v>
      </c>
    </row>
    <row r="411" spans="1:21" ht="16.5" x14ac:dyDescent="0.3">
      <c r="A411" t="s">
        <v>487</v>
      </c>
      <c r="B411" s="1">
        <v>45367</v>
      </c>
      <c r="C411">
        <v>2024</v>
      </c>
      <c r="D411" t="s">
        <v>22</v>
      </c>
      <c r="E411" t="s">
        <v>402</v>
      </c>
      <c r="F411" t="s">
        <v>24</v>
      </c>
      <c r="G411" t="s">
        <v>51</v>
      </c>
      <c r="H411" t="s">
        <v>26</v>
      </c>
      <c r="I411" t="s">
        <v>42</v>
      </c>
      <c r="J411" t="s">
        <v>58</v>
      </c>
      <c r="K411">
        <v>2</v>
      </c>
      <c r="L411" s="2">
        <v>233.81</v>
      </c>
      <c r="M411" s="3">
        <v>0.05</v>
      </c>
      <c r="N411" t="s">
        <v>29</v>
      </c>
      <c r="O411" s="2">
        <v>444.24</v>
      </c>
      <c r="P411" s="2">
        <v>316.11</v>
      </c>
      <c r="Q411" s="2">
        <v>128.13</v>
      </c>
      <c r="R411">
        <v>1</v>
      </c>
      <c r="S411">
        <v>0</v>
      </c>
      <c r="T411">
        <v>2</v>
      </c>
      <c r="U411">
        <v>5</v>
      </c>
    </row>
    <row r="412" spans="1:21" ht="16.5" x14ac:dyDescent="0.3">
      <c r="A412" t="s">
        <v>488</v>
      </c>
      <c r="B412" s="1">
        <v>45367</v>
      </c>
      <c r="C412">
        <v>2024</v>
      </c>
      <c r="D412" t="s">
        <v>22</v>
      </c>
      <c r="E412" t="s">
        <v>402</v>
      </c>
      <c r="F412" t="s">
        <v>24</v>
      </c>
      <c r="G412" t="s">
        <v>65</v>
      </c>
      <c r="H412" t="s">
        <v>32</v>
      </c>
      <c r="I412" t="s">
        <v>36</v>
      </c>
      <c r="J412" t="s">
        <v>37</v>
      </c>
      <c r="K412">
        <v>3</v>
      </c>
      <c r="L412" s="2">
        <v>33.18</v>
      </c>
      <c r="M412" s="3">
        <v>0</v>
      </c>
      <c r="N412" t="s">
        <v>38</v>
      </c>
      <c r="O412" s="2">
        <v>99.54</v>
      </c>
      <c r="P412" s="2">
        <v>47.73</v>
      </c>
      <c r="Q412" s="2">
        <v>51.81</v>
      </c>
      <c r="R412">
        <v>1</v>
      </c>
      <c r="S412">
        <v>0</v>
      </c>
      <c r="T412">
        <v>6</v>
      </c>
      <c r="U412">
        <v>4</v>
      </c>
    </row>
    <row r="413" spans="1:21" ht="16.5" x14ac:dyDescent="0.3">
      <c r="A413" t="s">
        <v>489</v>
      </c>
      <c r="B413" s="1">
        <v>45367</v>
      </c>
      <c r="C413">
        <v>2024</v>
      </c>
      <c r="D413" t="s">
        <v>22</v>
      </c>
      <c r="E413" t="s">
        <v>402</v>
      </c>
      <c r="F413" t="s">
        <v>31</v>
      </c>
      <c r="G413" t="s">
        <v>51</v>
      </c>
      <c r="H413" t="s">
        <v>26</v>
      </c>
      <c r="I413" t="s">
        <v>42</v>
      </c>
      <c r="J413" t="s">
        <v>43</v>
      </c>
      <c r="K413">
        <v>1</v>
      </c>
      <c r="L413" s="2">
        <v>154.66</v>
      </c>
      <c r="M413" s="3">
        <v>0</v>
      </c>
      <c r="N413" t="s">
        <v>38</v>
      </c>
      <c r="O413" s="2">
        <v>154.66</v>
      </c>
      <c r="P413" s="2">
        <v>104.5</v>
      </c>
      <c r="Q413" s="2">
        <v>50.16</v>
      </c>
      <c r="R413">
        <v>1</v>
      </c>
      <c r="S413">
        <v>0</v>
      </c>
      <c r="T413">
        <v>6</v>
      </c>
      <c r="U413">
        <v>4</v>
      </c>
    </row>
    <row r="414" spans="1:21" ht="16.5" x14ac:dyDescent="0.3">
      <c r="A414" t="s">
        <v>490</v>
      </c>
      <c r="B414" s="1">
        <v>45367</v>
      </c>
      <c r="C414">
        <v>2024</v>
      </c>
      <c r="D414" t="s">
        <v>22</v>
      </c>
      <c r="E414" t="s">
        <v>402</v>
      </c>
      <c r="F414" t="s">
        <v>45</v>
      </c>
      <c r="G414" t="s">
        <v>46</v>
      </c>
      <c r="H414" t="s">
        <v>32</v>
      </c>
      <c r="I414" t="s">
        <v>36</v>
      </c>
      <c r="J414" t="s">
        <v>115</v>
      </c>
      <c r="K414">
        <v>1</v>
      </c>
      <c r="L414" s="2">
        <v>33.479999999999997</v>
      </c>
      <c r="M414" s="3">
        <v>0.25</v>
      </c>
      <c r="N414" t="s">
        <v>62</v>
      </c>
      <c r="O414" s="2">
        <v>25.11</v>
      </c>
      <c r="P414" s="2">
        <v>16.940000000000001</v>
      </c>
      <c r="Q414" s="2">
        <v>8.17</v>
      </c>
      <c r="R414">
        <v>1</v>
      </c>
      <c r="S414">
        <v>1</v>
      </c>
      <c r="T414">
        <v>6</v>
      </c>
      <c r="U414">
        <v>2</v>
      </c>
    </row>
    <row r="415" spans="1:21" ht="16.5" x14ac:dyDescent="0.3">
      <c r="A415" t="s">
        <v>491</v>
      </c>
      <c r="B415" s="1">
        <v>45367</v>
      </c>
      <c r="C415">
        <v>2024</v>
      </c>
      <c r="D415" t="s">
        <v>22</v>
      </c>
      <c r="E415" t="s">
        <v>402</v>
      </c>
      <c r="F415" t="s">
        <v>31</v>
      </c>
      <c r="G415" t="s">
        <v>51</v>
      </c>
      <c r="H415" t="s">
        <v>26</v>
      </c>
      <c r="I415" t="s">
        <v>27</v>
      </c>
      <c r="J415" t="s">
        <v>28</v>
      </c>
      <c r="K415">
        <v>1</v>
      </c>
      <c r="L415" s="2">
        <v>138.5</v>
      </c>
      <c r="M415" s="3">
        <v>0.2</v>
      </c>
      <c r="N415" t="s">
        <v>34</v>
      </c>
      <c r="O415" s="2">
        <v>110.8</v>
      </c>
      <c r="P415" s="2">
        <v>76.72</v>
      </c>
      <c r="Q415" s="2">
        <v>34.08</v>
      </c>
      <c r="R415">
        <v>1</v>
      </c>
      <c r="S415">
        <v>0</v>
      </c>
      <c r="T415">
        <v>3</v>
      </c>
      <c r="U415">
        <v>5</v>
      </c>
    </row>
    <row r="416" spans="1:21" ht="16.5" x14ac:dyDescent="0.3">
      <c r="A416" t="s">
        <v>492</v>
      </c>
      <c r="B416" s="1">
        <v>45367</v>
      </c>
      <c r="C416">
        <v>2024</v>
      </c>
      <c r="D416" t="s">
        <v>22</v>
      </c>
      <c r="E416" t="s">
        <v>402</v>
      </c>
      <c r="F416" t="s">
        <v>24</v>
      </c>
      <c r="G416" t="s">
        <v>51</v>
      </c>
      <c r="H416" t="s">
        <v>32</v>
      </c>
      <c r="I416" t="s">
        <v>70</v>
      </c>
      <c r="J416" t="s">
        <v>87</v>
      </c>
      <c r="K416">
        <v>2</v>
      </c>
      <c r="L416" s="2">
        <v>490.3</v>
      </c>
      <c r="M416" s="3">
        <v>0.25</v>
      </c>
      <c r="N416" t="s">
        <v>62</v>
      </c>
      <c r="O416" s="2">
        <v>735.45</v>
      </c>
      <c r="P416" s="2">
        <v>772.89</v>
      </c>
      <c r="Q416" s="2">
        <v>-37.44</v>
      </c>
      <c r="R416">
        <v>1</v>
      </c>
      <c r="S416">
        <v>0</v>
      </c>
      <c r="T416">
        <v>3</v>
      </c>
      <c r="U416">
        <v>5</v>
      </c>
    </row>
    <row r="417" spans="1:21" ht="16.5" x14ac:dyDescent="0.3">
      <c r="A417" t="s">
        <v>493</v>
      </c>
      <c r="B417" s="1">
        <v>45368</v>
      </c>
      <c r="C417">
        <v>2024</v>
      </c>
      <c r="D417" t="s">
        <v>22</v>
      </c>
      <c r="E417" t="s">
        <v>402</v>
      </c>
      <c r="F417" t="s">
        <v>31</v>
      </c>
      <c r="G417" t="s">
        <v>65</v>
      </c>
      <c r="H417" t="s">
        <v>26</v>
      </c>
      <c r="I417" t="s">
        <v>67</v>
      </c>
      <c r="J417" t="s">
        <v>78</v>
      </c>
      <c r="K417">
        <v>1</v>
      </c>
      <c r="L417" s="2">
        <v>85.42</v>
      </c>
      <c r="M417" s="3">
        <v>0.05</v>
      </c>
      <c r="N417" t="s">
        <v>29</v>
      </c>
      <c r="O417" s="2">
        <v>81.150000000000006</v>
      </c>
      <c r="P417" s="2">
        <v>55.26</v>
      </c>
      <c r="Q417" s="2">
        <v>25.89</v>
      </c>
      <c r="R417">
        <v>1</v>
      </c>
      <c r="S417">
        <v>0</v>
      </c>
      <c r="T417">
        <v>5</v>
      </c>
      <c r="U417">
        <v>4</v>
      </c>
    </row>
    <row r="418" spans="1:21" ht="16.5" x14ac:dyDescent="0.3">
      <c r="A418" t="s">
        <v>494</v>
      </c>
      <c r="B418" s="1">
        <v>45368</v>
      </c>
      <c r="C418">
        <v>2024</v>
      </c>
      <c r="D418" t="s">
        <v>22</v>
      </c>
      <c r="E418" t="s">
        <v>402</v>
      </c>
      <c r="F418" t="s">
        <v>31</v>
      </c>
      <c r="G418" t="s">
        <v>25</v>
      </c>
      <c r="H418" t="s">
        <v>32</v>
      </c>
      <c r="I418" t="s">
        <v>67</v>
      </c>
      <c r="J418" t="s">
        <v>174</v>
      </c>
      <c r="K418">
        <v>1</v>
      </c>
      <c r="L418" s="2">
        <v>137.05000000000001</v>
      </c>
      <c r="M418" s="3">
        <v>0</v>
      </c>
      <c r="N418" t="s">
        <v>38</v>
      </c>
      <c r="O418" s="2">
        <v>137.05000000000001</v>
      </c>
      <c r="P418" s="2">
        <v>91.48</v>
      </c>
      <c r="Q418" s="2">
        <v>45.57</v>
      </c>
      <c r="R418">
        <v>1</v>
      </c>
      <c r="S418">
        <v>0</v>
      </c>
      <c r="T418">
        <v>4</v>
      </c>
      <c r="U418">
        <v>3</v>
      </c>
    </row>
    <row r="419" spans="1:21" ht="16.5" x14ac:dyDescent="0.3">
      <c r="A419" t="s">
        <v>495</v>
      </c>
      <c r="B419" s="1">
        <v>45368</v>
      </c>
      <c r="C419">
        <v>2024</v>
      </c>
      <c r="D419" t="s">
        <v>22</v>
      </c>
      <c r="E419" t="s">
        <v>402</v>
      </c>
      <c r="F419" t="s">
        <v>45</v>
      </c>
      <c r="G419" t="s">
        <v>65</v>
      </c>
      <c r="H419" t="s">
        <v>32</v>
      </c>
      <c r="I419" t="s">
        <v>27</v>
      </c>
      <c r="J419" t="s">
        <v>28</v>
      </c>
      <c r="K419">
        <v>1</v>
      </c>
      <c r="L419" s="2">
        <v>138.5</v>
      </c>
      <c r="M419" s="3">
        <v>0.05</v>
      </c>
      <c r="N419" t="s">
        <v>29</v>
      </c>
      <c r="O419" s="2">
        <v>131.57</v>
      </c>
      <c r="P419" s="2">
        <v>75.45</v>
      </c>
      <c r="Q419" s="2">
        <v>56.12</v>
      </c>
      <c r="R419">
        <v>1</v>
      </c>
      <c r="S419">
        <v>0</v>
      </c>
      <c r="T419">
        <v>8</v>
      </c>
      <c r="U419">
        <v>3</v>
      </c>
    </row>
    <row r="420" spans="1:21" ht="16.5" x14ac:dyDescent="0.3">
      <c r="A420" t="s">
        <v>496</v>
      </c>
      <c r="B420" s="1">
        <v>45368</v>
      </c>
      <c r="C420">
        <v>2024</v>
      </c>
      <c r="D420" t="s">
        <v>22</v>
      </c>
      <c r="E420" t="s">
        <v>402</v>
      </c>
      <c r="F420" t="s">
        <v>31</v>
      </c>
      <c r="G420" t="s">
        <v>51</v>
      </c>
      <c r="H420" t="s">
        <v>32</v>
      </c>
      <c r="I420" t="s">
        <v>84</v>
      </c>
      <c r="J420" t="s">
        <v>132</v>
      </c>
      <c r="K420">
        <v>1</v>
      </c>
      <c r="L420" s="2">
        <v>48.86</v>
      </c>
      <c r="M420" s="3">
        <v>0</v>
      </c>
      <c r="N420" t="s">
        <v>38</v>
      </c>
      <c r="O420" s="2">
        <v>48.86</v>
      </c>
      <c r="P420" s="2">
        <v>34.090000000000003</v>
      </c>
      <c r="Q420" s="2">
        <v>14.77</v>
      </c>
      <c r="R420">
        <v>1</v>
      </c>
      <c r="S420">
        <v>0</v>
      </c>
      <c r="T420">
        <v>4</v>
      </c>
      <c r="U420">
        <v>5</v>
      </c>
    </row>
    <row r="421" spans="1:21" ht="16.5" x14ac:dyDescent="0.3">
      <c r="A421" t="s">
        <v>497</v>
      </c>
      <c r="B421" s="1">
        <v>45368</v>
      </c>
      <c r="C421">
        <v>2024</v>
      </c>
      <c r="D421" t="s">
        <v>22</v>
      </c>
      <c r="E421" t="s">
        <v>402</v>
      </c>
      <c r="F421" t="s">
        <v>24</v>
      </c>
      <c r="G421" t="s">
        <v>25</v>
      </c>
      <c r="H421" t="s">
        <v>32</v>
      </c>
      <c r="I421" t="s">
        <v>70</v>
      </c>
      <c r="J421" t="s">
        <v>87</v>
      </c>
      <c r="K421">
        <v>1</v>
      </c>
      <c r="L421" s="2">
        <v>490.3</v>
      </c>
      <c r="M421" s="3">
        <v>0.1</v>
      </c>
      <c r="N421" t="s">
        <v>29</v>
      </c>
      <c r="O421" s="2">
        <v>441.27</v>
      </c>
      <c r="P421" s="2">
        <v>394.25</v>
      </c>
      <c r="Q421" s="2">
        <v>47.02</v>
      </c>
      <c r="R421">
        <v>1</v>
      </c>
      <c r="S421">
        <v>0</v>
      </c>
      <c r="T421">
        <v>8</v>
      </c>
      <c r="U421">
        <v>4</v>
      </c>
    </row>
    <row r="422" spans="1:21" ht="16.5" x14ac:dyDescent="0.3">
      <c r="A422" t="s">
        <v>498</v>
      </c>
      <c r="B422" s="1">
        <v>45368</v>
      </c>
      <c r="C422">
        <v>2024</v>
      </c>
      <c r="D422" t="s">
        <v>22</v>
      </c>
      <c r="E422" t="s">
        <v>402</v>
      </c>
      <c r="F422" t="s">
        <v>31</v>
      </c>
      <c r="G422" t="s">
        <v>49</v>
      </c>
      <c r="H422" t="s">
        <v>26</v>
      </c>
      <c r="I422" t="s">
        <v>70</v>
      </c>
      <c r="J422" t="s">
        <v>129</v>
      </c>
      <c r="K422">
        <v>3</v>
      </c>
      <c r="L422" s="2">
        <v>177.65</v>
      </c>
      <c r="M422" s="3">
        <v>0</v>
      </c>
      <c r="N422" t="s">
        <v>38</v>
      </c>
      <c r="O422" s="2">
        <v>532.95000000000005</v>
      </c>
      <c r="P422" s="2">
        <v>432.39</v>
      </c>
      <c r="Q422" s="2">
        <v>100.56</v>
      </c>
      <c r="R422">
        <v>1</v>
      </c>
      <c r="S422">
        <v>0</v>
      </c>
      <c r="T422">
        <v>5</v>
      </c>
      <c r="U422">
        <v>4</v>
      </c>
    </row>
    <row r="423" spans="1:21" ht="16.5" x14ac:dyDescent="0.3">
      <c r="A423" t="s">
        <v>499</v>
      </c>
      <c r="B423" s="1">
        <v>45369</v>
      </c>
      <c r="C423">
        <v>2024</v>
      </c>
      <c r="D423" t="s">
        <v>22</v>
      </c>
      <c r="E423" t="s">
        <v>402</v>
      </c>
      <c r="F423" t="s">
        <v>24</v>
      </c>
      <c r="G423" t="s">
        <v>25</v>
      </c>
      <c r="H423" t="s">
        <v>32</v>
      </c>
      <c r="I423" t="s">
        <v>27</v>
      </c>
      <c r="J423" t="s">
        <v>60</v>
      </c>
      <c r="K423">
        <v>1</v>
      </c>
      <c r="L423" s="2">
        <v>94.85</v>
      </c>
      <c r="M423" s="3">
        <v>0.05</v>
      </c>
      <c r="N423" t="s">
        <v>29</v>
      </c>
      <c r="O423" s="2">
        <v>90.11</v>
      </c>
      <c r="P423" s="2">
        <v>50.3</v>
      </c>
      <c r="Q423" s="2">
        <v>39.81</v>
      </c>
      <c r="R423">
        <v>1</v>
      </c>
      <c r="S423">
        <v>0</v>
      </c>
      <c r="T423">
        <v>4</v>
      </c>
      <c r="U423">
        <v>5</v>
      </c>
    </row>
    <row r="424" spans="1:21" ht="16.5" x14ac:dyDescent="0.3">
      <c r="A424" t="s">
        <v>500</v>
      </c>
      <c r="B424" s="1">
        <v>45369</v>
      </c>
      <c r="C424">
        <v>2024</v>
      </c>
      <c r="D424" t="s">
        <v>22</v>
      </c>
      <c r="E424" t="s">
        <v>402</v>
      </c>
      <c r="F424" t="s">
        <v>24</v>
      </c>
      <c r="G424" t="s">
        <v>51</v>
      </c>
      <c r="H424" t="s">
        <v>26</v>
      </c>
      <c r="I424" t="s">
        <v>36</v>
      </c>
      <c r="J424" t="s">
        <v>115</v>
      </c>
      <c r="K424">
        <v>1</v>
      </c>
      <c r="L424" s="2">
        <v>33.479999999999997</v>
      </c>
      <c r="M424" s="3">
        <v>0</v>
      </c>
      <c r="N424" t="s">
        <v>38</v>
      </c>
      <c r="O424" s="2">
        <v>33.479999999999997</v>
      </c>
      <c r="P424" s="2">
        <v>16.309999999999999</v>
      </c>
      <c r="Q424" s="2">
        <v>17.170000000000002</v>
      </c>
      <c r="R424">
        <v>1</v>
      </c>
      <c r="S424">
        <v>0</v>
      </c>
      <c r="T424">
        <v>3</v>
      </c>
      <c r="U424">
        <v>4</v>
      </c>
    </row>
    <row r="425" spans="1:21" ht="16.5" x14ac:dyDescent="0.3">
      <c r="A425" t="s">
        <v>501</v>
      </c>
      <c r="B425" s="1">
        <v>45369</v>
      </c>
      <c r="C425">
        <v>2024</v>
      </c>
      <c r="D425" t="s">
        <v>22</v>
      </c>
      <c r="E425" t="s">
        <v>402</v>
      </c>
      <c r="F425" t="s">
        <v>24</v>
      </c>
      <c r="G425" t="s">
        <v>49</v>
      </c>
      <c r="H425" t="s">
        <v>32</v>
      </c>
      <c r="I425" t="s">
        <v>36</v>
      </c>
      <c r="J425" t="s">
        <v>56</v>
      </c>
      <c r="K425">
        <v>2</v>
      </c>
      <c r="L425" s="2">
        <v>74.3</v>
      </c>
      <c r="M425" s="3">
        <v>0</v>
      </c>
      <c r="N425" t="s">
        <v>38</v>
      </c>
      <c r="O425" s="2">
        <v>148.6</v>
      </c>
      <c r="P425" s="2">
        <v>71.900000000000006</v>
      </c>
      <c r="Q425" s="2">
        <v>76.7</v>
      </c>
      <c r="R425">
        <v>1</v>
      </c>
      <c r="S425">
        <v>0</v>
      </c>
      <c r="T425">
        <v>3</v>
      </c>
      <c r="U425">
        <v>5</v>
      </c>
    </row>
    <row r="426" spans="1:21" ht="16.5" x14ac:dyDescent="0.3">
      <c r="A426" t="s">
        <v>502</v>
      </c>
      <c r="B426" s="1">
        <v>45369</v>
      </c>
      <c r="C426">
        <v>2024</v>
      </c>
      <c r="D426" t="s">
        <v>22</v>
      </c>
      <c r="E426" t="s">
        <v>402</v>
      </c>
      <c r="F426" t="s">
        <v>24</v>
      </c>
      <c r="G426" t="s">
        <v>25</v>
      </c>
      <c r="H426" t="s">
        <v>26</v>
      </c>
      <c r="I426" t="s">
        <v>27</v>
      </c>
      <c r="J426" t="s">
        <v>33</v>
      </c>
      <c r="K426">
        <v>1</v>
      </c>
      <c r="L426" s="2">
        <v>78.510000000000005</v>
      </c>
      <c r="M426" s="3">
        <v>0.1</v>
      </c>
      <c r="N426" t="s">
        <v>29</v>
      </c>
      <c r="O426" s="2">
        <v>70.66</v>
      </c>
      <c r="P426" s="2">
        <v>41.15</v>
      </c>
      <c r="Q426" s="2">
        <v>29.51</v>
      </c>
      <c r="R426">
        <v>1</v>
      </c>
      <c r="S426">
        <v>0</v>
      </c>
      <c r="T426">
        <v>3</v>
      </c>
      <c r="U426">
        <v>4</v>
      </c>
    </row>
    <row r="427" spans="1:21" ht="16.5" x14ac:dyDescent="0.3">
      <c r="A427" t="s">
        <v>503</v>
      </c>
      <c r="B427" s="1">
        <v>45369</v>
      </c>
      <c r="C427">
        <v>2024</v>
      </c>
      <c r="D427" t="s">
        <v>22</v>
      </c>
      <c r="E427" t="s">
        <v>402</v>
      </c>
      <c r="F427" t="s">
        <v>24</v>
      </c>
      <c r="G427" t="s">
        <v>49</v>
      </c>
      <c r="H427" t="s">
        <v>32</v>
      </c>
      <c r="I427" t="s">
        <v>27</v>
      </c>
      <c r="J427" t="s">
        <v>28</v>
      </c>
      <c r="K427">
        <v>2</v>
      </c>
      <c r="L427" s="2">
        <v>138.5</v>
      </c>
      <c r="M427" s="3">
        <v>0</v>
      </c>
      <c r="N427" t="s">
        <v>38</v>
      </c>
      <c r="O427" s="2">
        <v>277</v>
      </c>
      <c r="P427" s="2">
        <v>149.13</v>
      </c>
      <c r="Q427" s="2">
        <v>127.87</v>
      </c>
      <c r="R427">
        <v>1</v>
      </c>
      <c r="S427">
        <v>1</v>
      </c>
      <c r="T427">
        <v>6</v>
      </c>
      <c r="U427">
        <v>2</v>
      </c>
    </row>
    <row r="428" spans="1:21" ht="16.5" x14ac:dyDescent="0.3">
      <c r="A428" t="s">
        <v>504</v>
      </c>
      <c r="B428" s="1">
        <v>45369</v>
      </c>
      <c r="C428">
        <v>2024</v>
      </c>
      <c r="D428" t="s">
        <v>22</v>
      </c>
      <c r="E428" t="s">
        <v>402</v>
      </c>
      <c r="F428" t="s">
        <v>31</v>
      </c>
      <c r="G428" t="s">
        <v>65</v>
      </c>
      <c r="H428" t="s">
        <v>26</v>
      </c>
      <c r="I428" t="s">
        <v>27</v>
      </c>
      <c r="J428" t="s">
        <v>60</v>
      </c>
      <c r="K428">
        <v>2</v>
      </c>
      <c r="L428" s="2">
        <v>94.85</v>
      </c>
      <c r="M428" s="3">
        <v>0</v>
      </c>
      <c r="N428" t="s">
        <v>38</v>
      </c>
      <c r="O428" s="2">
        <v>189.7</v>
      </c>
      <c r="P428" s="2">
        <v>103.01</v>
      </c>
      <c r="Q428" s="2">
        <v>86.69</v>
      </c>
      <c r="R428">
        <v>1</v>
      </c>
      <c r="S428">
        <v>0</v>
      </c>
      <c r="T428">
        <v>9</v>
      </c>
      <c r="U428">
        <v>3</v>
      </c>
    </row>
    <row r="429" spans="1:21" ht="16.5" x14ac:dyDescent="0.3">
      <c r="A429" t="s">
        <v>505</v>
      </c>
      <c r="B429" s="1">
        <v>45369</v>
      </c>
      <c r="C429">
        <v>2024</v>
      </c>
      <c r="D429" t="s">
        <v>22</v>
      </c>
      <c r="E429" t="s">
        <v>402</v>
      </c>
      <c r="F429" t="s">
        <v>24</v>
      </c>
      <c r="G429" t="s">
        <v>25</v>
      </c>
      <c r="H429" t="s">
        <v>26</v>
      </c>
      <c r="I429" t="s">
        <v>36</v>
      </c>
      <c r="J429" t="s">
        <v>37</v>
      </c>
      <c r="K429">
        <v>2</v>
      </c>
      <c r="L429" s="2">
        <v>33.18</v>
      </c>
      <c r="M429" s="3">
        <v>0.15</v>
      </c>
      <c r="N429" t="s">
        <v>34</v>
      </c>
      <c r="O429" s="2">
        <v>56.41</v>
      </c>
      <c r="P429" s="2">
        <v>31.03</v>
      </c>
      <c r="Q429" s="2">
        <v>25.38</v>
      </c>
      <c r="R429">
        <v>1</v>
      </c>
      <c r="S429">
        <v>0</v>
      </c>
      <c r="T429">
        <v>6</v>
      </c>
      <c r="U429">
        <v>3</v>
      </c>
    </row>
    <row r="430" spans="1:21" ht="16.5" x14ac:dyDescent="0.3">
      <c r="A430" t="s">
        <v>506</v>
      </c>
      <c r="B430" s="1">
        <v>45369</v>
      </c>
      <c r="C430">
        <v>2024</v>
      </c>
      <c r="D430" t="s">
        <v>22</v>
      </c>
      <c r="E430" t="s">
        <v>402</v>
      </c>
      <c r="F430" t="s">
        <v>24</v>
      </c>
      <c r="G430" t="s">
        <v>25</v>
      </c>
      <c r="H430" t="s">
        <v>32</v>
      </c>
      <c r="I430" t="s">
        <v>27</v>
      </c>
      <c r="J430" t="s">
        <v>40</v>
      </c>
      <c r="K430">
        <v>1</v>
      </c>
      <c r="L430" s="2">
        <v>104.94</v>
      </c>
      <c r="M430" s="3">
        <v>0.05</v>
      </c>
      <c r="N430" t="s">
        <v>29</v>
      </c>
      <c r="O430" s="2">
        <v>99.69</v>
      </c>
      <c r="P430" s="2">
        <v>58.04</v>
      </c>
      <c r="Q430" s="2">
        <v>41.65</v>
      </c>
      <c r="R430">
        <v>1</v>
      </c>
      <c r="S430">
        <v>1</v>
      </c>
      <c r="T430">
        <v>4</v>
      </c>
      <c r="U430">
        <v>4</v>
      </c>
    </row>
    <row r="431" spans="1:21" ht="16.5" x14ac:dyDescent="0.3">
      <c r="A431" t="s">
        <v>507</v>
      </c>
      <c r="B431" s="1">
        <v>45370</v>
      </c>
      <c r="C431">
        <v>2024</v>
      </c>
      <c r="D431" t="s">
        <v>22</v>
      </c>
      <c r="E431" t="s">
        <v>402</v>
      </c>
      <c r="F431" t="s">
        <v>45</v>
      </c>
      <c r="G431" t="s">
        <v>46</v>
      </c>
      <c r="H431" t="s">
        <v>32</v>
      </c>
      <c r="I431" t="s">
        <v>27</v>
      </c>
      <c r="J431" t="s">
        <v>60</v>
      </c>
      <c r="K431">
        <v>1</v>
      </c>
      <c r="L431" s="2">
        <v>94.85</v>
      </c>
      <c r="M431" s="3">
        <v>0.05</v>
      </c>
      <c r="N431" t="s">
        <v>29</v>
      </c>
      <c r="O431" s="2">
        <v>90.11</v>
      </c>
      <c r="P431" s="2">
        <v>51.7</v>
      </c>
      <c r="Q431" s="2">
        <v>38.409999999999997</v>
      </c>
      <c r="R431">
        <v>1</v>
      </c>
      <c r="S431">
        <v>0</v>
      </c>
      <c r="T431">
        <v>7</v>
      </c>
      <c r="U431">
        <v>4</v>
      </c>
    </row>
    <row r="432" spans="1:21" ht="16.5" x14ac:dyDescent="0.3">
      <c r="A432" t="s">
        <v>508</v>
      </c>
      <c r="B432" s="1">
        <v>45370</v>
      </c>
      <c r="C432">
        <v>2024</v>
      </c>
      <c r="D432" t="s">
        <v>22</v>
      </c>
      <c r="E432" t="s">
        <v>402</v>
      </c>
      <c r="F432" t="s">
        <v>45</v>
      </c>
      <c r="G432" t="s">
        <v>25</v>
      </c>
      <c r="H432" t="s">
        <v>26</v>
      </c>
      <c r="I432" t="s">
        <v>36</v>
      </c>
      <c r="J432" t="s">
        <v>56</v>
      </c>
      <c r="K432">
        <v>1</v>
      </c>
      <c r="L432" s="2">
        <v>74.3</v>
      </c>
      <c r="M432" s="3">
        <v>0.05</v>
      </c>
      <c r="N432" t="s">
        <v>29</v>
      </c>
      <c r="O432" s="2">
        <v>70.58</v>
      </c>
      <c r="P432" s="2">
        <v>36.130000000000003</v>
      </c>
      <c r="Q432" s="2">
        <v>34.450000000000003</v>
      </c>
      <c r="R432">
        <v>1</v>
      </c>
      <c r="S432">
        <v>0</v>
      </c>
      <c r="T432">
        <v>5</v>
      </c>
      <c r="U432">
        <v>4</v>
      </c>
    </row>
    <row r="433" spans="1:21" ht="16.5" x14ac:dyDescent="0.3">
      <c r="A433" t="s">
        <v>509</v>
      </c>
      <c r="B433" s="1">
        <v>45370</v>
      </c>
      <c r="C433">
        <v>2024</v>
      </c>
      <c r="D433" t="s">
        <v>22</v>
      </c>
      <c r="E433" t="s">
        <v>402</v>
      </c>
      <c r="F433" t="s">
        <v>31</v>
      </c>
      <c r="G433" t="s">
        <v>46</v>
      </c>
      <c r="H433" t="s">
        <v>32</v>
      </c>
      <c r="I433" t="s">
        <v>70</v>
      </c>
      <c r="J433" t="s">
        <v>71</v>
      </c>
      <c r="K433">
        <v>1</v>
      </c>
      <c r="L433" s="2">
        <v>588.41</v>
      </c>
      <c r="M433" s="3">
        <v>0.15</v>
      </c>
      <c r="N433" t="s">
        <v>34</v>
      </c>
      <c r="O433" s="2">
        <v>500.15</v>
      </c>
      <c r="P433" s="2">
        <v>480.62</v>
      </c>
      <c r="Q433" s="2">
        <v>19.53</v>
      </c>
      <c r="R433">
        <v>1</v>
      </c>
      <c r="S433">
        <v>0</v>
      </c>
      <c r="T433">
        <v>5</v>
      </c>
      <c r="U433">
        <v>4</v>
      </c>
    </row>
    <row r="434" spans="1:21" ht="16.5" x14ac:dyDescent="0.3">
      <c r="A434" t="s">
        <v>510</v>
      </c>
      <c r="B434" s="1">
        <v>45370</v>
      </c>
      <c r="C434">
        <v>2024</v>
      </c>
      <c r="D434" t="s">
        <v>22</v>
      </c>
      <c r="E434" t="s">
        <v>402</v>
      </c>
      <c r="F434" t="s">
        <v>24</v>
      </c>
      <c r="G434" t="s">
        <v>25</v>
      </c>
      <c r="H434" t="s">
        <v>32</v>
      </c>
      <c r="I434" t="s">
        <v>42</v>
      </c>
      <c r="J434" t="s">
        <v>54</v>
      </c>
      <c r="K434">
        <v>1</v>
      </c>
      <c r="L434" s="2">
        <v>148.05000000000001</v>
      </c>
      <c r="M434" s="3">
        <v>0</v>
      </c>
      <c r="N434" t="s">
        <v>38</v>
      </c>
      <c r="O434" s="2">
        <v>148.05000000000001</v>
      </c>
      <c r="P434" s="2">
        <v>96.35</v>
      </c>
      <c r="Q434" s="2">
        <v>51.7</v>
      </c>
      <c r="R434">
        <v>1</v>
      </c>
      <c r="S434">
        <v>1</v>
      </c>
      <c r="T434">
        <v>5</v>
      </c>
      <c r="U434">
        <v>3</v>
      </c>
    </row>
    <row r="435" spans="1:21" ht="16.5" x14ac:dyDescent="0.3">
      <c r="A435" t="s">
        <v>511</v>
      </c>
      <c r="B435" s="1">
        <v>45370</v>
      </c>
      <c r="C435">
        <v>2024</v>
      </c>
      <c r="D435" t="s">
        <v>22</v>
      </c>
      <c r="E435" t="s">
        <v>402</v>
      </c>
      <c r="F435" t="s">
        <v>24</v>
      </c>
      <c r="G435" t="s">
        <v>51</v>
      </c>
      <c r="H435" t="s">
        <v>26</v>
      </c>
      <c r="I435" t="s">
        <v>42</v>
      </c>
      <c r="J435" t="s">
        <v>76</v>
      </c>
      <c r="K435">
        <v>1</v>
      </c>
      <c r="L435" s="2">
        <v>90.75</v>
      </c>
      <c r="M435" s="3">
        <v>0.15</v>
      </c>
      <c r="N435" t="s">
        <v>34</v>
      </c>
      <c r="O435" s="2">
        <v>77.14</v>
      </c>
      <c r="P435" s="2">
        <v>57.19</v>
      </c>
      <c r="Q435" s="2">
        <v>19.95</v>
      </c>
      <c r="R435">
        <v>1</v>
      </c>
      <c r="S435">
        <v>0</v>
      </c>
      <c r="T435">
        <v>2</v>
      </c>
      <c r="U435">
        <v>5</v>
      </c>
    </row>
    <row r="436" spans="1:21" ht="16.5" x14ac:dyDescent="0.3">
      <c r="A436" t="s">
        <v>512</v>
      </c>
      <c r="B436" s="1">
        <v>45370</v>
      </c>
      <c r="C436">
        <v>2024</v>
      </c>
      <c r="D436" t="s">
        <v>22</v>
      </c>
      <c r="E436" t="s">
        <v>402</v>
      </c>
      <c r="F436" t="s">
        <v>24</v>
      </c>
      <c r="G436" t="s">
        <v>46</v>
      </c>
      <c r="H436" t="s">
        <v>26</v>
      </c>
      <c r="I436" t="s">
        <v>42</v>
      </c>
      <c r="J436" t="s">
        <v>89</v>
      </c>
      <c r="K436">
        <v>2</v>
      </c>
      <c r="L436" s="2">
        <v>68.349999999999994</v>
      </c>
      <c r="M436" s="3">
        <v>0</v>
      </c>
      <c r="N436" t="s">
        <v>38</v>
      </c>
      <c r="O436" s="2">
        <v>136.69999999999999</v>
      </c>
      <c r="P436" s="2">
        <v>87.23</v>
      </c>
      <c r="Q436" s="2">
        <v>49.47</v>
      </c>
      <c r="R436">
        <v>1</v>
      </c>
      <c r="S436">
        <v>0</v>
      </c>
      <c r="T436">
        <v>6</v>
      </c>
      <c r="U436">
        <v>3</v>
      </c>
    </row>
    <row r="437" spans="1:21" ht="16.5" x14ac:dyDescent="0.3">
      <c r="A437" t="s">
        <v>513</v>
      </c>
      <c r="B437" s="1">
        <v>45370</v>
      </c>
      <c r="C437">
        <v>2024</v>
      </c>
      <c r="D437" t="s">
        <v>22</v>
      </c>
      <c r="E437" t="s">
        <v>402</v>
      </c>
      <c r="F437" t="s">
        <v>31</v>
      </c>
      <c r="G437" t="s">
        <v>49</v>
      </c>
      <c r="H437" t="s">
        <v>32</v>
      </c>
      <c r="I437" t="s">
        <v>67</v>
      </c>
      <c r="J437" t="s">
        <v>174</v>
      </c>
      <c r="K437">
        <v>1</v>
      </c>
      <c r="L437" s="2">
        <v>137.05000000000001</v>
      </c>
      <c r="M437" s="3">
        <v>0</v>
      </c>
      <c r="N437" t="s">
        <v>38</v>
      </c>
      <c r="O437" s="2">
        <v>137.05000000000001</v>
      </c>
      <c r="P437" s="2">
        <v>92.62</v>
      </c>
      <c r="Q437" s="2">
        <v>44.43</v>
      </c>
      <c r="R437">
        <v>1</v>
      </c>
      <c r="S437">
        <v>0</v>
      </c>
      <c r="T437">
        <v>4</v>
      </c>
      <c r="U437">
        <v>5</v>
      </c>
    </row>
    <row r="438" spans="1:21" ht="16.5" x14ac:dyDescent="0.3">
      <c r="A438" t="s">
        <v>514</v>
      </c>
      <c r="B438" s="1">
        <v>45370</v>
      </c>
      <c r="C438">
        <v>2024</v>
      </c>
      <c r="D438" t="s">
        <v>22</v>
      </c>
      <c r="E438" t="s">
        <v>402</v>
      </c>
      <c r="F438" t="s">
        <v>45</v>
      </c>
      <c r="G438" t="s">
        <v>49</v>
      </c>
      <c r="H438" t="s">
        <v>32</v>
      </c>
      <c r="I438" t="s">
        <v>70</v>
      </c>
      <c r="J438" t="s">
        <v>71</v>
      </c>
      <c r="K438">
        <v>1</v>
      </c>
      <c r="L438" s="2">
        <v>588.41</v>
      </c>
      <c r="M438" s="3">
        <v>0.1</v>
      </c>
      <c r="N438" t="s">
        <v>29</v>
      </c>
      <c r="O438" s="2">
        <v>529.57000000000005</v>
      </c>
      <c r="P438" s="2">
        <v>475.64</v>
      </c>
      <c r="Q438" s="2">
        <v>53.93</v>
      </c>
      <c r="R438">
        <v>1</v>
      </c>
      <c r="S438">
        <v>0</v>
      </c>
      <c r="T438">
        <v>5</v>
      </c>
      <c r="U438">
        <v>4</v>
      </c>
    </row>
    <row r="439" spans="1:21" ht="16.5" x14ac:dyDescent="0.3">
      <c r="A439" t="s">
        <v>515</v>
      </c>
      <c r="B439" s="1">
        <v>45370</v>
      </c>
      <c r="C439">
        <v>2024</v>
      </c>
      <c r="D439" t="s">
        <v>22</v>
      </c>
      <c r="E439" t="s">
        <v>402</v>
      </c>
      <c r="F439" t="s">
        <v>31</v>
      </c>
      <c r="G439" t="s">
        <v>46</v>
      </c>
      <c r="H439" t="s">
        <v>26</v>
      </c>
      <c r="I439" t="s">
        <v>42</v>
      </c>
      <c r="J439" t="s">
        <v>43</v>
      </c>
      <c r="K439">
        <v>2</v>
      </c>
      <c r="L439" s="2">
        <v>154.66</v>
      </c>
      <c r="M439" s="3">
        <v>0</v>
      </c>
      <c r="N439" t="s">
        <v>38</v>
      </c>
      <c r="O439" s="2">
        <v>309.32</v>
      </c>
      <c r="P439" s="2">
        <v>200.66</v>
      </c>
      <c r="Q439" s="2">
        <v>108.66</v>
      </c>
      <c r="R439">
        <v>1</v>
      </c>
      <c r="S439">
        <v>0</v>
      </c>
      <c r="T439">
        <v>8</v>
      </c>
      <c r="U439">
        <v>4</v>
      </c>
    </row>
    <row r="440" spans="1:21" ht="16.5" x14ac:dyDescent="0.3">
      <c r="A440" t="s">
        <v>516</v>
      </c>
      <c r="B440" s="1">
        <v>45371</v>
      </c>
      <c r="C440">
        <v>2024</v>
      </c>
      <c r="D440" t="s">
        <v>22</v>
      </c>
      <c r="E440" t="s">
        <v>402</v>
      </c>
      <c r="F440" t="s">
        <v>24</v>
      </c>
      <c r="G440" t="s">
        <v>46</v>
      </c>
      <c r="H440" t="s">
        <v>32</v>
      </c>
      <c r="I440" t="s">
        <v>27</v>
      </c>
      <c r="J440" t="s">
        <v>28</v>
      </c>
      <c r="K440">
        <v>1</v>
      </c>
      <c r="L440" s="2">
        <v>138.5</v>
      </c>
      <c r="M440" s="3">
        <v>0</v>
      </c>
      <c r="N440" t="s">
        <v>38</v>
      </c>
      <c r="O440" s="2">
        <v>138.5</v>
      </c>
      <c r="P440" s="2">
        <v>74.430000000000007</v>
      </c>
      <c r="Q440" s="2">
        <v>64.069999999999993</v>
      </c>
      <c r="R440">
        <v>1</v>
      </c>
      <c r="S440">
        <v>1</v>
      </c>
      <c r="T440">
        <v>6</v>
      </c>
      <c r="U440">
        <v>3</v>
      </c>
    </row>
    <row r="441" spans="1:21" ht="16.5" x14ac:dyDescent="0.3">
      <c r="A441" t="s">
        <v>517</v>
      </c>
      <c r="B441" s="1">
        <v>45371</v>
      </c>
      <c r="C441">
        <v>2024</v>
      </c>
      <c r="D441" t="s">
        <v>22</v>
      </c>
      <c r="E441" t="s">
        <v>402</v>
      </c>
      <c r="F441" t="s">
        <v>31</v>
      </c>
      <c r="G441" t="s">
        <v>49</v>
      </c>
      <c r="H441" t="s">
        <v>32</v>
      </c>
      <c r="I441" t="s">
        <v>67</v>
      </c>
      <c r="J441" t="s">
        <v>78</v>
      </c>
      <c r="K441">
        <v>2</v>
      </c>
      <c r="L441" s="2">
        <v>85.42</v>
      </c>
      <c r="M441" s="3">
        <v>0.1</v>
      </c>
      <c r="N441" t="s">
        <v>29</v>
      </c>
      <c r="O441" s="2">
        <v>153.76</v>
      </c>
      <c r="P441" s="2">
        <v>115.48</v>
      </c>
      <c r="Q441" s="2">
        <v>38.28</v>
      </c>
      <c r="R441">
        <v>1</v>
      </c>
      <c r="S441">
        <v>0</v>
      </c>
      <c r="T441">
        <v>4</v>
      </c>
      <c r="U441">
        <v>5</v>
      </c>
    </row>
    <row r="442" spans="1:21" ht="16.5" x14ac:dyDescent="0.3">
      <c r="A442" t="s">
        <v>518</v>
      </c>
      <c r="B442" s="1">
        <v>45371</v>
      </c>
      <c r="C442">
        <v>2024</v>
      </c>
      <c r="D442" t="s">
        <v>22</v>
      </c>
      <c r="E442" t="s">
        <v>402</v>
      </c>
      <c r="F442" t="s">
        <v>45</v>
      </c>
      <c r="G442" t="s">
        <v>25</v>
      </c>
      <c r="H442" t="s">
        <v>26</v>
      </c>
      <c r="I442" t="s">
        <v>42</v>
      </c>
      <c r="J442" t="s">
        <v>58</v>
      </c>
      <c r="K442">
        <v>3</v>
      </c>
      <c r="L442" s="2">
        <v>233.81</v>
      </c>
      <c r="M442" s="3">
        <v>0.25</v>
      </c>
      <c r="N442" t="s">
        <v>62</v>
      </c>
      <c r="O442" s="2">
        <v>526.07000000000005</v>
      </c>
      <c r="P442" s="2">
        <v>463.27</v>
      </c>
      <c r="Q442" s="2">
        <v>62.8</v>
      </c>
      <c r="R442">
        <v>1</v>
      </c>
      <c r="S442">
        <v>0</v>
      </c>
      <c r="T442">
        <v>5</v>
      </c>
      <c r="U442">
        <v>5</v>
      </c>
    </row>
    <row r="443" spans="1:21" ht="16.5" x14ac:dyDescent="0.3">
      <c r="A443" t="s">
        <v>519</v>
      </c>
      <c r="B443" s="1">
        <v>45371</v>
      </c>
      <c r="C443">
        <v>2024</v>
      </c>
      <c r="D443" t="s">
        <v>22</v>
      </c>
      <c r="E443" t="s">
        <v>402</v>
      </c>
      <c r="F443" t="s">
        <v>24</v>
      </c>
      <c r="G443" t="s">
        <v>25</v>
      </c>
      <c r="H443" t="s">
        <v>26</v>
      </c>
      <c r="I443" t="s">
        <v>27</v>
      </c>
      <c r="J443" t="s">
        <v>110</v>
      </c>
      <c r="K443">
        <v>1</v>
      </c>
      <c r="L443" s="2">
        <v>19.41</v>
      </c>
      <c r="M443" s="3">
        <v>0.1</v>
      </c>
      <c r="N443" t="s">
        <v>29</v>
      </c>
      <c r="O443" s="2">
        <v>17.47</v>
      </c>
      <c r="P443" s="2">
        <v>10.75</v>
      </c>
      <c r="Q443" s="2">
        <v>6.72</v>
      </c>
      <c r="R443">
        <v>1</v>
      </c>
      <c r="S443">
        <v>0</v>
      </c>
      <c r="T443">
        <v>4</v>
      </c>
      <c r="U443">
        <v>4</v>
      </c>
    </row>
    <row r="444" spans="1:21" ht="16.5" x14ac:dyDescent="0.3">
      <c r="A444" t="s">
        <v>520</v>
      </c>
      <c r="B444" s="1">
        <v>45371</v>
      </c>
      <c r="C444">
        <v>2024</v>
      </c>
      <c r="D444" t="s">
        <v>22</v>
      </c>
      <c r="E444" t="s">
        <v>402</v>
      </c>
      <c r="F444" t="s">
        <v>24</v>
      </c>
      <c r="G444" t="s">
        <v>46</v>
      </c>
      <c r="H444" t="s">
        <v>26</v>
      </c>
      <c r="I444" t="s">
        <v>42</v>
      </c>
      <c r="J444" t="s">
        <v>89</v>
      </c>
      <c r="K444">
        <v>1</v>
      </c>
      <c r="L444" s="2">
        <v>68.349999999999994</v>
      </c>
      <c r="M444" s="3">
        <v>0.15</v>
      </c>
      <c r="N444" t="s">
        <v>34</v>
      </c>
      <c r="O444" s="2">
        <v>58.1</v>
      </c>
      <c r="P444" s="2">
        <v>45.78</v>
      </c>
      <c r="Q444" s="2">
        <v>12.32</v>
      </c>
      <c r="R444">
        <v>1</v>
      </c>
      <c r="S444">
        <v>0</v>
      </c>
      <c r="T444">
        <v>6</v>
      </c>
      <c r="U444">
        <v>3</v>
      </c>
    </row>
    <row r="445" spans="1:21" ht="16.5" x14ac:dyDescent="0.3">
      <c r="A445" t="s">
        <v>521</v>
      </c>
      <c r="B445" s="1">
        <v>45372</v>
      </c>
      <c r="C445">
        <v>2024</v>
      </c>
      <c r="D445" t="s">
        <v>22</v>
      </c>
      <c r="E445" t="s">
        <v>402</v>
      </c>
      <c r="F445" t="s">
        <v>31</v>
      </c>
      <c r="G445" t="s">
        <v>25</v>
      </c>
      <c r="H445" t="s">
        <v>26</v>
      </c>
      <c r="I445" t="s">
        <v>70</v>
      </c>
      <c r="J445" t="s">
        <v>82</v>
      </c>
      <c r="K445">
        <v>1</v>
      </c>
      <c r="L445" s="2">
        <v>508.8</v>
      </c>
      <c r="M445" s="3">
        <v>0.2</v>
      </c>
      <c r="N445" t="s">
        <v>34</v>
      </c>
      <c r="O445" s="2">
        <v>407.04</v>
      </c>
      <c r="P445" s="2">
        <v>379.98</v>
      </c>
      <c r="Q445" s="2">
        <v>27.06</v>
      </c>
      <c r="R445">
        <v>1</v>
      </c>
      <c r="S445">
        <v>0</v>
      </c>
      <c r="T445">
        <v>4</v>
      </c>
      <c r="U445">
        <v>3</v>
      </c>
    </row>
    <row r="446" spans="1:21" ht="16.5" x14ac:dyDescent="0.3">
      <c r="A446" t="s">
        <v>522</v>
      </c>
      <c r="B446" s="1">
        <v>45372</v>
      </c>
      <c r="C446">
        <v>2024</v>
      </c>
      <c r="D446" t="s">
        <v>22</v>
      </c>
      <c r="E446" t="s">
        <v>402</v>
      </c>
      <c r="F446" t="s">
        <v>24</v>
      </c>
      <c r="G446" t="s">
        <v>51</v>
      </c>
      <c r="H446" t="s">
        <v>32</v>
      </c>
      <c r="I446" t="s">
        <v>27</v>
      </c>
      <c r="J446" t="s">
        <v>60</v>
      </c>
      <c r="K446">
        <v>2</v>
      </c>
      <c r="L446" s="2">
        <v>94.85</v>
      </c>
      <c r="M446" s="3">
        <v>0.15</v>
      </c>
      <c r="N446" t="s">
        <v>34</v>
      </c>
      <c r="O446" s="2">
        <v>161.24</v>
      </c>
      <c r="P446" s="2">
        <v>106.91</v>
      </c>
      <c r="Q446" s="2">
        <v>54.33</v>
      </c>
      <c r="R446">
        <v>1</v>
      </c>
      <c r="S446">
        <v>0</v>
      </c>
      <c r="T446">
        <v>5</v>
      </c>
      <c r="U446">
        <v>4</v>
      </c>
    </row>
    <row r="447" spans="1:21" ht="16.5" x14ac:dyDescent="0.3">
      <c r="A447" t="s">
        <v>523</v>
      </c>
      <c r="B447" s="1">
        <v>45372</v>
      </c>
      <c r="C447">
        <v>2024</v>
      </c>
      <c r="D447" t="s">
        <v>22</v>
      </c>
      <c r="E447" t="s">
        <v>402</v>
      </c>
      <c r="F447" t="s">
        <v>45</v>
      </c>
      <c r="G447" t="s">
        <v>49</v>
      </c>
      <c r="H447" t="s">
        <v>26</v>
      </c>
      <c r="I447" t="s">
        <v>67</v>
      </c>
      <c r="J447" t="s">
        <v>78</v>
      </c>
      <c r="K447">
        <v>2</v>
      </c>
      <c r="L447" s="2">
        <v>85.42</v>
      </c>
      <c r="M447" s="3">
        <v>0.05</v>
      </c>
      <c r="N447" t="s">
        <v>29</v>
      </c>
      <c r="O447" s="2">
        <v>162.30000000000001</v>
      </c>
      <c r="P447" s="2">
        <v>118.77</v>
      </c>
      <c r="Q447" s="2">
        <v>43.53</v>
      </c>
      <c r="R447">
        <v>1</v>
      </c>
      <c r="S447">
        <v>0</v>
      </c>
      <c r="T447">
        <v>4</v>
      </c>
      <c r="U447">
        <v>5</v>
      </c>
    </row>
    <row r="448" spans="1:21" ht="16.5" x14ac:dyDescent="0.3">
      <c r="A448" t="s">
        <v>524</v>
      </c>
      <c r="B448" s="1">
        <v>45372</v>
      </c>
      <c r="C448">
        <v>2024</v>
      </c>
      <c r="D448" t="s">
        <v>22</v>
      </c>
      <c r="E448" t="s">
        <v>402</v>
      </c>
      <c r="F448" t="s">
        <v>31</v>
      </c>
      <c r="G448" t="s">
        <v>46</v>
      </c>
      <c r="H448" t="s">
        <v>26</v>
      </c>
      <c r="I448" t="s">
        <v>70</v>
      </c>
      <c r="J448" t="s">
        <v>252</v>
      </c>
      <c r="K448">
        <v>1</v>
      </c>
      <c r="L448" s="2">
        <v>216.08</v>
      </c>
      <c r="M448" s="3">
        <v>0</v>
      </c>
      <c r="N448" t="s">
        <v>38</v>
      </c>
      <c r="O448" s="2">
        <v>216.08</v>
      </c>
      <c r="P448" s="2">
        <v>173.09</v>
      </c>
      <c r="Q448" s="2">
        <v>42.99</v>
      </c>
      <c r="R448">
        <v>1</v>
      </c>
      <c r="S448">
        <v>0</v>
      </c>
      <c r="T448">
        <v>7</v>
      </c>
      <c r="U448">
        <v>5</v>
      </c>
    </row>
    <row r="449" spans="1:21" ht="16.5" x14ac:dyDescent="0.3">
      <c r="A449" t="s">
        <v>525</v>
      </c>
      <c r="B449" s="1">
        <v>45372</v>
      </c>
      <c r="C449">
        <v>2024</v>
      </c>
      <c r="D449" t="s">
        <v>22</v>
      </c>
      <c r="E449" t="s">
        <v>402</v>
      </c>
      <c r="F449" t="s">
        <v>45</v>
      </c>
      <c r="G449" t="s">
        <v>25</v>
      </c>
      <c r="H449" t="s">
        <v>26</v>
      </c>
      <c r="I449" t="s">
        <v>67</v>
      </c>
      <c r="J449" t="s">
        <v>93</v>
      </c>
      <c r="K449">
        <v>1</v>
      </c>
      <c r="L449" s="2">
        <v>198.42</v>
      </c>
      <c r="M449" s="3">
        <v>0</v>
      </c>
      <c r="N449" t="s">
        <v>38</v>
      </c>
      <c r="O449" s="2">
        <v>198.42</v>
      </c>
      <c r="P449" s="2">
        <v>134.81</v>
      </c>
      <c r="Q449" s="2">
        <v>63.61</v>
      </c>
      <c r="R449">
        <v>1</v>
      </c>
      <c r="S449">
        <v>0</v>
      </c>
      <c r="T449">
        <v>4</v>
      </c>
      <c r="U449">
        <v>4</v>
      </c>
    </row>
    <row r="450" spans="1:21" ht="16.5" x14ac:dyDescent="0.3">
      <c r="A450" t="s">
        <v>526</v>
      </c>
      <c r="B450" s="1">
        <v>45373</v>
      </c>
      <c r="C450">
        <v>2024</v>
      </c>
      <c r="D450" t="s">
        <v>22</v>
      </c>
      <c r="E450" t="s">
        <v>402</v>
      </c>
      <c r="F450" t="s">
        <v>24</v>
      </c>
      <c r="G450" t="s">
        <v>51</v>
      </c>
      <c r="H450" t="s">
        <v>26</v>
      </c>
      <c r="I450" t="s">
        <v>84</v>
      </c>
      <c r="J450" t="s">
        <v>132</v>
      </c>
      <c r="K450">
        <v>2</v>
      </c>
      <c r="L450" s="2">
        <v>48.86</v>
      </c>
      <c r="M450" s="3">
        <v>0.05</v>
      </c>
      <c r="N450" t="s">
        <v>29</v>
      </c>
      <c r="O450" s="2">
        <v>92.83</v>
      </c>
      <c r="P450" s="2">
        <v>73.13</v>
      </c>
      <c r="Q450" s="2">
        <v>19.7</v>
      </c>
      <c r="R450">
        <v>1</v>
      </c>
      <c r="S450">
        <v>0</v>
      </c>
      <c r="T450">
        <v>3</v>
      </c>
      <c r="U450">
        <v>5</v>
      </c>
    </row>
    <row r="451" spans="1:21" ht="16.5" x14ac:dyDescent="0.3">
      <c r="A451" t="s">
        <v>527</v>
      </c>
      <c r="B451" s="1">
        <v>45373</v>
      </c>
      <c r="C451">
        <v>2024</v>
      </c>
      <c r="D451" t="s">
        <v>22</v>
      </c>
      <c r="E451" t="s">
        <v>402</v>
      </c>
      <c r="F451" t="s">
        <v>31</v>
      </c>
      <c r="G451" t="s">
        <v>65</v>
      </c>
      <c r="H451" t="s">
        <v>32</v>
      </c>
      <c r="I451" t="s">
        <v>70</v>
      </c>
      <c r="J451" t="s">
        <v>252</v>
      </c>
      <c r="K451">
        <v>1</v>
      </c>
      <c r="L451" s="2">
        <v>216.08</v>
      </c>
      <c r="M451" s="3">
        <v>0.2</v>
      </c>
      <c r="N451" t="s">
        <v>34</v>
      </c>
      <c r="O451" s="2">
        <v>172.86</v>
      </c>
      <c r="P451" s="2">
        <v>168.89</v>
      </c>
      <c r="Q451" s="2">
        <v>3.97</v>
      </c>
      <c r="R451">
        <v>1</v>
      </c>
      <c r="S451">
        <v>0</v>
      </c>
      <c r="T451">
        <v>8</v>
      </c>
      <c r="U451">
        <v>3</v>
      </c>
    </row>
    <row r="452" spans="1:21" ht="16.5" x14ac:dyDescent="0.3">
      <c r="A452" t="s">
        <v>528</v>
      </c>
      <c r="B452" s="1">
        <v>45373</v>
      </c>
      <c r="C452">
        <v>2024</v>
      </c>
      <c r="D452" t="s">
        <v>22</v>
      </c>
      <c r="E452" t="s">
        <v>402</v>
      </c>
      <c r="F452" t="s">
        <v>45</v>
      </c>
      <c r="G452" t="s">
        <v>25</v>
      </c>
      <c r="H452" t="s">
        <v>32</v>
      </c>
      <c r="I452" t="s">
        <v>42</v>
      </c>
      <c r="J452" t="s">
        <v>98</v>
      </c>
      <c r="K452">
        <v>2</v>
      </c>
      <c r="L452" s="2">
        <v>117.63</v>
      </c>
      <c r="M452" s="3">
        <v>0.1</v>
      </c>
      <c r="N452" t="s">
        <v>29</v>
      </c>
      <c r="O452" s="2">
        <v>211.73</v>
      </c>
      <c r="P452" s="2">
        <v>153.21</v>
      </c>
      <c r="Q452" s="2">
        <v>58.52</v>
      </c>
      <c r="R452">
        <v>1</v>
      </c>
      <c r="S452">
        <v>0</v>
      </c>
      <c r="T452">
        <v>4</v>
      </c>
      <c r="U452">
        <v>5</v>
      </c>
    </row>
    <row r="453" spans="1:21" ht="16.5" x14ac:dyDescent="0.3">
      <c r="A453" t="s">
        <v>529</v>
      </c>
      <c r="B453" s="1">
        <v>45374</v>
      </c>
      <c r="C453">
        <v>2024</v>
      </c>
      <c r="D453" t="s">
        <v>22</v>
      </c>
      <c r="E453" t="s">
        <v>402</v>
      </c>
      <c r="F453" t="s">
        <v>31</v>
      </c>
      <c r="G453" t="s">
        <v>51</v>
      </c>
      <c r="H453" t="s">
        <v>32</v>
      </c>
      <c r="I453" t="s">
        <v>70</v>
      </c>
      <c r="J453" t="s">
        <v>87</v>
      </c>
      <c r="K453">
        <v>4</v>
      </c>
      <c r="L453" s="2">
        <v>490.3</v>
      </c>
      <c r="M453" s="3">
        <v>0.05</v>
      </c>
      <c r="N453" t="s">
        <v>29</v>
      </c>
      <c r="O453" s="2">
        <v>1863.14</v>
      </c>
      <c r="P453" s="2">
        <v>1598.47</v>
      </c>
      <c r="Q453" s="2">
        <v>264.67</v>
      </c>
      <c r="R453">
        <v>1</v>
      </c>
      <c r="S453">
        <v>0</v>
      </c>
      <c r="T453">
        <v>3</v>
      </c>
      <c r="U453">
        <v>5</v>
      </c>
    </row>
    <row r="454" spans="1:21" ht="16.5" x14ac:dyDescent="0.3">
      <c r="A454" t="s">
        <v>530</v>
      </c>
      <c r="B454" s="1">
        <v>45374</v>
      </c>
      <c r="C454">
        <v>2024</v>
      </c>
      <c r="D454" t="s">
        <v>22</v>
      </c>
      <c r="E454" t="s">
        <v>402</v>
      </c>
      <c r="F454" t="s">
        <v>24</v>
      </c>
      <c r="G454" t="s">
        <v>25</v>
      </c>
      <c r="H454" t="s">
        <v>32</v>
      </c>
      <c r="I454" t="s">
        <v>27</v>
      </c>
      <c r="J454" t="s">
        <v>60</v>
      </c>
      <c r="K454">
        <v>2</v>
      </c>
      <c r="L454" s="2">
        <v>94.85</v>
      </c>
      <c r="M454" s="3">
        <v>0.2</v>
      </c>
      <c r="N454" t="s">
        <v>34</v>
      </c>
      <c r="O454" s="2">
        <v>151.76</v>
      </c>
      <c r="P454" s="2">
        <v>105.58</v>
      </c>
      <c r="Q454" s="2">
        <v>46.18</v>
      </c>
      <c r="R454">
        <v>1</v>
      </c>
      <c r="S454">
        <v>0</v>
      </c>
      <c r="T454">
        <v>4</v>
      </c>
      <c r="U454">
        <v>4</v>
      </c>
    </row>
    <row r="455" spans="1:21" ht="16.5" x14ac:dyDescent="0.3">
      <c r="A455" t="s">
        <v>531</v>
      </c>
      <c r="B455" s="1">
        <v>45374</v>
      </c>
      <c r="C455">
        <v>2024</v>
      </c>
      <c r="D455" t="s">
        <v>22</v>
      </c>
      <c r="E455" t="s">
        <v>402</v>
      </c>
      <c r="F455" t="s">
        <v>31</v>
      </c>
      <c r="G455" t="s">
        <v>51</v>
      </c>
      <c r="H455" t="s">
        <v>26</v>
      </c>
      <c r="I455" t="s">
        <v>67</v>
      </c>
      <c r="J455" t="s">
        <v>174</v>
      </c>
      <c r="K455">
        <v>2</v>
      </c>
      <c r="L455" s="2">
        <v>137.05000000000001</v>
      </c>
      <c r="M455" s="3">
        <v>0.1</v>
      </c>
      <c r="N455" t="s">
        <v>29</v>
      </c>
      <c r="O455" s="2">
        <v>246.69</v>
      </c>
      <c r="P455" s="2">
        <v>172.41</v>
      </c>
      <c r="Q455" s="2">
        <v>74.28</v>
      </c>
      <c r="R455">
        <v>1</v>
      </c>
      <c r="S455">
        <v>0</v>
      </c>
      <c r="T455">
        <v>3</v>
      </c>
      <c r="U455">
        <v>5</v>
      </c>
    </row>
    <row r="456" spans="1:21" ht="16.5" x14ac:dyDescent="0.3">
      <c r="A456" t="s">
        <v>532</v>
      </c>
      <c r="B456" s="1">
        <v>45374</v>
      </c>
      <c r="C456">
        <v>2024</v>
      </c>
      <c r="D456" t="s">
        <v>22</v>
      </c>
      <c r="E456" t="s">
        <v>402</v>
      </c>
      <c r="F456" t="s">
        <v>24</v>
      </c>
      <c r="G456" t="s">
        <v>51</v>
      </c>
      <c r="H456" t="s">
        <v>32</v>
      </c>
      <c r="I456" t="s">
        <v>67</v>
      </c>
      <c r="J456" t="s">
        <v>78</v>
      </c>
      <c r="K456">
        <v>1</v>
      </c>
      <c r="L456" s="2">
        <v>85.42</v>
      </c>
      <c r="M456" s="3">
        <v>0.05</v>
      </c>
      <c r="N456" t="s">
        <v>29</v>
      </c>
      <c r="O456" s="2">
        <v>81.150000000000006</v>
      </c>
      <c r="P456" s="2">
        <v>57.64</v>
      </c>
      <c r="Q456" s="2">
        <v>23.51</v>
      </c>
      <c r="R456">
        <v>1</v>
      </c>
      <c r="S456">
        <v>0</v>
      </c>
      <c r="T456">
        <v>4</v>
      </c>
      <c r="U456">
        <v>4</v>
      </c>
    </row>
    <row r="457" spans="1:21" ht="16.5" x14ac:dyDescent="0.3">
      <c r="A457" t="s">
        <v>533</v>
      </c>
      <c r="B457" s="1">
        <v>45374</v>
      </c>
      <c r="C457">
        <v>2024</v>
      </c>
      <c r="D457" t="s">
        <v>22</v>
      </c>
      <c r="E457" t="s">
        <v>402</v>
      </c>
      <c r="F457" t="s">
        <v>24</v>
      </c>
      <c r="G457" t="s">
        <v>49</v>
      </c>
      <c r="H457" t="s">
        <v>32</v>
      </c>
      <c r="I457" t="s">
        <v>67</v>
      </c>
      <c r="J457" t="s">
        <v>78</v>
      </c>
      <c r="K457">
        <v>1</v>
      </c>
      <c r="L457" s="2">
        <v>85.42</v>
      </c>
      <c r="M457" s="3">
        <v>0.1</v>
      </c>
      <c r="N457" t="s">
        <v>29</v>
      </c>
      <c r="O457" s="2">
        <v>76.88</v>
      </c>
      <c r="P457" s="2">
        <v>59.02</v>
      </c>
      <c r="Q457" s="2">
        <v>17.86</v>
      </c>
      <c r="R457">
        <v>1</v>
      </c>
      <c r="S457">
        <v>1</v>
      </c>
      <c r="T457">
        <v>3</v>
      </c>
      <c r="U457">
        <v>4</v>
      </c>
    </row>
    <row r="458" spans="1:21" ht="16.5" x14ac:dyDescent="0.3">
      <c r="A458" t="s">
        <v>534</v>
      </c>
      <c r="B458" s="1">
        <v>45374</v>
      </c>
      <c r="C458">
        <v>2024</v>
      </c>
      <c r="D458" t="s">
        <v>22</v>
      </c>
      <c r="E458" t="s">
        <v>402</v>
      </c>
      <c r="F458" t="s">
        <v>24</v>
      </c>
      <c r="G458" t="s">
        <v>25</v>
      </c>
      <c r="H458" t="s">
        <v>32</v>
      </c>
      <c r="I458" t="s">
        <v>36</v>
      </c>
      <c r="J458" t="s">
        <v>115</v>
      </c>
      <c r="K458">
        <v>1</v>
      </c>
      <c r="L458" s="2">
        <v>33.479999999999997</v>
      </c>
      <c r="M458" s="3">
        <v>0</v>
      </c>
      <c r="N458" t="s">
        <v>38</v>
      </c>
      <c r="O458" s="2">
        <v>33.479999999999997</v>
      </c>
      <c r="P458" s="2">
        <v>15.79</v>
      </c>
      <c r="Q458" s="2">
        <v>17.690000000000001</v>
      </c>
      <c r="R458">
        <v>1</v>
      </c>
      <c r="S458">
        <v>0</v>
      </c>
      <c r="T458">
        <v>4</v>
      </c>
      <c r="U458">
        <v>3</v>
      </c>
    </row>
    <row r="459" spans="1:21" ht="16.5" x14ac:dyDescent="0.3">
      <c r="A459" t="s">
        <v>535</v>
      </c>
      <c r="B459" s="1">
        <v>45374</v>
      </c>
      <c r="C459">
        <v>2024</v>
      </c>
      <c r="D459" t="s">
        <v>22</v>
      </c>
      <c r="E459" t="s">
        <v>402</v>
      </c>
      <c r="F459" t="s">
        <v>24</v>
      </c>
      <c r="G459" t="s">
        <v>46</v>
      </c>
      <c r="H459" t="s">
        <v>32</v>
      </c>
      <c r="I459" t="s">
        <v>36</v>
      </c>
      <c r="J459" t="s">
        <v>126</v>
      </c>
      <c r="K459">
        <v>4</v>
      </c>
      <c r="L459" s="2">
        <v>54.56</v>
      </c>
      <c r="M459" s="3">
        <v>0</v>
      </c>
      <c r="N459" t="s">
        <v>38</v>
      </c>
      <c r="O459" s="2">
        <v>218.24</v>
      </c>
      <c r="P459" s="2">
        <v>106.39</v>
      </c>
      <c r="Q459" s="2">
        <v>111.85</v>
      </c>
      <c r="R459">
        <v>1</v>
      </c>
      <c r="S459">
        <v>0</v>
      </c>
      <c r="T459">
        <v>5</v>
      </c>
      <c r="U459">
        <v>4</v>
      </c>
    </row>
    <row r="460" spans="1:21" ht="16.5" x14ac:dyDescent="0.3">
      <c r="A460" t="s">
        <v>536</v>
      </c>
      <c r="B460" s="1">
        <v>45374</v>
      </c>
      <c r="C460">
        <v>2024</v>
      </c>
      <c r="D460" t="s">
        <v>22</v>
      </c>
      <c r="E460" t="s">
        <v>402</v>
      </c>
      <c r="F460" t="s">
        <v>31</v>
      </c>
      <c r="G460" t="s">
        <v>25</v>
      </c>
      <c r="H460" t="s">
        <v>32</v>
      </c>
      <c r="I460" t="s">
        <v>27</v>
      </c>
      <c r="J460" t="s">
        <v>40</v>
      </c>
      <c r="K460">
        <v>3</v>
      </c>
      <c r="L460" s="2">
        <v>104.94</v>
      </c>
      <c r="M460" s="3">
        <v>0.2</v>
      </c>
      <c r="N460" t="s">
        <v>34</v>
      </c>
      <c r="O460" s="2">
        <v>251.86</v>
      </c>
      <c r="P460" s="2">
        <v>168.79</v>
      </c>
      <c r="Q460" s="2">
        <v>83.07</v>
      </c>
      <c r="R460">
        <v>1</v>
      </c>
      <c r="S460">
        <v>0</v>
      </c>
      <c r="T460">
        <v>3</v>
      </c>
      <c r="U460">
        <v>5</v>
      </c>
    </row>
    <row r="461" spans="1:21" ht="16.5" x14ac:dyDescent="0.3">
      <c r="A461" t="s">
        <v>537</v>
      </c>
      <c r="B461" s="1">
        <v>45374</v>
      </c>
      <c r="C461">
        <v>2024</v>
      </c>
      <c r="D461" t="s">
        <v>22</v>
      </c>
      <c r="E461" t="s">
        <v>402</v>
      </c>
      <c r="F461" t="s">
        <v>31</v>
      </c>
      <c r="G461" t="s">
        <v>25</v>
      </c>
      <c r="H461" t="s">
        <v>32</v>
      </c>
      <c r="I461" t="s">
        <v>27</v>
      </c>
      <c r="J461" t="s">
        <v>33</v>
      </c>
      <c r="K461">
        <v>1</v>
      </c>
      <c r="L461" s="2">
        <v>78.510000000000005</v>
      </c>
      <c r="M461" s="3">
        <v>0.05</v>
      </c>
      <c r="N461" t="s">
        <v>29</v>
      </c>
      <c r="O461" s="2">
        <v>74.58</v>
      </c>
      <c r="P461" s="2">
        <v>41.44</v>
      </c>
      <c r="Q461" s="2">
        <v>33.14</v>
      </c>
      <c r="R461">
        <v>1</v>
      </c>
      <c r="S461">
        <v>0</v>
      </c>
      <c r="T461">
        <v>6</v>
      </c>
      <c r="U461">
        <v>4</v>
      </c>
    </row>
    <row r="462" spans="1:21" ht="16.5" x14ac:dyDescent="0.3">
      <c r="A462" t="s">
        <v>538</v>
      </c>
      <c r="B462" s="1">
        <v>45374</v>
      </c>
      <c r="C462">
        <v>2024</v>
      </c>
      <c r="D462" t="s">
        <v>22</v>
      </c>
      <c r="E462" t="s">
        <v>402</v>
      </c>
      <c r="F462" t="s">
        <v>24</v>
      </c>
      <c r="G462" t="s">
        <v>51</v>
      </c>
      <c r="H462" t="s">
        <v>26</v>
      </c>
      <c r="I462" t="s">
        <v>42</v>
      </c>
      <c r="J462" t="s">
        <v>54</v>
      </c>
      <c r="K462">
        <v>1</v>
      </c>
      <c r="L462" s="2">
        <v>148.05000000000001</v>
      </c>
      <c r="M462" s="3">
        <v>0.25</v>
      </c>
      <c r="N462" t="s">
        <v>62</v>
      </c>
      <c r="O462" s="2">
        <v>111.04</v>
      </c>
      <c r="P462" s="2">
        <v>96.14</v>
      </c>
      <c r="Q462" s="2">
        <v>14.9</v>
      </c>
      <c r="R462">
        <v>1</v>
      </c>
      <c r="S462">
        <v>0</v>
      </c>
      <c r="T462">
        <v>3</v>
      </c>
      <c r="U462">
        <v>5</v>
      </c>
    </row>
    <row r="463" spans="1:21" ht="16.5" x14ac:dyDescent="0.3">
      <c r="A463" t="s">
        <v>539</v>
      </c>
      <c r="B463" s="1">
        <v>45375</v>
      </c>
      <c r="C463">
        <v>2024</v>
      </c>
      <c r="D463" t="s">
        <v>22</v>
      </c>
      <c r="E463" t="s">
        <v>402</v>
      </c>
      <c r="F463" t="s">
        <v>45</v>
      </c>
      <c r="G463" t="s">
        <v>25</v>
      </c>
      <c r="H463" t="s">
        <v>26</v>
      </c>
      <c r="I463" t="s">
        <v>42</v>
      </c>
      <c r="J463" t="s">
        <v>43</v>
      </c>
      <c r="K463">
        <v>1</v>
      </c>
      <c r="L463" s="2">
        <v>154.66</v>
      </c>
      <c r="M463" s="3">
        <v>0</v>
      </c>
      <c r="N463" t="s">
        <v>38</v>
      </c>
      <c r="O463" s="2">
        <v>154.66</v>
      </c>
      <c r="P463" s="2">
        <v>99.31</v>
      </c>
      <c r="Q463" s="2">
        <v>55.35</v>
      </c>
      <c r="R463">
        <v>1</v>
      </c>
      <c r="S463">
        <v>0</v>
      </c>
      <c r="T463">
        <v>5</v>
      </c>
      <c r="U463">
        <v>4</v>
      </c>
    </row>
    <row r="464" spans="1:21" ht="16.5" x14ac:dyDescent="0.3">
      <c r="A464" t="s">
        <v>540</v>
      </c>
      <c r="B464" s="1">
        <v>45375</v>
      </c>
      <c r="C464">
        <v>2024</v>
      </c>
      <c r="D464" t="s">
        <v>22</v>
      </c>
      <c r="E464" t="s">
        <v>402</v>
      </c>
      <c r="F464" t="s">
        <v>31</v>
      </c>
      <c r="G464" t="s">
        <v>46</v>
      </c>
      <c r="H464" t="s">
        <v>32</v>
      </c>
      <c r="I464" t="s">
        <v>70</v>
      </c>
      <c r="J464" t="s">
        <v>252</v>
      </c>
      <c r="K464">
        <v>1</v>
      </c>
      <c r="L464" s="2">
        <v>216.08</v>
      </c>
      <c r="M464" s="3">
        <v>0</v>
      </c>
      <c r="N464" t="s">
        <v>38</v>
      </c>
      <c r="O464" s="2">
        <v>216.08</v>
      </c>
      <c r="P464" s="2">
        <v>173.05</v>
      </c>
      <c r="Q464" s="2">
        <v>43.03</v>
      </c>
      <c r="R464">
        <v>1</v>
      </c>
      <c r="S464">
        <v>0</v>
      </c>
      <c r="T464">
        <v>6</v>
      </c>
      <c r="U464">
        <v>3</v>
      </c>
    </row>
    <row r="465" spans="1:21" ht="16.5" x14ac:dyDescent="0.3">
      <c r="A465" t="s">
        <v>541</v>
      </c>
      <c r="B465" s="1">
        <v>45375</v>
      </c>
      <c r="C465">
        <v>2024</v>
      </c>
      <c r="D465" t="s">
        <v>22</v>
      </c>
      <c r="E465" t="s">
        <v>402</v>
      </c>
      <c r="F465" t="s">
        <v>24</v>
      </c>
      <c r="G465" t="s">
        <v>65</v>
      </c>
      <c r="H465" t="s">
        <v>32</v>
      </c>
      <c r="I465" t="s">
        <v>70</v>
      </c>
      <c r="J465" t="s">
        <v>129</v>
      </c>
      <c r="K465">
        <v>1</v>
      </c>
      <c r="L465" s="2">
        <v>177.65</v>
      </c>
      <c r="M465" s="3">
        <v>0.25</v>
      </c>
      <c r="N465" t="s">
        <v>62</v>
      </c>
      <c r="O465" s="2">
        <v>133.24</v>
      </c>
      <c r="P465" s="2">
        <v>142.93</v>
      </c>
      <c r="Q465" s="2">
        <v>-9.69</v>
      </c>
      <c r="R465">
        <v>1</v>
      </c>
      <c r="S465">
        <v>0</v>
      </c>
      <c r="T465">
        <v>5</v>
      </c>
      <c r="U465">
        <v>3</v>
      </c>
    </row>
    <row r="466" spans="1:21" ht="16.5" x14ac:dyDescent="0.3">
      <c r="A466" t="s">
        <v>542</v>
      </c>
      <c r="B466" s="1">
        <v>45376</v>
      </c>
      <c r="C466">
        <v>2024</v>
      </c>
      <c r="D466" t="s">
        <v>22</v>
      </c>
      <c r="E466" t="s">
        <v>402</v>
      </c>
      <c r="F466" t="s">
        <v>24</v>
      </c>
      <c r="G466" t="s">
        <v>51</v>
      </c>
      <c r="H466" t="s">
        <v>26</v>
      </c>
      <c r="I466" t="s">
        <v>70</v>
      </c>
      <c r="J466" t="s">
        <v>87</v>
      </c>
      <c r="K466">
        <v>1</v>
      </c>
      <c r="L466" s="2">
        <v>490.3</v>
      </c>
      <c r="M466" s="3">
        <v>0</v>
      </c>
      <c r="N466" t="s">
        <v>38</v>
      </c>
      <c r="O466" s="2">
        <v>490.3</v>
      </c>
      <c r="P466" s="2">
        <v>398.54</v>
      </c>
      <c r="Q466" s="2">
        <v>91.76</v>
      </c>
      <c r="R466">
        <v>1</v>
      </c>
      <c r="S466">
        <v>0</v>
      </c>
      <c r="T466">
        <v>2</v>
      </c>
      <c r="U466">
        <v>3</v>
      </c>
    </row>
    <row r="467" spans="1:21" ht="16.5" x14ac:dyDescent="0.3">
      <c r="A467" t="s">
        <v>543</v>
      </c>
      <c r="B467" s="1">
        <v>45376</v>
      </c>
      <c r="C467">
        <v>2024</v>
      </c>
      <c r="D467" t="s">
        <v>22</v>
      </c>
      <c r="E467" t="s">
        <v>402</v>
      </c>
      <c r="F467" t="s">
        <v>31</v>
      </c>
      <c r="G467" t="s">
        <v>49</v>
      </c>
      <c r="H467" t="s">
        <v>32</v>
      </c>
      <c r="I467" t="s">
        <v>27</v>
      </c>
      <c r="J467" t="s">
        <v>47</v>
      </c>
      <c r="K467">
        <v>1</v>
      </c>
      <c r="L467" s="2">
        <v>33.99</v>
      </c>
      <c r="M467" s="3">
        <v>0</v>
      </c>
      <c r="N467" t="s">
        <v>38</v>
      </c>
      <c r="O467" s="2">
        <v>33.99</v>
      </c>
      <c r="P467" s="2">
        <v>17.940000000000001</v>
      </c>
      <c r="Q467" s="2">
        <v>16.05</v>
      </c>
      <c r="R467">
        <v>1</v>
      </c>
      <c r="S467">
        <v>0</v>
      </c>
      <c r="T467">
        <v>4</v>
      </c>
      <c r="U467">
        <v>5</v>
      </c>
    </row>
    <row r="468" spans="1:21" ht="16.5" x14ac:dyDescent="0.3">
      <c r="A468" t="s">
        <v>544</v>
      </c>
      <c r="B468" s="1">
        <v>45376</v>
      </c>
      <c r="C468">
        <v>2024</v>
      </c>
      <c r="D468" t="s">
        <v>22</v>
      </c>
      <c r="E468" t="s">
        <v>402</v>
      </c>
      <c r="F468" t="s">
        <v>24</v>
      </c>
      <c r="G468" t="s">
        <v>51</v>
      </c>
      <c r="H468" t="s">
        <v>26</v>
      </c>
      <c r="I468" t="s">
        <v>67</v>
      </c>
      <c r="J468" t="s">
        <v>93</v>
      </c>
      <c r="K468">
        <v>3</v>
      </c>
      <c r="L468" s="2">
        <v>198.42</v>
      </c>
      <c r="M468" s="3">
        <v>0.3</v>
      </c>
      <c r="N468" t="s">
        <v>62</v>
      </c>
      <c r="O468" s="2">
        <v>416.68</v>
      </c>
      <c r="P468" s="2">
        <v>413.29</v>
      </c>
      <c r="Q468" s="2">
        <v>3.39</v>
      </c>
      <c r="R468">
        <v>1</v>
      </c>
      <c r="S468">
        <v>0</v>
      </c>
      <c r="T468">
        <v>3</v>
      </c>
      <c r="U468">
        <v>5</v>
      </c>
    </row>
    <row r="469" spans="1:21" ht="16.5" x14ac:dyDescent="0.3">
      <c r="A469" t="s">
        <v>545</v>
      </c>
      <c r="B469" s="1">
        <v>45376</v>
      </c>
      <c r="C469">
        <v>2024</v>
      </c>
      <c r="D469" t="s">
        <v>22</v>
      </c>
      <c r="E469" t="s">
        <v>402</v>
      </c>
      <c r="F469" t="s">
        <v>24</v>
      </c>
      <c r="G469" t="s">
        <v>25</v>
      </c>
      <c r="H469" t="s">
        <v>32</v>
      </c>
      <c r="I469" t="s">
        <v>42</v>
      </c>
      <c r="J469" t="s">
        <v>54</v>
      </c>
      <c r="K469">
        <v>2</v>
      </c>
      <c r="L469" s="2">
        <v>148.05000000000001</v>
      </c>
      <c r="M469" s="3">
        <v>0.15</v>
      </c>
      <c r="N469" t="s">
        <v>34</v>
      </c>
      <c r="O469" s="2">
        <v>251.68</v>
      </c>
      <c r="P469" s="2">
        <v>197.67</v>
      </c>
      <c r="Q469" s="2">
        <v>54.01</v>
      </c>
      <c r="R469">
        <v>1</v>
      </c>
      <c r="S469">
        <v>0</v>
      </c>
      <c r="T469">
        <v>6</v>
      </c>
      <c r="U469">
        <v>4</v>
      </c>
    </row>
    <row r="470" spans="1:21" ht="16.5" x14ac:dyDescent="0.3">
      <c r="A470" t="s">
        <v>546</v>
      </c>
      <c r="B470" s="1">
        <v>45376</v>
      </c>
      <c r="C470">
        <v>2024</v>
      </c>
      <c r="D470" t="s">
        <v>22</v>
      </c>
      <c r="E470" t="s">
        <v>402</v>
      </c>
      <c r="F470" t="s">
        <v>24</v>
      </c>
      <c r="G470" t="s">
        <v>51</v>
      </c>
      <c r="H470" t="s">
        <v>26</v>
      </c>
      <c r="I470" t="s">
        <v>42</v>
      </c>
      <c r="J470" t="s">
        <v>89</v>
      </c>
      <c r="K470">
        <v>1</v>
      </c>
      <c r="L470" s="2">
        <v>68.349999999999994</v>
      </c>
      <c r="M470" s="3">
        <v>0</v>
      </c>
      <c r="N470" t="s">
        <v>38</v>
      </c>
      <c r="O470" s="2">
        <v>68.349999999999994</v>
      </c>
      <c r="P470" s="2">
        <v>46.66</v>
      </c>
      <c r="Q470" s="2">
        <v>21.69</v>
      </c>
      <c r="R470">
        <v>1</v>
      </c>
      <c r="S470">
        <v>0</v>
      </c>
      <c r="T470">
        <v>3</v>
      </c>
      <c r="U470">
        <v>4</v>
      </c>
    </row>
    <row r="471" spans="1:21" ht="16.5" x14ac:dyDescent="0.3">
      <c r="A471" t="s">
        <v>547</v>
      </c>
      <c r="B471" s="1">
        <v>45376</v>
      </c>
      <c r="C471">
        <v>2024</v>
      </c>
      <c r="D471" t="s">
        <v>22</v>
      </c>
      <c r="E471" t="s">
        <v>402</v>
      </c>
      <c r="F471" t="s">
        <v>24</v>
      </c>
      <c r="G471" t="s">
        <v>49</v>
      </c>
      <c r="H471" t="s">
        <v>32</v>
      </c>
      <c r="I471" t="s">
        <v>27</v>
      </c>
      <c r="J471" t="s">
        <v>47</v>
      </c>
      <c r="K471">
        <v>4</v>
      </c>
      <c r="L471" s="2">
        <v>33.99</v>
      </c>
      <c r="M471" s="3">
        <v>0</v>
      </c>
      <c r="N471" t="s">
        <v>38</v>
      </c>
      <c r="O471" s="2">
        <v>135.96</v>
      </c>
      <c r="P471" s="2">
        <v>71.89</v>
      </c>
      <c r="Q471" s="2">
        <v>64.069999999999993</v>
      </c>
      <c r="R471">
        <v>1</v>
      </c>
      <c r="S471">
        <v>0</v>
      </c>
      <c r="T471">
        <v>5</v>
      </c>
      <c r="U471">
        <v>4</v>
      </c>
    </row>
    <row r="472" spans="1:21" ht="16.5" x14ac:dyDescent="0.3">
      <c r="A472" t="s">
        <v>548</v>
      </c>
      <c r="B472" s="1">
        <v>45376</v>
      </c>
      <c r="C472">
        <v>2024</v>
      </c>
      <c r="D472" t="s">
        <v>22</v>
      </c>
      <c r="E472" t="s">
        <v>402</v>
      </c>
      <c r="F472" t="s">
        <v>31</v>
      </c>
      <c r="G472" t="s">
        <v>51</v>
      </c>
      <c r="H472" t="s">
        <v>26</v>
      </c>
      <c r="I472" t="s">
        <v>70</v>
      </c>
      <c r="J472" t="s">
        <v>162</v>
      </c>
      <c r="K472">
        <v>1</v>
      </c>
      <c r="L472" s="2">
        <v>636.09</v>
      </c>
      <c r="M472" s="3">
        <v>0.05</v>
      </c>
      <c r="N472" t="s">
        <v>29</v>
      </c>
      <c r="O472" s="2">
        <v>604.29</v>
      </c>
      <c r="P472" s="2">
        <v>499.9</v>
      </c>
      <c r="Q472" s="2">
        <v>104.39</v>
      </c>
      <c r="R472">
        <v>1</v>
      </c>
      <c r="S472">
        <v>0</v>
      </c>
      <c r="T472">
        <v>2</v>
      </c>
      <c r="U472">
        <v>5</v>
      </c>
    </row>
    <row r="473" spans="1:21" ht="16.5" x14ac:dyDescent="0.3">
      <c r="A473" t="s">
        <v>549</v>
      </c>
      <c r="B473" s="1">
        <v>45376</v>
      </c>
      <c r="C473">
        <v>2024</v>
      </c>
      <c r="D473" t="s">
        <v>22</v>
      </c>
      <c r="E473" t="s">
        <v>402</v>
      </c>
      <c r="F473" t="s">
        <v>24</v>
      </c>
      <c r="G473" t="s">
        <v>51</v>
      </c>
      <c r="H473" t="s">
        <v>32</v>
      </c>
      <c r="I473" t="s">
        <v>42</v>
      </c>
      <c r="J473" t="s">
        <v>43</v>
      </c>
      <c r="K473">
        <v>1</v>
      </c>
      <c r="L473" s="2">
        <v>154.66</v>
      </c>
      <c r="M473" s="3">
        <v>0.2</v>
      </c>
      <c r="N473" t="s">
        <v>34</v>
      </c>
      <c r="O473" s="2">
        <v>123.73</v>
      </c>
      <c r="P473" s="2">
        <v>98.91</v>
      </c>
      <c r="Q473" s="2">
        <v>24.82</v>
      </c>
      <c r="R473">
        <v>1</v>
      </c>
      <c r="S473">
        <v>0</v>
      </c>
      <c r="T473">
        <v>2</v>
      </c>
      <c r="U473">
        <v>5</v>
      </c>
    </row>
    <row r="474" spans="1:21" ht="16.5" x14ac:dyDescent="0.3">
      <c r="A474" t="s">
        <v>550</v>
      </c>
      <c r="B474" s="1">
        <v>45376</v>
      </c>
      <c r="C474">
        <v>2024</v>
      </c>
      <c r="D474" t="s">
        <v>22</v>
      </c>
      <c r="E474" t="s">
        <v>402</v>
      </c>
      <c r="F474" t="s">
        <v>24</v>
      </c>
      <c r="G474" t="s">
        <v>49</v>
      </c>
      <c r="H474" t="s">
        <v>32</v>
      </c>
      <c r="I474" t="s">
        <v>27</v>
      </c>
      <c r="J474" t="s">
        <v>40</v>
      </c>
      <c r="K474">
        <v>1</v>
      </c>
      <c r="L474" s="2">
        <v>104.94</v>
      </c>
      <c r="M474" s="3">
        <v>0.05</v>
      </c>
      <c r="N474" t="s">
        <v>29</v>
      </c>
      <c r="O474" s="2">
        <v>99.69</v>
      </c>
      <c r="P474" s="2">
        <v>57.45</v>
      </c>
      <c r="Q474" s="2">
        <v>42.24</v>
      </c>
      <c r="R474">
        <v>1</v>
      </c>
      <c r="S474">
        <v>0</v>
      </c>
      <c r="T474">
        <v>3</v>
      </c>
      <c r="U474">
        <v>5</v>
      </c>
    </row>
    <row r="475" spans="1:21" ht="16.5" x14ac:dyDescent="0.3">
      <c r="A475" t="s">
        <v>551</v>
      </c>
      <c r="B475" s="1">
        <v>45376</v>
      </c>
      <c r="C475">
        <v>2024</v>
      </c>
      <c r="D475" t="s">
        <v>22</v>
      </c>
      <c r="E475" t="s">
        <v>402</v>
      </c>
      <c r="F475" t="s">
        <v>24</v>
      </c>
      <c r="G475" t="s">
        <v>51</v>
      </c>
      <c r="H475" t="s">
        <v>32</v>
      </c>
      <c r="I475" t="s">
        <v>84</v>
      </c>
      <c r="J475" t="s">
        <v>223</v>
      </c>
      <c r="K475">
        <v>2</v>
      </c>
      <c r="L475" s="2">
        <v>16.97</v>
      </c>
      <c r="M475" s="3">
        <v>0.25</v>
      </c>
      <c r="N475" t="s">
        <v>62</v>
      </c>
      <c r="O475" s="2">
        <v>25.46</v>
      </c>
      <c r="P475" s="2">
        <v>26.25</v>
      </c>
      <c r="Q475" s="2">
        <v>-0.79</v>
      </c>
      <c r="R475">
        <v>1</v>
      </c>
      <c r="S475">
        <v>0</v>
      </c>
      <c r="T475">
        <v>4</v>
      </c>
      <c r="U475">
        <v>4</v>
      </c>
    </row>
    <row r="476" spans="1:21" ht="16.5" x14ac:dyDescent="0.3">
      <c r="A476" t="s">
        <v>552</v>
      </c>
      <c r="B476" s="1">
        <v>45376</v>
      </c>
      <c r="C476">
        <v>2024</v>
      </c>
      <c r="D476" t="s">
        <v>22</v>
      </c>
      <c r="E476" t="s">
        <v>402</v>
      </c>
      <c r="F476" t="s">
        <v>45</v>
      </c>
      <c r="G476" t="s">
        <v>51</v>
      </c>
      <c r="H476" t="s">
        <v>32</v>
      </c>
      <c r="I476" t="s">
        <v>70</v>
      </c>
      <c r="J476" t="s">
        <v>87</v>
      </c>
      <c r="K476">
        <v>1</v>
      </c>
      <c r="L476" s="2">
        <v>490.3</v>
      </c>
      <c r="M476" s="3">
        <v>0.1</v>
      </c>
      <c r="N476" t="s">
        <v>29</v>
      </c>
      <c r="O476" s="2">
        <v>441.27</v>
      </c>
      <c r="P476" s="2">
        <v>390.46</v>
      </c>
      <c r="Q476" s="2">
        <v>50.81</v>
      </c>
      <c r="R476">
        <v>1</v>
      </c>
      <c r="S476">
        <v>1</v>
      </c>
      <c r="T476">
        <v>4</v>
      </c>
      <c r="U476">
        <v>4</v>
      </c>
    </row>
    <row r="477" spans="1:21" ht="16.5" x14ac:dyDescent="0.3">
      <c r="A477" t="s">
        <v>553</v>
      </c>
      <c r="B477" s="1">
        <v>45377</v>
      </c>
      <c r="C477">
        <v>2024</v>
      </c>
      <c r="D477" t="s">
        <v>22</v>
      </c>
      <c r="E477" t="s">
        <v>402</v>
      </c>
      <c r="F477" t="s">
        <v>31</v>
      </c>
      <c r="G477" t="s">
        <v>46</v>
      </c>
      <c r="H477" t="s">
        <v>32</v>
      </c>
      <c r="I477" t="s">
        <v>27</v>
      </c>
      <c r="J477" t="s">
        <v>40</v>
      </c>
      <c r="K477">
        <v>4</v>
      </c>
      <c r="L477" s="2">
        <v>104.94</v>
      </c>
      <c r="M477" s="3">
        <v>0.3</v>
      </c>
      <c r="N477" t="s">
        <v>62</v>
      </c>
      <c r="O477" s="2">
        <v>293.83</v>
      </c>
      <c r="P477" s="2">
        <v>223.82</v>
      </c>
      <c r="Q477" s="2">
        <v>70.010000000000005</v>
      </c>
      <c r="R477">
        <v>1</v>
      </c>
      <c r="S477">
        <v>0</v>
      </c>
      <c r="T477">
        <v>5</v>
      </c>
      <c r="U477">
        <v>4</v>
      </c>
    </row>
    <row r="478" spans="1:21" ht="16.5" x14ac:dyDescent="0.3">
      <c r="A478" t="s">
        <v>554</v>
      </c>
      <c r="B478" s="1">
        <v>45377</v>
      </c>
      <c r="C478">
        <v>2024</v>
      </c>
      <c r="D478" t="s">
        <v>22</v>
      </c>
      <c r="E478" t="s">
        <v>402</v>
      </c>
      <c r="F478" t="s">
        <v>24</v>
      </c>
      <c r="G478" t="s">
        <v>25</v>
      </c>
      <c r="H478" t="s">
        <v>26</v>
      </c>
      <c r="I478" t="s">
        <v>27</v>
      </c>
      <c r="J478" t="s">
        <v>33</v>
      </c>
      <c r="K478">
        <v>2</v>
      </c>
      <c r="L478" s="2">
        <v>78.510000000000005</v>
      </c>
      <c r="M478" s="3">
        <v>0.15</v>
      </c>
      <c r="N478" t="s">
        <v>34</v>
      </c>
      <c r="O478" s="2">
        <v>133.47</v>
      </c>
      <c r="P478" s="2">
        <v>84.02</v>
      </c>
      <c r="Q478" s="2">
        <v>49.45</v>
      </c>
      <c r="R478">
        <v>1</v>
      </c>
      <c r="S478">
        <v>0</v>
      </c>
      <c r="T478">
        <v>4</v>
      </c>
      <c r="U478">
        <v>4</v>
      </c>
    </row>
    <row r="479" spans="1:21" ht="16.5" x14ac:dyDescent="0.3">
      <c r="A479" t="s">
        <v>555</v>
      </c>
      <c r="B479" s="1">
        <v>45377</v>
      </c>
      <c r="C479">
        <v>2024</v>
      </c>
      <c r="D479" t="s">
        <v>22</v>
      </c>
      <c r="E479" t="s">
        <v>402</v>
      </c>
      <c r="F479" t="s">
        <v>45</v>
      </c>
      <c r="G479" t="s">
        <v>51</v>
      </c>
      <c r="H479" t="s">
        <v>26</v>
      </c>
      <c r="I479" t="s">
        <v>27</v>
      </c>
      <c r="J479" t="s">
        <v>28</v>
      </c>
      <c r="K479">
        <v>4</v>
      </c>
      <c r="L479" s="2">
        <v>138.5</v>
      </c>
      <c r="M479" s="3">
        <v>0</v>
      </c>
      <c r="N479" t="s">
        <v>38</v>
      </c>
      <c r="O479" s="2">
        <v>554</v>
      </c>
      <c r="P479" s="2">
        <v>298.52999999999997</v>
      </c>
      <c r="Q479" s="2">
        <v>255.47</v>
      </c>
      <c r="R479">
        <v>1</v>
      </c>
      <c r="S479">
        <v>0</v>
      </c>
      <c r="T479">
        <v>2</v>
      </c>
      <c r="U479">
        <v>3</v>
      </c>
    </row>
    <row r="480" spans="1:21" ht="16.5" x14ac:dyDescent="0.3">
      <c r="A480" t="s">
        <v>556</v>
      </c>
      <c r="B480" s="1">
        <v>45377</v>
      </c>
      <c r="C480">
        <v>2024</v>
      </c>
      <c r="D480" t="s">
        <v>22</v>
      </c>
      <c r="E480" t="s">
        <v>402</v>
      </c>
      <c r="F480" t="s">
        <v>24</v>
      </c>
      <c r="G480" t="s">
        <v>49</v>
      </c>
      <c r="H480" t="s">
        <v>32</v>
      </c>
      <c r="I480" t="s">
        <v>84</v>
      </c>
      <c r="J480" t="s">
        <v>132</v>
      </c>
      <c r="K480">
        <v>1</v>
      </c>
      <c r="L480" s="2">
        <v>48.86</v>
      </c>
      <c r="M480" s="3">
        <v>0</v>
      </c>
      <c r="N480" t="s">
        <v>38</v>
      </c>
      <c r="O480" s="2">
        <v>48.86</v>
      </c>
      <c r="P480" s="2">
        <v>33.68</v>
      </c>
      <c r="Q480" s="2">
        <v>15.18</v>
      </c>
      <c r="R480">
        <v>1</v>
      </c>
      <c r="S480">
        <v>0</v>
      </c>
      <c r="T480">
        <v>3</v>
      </c>
      <c r="U480">
        <v>5</v>
      </c>
    </row>
    <row r="481" spans="1:21" ht="16.5" x14ac:dyDescent="0.3">
      <c r="A481" t="s">
        <v>557</v>
      </c>
      <c r="B481" s="1">
        <v>45378</v>
      </c>
      <c r="C481">
        <v>2024</v>
      </c>
      <c r="D481" t="s">
        <v>22</v>
      </c>
      <c r="E481" t="s">
        <v>402</v>
      </c>
      <c r="F481" t="s">
        <v>31</v>
      </c>
      <c r="G481" t="s">
        <v>25</v>
      </c>
      <c r="H481" t="s">
        <v>32</v>
      </c>
      <c r="I481" t="s">
        <v>27</v>
      </c>
      <c r="J481" t="s">
        <v>28</v>
      </c>
      <c r="K481">
        <v>1</v>
      </c>
      <c r="L481" s="2">
        <v>138.5</v>
      </c>
      <c r="M481" s="3">
        <v>0.05</v>
      </c>
      <c r="N481" t="s">
        <v>29</v>
      </c>
      <c r="O481" s="2">
        <v>131.57</v>
      </c>
      <c r="P481" s="2">
        <v>77.709999999999994</v>
      </c>
      <c r="Q481" s="2">
        <v>53.86</v>
      </c>
      <c r="R481">
        <v>1</v>
      </c>
      <c r="S481">
        <v>0</v>
      </c>
      <c r="T481">
        <v>4</v>
      </c>
      <c r="U481">
        <v>4</v>
      </c>
    </row>
    <row r="482" spans="1:21" ht="16.5" x14ac:dyDescent="0.3">
      <c r="A482" t="s">
        <v>558</v>
      </c>
      <c r="B482" s="1">
        <v>45378</v>
      </c>
      <c r="C482">
        <v>2024</v>
      </c>
      <c r="D482" t="s">
        <v>22</v>
      </c>
      <c r="E482" t="s">
        <v>402</v>
      </c>
      <c r="F482" t="s">
        <v>45</v>
      </c>
      <c r="G482" t="s">
        <v>65</v>
      </c>
      <c r="H482" t="s">
        <v>26</v>
      </c>
      <c r="I482" t="s">
        <v>70</v>
      </c>
      <c r="J482" t="s">
        <v>252</v>
      </c>
      <c r="K482">
        <v>1</v>
      </c>
      <c r="L482" s="2">
        <v>216.08</v>
      </c>
      <c r="M482" s="3">
        <v>0.15</v>
      </c>
      <c r="N482" t="s">
        <v>34</v>
      </c>
      <c r="O482" s="2">
        <v>183.67</v>
      </c>
      <c r="P482" s="2">
        <v>175.73</v>
      </c>
      <c r="Q482" s="2">
        <v>7.94</v>
      </c>
      <c r="R482">
        <v>1</v>
      </c>
      <c r="S482">
        <v>0</v>
      </c>
      <c r="T482">
        <v>6</v>
      </c>
      <c r="U482">
        <v>4</v>
      </c>
    </row>
    <row r="483" spans="1:21" ht="16.5" x14ac:dyDescent="0.3">
      <c r="A483" t="s">
        <v>559</v>
      </c>
      <c r="B483" s="1">
        <v>45378</v>
      </c>
      <c r="C483">
        <v>2024</v>
      </c>
      <c r="D483" t="s">
        <v>22</v>
      </c>
      <c r="E483" t="s">
        <v>402</v>
      </c>
      <c r="F483" t="s">
        <v>24</v>
      </c>
      <c r="G483" t="s">
        <v>49</v>
      </c>
      <c r="H483" t="s">
        <v>26</v>
      </c>
      <c r="I483" t="s">
        <v>27</v>
      </c>
      <c r="J483" t="s">
        <v>33</v>
      </c>
      <c r="K483">
        <v>1</v>
      </c>
      <c r="L483" s="2">
        <v>78.510000000000005</v>
      </c>
      <c r="M483" s="3">
        <v>0.15</v>
      </c>
      <c r="N483" t="s">
        <v>34</v>
      </c>
      <c r="O483" s="2">
        <v>66.73</v>
      </c>
      <c r="P483" s="2">
        <v>42.12</v>
      </c>
      <c r="Q483" s="2">
        <v>24.61</v>
      </c>
      <c r="R483">
        <v>1</v>
      </c>
      <c r="S483">
        <v>0</v>
      </c>
      <c r="T483">
        <v>4</v>
      </c>
      <c r="U483">
        <v>4</v>
      </c>
    </row>
    <row r="484" spans="1:21" ht="16.5" x14ac:dyDescent="0.3">
      <c r="A484" t="s">
        <v>560</v>
      </c>
      <c r="B484" s="1">
        <v>45378</v>
      </c>
      <c r="C484">
        <v>2024</v>
      </c>
      <c r="D484" t="s">
        <v>22</v>
      </c>
      <c r="E484" t="s">
        <v>402</v>
      </c>
      <c r="F484" t="s">
        <v>24</v>
      </c>
      <c r="G484" t="s">
        <v>25</v>
      </c>
      <c r="H484" t="s">
        <v>32</v>
      </c>
      <c r="I484" t="s">
        <v>36</v>
      </c>
      <c r="J484" t="s">
        <v>56</v>
      </c>
      <c r="K484">
        <v>1</v>
      </c>
      <c r="L484" s="2">
        <v>74.3</v>
      </c>
      <c r="M484" s="3">
        <v>0.1</v>
      </c>
      <c r="N484" t="s">
        <v>29</v>
      </c>
      <c r="O484" s="2">
        <v>66.87</v>
      </c>
      <c r="P484" s="2">
        <v>36.770000000000003</v>
      </c>
      <c r="Q484" s="2">
        <v>30.1</v>
      </c>
      <c r="R484">
        <v>1</v>
      </c>
      <c r="S484">
        <v>0</v>
      </c>
      <c r="T484">
        <v>5</v>
      </c>
      <c r="U484">
        <v>5</v>
      </c>
    </row>
    <row r="485" spans="1:21" ht="16.5" x14ac:dyDescent="0.3">
      <c r="A485" t="s">
        <v>561</v>
      </c>
      <c r="B485" s="1">
        <v>45378</v>
      </c>
      <c r="C485">
        <v>2024</v>
      </c>
      <c r="D485" t="s">
        <v>22</v>
      </c>
      <c r="E485" t="s">
        <v>402</v>
      </c>
      <c r="F485" t="s">
        <v>45</v>
      </c>
      <c r="G485" t="s">
        <v>46</v>
      </c>
      <c r="H485" t="s">
        <v>32</v>
      </c>
      <c r="I485" t="s">
        <v>70</v>
      </c>
      <c r="J485" t="s">
        <v>71</v>
      </c>
      <c r="K485">
        <v>1</v>
      </c>
      <c r="L485" s="2">
        <v>588.41</v>
      </c>
      <c r="M485" s="3">
        <v>0.1</v>
      </c>
      <c r="N485" t="s">
        <v>29</v>
      </c>
      <c r="O485" s="2">
        <v>529.57000000000005</v>
      </c>
      <c r="P485" s="2">
        <v>494.15</v>
      </c>
      <c r="Q485" s="2">
        <v>35.42</v>
      </c>
      <c r="R485">
        <v>1</v>
      </c>
      <c r="S485">
        <v>0</v>
      </c>
      <c r="T485">
        <v>6</v>
      </c>
      <c r="U485">
        <v>3</v>
      </c>
    </row>
    <row r="486" spans="1:21" ht="16.5" x14ac:dyDescent="0.3">
      <c r="A486" t="s">
        <v>562</v>
      </c>
      <c r="B486" s="1">
        <v>45378</v>
      </c>
      <c r="C486">
        <v>2024</v>
      </c>
      <c r="D486" t="s">
        <v>22</v>
      </c>
      <c r="E486" t="s">
        <v>402</v>
      </c>
      <c r="F486" t="s">
        <v>24</v>
      </c>
      <c r="G486" t="s">
        <v>51</v>
      </c>
      <c r="H486" t="s">
        <v>32</v>
      </c>
      <c r="I486" t="s">
        <v>42</v>
      </c>
      <c r="J486" t="s">
        <v>98</v>
      </c>
      <c r="K486">
        <v>1</v>
      </c>
      <c r="L486" s="2">
        <v>117.63</v>
      </c>
      <c r="M486" s="3">
        <v>0.15</v>
      </c>
      <c r="N486" t="s">
        <v>34</v>
      </c>
      <c r="O486" s="2">
        <v>99.99</v>
      </c>
      <c r="P486" s="2">
        <v>77.69</v>
      </c>
      <c r="Q486" s="2">
        <v>22.3</v>
      </c>
      <c r="R486">
        <v>1</v>
      </c>
      <c r="S486">
        <v>0</v>
      </c>
      <c r="T486">
        <v>2</v>
      </c>
      <c r="U486">
        <v>4</v>
      </c>
    </row>
    <row r="487" spans="1:21" ht="16.5" x14ac:dyDescent="0.3">
      <c r="A487" t="s">
        <v>563</v>
      </c>
      <c r="B487" s="1">
        <v>45378</v>
      </c>
      <c r="C487">
        <v>2024</v>
      </c>
      <c r="D487" t="s">
        <v>22</v>
      </c>
      <c r="E487" t="s">
        <v>402</v>
      </c>
      <c r="F487" t="s">
        <v>31</v>
      </c>
      <c r="G487" t="s">
        <v>51</v>
      </c>
      <c r="H487" t="s">
        <v>32</v>
      </c>
      <c r="I487" t="s">
        <v>70</v>
      </c>
      <c r="J487" t="s">
        <v>71</v>
      </c>
      <c r="K487">
        <v>1</v>
      </c>
      <c r="L487" s="2">
        <v>588.41</v>
      </c>
      <c r="M487" s="3">
        <v>0.05</v>
      </c>
      <c r="N487" t="s">
        <v>29</v>
      </c>
      <c r="O487" s="2">
        <v>558.99</v>
      </c>
      <c r="P487" s="2">
        <v>466.44</v>
      </c>
      <c r="Q487" s="2">
        <v>92.55</v>
      </c>
      <c r="R487">
        <v>1</v>
      </c>
      <c r="S487">
        <v>0</v>
      </c>
      <c r="T487">
        <v>2</v>
      </c>
      <c r="U487">
        <v>5</v>
      </c>
    </row>
    <row r="488" spans="1:21" ht="16.5" x14ac:dyDescent="0.3">
      <c r="A488" t="s">
        <v>564</v>
      </c>
      <c r="B488" s="1">
        <v>45379</v>
      </c>
      <c r="C488">
        <v>2024</v>
      </c>
      <c r="D488" t="s">
        <v>22</v>
      </c>
      <c r="E488" t="s">
        <v>402</v>
      </c>
      <c r="F488" t="s">
        <v>24</v>
      </c>
      <c r="G488" t="s">
        <v>51</v>
      </c>
      <c r="H488" t="s">
        <v>26</v>
      </c>
      <c r="I488" t="s">
        <v>70</v>
      </c>
      <c r="J488" t="s">
        <v>82</v>
      </c>
      <c r="K488">
        <v>3</v>
      </c>
      <c r="L488" s="2">
        <v>508.8</v>
      </c>
      <c r="M488" s="3">
        <v>0.05</v>
      </c>
      <c r="N488" t="s">
        <v>29</v>
      </c>
      <c r="O488" s="2">
        <v>1450.08</v>
      </c>
      <c r="P488" s="2">
        <v>1185.3900000000001</v>
      </c>
      <c r="Q488" s="2">
        <v>264.69</v>
      </c>
      <c r="R488">
        <v>1</v>
      </c>
      <c r="S488">
        <v>0</v>
      </c>
      <c r="T488">
        <v>3</v>
      </c>
      <c r="U488">
        <v>5</v>
      </c>
    </row>
    <row r="489" spans="1:21" ht="16.5" x14ac:dyDescent="0.3">
      <c r="A489" t="s">
        <v>565</v>
      </c>
      <c r="B489" s="1">
        <v>45379</v>
      </c>
      <c r="C489">
        <v>2024</v>
      </c>
      <c r="D489" t="s">
        <v>22</v>
      </c>
      <c r="E489" t="s">
        <v>402</v>
      </c>
      <c r="F489" t="s">
        <v>45</v>
      </c>
      <c r="G489" t="s">
        <v>51</v>
      </c>
      <c r="H489" t="s">
        <v>26</v>
      </c>
      <c r="I489" t="s">
        <v>27</v>
      </c>
      <c r="J489" t="s">
        <v>47</v>
      </c>
      <c r="K489">
        <v>3</v>
      </c>
      <c r="L489" s="2">
        <v>33.99</v>
      </c>
      <c r="M489" s="3">
        <v>0.05</v>
      </c>
      <c r="N489" t="s">
        <v>29</v>
      </c>
      <c r="O489" s="2">
        <v>96.87</v>
      </c>
      <c r="P489" s="2">
        <v>56.85</v>
      </c>
      <c r="Q489" s="2">
        <v>40.020000000000003</v>
      </c>
      <c r="R489">
        <v>1</v>
      </c>
      <c r="S489">
        <v>0</v>
      </c>
      <c r="T489">
        <v>2</v>
      </c>
      <c r="U489">
        <v>4</v>
      </c>
    </row>
    <row r="490" spans="1:21" ht="16.5" x14ac:dyDescent="0.3">
      <c r="A490" t="s">
        <v>566</v>
      </c>
      <c r="B490" s="1">
        <v>45379</v>
      </c>
      <c r="C490">
        <v>2024</v>
      </c>
      <c r="D490" t="s">
        <v>22</v>
      </c>
      <c r="E490" t="s">
        <v>402</v>
      </c>
      <c r="F490" t="s">
        <v>24</v>
      </c>
      <c r="G490" t="s">
        <v>65</v>
      </c>
      <c r="H490" t="s">
        <v>32</v>
      </c>
      <c r="I490" t="s">
        <v>70</v>
      </c>
      <c r="J490" t="s">
        <v>252</v>
      </c>
      <c r="K490">
        <v>1</v>
      </c>
      <c r="L490" s="2">
        <v>216.08</v>
      </c>
      <c r="M490" s="3">
        <v>0.2</v>
      </c>
      <c r="N490" t="s">
        <v>34</v>
      </c>
      <c r="O490" s="2">
        <v>172.86</v>
      </c>
      <c r="P490" s="2">
        <v>165.21</v>
      </c>
      <c r="Q490" s="2">
        <v>7.65</v>
      </c>
      <c r="R490">
        <v>1</v>
      </c>
      <c r="S490">
        <v>0</v>
      </c>
      <c r="T490">
        <v>5</v>
      </c>
      <c r="U490">
        <v>5</v>
      </c>
    </row>
    <row r="491" spans="1:21" ht="16.5" x14ac:dyDescent="0.3">
      <c r="A491" t="s">
        <v>567</v>
      </c>
      <c r="B491" s="1">
        <v>45379</v>
      </c>
      <c r="C491">
        <v>2024</v>
      </c>
      <c r="D491" t="s">
        <v>22</v>
      </c>
      <c r="E491" t="s">
        <v>402</v>
      </c>
      <c r="F491" t="s">
        <v>31</v>
      </c>
      <c r="G491" t="s">
        <v>25</v>
      </c>
      <c r="H491" t="s">
        <v>32</v>
      </c>
      <c r="I491" t="s">
        <v>70</v>
      </c>
      <c r="J491" t="s">
        <v>162</v>
      </c>
      <c r="K491">
        <v>1</v>
      </c>
      <c r="L491" s="2">
        <v>636.09</v>
      </c>
      <c r="M491" s="3">
        <v>0</v>
      </c>
      <c r="N491" t="s">
        <v>38</v>
      </c>
      <c r="O491" s="2">
        <v>636.09</v>
      </c>
      <c r="P491" s="2">
        <v>505.14</v>
      </c>
      <c r="Q491" s="2">
        <v>130.94999999999999</v>
      </c>
      <c r="R491">
        <v>1</v>
      </c>
      <c r="S491">
        <v>0</v>
      </c>
      <c r="T491">
        <v>4</v>
      </c>
      <c r="U491">
        <v>4</v>
      </c>
    </row>
    <row r="492" spans="1:21" ht="16.5" x14ac:dyDescent="0.3">
      <c r="A492" t="s">
        <v>568</v>
      </c>
      <c r="B492" s="1">
        <v>45379</v>
      </c>
      <c r="C492">
        <v>2024</v>
      </c>
      <c r="D492" t="s">
        <v>22</v>
      </c>
      <c r="E492" t="s">
        <v>402</v>
      </c>
      <c r="F492" t="s">
        <v>24</v>
      </c>
      <c r="G492" t="s">
        <v>49</v>
      </c>
      <c r="H492" t="s">
        <v>32</v>
      </c>
      <c r="I492" t="s">
        <v>70</v>
      </c>
      <c r="J492" t="s">
        <v>82</v>
      </c>
      <c r="K492">
        <v>2</v>
      </c>
      <c r="L492" s="2">
        <v>508.8</v>
      </c>
      <c r="M492" s="3">
        <v>0.05</v>
      </c>
      <c r="N492" t="s">
        <v>29</v>
      </c>
      <c r="O492" s="2">
        <v>966.72</v>
      </c>
      <c r="P492" s="2">
        <v>804.89</v>
      </c>
      <c r="Q492" s="2">
        <v>161.83000000000001</v>
      </c>
      <c r="R492">
        <v>1</v>
      </c>
      <c r="S492">
        <v>0</v>
      </c>
      <c r="T492">
        <v>4</v>
      </c>
      <c r="U492">
        <v>5</v>
      </c>
    </row>
    <row r="493" spans="1:21" ht="16.5" x14ac:dyDescent="0.3">
      <c r="A493" t="s">
        <v>569</v>
      </c>
      <c r="B493" s="1">
        <v>45379</v>
      </c>
      <c r="C493">
        <v>2024</v>
      </c>
      <c r="D493" t="s">
        <v>22</v>
      </c>
      <c r="E493" t="s">
        <v>402</v>
      </c>
      <c r="F493" t="s">
        <v>45</v>
      </c>
      <c r="G493" t="s">
        <v>46</v>
      </c>
      <c r="H493" t="s">
        <v>26</v>
      </c>
      <c r="I493" t="s">
        <v>27</v>
      </c>
      <c r="J493" t="s">
        <v>40</v>
      </c>
      <c r="K493">
        <v>1</v>
      </c>
      <c r="L493" s="2">
        <v>104.94</v>
      </c>
      <c r="M493" s="3">
        <v>0.1</v>
      </c>
      <c r="N493" t="s">
        <v>29</v>
      </c>
      <c r="O493" s="2">
        <v>94.45</v>
      </c>
      <c r="P493" s="2">
        <v>59.8</v>
      </c>
      <c r="Q493" s="2">
        <v>34.65</v>
      </c>
      <c r="R493">
        <v>1</v>
      </c>
      <c r="S493">
        <v>1</v>
      </c>
      <c r="T493">
        <v>6</v>
      </c>
      <c r="U493">
        <v>3</v>
      </c>
    </row>
    <row r="494" spans="1:21" ht="16.5" x14ac:dyDescent="0.3">
      <c r="A494" t="s">
        <v>570</v>
      </c>
      <c r="B494" s="1">
        <v>45380</v>
      </c>
      <c r="C494">
        <v>2024</v>
      </c>
      <c r="D494" t="s">
        <v>22</v>
      </c>
      <c r="E494" t="s">
        <v>402</v>
      </c>
      <c r="F494" t="s">
        <v>31</v>
      </c>
      <c r="G494" t="s">
        <v>49</v>
      </c>
      <c r="H494" t="s">
        <v>32</v>
      </c>
      <c r="I494" t="s">
        <v>84</v>
      </c>
      <c r="J494" t="s">
        <v>85</v>
      </c>
      <c r="K494">
        <v>1</v>
      </c>
      <c r="L494" s="2">
        <v>57.92</v>
      </c>
      <c r="M494" s="3">
        <v>0.1</v>
      </c>
      <c r="N494" t="s">
        <v>29</v>
      </c>
      <c r="O494" s="2">
        <v>52.13</v>
      </c>
      <c r="P494" s="2">
        <v>41.47</v>
      </c>
      <c r="Q494" s="2">
        <v>10.66</v>
      </c>
      <c r="R494">
        <v>1</v>
      </c>
      <c r="S494">
        <v>0</v>
      </c>
      <c r="T494">
        <v>5</v>
      </c>
      <c r="U494">
        <v>5</v>
      </c>
    </row>
    <row r="495" spans="1:21" ht="16.5" x14ac:dyDescent="0.3">
      <c r="A495" t="s">
        <v>571</v>
      </c>
      <c r="B495" s="1">
        <v>45380</v>
      </c>
      <c r="C495">
        <v>2024</v>
      </c>
      <c r="D495" t="s">
        <v>22</v>
      </c>
      <c r="E495" t="s">
        <v>402</v>
      </c>
      <c r="F495" t="s">
        <v>24</v>
      </c>
      <c r="G495" t="s">
        <v>51</v>
      </c>
      <c r="H495" t="s">
        <v>32</v>
      </c>
      <c r="I495" t="s">
        <v>42</v>
      </c>
      <c r="J495" t="s">
        <v>98</v>
      </c>
      <c r="K495">
        <v>1</v>
      </c>
      <c r="L495" s="2">
        <v>117.63</v>
      </c>
      <c r="M495" s="3">
        <v>0.15</v>
      </c>
      <c r="N495" t="s">
        <v>34</v>
      </c>
      <c r="O495" s="2">
        <v>99.99</v>
      </c>
      <c r="P495" s="2">
        <v>78.69</v>
      </c>
      <c r="Q495" s="2">
        <v>21.3</v>
      </c>
      <c r="R495">
        <v>1</v>
      </c>
      <c r="S495">
        <v>0</v>
      </c>
      <c r="T495">
        <v>2</v>
      </c>
      <c r="U495">
        <v>4</v>
      </c>
    </row>
    <row r="496" spans="1:21" ht="16.5" x14ac:dyDescent="0.3">
      <c r="A496" t="s">
        <v>572</v>
      </c>
      <c r="B496" s="1">
        <v>45380</v>
      </c>
      <c r="C496">
        <v>2024</v>
      </c>
      <c r="D496" t="s">
        <v>22</v>
      </c>
      <c r="E496" t="s">
        <v>402</v>
      </c>
      <c r="F496" t="s">
        <v>24</v>
      </c>
      <c r="G496" t="s">
        <v>25</v>
      </c>
      <c r="H496" t="s">
        <v>26</v>
      </c>
      <c r="I496" t="s">
        <v>84</v>
      </c>
      <c r="J496" t="s">
        <v>96</v>
      </c>
      <c r="K496">
        <v>1</v>
      </c>
      <c r="L496" s="2">
        <v>10.76</v>
      </c>
      <c r="M496" s="3">
        <v>0.05</v>
      </c>
      <c r="N496" t="s">
        <v>29</v>
      </c>
      <c r="O496" s="2">
        <v>10.220000000000001</v>
      </c>
      <c r="P496" s="2">
        <v>7.86</v>
      </c>
      <c r="Q496" s="2">
        <v>2.36</v>
      </c>
      <c r="R496">
        <v>1</v>
      </c>
      <c r="S496">
        <v>0</v>
      </c>
      <c r="T496">
        <v>5</v>
      </c>
      <c r="U496">
        <v>4</v>
      </c>
    </row>
    <row r="497" spans="1:21" ht="16.5" x14ac:dyDescent="0.3">
      <c r="A497" t="s">
        <v>573</v>
      </c>
      <c r="B497" s="1">
        <v>45380</v>
      </c>
      <c r="C497">
        <v>2024</v>
      </c>
      <c r="D497" t="s">
        <v>22</v>
      </c>
      <c r="E497" t="s">
        <v>402</v>
      </c>
      <c r="F497" t="s">
        <v>31</v>
      </c>
      <c r="G497" t="s">
        <v>51</v>
      </c>
      <c r="H497" t="s">
        <v>32</v>
      </c>
      <c r="I497" t="s">
        <v>70</v>
      </c>
      <c r="J497" t="s">
        <v>129</v>
      </c>
      <c r="K497">
        <v>3</v>
      </c>
      <c r="L497" s="2">
        <v>177.65</v>
      </c>
      <c r="M497" s="3">
        <v>0.1</v>
      </c>
      <c r="N497" t="s">
        <v>29</v>
      </c>
      <c r="O497" s="2">
        <v>479.66</v>
      </c>
      <c r="P497" s="2">
        <v>424.35</v>
      </c>
      <c r="Q497" s="2">
        <v>55.31</v>
      </c>
      <c r="R497">
        <v>1</v>
      </c>
      <c r="S497">
        <v>0</v>
      </c>
      <c r="T497">
        <v>3</v>
      </c>
      <c r="U497">
        <v>4</v>
      </c>
    </row>
    <row r="498" spans="1:21" ht="16.5" x14ac:dyDescent="0.3">
      <c r="A498" t="s">
        <v>574</v>
      </c>
      <c r="B498" s="1">
        <v>45380</v>
      </c>
      <c r="C498">
        <v>2024</v>
      </c>
      <c r="D498" t="s">
        <v>22</v>
      </c>
      <c r="E498" t="s">
        <v>402</v>
      </c>
      <c r="F498" t="s">
        <v>45</v>
      </c>
      <c r="G498" t="s">
        <v>51</v>
      </c>
      <c r="H498" t="s">
        <v>32</v>
      </c>
      <c r="I498" t="s">
        <v>70</v>
      </c>
      <c r="J498" t="s">
        <v>82</v>
      </c>
      <c r="K498">
        <v>1</v>
      </c>
      <c r="L498" s="2">
        <v>508.8</v>
      </c>
      <c r="M498" s="3">
        <v>0.15</v>
      </c>
      <c r="N498" t="s">
        <v>34</v>
      </c>
      <c r="O498" s="2">
        <v>432.48</v>
      </c>
      <c r="P498" s="2">
        <v>389.98</v>
      </c>
      <c r="Q498" s="2">
        <v>42.5</v>
      </c>
      <c r="R498">
        <v>1</v>
      </c>
      <c r="S498">
        <v>0</v>
      </c>
      <c r="T498">
        <v>5</v>
      </c>
      <c r="U498">
        <v>4</v>
      </c>
    </row>
    <row r="499" spans="1:21" ht="16.5" x14ac:dyDescent="0.3">
      <c r="A499" t="s">
        <v>575</v>
      </c>
      <c r="B499" s="1">
        <v>45380</v>
      </c>
      <c r="C499">
        <v>2024</v>
      </c>
      <c r="D499" t="s">
        <v>22</v>
      </c>
      <c r="E499" t="s">
        <v>402</v>
      </c>
      <c r="F499" t="s">
        <v>45</v>
      </c>
      <c r="G499" t="s">
        <v>49</v>
      </c>
      <c r="H499" t="s">
        <v>32</v>
      </c>
      <c r="I499" t="s">
        <v>42</v>
      </c>
      <c r="J499" t="s">
        <v>76</v>
      </c>
      <c r="K499">
        <v>1</v>
      </c>
      <c r="L499" s="2">
        <v>90.75</v>
      </c>
      <c r="M499" s="3">
        <v>0.05</v>
      </c>
      <c r="N499" t="s">
        <v>29</v>
      </c>
      <c r="O499" s="2">
        <v>86.21</v>
      </c>
      <c r="P499" s="2">
        <v>55.58</v>
      </c>
      <c r="Q499" s="2">
        <v>30.63</v>
      </c>
      <c r="R499">
        <v>1</v>
      </c>
      <c r="S499">
        <v>0</v>
      </c>
      <c r="T499">
        <v>6</v>
      </c>
      <c r="U499">
        <v>3</v>
      </c>
    </row>
    <row r="500" spans="1:21" ht="16.5" x14ac:dyDescent="0.3">
      <c r="A500" t="s">
        <v>576</v>
      </c>
      <c r="B500" s="1">
        <v>45380</v>
      </c>
      <c r="C500">
        <v>2024</v>
      </c>
      <c r="D500" t="s">
        <v>22</v>
      </c>
      <c r="E500" t="s">
        <v>402</v>
      </c>
      <c r="F500" t="s">
        <v>31</v>
      </c>
      <c r="G500" t="s">
        <v>25</v>
      </c>
      <c r="H500" t="s">
        <v>32</v>
      </c>
      <c r="I500" t="s">
        <v>84</v>
      </c>
      <c r="J500" t="s">
        <v>96</v>
      </c>
      <c r="K500">
        <v>2</v>
      </c>
      <c r="L500" s="2">
        <v>10.76</v>
      </c>
      <c r="M500" s="3">
        <v>0.2</v>
      </c>
      <c r="N500" t="s">
        <v>34</v>
      </c>
      <c r="O500" s="2">
        <v>17.22</v>
      </c>
      <c r="P500" s="2">
        <v>15.95</v>
      </c>
      <c r="Q500" s="2">
        <v>1.27</v>
      </c>
      <c r="R500">
        <v>1</v>
      </c>
      <c r="S500">
        <v>0</v>
      </c>
      <c r="T500">
        <v>3</v>
      </c>
      <c r="U500">
        <v>5</v>
      </c>
    </row>
    <row r="501" spans="1:21" ht="16.5" x14ac:dyDescent="0.3">
      <c r="A501" t="s">
        <v>577</v>
      </c>
      <c r="B501" s="1">
        <v>45380</v>
      </c>
      <c r="C501">
        <v>2024</v>
      </c>
      <c r="D501" t="s">
        <v>22</v>
      </c>
      <c r="E501" t="s">
        <v>402</v>
      </c>
      <c r="F501" t="s">
        <v>45</v>
      </c>
      <c r="G501" t="s">
        <v>51</v>
      </c>
      <c r="H501" t="s">
        <v>26</v>
      </c>
      <c r="I501" t="s">
        <v>84</v>
      </c>
      <c r="J501" t="s">
        <v>223</v>
      </c>
      <c r="K501">
        <v>2</v>
      </c>
      <c r="L501" s="2">
        <v>16.97</v>
      </c>
      <c r="M501" s="3">
        <v>0</v>
      </c>
      <c r="N501" t="s">
        <v>38</v>
      </c>
      <c r="O501" s="2">
        <v>33.94</v>
      </c>
      <c r="P501" s="2">
        <v>23.97</v>
      </c>
      <c r="Q501" s="2">
        <v>9.9700000000000006</v>
      </c>
      <c r="R501">
        <v>1</v>
      </c>
      <c r="S501">
        <v>0</v>
      </c>
      <c r="T501">
        <v>3</v>
      </c>
      <c r="U501">
        <v>5</v>
      </c>
    </row>
    <row r="502" spans="1:21" ht="16.5" x14ac:dyDescent="0.3">
      <c r="A502" t="s">
        <v>578</v>
      </c>
      <c r="B502" s="1">
        <v>45380</v>
      </c>
      <c r="C502">
        <v>2024</v>
      </c>
      <c r="D502" t="s">
        <v>22</v>
      </c>
      <c r="E502" t="s">
        <v>402</v>
      </c>
      <c r="F502" t="s">
        <v>24</v>
      </c>
      <c r="G502" t="s">
        <v>51</v>
      </c>
      <c r="H502" t="s">
        <v>32</v>
      </c>
      <c r="I502" t="s">
        <v>42</v>
      </c>
      <c r="J502" t="s">
        <v>54</v>
      </c>
      <c r="K502">
        <v>1</v>
      </c>
      <c r="L502" s="2">
        <v>148.05000000000001</v>
      </c>
      <c r="M502" s="3">
        <v>0</v>
      </c>
      <c r="N502" t="s">
        <v>38</v>
      </c>
      <c r="O502" s="2">
        <v>148.05000000000001</v>
      </c>
      <c r="P502" s="2">
        <v>101.03</v>
      </c>
      <c r="Q502" s="2">
        <v>47.02</v>
      </c>
      <c r="R502">
        <v>1</v>
      </c>
      <c r="S502">
        <v>0</v>
      </c>
      <c r="T502">
        <v>3</v>
      </c>
      <c r="U502">
        <v>4</v>
      </c>
    </row>
    <row r="503" spans="1:21" ht="16.5" x14ac:dyDescent="0.3">
      <c r="A503" t="s">
        <v>579</v>
      </c>
      <c r="B503" s="1">
        <v>45381</v>
      </c>
      <c r="C503">
        <v>2024</v>
      </c>
      <c r="D503" t="s">
        <v>22</v>
      </c>
      <c r="E503" t="s">
        <v>402</v>
      </c>
      <c r="F503" t="s">
        <v>24</v>
      </c>
      <c r="G503" t="s">
        <v>25</v>
      </c>
      <c r="H503" t="s">
        <v>32</v>
      </c>
      <c r="I503" t="s">
        <v>27</v>
      </c>
      <c r="J503" t="s">
        <v>47</v>
      </c>
      <c r="K503">
        <v>2</v>
      </c>
      <c r="L503" s="2">
        <v>33.99</v>
      </c>
      <c r="M503" s="3">
        <v>0.15</v>
      </c>
      <c r="N503" t="s">
        <v>34</v>
      </c>
      <c r="O503" s="2">
        <v>57.78</v>
      </c>
      <c r="P503" s="2">
        <v>37.14</v>
      </c>
      <c r="Q503" s="2">
        <v>20.64</v>
      </c>
      <c r="R503">
        <v>1</v>
      </c>
      <c r="S503">
        <v>0</v>
      </c>
      <c r="T503">
        <v>4</v>
      </c>
      <c r="U503">
        <v>5</v>
      </c>
    </row>
    <row r="504" spans="1:21" ht="16.5" x14ac:dyDescent="0.3">
      <c r="A504" t="s">
        <v>580</v>
      </c>
      <c r="B504" s="1">
        <v>45381</v>
      </c>
      <c r="C504">
        <v>2024</v>
      </c>
      <c r="D504" t="s">
        <v>22</v>
      </c>
      <c r="E504" t="s">
        <v>402</v>
      </c>
      <c r="F504" t="s">
        <v>45</v>
      </c>
      <c r="G504" t="s">
        <v>51</v>
      </c>
      <c r="H504" t="s">
        <v>26</v>
      </c>
      <c r="I504" t="s">
        <v>84</v>
      </c>
      <c r="J504" t="s">
        <v>96</v>
      </c>
      <c r="K504">
        <v>1</v>
      </c>
      <c r="L504" s="2">
        <v>10.76</v>
      </c>
      <c r="M504" s="3">
        <v>0</v>
      </c>
      <c r="N504" t="s">
        <v>38</v>
      </c>
      <c r="O504" s="2">
        <v>10.76</v>
      </c>
      <c r="P504" s="2">
        <v>8.06</v>
      </c>
      <c r="Q504" s="2">
        <v>2.7</v>
      </c>
      <c r="R504">
        <v>1</v>
      </c>
      <c r="S504">
        <v>0</v>
      </c>
      <c r="T504">
        <v>2</v>
      </c>
      <c r="U504">
        <v>5</v>
      </c>
    </row>
    <row r="505" spans="1:21" ht="16.5" x14ac:dyDescent="0.3">
      <c r="A505" t="s">
        <v>581</v>
      </c>
      <c r="B505" s="1">
        <v>45381</v>
      </c>
      <c r="C505">
        <v>2024</v>
      </c>
      <c r="D505" t="s">
        <v>22</v>
      </c>
      <c r="E505" t="s">
        <v>402</v>
      </c>
      <c r="F505" t="s">
        <v>24</v>
      </c>
      <c r="G505" t="s">
        <v>51</v>
      </c>
      <c r="H505" t="s">
        <v>26</v>
      </c>
      <c r="I505" t="s">
        <v>27</v>
      </c>
      <c r="J505" t="s">
        <v>47</v>
      </c>
      <c r="K505">
        <v>1</v>
      </c>
      <c r="L505" s="2">
        <v>33.99</v>
      </c>
      <c r="M505" s="3">
        <v>0.2</v>
      </c>
      <c r="N505" t="s">
        <v>34</v>
      </c>
      <c r="O505" s="2">
        <v>27.19</v>
      </c>
      <c r="P505" s="2">
        <v>19.02</v>
      </c>
      <c r="Q505" s="2">
        <v>8.17</v>
      </c>
      <c r="R505">
        <v>1</v>
      </c>
      <c r="S505">
        <v>0</v>
      </c>
      <c r="T505">
        <v>3</v>
      </c>
      <c r="U505">
        <v>5</v>
      </c>
    </row>
    <row r="506" spans="1:21" ht="16.5" x14ac:dyDescent="0.3">
      <c r="A506" t="s">
        <v>582</v>
      </c>
      <c r="B506" s="1">
        <v>45381</v>
      </c>
      <c r="C506">
        <v>2024</v>
      </c>
      <c r="D506" t="s">
        <v>22</v>
      </c>
      <c r="E506" t="s">
        <v>402</v>
      </c>
      <c r="F506" t="s">
        <v>24</v>
      </c>
      <c r="G506" t="s">
        <v>25</v>
      </c>
      <c r="H506" t="s">
        <v>32</v>
      </c>
      <c r="I506" t="s">
        <v>27</v>
      </c>
      <c r="J506" t="s">
        <v>28</v>
      </c>
      <c r="K506">
        <v>1</v>
      </c>
      <c r="L506" s="2">
        <v>138.5</v>
      </c>
      <c r="M506" s="3">
        <v>0.1</v>
      </c>
      <c r="N506" t="s">
        <v>29</v>
      </c>
      <c r="O506" s="2">
        <v>124.65</v>
      </c>
      <c r="P506" s="2">
        <v>75.14</v>
      </c>
      <c r="Q506" s="2">
        <v>49.51</v>
      </c>
      <c r="R506">
        <v>1</v>
      </c>
      <c r="S506">
        <v>0</v>
      </c>
      <c r="T506">
        <v>5</v>
      </c>
      <c r="U506">
        <v>4</v>
      </c>
    </row>
    <row r="507" spans="1:21" ht="16.5" x14ac:dyDescent="0.3">
      <c r="A507" t="s">
        <v>583</v>
      </c>
      <c r="B507" s="1">
        <v>45381</v>
      </c>
      <c r="C507">
        <v>2024</v>
      </c>
      <c r="D507" t="s">
        <v>22</v>
      </c>
      <c r="E507" t="s">
        <v>402</v>
      </c>
      <c r="F507" t="s">
        <v>24</v>
      </c>
      <c r="G507" t="s">
        <v>51</v>
      </c>
      <c r="H507" t="s">
        <v>32</v>
      </c>
      <c r="I507" t="s">
        <v>42</v>
      </c>
      <c r="J507" t="s">
        <v>54</v>
      </c>
      <c r="K507">
        <v>1</v>
      </c>
      <c r="L507" s="2">
        <v>148.05000000000001</v>
      </c>
      <c r="M507" s="3">
        <v>0</v>
      </c>
      <c r="N507" t="s">
        <v>38</v>
      </c>
      <c r="O507" s="2">
        <v>148.05000000000001</v>
      </c>
      <c r="P507" s="2">
        <v>94.33</v>
      </c>
      <c r="Q507" s="2">
        <v>53.72</v>
      </c>
      <c r="R507">
        <v>1</v>
      </c>
      <c r="S507">
        <v>0</v>
      </c>
      <c r="T507">
        <v>3</v>
      </c>
      <c r="U507">
        <v>4</v>
      </c>
    </row>
    <row r="508" spans="1:21" ht="16.5" x14ac:dyDescent="0.3">
      <c r="A508" t="s">
        <v>584</v>
      </c>
      <c r="B508" s="1">
        <v>45381</v>
      </c>
      <c r="C508">
        <v>2024</v>
      </c>
      <c r="D508" t="s">
        <v>22</v>
      </c>
      <c r="E508" t="s">
        <v>402</v>
      </c>
      <c r="F508" t="s">
        <v>24</v>
      </c>
      <c r="G508" t="s">
        <v>25</v>
      </c>
      <c r="H508" t="s">
        <v>26</v>
      </c>
      <c r="I508" t="s">
        <v>36</v>
      </c>
      <c r="J508" t="s">
        <v>56</v>
      </c>
      <c r="K508">
        <v>1</v>
      </c>
      <c r="L508" s="2">
        <v>74.3</v>
      </c>
      <c r="M508" s="3">
        <v>0.15</v>
      </c>
      <c r="N508" t="s">
        <v>34</v>
      </c>
      <c r="O508" s="2">
        <v>63.15</v>
      </c>
      <c r="P508" s="2">
        <v>34.909999999999997</v>
      </c>
      <c r="Q508" s="2">
        <v>28.24</v>
      </c>
      <c r="R508">
        <v>1</v>
      </c>
      <c r="S508">
        <v>0</v>
      </c>
      <c r="T508">
        <v>3</v>
      </c>
      <c r="U508">
        <v>3</v>
      </c>
    </row>
    <row r="509" spans="1:21" ht="16.5" x14ac:dyDescent="0.3">
      <c r="A509" t="s">
        <v>585</v>
      </c>
      <c r="B509" s="1">
        <v>45381</v>
      </c>
      <c r="C509">
        <v>2024</v>
      </c>
      <c r="D509" t="s">
        <v>22</v>
      </c>
      <c r="E509" t="s">
        <v>402</v>
      </c>
      <c r="F509" t="s">
        <v>31</v>
      </c>
      <c r="G509" t="s">
        <v>51</v>
      </c>
      <c r="H509" t="s">
        <v>32</v>
      </c>
      <c r="I509" t="s">
        <v>36</v>
      </c>
      <c r="J509" t="s">
        <v>56</v>
      </c>
      <c r="K509">
        <v>1</v>
      </c>
      <c r="L509" s="2">
        <v>74.3</v>
      </c>
      <c r="M509" s="3">
        <v>0</v>
      </c>
      <c r="N509" t="s">
        <v>38</v>
      </c>
      <c r="O509" s="2">
        <v>74.3</v>
      </c>
      <c r="P509" s="2">
        <v>37.369999999999997</v>
      </c>
      <c r="Q509" s="2">
        <v>36.93</v>
      </c>
      <c r="R509">
        <v>1</v>
      </c>
      <c r="S509">
        <v>0</v>
      </c>
      <c r="T509">
        <v>3</v>
      </c>
      <c r="U509">
        <v>5</v>
      </c>
    </row>
    <row r="510" spans="1:21" ht="16.5" x14ac:dyDescent="0.3">
      <c r="A510" t="s">
        <v>586</v>
      </c>
      <c r="B510" s="1">
        <v>45381</v>
      </c>
      <c r="C510">
        <v>2024</v>
      </c>
      <c r="D510" t="s">
        <v>22</v>
      </c>
      <c r="E510" t="s">
        <v>402</v>
      </c>
      <c r="F510" t="s">
        <v>24</v>
      </c>
      <c r="G510" t="s">
        <v>25</v>
      </c>
      <c r="H510" t="s">
        <v>26</v>
      </c>
      <c r="I510" t="s">
        <v>36</v>
      </c>
      <c r="J510" t="s">
        <v>115</v>
      </c>
      <c r="K510">
        <v>1</v>
      </c>
      <c r="L510" s="2">
        <v>33.479999999999997</v>
      </c>
      <c r="M510" s="3">
        <v>0.1</v>
      </c>
      <c r="N510" t="s">
        <v>29</v>
      </c>
      <c r="O510" s="2">
        <v>30.13</v>
      </c>
      <c r="P510" s="2">
        <v>15.93</v>
      </c>
      <c r="Q510" s="2">
        <v>14.2</v>
      </c>
      <c r="R510">
        <v>1</v>
      </c>
      <c r="S510">
        <v>0</v>
      </c>
      <c r="T510">
        <v>4</v>
      </c>
      <c r="U510">
        <v>4</v>
      </c>
    </row>
    <row r="511" spans="1:21" ht="16.5" x14ac:dyDescent="0.3">
      <c r="A511" t="s">
        <v>587</v>
      </c>
      <c r="B511" s="1">
        <v>45381</v>
      </c>
      <c r="C511">
        <v>2024</v>
      </c>
      <c r="D511" t="s">
        <v>22</v>
      </c>
      <c r="E511" t="s">
        <v>402</v>
      </c>
      <c r="F511" t="s">
        <v>24</v>
      </c>
      <c r="G511" t="s">
        <v>49</v>
      </c>
      <c r="H511" t="s">
        <v>26</v>
      </c>
      <c r="I511" t="s">
        <v>70</v>
      </c>
      <c r="J511" t="s">
        <v>129</v>
      </c>
      <c r="K511">
        <v>2</v>
      </c>
      <c r="L511" s="2">
        <v>177.65</v>
      </c>
      <c r="M511" s="3">
        <v>0.2</v>
      </c>
      <c r="N511" t="s">
        <v>34</v>
      </c>
      <c r="O511" s="2">
        <v>284.24</v>
      </c>
      <c r="P511" s="2">
        <v>268.16000000000003</v>
      </c>
      <c r="Q511" s="2">
        <v>16.079999999999998</v>
      </c>
      <c r="R511">
        <v>1</v>
      </c>
      <c r="S511">
        <v>1</v>
      </c>
      <c r="T511">
        <v>3</v>
      </c>
      <c r="U511">
        <v>3</v>
      </c>
    </row>
    <row r="512" spans="1:21" ht="16.5" x14ac:dyDescent="0.3">
      <c r="A512" t="s">
        <v>588</v>
      </c>
      <c r="B512" s="1">
        <v>45381</v>
      </c>
      <c r="C512">
        <v>2024</v>
      </c>
      <c r="D512" t="s">
        <v>22</v>
      </c>
      <c r="E512" t="s">
        <v>402</v>
      </c>
      <c r="F512" t="s">
        <v>31</v>
      </c>
      <c r="G512" t="s">
        <v>65</v>
      </c>
      <c r="H512" t="s">
        <v>32</v>
      </c>
      <c r="I512" t="s">
        <v>36</v>
      </c>
      <c r="J512" t="s">
        <v>115</v>
      </c>
      <c r="K512">
        <v>2</v>
      </c>
      <c r="L512" s="2">
        <v>33.479999999999997</v>
      </c>
      <c r="M512" s="3">
        <v>0</v>
      </c>
      <c r="N512" t="s">
        <v>38</v>
      </c>
      <c r="O512" s="2">
        <v>66.959999999999994</v>
      </c>
      <c r="P512" s="2">
        <v>29.56</v>
      </c>
      <c r="Q512" s="2">
        <v>37.4</v>
      </c>
      <c r="R512">
        <v>1</v>
      </c>
      <c r="S512">
        <v>0</v>
      </c>
      <c r="T512">
        <v>7</v>
      </c>
      <c r="U512">
        <v>3</v>
      </c>
    </row>
    <row r="513" spans="1:21" ht="16.5" x14ac:dyDescent="0.3">
      <c r="A513" t="s">
        <v>589</v>
      </c>
      <c r="B513" s="1">
        <v>45381</v>
      </c>
      <c r="C513">
        <v>2024</v>
      </c>
      <c r="D513" t="s">
        <v>22</v>
      </c>
      <c r="E513" t="s">
        <v>402</v>
      </c>
      <c r="F513" t="s">
        <v>24</v>
      </c>
      <c r="G513" t="s">
        <v>49</v>
      </c>
      <c r="H513" t="s">
        <v>32</v>
      </c>
      <c r="I513" t="s">
        <v>70</v>
      </c>
      <c r="J513" t="s">
        <v>87</v>
      </c>
      <c r="K513">
        <v>1</v>
      </c>
      <c r="L513" s="2">
        <v>490.3</v>
      </c>
      <c r="M513" s="3">
        <v>0.05</v>
      </c>
      <c r="N513" t="s">
        <v>29</v>
      </c>
      <c r="O513" s="2">
        <v>465.78</v>
      </c>
      <c r="P513" s="2">
        <v>408</v>
      </c>
      <c r="Q513" s="2">
        <v>57.78</v>
      </c>
      <c r="R513">
        <v>1</v>
      </c>
      <c r="S513">
        <v>0</v>
      </c>
      <c r="T513">
        <v>3</v>
      </c>
      <c r="U513">
        <v>5</v>
      </c>
    </row>
    <row r="514" spans="1:21" ht="16.5" x14ac:dyDescent="0.3">
      <c r="A514" t="s">
        <v>590</v>
      </c>
      <c r="B514" s="1">
        <v>45381</v>
      </c>
      <c r="C514">
        <v>2024</v>
      </c>
      <c r="D514" t="s">
        <v>22</v>
      </c>
      <c r="E514" t="s">
        <v>402</v>
      </c>
      <c r="F514" t="s">
        <v>31</v>
      </c>
      <c r="G514" t="s">
        <v>65</v>
      </c>
      <c r="H514" t="s">
        <v>32</v>
      </c>
      <c r="I514" t="s">
        <v>27</v>
      </c>
      <c r="J514" t="s">
        <v>28</v>
      </c>
      <c r="K514">
        <v>1</v>
      </c>
      <c r="L514" s="2">
        <v>138.5</v>
      </c>
      <c r="M514" s="3">
        <v>0</v>
      </c>
      <c r="N514" t="s">
        <v>38</v>
      </c>
      <c r="O514" s="2">
        <v>138.5</v>
      </c>
      <c r="P514" s="2">
        <v>74.400000000000006</v>
      </c>
      <c r="Q514" s="2">
        <v>64.099999999999994</v>
      </c>
      <c r="R514">
        <v>1</v>
      </c>
      <c r="S514">
        <v>0</v>
      </c>
      <c r="T514">
        <v>5</v>
      </c>
      <c r="U514">
        <v>5</v>
      </c>
    </row>
    <row r="515" spans="1:21" ht="16.5" x14ac:dyDescent="0.3">
      <c r="A515" t="s">
        <v>591</v>
      </c>
      <c r="B515" s="1">
        <v>45381</v>
      </c>
      <c r="C515">
        <v>2024</v>
      </c>
      <c r="D515" t="s">
        <v>22</v>
      </c>
      <c r="E515" t="s">
        <v>402</v>
      </c>
      <c r="F515" t="s">
        <v>24</v>
      </c>
      <c r="G515" t="s">
        <v>51</v>
      </c>
      <c r="H515" t="s">
        <v>26</v>
      </c>
      <c r="I515" t="s">
        <v>27</v>
      </c>
      <c r="J515" t="s">
        <v>110</v>
      </c>
      <c r="K515">
        <v>1</v>
      </c>
      <c r="L515" s="2">
        <v>19.41</v>
      </c>
      <c r="M515" s="3">
        <v>0.15</v>
      </c>
      <c r="N515" t="s">
        <v>34</v>
      </c>
      <c r="O515" s="2">
        <v>16.5</v>
      </c>
      <c r="P515" s="2">
        <v>9.7200000000000006</v>
      </c>
      <c r="Q515" s="2">
        <v>6.78</v>
      </c>
      <c r="R515">
        <v>1</v>
      </c>
      <c r="S515">
        <v>0</v>
      </c>
      <c r="T515">
        <v>2</v>
      </c>
      <c r="U515">
        <v>5</v>
      </c>
    </row>
    <row r="516" spans="1:21" ht="16.5" x14ac:dyDescent="0.3">
      <c r="A516" t="s">
        <v>592</v>
      </c>
      <c r="B516" s="1">
        <v>45382</v>
      </c>
      <c r="C516">
        <v>2024</v>
      </c>
      <c r="D516" t="s">
        <v>22</v>
      </c>
      <c r="E516" t="s">
        <v>402</v>
      </c>
      <c r="F516" t="s">
        <v>45</v>
      </c>
      <c r="G516" t="s">
        <v>49</v>
      </c>
      <c r="H516" t="s">
        <v>32</v>
      </c>
      <c r="I516" t="s">
        <v>36</v>
      </c>
      <c r="J516" t="s">
        <v>115</v>
      </c>
      <c r="K516">
        <v>3</v>
      </c>
      <c r="L516" s="2">
        <v>33.479999999999997</v>
      </c>
      <c r="M516" s="3">
        <v>0.15</v>
      </c>
      <c r="N516" t="s">
        <v>34</v>
      </c>
      <c r="O516" s="2">
        <v>85.37</v>
      </c>
      <c r="P516" s="2">
        <v>47.07</v>
      </c>
      <c r="Q516" s="2">
        <v>38.299999999999997</v>
      </c>
      <c r="R516">
        <v>1</v>
      </c>
      <c r="S516">
        <v>0</v>
      </c>
      <c r="T516">
        <v>4</v>
      </c>
      <c r="U516">
        <v>4</v>
      </c>
    </row>
    <row r="517" spans="1:21" ht="16.5" x14ac:dyDescent="0.3">
      <c r="A517" t="s">
        <v>593</v>
      </c>
      <c r="B517" s="1">
        <v>45382</v>
      </c>
      <c r="C517">
        <v>2024</v>
      </c>
      <c r="D517" t="s">
        <v>22</v>
      </c>
      <c r="E517" t="s">
        <v>402</v>
      </c>
      <c r="F517" t="s">
        <v>24</v>
      </c>
      <c r="G517" t="s">
        <v>25</v>
      </c>
      <c r="H517" t="s">
        <v>26</v>
      </c>
      <c r="I517" t="s">
        <v>70</v>
      </c>
      <c r="J517" t="s">
        <v>252</v>
      </c>
      <c r="K517">
        <v>1</v>
      </c>
      <c r="L517" s="2">
        <v>216.08</v>
      </c>
      <c r="M517" s="3">
        <v>0.1</v>
      </c>
      <c r="N517" t="s">
        <v>29</v>
      </c>
      <c r="O517" s="2">
        <v>194.47</v>
      </c>
      <c r="P517" s="2">
        <v>170.79</v>
      </c>
      <c r="Q517" s="2">
        <v>23.68</v>
      </c>
      <c r="R517">
        <v>1</v>
      </c>
      <c r="S517">
        <v>0</v>
      </c>
      <c r="T517">
        <v>3</v>
      </c>
      <c r="U517">
        <v>4</v>
      </c>
    </row>
    <row r="518" spans="1:21" ht="16.5" x14ac:dyDescent="0.3">
      <c r="A518" t="s">
        <v>594</v>
      </c>
      <c r="B518" s="1">
        <v>45382</v>
      </c>
      <c r="C518">
        <v>2024</v>
      </c>
      <c r="D518" t="s">
        <v>22</v>
      </c>
      <c r="E518" t="s">
        <v>402</v>
      </c>
      <c r="F518" t="s">
        <v>24</v>
      </c>
      <c r="G518" t="s">
        <v>51</v>
      </c>
      <c r="H518" t="s">
        <v>32</v>
      </c>
      <c r="I518" t="s">
        <v>36</v>
      </c>
      <c r="J518" t="s">
        <v>126</v>
      </c>
      <c r="K518">
        <v>2</v>
      </c>
      <c r="L518" s="2">
        <v>54.56</v>
      </c>
      <c r="M518" s="3">
        <v>0.15</v>
      </c>
      <c r="N518" t="s">
        <v>34</v>
      </c>
      <c r="O518" s="2">
        <v>92.75</v>
      </c>
      <c r="P518" s="2">
        <v>51.54</v>
      </c>
      <c r="Q518" s="2">
        <v>41.21</v>
      </c>
      <c r="R518">
        <v>1</v>
      </c>
      <c r="S518">
        <v>0</v>
      </c>
      <c r="T518">
        <v>2</v>
      </c>
      <c r="U518">
        <v>4</v>
      </c>
    </row>
    <row r="519" spans="1:21" ht="16.5" x14ac:dyDescent="0.3">
      <c r="A519" t="s">
        <v>595</v>
      </c>
      <c r="B519" s="1">
        <v>45382</v>
      </c>
      <c r="C519">
        <v>2024</v>
      </c>
      <c r="D519" t="s">
        <v>22</v>
      </c>
      <c r="E519" t="s">
        <v>402</v>
      </c>
      <c r="F519" t="s">
        <v>24</v>
      </c>
      <c r="G519" t="s">
        <v>25</v>
      </c>
      <c r="H519" t="s">
        <v>32</v>
      </c>
      <c r="I519" t="s">
        <v>70</v>
      </c>
      <c r="J519" t="s">
        <v>71</v>
      </c>
      <c r="K519">
        <v>3</v>
      </c>
      <c r="L519" s="2">
        <v>588.41</v>
      </c>
      <c r="M519" s="3">
        <v>0.1</v>
      </c>
      <c r="N519" t="s">
        <v>29</v>
      </c>
      <c r="O519" s="2">
        <v>1588.71</v>
      </c>
      <c r="P519" s="2">
        <v>1358.16</v>
      </c>
      <c r="Q519" s="2">
        <v>230.55</v>
      </c>
      <c r="R519">
        <v>1</v>
      </c>
      <c r="S519">
        <v>0</v>
      </c>
      <c r="T519">
        <v>3</v>
      </c>
      <c r="U519">
        <v>4</v>
      </c>
    </row>
    <row r="520" spans="1:21" ht="16.5" x14ac:dyDescent="0.3">
      <c r="A520" t="s">
        <v>596</v>
      </c>
      <c r="B520" s="1">
        <v>45382</v>
      </c>
      <c r="C520">
        <v>2024</v>
      </c>
      <c r="D520" t="s">
        <v>22</v>
      </c>
      <c r="E520" t="s">
        <v>402</v>
      </c>
      <c r="F520" t="s">
        <v>24</v>
      </c>
      <c r="G520" t="s">
        <v>25</v>
      </c>
      <c r="H520" t="s">
        <v>26</v>
      </c>
      <c r="I520" t="s">
        <v>70</v>
      </c>
      <c r="J520" t="s">
        <v>87</v>
      </c>
      <c r="K520">
        <v>2</v>
      </c>
      <c r="L520" s="2">
        <v>490.3</v>
      </c>
      <c r="M520" s="3">
        <v>0.05</v>
      </c>
      <c r="N520" t="s">
        <v>29</v>
      </c>
      <c r="O520" s="2">
        <v>931.57</v>
      </c>
      <c r="P520" s="2">
        <v>748.65</v>
      </c>
      <c r="Q520" s="2">
        <v>182.92</v>
      </c>
      <c r="R520">
        <v>1</v>
      </c>
      <c r="S520">
        <v>0</v>
      </c>
      <c r="T520">
        <v>3</v>
      </c>
      <c r="U520">
        <v>4</v>
      </c>
    </row>
    <row r="521" spans="1:21" ht="16.5" x14ac:dyDescent="0.3">
      <c r="A521" t="s">
        <v>597</v>
      </c>
      <c r="B521" s="1">
        <v>45382</v>
      </c>
      <c r="C521">
        <v>2024</v>
      </c>
      <c r="D521" t="s">
        <v>22</v>
      </c>
      <c r="E521" t="s">
        <v>402</v>
      </c>
      <c r="F521" t="s">
        <v>24</v>
      </c>
      <c r="G521" t="s">
        <v>46</v>
      </c>
      <c r="H521" t="s">
        <v>32</v>
      </c>
      <c r="I521" t="s">
        <v>84</v>
      </c>
      <c r="J521" t="s">
        <v>106</v>
      </c>
      <c r="K521">
        <v>1</v>
      </c>
      <c r="L521" s="2">
        <v>45.28</v>
      </c>
      <c r="M521" s="3">
        <v>0.2</v>
      </c>
      <c r="N521" t="s">
        <v>34</v>
      </c>
      <c r="O521" s="2">
        <v>36.22</v>
      </c>
      <c r="P521" s="2">
        <v>31.23</v>
      </c>
      <c r="Q521" s="2">
        <v>4.99</v>
      </c>
      <c r="R521">
        <v>1</v>
      </c>
      <c r="S521">
        <v>0</v>
      </c>
      <c r="T521">
        <v>6</v>
      </c>
      <c r="U521">
        <v>4</v>
      </c>
    </row>
    <row r="522" spans="1:21" ht="16.5" x14ac:dyDescent="0.3">
      <c r="A522" t="s">
        <v>598</v>
      </c>
      <c r="B522" s="1">
        <v>45383</v>
      </c>
      <c r="C522">
        <v>2024</v>
      </c>
      <c r="D522" t="s">
        <v>599</v>
      </c>
      <c r="E522" t="s">
        <v>600</v>
      </c>
      <c r="F522" t="s">
        <v>45</v>
      </c>
      <c r="G522" t="s">
        <v>51</v>
      </c>
      <c r="H522" t="s">
        <v>26</v>
      </c>
      <c r="I522" t="s">
        <v>27</v>
      </c>
      <c r="J522" t="s">
        <v>47</v>
      </c>
      <c r="K522">
        <v>1</v>
      </c>
      <c r="L522" s="2">
        <v>33.99</v>
      </c>
      <c r="M522" s="3">
        <v>0.15</v>
      </c>
      <c r="N522" t="s">
        <v>34</v>
      </c>
      <c r="O522" s="2">
        <v>28.89</v>
      </c>
      <c r="P522" s="2">
        <v>18.399999999999999</v>
      </c>
      <c r="Q522" s="2">
        <v>10.49</v>
      </c>
      <c r="R522">
        <v>1</v>
      </c>
      <c r="S522">
        <v>1</v>
      </c>
      <c r="T522">
        <v>2</v>
      </c>
      <c r="U522">
        <v>3</v>
      </c>
    </row>
    <row r="523" spans="1:21" ht="16.5" x14ac:dyDescent="0.3">
      <c r="A523" t="s">
        <v>601</v>
      </c>
      <c r="B523" s="1">
        <v>45383</v>
      </c>
      <c r="C523">
        <v>2024</v>
      </c>
      <c r="D523" t="s">
        <v>599</v>
      </c>
      <c r="E523" t="s">
        <v>600</v>
      </c>
      <c r="F523" t="s">
        <v>31</v>
      </c>
      <c r="G523" t="s">
        <v>49</v>
      </c>
      <c r="H523" t="s">
        <v>32</v>
      </c>
      <c r="I523" t="s">
        <v>67</v>
      </c>
      <c r="J523" t="s">
        <v>93</v>
      </c>
      <c r="K523">
        <v>3</v>
      </c>
      <c r="L523" s="2">
        <v>198.42</v>
      </c>
      <c r="M523" s="3">
        <v>0.2</v>
      </c>
      <c r="N523" t="s">
        <v>34</v>
      </c>
      <c r="O523" s="2">
        <v>476.21</v>
      </c>
      <c r="P523" s="2">
        <v>396.25</v>
      </c>
      <c r="Q523" s="2">
        <v>79.959999999999994</v>
      </c>
      <c r="R523">
        <v>1</v>
      </c>
      <c r="S523">
        <v>0</v>
      </c>
      <c r="T523">
        <v>4</v>
      </c>
      <c r="U523">
        <v>3</v>
      </c>
    </row>
    <row r="524" spans="1:21" ht="16.5" x14ac:dyDescent="0.3">
      <c r="A524" t="s">
        <v>602</v>
      </c>
      <c r="B524" s="1">
        <v>45383</v>
      </c>
      <c r="C524">
        <v>2024</v>
      </c>
      <c r="D524" t="s">
        <v>599</v>
      </c>
      <c r="E524" t="s">
        <v>600</v>
      </c>
      <c r="F524" t="s">
        <v>45</v>
      </c>
      <c r="G524" t="s">
        <v>65</v>
      </c>
      <c r="H524" t="s">
        <v>26</v>
      </c>
      <c r="I524" t="s">
        <v>84</v>
      </c>
      <c r="J524" t="s">
        <v>106</v>
      </c>
      <c r="K524">
        <v>1</v>
      </c>
      <c r="L524" s="2">
        <v>45.28</v>
      </c>
      <c r="M524" s="3">
        <v>0.3</v>
      </c>
      <c r="N524" t="s">
        <v>62</v>
      </c>
      <c r="O524" s="2">
        <v>31.7</v>
      </c>
      <c r="P524" s="2">
        <v>32.770000000000003</v>
      </c>
      <c r="Q524" s="2">
        <v>-1.07</v>
      </c>
      <c r="R524">
        <v>1</v>
      </c>
      <c r="S524">
        <v>1</v>
      </c>
      <c r="T524">
        <v>8</v>
      </c>
      <c r="U524">
        <v>1</v>
      </c>
    </row>
    <row r="525" spans="1:21" ht="16.5" x14ac:dyDescent="0.3">
      <c r="A525" t="s">
        <v>603</v>
      </c>
      <c r="B525" s="1">
        <v>45383</v>
      </c>
      <c r="C525">
        <v>2024</v>
      </c>
      <c r="D525" t="s">
        <v>599</v>
      </c>
      <c r="E525" t="s">
        <v>600</v>
      </c>
      <c r="F525" t="s">
        <v>45</v>
      </c>
      <c r="G525" t="s">
        <v>51</v>
      </c>
      <c r="H525" t="s">
        <v>26</v>
      </c>
      <c r="I525" t="s">
        <v>67</v>
      </c>
      <c r="J525" t="s">
        <v>78</v>
      </c>
      <c r="K525">
        <v>1</v>
      </c>
      <c r="L525" s="2">
        <v>85.42</v>
      </c>
      <c r="M525" s="3">
        <v>0.1</v>
      </c>
      <c r="N525" t="s">
        <v>29</v>
      </c>
      <c r="O525" s="2">
        <v>76.88</v>
      </c>
      <c r="P525" s="2">
        <v>56.62</v>
      </c>
      <c r="Q525" s="2">
        <v>20.260000000000002</v>
      </c>
      <c r="R525">
        <v>1</v>
      </c>
      <c r="S525">
        <v>0</v>
      </c>
      <c r="T525">
        <v>4</v>
      </c>
      <c r="U525">
        <v>4</v>
      </c>
    </row>
    <row r="526" spans="1:21" ht="16.5" x14ac:dyDescent="0.3">
      <c r="A526" t="s">
        <v>604</v>
      </c>
      <c r="B526" s="1">
        <v>45383</v>
      </c>
      <c r="C526">
        <v>2024</v>
      </c>
      <c r="D526" t="s">
        <v>599</v>
      </c>
      <c r="E526" t="s">
        <v>600</v>
      </c>
      <c r="F526" t="s">
        <v>31</v>
      </c>
      <c r="G526" t="s">
        <v>51</v>
      </c>
      <c r="H526" t="s">
        <v>26</v>
      </c>
      <c r="I526" t="s">
        <v>36</v>
      </c>
      <c r="J526" t="s">
        <v>126</v>
      </c>
      <c r="K526">
        <v>2</v>
      </c>
      <c r="L526" s="2">
        <v>54.56</v>
      </c>
      <c r="M526" s="3">
        <v>0</v>
      </c>
      <c r="N526" t="s">
        <v>38</v>
      </c>
      <c r="O526" s="2">
        <v>109.12</v>
      </c>
      <c r="P526" s="2">
        <v>51.39</v>
      </c>
      <c r="Q526" s="2">
        <v>57.73</v>
      </c>
      <c r="R526">
        <v>1</v>
      </c>
      <c r="S526">
        <v>0</v>
      </c>
      <c r="T526">
        <v>3</v>
      </c>
      <c r="U526">
        <v>3</v>
      </c>
    </row>
    <row r="527" spans="1:21" ht="16.5" x14ac:dyDescent="0.3">
      <c r="A527" t="s">
        <v>605</v>
      </c>
      <c r="B527" s="1">
        <v>45384</v>
      </c>
      <c r="C527">
        <v>2024</v>
      </c>
      <c r="D527" t="s">
        <v>599</v>
      </c>
      <c r="E527" t="s">
        <v>600</v>
      </c>
      <c r="F527" t="s">
        <v>45</v>
      </c>
      <c r="G527" t="s">
        <v>51</v>
      </c>
      <c r="H527" t="s">
        <v>26</v>
      </c>
      <c r="I527" t="s">
        <v>70</v>
      </c>
      <c r="J527" t="s">
        <v>252</v>
      </c>
      <c r="K527">
        <v>4</v>
      </c>
      <c r="L527" s="2">
        <v>216.08</v>
      </c>
      <c r="M527" s="3">
        <v>0.2</v>
      </c>
      <c r="N527" t="s">
        <v>34</v>
      </c>
      <c r="O527" s="2">
        <v>691.46</v>
      </c>
      <c r="P527" s="2">
        <v>700.3</v>
      </c>
      <c r="Q527" s="2">
        <v>-8.84</v>
      </c>
      <c r="R527">
        <v>1</v>
      </c>
      <c r="S527">
        <v>0</v>
      </c>
      <c r="T527">
        <v>3</v>
      </c>
      <c r="U527">
        <v>5</v>
      </c>
    </row>
    <row r="528" spans="1:21" ht="16.5" x14ac:dyDescent="0.3">
      <c r="A528" t="s">
        <v>606</v>
      </c>
      <c r="B528" s="1">
        <v>45384</v>
      </c>
      <c r="C528">
        <v>2024</v>
      </c>
      <c r="D528" t="s">
        <v>599</v>
      </c>
      <c r="E528" t="s">
        <v>600</v>
      </c>
      <c r="F528" t="s">
        <v>24</v>
      </c>
      <c r="G528" t="s">
        <v>51</v>
      </c>
      <c r="H528" t="s">
        <v>32</v>
      </c>
      <c r="I528" t="s">
        <v>42</v>
      </c>
      <c r="J528" t="s">
        <v>89</v>
      </c>
      <c r="K528">
        <v>1</v>
      </c>
      <c r="L528" s="2">
        <v>68.349999999999994</v>
      </c>
      <c r="M528" s="3">
        <v>0.05</v>
      </c>
      <c r="N528" t="s">
        <v>29</v>
      </c>
      <c r="O528" s="2">
        <v>64.930000000000007</v>
      </c>
      <c r="P528" s="2">
        <v>45.14</v>
      </c>
      <c r="Q528" s="2">
        <v>19.79</v>
      </c>
      <c r="R528">
        <v>1</v>
      </c>
      <c r="S528">
        <v>0</v>
      </c>
      <c r="T528">
        <v>3</v>
      </c>
      <c r="U528">
        <v>5</v>
      </c>
    </row>
    <row r="529" spans="1:21" ht="16.5" x14ac:dyDescent="0.3">
      <c r="A529" t="s">
        <v>607</v>
      </c>
      <c r="B529" s="1">
        <v>45384</v>
      </c>
      <c r="C529">
        <v>2024</v>
      </c>
      <c r="D529" t="s">
        <v>599</v>
      </c>
      <c r="E529" t="s">
        <v>600</v>
      </c>
      <c r="F529" t="s">
        <v>31</v>
      </c>
      <c r="G529" t="s">
        <v>51</v>
      </c>
      <c r="H529" t="s">
        <v>26</v>
      </c>
      <c r="I529" t="s">
        <v>70</v>
      </c>
      <c r="J529" t="s">
        <v>129</v>
      </c>
      <c r="K529">
        <v>1</v>
      </c>
      <c r="L529" s="2">
        <v>177.65</v>
      </c>
      <c r="M529" s="3">
        <v>0.05</v>
      </c>
      <c r="N529" t="s">
        <v>29</v>
      </c>
      <c r="O529" s="2">
        <v>168.77</v>
      </c>
      <c r="P529" s="2">
        <v>134</v>
      </c>
      <c r="Q529" s="2">
        <v>34.770000000000003</v>
      </c>
      <c r="R529">
        <v>1</v>
      </c>
      <c r="S529">
        <v>0</v>
      </c>
      <c r="T529">
        <v>2</v>
      </c>
      <c r="U529">
        <v>5</v>
      </c>
    </row>
    <row r="530" spans="1:21" ht="16.5" x14ac:dyDescent="0.3">
      <c r="A530" t="s">
        <v>608</v>
      </c>
      <c r="B530" s="1">
        <v>45385</v>
      </c>
      <c r="C530">
        <v>2024</v>
      </c>
      <c r="D530" t="s">
        <v>599</v>
      </c>
      <c r="E530" t="s">
        <v>600</v>
      </c>
      <c r="F530" t="s">
        <v>31</v>
      </c>
      <c r="G530" t="s">
        <v>49</v>
      </c>
      <c r="H530" t="s">
        <v>26</v>
      </c>
      <c r="I530" t="s">
        <v>27</v>
      </c>
      <c r="J530" t="s">
        <v>28</v>
      </c>
      <c r="K530">
        <v>4</v>
      </c>
      <c r="L530" s="2">
        <v>138.5</v>
      </c>
      <c r="M530" s="3">
        <v>0</v>
      </c>
      <c r="N530" t="s">
        <v>38</v>
      </c>
      <c r="O530" s="2">
        <v>554</v>
      </c>
      <c r="P530" s="2">
        <v>300.51</v>
      </c>
      <c r="Q530" s="2">
        <v>253.49</v>
      </c>
      <c r="R530">
        <v>1</v>
      </c>
      <c r="S530">
        <v>0</v>
      </c>
      <c r="T530">
        <v>3</v>
      </c>
      <c r="U530">
        <v>5</v>
      </c>
    </row>
    <row r="531" spans="1:21" ht="16.5" x14ac:dyDescent="0.3">
      <c r="A531" t="s">
        <v>609</v>
      </c>
      <c r="B531" s="1">
        <v>45385</v>
      </c>
      <c r="C531">
        <v>2024</v>
      </c>
      <c r="D531" t="s">
        <v>599</v>
      </c>
      <c r="E531" t="s">
        <v>600</v>
      </c>
      <c r="F531" t="s">
        <v>24</v>
      </c>
      <c r="G531" t="s">
        <v>49</v>
      </c>
      <c r="H531" t="s">
        <v>32</v>
      </c>
      <c r="I531" t="s">
        <v>67</v>
      </c>
      <c r="J531" t="s">
        <v>68</v>
      </c>
      <c r="K531">
        <v>4</v>
      </c>
      <c r="L531" s="2">
        <v>74.459999999999994</v>
      </c>
      <c r="M531" s="3">
        <v>0.05</v>
      </c>
      <c r="N531" t="s">
        <v>29</v>
      </c>
      <c r="O531" s="2">
        <v>282.95</v>
      </c>
      <c r="P531" s="2">
        <v>193.84</v>
      </c>
      <c r="Q531" s="2">
        <v>89.11</v>
      </c>
      <c r="R531">
        <v>1</v>
      </c>
      <c r="S531">
        <v>0</v>
      </c>
      <c r="T531">
        <v>4</v>
      </c>
      <c r="U531">
        <v>4</v>
      </c>
    </row>
    <row r="532" spans="1:21" ht="16.5" x14ac:dyDescent="0.3">
      <c r="A532" t="s">
        <v>610</v>
      </c>
      <c r="B532" s="1">
        <v>45385</v>
      </c>
      <c r="C532">
        <v>2024</v>
      </c>
      <c r="D532" t="s">
        <v>599</v>
      </c>
      <c r="E532" t="s">
        <v>600</v>
      </c>
      <c r="F532" t="s">
        <v>24</v>
      </c>
      <c r="G532" t="s">
        <v>65</v>
      </c>
      <c r="H532" t="s">
        <v>32</v>
      </c>
      <c r="I532" t="s">
        <v>67</v>
      </c>
      <c r="J532" t="s">
        <v>78</v>
      </c>
      <c r="K532">
        <v>2</v>
      </c>
      <c r="L532" s="2">
        <v>85.42</v>
      </c>
      <c r="M532" s="3">
        <v>0.15</v>
      </c>
      <c r="N532" t="s">
        <v>34</v>
      </c>
      <c r="O532" s="2">
        <v>145.21</v>
      </c>
      <c r="P532" s="2">
        <v>117.23</v>
      </c>
      <c r="Q532" s="2">
        <v>27.98</v>
      </c>
      <c r="R532">
        <v>1</v>
      </c>
      <c r="S532">
        <v>0</v>
      </c>
      <c r="T532">
        <v>8</v>
      </c>
      <c r="U532">
        <v>4</v>
      </c>
    </row>
    <row r="533" spans="1:21" ht="16.5" x14ac:dyDescent="0.3">
      <c r="A533" t="s">
        <v>611</v>
      </c>
      <c r="B533" s="1">
        <v>45385</v>
      </c>
      <c r="C533">
        <v>2024</v>
      </c>
      <c r="D533" t="s">
        <v>599</v>
      </c>
      <c r="E533" t="s">
        <v>600</v>
      </c>
      <c r="F533" t="s">
        <v>24</v>
      </c>
      <c r="G533" t="s">
        <v>25</v>
      </c>
      <c r="H533" t="s">
        <v>32</v>
      </c>
      <c r="I533" t="s">
        <v>70</v>
      </c>
      <c r="J533" t="s">
        <v>87</v>
      </c>
      <c r="K533">
        <v>2</v>
      </c>
      <c r="L533" s="2">
        <v>490.3</v>
      </c>
      <c r="M533" s="3">
        <v>0</v>
      </c>
      <c r="N533" t="s">
        <v>38</v>
      </c>
      <c r="O533" s="2">
        <v>980.6</v>
      </c>
      <c r="P533" s="2">
        <v>785.34</v>
      </c>
      <c r="Q533" s="2">
        <v>195.26</v>
      </c>
      <c r="R533">
        <v>1</v>
      </c>
      <c r="S533">
        <v>0</v>
      </c>
      <c r="T533">
        <v>3</v>
      </c>
      <c r="U533">
        <v>4</v>
      </c>
    </row>
    <row r="534" spans="1:21" ht="16.5" x14ac:dyDescent="0.3">
      <c r="A534" t="s">
        <v>612</v>
      </c>
      <c r="B534" s="1">
        <v>45385</v>
      </c>
      <c r="C534">
        <v>2024</v>
      </c>
      <c r="D534" t="s">
        <v>599</v>
      </c>
      <c r="E534" t="s">
        <v>600</v>
      </c>
      <c r="F534" t="s">
        <v>24</v>
      </c>
      <c r="G534" t="s">
        <v>46</v>
      </c>
      <c r="H534" t="s">
        <v>32</v>
      </c>
      <c r="I534" t="s">
        <v>42</v>
      </c>
      <c r="J534" t="s">
        <v>58</v>
      </c>
      <c r="K534">
        <v>3</v>
      </c>
      <c r="L534" s="2">
        <v>233.81</v>
      </c>
      <c r="M534" s="3">
        <v>0</v>
      </c>
      <c r="N534" t="s">
        <v>38</v>
      </c>
      <c r="O534" s="2">
        <v>701.43</v>
      </c>
      <c r="P534" s="2">
        <v>446.07</v>
      </c>
      <c r="Q534" s="2">
        <v>255.36</v>
      </c>
      <c r="R534">
        <v>1</v>
      </c>
      <c r="S534">
        <v>0</v>
      </c>
      <c r="T534">
        <v>6</v>
      </c>
      <c r="U534">
        <v>4</v>
      </c>
    </row>
    <row r="535" spans="1:21" ht="16.5" x14ac:dyDescent="0.3">
      <c r="A535" t="s">
        <v>613</v>
      </c>
      <c r="B535" s="1">
        <v>45385</v>
      </c>
      <c r="C535">
        <v>2024</v>
      </c>
      <c r="D535" t="s">
        <v>599</v>
      </c>
      <c r="E535" t="s">
        <v>600</v>
      </c>
      <c r="F535" t="s">
        <v>24</v>
      </c>
      <c r="G535" t="s">
        <v>49</v>
      </c>
      <c r="H535" t="s">
        <v>32</v>
      </c>
      <c r="I535" t="s">
        <v>27</v>
      </c>
      <c r="J535" t="s">
        <v>40</v>
      </c>
      <c r="K535">
        <v>1</v>
      </c>
      <c r="L535" s="2">
        <v>104.94</v>
      </c>
      <c r="M535" s="3">
        <v>0.2</v>
      </c>
      <c r="N535" t="s">
        <v>34</v>
      </c>
      <c r="O535" s="2">
        <v>83.95</v>
      </c>
      <c r="P535" s="2">
        <v>57.15</v>
      </c>
      <c r="Q535" s="2">
        <v>26.8</v>
      </c>
      <c r="R535">
        <v>1</v>
      </c>
      <c r="S535">
        <v>0</v>
      </c>
      <c r="T535">
        <v>3</v>
      </c>
      <c r="U535">
        <v>4</v>
      </c>
    </row>
    <row r="536" spans="1:21" ht="16.5" x14ac:dyDescent="0.3">
      <c r="A536" t="s">
        <v>614</v>
      </c>
      <c r="B536" s="1">
        <v>45385</v>
      </c>
      <c r="C536">
        <v>2024</v>
      </c>
      <c r="D536" t="s">
        <v>599</v>
      </c>
      <c r="E536" t="s">
        <v>600</v>
      </c>
      <c r="F536" t="s">
        <v>31</v>
      </c>
      <c r="G536" t="s">
        <v>51</v>
      </c>
      <c r="H536" t="s">
        <v>26</v>
      </c>
      <c r="I536" t="s">
        <v>27</v>
      </c>
      <c r="J536" t="s">
        <v>33</v>
      </c>
      <c r="K536">
        <v>1</v>
      </c>
      <c r="L536" s="2">
        <v>78.510000000000005</v>
      </c>
      <c r="M536" s="3">
        <v>0.05</v>
      </c>
      <c r="N536" t="s">
        <v>29</v>
      </c>
      <c r="O536" s="2">
        <v>74.58</v>
      </c>
      <c r="P536" s="2">
        <v>42.86</v>
      </c>
      <c r="Q536" s="2">
        <v>31.72</v>
      </c>
      <c r="R536">
        <v>1</v>
      </c>
      <c r="S536">
        <v>0</v>
      </c>
      <c r="T536">
        <v>3</v>
      </c>
      <c r="U536">
        <v>4</v>
      </c>
    </row>
    <row r="537" spans="1:21" ht="16.5" x14ac:dyDescent="0.3">
      <c r="A537" t="s">
        <v>615</v>
      </c>
      <c r="B537" s="1">
        <v>45385</v>
      </c>
      <c r="C537">
        <v>2024</v>
      </c>
      <c r="D537" t="s">
        <v>599</v>
      </c>
      <c r="E537" t="s">
        <v>600</v>
      </c>
      <c r="F537" t="s">
        <v>24</v>
      </c>
      <c r="G537" t="s">
        <v>25</v>
      </c>
      <c r="H537" t="s">
        <v>32</v>
      </c>
      <c r="I537" t="s">
        <v>84</v>
      </c>
      <c r="J537" t="s">
        <v>96</v>
      </c>
      <c r="K537">
        <v>2</v>
      </c>
      <c r="L537" s="2">
        <v>10.76</v>
      </c>
      <c r="M537" s="3">
        <v>0</v>
      </c>
      <c r="N537" t="s">
        <v>38</v>
      </c>
      <c r="O537" s="2">
        <v>21.52</v>
      </c>
      <c r="P537" s="2">
        <v>15.88</v>
      </c>
      <c r="Q537" s="2">
        <v>5.64</v>
      </c>
      <c r="R537">
        <v>1</v>
      </c>
      <c r="S537">
        <v>0</v>
      </c>
      <c r="T537">
        <v>3</v>
      </c>
      <c r="U537">
        <v>4</v>
      </c>
    </row>
    <row r="538" spans="1:21" ht="16.5" x14ac:dyDescent="0.3">
      <c r="A538" t="s">
        <v>616</v>
      </c>
      <c r="B538" s="1">
        <v>45385</v>
      </c>
      <c r="C538">
        <v>2024</v>
      </c>
      <c r="D538" t="s">
        <v>599</v>
      </c>
      <c r="E538" t="s">
        <v>600</v>
      </c>
      <c r="F538" t="s">
        <v>31</v>
      </c>
      <c r="G538" t="s">
        <v>46</v>
      </c>
      <c r="H538" t="s">
        <v>26</v>
      </c>
      <c r="I538" t="s">
        <v>42</v>
      </c>
      <c r="J538" t="s">
        <v>76</v>
      </c>
      <c r="K538">
        <v>1</v>
      </c>
      <c r="L538" s="2">
        <v>90.75</v>
      </c>
      <c r="M538" s="3">
        <v>0</v>
      </c>
      <c r="N538" t="s">
        <v>38</v>
      </c>
      <c r="O538" s="2">
        <v>90.75</v>
      </c>
      <c r="P538" s="2">
        <v>58.26</v>
      </c>
      <c r="Q538" s="2">
        <v>32.49</v>
      </c>
      <c r="R538">
        <v>1</v>
      </c>
      <c r="S538">
        <v>0</v>
      </c>
      <c r="T538">
        <v>5</v>
      </c>
      <c r="U538">
        <v>4</v>
      </c>
    </row>
    <row r="539" spans="1:21" ht="16.5" x14ac:dyDescent="0.3">
      <c r="A539" t="s">
        <v>617</v>
      </c>
      <c r="B539" s="1">
        <v>45385</v>
      </c>
      <c r="C539">
        <v>2024</v>
      </c>
      <c r="D539" t="s">
        <v>599</v>
      </c>
      <c r="E539" t="s">
        <v>600</v>
      </c>
      <c r="F539" t="s">
        <v>24</v>
      </c>
      <c r="G539" t="s">
        <v>46</v>
      </c>
      <c r="H539" t="s">
        <v>32</v>
      </c>
      <c r="I539" t="s">
        <v>70</v>
      </c>
      <c r="J539" t="s">
        <v>162</v>
      </c>
      <c r="K539">
        <v>3</v>
      </c>
      <c r="L539" s="2">
        <v>636.09</v>
      </c>
      <c r="M539" s="3">
        <v>0.15</v>
      </c>
      <c r="N539" t="s">
        <v>34</v>
      </c>
      <c r="O539" s="2">
        <v>1622.03</v>
      </c>
      <c r="P539" s="2">
        <v>1496.21</v>
      </c>
      <c r="Q539" s="2">
        <v>125.82</v>
      </c>
      <c r="R539">
        <v>1</v>
      </c>
      <c r="S539">
        <v>0</v>
      </c>
      <c r="T539">
        <v>6</v>
      </c>
      <c r="U539">
        <v>3</v>
      </c>
    </row>
    <row r="540" spans="1:21" ht="16.5" x14ac:dyDescent="0.3">
      <c r="A540" t="s">
        <v>618</v>
      </c>
      <c r="B540" s="1">
        <v>45386</v>
      </c>
      <c r="C540">
        <v>2024</v>
      </c>
      <c r="D540" t="s">
        <v>599</v>
      </c>
      <c r="E540" t="s">
        <v>600</v>
      </c>
      <c r="F540" t="s">
        <v>45</v>
      </c>
      <c r="G540" t="s">
        <v>51</v>
      </c>
      <c r="H540" t="s">
        <v>32</v>
      </c>
      <c r="I540" t="s">
        <v>27</v>
      </c>
      <c r="J540" t="s">
        <v>28</v>
      </c>
      <c r="K540">
        <v>1</v>
      </c>
      <c r="L540" s="2">
        <v>138.5</v>
      </c>
      <c r="M540" s="3">
        <v>0.05</v>
      </c>
      <c r="N540" t="s">
        <v>29</v>
      </c>
      <c r="O540" s="2">
        <v>131.57</v>
      </c>
      <c r="P540" s="2">
        <v>73.86</v>
      </c>
      <c r="Q540" s="2">
        <v>57.71</v>
      </c>
      <c r="R540">
        <v>1</v>
      </c>
      <c r="S540">
        <v>0</v>
      </c>
      <c r="T540">
        <v>2</v>
      </c>
      <c r="U540">
        <v>4</v>
      </c>
    </row>
    <row r="541" spans="1:21" ht="16.5" x14ac:dyDescent="0.3">
      <c r="A541" t="s">
        <v>619</v>
      </c>
      <c r="B541" s="1">
        <v>45386</v>
      </c>
      <c r="C541">
        <v>2024</v>
      </c>
      <c r="D541" t="s">
        <v>599</v>
      </c>
      <c r="E541" t="s">
        <v>600</v>
      </c>
      <c r="F541" t="s">
        <v>24</v>
      </c>
      <c r="G541" t="s">
        <v>51</v>
      </c>
      <c r="H541" t="s">
        <v>26</v>
      </c>
      <c r="I541" t="s">
        <v>27</v>
      </c>
      <c r="J541" t="s">
        <v>60</v>
      </c>
      <c r="K541">
        <v>3</v>
      </c>
      <c r="L541" s="2">
        <v>94.85</v>
      </c>
      <c r="M541" s="3">
        <v>0</v>
      </c>
      <c r="N541" t="s">
        <v>38</v>
      </c>
      <c r="O541" s="2">
        <v>284.55</v>
      </c>
      <c r="P541" s="2">
        <v>152.97999999999999</v>
      </c>
      <c r="Q541" s="2">
        <v>131.57</v>
      </c>
      <c r="R541">
        <v>1</v>
      </c>
      <c r="S541">
        <v>1</v>
      </c>
      <c r="T541">
        <v>3</v>
      </c>
      <c r="U541">
        <v>3</v>
      </c>
    </row>
    <row r="542" spans="1:21" ht="16.5" x14ac:dyDescent="0.3">
      <c r="A542" t="s">
        <v>620</v>
      </c>
      <c r="B542" s="1">
        <v>45386</v>
      </c>
      <c r="C542">
        <v>2024</v>
      </c>
      <c r="D542" t="s">
        <v>599</v>
      </c>
      <c r="E542" t="s">
        <v>600</v>
      </c>
      <c r="F542" t="s">
        <v>31</v>
      </c>
      <c r="G542" t="s">
        <v>46</v>
      </c>
      <c r="H542" t="s">
        <v>32</v>
      </c>
      <c r="I542" t="s">
        <v>70</v>
      </c>
      <c r="J542" t="s">
        <v>162</v>
      </c>
      <c r="K542">
        <v>1</v>
      </c>
      <c r="L542" s="2">
        <v>636.09</v>
      </c>
      <c r="M542" s="3">
        <v>0</v>
      </c>
      <c r="N542" t="s">
        <v>38</v>
      </c>
      <c r="O542" s="2">
        <v>636.09</v>
      </c>
      <c r="P542" s="2">
        <v>497.9</v>
      </c>
      <c r="Q542" s="2">
        <v>138.19</v>
      </c>
      <c r="R542">
        <v>1</v>
      </c>
      <c r="S542">
        <v>0</v>
      </c>
      <c r="T542">
        <v>5</v>
      </c>
      <c r="U542">
        <v>5</v>
      </c>
    </row>
    <row r="543" spans="1:21" ht="16.5" x14ac:dyDescent="0.3">
      <c r="A543" t="s">
        <v>621</v>
      </c>
      <c r="B543" s="1">
        <v>45386</v>
      </c>
      <c r="C543">
        <v>2024</v>
      </c>
      <c r="D543" t="s">
        <v>599</v>
      </c>
      <c r="E543" t="s">
        <v>600</v>
      </c>
      <c r="F543" t="s">
        <v>31</v>
      </c>
      <c r="G543" t="s">
        <v>51</v>
      </c>
      <c r="H543" t="s">
        <v>32</v>
      </c>
      <c r="I543" t="s">
        <v>70</v>
      </c>
      <c r="J543" t="s">
        <v>87</v>
      </c>
      <c r="K543">
        <v>2</v>
      </c>
      <c r="L543" s="2">
        <v>490.3</v>
      </c>
      <c r="M543" s="3">
        <v>0.1</v>
      </c>
      <c r="N543" t="s">
        <v>29</v>
      </c>
      <c r="O543" s="2">
        <v>882.54</v>
      </c>
      <c r="P543" s="2">
        <v>792.29</v>
      </c>
      <c r="Q543" s="2">
        <v>90.25</v>
      </c>
      <c r="R543">
        <v>1</v>
      </c>
      <c r="S543">
        <v>0</v>
      </c>
      <c r="T543">
        <v>2</v>
      </c>
      <c r="U543">
        <v>4</v>
      </c>
    </row>
    <row r="544" spans="1:21" ht="16.5" x14ac:dyDescent="0.3">
      <c r="A544" t="s">
        <v>622</v>
      </c>
      <c r="B544" s="1">
        <v>45387</v>
      </c>
      <c r="C544">
        <v>2024</v>
      </c>
      <c r="D544" t="s">
        <v>599</v>
      </c>
      <c r="E544" t="s">
        <v>600</v>
      </c>
      <c r="F544" t="s">
        <v>24</v>
      </c>
      <c r="G544" t="s">
        <v>25</v>
      </c>
      <c r="H544" t="s">
        <v>32</v>
      </c>
      <c r="I544" t="s">
        <v>70</v>
      </c>
      <c r="J544" t="s">
        <v>71</v>
      </c>
      <c r="K544">
        <v>2</v>
      </c>
      <c r="L544" s="2">
        <v>588.41</v>
      </c>
      <c r="M544" s="3">
        <v>0</v>
      </c>
      <c r="N544" t="s">
        <v>38</v>
      </c>
      <c r="O544" s="2">
        <v>1176.82</v>
      </c>
      <c r="P544" s="2">
        <v>956.41</v>
      </c>
      <c r="Q544" s="2">
        <v>220.41</v>
      </c>
      <c r="R544">
        <v>1</v>
      </c>
      <c r="S544">
        <v>0</v>
      </c>
      <c r="T544">
        <v>4</v>
      </c>
      <c r="U544">
        <v>5</v>
      </c>
    </row>
    <row r="545" spans="1:21" ht="16.5" x14ac:dyDescent="0.3">
      <c r="A545" t="s">
        <v>623</v>
      </c>
      <c r="B545" s="1">
        <v>45387</v>
      </c>
      <c r="C545">
        <v>2024</v>
      </c>
      <c r="D545" t="s">
        <v>599</v>
      </c>
      <c r="E545" t="s">
        <v>600</v>
      </c>
      <c r="F545" t="s">
        <v>24</v>
      </c>
      <c r="G545" t="s">
        <v>51</v>
      </c>
      <c r="H545" t="s">
        <v>26</v>
      </c>
      <c r="I545" t="s">
        <v>67</v>
      </c>
      <c r="J545" t="s">
        <v>93</v>
      </c>
      <c r="K545">
        <v>4</v>
      </c>
      <c r="L545" s="2">
        <v>198.42</v>
      </c>
      <c r="M545" s="3">
        <v>0.1</v>
      </c>
      <c r="N545" t="s">
        <v>29</v>
      </c>
      <c r="O545" s="2">
        <v>714.31</v>
      </c>
      <c r="P545" s="2">
        <v>512.03</v>
      </c>
      <c r="Q545" s="2">
        <v>202.28</v>
      </c>
      <c r="R545">
        <v>1</v>
      </c>
      <c r="S545">
        <v>1</v>
      </c>
      <c r="T545">
        <v>2</v>
      </c>
      <c r="U545">
        <v>3</v>
      </c>
    </row>
    <row r="546" spans="1:21" ht="16.5" x14ac:dyDescent="0.3">
      <c r="A546" t="s">
        <v>624</v>
      </c>
      <c r="B546" s="1">
        <v>45387</v>
      </c>
      <c r="C546">
        <v>2024</v>
      </c>
      <c r="D546" t="s">
        <v>599</v>
      </c>
      <c r="E546" t="s">
        <v>600</v>
      </c>
      <c r="F546" t="s">
        <v>24</v>
      </c>
      <c r="G546" t="s">
        <v>46</v>
      </c>
      <c r="H546" t="s">
        <v>32</v>
      </c>
      <c r="I546" t="s">
        <v>70</v>
      </c>
      <c r="J546" t="s">
        <v>71</v>
      </c>
      <c r="K546">
        <v>1</v>
      </c>
      <c r="L546" s="2">
        <v>588.41</v>
      </c>
      <c r="M546" s="3">
        <v>0.25</v>
      </c>
      <c r="N546" t="s">
        <v>62</v>
      </c>
      <c r="O546" s="2">
        <v>441.31</v>
      </c>
      <c r="P546" s="2">
        <v>456.38</v>
      </c>
      <c r="Q546" s="2">
        <v>-15.07</v>
      </c>
      <c r="R546">
        <v>1</v>
      </c>
      <c r="S546">
        <v>0</v>
      </c>
      <c r="T546">
        <v>5</v>
      </c>
      <c r="U546">
        <v>5</v>
      </c>
    </row>
    <row r="547" spans="1:21" ht="16.5" x14ac:dyDescent="0.3">
      <c r="A547" t="s">
        <v>625</v>
      </c>
      <c r="B547" s="1">
        <v>45387</v>
      </c>
      <c r="C547">
        <v>2024</v>
      </c>
      <c r="D547" t="s">
        <v>599</v>
      </c>
      <c r="E547" t="s">
        <v>600</v>
      </c>
      <c r="F547" t="s">
        <v>31</v>
      </c>
      <c r="G547" t="s">
        <v>49</v>
      </c>
      <c r="H547" t="s">
        <v>26</v>
      </c>
      <c r="I547" t="s">
        <v>70</v>
      </c>
      <c r="J547" t="s">
        <v>87</v>
      </c>
      <c r="K547">
        <v>1</v>
      </c>
      <c r="L547" s="2">
        <v>490.3</v>
      </c>
      <c r="M547" s="3">
        <v>0.25</v>
      </c>
      <c r="N547" t="s">
        <v>62</v>
      </c>
      <c r="O547" s="2">
        <v>367.72</v>
      </c>
      <c r="P547" s="2">
        <v>386.06</v>
      </c>
      <c r="Q547" s="2">
        <v>-18.34</v>
      </c>
      <c r="R547">
        <v>1</v>
      </c>
      <c r="S547">
        <v>0</v>
      </c>
      <c r="T547">
        <v>3</v>
      </c>
      <c r="U547">
        <v>3</v>
      </c>
    </row>
    <row r="548" spans="1:21" ht="16.5" x14ac:dyDescent="0.3">
      <c r="A548" t="s">
        <v>626</v>
      </c>
      <c r="B548" s="1">
        <v>45387</v>
      </c>
      <c r="C548">
        <v>2024</v>
      </c>
      <c r="D548" t="s">
        <v>599</v>
      </c>
      <c r="E548" t="s">
        <v>600</v>
      </c>
      <c r="F548" t="s">
        <v>45</v>
      </c>
      <c r="G548" t="s">
        <v>51</v>
      </c>
      <c r="H548" t="s">
        <v>32</v>
      </c>
      <c r="I548" t="s">
        <v>84</v>
      </c>
      <c r="J548" t="s">
        <v>96</v>
      </c>
      <c r="K548">
        <v>1</v>
      </c>
      <c r="L548" s="2">
        <v>10.76</v>
      </c>
      <c r="M548" s="3">
        <v>0</v>
      </c>
      <c r="N548" t="s">
        <v>38</v>
      </c>
      <c r="O548" s="2">
        <v>10.76</v>
      </c>
      <c r="P548" s="2">
        <v>7.77</v>
      </c>
      <c r="Q548" s="2">
        <v>2.99</v>
      </c>
      <c r="R548">
        <v>1</v>
      </c>
      <c r="S548">
        <v>0</v>
      </c>
      <c r="T548">
        <v>2</v>
      </c>
      <c r="U548">
        <v>4</v>
      </c>
    </row>
    <row r="549" spans="1:21" ht="16.5" x14ac:dyDescent="0.3">
      <c r="A549" t="s">
        <v>627</v>
      </c>
      <c r="B549" s="1">
        <v>45388</v>
      </c>
      <c r="C549">
        <v>2024</v>
      </c>
      <c r="D549" t="s">
        <v>599</v>
      </c>
      <c r="E549" t="s">
        <v>600</v>
      </c>
      <c r="F549" t="s">
        <v>45</v>
      </c>
      <c r="G549" t="s">
        <v>51</v>
      </c>
      <c r="H549" t="s">
        <v>26</v>
      </c>
      <c r="I549" t="s">
        <v>36</v>
      </c>
      <c r="J549" t="s">
        <v>126</v>
      </c>
      <c r="K549">
        <v>1</v>
      </c>
      <c r="L549" s="2">
        <v>54.56</v>
      </c>
      <c r="M549" s="3">
        <v>0.1</v>
      </c>
      <c r="N549" t="s">
        <v>29</v>
      </c>
      <c r="O549" s="2">
        <v>49.1</v>
      </c>
      <c r="P549" s="2">
        <v>26.85</v>
      </c>
      <c r="Q549" s="2">
        <v>22.25</v>
      </c>
      <c r="R549">
        <v>1</v>
      </c>
      <c r="S549">
        <v>0</v>
      </c>
      <c r="T549">
        <v>3</v>
      </c>
      <c r="U549">
        <v>5</v>
      </c>
    </row>
    <row r="550" spans="1:21" ht="16.5" x14ac:dyDescent="0.3">
      <c r="A550" t="s">
        <v>628</v>
      </c>
      <c r="B550" s="1">
        <v>45388</v>
      </c>
      <c r="C550">
        <v>2024</v>
      </c>
      <c r="D550" t="s">
        <v>599</v>
      </c>
      <c r="E550" t="s">
        <v>600</v>
      </c>
      <c r="F550" t="s">
        <v>24</v>
      </c>
      <c r="G550" t="s">
        <v>51</v>
      </c>
      <c r="H550" t="s">
        <v>26</v>
      </c>
      <c r="I550" t="s">
        <v>27</v>
      </c>
      <c r="J550" t="s">
        <v>40</v>
      </c>
      <c r="K550">
        <v>2</v>
      </c>
      <c r="L550" s="2">
        <v>104.94</v>
      </c>
      <c r="M550" s="3">
        <v>0</v>
      </c>
      <c r="N550" t="s">
        <v>38</v>
      </c>
      <c r="O550" s="2">
        <v>209.88</v>
      </c>
      <c r="P550" s="2">
        <v>115.65</v>
      </c>
      <c r="Q550" s="2">
        <v>94.23</v>
      </c>
      <c r="R550">
        <v>1</v>
      </c>
      <c r="S550">
        <v>0</v>
      </c>
      <c r="T550">
        <v>4</v>
      </c>
      <c r="U550">
        <v>4</v>
      </c>
    </row>
    <row r="551" spans="1:21" ht="16.5" x14ac:dyDescent="0.3">
      <c r="A551" t="s">
        <v>629</v>
      </c>
      <c r="B551" s="1">
        <v>45388</v>
      </c>
      <c r="C551">
        <v>2024</v>
      </c>
      <c r="D551" t="s">
        <v>599</v>
      </c>
      <c r="E551" t="s">
        <v>600</v>
      </c>
      <c r="F551" t="s">
        <v>31</v>
      </c>
      <c r="G551" t="s">
        <v>25</v>
      </c>
      <c r="H551" t="s">
        <v>26</v>
      </c>
      <c r="I551" t="s">
        <v>27</v>
      </c>
      <c r="J551" t="s">
        <v>28</v>
      </c>
      <c r="K551">
        <v>1</v>
      </c>
      <c r="L551" s="2">
        <v>138.5</v>
      </c>
      <c r="M551" s="3">
        <v>0.2</v>
      </c>
      <c r="N551" t="s">
        <v>34</v>
      </c>
      <c r="O551" s="2">
        <v>110.8</v>
      </c>
      <c r="P551" s="2">
        <v>77.47</v>
      </c>
      <c r="Q551" s="2">
        <v>33.33</v>
      </c>
      <c r="R551">
        <v>1</v>
      </c>
      <c r="S551">
        <v>0</v>
      </c>
      <c r="T551">
        <v>8</v>
      </c>
      <c r="U551">
        <v>3</v>
      </c>
    </row>
    <row r="552" spans="1:21" ht="16.5" x14ac:dyDescent="0.3">
      <c r="A552" t="s">
        <v>630</v>
      </c>
      <c r="B552" s="1">
        <v>45388</v>
      </c>
      <c r="C552">
        <v>2024</v>
      </c>
      <c r="D552" t="s">
        <v>599</v>
      </c>
      <c r="E552" t="s">
        <v>600</v>
      </c>
      <c r="F552" t="s">
        <v>31</v>
      </c>
      <c r="G552" t="s">
        <v>49</v>
      </c>
      <c r="H552" t="s">
        <v>32</v>
      </c>
      <c r="I552" t="s">
        <v>70</v>
      </c>
      <c r="J552" t="s">
        <v>162</v>
      </c>
      <c r="K552">
        <v>3</v>
      </c>
      <c r="L552" s="2">
        <v>636.09</v>
      </c>
      <c r="M552" s="3">
        <v>0.1</v>
      </c>
      <c r="N552" t="s">
        <v>29</v>
      </c>
      <c r="O552" s="2">
        <v>1717.44</v>
      </c>
      <c r="P552" s="2">
        <v>1490.23</v>
      </c>
      <c r="Q552" s="2">
        <v>227.21</v>
      </c>
      <c r="R552">
        <v>1</v>
      </c>
      <c r="S552">
        <v>0</v>
      </c>
      <c r="T552">
        <v>3</v>
      </c>
      <c r="U552">
        <v>5</v>
      </c>
    </row>
    <row r="553" spans="1:21" ht="16.5" x14ac:dyDescent="0.3">
      <c r="A553" t="s">
        <v>631</v>
      </c>
      <c r="B553" s="1">
        <v>45388</v>
      </c>
      <c r="C553">
        <v>2024</v>
      </c>
      <c r="D553" t="s">
        <v>599</v>
      </c>
      <c r="E553" t="s">
        <v>600</v>
      </c>
      <c r="F553" t="s">
        <v>45</v>
      </c>
      <c r="G553" t="s">
        <v>49</v>
      </c>
      <c r="H553" t="s">
        <v>32</v>
      </c>
      <c r="I553" t="s">
        <v>70</v>
      </c>
      <c r="J553" t="s">
        <v>129</v>
      </c>
      <c r="K553">
        <v>2</v>
      </c>
      <c r="L553" s="2">
        <v>177.65</v>
      </c>
      <c r="M553" s="3">
        <v>0.1</v>
      </c>
      <c r="N553" t="s">
        <v>29</v>
      </c>
      <c r="O553" s="2">
        <v>319.77</v>
      </c>
      <c r="P553" s="2">
        <v>276.05</v>
      </c>
      <c r="Q553" s="2">
        <v>43.72</v>
      </c>
      <c r="R553">
        <v>1</v>
      </c>
      <c r="S553">
        <v>0</v>
      </c>
      <c r="T553">
        <v>3</v>
      </c>
      <c r="U553">
        <v>4</v>
      </c>
    </row>
    <row r="554" spans="1:21" ht="16.5" x14ac:dyDescent="0.3">
      <c r="A554" t="s">
        <v>632</v>
      </c>
      <c r="B554" s="1">
        <v>45388</v>
      </c>
      <c r="C554">
        <v>2024</v>
      </c>
      <c r="D554" t="s">
        <v>599</v>
      </c>
      <c r="E554" t="s">
        <v>600</v>
      </c>
      <c r="F554" t="s">
        <v>24</v>
      </c>
      <c r="G554" t="s">
        <v>51</v>
      </c>
      <c r="H554" t="s">
        <v>26</v>
      </c>
      <c r="I554" t="s">
        <v>27</v>
      </c>
      <c r="J554" t="s">
        <v>60</v>
      </c>
      <c r="K554">
        <v>1</v>
      </c>
      <c r="L554" s="2">
        <v>94.85</v>
      </c>
      <c r="M554" s="3">
        <v>0</v>
      </c>
      <c r="N554" t="s">
        <v>38</v>
      </c>
      <c r="O554" s="2">
        <v>94.85</v>
      </c>
      <c r="P554" s="2">
        <v>48.61</v>
      </c>
      <c r="Q554" s="2">
        <v>46.24</v>
      </c>
      <c r="R554">
        <v>1</v>
      </c>
      <c r="S554">
        <v>0</v>
      </c>
      <c r="T554">
        <v>2</v>
      </c>
      <c r="U554">
        <v>5</v>
      </c>
    </row>
    <row r="555" spans="1:21" ht="16.5" x14ac:dyDescent="0.3">
      <c r="A555" t="s">
        <v>633</v>
      </c>
      <c r="B555" s="1">
        <v>45388</v>
      </c>
      <c r="C555">
        <v>2024</v>
      </c>
      <c r="D555" t="s">
        <v>599</v>
      </c>
      <c r="E555" t="s">
        <v>600</v>
      </c>
      <c r="F555" t="s">
        <v>45</v>
      </c>
      <c r="G555" t="s">
        <v>49</v>
      </c>
      <c r="H555" t="s">
        <v>26</v>
      </c>
      <c r="I555" t="s">
        <v>27</v>
      </c>
      <c r="J555" t="s">
        <v>40</v>
      </c>
      <c r="K555">
        <v>2</v>
      </c>
      <c r="L555" s="2">
        <v>104.94</v>
      </c>
      <c r="M555" s="3">
        <v>0.1</v>
      </c>
      <c r="N555" t="s">
        <v>29</v>
      </c>
      <c r="O555" s="2">
        <v>188.89</v>
      </c>
      <c r="P555" s="2">
        <v>114.05</v>
      </c>
      <c r="Q555" s="2">
        <v>74.84</v>
      </c>
      <c r="R555">
        <v>1</v>
      </c>
      <c r="S555">
        <v>0</v>
      </c>
      <c r="T555">
        <v>4</v>
      </c>
      <c r="U555">
        <v>4</v>
      </c>
    </row>
    <row r="556" spans="1:21" ht="16.5" x14ac:dyDescent="0.3">
      <c r="A556" t="s">
        <v>634</v>
      </c>
      <c r="B556" s="1">
        <v>45388</v>
      </c>
      <c r="C556">
        <v>2024</v>
      </c>
      <c r="D556" t="s">
        <v>599</v>
      </c>
      <c r="E556" t="s">
        <v>600</v>
      </c>
      <c r="F556" t="s">
        <v>31</v>
      </c>
      <c r="G556" t="s">
        <v>25</v>
      </c>
      <c r="H556" t="s">
        <v>26</v>
      </c>
      <c r="I556" t="s">
        <v>67</v>
      </c>
      <c r="J556" t="s">
        <v>93</v>
      </c>
      <c r="K556">
        <v>1</v>
      </c>
      <c r="L556" s="2">
        <v>198.42</v>
      </c>
      <c r="M556" s="3">
        <v>0.15</v>
      </c>
      <c r="N556" t="s">
        <v>34</v>
      </c>
      <c r="O556" s="2">
        <v>168.66</v>
      </c>
      <c r="P556" s="2">
        <v>134.52000000000001</v>
      </c>
      <c r="Q556" s="2">
        <v>34.14</v>
      </c>
      <c r="R556">
        <v>1</v>
      </c>
      <c r="S556">
        <v>0</v>
      </c>
      <c r="T556">
        <v>3</v>
      </c>
      <c r="U556">
        <v>5</v>
      </c>
    </row>
    <row r="557" spans="1:21" ht="16.5" x14ac:dyDescent="0.3">
      <c r="A557" t="s">
        <v>635</v>
      </c>
      <c r="B557" s="1">
        <v>45388</v>
      </c>
      <c r="C557">
        <v>2024</v>
      </c>
      <c r="D557" t="s">
        <v>599</v>
      </c>
      <c r="E557" t="s">
        <v>600</v>
      </c>
      <c r="F557" t="s">
        <v>45</v>
      </c>
      <c r="G557" t="s">
        <v>49</v>
      </c>
      <c r="H557" t="s">
        <v>26</v>
      </c>
      <c r="I557" t="s">
        <v>70</v>
      </c>
      <c r="J557" t="s">
        <v>87</v>
      </c>
      <c r="K557">
        <v>1</v>
      </c>
      <c r="L557" s="2">
        <v>490.3</v>
      </c>
      <c r="M557" s="3">
        <v>0.15</v>
      </c>
      <c r="N557" t="s">
        <v>34</v>
      </c>
      <c r="O557" s="2">
        <v>416.76</v>
      </c>
      <c r="P557" s="2">
        <v>413.48</v>
      </c>
      <c r="Q557" s="2">
        <v>3.28</v>
      </c>
      <c r="R557">
        <v>1</v>
      </c>
      <c r="S557">
        <v>0</v>
      </c>
      <c r="T557">
        <v>4</v>
      </c>
      <c r="U557">
        <v>5</v>
      </c>
    </row>
    <row r="558" spans="1:21" ht="16.5" x14ac:dyDescent="0.3">
      <c r="A558" t="s">
        <v>636</v>
      </c>
      <c r="B558" s="1">
        <v>45389</v>
      </c>
      <c r="C558">
        <v>2024</v>
      </c>
      <c r="D558" t="s">
        <v>599</v>
      </c>
      <c r="E558" t="s">
        <v>600</v>
      </c>
      <c r="F558" t="s">
        <v>24</v>
      </c>
      <c r="G558" t="s">
        <v>51</v>
      </c>
      <c r="H558" t="s">
        <v>32</v>
      </c>
      <c r="I558" t="s">
        <v>27</v>
      </c>
      <c r="J558" t="s">
        <v>60</v>
      </c>
      <c r="K558">
        <v>4</v>
      </c>
      <c r="L558" s="2">
        <v>94.85</v>
      </c>
      <c r="M558" s="3">
        <v>0</v>
      </c>
      <c r="N558" t="s">
        <v>38</v>
      </c>
      <c r="O558" s="2">
        <v>379.4</v>
      </c>
      <c r="P558" s="2">
        <v>206.94</v>
      </c>
      <c r="Q558" s="2">
        <v>172.46</v>
      </c>
      <c r="R558">
        <v>1</v>
      </c>
      <c r="S558">
        <v>0</v>
      </c>
      <c r="T558">
        <v>3</v>
      </c>
      <c r="U558">
        <v>4</v>
      </c>
    </row>
    <row r="559" spans="1:21" ht="16.5" x14ac:dyDescent="0.3">
      <c r="A559" t="s">
        <v>637</v>
      </c>
      <c r="B559" s="1">
        <v>45389</v>
      </c>
      <c r="C559">
        <v>2024</v>
      </c>
      <c r="D559" t="s">
        <v>599</v>
      </c>
      <c r="E559" t="s">
        <v>600</v>
      </c>
      <c r="F559" t="s">
        <v>24</v>
      </c>
      <c r="G559" t="s">
        <v>49</v>
      </c>
      <c r="H559" t="s">
        <v>26</v>
      </c>
      <c r="I559" t="s">
        <v>36</v>
      </c>
      <c r="J559" t="s">
        <v>56</v>
      </c>
      <c r="K559">
        <v>2</v>
      </c>
      <c r="L559" s="2">
        <v>74.3</v>
      </c>
      <c r="M559" s="3">
        <v>0.05</v>
      </c>
      <c r="N559" t="s">
        <v>29</v>
      </c>
      <c r="O559" s="2">
        <v>141.16999999999999</v>
      </c>
      <c r="P559" s="2">
        <v>72.77</v>
      </c>
      <c r="Q559" s="2">
        <v>68.400000000000006</v>
      </c>
      <c r="R559">
        <v>1</v>
      </c>
      <c r="S559">
        <v>0</v>
      </c>
      <c r="T559">
        <v>3</v>
      </c>
      <c r="U559">
        <v>5</v>
      </c>
    </row>
    <row r="560" spans="1:21" ht="16.5" x14ac:dyDescent="0.3">
      <c r="A560" t="s">
        <v>638</v>
      </c>
      <c r="B560" s="1">
        <v>45389</v>
      </c>
      <c r="C560">
        <v>2024</v>
      </c>
      <c r="D560" t="s">
        <v>599</v>
      </c>
      <c r="E560" t="s">
        <v>600</v>
      </c>
      <c r="F560" t="s">
        <v>45</v>
      </c>
      <c r="G560" t="s">
        <v>65</v>
      </c>
      <c r="H560" t="s">
        <v>26</v>
      </c>
      <c r="I560" t="s">
        <v>67</v>
      </c>
      <c r="J560" t="s">
        <v>68</v>
      </c>
      <c r="K560">
        <v>2</v>
      </c>
      <c r="L560" s="2">
        <v>74.459999999999994</v>
      </c>
      <c r="M560" s="3">
        <v>0</v>
      </c>
      <c r="N560" t="s">
        <v>38</v>
      </c>
      <c r="O560" s="2">
        <v>148.91999999999999</v>
      </c>
      <c r="P560" s="2">
        <v>101.96</v>
      </c>
      <c r="Q560" s="2">
        <v>46.96</v>
      </c>
      <c r="R560">
        <v>1</v>
      </c>
      <c r="S560">
        <v>0</v>
      </c>
      <c r="T560">
        <v>6</v>
      </c>
      <c r="U560">
        <v>3</v>
      </c>
    </row>
    <row r="561" spans="1:21" ht="16.5" x14ac:dyDescent="0.3">
      <c r="A561" t="s">
        <v>639</v>
      </c>
      <c r="B561" s="1">
        <v>45389</v>
      </c>
      <c r="C561">
        <v>2024</v>
      </c>
      <c r="D561" t="s">
        <v>599</v>
      </c>
      <c r="E561" t="s">
        <v>600</v>
      </c>
      <c r="F561" t="s">
        <v>24</v>
      </c>
      <c r="G561" t="s">
        <v>25</v>
      </c>
      <c r="H561" t="s">
        <v>32</v>
      </c>
      <c r="I561" t="s">
        <v>70</v>
      </c>
      <c r="J561" t="s">
        <v>129</v>
      </c>
      <c r="K561">
        <v>2</v>
      </c>
      <c r="L561" s="2">
        <v>177.65</v>
      </c>
      <c r="M561" s="3">
        <v>0.1</v>
      </c>
      <c r="N561" t="s">
        <v>29</v>
      </c>
      <c r="O561" s="2">
        <v>319.77</v>
      </c>
      <c r="P561" s="2">
        <v>280.58999999999997</v>
      </c>
      <c r="Q561" s="2">
        <v>39.18</v>
      </c>
      <c r="R561">
        <v>1</v>
      </c>
      <c r="S561">
        <v>0</v>
      </c>
      <c r="T561">
        <v>5</v>
      </c>
      <c r="U561">
        <v>4</v>
      </c>
    </row>
    <row r="562" spans="1:21" ht="16.5" x14ac:dyDescent="0.3">
      <c r="A562" t="s">
        <v>640</v>
      </c>
      <c r="B562" s="1">
        <v>45389</v>
      </c>
      <c r="C562">
        <v>2024</v>
      </c>
      <c r="D562" t="s">
        <v>599</v>
      </c>
      <c r="E562" t="s">
        <v>600</v>
      </c>
      <c r="F562" t="s">
        <v>24</v>
      </c>
      <c r="G562" t="s">
        <v>49</v>
      </c>
      <c r="H562" t="s">
        <v>32</v>
      </c>
      <c r="I562" t="s">
        <v>36</v>
      </c>
      <c r="J562" t="s">
        <v>115</v>
      </c>
      <c r="K562">
        <v>1</v>
      </c>
      <c r="L562" s="2">
        <v>33.479999999999997</v>
      </c>
      <c r="M562" s="3">
        <v>0.15</v>
      </c>
      <c r="N562" t="s">
        <v>34</v>
      </c>
      <c r="O562" s="2">
        <v>28.46</v>
      </c>
      <c r="P562" s="2">
        <v>16.260000000000002</v>
      </c>
      <c r="Q562" s="2">
        <v>12.2</v>
      </c>
      <c r="R562">
        <v>1</v>
      </c>
      <c r="S562">
        <v>0</v>
      </c>
      <c r="T562">
        <v>6</v>
      </c>
      <c r="U562">
        <v>4</v>
      </c>
    </row>
    <row r="563" spans="1:21" ht="16.5" x14ac:dyDescent="0.3">
      <c r="A563" t="s">
        <v>641</v>
      </c>
      <c r="B563" s="1">
        <v>45390</v>
      </c>
      <c r="C563">
        <v>2024</v>
      </c>
      <c r="D563" t="s">
        <v>599</v>
      </c>
      <c r="E563" t="s">
        <v>600</v>
      </c>
      <c r="F563" t="s">
        <v>31</v>
      </c>
      <c r="G563" t="s">
        <v>51</v>
      </c>
      <c r="H563" t="s">
        <v>32</v>
      </c>
      <c r="I563" t="s">
        <v>70</v>
      </c>
      <c r="J563" t="s">
        <v>252</v>
      </c>
      <c r="K563">
        <v>2</v>
      </c>
      <c r="L563" s="2">
        <v>216.08</v>
      </c>
      <c r="M563" s="3">
        <v>0</v>
      </c>
      <c r="N563" t="s">
        <v>38</v>
      </c>
      <c r="O563" s="2">
        <v>432.16</v>
      </c>
      <c r="P563" s="2">
        <v>336.11</v>
      </c>
      <c r="Q563" s="2">
        <v>96.05</v>
      </c>
      <c r="R563">
        <v>1</v>
      </c>
      <c r="S563">
        <v>0</v>
      </c>
      <c r="T563">
        <v>5</v>
      </c>
      <c r="U563">
        <v>4</v>
      </c>
    </row>
    <row r="564" spans="1:21" ht="16.5" x14ac:dyDescent="0.3">
      <c r="A564" t="s">
        <v>642</v>
      </c>
      <c r="B564" s="1">
        <v>45390</v>
      </c>
      <c r="C564">
        <v>2024</v>
      </c>
      <c r="D564" t="s">
        <v>599</v>
      </c>
      <c r="E564" t="s">
        <v>600</v>
      </c>
      <c r="F564" t="s">
        <v>24</v>
      </c>
      <c r="G564" t="s">
        <v>49</v>
      </c>
      <c r="H564" t="s">
        <v>32</v>
      </c>
      <c r="I564" t="s">
        <v>27</v>
      </c>
      <c r="J564" t="s">
        <v>28</v>
      </c>
      <c r="K564">
        <v>2</v>
      </c>
      <c r="L564" s="2">
        <v>138.5</v>
      </c>
      <c r="M564" s="3">
        <v>0.05</v>
      </c>
      <c r="N564" t="s">
        <v>29</v>
      </c>
      <c r="O564" s="2">
        <v>263.14999999999998</v>
      </c>
      <c r="P564" s="2">
        <v>149.57</v>
      </c>
      <c r="Q564" s="2">
        <v>113.58</v>
      </c>
      <c r="R564">
        <v>1</v>
      </c>
      <c r="S564">
        <v>1</v>
      </c>
      <c r="T564">
        <v>4</v>
      </c>
      <c r="U564">
        <v>4</v>
      </c>
    </row>
    <row r="565" spans="1:21" ht="16.5" x14ac:dyDescent="0.3">
      <c r="A565" t="s">
        <v>643</v>
      </c>
      <c r="B565" s="1">
        <v>45390</v>
      </c>
      <c r="C565">
        <v>2024</v>
      </c>
      <c r="D565" t="s">
        <v>599</v>
      </c>
      <c r="E565" t="s">
        <v>600</v>
      </c>
      <c r="F565" t="s">
        <v>24</v>
      </c>
      <c r="G565" t="s">
        <v>51</v>
      </c>
      <c r="H565" t="s">
        <v>32</v>
      </c>
      <c r="I565" t="s">
        <v>27</v>
      </c>
      <c r="J565" t="s">
        <v>47</v>
      </c>
      <c r="K565">
        <v>1</v>
      </c>
      <c r="L565" s="2">
        <v>33.99</v>
      </c>
      <c r="M565" s="3">
        <v>0</v>
      </c>
      <c r="N565" t="s">
        <v>38</v>
      </c>
      <c r="O565" s="2">
        <v>33.99</v>
      </c>
      <c r="P565" s="2">
        <v>18.22</v>
      </c>
      <c r="Q565" s="2">
        <v>15.77</v>
      </c>
      <c r="R565">
        <v>1</v>
      </c>
      <c r="S565">
        <v>0</v>
      </c>
      <c r="T565">
        <v>3</v>
      </c>
      <c r="U565">
        <v>5</v>
      </c>
    </row>
    <row r="566" spans="1:21" ht="16.5" x14ac:dyDescent="0.3">
      <c r="A566" t="s">
        <v>644</v>
      </c>
      <c r="B566" s="1">
        <v>45390</v>
      </c>
      <c r="C566">
        <v>2024</v>
      </c>
      <c r="D566" t="s">
        <v>599</v>
      </c>
      <c r="E566" t="s">
        <v>600</v>
      </c>
      <c r="F566" t="s">
        <v>24</v>
      </c>
      <c r="G566" t="s">
        <v>51</v>
      </c>
      <c r="H566" t="s">
        <v>26</v>
      </c>
      <c r="I566" t="s">
        <v>36</v>
      </c>
      <c r="J566" t="s">
        <v>126</v>
      </c>
      <c r="K566">
        <v>2</v>
      </c>
      <c r="L566" s="2">
        <v>54.56</v>
      </c>
      <c r="M566" s="3">
        <v>0.1</v>
      </c>
      <c r="N566" t="s">
        <v>29</v>
      </c>
      <c r="O566" s="2">
        <v>98.21</v>
      </c>
      <c r="P566" s="2">
        <v>50.6</v>
      </c>
      <c r="Q566" s="2">
        <v>47.61</v>
      </c>
      <c r="R566">
        <v>1</v>
      </c>
      <c r="S566">
        <v>0</v>
      </c>
      <c r="T566">
        <v>2</v>
      </c>
      <c r="U566">
        <v>5</v>
      </c>
    </row>
    <row r="567" spans="1:21" ht="16.5" x14ac:dyDescent="0.3">
      <c r="A567" t="s">
        <v>645</v>
      </c>
      <c r="B567" s="1">
        <v>45391</v>
      </c>
      <c r="C567">
        <v>2024</v>
      </c>
      <c r="D567" t="s">
        <v>599</v>
      </c>
      <c r="E567" t="s">
        <v>600</v>
      </c>
      <c r="F567" t="s">
        <v>24</v>
      </c>
      <c r="G567" t="s">
        <v>25</v>
      </c>
      <c r="H567" t="s">
        <v>32</v>
      </c>
      <c r="I567" t="s">
        <v>27</v>
      </c>
      <c r="J567" t="s">
        <v>33</v>
      </c>
      <c r="K567">
        <v>1</v>
      </c>
      <c r="L567" s="2">
        <v>78.510000000000005</v>
      </c>
      <c r="M567" s="3">
        <v>0</v>
      </c>
      <c r="N567" t="s">
        <v>38</v>
      </c>
      <c r="O567" s="2">
        <v>78.510000000000005</v>
      </c>
      <c r="P567" s="2">
        <v>43.84</v>
      </c>
      <c r="Q567" s="2">
        <v>34.67</v>
      </c>
      <c r="R567">
        <v>1</v>
      </c>
      <c r="S567">
        <v>0</v>
      </c>
      <c r="T567">
        <v>3</v>
      </c>
      <c r="U567">
        <v>4</v>
      </c>
    </row>
    <row r="568" spans="1:21" ht="16.5" x14ac:dyDescent="0.3">
      <c r="A568" t="s">
        <v>646</v>
      </c>
      <c r="B568" s="1">
        <v>45391</v>
      </c>
      <c r="C568">
        <v>2024</v>
      </c>
      <c r="D568" t="s">
        <v>599</v>
      </c>
      <c r="E568" t="s">
        <v>600</v>
      </c>
      <c r="F568" t="s">
        <v>24</v>
      </c>
      <c r="G568" t="s">
        <v>25</v>
      </c>
      <c r="H568" t="s">
        <v>26</v>
      </c>
      <c r="I568" t="s">
        <v>70</v>
      </c>
      <c r="J568" t="s">
        <v>82</v>
      </c>
      <c r="K568">
        <v>2</v>
      </c>
      <c r="L568" s="2">
        <v>508.8</v>
      </c>
      <c r="M568" s="3">
        <v>0.1</v>
      </c>
      <c r="N568" t="s">
        <v>29</v>
      </c>
      <c r="O568" s="2">
        <v>915.84</v>
      </c>
      <c r="P568" s="2">
        <v>813.53</v>
      </c>
      <c r="Q568" s="2">
        <v>102.31</v>
      </c>
      <c r="R568">
        <v>1</v>
      </c>
      <c r="S568">
        <v>0</v>
      </c>
      <c r="T568">
        <v>4</v>
      </c>
      <c r="U568">
        <v>4</v>
      </c>
    </row>
    <row r="569" spans="1:21" ht="16.5" x14ac:dyDescent="0.3">
      <c r="A569" t="s">
        <v>647</v>
      </c>
      <c r="B569" s="1">
        <v>45391</v>
      </c>
      <c r="C569">
        <v>2024</v>
      </c>
      <c r="D569" t="s">
        <v>599</v>
      </c>
      <c r="E569" t="s">
        <v>600</v>
      </c>
      <c r="F569" t="s">
        <v>24</v>
      </c>
      <c r="G569" t="s">
        <v>51</v>
      </c>
      <c r="H569" t="s">
        <v>32</v>
      </c>
      <c r="I569" t="s">
        <v>84</v>
      </c>
      <c r="J569" t="s">
        <v>132</v>
      </c>
      <c r="K569">
        <v>1</v>
      </c>
      <c r="L569" s="2">
        <v>48.86</v>
      </c>
      <c r="M569" s="3">
        <v>0</v>
      </c>
      <c r="N569" t="s">
        <v>38</v>
      </c>
      <c r="O569" s="2">
        <v>48.86</v>
      </c>
      <c r="P569" s="2">
        <v>34.53</v>
      </c>
      <c r="Q569" s="2">
        <v>14.33</v>
      </c>
      <c r="R569">
        <v>1</v>
      </c>
      <c r="S569">
        <v>0</v>
      </c>
      <c r="T569">
        <v>3</v>
      </c>
      <c r="U569">
        <v>4</v>
      </c>
    </row>
    <row r="570" spans="1:21" ht="16.5" x14ac:dyDescent="0.3">
      <c r="A570" t="s">
        <v>648</v>
      </c>
      <c r="B570" s="1">
        <v>45391</v>
      </c>
      <c r="C570">
        <v>2024</v>
      </c>
      <c r="D570" t="s">
        <v>599</v>
      </c>
      <c r="E570" t="s">
        <v>600</v>
      </c>
      <c r="F570" t="s">
        <v>31</v>
      </c>
      <c r="G570" t="s">
        <v>51</v>
      </c>
      <c r="H570" t="s">
        <v>26</v>
      </c>
      <c r="I570" t="s">
        <v>36</v>
      </c>
      <c r="J570" t="s">
        <v>37</v>
      </c>
      <c r="K570">
        <v>1</v>
      </c>
      <c r="L570" s="2">
        <v>33.18</v>
      </c>
      <c r="M570" s="3">
        <v>0</v>
      </c>
      <c r="N570" t="s">
        <v>38</v>
      </c>
      <c r="O570" s="2">
        <v>33.18</v>
      </c>
      <c r="P570" s="2">
        <v>16.2</v>
      </c>
      <c r="Q570" s="2">
        <v>16.98</v>
      </c>
      <c r="R570">
        <v>1</v>
      </c>
      <c r="S570">
        <v>0</v>
      </c>
      <c r="T570">
        <v>3</v>
      </c>
      <c r="U570">
        <v>5</v>
      </c>
    </row>
    <row r="571" spans="1:21" ht="16.5" x14ac:dyDescent="0.3">
      <c r="A571" t="s">
        <v>649</v>
      </c>
      <c r="B571" s="1">
        <v>45391</v>
      </c>
      <c r="C571">
        <v>2024</v>
      </c>
      <c r="D571" t="s">
        <v>599</v>
      </c>
      <c r="E571" t="s">
        <v>600</v>
      </c>
      <c r="F571" t="s">
        <v>24</v>
      </c>
      <c r="G571" t="s">
        <v>51</v>
      </c>
      <c r="H571" t="s">
        <v>32</v>
      </c>
      <c r="I571" t="s">
        <v>27</v>
      </c>
      <c r="J571" t="s">
        <v>47</v>
      </c>
      <c r="K571">
        <v>1</v>
      </c>
      <c r="L571" s="2">
        <v>33.99</v>
      </c>
      <c r="M571" s="3">
        <v>0.05</v>
      </c>
      <c r="N571" t="s">
        <v>29</v>
      </c>
      <c r="O571" s="2">
        <v>32.29</v>
      </c>
      <c r="P571" s="2">
        <v>17.91</v>
      </c>
      <c r="Q571" s="2">
        <v>14.38</v>
      </c>
      <c r="R571">
        <v>1</v>
      </c>
      <c r="S571">
        <v>1</v>
      </c>
      <c r="T571">
        <v>3</v>
      </c>
      <c r="U571">
        <v>3</v>
      </c>
    </row>
    <row r="572" spans="1:21" ht="16.5" x14ac:dyDescent="0.3">
      <c r="A572" t="s">
        <v>650</v>
      </c>
      <c r="B572" s="1">
        <v>45391</v>
      </c>
      <c r="C572">
        <v>2024</v>
      </c>
      <c r="D572" t="s">
        <v>599</v>
      </c>
      <c r="E572" t="s">
        <v>600</v>
      </c>
      <c r="F572" t="s">
        <v>24</v>
      </c>
      <c r="G572" t="s">
        <v>51</v>
      </c>
      <c r="H572" t="s">
        <v>32</v>
      </c>
      <c r="I572" t="s">
        <v>27</v>
      </c>
      <c r="J572" t="s">
        <v>33</v>
      </c>
      <c r="K572">
        <v>2</v>
      </c>
      <c r="L572" s="2">
        <v>78.510000000000005</v>
      </c>
      <c r="M572" s="3">
        <v>0</v>
      </c>
      <c r="N572" t="s">
        <v>38</v>
      </c>
      <c r="O572" s="2">
        <v>157.02000000000001</v>
      </c>
      <c r="P572" s="2">
        <v>85.95</v>
      </c>
      <c r="Q572" s="2">
        <v>71.069999999999993</v>
      </c>
      <c r="R572">
        <v>1</v>
      </c>
      <c r="S572">
        <v>0</v>
      </c>
      <c r="T572">
        <v>3</v>
      </c>
      <c r="U572">
        <v>4</v>
      </c>
    </row>
    <row r="573" spans="1:21" ht="16.5" x14ac:dyDescent="0.3">
      <c r="A573" t="s">
        <v>651</v>
      </c>
      <c r="B573" s="1">
        <v>45391</v>
      </c>
      <c r="C573">
        <v>2024</v>
      </c>
      <c r="D573" t="s">
        <v>599</v>
      </c>
      <c r="E573" t="s">
        <v>600</v>
      </c>
      <c r="F573" t="s">
        <v>24</v>
      </c>
      <c r="G573" t="s">
        <v>51</v>
      </c>
      <c r="H573" t="s">
        <v>26</v>
      </c>
      <c r="I573" t="s">
        <v>42</v>
      </c>
      <c r="J573" t="s">
        <v>43</v>
      </c>
      <c r="K573">
        <v>1</v>
      </c>
      <c r="L573" s="2">
        <v>154.66</v>
      </c>
      <c r="M573" s="3">
        <v>0.05</v>
      </c>
      <c r="N573" t="s">
        <v>29</v>
      </c>
      <c r="O573" s="2">
        <v>146.93</v>
      </c>
      <c r="P573" s="2">
        <v>103.32</v>
      </c>
      <c r="Q573" s="2">
        <v>43.61</v>
      </c>
      <c r="R573">
        <v>1</v>
      </c>
      <c r="S573">
        <v>0</v>
      </c>
      <c r="T573">
        <v>2</v>
      </c>
      <c r="U573">
        <v>5</v>
      </c>
    </row>
    <row r="574" spans="1:21" ht="16.5" x14ac:dyDescent="0.3">
      <c r="A574" t="s">
        <v>652</v>
      </c>
      <c r="B574" s="1">
        <v>45391</v>
      </c>
      <c r="C574">
        <v>2024</v>
      </c>
      <c r="D574" t="s">
        <v>599</v>
      </c>
      <c r="E574" t="s">
        <v>600</v>
      </c>
      <c r="F574" t="s">
        <v>31</v>
      </c>
      <c r="G574" t="s">
        <v>25</v>
      </c>
      <c r="H574" t="s">
        <v>26</v>
      </c>
      <c r="I574" t="s">
        <v>67</v>
      </c>
      <c r="J574" t="s">
        <v>93</v>
      </c>
      <c r="K574">
        <v>3</v>
      </c>
      <c r="L574" s="2">
        <v>198.42</v>
      </c>
      <c r="M574" s="3">
        <v>0</v>
      </c>
      <c r="N574" t="s">
        <v>38</v>
      </c>
      <c r="O574" s="2">
        <v>595.26</v>
      </c>
      <c r="P574" s="2">
        <v>400.11</v>
      </c>
      <c r="Q574" s="2">
        <v>195.15</v>
      </c>
      <c r="R574">
        <v>1</v>
      </c>
      <c r="S574">
        <v>0</v>
      </c>
      <c r="T574">
        <v>4</v>
      </c>
      <c r="U574">
        <v>4</v>
      </c>
    </row>
    <row r="575" spans="1:21" ht="16.5" x14ac:dyDescent="0.3">
      <c r="A575" t="s">
        <v>653</v>
      </c>
      <c r="B575" s="1">
        <v>45391</v>
      </c>
      <c r="C575">
        <v>2024</v>
      </c>
      <c r="D575" t="s">
        <v>599</v>
      </c>
      <c r="E575" t="s">
        <v>600</v>
      </c>
      <c r="F575" t="s">
        <v>24</v>
      </c>
      <c r="G575" t="s">
        <v>25</v>
      </c>
      <c r="H575" t="s">
        <v>26</v>
      </c>
      <c r="I575" t="s">
        <v>36</v>
      </c>
      <c r="J575" t="s">
        <v>115</v>
      </c>
      <c r="K575">
        <v>2</v>
      </c>
      <c r="L575" s="2">
        <v>33.479999999999997</v>
      </c>
      <c r="M575" s="3">
        <v>0</v>
      </c>
      <c r="N575" t="s">
        <v>38</v>
      </c>
      <c r="O575" s="2">
        <v>66.959999999999994</v>
      </c>
      <c r="P575" s="2">
        <v>30.68</v>
      </c>
      <c r="Q575" s="2">
        <v>36.28</v>
      </c>
      <c r="R575">
        <v>1</v>
      </c>
      <c r="S575">
        <v>0</v>
      </c>
      <c r="T575">
        <v>3</v>
      </c>
      <c r="U575">
        <v>4</v>
      </c>
    </row>
    <row r="576" spans="1:21" ht="16.5" x14ac:dyDescent="0.3">
      <c r="A576" t="s">
        <v>654</v>
      </c>
      <c r="B576" s="1">
        <v>45391</v>
      </c>
      <c r="C576">
        <v>2024</v>
      </c>
      <c r="D576" t="s">
        <v>599</v>
      </c>
      <c r="E576" t="s">
        <v>600</v>
      </c>
      <c r="F576" t="s">
        <v>45</v>
      </c>
      <c r="G576" t="s">
        <v>65</v>
      </c>
      <c r="H576" t="s">
        <v>32</v>
      </c>
      <c r="I576" t="s">
        <v>27</v>
      </c>
      <c r="J576" t="s">
        <v>40</v>
      </c>
      <c r="K576">
        <v>2</v>
      </c>
      <c r="L576" s="2">
        <v>104.94</v>
      </c>
      <c r="M576" s="3">
        <v>0.2</v>
      </c>
      <c r="N576" t="s">
        <v>34</v>
      </c>
      <c r="O576" s="2">
        <v>167.9</v>
      </c>
      <c r="P576" s="2">
        <v>105.09</v>
      </c>
      <c r="Q576" s="2">
        <v>62.81</v>
      </c>
      <c r="R576">
        <v>1</v>
      </c>
      <c r="S576">
        <v>0</v>
      </c>
      <c r="T576">
        <v>5</v>
      </c>
      <c r="U576">
        <v>5</v>
      </c>
    </row>
    <row r="577" spans="1:21" ht="16.5" x14ac:dyDescent="0.3">
      <c r="A577" t="s">
        <v>655</v>
      </c>
      <c r="B577" s="1">
        <v>45391</v>
      </c>
      <c r="C577">
        <v>2024</v>
      </c>
      <c r="D577" t="s">
        <v>599</v>
      </c>
      <c r="E577" t="s">
        <v>600</v>
      </c>
      <c r="F577" t="s">
        <v>24</v>
      </c>
      <c r="G577" t="s">
        <v>25</v>
      </c>
      <c r="H577" t="s">
        <v>32</v>
      </c>
      <c r="I577" t="s">
        <v>84</v>
      </c>
      <c r="J577" t="s">
        <v>96</v>
      </c>
      <c r="K577">
        <v>1</v>
      </c>
      <c r="L577" s="2">
        <v>10.76</v>
      </c>
      <c r="M577" s="3">
        <v>0</v>
      </c>
      <c r="N577" t="s">
        <v>38</v>
      </c>
      <c r="O577" s="2">
        <v>10.76</v>
      </c>
      <c r="P577" s="2">
        <v>7.32</v>
      </c>
      <c r="Q577" s="2">
        <v>3.44</v>
      </c>
      <c r="R577">
        <v>1</v>
      </c>
      <c r="S577">
        <v>0</v>
      </c>
      <c r="T577">
        <v>5</v>
      </c>
      <c r="U577">
        <v>5</v>
      </c>
    </row>
    <row r="578" spans="1:21" ht="16.5" x14ac:dyDescent="0.3">
      <c r="A578" t="s">
        <v>656</v>
      </c>
      <c r="B578" s="1">
        <v>45392</v>
      </c>
      <c r="C578">
        <v>2024</v>
      </c>
      <c r="D578" t="s">
        <v>599</v>
      </c>
      <c r="E578" t="s">
        <v>600</v>
      </c>
      <c r="F578" t="s">
        <v>24</v>
      </c>
      <c r="G578" t="s">
        <v>51</v>
      </c>
      <c r="H578" t="s">
        <v>32</v>
      </c>
      <c r="I578" t="s">
        <v>67</v>
      </c>
      <c r="J578" t="s">
        <v>174</v>
      </c>
      <c r="K578">
        <v>1</v>
      </c>
      <c r="L578" s="2">
        <v>137.05000000000001</v>
      </c>
      <c r="M578" s="3">
        <v>0</v>
      </c>
      <c r="N578" t="s">
        <v>38</v>
      </c>
      <c r="O578" s="2">
        <v>137.05000000000001</v>
      </c>
      <c r="P578" s="2">
        <v>91.05</v>
      </c>
      <c r="Q578" s="2">
        <v>46</v>
      </c>
      <c r="R578">
        <v>1</v>
      </c>
      <c r="S578">
        <v>0</v>
      </c>
      <c r="T578">
        <v>2</v>
      </c>
      <c r="U578">
        <v>4</v>
      </c>
    </row>
    <row r="579" spans="1:21" ht="16.5" x14ac:dyDescent="0.3">
      <c r="A579" t="s">
        <v>657</v>
      </c>
      <c r="B579" s="1">
        <v>45392</v>
      </c>
      <c r="C579">
        <v>2024</v>
      </c>
      <c r="D579" t="s">
        <v>599</v>
      </c>
      <c r="E579" t="s">
        <v>600</v>
      </c>
      <c r="F579" t="s">
        <v>24</v>
      </c>
      <c r="G579" t="s">
        <v>49</v>
      </c>
      <c r="H579" t="s">
        <v>32</v>
      </c>
      <c r="I579" t="s">
        <v>27</v>
      </c>
      <c r="J579" t="s">
        <v>28</v>
      </c>
      <c r="K579">
        <v>1</v>
      </c>
      <c r="L579" s="2">
        <v>138.5</v>
      </c>
      <c r="M579" s="3">
        <v>0</v>
      </c>
      <c r="N579" t="s">
        <v>38</v>
      </c>
      <c r="O579" s="2">
        <v>138.5</v>
      </c>
      <c r="P579" s="2">
        <v>69.459999999999994</v>
      </c>
      <c r="Q579" s="2">
        <v>69.040000000000006</v>
      </c>
      <c r="R579">
        <v>1</v>
      </c>
      <c r="S579">
        <v>0</v>
      </c>
      <c r="T579">
        <v>3</v>
      </c>
      <c r="U579">
        <v>5</v>
      </c>
    </row>
    <row r="580" spans="1:21" ht="16.5" x14ac:dyDescent="0.3">
      <c r="A580" t="s">
        <v>658</v>
      </c>
      <c r="B580" s="1">
        <v>45392</v>
      </c>
      <c r="C580">
        <v>2024</v>
      </c>
      <c r="D580" t="s">
        <v>599</v>
      </c>
      <c r="E580" t="s">
        <v>600</v>
      </c>
      <c r="F580" t="s">
        <v>31</v>
      </c>
      <c r="G580" t="s">
        <v>25</v>
      </c>
      <c r="H580" t="s">
        <v>26</v>
      </c>
      <c r="I580" t="s">
        <v>84</v>
      </c>
      <c r="J580" t="s">
        <v>85</v>
      </c>
      <c r="K580">
        <v>4</v>
      </c>
      <c r="L580" s="2">
        <v>57.92</v>
      </c>
      <c r="M580" s="3">
        <v>0.1</v>
      </c>
      <c r="N580" t="s">
        <v>29</v>
      </c>
      <c r="O580" s="2">
        <v>208.51</v>
      </c>
      <c r="P580" s="2">
        <v>164.99</v>
      </c>
      <c r="Q580" s="2">
        <v>43.52</v>
      </c>
      <c r="R580">
        <v>1</v>
      </c>
      <c r="S580">
        <v>0</v>
      </c>
      <c r="T580">
        <v>3</v>
      </c>
      <c r="U580">
        <v>4</v>
      </c>
    </row>
    <row r="581" spans="1:21" ht="16.5" x14ac:dyDescent="0.3">
      <c r="A581" t="s">
        <v>659</v>
      </c>
      <c r="B581" s="1">
        <v>45392</v>
      </c>
      <c r="C581">
        <v>2024</v>
      </c>
      <c r="D581" t="s">
        <v>599</v>
      </c>
      <c r="E581" t="s">
        <v>600</v>
      </c>
      <c r="F581" t="s">
        <v>24</v>
      </c>
      <c r="G581" t="s">
        <v>51</v>
      </c>
      <c r="H581" t="s">
        <v>32</v>
      </c>
      <c r="I581" t="s">
        <v>67</v>
      </c>
      <c r="J581" t="s">
        <v>174</v>
      </c>
      <c r="K581">
        <v>1</v>
      </c>
      <c r="L581" s="2">
        <v>137.05000000000001</v>
      </c>
      <c r="M581" s="3">
        <v>0.05</v>
      </c>
      <c r="N581" t="s">
        <v>29</v>
      </c>
      <c r="O581" s="2">
        <v>130.19999999999999</v>
      </c>
      <c r="P581" s="2">
        <v>90.67</v>
      </c>
      <c r="Q581" s="2">
        <v>39.53</v>
      </c>
      <c r="R581">
        <v>1</v>
      </c>
      <c r="S581">
        <v>0</v>
      </c>
      <c r="T581">
        <v>3</v>
      </c>
      <c r="U581">
        <v>4</v>
      </c>
    </row>
    <row r="582" spans="1:21" ht="16.5" x14ac:dyDescent="0.3">
      <c r="A582" t="s">
        <v>660</v>
      </c>
      <c r="B582" s="1">
        <v>45392</v>
      </c>
      <c r="C582">
        <v>2024</v>
      </c>
      <c r="D582" t="s">
        <v>599</v>
      </c>
      <c r="E582" t="s">
        <v>600</v>
      </c>
      <c r="F582" t="s">
        <v>24</v>
      </c>
      <c r="G582" t="s">
        <v>51</v>
      </c>
      <c r="H582" t="s">
        <v>26</v>
      </c>
      <c r="I582" t="s">
        <v>70</v>
      </c>
      <c r="J582" t="s">
        <v>71</v>
      </c>
      <c r="K582">
        <v>1</v>
      </c>
      <c r="L582" s="2">
        <v>588.41</v>
      </c>
      <c r="M582" s="3">
        <v>0</v>
      </c>
      <c r="N582" t="s">
        <v>38</v>
      </c>
      <c r="O582" s="2">
        <v>588.41</v>
      </c>
      <c r="P582" s="2">
        <v>486.95</v>
      </c>
      <c r="Q582" s="2">
        <v>101.46</v>
      </c>
      <c r="R582">
        <v>1</v>
      </c>
      <c r="S582">
        <v>0</v>
      </c>
      <c r="T582">
        <v>4</v>
      </c>
      <c r="U582">
        <v>4</v>
      </c>
    </row>
    <row r="583" spans="1:21" ht="16.5" x14ac:dyDescent="0.3">
      <c r="A583" t="s">
        <v>661</v>
      </c>
      <c r="B583" s="1">
        <v>45392</v>
      </c>
      <c r="C583">
        <v>2024</v>
      </c>
      <c r="D583" t="s">
        <v>599</v>
      </c>
      <c r="E583" t="s">
        <v>600</v>
      </c>
      <c r="F583" t="s">
        <v>24</v>
      </c>
      <c r="G583" t="s">
        <v>25</v>
      </c>
      <c r="H583" t="s">
        <v>32</v>
      </c>
      <c r="I583" t="s">
        <v>70</v>
      </c>
      <c r="J583" t="s">
        <v>129</v>
      </c>
      <c r="K583">
        <v>1</v>
      </c>
      <c r="L583" s="2">
        <v>177.65</v>
      </c>
      <c r="M583" s="3">
        <v>0.05</v>
      </c>
      <c r="N583" t="s">
        <v>29</v>
      </c>
      <c r="O583" s="2">
        <v>168.77</v>
      </c>
      <c r="P583" s="2">
        <v>145.51</v>
      </c>
      <c r="Q583" s="2">
        <v>23.26</v>
      </c>
      <c r="R583">
        <v>1</v>
      </c>
      <c r="S583">
        <v>0</v>
      </c>
      <c r="T583">
        <v>3</v>
      </c>
      <c r="U583">
        <v>4</v>
      </c>
    </row>
    <row r="584" spans="1:21" ht="16.5" x14ac:dyDescent="0.3">
      <c r="A584" t="s">
        <v>662</v>
      </c>
      <c r="B584" s="1">
        <v>45393</v>
      </c>
      <c r="C584">
        <v>2024</v>
      </c>
      <c r="D584" t="s">
        <v>599</v>
      </c>
      <c r="E584" t="s">
        <v>600</v>
      </c>
      <c r="F584" t="s">
        <v>24</v>
      </c>
      <c r="G584" t="s">
        <v>25</v>
      </c>
      <c r="H584" t="s">
        <v>26</v>
      </c>
      <c r="I584" t="s">
        <v>67</v>
      </c>
      <c r="J584" t="s">
        <v>78</v>
      </c>
      <c r="K584">
        <v>2</v>
      </c>
      <c r="L584" s="2">
        <v>85.42</v>
      </c>
      <c r="M584" s="3">
        <v>0.1</v>
      </c>
      <c r="N584" t="s">
        <v>29</v>
      </c>
      <c r="O584" s="2">
        <v>153.76</v>
      </c>
      <c r="P584" s="2">
        <v>111.33</v>
      </c>
      <c r="Q584" s="2">
        <v>42.43</v>
      </c>
      <c r="R584">
        <v>1</v>
      </c>
      <c r="S584">
        <v>0</v>
      </c>
      <c r="T584">
        <v>3</v>
      </c>
      <c r="U584">
        <v>4</v>
      </c>
    </row>
    <row r="585" spans="1:21" ht="16.5" x14ac:dyDescent="0.3">
      <c r="A585" t="s">
        <v>663</v>
      </c>
      <c r="B585" s="1">
        <v>45393</v>
      </c>
      <c r="C585">
        <v>2024</v>
      </c>
      <c r="D585" t="s">
        <v>599</v>
      </c>
      <c r="E585" t="s">
        <v>600</v>
      </c>
      <c r="F585" t="s">
        <v>45</v>
      </c>
      <c r="G585" t="s">
        <v>25</v>
      </c>
      <c r="H585" t="s">
        <v>32</v>
      </c>
      <c r="I585" t="s">
        <v>42</v>
      </c>
      <c r="J585" t="s">
        <v>54</v>
      </c>
      <c r="K585">
        <v>1</v>
      </c>
      <c r="L585" s="2">
        <v>148.05000000000001</v>
      </c>
      <c r="M585" s="3">
        <v>0.05</v>
      </c>
      <c r="N585" t="s">
        <v>29</v>
      </c>
      <c r="O585" s="2">
        <v>140.65</v>
      </c>
      <c r="P585" s="2">
        <v>98.93</v>
      </c>
      <c r="Q585" s="2">
        <v>41.72</v>
      </c>
      <c r="R585">
        <v>1</v>
      </c>
      <c r="S585">
        <v>0</v>
      </c>
      <c r="T585">
        <v>5</v>
      </c>
      <c r="U585">
        <v>4</v>
      </c>
    </row>
    <row r="586" spans="1:21" ht="16.5" x14ac:dyDescent="0.3">
      <c r="A586" t="s">
        <v>664</v>
      </c>
      <c r="B586" s="1">
        <v>45393</v>
      </c>
      <c r="C586">
        <v>2024</v>
      </c>
      <c r="D586" t="s">
        <v>599</v>
      </c>
      <c r="E586" t="s">
        <v>600</v>
      </c>
      <c r="F586" t="s">
        <v>24</v>
      </c>
      <c r="G586" t="s">
        <v>51</v>
      </c>
      <c r="H586" t="s">
        <v>26</v>
      </c>
      <c r="I586" t="s">
        <v>36</v>
      </c>
      <c r="J586" t="s">
        <v>37</v>
      </c>
      <c r="K586">
        <v>1</v>
      </c>
      <c r="L586" s="2">
        <v>33.18</v>
      </c>
      <c r="M586" s="3">
        <v>0.1</v>
      </c>
      <c r="N586" t="s">
        <v>29</v>
      </c>
      <c r="O586" s="2">
        <v>29.86</v>
      </c>
      <c r="P586" s="2">
        <v>15.57</v>
      </c>
      <c r="Q586" s="2">
        <v>14.29</v>
      </c>
      <c r="R586">
        <v>1</v>
      </c>
      <c r="S586">
        <v>0</v>
      </c>
      <c r="T586">
        <v>3</v>
      </c>
      <c r="U586">
        <v>3</v>
      </c>
    </row>
    <row r="587" spans="1:21" ht="16.5" x14ac:dyDescent="0.3">
      <c r="A587" t="s">
        <v>665</v>
      </c>
      <c r="B587" s="1">
        <v>45393</v>
      </c>
      <c r="C587">
        <v>2024</v>
      </c>
      <c r="D587" t="s">
        <v>599</v>
      </c>
      <c r="E587" t="s">
        <v>600</v>
      </c>
      <c r="F587" t="s">
        <v>45</v>
      </c>
      <c r="G587" t="s">
        <v>51</v>
      </c>
      <c r="H587" t="s">
        <v>26</v>
      </c>
      <c r="I587" t="s">
        <v>27</v>
      </c>
      <c r="J587" t="s">
        <v>28</v>
      </c>
      <c r="K587">
        <v>1</v>
      </c>
      <c r="L587" s="2">
        <v>138.5</v>
      </c>
      <c r="M587" s="3">
        <v>0.05</v>
      </c>
      <c r="N587" t="s">
        <v>29</v>
      </c>
      <c r="O587" s="2">
        <v>131.57</v>
      </c>
      <c r="P587" s="2">
        <v>71.63</v>
      </c>
      <c r="Q587" s="2">
        <v>59.94</v>
      </c>
      <c r="R587">
        <v>1</v>
      </c>
      <c r="S587">
        <v>0</v>
      </c>
      <c r="T587">
        <v>2</v>
      </c>
      <c r="U587">
        <v>4</v>
      </c>
    </row>
    <row r="588" spans="1:21" ht="16.5" x14ac:dyDescent="0.3">
      <c r="A588" t="s">
        <v>666</v>
      </c>
      <c r="B588" s="1">
        <v>45393</v>
      </c>
      <c r="C588">
        <v>2024</v>
      </c>
      <c r="D588" t="s">
        <v>599</v>
      </c>
      <c r="E588" t="s">
        <v>600</v>
      </c>
      <c r="F588" t="s">
        <v>24</v>
      </c>
      <c r="G588" t="s">
        <v>51</v>
      </c>
      <c r="H588" t="s">
        <v>26</v>
      </c>
      <c r="I588" t="s">
        <v>27</v>
      </c>
      <c r="J588" t="s">
        <v>40</v>
      </c>
      <c r="K588">
        <v>3</v>
      </c>
      <c r="L588" s="2">
        <v>104.94</v>
      </c>
      <c r="M588" s="3">
        <v>0.2</v>
      </c>
      <c r="N588" t="s">
        <v>34</v>
      </c>
      <c r="O588" s="2">
        <v>251.86</v>
      </c>
      <c r="P588" s="2">
        <v>171.66</v>
      </c>
      <c r="Q588" s="2">
        <v>80.2</v>
      </c>
      <c r="R588">
        <v>1</v>
      </c>
      <c r="S588">
        <v>0</v>
      </c>
      <c r="T588">
        <v>2</v>
      </c>
      <c r="U588">
        <v>5</v>
      </c>
    </row>
    <row r="589" spans="1:21" ht="16.5" x14ac:dyDescent="0.3">
      <c r="A589" t="s">
        <v>667</v>
      </c>
      <c r="B589" s="1">
        <v>45393</v>
      </c>
      <c r="C589">
        <v>2024</v>
      </c>
      <c r="D589" t="s">
        <v>599</v>
      </c>
      <c r="E589" t="s">
        <v>600</v>
      </c>
      <c r="F589" t="s">
        <v>24</v>
      </c>
      <c r="G589" t="s">
        <v>51</v>
      </c>
      <c r="H589" t="s">
        <v>26</v>
      </c>
      <c r="I589" t="s">
        <v>36</v>
      </c>
      <c r="J589" t="s">
        <v>115</v>
      </c>
      <c r="K589">
        <v>1</v>
      </c>
      <c r="L589" s="2">
        <v>33.479999999999997</v>
      </c>
      <c r="M589" s="3">
        <v>0.25</v>
      </c>
      <c r="N589" t="s">
        <v>62</v>
      </c>
      <c r="O589" s="2">
        <v>25.11</v>
      </c>
      <c r="P589" s="2">
        <v>16.239999999999998</v>
      </c>
      <c r="Q589" s="2">
        <v>8.8699999999999992</v>
      </c>
      <c r="R589">
        <v>1</v>
      </c>
      <c r="S589">
        <v>0</v>
      </c>
      <c r="T589">
        <v>3</v>
      </c>
      <c r="U589">
        <v>4</v>
      </c>
    </row>
    <row r="590" spans="1:21" ht="16.5" x14ac:dyDescent="0.3">
      <c r="A590" t="s">
        <v>668</v>
      </c>
      <c r="B590" s="1">
        <v>45393</v>
      </c>
      <c r="C590">
        <v>2024</v>
      </c>
      <c r="D590" t="s">
        <v>599</v>
      </c>
      <c r="E590" t="s">
        <v>600</v>
      </c>
      <c r="F590" t="s">
        <v>31</v>
      </c>
      <c r="G590" t="s">
        <v>51</v>
      </c>
      <c r="H590" t="s">
        <v>32</v>
      </c>
      <c r="I590" t="s">
        <v>27</v>
      </c>
      <c r="J590" t="s">
        <v>28</v>
      </c>
      <c r="K590">
        <v>3</v>
      </c>
      <c r="L590" s="2">
        <v>138.5</v>
      </c>
      <c r="M590" s="3">
        <v>0</v>
      </c>
      <c r="N590" t="s">
        <v>38</v>
      </c>
      <c r="O590" s="2">
        <v>415.5</v>
      </c>
      <c r="P590" s="2">
        <v>219.38</v>
      </c>
      <c r="Q590" s="2">
        <v>196.12</v>
      </c>
      <c r="R590">
        <v>1</v>
      </c>
      <c r="S590">
        <v>0</v>
      </c>
      <c r="T590">
        <v>2</v>
      </c>
      <c r="U590">
        <v>4</v>
      </c>
    </row>
    <row r="591" spans="1:21" ht="16.5" x14ac:dyDescent="0.3">
      <c r="A591" t="s">
        <v>669</v>
      </c>
      <c r="B591" s="1">
        <v>45393</v>
      </c>
      <c r="C591">
        <v>2024</v>
      </c>
      <c r="D591" t="s">
        <v>599</v>
      </c>
      <c r="E591" t="s">
        <v>600</v>
      </c>
      <c r="F591" t="s">
        <v>24</v>
      </c>
      <c r="G591" t="s">
        <v>49</v>
      </c>
      <c r="H591" t="s">
        <v>32</v>
      </c>
      <c r="I591" t="s">
        <v>27</v>
      </c>
      <c r="J591" t="s">
        <v>60</v>
      </c>
      <c r="K591">
        <v>1</v>
      </c>
      <c r="L591" s="2">
        <v>94.85</v>
      </c>
      <c r="M591" s="3">
        <v>0</v>
      </c>
      <c r="N591" t="s">
        <v>38</v>
      </c>
      <c r="O591" s="2">
        <v>94.85</v>
      </c>
      <c r="P591" s="2">
        <v>53.27</v>
      </c>
      <c r="Q591" s="2">
        <v>41.58</v>
      </c>
      <c r="R591">
        <v>1</v>
      </c>
      <c r="S591">
        <v>1</v>
      </c>
      <c r="T591">
        <v>4</v>
      </c>
      <c r="U591">
        <v>3</v>
      </c>
    </row>
    <row r="592" spans="1:21" ht="16.5" x14ac:dyDescent="0.3">
      <c r="A592" t="s">
        <v>670</v>
      </c>
      <c r="B592" s="1">
        <v>45393</v>
      </c>
      <c r="C592">
        <v>2024</v>
      </c>
      <c r="D592" t="s">
        <v>599</v>
      </c>
      <c r="E592" t="s">
        <v>600</v>
      </c>
      <c r="F592" t="s">
        <v>45</v>
      </c>
      <c r="G592" t="s">
        <v>25</v>
      </c>
      <c r="H592" t="s">
        <v>26</v>
      </c>
      <c r="I592" t="s">
        <v>84</v>
      </c>
      <c r="J592" t="s">
        <v>223</v>
      </c>
      <c r="K592">
        <v>1</v>
      </c>
      <c r="L592" s="2">
        <v>16.97</v>
      </c>
      <c r="M592" s="3">
        <v>0.05</v>
      </c>
      <c r="N592" t="s">
        <v>29</v>
      </c>
      <c r="O592" s="2">
        <v>16.12</v>
      </c>
      <c r="P592" s="2">
        <v>12.07</v>
      </c>
      <c r="Q592" s="2">
        <v>4.05</v>
      </c>
      <c r="R592">
        <v>1</v>
      </c>
      <c r="S592">
        <v>0</v>
      </c>
      <c r="T592">
        <v>4</v>
      </c>
      <c r="U592">
        <v>4</v>
      </c>
    </row>
    <row r="593" spans="1:21" ht="16.5" x14ac:dyDescent="0.3">
      <c r="A593" t="s">
        <v>671</v>
      </c>
      <c r="B593" s="1">
        <v>45393</v>
      </c>
      <c r="C593">
        <v>2024</v>
      </c>
      <c r="D593" t="s">
        <v>599</v>
      </c>
      <c r="E593" t="s">
        <v>600</v>
      </c>
      <c r="F593" t="s">
        <v>31</v>
      </c>
      <c r="G593" t="s">
        <v>51</v>
      </c>
      <c r="H593" t="s">
        <v>32</v>
      </c>
      <c r="I593" t="s">
        <v>27</v>
      </c>
      <c r="J593" t="s">
        <v>28</v>
      </c>
      <c r="K593">
        <v>1</v>
      </c>
      <c r="L593" s="2">
        <v>138.5</v>
      </c>
      <c r="M593" s="3">
        <v>0.05</v>
      </c>
      <c r="N593" t="s">
        <v>29</v>
      </c>
      <c r="O593" s="2">
        <v>131.57</v>
      </c>
      <c r="P593" s="2">
        <v>74.83</v>
      </c>
      <c r="Q593" s="2">
        <v>56.74</v>
      </c>
      <c r="R593">
        <v>1</v>
      </c>
      <c r="S593">
        <v>0</v>
      </c>
      <c r="T593">
        <v>4</v>
      </c>
      <c r="U593">
        <v>5</v>
      </c>
    </row>
    <row r="594" spans="1:21" ht="16.5" x14ac:dyDescent="0.3">
      <c r="A594" t="s">
        <v>672</v>
      </c>
      <c r="B594" s="1">
        <v>45393</v>
      </c>
      <c r="C594">
        <v>2024</v>
      </c>
      <c r="D594" t="s">
        <v>599</v>
      </c>
      <c r="E594" t="s">
        <v>600</v>
      </c>
      <c r="F594" t="s">
        <v>31</v>
      </c>
      <c r="G594" t="s">
        <v>25</v>
      </c>
      <c r="H594" t="s">
        <v>26</v>
      </c>
      <c r="I594" t="s">
        <v>67</v>
      </c>
      <c r="J594" t="s">
        <v>68</v>
      </c>
      <c r="K594">
        <v>1</v>
      </c>
      <c r="L594" s="2">
        <v>74.459999999999994</v>
      </c>
      <c r="M594" s="3">
        <v>0.1</v>
      </c>
      <c r="N594" t="s">
        <v>29</v>
      </c>
      <c r="O594" s="2">
        <v>67.010000000000005</v>
      </c>
      <c r="P594" s="2">
        <v>50.33</v>
      </c>
      <c r="Q594" s="2">
        <v>16.68</v>
      </c>
      <c r="R594">
        <v>1</v>
      </c>
      <c r="S594">
        <v>0</v>
      </c>
      <c r="T594">
        <v>4</v>
      </c>
      <c r="U594">
        <v>5</v>
      </c>
    </row>
    <row r="595" spans="1:21" ht="16.5" x14ac:dyDescent="0.3">
      <c r="A595" t="s">
        <v>673</v>
      </c>
      <c r="B595" s="1">
        <v>45393</v>
      </c>
      <c r="C595">
        <v>2024</v>
      </c>
      <c r="D595" t="s">
        <v>599</v>
      </c>
      <c r="E595" t="s">
        <v>600</v>
      </c>
      <c r="F595" t="s">
        <v>31</v>
      </c>
      <c r="G595" t="s">
        <v>49</v>
      </c>
      <c r="H595" t="s">
        <v>26</v>
      </c>
      <c r="I595" t="s">
        <v>27</v>
      </c>
      <c r="J595" t="s">
        <v>47</v>
      </c>
      <c r="K595">
        <v>1</v>
      </c>
      <c r="L595" s="2">
        <v>33.99</v>
      </c>
      <c r="M595" s="3">
        <v>0.1</v>
      </c>
      <c r="N595" t="s">
        <v>29</v>
      </c>
      <c r="O595" s="2">
        <v>30.59</v>
      </c>
      <c r="P595" s="2">
        <v>18.78</v>
      </c>
      <c r="Q595" s="2">
        <v>11.81</v>
      </c>
      <c r="R595">
        <v>1</v>
      </c>
      <c r="S595">
        <v>0</v>
      </c>
      <c r="T595">
        <v>3</v>
      </c>
      <c r="U595">
        <v>3</v>
      </c>
    </row>
    <row r="596" spans="1:21" ht="16.5" x14ac:dyDescent="0.3">
      <c r="A596" t="s">
        <v>674</v>
      </c>
      <c r="B596" s="1">
        <v>45394</v>
      </c>
      <c r="C596">
        <v>2024</v>
      </c>
      <c r="D596" t="s">
        <v>599</v>
      </c>
      <c r="E596" t="s">
        <v>600</v>
      </c>
      <c r="F596" t="s">
        <v>24</v>
      </c>
      <c r="G596" t="s">
        <v>51</v>
      </c>
      <c r="H596" t="s">
        <v>26</v>
      </c>
      <c r="I596" t="s">
        <v>84</v>
      </c>
      <c r="J596" t="s">
        <v>223</v>
      </c>
      <c r="K596">
        <v>1</v>
      </c>
      <c r="L596" s="2">
        <v>16.97</v>
      </c>
      <c r="M596" s="3">
        <v>0</v>
      </c>
      <c r="N596" t="s">
        <v>38</v>
      </c>
      <c r="O596" s="2">
        <v>16.97</v>
      </c>
      <c r="P596" s="2">
        <v>12.46</v>
      </c>
      <c r="Q596" s="2">
        <v>4.51</v>
      </c>
      <c r="R596">
        <v>1</v>
      </c>
      <c r="S596">
        <v>0</v>
      </c>
      <c r="T596">
        <v>3</v>
      </c>
      <c r="U596">
        <v>4</v>
      </c>
    </row>
    <row r="597" spans="1:21" ht="16.5" x14ac:dyDescent="0.3">
      <c r="A597" t="s">
        <v>675</v>
      </c>
      <c r="B597" s="1">
        <v>45394</v>
      </c>
      <c r="C597">
        <v>2024</v>
      </c>
      <c r="D597" t="s">
        <v>599</v>
      </c>
      <c r="E597" t="s">
        <v>600</v>
      </c>
      <c r="F597" t="s">
        <v>24</v>
      </c>
      <c r="G597" t="s">
        <v>49</v>
      </c>
      <c r="H597" t="s">
        <v>26</v>
      </c>
      <c r="I597" t="s">
        <v>70</v>
      </c>
      <c r="J597" t="s">
        <v>87</v>
      </c>
      <c r="K597">
        <v>1</v>
      </c>
      <c r="L597" s="2">
        <v>490.3</v>
      </c>
      <c r="M597" s="3">
        <v>0</v>
      </c>
      <c r="N597" t="s">
        <v>38</v>
      </c>
      <c r="O597" s="2">
        <v>490.3</v>
      </c>
      <c r="P597" s="2">
        <v>384.42</v>
      </c>
      <c r="Q597" s="2">
        <v>105.88</v>
      </c>
      <c r="R597">
        <v>1</v>
      </c>
      <c r="S597">
        <v>0</v>
      </c>
      <c r="T597">
        <v>3</v>
      </c>
      <c r="U597">
        <v>4</v>
      </c>
    </row>
    <row r="598" spans="1:21" ht="16.5" x14ac:dyDescent="0.3">
      <c r="A598" t="s">
        <v>676</v>
      </c>
      <c r="B598" s="1">
        <v>45394</v>
      </c>
      <c r="C598">
        <v>2024</v>
      </c>
      <c r="D598" t="s">
        <v>599</v>
      </c>
      <c r="E598" t="s">
        <v>600</v>
      </c>
      <c r="F598" t="s">
        <v>45</v>
      </c>
      <c r="G598" t="s">
        <v>46</v>
      </c>
      <c r="H598" t="s">
        <v>26</v>
      </c>
      <c r="I598" t="s">
        <v>27</v>
      </c>
      <c r="J598" t="s">
        <v>33</v>
      </c>
      <c r="K598">
        <v>1</v>
      </c>
      <c r="L598" s="2">
        <v>78.510000000000005</v>
      </c>
      <c r="M598" s="3">
        <v>0</v>
      </c>
      <c r="N598" t="s">
        <v>38</v>
      </c>
      <c r="O598" s="2">
        <v>78.510000000000005</v>
      </c>
      <c r="P598" s="2">
        <v>41.98</v>
      </c>
      <c r="Q598" s="2">
        <v>36.53</v>
      </c>
      <c r="R598">
        <v>1</v>
      </c>
      <c r="S598">
        <v>0</v>
      </c>
      <c r="T598">
        <v>6</v>
      </c>
      <c r="U598">
        <v>4</v>
      </c>
    </row>
    <row r="599" spans="1:21" ht="16.5" x14ac:dyDescent="0.3">
      <c r="A599" t="s">
        <v>677</v>
      </c>
      <c r="B599" s="1">
        <v>45394</v>
      </c>
      <c r="C599">
        <v>2024</v>
      </c>
      <c r="D599" t="s">
        <v>599</v>
      </c>
      <c r="E599" t="s">
        <v>600</v>
      </c>
      <c r="F599" t="s">
        <v>45</v>
      </c>
      <c r="G599" t="s">
        <v>25</v>
      </c>
      <c r="H599" t="s">
        <v>26</v>
      </c>
      <c r="I599" t="s">
        <v>70</v>
      </c>
      <c r="J599" t="s">
        <v>252</v>
      </c>
      <c r="K599">
        <v>1</v>
      </c>
      <c r="L599" s="2">
        <v>216.08</v>
      </c>
      <c r="M599" s="3">
        <v>0</v>
      </c>
      <c r="N599" t="s">
        <v>38</v>
      </c>
      <c r="O599" s="2">
        <v>216.08</v>
      </c>
      <c r="P599" s="2">
        <v>171.26</v>
      </c>
      <c r="Q599" s="2">
        <v>44.82</v>
      </c>
      <c r="R599">
        <v>1</v>
      </c>
      <c r="S599">
        <v>0</v>
      </c>
      <c r="T599">
        <v>3</v>
      </c>
      <c r="U599">
        <v>4</v>
      </c>
    </row>
    <row r="600" spans="1:21" ht="16.5" x14ac:dyDescent="0.3">
      <c r="A600" t="s">
        <v>678</v>
      </c>
      <c r="B600" s="1">
        <v>45394</v>
      </c>
      <c r="C600">
        <v>2024</v>
      </c>
      <c r="D600" t="s">
        <v>599</v>
      </c>
      <c r="E600" t="s">
        <v>600</v>
      </c>
      <c r="F600" t="s">
        <v>31</v>
      </c>
      <c r="G600" t="s">
        <v>46</v>
      </c>
      <c r="H600" t="s">
        <v>32</v>
      </c>
      <c r="I600" t="s">
        <v>84</v>
      </c>
      <c r="J600" t="s">
        <v>96</v>
      </c>
      <c r="K600">
        <v>3</v>
      </c>
      <c r="L600" s="2">
        <v>10.76</v>
      </c>
      <c r="M600" s="3">
        <v>0.05</v>
      </c>
      <c r="N600" t="s">
        <v>29</v>
      </c>
      <c r="O600" s="2">
        <v>30.67</v>
      </c>
      <c r="P600" s="2">
        <v>22.53</v>
      </c>
      <c r="Q600" s="2">
        <v>8.14</v>
      </c>
      <c r="R600">
        <v>1</v>
      </c>
      <c r="S600">
        <v>0</v>
      </c>
      <c r="T600">
        <v>5</v>
      </c>
      <c r="U600">
        <v>5</v>
      </c>
    </row>
    <row r="601" spans="1:21" ht="16.5" x14ac:dyDescent="0.3">
      <c r="A601" t="s">
        <v>679</v>
      </c>
      <c r="B601" s="1">
        <v>45394</v>
      </c>
      <c r="C601">
        <v>2024</v>
      </c>
      <c r="D601" t="s">
        <v>599</v>
      </c>
      <c r="E601" t="s">
        <v>600</v>
      </c>
      <c r="F601" t="s">
        <v>24</v>
      </c>
      <c r="G601" t="s">
        <v>46</v>
      </c>
      <c r="H601" t="s">
        <v>32</v>
      </c>
      <c r="I601" t="s">
        <v>36</v>
      </c>
      <c r="J601" t="s">
        <v>56</v>
      </c>
      <c r="K601">
        <v>1</v>
      </c>
      <c r="L601" s="2">
        <v>74.3</v>
      </c>
      <c r="M601" s="3">
        <v>0</v>
      </c>
      <c r="N601" t="s">
        <v>38</v>
      </c>
      <c r="O601" s="2">
        <v>74.3</v>
      </c>
      <c r="P601" s="2">
        <v>35.75</v>
      </c>
      <c r="Q601" s="2">
        <v>38.549999999999997</v>
      </c>
      <c r="R601">
        <v>1</v>
      </c>
      <c r="S601">
        <v>0</v>
      </c>
      <c r="T601">
        <v>6</v>
      </c>
      <c r="U601">
        <v>3</v>
      </c>
    </row>
    <row r="602" spans="1:21" ht="16.5" x14ac:dyDescent="0.3">
      <c r="A602" t="s">
        <v>680</v>
      </c>
      <c r="B602" s="1">
        <v>45394</v>
      </c>
      <c r="C602">
        <v>2024</v>
      </c>
      <c r="D602" t="s">
        <v>599</v>
      </c>
      <c r="E602" t="s">
        <v>600</v>
      </c>
      <c r="F602" t="s">
        <v>24</v>
      </c>
      <c r="G602" t="s">
        <v>51</v>
      </c>
      <c r="H602" t="s">
        <v>26</v>
      </c>
      <c r="I602" t="s">
        <v>84</v>
      </c>
      <c r="J602" t="s">
        <v>96</v>
      </c>
      <c r="K602">
        <v>3</v>
      </c>
      <c r="L602" s="2">
        <v>10.76</v>
      </c>
      <c r="M602" s="3">
        <v>0</v>
      </c>
      <c r="N602" t="s">
        <v>38</v>
      </c>
      <c r="O602" s="2">
        <v>32.28</v>
      </c>
      <c r="P602" s="2">
        <v>24.3</v>
      </c>
      <c r="Q602" s="2">
        <v>7.98</v>
      </c>
      <c r="R602">
        <v>1</v>
      </c>
      <c r="S602">
        <v>0</v>
      </c>
      <c r="T602">
        <v>4</v>
      </c>
      <c r="U602">
        <v>5</v>
      </c>
    </row>
    <row r="603" spans="1:21" ht="16.5" x14ac:dyDescent="0.3">
      <c r="A603" t="s">
        <v>681</v>
      </c>
      <c r="B603" s="1">
        <v>45394</v>
      </c>
      <c r="C603">
        <v>2024</v>
      </c>
      <c r="D603" t="s">
        <v>599</v>
      </c>
      <c r="E603" t="s">
        <v>600</v>
      </c>
      <c r="F603" t="s">
        <v>24</v>
      </c>
      <c r="G603" t="s">
        <v>51</v>
      </c>
      <c r="H603" t="s">
        <v>32</v>
      </c>
      <c r="I603" t="s">
        <v>36</v>
      </c>
      <c r="J603" t="s">
        <v>126</v>
      </c>
      <c r="K603">
        <v>1</v>
      </c>
      <c r="L603" s="2">
        <v>54.56</v>
      </c>
      <c r="M603" s="3">
        <v>0</v>
      </c>
      <c r="N603" t="s">
        <v>38</v>
      </c>
      <c r="O603" s="2">
        <v>54.56</v>
      </c>
      <c r="P603" s="2">
        <v>25.01</v>
      </c>
      <c r="Q603" s="2">
        <v>29.55</v>
      </c>
      <c r="R603">
        <v>1</v>
      </c>
      <c r="S603">
        <v>0</v>
      </c>
      <c r="T603">
        <v>2</v>
      </c>
      <c r="U603">
        <v>5</v>
      </c>
    </row>
    <row r="604" spans="1:21" ht="16.5" x14ac:dyDescent="0.3">
      <c r="A604" t="s">
        <v>682</v>
      </c>
      <c r="B604" s="1">
        <v>45395</v>
      </c>
      <c r="C604">
        <v>2024</v>
      </c>
      <c r="D604" t="s">
        <v>599</v>
      </c>
      <c r="E604" t="s">
        <v>600</v>
      </c>
      <c r="F604" t="s">
        <v>31</v>
      </c>
      <c r="G604" t="s">
        <v>49</v>
      </c>
      <c r="H604" t="s">
        <v>26</v>
      </c>
      <c r="I604" t="s">
        <v>27</v>
      </c>
      <c r="J604" t="s">
        <v>60</v>
      </c>
      <c r="K604">
        <v>1</v>
      </c>
      <c r="L604" s="2">
        <v>94.85</v>
      </c>
      <c r="M604" s="3">
        <v>0.1</v>
      </c>
      <c r="N604" t="s">
        <v>29</v>
      </c>
      <c r="O604" s="2">
        <v>85.36</v>
      </c>
      <c r="P604" s="2">
        <v>53.85</v>
      </c>
      <c r="Q604" s="2">
        <v>31.51</v>
      </c>
      <c r="R604">
        <v>1</v>
      </c>
      <c r="S604">
        <v>0</v>
      </c>
      <c r="T604">
        <v>3</v>
      </c>
      <c r="U604">
        <v>5</v>
      </c>
    </row>
    <row r="605" spans="1:21" ht="16.5" x14ac:dyDescent="0.3">
      <c r="A605" t="s">
        <v>683</v>
      </c>
      <c r="B605" s="1">
        <v>45395</v>
      </c>
      <c r="C605">
        <v>2024</v>
      </c>
      <c r="D605" t="s">
        <v>599</v>
      </c>
      <c r="E605" t="s">
        <v>600</v>
      </c>
      <c r="F605" t="s">
        <v>31</v>
      </c>
      <c r="G605" t="s">
        <v>51</v>
      </c>
      <c r="H605" t="s">
        <v>32</v>
      </c>
      <c r="I605" t="s">
        <v>27</v>
      </c>
      <c r="J605" t="s">
        <v>110</v>
      </c>
      <c r="K605">
        <v>1</v>
      </c>
      <c r="L605" s="2">
        <v>19.41</v>
      </c>
      <c r="M605" s="3">
        <v>0.1</v>
      </c>
      <c r="N605" t="s">
        <v>29</v>
      </c>
      <c r="O605" s="2">
        <v>17.47</v>
      </c>
      <c r="P605" s="2">
        <v>10.35</v>
      </c>
      <c r="Q605" s="2">
        <v>7.12</v>
      </c>
      <c r="R605">
        <v>1</v>
      </c>
      <c r="S605">
        <v>0</v>
      </c>
      <c r="T605">
        <v>3</v>
      </c>
      <c r="U605">
        <v>4</v>
      </c>
    </row>
    <row r="606" spans="1:21" ht="16.5" x14ac:dyDescent="0.3">
      <c r="A606" t="s">
        <v>684</v>
      </c>
      <c r="B606" s="1">
        <v>45395</v>
      </c>
      <c r="C606">
        <v>2024</v>
      </c>
      <c r="D606" t="s">
        <v>599</v>
      </c>
      <c r="E606" t="s">
        <v>600</v>
      </c>
      <c r="F606" t="s">
        <v>31</v>
      </c>
      <c r="G606" t="s">
        <v>51</v>
      </c>
      <c r="H606" t="s">
        <v>26</v>
      </c>
      <c r="I606" t="s">
        <v>27</v>
      </c>
      <c r="J606" t="s">
        <v>40</v>
      </c>
      <c r="K606">
        <v>2</v>
      </c>
      <c r="L606" s="2">
        <v>104.94</v>
      </c>
      <c r="M606" s="3">
        <v>0.25</v>
      </c>
      <c r="N606" t="s">
        <v>62</v>
      </c>
      <c r="O606" s="2">
        <v>157.41</v>
      </c>
      <c r="P606" s="2">
        <v>113.11</v>
      </c>
      <c r="Q606" s="2">
        <v>44.3</v>
      </c>
      <c r="R606">
        <v>1</v>
      </c>
      <c r="S606">
        <v>0</v>
      </c>
      <c r="T606">
        <v>3</v>
      </c>
      <c r="U606">
        <v>5</v>
      </c>
    </row>
    <row r="607" spans="1:21" ht="16.5" x14ac:dyDescent="0.3">
      <c r="A607" t="s">
        <v>685</v>
      </c>
      <c r="B607" s="1">
        <v>45395</v>
      </c>
      <c r="C607">
        <v>2024</v>
      </c>
      <c r="D607" t="s">
        <v>599</v>
      </c>
      <c r="E607" t="s">
        <v>600</v>
      </c>
      <c r="F607" t="s">
        <v>31</v>
      </c>
      <c r="G607" t="s">
        <v>51</v>
      </c>
      <c r="H607" t="s">
        <v>32</v>
      </c>
      <c r="I607" t="s">
        <v>42</v>
      </c>
      <c r="J607" t="s">
        <v>54</v>
      </c>
      <c r="K607">
        <v>2</v>
      </c>
      <c r="L607" s="2">
        <v>148.05000000000001</v>
      </c>
      <c r="M607" s="3">
        <v>0</v>
      </c>
      <c r="N607" t="s">
        <v>38</v>
      </c>
      <c r="O607" s="2">
        <v>296.10000000000002</v>
      </c>
      <c r="P607" s="2">
        <v>187.83</v>
      </c>
      <c r="Q607" s="2">
        <v>108.27</v>
      </c>
      <c r="R607">
        <v>1</v>
      </c>
      <c r="S607">
        <v>0</v>
      </c>
      <c r="T607">
        <v>2</v>
      </c>
      <c r="U607">
        <v>5</v>
      </c>
    </row>
    <row r="608" spans="1:21" ht="16.5" x14ac:dyDescent="0.3">
      <c r="A608" t="s">
        <v>686</v>
      </c>
      <c r="B608" s="1">
        <v>45395</v>
      </c>
      <c r="C608">
        <v>2024</v>
      </c>
      <c r="D608" t="s">
        <v>599</v>
      </c>
      <c r="E608" t="s">
        <v>600</v>
      </c>
      <c r="F608" t="s">
        <v>24</v>
      </c>
      <c r="G608" t="s">
        <v>25</v>
      </c>
      <c r="H608" t="s">
        <v>32</v>
      </c>
      <c r="I608" t="s">
        <v>36</v>
      </c>
      <c r="J608" t="s">
        <v>115</v>
      </c>
      <c r="K608">
        <v>3</v>
      </c>
      <c r="L608" s="2">
        <v>33.479999999999997</v>
      </c>
      <c r="M608" s="3">
        <v>0.15</v>
      </c>
      <c r="N608" t="s">
        <v>34</v>
      </c>
      <c r="O608" s="2">
        <v>85.37</v>
      </c>
      <c r="P608" s="2">
        <v>49.69</v>
      </c>
      <c r="Q608" s="2">
        <v>35.68</v>
      </c>
      <c r="R608">
        <v>1</v>
      </c>
      <c r="S608">
        <v>0</v>
      </c>
      <c r="T608">
        <v>4</v>
      </c>
      <c r="U608">
        <v>5</v>
      </c>
    </row>
    <row r="609" spans="1:21" ht="16.5" x14ac:dyDescent="0.3">
      <c r="A609" t="s">
        <v>687</v>
      </c>
      <c r="B609" s="1">
        <v>45395</v>
      </c>
      <c r="C609">
        <v>2024</v>
      </c>
      <c r="D609" t="s">
        <v>599</v>
      </c>
      <c r="E609" t="s">
        <v>600</v>
      </c>
      <c r="F609" t="s">
        <v>45</v>
      </c>
      <c r="G609" t="s">
        <v>49</v>
      </c>
      <c r="H609" t="s">
        <v>32</v>
      </c>
      <c r="I609" t="s">
        <v>84</v>
      </c>
      <c r="J609" t="s">
        <v>223</v>
      </c>
      <c r="K609">
        <v>1</v>
      </c>
      <c r="L609" s="2">
        <v>16.97</v>
      </c>
      <c r="M609" s="3">
        <v>0</v>
      </c>
      <c r="N609" t="s">
        <v>38</v>
      </c>
      <c r="O609" s="2">
        <v>16.97</v>
      </c>
      <c r="P609" s="2">
        <v>12.63</v>
      </c>
      <c r="Q609" s="2">
        <v>4.34</v>
      </c>
      <c r="R609">
        <v>1</v>
      </c>
      <c r="S609">
        <v>0</v>
      </c>
      <c r="T609">
        <v>5</v>
      </c>
      <c r="U609">
        <v>4</v>
      </c>
    </row>
    <row r="610" spans="1:21" ht="16.5" x14ac:dyDescent="0.3">
      <c r="A610" t="s">
        <v>688</v>
      </c>
      <c r="B610" s="1">
        <v>45395</v>
      </c>
      <c r="C610">
        <v>2024</v>
      </c>
      <c r="D610" t="s">
        <v>599</v>
      </c>
      <c r="E610" t="s">
        <v>600</v>
      </c>
      <c r="F610" t="s">
        <v>24</v>
      </c>
      <c r="G610" t="s">
        <v>25</v>
      </c>
      <c r="H610" t="s">
        <v>32</v>
      </c>
      <c r="I610" t="s">
        <v>84</v>
      </c>
      <c r="J610" t="s">
        <v>85</v>
      </c>
      <c r="K610">
        <v>1</v>
      </c>
      <c r="L610" s="2">
        <v>57.92</v>
      </c>
      <c r="M610" s="3">
        <v>0</v>
      </c>
      <c r="N610" t="s">
        <v>38</v>
      </c>
      <c r="O610" s="2">
        <v>57.92</v>
      </c>
      <c r="P610" s="2">
        <v>40.520000000000003</v>
      </c>
      <c r="Q610" s="2">
        <v>17.399999999999999</v>
      </c>
      <c r="R610">
        <v>1</v>
      </c>
      <c r="S610">
        <v>0</v>
      </c>
      <c r="T610">
        <v>3</v>
      </c>
      <c r="U610">
        <v>5</v>
      </c>
    </row>
    <row r="611" spans="1:21" ht="16.5" x14ac:dyDescent="0.3">
      <c r="A611" t="s">
        <v>689</v>
      </c>
      <c r="B611" s="1">
        <v>45395</v>
      </c>
      <c r="C611">
        <v>2024</v>
      </c>
      <c r="D611" t="s">
        <v>599</v>
      </c>
      <c r="E611" t="s">
        <v>600</v>
      </c>
      <c r="F611" t="s">
        <v>45</v>
      </c>
      <c r="G611" t="s">
        <v>25</v>
      </c>
      <c r="H611" t="s">
        <v>26</v>
      </c>
      <c r="I611" t="s">
        <v>70</v>
      </c>
      <c r="J611" t="s">
        <v>71</v>
      </c>
      <c r="K611">
        <v>2</v>
      </c>
      <c r="L611" s="2">
        <v>588.41</v>
      </c>
      <c r="M611" s="3">
        <v>0.3</v>
      </c>
      <c r="N611" t="s">
        <v>62</v>
      </c>
      <c r="O611" s="2">
        <v>823.77</v>
      </c>
      <c r="P611" s="2">
        <v>950.7</v>
      </c>
      <c r="Q611" s="2">
        <v>-126.93</v>
      </c>
      <c r="R611">
        <v>1</v>
      </c>
      <c r="S611">
        <v>0</v>
      </c>
      <c r="T611">
        <v>3</v>
      </c>
      <c r="U611">
        <v>4</v>
      </c>
    </row>
    <row r="612" spans="1:21" ht="16.5" x14ac:dyDescent="0.3">
      <c r="A612" t="s">
        <v>690</v>
      </c>
      <c r="B612" s="1">
        <v>45396</v>
      </c>
      <c r="C612">
        <v>2024</v>
      </c>
      <c r="D612" t="s">
        <v>599</v>
      </c>
      <c r="E612" t="s">
        <v>600</v>
      </c>
      <c r="F612" t="s">
        <v>31</v>
      </c>
      <c r="G612" t="s">
        <v>25</v>
      </c>
      <c r="H612" t="s">
        <v>32</v>
      </c>
      <c r="I612" t="s">
        <v>27</v>
      </c>
      <c r="J612" t="s">
        <v>33</v>
      </c>
      <c r="K612">
        <v>1</v>
      </c>
      <c r="L612" s="2">
        <v>78.510000000000005</v>
      </c>
      <c r="M612" s="3">
        <v>0.15</v>
      </c>
      <c r="N612" t="s">
        <v>34</v>
      </c>
      <c r="O612" s="2">
        <v>66.73</v>
      </c>
      <c r="P612" s="2">
        <v>45.45</v>
      </c>
      <c r="Q612" s="2">
        <v>21.28</v>
      </c>
      <c r="R612">
        <v>1</v>
      </c>
      <c r="S612">
        <v>0</v>
      </c>
      <c r="T612">
        <v>5</v>
      </c>
      <c r="U612">
        <v>5</v>
      </c>
    </row>
    <row r="613" spans="1:21" ht="16.5" x14ac:dyDescent="0.3">
      <c r="A613" t="s">
        <v>691</v>
      </c>
      <c r="B613" s="1">
        <v>45396</v>
      </c>
      <c r="C613">
        <v>2024</v>
      </c>
      <c r="D613" t="s">
        <v>599</v>
      </c>
      <c r="E613" t="s">
        <v>600</v>
      </c>
      <c r="F613" t="s">
        <v>24</v>
      </c>
      <c r="G613" t="s">
        <v>65</v>
      </c>
      <c r="H613" t="s">
        <v>32</v>
      </c>
      <c r="I613" t="s">
        <v>70</v>
      </c>
      <c r="J613" t="s">
        <v>252</v>
      </c>
      <c r="K613">
        <v>1</v>
      </c>
      <c r="L613" s="2">
        <v>216.08</v>
      </c>
      <c r="M613" s="3">
        <v>0.25</v>
      </c>
      <c r="N613" t="s">
        <v>62</v>
      </c>
      <c r="O613" s="2">
        <v>162.06</v>
      </c>
      <c r="P613" s="2">
        <v>177.09</v>
      </c>
      <c r="Q613" s="2">
        <v>-15.03</v>
      </c>
      <c r="R613">
        <v>1</v>
      </c>
      <c r="S613">
        <v>0</v>
      </c>
      <c r="T613">
        <v>5</v>
      </c>
      <c r="U613">
        <v>5</v>
      </c>
    </row>
    <row r="614" spans="1:21" ht="16.5" x14ac:dyDescent="0.3">
      <c r="A614" t="s">
        <v>692</v>
      </c>
      <c r="B614" s="1">
        <v>45396</v>
      </c>
      <c r="C614">
        <v>2024</v>
      </c>
      <c r="D614" t="s">
        <v>599</v>
      </c>
      <c r="E614" t="s">
        <v>600</v>
      </c>
      <c r="F614" t="s">
        <v>24</v>
      </c>
      <c r="G614" t="s">
        <v>65</v>
      </c>
      <c r="H614" t="s">
        <v>32</v>
      </c>
      <c r="I614" t="s">
        <v>67</v>
      </c>
      <c r="J614" t="s">
        <v>93</v>
      </c>
      <c r="K614">
        <v>1</v>
      </c>
      <c r="L614" s="2">
        <v>198.42</v>
      </c>
      <c r="M614" s="3">
        <v>0</v>
      </c>
      <c r="N614" t="s">
        <v>38</v>
      </c>
      <c r="O614" s="2">
        <v>198.42</v>
      </c>
      <c r="P614" s="2">
        <v>136.65</v>
      </c>
      <c r="Q614" s="2">
        <v>61.77</v>
      </c>
      <c r="R614">
        <v>1</v>
      </c>
      <c r="S614">
        <v>0</v>
      </c>
      <c r="T614">
        <v>6</v>
      </c>
      <c r="U614">
        <v>4</v>
      </c>
    </row>
    <row r="615" spans="1:21" ht="16.5" x14ac:dyDescent="0.3">
      <c r="A615" t="s">
        <v>693</v>
      </c>
      <c r="B615" s="1">
        <v>45396</v>
      </c>
      <c r="C615">
        <v>2024</v>
      </c>
      <c r="D615" t="s">
        <v>599</v>
      </c>
      <c r="E615" t="s">
        <v>600</v>
      </c>
      <c r="F615" t="s">
        <v>45</v>
      </c>
      <c r="G615" t="s">
        <v>51</v>
      </c>
      <c r="H615" t="s">
        <v>32</v>
      </c>
      <c r="I615" t="s">
        <v>67</v>
      </c>
      <c r="J615" t="s">
        <v>93</v>
      </c>
      <c r="K615">
        <v>2</v>
      </c>
      <c r="L615" s="2">
        <v>198.42</v>
      </c>
      <c r="M615" s="3">
        <v>0.05</v>
      </c>
      <c r="N615" t="s">
        <v>29</v>
      </c>
      <c r="O615" s="2">
        <v>377</v>
      </c>
      <c r="P615" s="2">
        <v>249.96</v>
      </c>
      <c r="Q615" s="2">
        <v>127.04</v>
      </c>
      <c r="R615">
        <v>1</v>
      </c>
      <c r="S615">
        <v>0</v>
      </c>
      <c r="T615">
        <v>2</v>
      </c>
      <c r="U615">
        <v>5</v>
      </c>
    </row>
    <row r="616" spans="1:21" ht="16.5" x14ac:dyDescent="0.3">
      <c r="A616" t="s">
        <v>694</v>
      </c>
      <c r="B616" s="1">
        <v>45396</v>
      </c>
      <c r="C616">
        <v>2024</v>
      </c>
      <c r="D616" t="s">
        <v>599</v>
      </c>
      <c r="E616" t="s">
        <v>600</v>
      </c>
      <c r="F616" t="s">
        <v>31</v>
      </c>
      <c r="G616" t="s">
        <v>51</v>
      </c>
      <c r="H616" t="s">
        <v>26</v>
      </c>
      <c r="I616" t="s">
        <v>27</v>
      </c>
      <c r="J616" t="s">
        <v>47</v>
      </c>
      <c r="K616">
        <v>1</v>
      </c>
      <c r="L616" s="2">
        <v>33.99</v>
      </c>
      <c r="M616" s="3">
        <v>0.3</v>
      </c>
      <c r="N616" t="s">
        <v>62</v>
      </c>
      <c r="O616" s="2">
        <v>23.79</v>
      </c>
      <c r="P616" s="2">
        <v>18.86</v>
      </c>
      <c r="Q616" s="2">
        <v>4.93</v>
      </c>
      <c r="R616">
        <v>1</v>
      </c>
      <c r="S616">
        <v>0</v>
      </c>
      <c r="T616">
        <v>2</v>
      </c>
      <c r="U616">
        <v>4</v>
      </c>
    </row>
    <row r="617" spans="1:21" ht="16.5" x14ac:dyDescent="0.3">
      <c r="A617" t="s">
        <v>695</v>
      </c>
      <c r="B617" s="1">
        <v>45396</v>
      </c>
      <c r="C617">
        <v>2024</v>
      </c>
      <c r="D617" t="s">
        <v>599</v>
      </c>
      <c r="E617" t="s">
        <v>600</v>
      </c>
      <c r="F617" t="s">
        <v>24</v>
      </c>
      <c r="G617" t="s">
        <v>51</v>
      </c>
      <c r="H617" t="s">
        <v>32</v>
      </c>
      <c r="I617" t="s">
        <v>42</v>
      </c>
      <c r="J617" t="s">
        <v>98</v>
      </c>
      <c r="K617">
        <v>2</v>
      </c>
      <c r="L617" s="2">
        <v>117.63</v>
      </c>
      <c r="M617" s="3">
        <v>0.1</v>
      </c>
      <c r="N617" t="s">
        <v>29</v>
      </c>
      <c r="O617" s="2">
        <v>211.73</v>
      </c>
      <c r="P617" s="2">
        <v>153.49</v>
      </c>
      <c r="Q617" s="2">
        <v>58.24</v>
      </c>
      <c r="R617">
        <v>1</v>
      </c>
      <c r="S617">
        <v>0</v>
      </c>
      <c r="T617">
        <v>2</v>
      </c>
      <c r="U617">
        <v>4</v>
      </c>
    </row>
    <row r="618" spans="1:21" ht="16.5" x14ac:dyDescent="0.3">
      <c r="A618" t="s">
        <v>696</v>
      </c>
      <c r="B618" s="1">
        <v>45396</v>
      </c>
      <c r="C618">
        <v>2024</v>
      </c>
      <c r="D618" t="s">
        <v>599</v>
      </c>
      <c r="E618" t="s">
        <v>600</v>
      </c>
      <c r="F618" t="s">
        <v>24</v>
      </c>
      <c r="G618" t="s">
        <v>25</v>
      </c>
      <c r="H618" t="s">
        <v>26</v>
      </c>
      <c r="I618" t="s">
        <v>36</v>
      </c>
      <c r="J618" t="s">
        <v>52</v>
      </c>
      <c r="K618">
        <v>1</v>
      </c>
      <c r="L618" s="2">
        <v>92.54</v>
      </c>
      <c r="M618" s="3">
        <v>0</v>
      </c>
      <c r="N618" t="s">
        <v>38</v>
      </c>
      <c r="O618" s="2">
        <v>92.54</v>
      </c>
      <c r="P618" s="2">
        <v>43.27</v>
      </c>
      <c r="Q618" s="2">
        <v>49.27</v>
      </c>
      <c r="R618">
        <v>1</v>
      </c>
      <c r="S618">
        <v>0</v>
      </c>
      <c r="T618">
        <v>3</v>
      </c>
      <c r="U618">
        <v>4</v>
      </c>
    </row>
    <row r="619" spans="1:21" ht="16.5" x14ac:dyDescent="0.3">
      <c r="A619" t="s">
        <v>697</v>
      </c>
      <c r="B619" s="1">
        <v>45396</v>
      </c>
      <c r="C619">
        <v>2024</v>
      </c>
      <c r="D619" t="s">
        <v>599</v>
      </c>
      <c r="E619" t="s">
        <v>600</v>
      </c>
      <c r="F619" t="s">
        <v>24</v>
      </c>
      <c r="G619" t="s">
        <v>65</v>
      </c>
      <c r="H619" t="s">
        <v>32</v>
      </c>
      <c r="I619" t="s">
        <v>27</v>
      </c>
      <c r="J619" t="s">
        <v>47</v>
      </c>
      <c r="K619">
        <v>2</v>
      </c>
      <c r="L619" s="2">
        <v>33.99</v>
      </c>
      <c r="M619" s="3">
        <v>0.1</v>
      </c>
      <c r="N619" t="s">
        <v>29</v>
      </c>
      <c r="O619" s="2">
        <v>61.18</v>
      </c>
      <c r="P619" s="2">
        <v>36.99</v>
      </c>
      <c r="Q619" s="2">
        <v>24.19</v>
      </c>
      <c r="R619">
        <v>1</v>
      </c>
      <c r="S619">
        <v>0</v>
      </c>
      <c r="T619">
        <v>7</v>
      </c>
      <c r="U619">
        <v>3</v>
      </c>
    </row>
    <row r="620" spans="1:21" ht="16.5" x14ac:dyDescent="0.3">
      <c r="A620" t="s">
        <v>698</v>
      </c>
      <c r="B620" s="1">
        <v>45396</v>
      </c>
      <c r="C620">
        <v>2024</v>
      </c>
      <c r="D620" t="s">
        <v>599</v>
      </c>
      <c r="E620" t="s">
        <v>600</v>
      </c>
      <c r="F620" t="s">
        <v>24</v>
      </c>
      <c r="G620" t="s">
        <v>25</v>
      </c>
      <c r="H620" t="s">
        <v>32</v>
      </c>
      <c r="I620" t="s">
        <v>27</v>
      </c>
      <c r="J620" t="s">
        <v>28</v>
      </c>
      <c r="K620">
        <v>1</v>
      </c>
      <c r="L620" s="2">
        <v>138.5</v>
      </c>
      <c r="M620" s="3">
        <v>0.1</v>
      </c>
      <c r="N620" t="s">
        <v>29</v>
      </c>
      <c r="O620" s="2">
        <v>124.65</v>
      </c>
      <c r="P620" s="2">
        <v>78.31</v>
      </c>
      <c r="Q620" s="2">
        <v>46.34</v>
      </c>
      <c r="R620">
        <v>1</v>
      </c>
      <c r="S620">
        <v>0</v>
      </c>
      <c r="T620">
        <v>4</v>
      </c>
      <c r="U620">
        <v>5</v>
      </c>
    </row>
    <row r="621" spans="1:21" ht="16.5" x14ac:dyDescent="0.3">
      <c r="A621" t="s">
        <v>699</v>
      </c>
      <c r="B621" s="1">
        <v>45397</v>
      </c>
      <c r="C621">
        <v>2024</v>
      </c>
      <c r="D621" t="s">
        <v>599</v>
      </c>
      <c r="E621" t="s">
        <v>600</v>
      </c>
      <c r="F621" t="s">
        <v>24</v>
      </c>
      <c r="G621" t="s">
        <v>51</v>
      </c>
      <c r="H621" t="s">
        <v>32</v>
      </c>
      <c r="I621" t="s">
        <v>70</v>
      </c>
      <c r="J621" t="s">
        <v>162</v>
      </c>
      <c r="K621">
        <v>1</v>
      </c>
      <c r="L621" s="2">
        <v>636.09</v>
      </c>
      <c r="M621" s="3">
        <v>0.05</v>
      </c>
      <c r="N621" t="s">
        <v>29</v>
      </c>
      <c r="O621" s="2">
        <v>604.29</v>
      </c>
      <c r="P621" s="2">
        <v>500.34</v>
      </c>
      <c r="Q621" s="2">
        <v>103.95</v>
      </c>
      <c r="R621">
        <v>1</v>
      </c>
      <c r="S621">
        <v>1</v>
      </c>
      <c r="T621">
        <v>2</v>
      </c>
      <c r="U621">
        <v>3</v>
      </c>
    </row>
    <row r="622" spans="1:21" ht="16.5" x14ac:dyDescent="0.3">
      <c r="A622" t="s">
        <v>700</v>
      </c>
      <c r="B622" s="1">
        <v>45397</v>
      </c>
      <c r="C622">
        <v>2024</v>
      </c>
      <c r="D622" t="s">
        <v>599</v>
      </c>
      <c r="E622" t="s">
        <v>600</v>
      </c>
      <c r="F622" t="s">
        <v>45</v>
      </c>
      <c r="G622" t="s">
        <v>51</v>
      </c>
      <c r="H622" t="s">
        <v>32</v>
      </c>
      <c r="I622" t="s">
        <v>67</v>
      </c>
      <c r="J622" t="s">
        <v>68</v>
      </c>
      <c r="K622">
        <v>1</v>
      </c>
      <c r="L622" s="2">
        <v>74.459999999999994</v>
      </c>
      <c r="M622" s="3">
        <v>0.25</v>
      </c>
      <c r="N622" t="s">
        <v>62</v>
      </c>
      <c r="O622" s="2">
        <v>55.84</v>
      </c>
      <c r="P622" s="2">
        <v>48.72</v>
      </c>
      <c r="Q622" s="2">
        <v>7.12</v>
      </c>
      <c r="R622">
        <v>1</v>
      </c>
      <c r="S622">
        <v>0</v>
      </c>
      <c r="T622">
        <v>3</v>
      </c>
      <c r="U622">
        <v>4</v>
      </c>
    </row>
    <row r="623" spans="1:21" ht="16.5" x14ac:dyDescent="0.3">
      <c r="A623" t="s">
        <v>701</v>
      </c>
      <c r="B623" s="1">
        <v>45398</v>
      </c>
      <c r="C623">
        <v>2024</v>
      </c>
      <c r="D623" t="s">
        <v>599</v>
      </c>
      <c r="E623" t="s">
        <v>600</v>
      </c>
      <c r="F623" t="s">
        <v>45</v>
      </c>
      <c r="G623" t="s">
        <v>25</v>
      </c>
      <c r="H623" t="s">
        <v>32</v>
      </c>
      <c r="I623" t="s">
        <v>84</v>
      </c>
      <c r="J623" t="s">
        <v>106</v>
      </c>
      <c r="K623">
        <v>1</v>
      </c>
      <c r="L623" s="2">
        <v>45.28</v>
      </c>
      <c r="M623" s="3">
        <v>0.2</v>
      </c>
      <c r="N623" t="s">
        <v>34</v>
      </c>
      <c r="O623" s="2">
        <v>36.22</v>
      </c>
      <c r="P623" s="2">
        <v>31.76</v>
      </c>
      <c r="Q623" s="2">
        <v>4.46</v>
      </c>
      <c r="R623">
        <v>1</v>
      </c>
      <c r="S623">
        <v>0</v>
      </c>
      <c r="T623">
        <v>3</v>
      </c>
      <c r="U623">
        <v>5</v>
      </c>
    </row>
    <row r="624" spans="1:21" ht="16.5" x14ac:dyDescent="0.3">
      <c r="A624" t="s">
        <v>702</v>
      </c>
      <c r="B624" s="1">
        <v>45398</v>
      </c>
      <c r="C624">
        <v>2024</v>
      </c>
      <c r="D624" t="s">
        <v>599</v>
      </c>
      <c r="E624" t="s">
        <v>600</v>
      </c>
      <c r="F624" t="s">
        <v>31</v>
      </c>
      <c r="G624" t="s">
        <v>65</v>
      </c>
      <c r="H624" t="s">
        <v>26</v>
      </c>
      <c r="I624" t="s">
        <v>70</v>
      </c>
      <c r="J624" t="s">
        <v>82</v>
      </c>
      <c r="K624">
        <v>4</v>
      </c>
      <c r="L624" s="2">
        <v>508.8</v>
      </c>
      <c r="M624" s="3">
        <v>0.15</v>
      </c>
      <c r="N624" t="s">
        <v>34</v>
      </c>
      <c r="O624" s="2">
        <v>1729.92</v>
      </c>
      <c r="P624" s="2">
        <v>1634.88</v>
      </c>
      <c r="Q624" s="2">
        <v>95.04</v>
      </c>
      <c r="R624">
        <v>1</v>
      </c>
      <c r="S624">
        <v>0</v>
      </c>
      <c r="T624">
        <v>6</v>
      </c>
      <c r="U624">
        <v>3</v>
      </c>
    </row>
    <row r="625" spans="1:21" ht="16.5" x14ac:dyDescent="0.3">
      <c r="A625" t="s">
        <v>703</v>
      </c>
      <c r="B625" s="1">
        <v>45398</v>
      </c>
      <c r="C625">
        <v>2024</v>
      </c>
      <c r="D625" t="s">
        <v>599</v>
      </c>
      <c r="E625" t="s">
        <v>600</v>
      </c>
      <c r="F625" t="s">
        <v>24</v>
      </c>
      <c r="G625" t="s">
        <v>25</v>
      </c>
      <c r="H625" t="s">
        <v>26</v>
      </c>
      <c r="I625" t="s">
        <v>70</v>
      </c>
      <c r="J625" t="s">
        <v>71</v>
      </c>
      <c r="K625">
        <v>1</v>
      </c>
      <c r="L625" s="2">
        <v>588.41</v>
      </c>
      <c r="M625" s="3">
        <v>0.05</v>
      </c>
      <c r="N625" t="s">
        <v>29</v>
      </c>
      <c r="O625" s="2">
        <v>558.99</v>
      </c>
      <c r="P625" s="2">
        <v>477.01</v>
      </c>
      <c r="Q625" s="2">
        <v>81.98</v>
      </c>
      <c r="R625">
        <v>1</v>
      </c>
      <c r="S625">
        <v>0</v>
      </c>
      <c r="T625">
        <v>6</v>
      </c>
      <c r="U625">
        <v>3</v>
      </c>
    </row>
    <row r="626" spans="1:21" ht="16.5" x14ac:dyDescent="0.3">
      <c r="A626" t="s">
        <v>704</v>
      </c>
      <c r="B626" s="1">
        <v>45398</v>
      </c>
      <c r="C626">
        <v>2024</v>
      </c>
      <c r="D626" t="s">
        <v>599</v>
      </c>
      <c r="E626" t="s">
        <v>600</v>
      </c>
      <c r="F626" t="s">
        <v>45</v>
      </c>
      <c r="G626" t="s">
        <v>25</v>
      </c>
      <c r="H626" t="s">
        <v>32</v>
      </c>
      <c r="I626" t="s">
        <v>70</v>
      </c>
      <c r="J626" t="s">
        <v>87</v>
      </c>
      <c r="K626">
        <v>1</v>
      </c>
      <c r="L626" s="2">
        <v>490.3</v>
      </c>
      <c r="M626" s="3">
        <v>0.15</v>
      </c>
      <c r="N626" t="s">
        <v>34</v>
      </c>
      <c r="O626" s="2">
        <v>416.76</v>
      </c>
      <c r="P626" s="2">
        <v>394.29</v>
      </c>
      <c r="Q626" s="2">
        <v>22.47</v>
      </c>
      <c r="R626">
        <v>1</v>
      </c>
      <c r="S626">
        <v>0</v>
      </c>
      <c r="T626">
        <v>3</v>
      </c>
      <c r="U626">
        <v>4</v>
      </c>
    </row>
    <row r="627" spans="1:21" ht="16.5" x14ac:dyDescent="0.3">
      <c r="A627" t="s">
        <v>705</v>
      </c>
      <c r="B627" s="1">
        <v>45398</v>
      </c>
      <c r="C627">
        <v>2024</v>
      </c>
      <c r="D627" t="s">
        <v>599</v>
      </c>
      <c r="E627" t="s">
        <v>600</v>
      </c>
      <c r="F627" t="s">
        <v>45</v>
      </c>
      <c r="G627" t="s">
        <v>65</v>
      </c>
      <c r="H627" t="s">
        <v>26</v>
      </c>
      <c r="I627" t="s">
        <v>42</v>
      </c>
      <c r="J627" t="s">
        <v>76</v>
      </c>
      <c r="K627">
        <v>1</v>
      </c>
      <c r="L627" s="2">
        <v>90.75</v>
      </c>
      <c r="M627" s="3">
        <v>0.1</v>
      </c>
      <c r="N627" t="s">
        <v>29</v>
      </c>
      <c r="O627" s="2">
        <v>81.680000000000007</v>
      </c>
      <c r="P627" s="2">
        <v>58.61</v>
      </c>
      <c r="Q627" s="2">
        <v>23.07</v>
      </c>
      <c r="R627">
        <v>1</v>
      </c>
      <c r="S627">
        <v>0</v>
      </c>
      <c r="T627">
        <v>5</v>
      </c>
      <c r="U627">
        <v>5</v>
      </c>
    </row>
    <row r="628" spans="1:21" ht="16.5" x14ac:dyDescent="0.3">
      <c r="A628" t="s">
        <v>706</v>
      </c>
      <c r="B628" s="1">
        <v>45399</v>
      </c>
      <c r="C628">
        <v>2024</v>
      </c>
      <c r="D628" t="s">
        <v>599</v>
      </c>
      <c r="E628" t="s">
        <v>600</v>
      </c>
      <c r="F628" t="s">
        <v>24</v>
      </c>
      <c r="G628" t="s">
        <v>51</v>
      </c>
      <c r="H628" t="s">
        <v>26</v>
      </c>
      <c r="I628" t="s">
        <v>67</v>
      </c>
      <c r="J628" t="s">
        <v>68</v>
      </c>
      <c r="K628">
        <v>1</v>
      </c>
      <c r="L628" s="2">
        <v>74.459999999999994</v>
      </c>
      <c r="M628" s="3">
        <v>0.2</v>
      </c>
      <c r="N628" t="s">
        <v>34</v>
      </c>
      <c r="O628" s="2">
        <v>59.57</v>
      </c>
      <c r="P628" s="2">
        <v>49.71</v>
      </c>
      <c r="Q628" s="2">
        <v>9.86</v>
      </c>
      <c r="R628">
        <v>1</v>
      </c>
      <c r="S628">
        <v>0</v>
      </c>
      <c r="T628">
        <v>2</v>
      </c>
      <c r="U628">
        <v>4</v>
      </c>
    </row>
    <row r="629" spans="1:21" ht="16.5" x14ac:dyDescent="0.3">
      <c r="A629" t="s">
        <v>707</v>
      </c>
      <c r="B629" s="1">
        <v>45399</v>
      </c>
      <c r="C629">
        <v>2024</v>
      </c>
      <c r="D629" t="s">
        <v>599</v>
      </c>
      <c r="E629" t="s">
        <v>600</v>
      </c>
      <c r="F629" t="s">
        <v>24</v>
      </c>
      <c r="G629" t="s">
        <v>51</v>
      </c>
      <c r="H629" t="s">
        <v>26</v>
      </c>
      <c r="I629" t="s">
        <v>84</v>
      </c>
      <c r="J629" t="s">
        <v>223</v>
      </c>
      <c r="K629">
        <v>1</v>
      </c>
      <c r="L629" s="2">
        <v>16.97</v>
      </c>
      <c r="M629" s="3">
        <v>0.15</v>
      </c>
      <c r="N629" t="s">
        <v>34</v>
      </c>
      <c r="O629" s="2">
        <v>14.42</v>
      </c>
      <c r="P629" s="2">
        <v>12.55</v>
      </c>
      <c r="Q629" s="2">
        <v>1.87</v>
      </c>
      <c r="R629">
        <v>1</v>
      </c>
      <c r="S629">
        <v>0</v>
      </c>
      <c r="T629">
        <v>3</v>
      </c>
      <c r="U629">
        <v>5</v>
      </c>
    </row>
    <row r="630" spans="1:21" ht="16.5" x14ac:dyDescent="0.3">
      <c r="A630" t="s">
        <v>708</v>
      </c>
      <c r="B630" s="1">
        <v>45399</v>
      </c>
      <c r="C630">
        <v>2024</v>
      </c>
      <c r="D630" t="s">
        <v>599</v>
      </c>
      <c r="E630" t="s">
        <v>600</v>
      </c>
      <c r="F630" t="s">
        <v>31</v>
      </c>
      <c r="G630" t="s">
        <v>65</v>
      </c>
      <c r="H630" t="s">
        <v>26</v>
      </c>
      <c r="I630" t="s">
        <v>27</v>
      </c>
      <c r="J630" t="s">
        <v>60</v>
      </c>
      <c r="K630">
        <v>1</v>
      </c>
      <c r="L630" s="2">
        <v>94.85</v>
      </c>
      <c r="M630" s="3">
        <v>0.05</v>
      </c>
      <c r="N630" t="s">
        <v>29</v>
      </c>
      <c r="O630" s="2">
        <v>90.11</v>
      </c>
      <c r="P630" s="2">
        <v>48.44</v>
      </c>
      <c r="Q630" s="2">
        <v>41.67</v>
      </c>
      <c r="R630">
        <v>1</v>
      </c>
      <c r="S630">
        <v>0</v>
      </c>
      <c r="T630">
        <v>6</v>
      </c>
      <c r="U630">
        <v>4</v>
      </c>
    </row>
    <row r="631" spans="1:21" ht="16.5" x14ac:dyDescent="0.3">
      <c r="A631" t="s">
        <v>709</v>
      </c>
      <c r="B631" s="1">
        <v>45399</v>
      </c>
      <c r="C631">
        <v>2024</v>
      </c>
      <c r="D631" t="s">
        <v>599</v>
      </c>
      <c r="E631" t="s">
        <v>600</v>
      </c>
      <c r="F631" t="s">
        <v>24</v>
      </c>
      <c r="G631" t="s">
        <v>25</v>
      </c>
      <c r="H631" t="s">
        <v>32</v>
      </c>
      <c r="I631" t="s">
        <v>36</v>
      </c>
      <c r="J631" t="s">
        <v>56</v>
      </c>
      <c r="K631">
        <v>1</v>
      </c>
      <c r="L631" s="2">
        <v>74.3</v>
      </c>
      <c r="M631" s="3">
        <v>0.05</v>
      </c>
      <c r="N631" t="s">
        <v>29</v>
      </c>
      <c r="O631" s="2">
        <v>70.58</v>
      </c>
      <c r="P631" s="2">
        <v>34.31</v>
      </c>
      <c r="Q631" s="2">
        <v>36.270000000000003</v>
      </c>
      <c r="R631">
        <v>1</v>
      </c>
      <c r="S631">
        <v>0</v>
      </c>
      <c r="T631">
        <v>3</v>
      </c>
      <c r="U631">
        <v>4</v>
      </c>
    </row>
    <row r="632" spans="1:21" ht="16.5" x14ac:dyDescent="0.3">
      <c r="A632" t="s">
        <v>710</v>
      </c>
      <c r="B632" s="1">
        <v>45399</v>
      </c>
      <c r="C632">
        <v>2024</v>
      </c>
      <c r="D632" t="s">
        <v>599</v>
      </c>
      <c r="E632" t="s">
        <v>600</v>
      </c>
      <c r="F632" t="s">
        <v>31</v>
      </c>
      <c r="G632" t="s">
        <v>49</v>
      </c>
      <c r="H632" t="s">
        <v>26</v>
      </c>
      <c r="I632" t="s">
        <v>27</v>
      </c>
      <c r="J632" t="s">
        <v>33</v>
      </c>
      <c r="K632">
        <v>1</v>
      </c>
      <c r="L632" s="2">
        <v>78.510000000000005</v>
      </c>
      <c r="M632" s="3">
        <v>0.3</v>
      </c>
      <c r="N632" t="s">
        <v>62</v>
      </c>
      <c r="O632" s="2">
        <v>54.96</v>
      </c>
      <c r="P632" s="2">
        <v>40.94</v>
      </c>
      <c r="Q632" s="2">
        <v>14.02</v>
      </c>
      <c r="R632">
        <v>1</v>
      </c>
      <c r="S632">
        <v>0</v>
      </c>
      <c r="T632">
        <v>5</v>
      </c>
      <c r="U632">
        <v>4</v>
      </c>
    </row>
    <row r="633" spans="1:21" ht="16.5" x14ac:dyDescent="0.3">
      <c r="A633" t="s">
        <v>711</v>
      </c>
      <c r="B633" s="1">
        <v>45399</v>
      </c>
      <c r="C633">
        <v>2024</v>
      </c>
      <c r="D633" t="s">
        <v>599</v>
      </c>
      <c r="E633" t="s">
        <v>600</v>
      </c>
      <c r="F633" t="s">
        <v>24</v>
      </c>
      <c r="G633" t="s">
        <v>46</v>
      </c>
      <c r="H633" t="s">
        <v>32</v>
      </c>
      <c r="I633" t="s">
        <v>42</v>
      </c>
      <c r="J633" t="s">
        <v>54</v>
      </c>
      <c r="K633">
        <v>2</v>
      </c>
      <c r="L633" s="2">
        <v>148.05000000000001</v>
      </c>
      <c r="M633" s="3">
        <v>0</v>
      </c>
      <c r="N633" t="s">
        <v>38</v>
      </c>
      <c r="O633" s="2">
        <v>296.10000000000002</v>
      </c>
      <c r="P633" s="2">
        <v>187.19</v>
      </c>
      <c r="Q633" s="2">
        <v>108.91</v>
      </c>
      <c r="R633">
        <v>1</v>
      </c>
      <c r="S633">
        <v>0</v>
      </c>
      <c r="T633">
        <v>5</v>
      </c>
      <c r="U633">
        <v>5</v>
      </c>
    </row>
    <row r="634" spans="1:21" ht="16.5" x14ac:dyDescent="0.3">
      <c r="A634" t="s">
        <v>712</v>
      </c>
      <c r="B634" s="1">
        <v>45400</v>
      </c>
      <c r="C634">
        <v>2024</v>
      </c>
      <c r="D634" t="s">
        <v>599</v>
      </c>
      <c r="E634" t="s">
        <v>600</v>
      </c>
      <c r="F634" t="s">
        <v>24</v>
      </c>
      <c r="G634" t="s">
        <v>25</v>
      </c>
      <c r="H634" t="s">
        <v>32</v>
      </c>
      <c r="I634" t="s">
        <v>27</v>
      </c>
      <c r="J634" t="s">
        <v>40</v>
      </c>
      <c r="K634">
        <v>1</v>
      </c>
      <c r="L634" s="2">
        <v>104.94</v>
      </c>
      <c r="M634" s="3">
        <v>0</v>
      </c>
      <c r="N634" t="s">
        <v>38</v>
      </c>
      <c r="O634" s="2">
        <v>104.94</v>
      </c>
      <c r="P634" s="2">
        <v>56.46</v>
      </c>
      <c r="Q634" s="2">
        <v>48.48</v>
      </c>
      <c r="R634">
        <v>1</v>
      </c>
      <c r="S634">
        <v>0</v>
      </c>
      <c r="T634">
        <v>5</v>
      </c>
      <c r="U634">
        <v>4</v>
      </c>
    </row>
    <row r="635" spans="1:21" ht="16.5" x14ac:dyDescent="0.3">
      <c r="A635" t="s">
        <v>713</v>
      </c>
      <c r="B635" s="1">
        <v>45400</v>
      </c>
      <c r="C635">
        <v>2024</v>
      </c>
      <c r="D635" t="s">
        <v>599</v>
      </c>
      <c r="E635" t="s">
        <v>600</v>
      </c>
      <c r="F635" t="s">
        <v>45</v>
      </c>
      <c r="G635" t="s">
        <v>51</v>
      </c>
      <c r="H635" t="s">
        <v>32</v>
      </c>
      <c r="I635" t="s">
        <v>84</v>
      </c>
      <c r="J635" t="s">
        <v>132</v>
      </c>
      <c r="K635">
        <v>2</v>
      </c>
      <c r="L635" s="2">
        <v>48.86</v>
      </c>
      <c r="M635" s="3">
        <v>0.3</v>
      </c>
      <c r="N635" t="s">
        <v>62</v>
      </c>
      <c r="O635" s="2">
        <v>68.400000000000006</v>
      </c>
      <c r="P635" s="2">
        <v>76.73</v>
      </c>
      <c r="Q635" s="2">
        <v>-8.33</v>
      </c>
      <c r="R635">
        <v>1</v>
      </c>
      <c r="S635">
        <v>0</v>
      </c>
      <c r="T635">
        <v>5</v>
      </c>
      <c r="U635">
        <v>5</v>
      </c>
    </row>
    <row r="636" spans="1:21" ht="16.5" x14ac:dyDescent="0.3">
      <c r="A636" t="s">
        <v>714</v>
      </c>
      <c r="B636" s="1">
        <v>45400</v>
      </c>
      <c r="C636">
        <v>2024</v>
      </c>
      <c r="D636" t="s">
        <v>599</v>
      </c>
      <c r="E636" t="s">
        <v>600</v>
      </c>
      <c r="F636" t="s">
        <v>31</v>
      </c>
      <c r="G636" t="s">
        <v>46</v>
      </c>
      <c r="H636" t="s">
        <v>26</v>
      </c>
      <c r="I636" t="s">
        <v>36</v>
      </c>
      <c r="J636" t="s">
        <v>115</v>
      </c>
      <c r="K636">
        <v>1</v>
      </c>
      <c r="L636" s="2">
        <v>33.479999999999997</v>
      </c>
      <c r="M636" s="3">
        <v>0.15</v>
      </c>
      <c r="N636" t="s">
        <v>34</v>
      </c>
      <c r="O636" s="2">
        <v>28.46</v>
      </c>
      <c r="P636" s="2">
        <v>16.29</v>
      </c>
      <c r="Q636" s="2">
        <v>12.17</v>
      </c>
      <c r="R636">
        <v>1</v>
      </c>
      <c r="S636">
        <v>0</v>
      </c>
      <c r="T636">
        <v>5</v>
      </c>
      <c r="U636">
        <v>5</v>
      </c>
    </row>
    <row r="637" spans="1:21" ht="16.5" x14ac:dyDescent="0.3">
      <c r="A637" t="s">
        <v>715</v>
      </c>
      <c r="B637" s="1">
        <v>45400</v>
      </c>
      <c r="C637">
        <v>2024</v>
      </c>
      <c r="D637" t="s">
        <v>599</v>
      </c>
      <c r="E637" t="s">
        <v>600</v>
      </c>
      <c r="F637" t="s">
        <v>45</v>
      </c>
      <c r="G637" t="s">
        <v>49</v>
      </c>
      <c r="H637" t="s">
        <v>32</v>
      </c>
      <c r="I637" t="s">
        <v>67</v>
      </c>
      <c r="J637" t="s">
        <v>68</v>
      </c>
      <c r="K637">
        <v>2</v>
      </c>
      <c r="L637" s="2">
        <v>74.459999999999994</v>
      </c>
      <c r="M637" s="3">
        <v>0.05</v>
      </c>
      <c r="N637" t="s">
        <v>29</v>
      </c>
      <c r="O637" s="2">
        <v>141.47</v>
      </c>
      <c r="P637" s="2">
        <v>101.49</v>
      </c>
      <c r="Q637" s="2">
        <v>39.979999999999997</v>
      </c>
      <c r="R637">
        <v>1</v>
      </c>
      <c r="S637">
        <v>1</v>
      </c>
      <c r="T637">
        <v>4</v>
      </c>
      <c r="U637">
        <v>2</v>
      </c>
    </row>
    <row r="638" spans="1:21" ht="16.5" x14ac:dyDescent="0.3">
      <c r="A638" t="s">
        <v>716</v>
      </c>
      <c r="B638" s="1">
        <v>45400</v>
      </c>
      <c r="C638">
        <v>2024</v>
      </c>
      <c r="D638" t="s">
        <v>599</v>
      </c>
      <c r="E638" t="s">
        <v>600</v>
      </c>
      <c r="F638" t="s">
        <v>31</v>
      </c>
      <c r="G638" t="s">
        <v>51</v>
      </c>
      <c r="H638" t="s">
        <v>26</v>
      </c>
      <c r="I638" t="s">
        <v>36</v>
      </c>
      <c r="J638" t="s">
        <v>37</v>
      </c>
      <c r="K638">
        <v>1</v>
      </c>
      <c r="L638" s="2">
        <v>33.18</v>
      </c>
      <c r="M638" s="3">
        <v>0.05</v>
      </c>
      <c r="N638" t="s">
        <v>29</v>
      </c>
      <c r="O638" s="2">
        <v>31.52</v>
      </c>
      <c r="P638" s="2">
        <v>15.26</v>
      </c>
      <c r="Q638" s="2">
        <v>16.260000000000002</v>
      </c>
      <c r="R638">
        <v>1</v>
      </c>
      <c r="S638">
        <v>0</v>
      </c>
      <c r="T638">
        <v>5</v>
      </c>
      <c r="U638">
        <v>5</v>
      </c>
    </row>
    <row r="639" spans="1:21" ht="16.5" x14ac:dyDescent="0.3">
      <c r="A639" t="s">
        <v>717</v>
      </c>
      <c r="B639" s="1">
        <v>45400</v>
      </c>
      <c r="C639">
        <v>2024</v>
      </c>
      <c r="D639" t="s">
        <v>599</v>
      </c>
      <c r="E639" t="s">
        <v>600</v>
      </c>
      <c r="F639" t="s">
        <v>31</v>
      </c>
      <c r="G639" t="s">
        <v>51</v>
      </c>
      <c r="H639" t="s">
        <v>26</v>
      </c>
      <c r="I639" t="s">
        <v>42</v>
      </c>
      <c r="J639" t="s">
        <v>98</v>
      </c>
      <c r="K639">
        <v>1</v>
      </c>
      <c r="L639" s="2">
        <v>117.63</v>
      </c>
      <c r="M639" s="3">
        <v>0.15</v>
      </c>
      <c r="N639" t="s">
        <v>34</v>
      </c>
      <c r="O639" s="2">
        <v>99.99</v>
      </c>
      <c r="P639" s="2">
        <v>76.73</v>
      </c>
      <c r="Q639" s="2">
        <v>23.26</v>
      </c>
      <c r="R639">
        <v>1</v>
      </c>
      <c r="S639">
        <v>0</v>
      </c>
      <c r="T639">
        <v>3</v>
      </c>
      <c r="U639">
        <v>5</v>
      </c>
    </row>
    <row r="640" spans="1:21" ht="16.5" x14ac:dyDescent="0.3">
      <c r="A640" t="s">
        <v>718</v>
      </c>
      <c r="B640" s="1">
        <v>45400</v>
      </c>
      <c r="C640">
        <v>2024</v>
      </c>
      <c r="D640" t="s">
        <v>599</v>
      </c>
      <c r="E640" t="s">
        <v>600</v>
      </c>
      <c r="F640" t="s">
        <v>24</v>
      </c>
      <c r="G640" t="s">
        <v>49</v>
      </c>
      <c r="H640" t="s">
        <v>26</v>
      </c>
      <c r="I640" t="s">
        <v>27</v>
      </c>
      <c r="J640" t="s">
        <v>40</v>
      </c>
      <c r="K640">
        <v>1</v>
      </c>
      <c r="L640" s="2">
        <v>104.94</v>
      </c>
      <c r="M640" s="3">
        <v>0.15</v>
      </c>
      <c r="N640" t="s">
        <v>34</v>
      </c>
      <c r="O640" s="2">
        <v>89.2</v>
      </c>
      <c r="P640" s="2">
        <v>55.36</v>
      </c>
      <c r="Q640" s="2">
        <v>33.840000000000003</v>
      </c>
      <c r="R640">
        <v>1</v>
      </c>
      <c r="S640">
        <v>0</v>
      </c>
      <c r="T640">
        <v>4</v>
      </c>
      <c r="U640">
        <v>5</v>
      </c>
    </row>
    <row r="641" spans="1:21" ht="16.5" x14ac:dyDescent="0.3">
      <c r="A641" t="s">
        <v>719</v>
      </c>
      <c r="B641" s="1">
        <v>45400</v>
      </c>
      <c r="C641">
        <v>2024</v>
      </c>
      <c r="D641" t="s">
        <v>599</v>
      </c>
      <c r="E641" t="s">
        <v>600</v>
      </c>
      <c r="F641" t="s">
        <v>45</v>
      </c>
      <c r="G641" t="s">
        <v>51</v>
      </c>
      <c r="H641" t="s">
        <v>32</v>
      </c>
      <c r="I641" t="s">
        <v>70</v>
      </c>
      <c r="J641" t="s">
        <v>87</v>
      </c>
      <c r="K641">
        <v>1</v>
      </c>
      <c r="L641" s="2">
        <v>490.3</v>
      </c>
      <c r="M641" s="3">
        <v>0.25</v>
      </c>
      <c r="N641" t="s">
        <v>62</v>
      </c>
      <c r="O641" s="2">
        <v>367.72</v>
      </c>
      <c r="P641" s="2">
        <v>371.68</v>
      </c>
      <c r="Q641" s="2">
        <v>-3.96</v>
      </c>
      <c r="R641">
        <v>1</v>
      </c>
      <c r="S641">
        <v>0</v>
      </c>
      <c r="T641">
        <v>2</v>
      </c>
      <c r="U641">
        <v>4</v>
      </c>
    </row>
    <row r="642" spans="1:21" ht="16.5" x14ac:dyDescent="0.3">
      <c r="A642" t="s">
        <v>720</v>
      </c>
      <c r="B642" s="1">
        <v>45400</v>
      </c>
      <c r="C642">
        <v>2024</v>
      </c>
      <c r="D642" t="s">
        <v>599</v>
      </c>
      <c r="E642" t="s">
        <v>600</v>
      </c>
      <c r="F642" t="s">
        <v>24</v>
      </c>
      <c r="G642" t="s">
        <v>46</v>
      </c>
      <c r="H642" t="s">
        <v>32</v>
      </c>
      <c r="I642" t="s">
        <v>27</v>
      </c>
      <c r="J642" t="s">
        <v>110</v>
      </c>
      <c r="K642">
        <v>3</v>
      </c>
      <c r="L642" s="2">
        <v>19.41</v>
      </c>
      <c r="M642" s="3">
        <v>0.05</v>
      </c>
      <c r="N642" t="s">
        <v>29</v>
      </c>
      <c r="O642" s="2">
        <v>55.32</v>
      </c>
      <c r="P642" s="2">
        <v>31.36</v>
      </c>
      <c r="Q642" s="2">
        <v>23.96</v>
      </c>
      <c r="R642">
        <v>1</v>
      </c>
      <c r="S642">
        <v>0</v>
      </c>
      <c r="T642">
        <v>6</v>
      </c>
      <c r="U642">
        <v>3</v>
      </c>
    </row>
    <row r="643" spans="1:21" ht="16.5" x14ac:dyDescent="0.3">
      <c r="A643" t="s">
        <v>721</v>
      </c>
      <c r="B643" s="1">
        <v>45401</v>
      </c>
      <c r="C643">
        <v>2024</v>
      </c>
      <c r="D643" t="s">
        <v>599</v>
      </c>
      <c r="E643" t="s">
        <v>600</v>
      </c>
      <c r="F643" t="s">
        <v>45</v>
      </c>
      <c r="G643" t="s">
        <v>51</v>
      </c>
      <c r="H643" t="s">
        <v>26</v>
      </c>
      <c r="I643" t="s">
        <v>67</v>
      </c>
      <c r="J643" t="s">
        <v>103</v>
      </c>
      <c r="K643">
        <v>1</v>
      </c>
      <c r="L643" s="2">
        <v>83.06</v>
      </c>
      <c r="M643" s="3">
        <v>0.05</v>
      </c>
      <c r="N643" t="s">
        <v>29</v>
      </c>
      <c r="O643" s="2">
        <v>78.91</v>
      </c>
      <c r="P643" s="2">
        <v>53.72</v>
      </c>
      <c r="Q643" s="2">
        <v>25.19</v>
      </c>
      <c r="R643">
        <v>1</v>
      </c>
      <c r="S643">
        <v>0</v>
      </c>
      <c r="T643">
        <v>3</v>
      </c>
      <c r="U643">
        <v>5</v>
      </c>
    </row>
    <row r="644" spans="1:21" ht="16.5" x14ac:dyDescent="0.3">
      <c r="A644" t="s">
        <v>722</v>
      </c>
      <c r="B644" s="1">
        <v>45401</v>
      </c>
      <c r="C644">
        <v>2024</v>
      </c>
      <c r="D644" t="s">
        <v>599</v>
      </c>
      <c r="E644" t="s">
        <v>600</v>
      </c>
      <c r="F644" t="s">
        <v>24</v>
      </c>
      <c r="G644" t="s">
        <v>49</v>
      </c>
      <c r="H644" t="s">
        <v>32</v>
      </c>
      <c r="I644" t="s">
        <v>27</v>
      </c>
      <c r="J644" t="s">
        <v>47</v>
      </c>
      <c r="K644">
        <v>3</v>
      </c>
      <c r="L644" s="2">
        <v>33.99</v>
      </c>
      <c r="M644" s="3">
        <v>0.15</v>
      </c>
      <c r="N644" t="s">
        <v>34</v>
      </c>
      <c r="O644" s="2">
        <v>86.67</v>
      </c>
      <c r="P644" s="2">
        <v>57.98</v>
      </c>
      <c r="Q644" s="2">
        <v>28.69</v>
      </c>
      <c r="R644">
        <v>1</v>
      </c>
      <c r="S644">
        <v>0</v>
      </c>
      <c r="T644">
        <v>3</v>
      </c>
      <c r="U644">
        <v>4</v>
      </c>
    </row>
    <row r="645" spans="1:21" ht="16.5" x14ac:dyDescent="0.3">
      <c r="A645" t="s">
        <v>723</v>
      </c>
      <c r="B645" s="1">
        <v>45401</v>
      </c>
      <c r="C645">
        <v>2024</v>
      </c>
      <c r="D645" t="s">
        <v>599</v>
      </c>
      <c r="E645" t="s">
        <v>600</v>
      </c>
      <c r="F645" t="s">
        <v>24</v>
      </c>
      <c r="G645" t="s">
        <v>25</v>
      </c>
      <c r="H645" t="s">
        <v>26</v>
      </c>
      <c r="I645" t="s">
        <v>36</v>
      </c>
      <c r="J645" t="s">
        <v>52</v>
      </c>
      <c r="K645">
        <v>1</v>
      </c>
      <c r="L645" s="2">
        <v>92.54</v>
      </c>
      <c r="M645" s="3">
        <v>0</v>
      </c>
      <c r="N645" t="s">
        <v>38</v>
      </c>
      <c r="O645" s="2">
        <v>92.54</v>
      </c>
      <c r="P645" s="2">
        <v>44.58</v>
      </c>
      <c r="Q645" s="2">
        <v>47.96</v>
      </c>
      <c r="R645">
        <v>1</v>
      </c>
      <c r="S645">
        <v>0</v>
      </c>
      <c r="T645">
        <v>4</v>
      </c>
      <c r="U645">
        <v>3</v>
      </c>
    </row>
    <row r="646" spans="1:21" ht="16.5" x14ac:dyDescent="0.3">
      <c r="A646" t="s">
        <v>724</v>
      </c>
      <c r="B646" s="1">
        <v>45401</v>
      </c>
      <c r="C646">
        <v>2024</v>
      </c>
      <c r="D646" t="s">
        <v>599</v>
      </c>
      <c r="E646" t="s">
        <v>600</v>
      </c>
      <c r="F646" t="s">
        <v>24</v>
      </c>
      <c r="G646" t="s">
        <v>25</v>
      </c>
      <c r="H646" t="s">
        <v>26</v>
      </c>
      <c r="I646" t="s">
        <v>67</v>
      </c>
      <c r="J646" t="s">
        <v>68</v>
      </c>
      <c r="K646">
        <v>3</v>
      </c>
      <c r="L646" s="2">
        <v>74.459999999999994</v>
      </c>
      <c r="M646" s="3">
        <v>0</v>
      </c>
      <c r="N646" t="s">
        <v>38</v>
      </c>
      <c r="O646" s="2">
        <v>223.38</v>
      </c>
      <c r="P646" s="2">
        <v>138.36000000000001</v>
      </c>
      <c r="Q646" s="2">
        <v>85.02</v>
      </c>
      <c r="R646">
        <v>1</v>
      </c>
      <c r="S646">
        <v>1</v>
      </c>
      <c r="T646">
        <v>3</v>
      </c>
      <c r="U646">
        <v>3</v>
      </c>
    </row>
    <row r="647" spans="1:21" ht="16.5" x14ac:dyDescent="0.3">
      <c r="A647" t="s">
        <v>725</v>
      </c>
      <c r="B647" s="1">
        <v>45402</v>
      </c>
      <c r="C647">
        <v>2024</v>
      </c>
      <c r="D647" t="s">
        <v>599</v>
      </c>
      <c r="E647" t="s">
        <v>600</v>
      </c>
      <c r="F647" t="s">
        <v>45</v>
      </c>
      <c r="G647" t="s">
        <v>49</v>
      </c>
      <c r="H647" t="s">
        <v>32</v>
      </c>
      <c r="I647" t="s">
        <v>70</v>
      </c>
      <c r="J647" t="s">
        <v>162</v>
      </c>
      <c r="K647">
        <v>1</v>
      </c>
      <c r="L647" s="2">
        <v>636.09</v>
      </c>
      <c r="M647" s="3">
        <v>0</v>
      </c>
      <c r="N647" t="s">
        <v>38</v>
      </c>
      <c r="O647" s="2">
        <v>636.09</v>
      </c>
      <c r="P647" s="2">
        <v>527.97</v>
      </c>
      <c r="Q647" s="2">
        <v>108.12</v>
      </c>
      <c r="R647">
        <v>1</v>
      </c>
      <c r="S647">
        <v>0</v>
      </c>
      <c r="T647">
        <v>9</v>
      </c>
      <c r="U647">
        <v>4</v>
      </c>
    </row>
    <row r="648" spans="1:21" ht="16.5" x14ac:dyDescent="0.3">
      <c r="A648" t="s">
        <v>726</v>
      </c>
      <c r="B648" s="1">
        <v>45402</v>
      </c>
      <c r="C648">
        <v>2024</v>
      </c>
      <c r="D648" t="s">
        <v>599</v>
      </c>
      <c r="E648" t="s">
        <v>600</v>
      </c>
      <c r="F648" t="s">
        <v>24</v>
      </c>
      <c r="G648" t="s">
        <v>25</v>
      </c>
      <c r="H648" t="s">
        <v>32</v>
      </c>
      <c r="I648" t="s">
        <v>36</v>
      </c>
      <c r="J648" t="s">
        <v>126</v>
      </c>
      <c r="K648">
        <v>1</v>
      </c>
      <c r="L648" s="2">
        <v>54.56</v>
      </c>
      <c r="M648" s="3">
        <v>0</v>
      </c>
      <c r="N648" t="s">
        <v>38</v>
      </c>
      <c r="O648" s="2">
        <v>54.56</v>
      </c>
      <c r="P648" s="2">
        <v>26.88</v>
      </c>
      <c r="Q648" s="2">
        <v>27.68</v>
      </c>
      <c r="R648">
        <v>1</v>
      </c>
      <c r="S648">
        <v>0</v>
      </c>
      <c r="T648">
        <v>4</v>
      </c>
      <c r="U648">
        <v>4</v>
      </c>
    </row>
    <row r="649" spans="1:21" ht="16.5" x14ac:dyDescent="0.3">
      <c r="A649" t="s">
        <v>727</v>
      </c>
      <c r="B649" s="1">
        <v>45402</v>
      </c>
      <c r="C649">
        <v>2024</v>
      </c>
      <c r="D649" t="s">
        <v>599</v>
      </c>
      <c r="E649" t="s">
        <v>600</v>
      </c>
      <c r="F649" t="s">
        <v>31</v>
      </c>
      <c r="G649" t="s">
        <v>51</v>
      </c>
      <c r="H649" t="s">
        <v>26</v>
      </c>
      <c r="I649" t="s">
        <v>27</v>
      </c>
      <c r="J649" t="s">
        <v>60</v>
      </c>
      <c r="K649">
        <v>2</v>
      </c>
      <c r="L649" s="2">
        <v>94.85</v>
      </c>
      <c r="M649" s="3">
        <v>0</v>
      </c>
      <c r="N649" t="s">
        <v>38</v>
      </c>
      <c r="O649" s="2">
        <v>189.7</v>
      </c>
      <c r="P649" s="2">
        <v>99.12</v>
      </c>
      <c r="Q649" s="2">
        <v>90.58</v>
      </c>
      <c r="R649">
        <v>1</v>
      </c>
      <c r="S649">
        <v>1</v>
      </c>
      <c r="T649">
        <v>3</v>
      </c>
      <c r="U649">
        <v>4</v>
      </c>
    </row>
    <row r="650" spans="1:21" ht="16.5" x14ac:dyDescent="0.3">
      <c r="A650" t="s">
        <v>728</v>
      </c>
      <c r="B650" s="1">
        <v>45402</v>
      </c>
      <c r="C650">
        <v>2024</v>
      </c>
      <c r="D650" t="s">
        <v>599</v>
      </c>
      <c r="E650" t="s">
        <v>600</v>
      </c>
      <c r="F650" t="s">
        <v>24</v>
      </c>
      <c r="G650" t="s">
        <v>51</v>
      </c>
      <c r="H650" t="s">
        <v>26</v>
      </c>
      <c r="I650" t="s">
        <v>70</v>
      </c>
      <c r="J650" t="s">
        <v>71</v>
      </c>
      <c r="K650">
        <v>1</v>
      </c>
      <c r="L650" s="2">
        <v>588.41</v>
      </c>
      <c r="M650" s="3">
        <v>0.2</v>
      </c>
      <c r="N650" t="s">
        <v>34</v>
      </c>
      <c r="O650" s="2">
        <v>470.73</v>
      </c>
      <c r="P650" s="2">
        <v>468.17</v>
      </c>
      <c r="Q650" s="2">
        <v>2.56</v>
      </c>
      <c r="R650">
        <v>1</v>
      </c>
      <c r="S650">
        <v>0</v>
      </c>
      <c r="T650">
        <v>3</v>
      </c>
      <c r="U650">
        <v>5</v>
      </c>
    </row>
    <row r="651" spans="1:21" ht="16.5" x14ac:dyDescent="0.3">
      <c r="A651" t="s">
        <v>729</v>
      </c>
      <c r="B651" s="1">
        <v>45402</v>
      </c>
      <c r="C651">
        <v>2024</v>
      </c>
      <c r="D651" t="s">
        <v>599</v>
      </c>
      <c r="E651" t="s">
        <v>600</v>
      </c>
      <c r="F651" t="s">
        <v>24</v>
      </c>
      <c r="G651" t="s">
        <v>51</v>
      </c>
      <c r="H651" t="s">
        <v>26</v>
      </c>
      <c r="I651" t="s">
        <v>42</v>
      </c>
      <c r="J651" t="s">
        <v>58</v>
      </c>
      <c r="K651">
        <v>1</v>
      </c>
      <c r="L651" s="2">
        <v>233.81</v>
      </c>
      <c r="M651" s="3">
        <v>0.05</v>
      </c>
      <c r="N651" t="s">
        <v>29</v>
      </c>
      <c r="O651" s="2">
        <v>222.12</v>
      </c>
      <c r="P651" s="2">
        <v>157.08000000000001</v>
      </c>
      <c r="Q651" s="2">
        <v>65.040000000000006</v>
      </c>
      <c r="R651">
        <v>1</v>
      </c>
      <c r="S651">
        <v>0</v>
      </c>
      <c r="T651">
        <v>3</v>
      </c>
      <c r="U651">
        <v>5</v>
      </c>
    </row>
    <row r="652" spans="1:21" ht="16.5" x14ac:dyDescent="0.3">
      <c r="A652" t="s">
        <v>730</v>
      </c>
      <c r="B652" s="1">
        <v>45402</v>
      </c>
      <c r="C652">
        <v>2024</v>
      </c>
      <c r="D652" t="s">
        <v>599</v>
      </c>
      <c r="E652" t="s">
        <v>600</v>
      </c>
      <c r="F652" t="s">
        <v>45</v>
      </c>
      <c r="G652" t="s">
        <v>25</v>
      </c>
      <c r="H652" t="s">
        <v>26</v>
      </c>
      <c r="I652" t="s">
        <v>84</v>
      </c>
      <c r="J652" t="s">
        <v>106</v>
      </c>
      <c r="K652">
        <v>2</v>
      </c>
      <c r="L652" s="2">
        <v>45.28</v>
      </c>
      <c r="M652" s="3">
        <v>0.3</v>
      </c>
      <c r="N652" t="s">
        <v>62</v>
      </c>
      <c r="O652" s="2">
        <v>63.39</v>
      </c>
      <c r="P652" s="2">
        <v>64.25</v>
      </c>
      <c r="Q652" s="2">
        <v>-0.86</v>
      </c>
      <c r="R652">
        <v>1</v>
      </c>
      <c r="S652">
        <v>0</v>
      </c>
      <c r="T652">
        <v>5</v>
      </c>
      <c r="U652">
        <v>5</v>
      </c>
    </row>
    <row r="653" spans="1:21" ht="16.5" x14ac:dyDescent="0.3">
      <c r="A653" t="s">
        <v>731</v>
      </c>
      <c r="B653" s="1">
        <v>45402</v>
      </c>
      <c r="C653">
        <v>2024</v>
      </c>
      <c r="D653" t="s">
        <v>599</v>
      </c>
      <c r="E653" t="s">
        <v>600</v>
      </c>
      <c r="F653" t="s">
        <v>24</v>
      </c>
      <c r="G653" t="s">
        <v>51</v>
      </c>
      <c r="H653" t="s">
        <v>32</v>
      </c>
      <c r="I653" t="s">
        <v>42</v>
      </c>
      <c r="J653" t="s">
        <v>89</v>
      </c>
      <c r="K653">
        <v>4</v>
      </c>
      <c r="L653" s="2">
        <v>68.349999999999994</v>
      </c>
      <c r="M653" s="3">
        <v>0.1</v>
      </c>
      <c r="N653" t="s">
        <v>29</v>
      </c>
      <c r="O653" s="2">
        <v>246.06</v>
      </c>
      <c r="P653" s="2">
        <v>177.91</v>
      </c>
      <c r="Q653" s="2">
        <v>68.150000000000006</v>
      </c>
      <c r="R653">
        <v>1</v>
      </c>
      <c r="S653">
        <v>0</v>
      </c>
      <c r="T653">
        <v>2</v>
      </c>
      <c r="U653">
        <v>4</v>
      </c>
    </row>
    <row r="654" spans="1:21" ht="16.5" x14ac:dyDescent="0.3">
      <c r="A654" t="s">
        <v>732</v>
      </c>
      <c r="B654" s="1">
        <v>45402</v>
      </c>
      <c r="C654">
        <v>2024</v>
      </c>
      <c r="D654" t="s">
        <v>599</v>
      </c>
      <c r="E654" t="s">
        <v>600</v>
      </c>
      <c r="F654" t="s">
        <v>31</v>
      </c>
      <c r="G654" t="s">
        <v>49</v>
      </c>
      <c r="H654" t="s">
        <v>32</v>
      </c>
      <c r="I654" t="s">
        <v>67</v>
      </c>
      <c r="J654" t="s">
        <v>103</v>
      </c>
      <c r="K654">
        <v>2</v>
      </c>
      <c r="L654" s="2">
        <v>83.06</v>
      </c>
      <c r="M654" s="3">
        <v>0</v>
      </c>
      <c r="N654" t="s">
        <v>38</v>
      </c>
      <c r="O654" s="2">
        <v>166.12</v>
      </c>
      <c r="P654" s="2">
        <v>112.41</v>
      </c>
      <c r="Q654" s="2">
        <v>53.71</v>
      </c>
      <c r="R654">
        <v>1</v>
      </c>
      <c r="S654">
        <v>0</v>
      </c>
      <c r="T654">
        <v>3</v>
      </c>
      <c r="U654">
        <v>4</v>
      </c>
    </row>
    <row r="655" spans="1:21" ht="16.5" x14ac:dyDescent="0.3">
      <c r="A655" t="s">
        <v>733</v>
      </c>
      <c r="B655" s="1">
        <v>45402</v>
      </c>
      <c r="C655">
        <v>2024</v>
      </c>
      <c r="D655" t="s">
        <v>599</v>
      </c>
      <c r="E655" t="s">
        <v>600</v>
      </c>
      <c r="F655" t="s">
        <v>31</v>
      </c>
      <c r="G655" t="s">
        <v>51</v>
      </c>
      <c r="H655" t="s">
        <v>32</v>
      </c>
      <c r="I655" t="s">
        <v>36</v>
      </c>
      <c r="J655" t="s">
        <v>115</v>
      </c>
      <c r="K655">
        <v>1</v>
      </c>
      <c r="L655" s="2">
        <v>33.479999999999997</v>
      </c>
      <c r="M655" s="3">
        <v>0.2</v>
      </c>
      <c r="N655" t="s">
        <v>34</v>
      </c>
      <c r="O655" s="2">
        <v>26.78</v>
      </c>
      <c r="P655" s="2">
        <v>14.99</v>
      </c>
      <c r="Q655" s="2">
        <v>11.79</v>
      </c>
      <c r="R655">
        <v>1</v>
      </c>
      <c r="S655">
        <v>0</v>
      </c>
      <c r="T655">
        <v>3</v>
      </c>
      <c r="U655">
        <v>5</v>
      </c>
    </row>
    <row r="656" spans="1:21" ht="16.5" x14ac:dyDescent="0.3">
      <c r="A656" t="s">
        <v>734</v>
      </c>
      <c r="B656" s="1">
        <v>45403</v>
      </c>
      <c r="C656">
        <v>2024</v>
      </c>
      <c r="D656" t="s">
        <v>599</v>
      </c>
      <c r="E656" t="s">
        <v>600</v>
      </c>
      <c r="F656" t="s">
        <v>24</v>
      </c>
      <c r="G656" t="s">
        <v>25</v>
      </c>
      <c r="H656" t="s">
        <v>32</v>
      </c>
      <c r="I656" t="s">
        <v>42</v>
      </c>
      <c r="J656" t="s">
        <v>76</v>
      </c>
      <c r="K656">
        <v>2</v>
      </c>
      <c r="L656" s="2">
        <v>90.75</v>
      </c>
      <c r="M656" s="3">
        <v>0.2</v>
      </c>
      <c r="N656" t="s">
        <v>34</v>
      </c>
      <c r="O656" s="2">
        <v>145.19999999999999</v>
      </c>
      <c r="P656" s="2">
        <v>115.17</v>
      </c>
      <c r="Q656" s="2">
        <v>30.03</v>
      </c>
      <c r="R656">
        <v>1</v>
      </c>
      <c r="S656">
        <v>0</v>
      </c>
      <c r="T656">
        <v>3</v>
      </c>
      <c r="U656">
        <v>4</v>
      </c>
    </row>
    <row r="657" spans="1:21" ht="16.5" x14ac:dyDescent="0.3">
      <c r="A657" t="s">
        <v>735</v>
      </c>
      <c r="B657" s="1">
        <v>45403</v>
      </c>
      <c r="C657">
        <v>2024</v>
      </c>
      <c r="D657" t="s">
        <v>599</v>
      </c>
      <c r="E657" t="s">
        <v>600</v>
      </c>
      <c r="F657" t="s">
        <v>45</v>
      </c>
      <c r="G657" t="s">
        <v>49</v>
      </c>
      <c r="H657" t="s">
        <v>32</v>
      </c>
      <c r="I657" t="s">
        <v>70</v>
      </c>
      <c r="J657" t="s">
        <v>129</v>
      </c>
      <c r="K657">
        <v>1</v>
      </c>
      <c r="L657" s="2">
        <v>177.65</v>
      </c>
      <c r="M657" s="3">
        <v>0</v>
      </c>
      <c r="N657" t="s">
        <v>38</v>
      </c>
      <c r="O657" s="2">
        <v>177.65</v>
      </c>
      <c r="P657" s="2">
        <v>144.38999999999999</v>
      </c>
      <c r="Q657" s="2">
        <v>33.26</v>
      </c>
      <c r="R657">
        <v>1</v>
      </c>
      <c r="S657">
        <v>0</v>
      </c>
      <c r="T657">
        <v>6</v>
      </c>
      <c r="U657">
        <v>3</v>
      </c>
    </row>
    <row r="658" spans="1:21" ht="16.5" x14ac:dyDescent="0.3">
      <c r="A658" t="s">
        <v>736</v>
      </c>
      <c r="B658" s="1">
        <v>45403</v>
      </c>
      <c r="C658">
        <v>2024</v>
      </c>
      <c r="D658" t="s">
        <v>599</v>
      </c>
      <c r="E658" t="s">
        <v>600</v>
      </c>
      <c r="F658" t="s">
        <v>31</v>
      </c>
      <c r="G658" t="s">
        <v>46</v>
      </c>
      <c r="H658" t="s">
        <v>32</v>
      </c>
      <c r="I658" t="s">
        <v>70</v>
      </c>
      <c r="J658" t="s">
        <v>129</v>
      </c>
      <c r="K658">
        <v>1</v>
      </c>
      <c r="L658" s="2">
        <v>177.65</v>
      </c>
      <c r="M658" s="3">
        <v>0.15</v>
      </c>
      <c r="N658" t="s">
        <v>34</v>
      </c>
      <c r="O658" s="2">
        <v>151</v>
      </c>
      <c r="P658" s="2">
        <v>144.88999999999999</v>
      </c>
      <c r="Q658" s="2">
        <v>6.11</v>
      </c>
      <c r="R658">
        <v>1</v>
      </c>
      <c r="S658">
        <v>0</v>
      </c>
      <c r="T658">
        <v>5</v>
      </c>
      <c r="U658">
        <v>4</v>
      </c>
    </row>
    <row r="659" spans="1:21" ht="16.5" x14ac:dyDescent="0.3">
      <c r="A659" t="s">
        <v>737</v>
      </c>
      <c r="B659" s="1">
        <v>45403</v>
      </c>
      <c r="C659">
        <v>2024</v>
      </c>
      <c r="D659" t="s">
        <v>599</v>
      </c>
      <c r="E659" t="s">
        <v>600</v>
      </c>
      <c r="F659" t="s">
        <v>24</v>
      </c>
      <c r="G659" t="s">
        <v>51</v>
      </c>
      <c r="H659" t="s">
        <v>26</v>
      </c>
      <c r="I659" t="s">
        <v>27</v>
      </c>
      <c r="J659" t="s">
        <v>28</v>
      </c>
      <c r="K659">
        <v>2</v>
      </c>
      <c r="L659" s="2">
        <v>138.5</v>
      </c>
      <c r="M659" s="3">
        <v>0</v>
      </c>
      <c r="N659" t="s">
        <v>38</v>
      </c>
      <c r="O659" s="2">
        <v>277</v>
      </c>
      <c r="P659" s="2">
        <v>149.31</v>
      </c>
      <c r="Q659" s="2">
        <v>127.69</v>
      </c>
      <c r="R659">
        <v>1</v>
      </c>
      <c r="S659">
        <v>0</v>
      </c>
      <c r="T659">
        <v>2</v>
      </c>
      <c r="U659">
        <v>5</v>
      </c>
    </row>
    <row r="660" spans="1:21" ht="16.5" x14ac:dyDescent="0.3">
      <c r="A660" t="s">
        <v>738</v>
      </c>
      <c r="B660" s="1">
        <v>45403</v>
      </c>
      <c r="C660">
        <v>2024</v>
      </c>
      <c r="D660" t="s">
        <v>599</v>
      </c>
      <c r="E660" t="s">
        <v>600</v>
      </c>
      <c r="F660" t="s">
        <v>45</v>
      </c>
      <c r="G660" t="s">
        <v>25</v>
      </c>
      <c r="H660" t="s">
        <v>32</v>
      </c>
      <c r="I660" t="s">
        <v>42</v>
      </c>
      <c r="J660" t="s">
        <v>98</v>
      </c>
      <c r="K660">
        <v>2</v>
      </c>
      <c r="L660" s="2">
        <v>117.63</v>
      </c>
      <c r="M660" s="3">
        <v>0</v>
      </c>
      <c r="N660" t="s">
        <v>38</v>
      </c>
      <c r="O660" s="2">
        <v>235.26</v>
      </c>
      <c r="P660" s="2">
        <v>151.66</v>
      </c>
      <c r="Q660" s="2">
        <v>83.6</v>
      </c>
      <c r="R660">
        <v>1</v>
      </c>
      <c r="S660">
        <v>0</v>
      </c>
      <c r="T660">
        <v>4</v>
      </c>
      <c r="U660">
        <v>5</v>
      </c>
    </row>
    <row r="661" spans="1:21" ht="16.5" x14ac:dyDescent="0.3">
      <c r="A661" t="s">
        <v>739</v>
      </c>
      <c r="B661" s="1">
        <v>45403</v>
      </c>
      <c r="C661">
        <v>2024</v>
      </c>
      <c r="D661" t="s">
        <v>599</v>
      </c>
      <c r="E661" t="s">
        <v>600</v>
      </c>
      <c r="F661" t="s">
        <v>45</v>
      </c>
      <c r="G661" t="s">
        <v>46</v>
      </c>
      <c r="H661" t="s">
        <v>26</v>
      </c>
      <c r="I661" t="s">
        <v>84</v>
      </c>
      <c r="J661" t="s">
        <v>132</v>
      </c>
      <c r="K661">
        <v>1</v>
      </c>
      <c r="L661" s="2">
        <v>48.86</v>
      </c>
      <c r="M661" s="3">
        <v>0</v>
      </c>
      <c r="N661" t="s">
        <v>38</v>
      </c>
      <c r="O661" s="2">
        <v>48.86</v>
      </c>
      <c r="P661" s="2">
        <v>34.85</v>
      </c>
      <c r="Q661" s="2">
        <v>14.01</v>
      </c>
      <c r="R661">
        <v>1</v>
      </c>
      <c r="S661">
        <v>0</v>
      </c>
      <c r="T661">
        <v>5</v>
      </c>
      <c r="U661">
        <v>5</v>
      </c>
    </row>
    <row r="662" spans="1:21" ht="16.5" x14ac:dyDescent="0.3">
      <c r="A662" t="s">
        <v>740</v>
      </c>
      <c r="B662" s="1">
        <v>45403</v>
      </c>
      <c r="C662">
        <v>2024</v>
      </c>
      <c r="D662" t="s">
        <v>599</v>
      </c>
      <c r="E662" t="s">
        <v>600</v>
      </c>
      <c r="F662" t="s">
        <v>31</v>
      </c>
      <c r="G662" t="s">
        <v>25</v>
      </c>
      <c r="H662" t="s">
        <v>32</v>
      </c>
      <c r="I662" t="s">
        <v>27</v>
      </c>
      <c r="J662" t="s">
        <v>33</v>
      </c>
      <c r="K662">
        <v>1</v>
      </c>
      <c r="L662" s="2">
        <v>78.510000000000005</v>
      </c>
      <c r="M662" s="3">
        <v>0</v>
      </c>
      <c r="N662" t="s">
        <v>38</v>
      </c>
      <c r="O662" s="2">
        <v>78.510000000000005</v>
      </c>
      <c r="P662" s="2">
        <v>41.49</v>
      </c>
      <c r="Q662" s="2">
        <v>37.020000000000003</v>
      </c>
      <c r="R662">
        <v>1</v>
      </c>
      <c r="S662">
        <v>0</v>
      </c>
      <c r="T662">
        <v>4</v>
      </c>
      <c r="U662">
        <v>3</v>
      </c>
    </row>
    <row r="663" spans="1:21" ht="16.5" x14ac:dyDescent="0.3">
      <c r="A663" t="s">
        <v>741</v>
      </c>
      <c r="B663" s="1">
        <v>45403</v>
      </c>
      <c r="C663">
        <v>2024</v>
      </c>
      <c r="D663" t="s">
        <v>599</v>
      </c>
      <c r="E663" t="s">
        <v>600</v>
      </c>
      <c r="F663" t="s">
        <v>24</v>
      </c>
      <c r="G663" t="s">
        <v>65</v>
      </c>
      <c r="H663" t="s">
        <v>32</v>
      </c>
      <c r="I663" t="s">
        <v>42</v>
      </c>
      <c r="J663" t="s">
        <v>54</v>
      </c>
      <c r="K663">
        <v>1</v>
      </c>
      <c r="L663" s="2">
        <v>148.05000000000001</v>
      </c>
      <c r="M663" s="3">
        <v>0.15</v>
      </c>
      <c r="N663" t="s">
        <v>34</v>
      </c>
      <c r="O663" s="2">
        <v>125.84</v>
      </c>
      <c r="P663" s="2">
        <v>94.28</v>
      </c>
      <c r="Q663" s="2">
        <v>31.56</v>
      </c>
      <c r="R663">
        <v>1</v>
      </c>
      <c r="S663">
        <v>0</v>
      </c>
      <c r="T663">
        <v>6</v>
      </c>
      <c r="U663">
        <v>3</v>
      </c>
    </row>
    <row r="664" spans="1:21" ht="16.5" x14ac:dyDescent="0.3">
      <c r="A664" t="s">
        <v>742</v>
      </c>
      <c r="B664" s="1">
        <v>45403</v>
      </c>
      <c r="C664">
        <v>2024</v>
      </c>
      <c r="D664" t="s">
        <v>599</v>
      </c>
      <c r="E664" t="s">
        <v>600</v>
      </c>
      <c r="F664" t="s">
        <v>31</v>
      </c>
      <c r="G664" t="s">
        <v>46</v>
      </c>
      <c r="H664" t="s">
        <v>32</v>
      </c>
      <c r="I664" t="s">
        <v>36</v>
      </c>
      <c r="J664" t="s">
        <v>52</v>
      </c>
      <c r="K664">
        <v>2</v>
      </c>
      <c r="L664" s="2">
        <v>92.54</v>
      </c>
      <c r="M664" s="3">
        <v>0</v>
      </c>
      <c r="N664" t="s">
        <v>38</v>
      </c>
      <c r="O664" s="2">
        <v>185.08</v>
      </c>
      <c r="P664" s="2">
        <v>87.44</v>
      </c>
      <c r="Q664" s="2">
        <v>97.64</v>
      </c>
      <c r="R664">
        <v>1</v>
      </c>
      <c r="S664">
        <v>0</v>
      </c>
      <c r="T664">
        <v>5</v>
      </c>
      <c r="U664">
        <v>4</v>
      </c>
    </row>
    <row r="665" spans="1:21" ht="16.5" x14ac:dyDescent="0.3">
      <c r="A665" t="s">
        <v>743</v>
      </c>
      <c r="B665" s="1">
        <v>45403</v>
      </c>
      <c r="C665">
        <v>2024</v>
      </c>
      <c r="D665" t="s">
        <v>599</v>
      </c>
      <c r="E665" t="s">
        <v>600</v>
      </c>
      <c r="F665" t="s">
        <v>31</v>
      </c>
      <c r="G665" t="s">
        <v>25</v>
      </c>
      <c r="H665" t="s">
        <v>32</v>
      </c>
      <c r="I665" t="s">
        <v>36</v>
      </c>
      <c r="J665" t="s">
        <v>126</v>
      </c>
      <c r="K665">
        <v>1</v>
      </c>
      <c r="L665" s="2">
        <v>54.56</v>
      </c>
      <c r="M665" s="3">
        <v>0.3</v>
      </c>
      <c r="N665" t="s">
        <v>62</v>
      </c>
      <c r="O665" s="2">
        <v>38.19</v>
      </c>
      <c r="P665" s="2">
        <v>25.38</v>
      </c>
      <c r="Q665" s="2">
        <v>12.81</v>
      </c>
      <c r="R665">
        <v>1</v>
      </c>
      <c r="S665">
        <v>0</v>
      </c>
      <c r="T665">
        <v>4</v>
      </c>
      <c r="U665">
        <v>4</v>
      </c>
    </row>
    <row r="666" spans="1:21" ht="16.5" x14ac:dyDescent="0.3">
      <c r="A666" t="s">
        <v>744</v>
      </c>
      <c r="B666" s="1">
        <v>45403</v>
      </c>
      <c r="C666">
        <v>2024</v>
      </c>
      <c r="D666" t="s">
        <v>599</v>
      </c>
      <c r="E666" t="s">
        <v>600</v>
      </c>
      <c r="F666" t="s">
        <v>31</v>
      </c>
      <c r="G666" t="s">
        <v>49</v>
      </c>
      <c r="H666" t="s">
        <v>32</v>
      </c>
      <c r="I666" t="s">
        <v>67</v>
      </c>
      <c r="J666" t="s">
        <v>93</v>
      </c>
      <c r="K666">
        <v>1</v>
      </c>
      <c r="L666" s="2">
        <v>198.42</v>
      </c>
      <c r="M666" s="3">
        <v>0</v>
      </c>
      <c r="N666" t="s">
        <v>38</v>
      </c>
      <c r="O666" s="2">
        <v>198.42</v>
      </c>
      <c r="P666" s="2">
        <v>130.18</v>
      </c>
      <c r="Q666" s="2">
        <v>68.239999999999995</v>
      </c>
      <c r="R666">
        <v>1</v>
      </c>
      <c r="S666">
        <v>0</v>
      </c>
      <c r="T666">
        <v>6</v>
      </c>
      <c r="U666">
        <v>2</v>
      </c>
    </row>
    <row r="667" spans="1:21" ht="16.5" x14ac:dyDescent="0.3">
      <c r="A667" t="s">
        <v>745</v>
      </c>
      <c r="B667" s="1">
        <v>45404</v>
      </c>
      <c r="C667">
        <v>2024</v>
      </c>
      <c r="D667" t="s">
        <v>599</v>
      </c>
      <c r="E667" t="s">
        <v>600</v>
      </c>
      <c r="F667" t="s">
        <v>24</v>
      </c>
      <c r="G667" t="s">
        <v>49</v>
      </c>
      <c r="H667" t="s">
        <v>32</v>
      </c>
      <c r="I667" t="s">
        <v>36</v>
      </c>
      <c r="J667" t="s">
        <v>52</v>
      </c>
      <c r="K667">
        <v>2</v>
      </c>
      <c r="L667" s="2">
        <v>92.54</v>
      </c>
      <c r="M667" s="3">
        <v>0</v>
      </c>
      <c r="N667" t="s">
        <v>38</v>
      </c>
      <c r="O667" s="2">
        <v>185.08</v>
      </c>
      <c r="P667" s="2">
        <v>82.97</v>
      </c>
      <c r="Q667" s="2">
        <v>102.11</v>
      </c>
      <c r="R667">
        <v>1</v>
      </c>
      <c r="S667">
        <v>0</v>
      </c>
      <c r="T667">
        <v>4</v>
      </c>
      <c r="U667">
        <v>4</v>
      </c>
    </row>
    <row r="668" spans="1:21" ht="16.5" x14ac:dyDescent="0.3">
      <c r="A668" t="s">
        <v>746</v>
      </c>
      <c r="B668" s="1">
        <v>45404</v>
      </c>
      <c r="C668">
        <v>2024</v>
      </c>
      <c r="D668" t="s">
        <v>599</v>
      </c>
      <c r="E668" t="s">
        <v>600</v>
      </c>
      <c r="F668" t="s">
        <v>45</v>
      </c>
      <c r="G668" t="s">
        <v>65</v>
      </c>
      <c r="H668" t="s">
        <v>32</v>
      </c>
      <c r="I668" t="s">
        <v>27</v>
      </c>
      <c r="J668" t="s">
        <v>60</v>
      </c>
      <c r="K668">
        <v>2</v>
      </c>
      <c r="L668" s="2">
        <v>94.85</v>
      </c>
      <c r="M668" s="3">
        <v>0.15</v>
      </c>
      <c r="N668" t="s">
        <v>34</v>
      </c>
      <c r="O668" s="2">
        <v>161.24</v>
      </c>
      <c r="P668" s="2">
        <v>104.64</v>
      </c>
      <c r="Q668" s="2">
        <v>56.6</v>
      </c>
      <c r="R668">
        <v>1</v>
      </c>
      <c r="S668">
        <v>0</v>
      </c>
      <c r="T668">
        <v>5</v>
      </c>
      <c r="U668">
        <v>4</v>
      </c>
    </row>
    <row r="669" spans="1:21" ht="16.5" x14ac:dyDescent="0.3">
      <c r="A669" t="s">
        <v>747</v>
      </c>
      <c r="B669" s="1">
        <v>45404</v>
      </c>
      <c r="C669">
        <v>2024</v>
      </c>
      <c r="D669" t="s">
        <v>599</v>
      </c>
      <c r="E669" t="s">
        <v>600</v>
      </c>
      <c r="F669" t="s">
        <v>24</v>
      </c>
      <c r="G669" t="s">
        <v>49</v>
      </c>
      <c r="H669" t="s">
        <v>26</v>
      </c>
      <c r="I669" t="s">
        <v>70</v>
      </c>
      <c r="J669" t="s">
        <v>162</v>
      </c>
      <c r="K669">
        <v>1</v>
      </c>
      <c r="L669" s="2">
        <v>636.09</v>
      </c>
      <c r="M669" s="3">
        <v>0.05</v>
      </c>
      <c r="N669" t="s">
        <v>29</v>
      </c>
      <c r="O669" s="2">
        <v>604.29</v>
      </c>
      <c r="P669" s="2">
        <v>517.84</v>
      </c>
      <c r="Q669" s="2">
        <v>86.45</v>
      </c>
      <c r="R669">
        <v>1</v>
      </c>
      <c r="S669">
        <v>0</v>
      </c>
      <c r="T669">
        <v>4</v>
      </c>
      <c r="U669">
        <v>4</v>
      </c>
    </row>
    <row r="670" spans="1:21" ht="16.5" x14ac:dyDescent="0.3">
      <c r="A670" t="s">
        <v>748</v>
      </c>
      <c r="B670" s="1">
        <v>45404</v>
      </c>
      <c r="C670">
        <v>2024</v>
      </c>
      <c r="D670" t="s">
        <v>599</v>
      </c>
      <c r="E670" t="s">
        <v>600</v>
      </c>
      <c r="F670" t="s">
        <v>31</v>
      </c>
      <c r="G670" t="s">
        <v>49</v>
      </c>
      <c r="H670" t="s">
        <v>32</v>
      </c>
      <c r="I670" t="s">
        <v>70</v>
      </c>
      <c r="J670" t="s">
        <v>71</v>
      </c>
      <c r="K670">
        <v>3</v>
      </c>
      <c r="L670" s="2">
        <v>588.41</v>
      </c>
      <c r="M670" s="3">
        <v>0.05</v>
      </c>
      <c r="N670" t="s">
        <v>29</v>
      </c>
      <c r="O670" s="2">
        <v>1676.97</v>
      </c>
      <c r="P670" s="2">
        <v>1387.36</v>
      </c>
      <c r="Q670" s="2">
        <v>289.61</v>
      </c>
      <c r="R670">
        <v>1</v>
      </c>
      <c r="S670">
        <v>0</v>
      </c>
      <c r="T670">
        <v>4</v>
      </c>
      <c r="U670">
        <v>4</v>
      </c>
    </row>
    <row r="671" spans="1:21" ht="16.5" x14ac:dyDescent="0.3">
      <c r="A671" t="s">
        <v>749</v>
      </c>
      <c r="B671" s="1">
        <v>45404</v>
      </c>
      <c r="C671">
        <v>2024</v>
      </c>
      <c r="D671" t="s">
        <v>599</v>
      </c>
      <c r="E671" t="s">
        <v>600</v>
      </c>
      <c r="F671" t="s">
        <v>31</v>
      </c>
      <c r="G671" t="s">
        <v>51</v>
      </c>
      <c r="H671" t="s">
        <v>32</v>
      </c>
      <c r="I671" t="s">
        <v>67</v>
      </c>
      <c r="J671" t="s">
        <v>174</v>
      </c>
      <c r="K671">
        <v>1</v>
      </c>
      <c r="L671" s="2">
        <v>137.05000000000001</v>
      </c>
      <c r="M671" s="3">
        <v>0</v>
      </c>
      <c r="N671" t="s">
        <v>38</v>
      </c>
      <c r="O671" s="2">
        <v>137.05000000000001</v>
      </c>
      <c r="P671" s="2">
        <v>94.67</v>
      </c>
      <c r="Q671" s="2">
        <v>42.38</v>
      </c>
      <c r="R671">
        <v>1</v>
      </c>
      <c r="S671">
        <v>0</v>
      </c>
      <c r="T671">
        <v>3</v>
      </c>
      <c r="U671">
        <v>4</v>
      </c>
    </row>
    <row r="672" spans="1:21" ht="16.5" x14ac:dyDescent="0.3">
      <c r="A672" t="s">
        <v>750</v>
      </c>
      <c r="B672" s="1">
        <v>45404</v>
      </c>
      <c r="C672">
        <v>2024</v>
      </c>
      <c r="D672" t="s">
        <v>599</v>
      </c>
      <c r="E672" t="s">
        <v>600</v>
      </c>
      <c r="F672" t="s">
        <v>24</v>
      </c>
      <c r="G672" t="s">
        <v>51</v>
      </c>
      <c r="H672" t="s">
        <v>32</v>
      </c>
      <c r="I672" t="s">
        <v>42</v>
      </c>
      <c r="J672" t="s">
        <v>54</v>
      </c>
      <c r="K672">
        <v>2</v>
      </c>
      <c r="L672" s="2">
        <v>148.05000000000001</v>
      </c>
      <c r="M672" s="3">
        <v>0.05</v>
      </c>
      <c r="N672" t="s">
        <v>29</v>
      </c>
      <c r="O672" s="2">
        <v>281.3</v>
      </c>
      <c r="P672" s="2">
        <v>186.54</v>
      </c>
      <c r="Q672" s="2">
        <v>94.76</v>
      </c>
      <c r="R672">
        <v>1</v>
      </c>
      <c r="S672">
        <v>0</v>
      </c>
      <c r="T672">
        <v>2</v>
      </c>
      <c r="U672">
        <v>5</v>
      </c>
    </row>
    <row r="673" spans="1:21" ht="16.5" x14ac:dyDescent="0.3">
      <c r="A673" t="s">
        <v>751</v>
      </c>
      <c r="B673" s="1">
        <v>45405</v>
      </c>
      <c r="C673">
        <v>2024</v>
      </c>
      <c r="D673" t="s">
        <v>599</v>
      </c>
      <c r="E673" t="s">
        <v>600</v>
      </c>
      <c r="F673" t="s">
        <v>31</v>
      </c>
      <c r="G673" t="s">
        <v>51</v>
      </c>
      <c r="H673" t="s">
        <v>32</v>
      </c>
      <c r="I673" t="s">
        <v>27</v>
      </c>
      <c r="J673" t="s">
        <v>33</v>
      </c>
      <c r="K673">
        <v>1</v>
      </c>
      <c r="L673" s="2">
        <v>78.510000000000005</v>
      </c>
      <c r="M673" s="3">
        <v>0</v>
      </c>
      <c r="N673" t="s">
        <v>38</v>
      </c>
      <c r="O673" s="2">
        <v>78.510000000000005</v>
      </c>
      <c r="P673" s="2">
        <v>41.29</v>
      </c>
      <c r="Q673" s="2">
        <v>37.22</v>
      </c>
      <c r="R673">
        <v>1</v>
      </c>
      <c r="S673">
        <v>0</v>
      </c>
      <c r="T673">
        <v>3</v>
      </c>
      <c r="U673">
        <v>5</v>
      </c>
    </row>
    <row r="674" spans="1:21" ht="16.5" x14ac:dyDescent="0.3">
      <c r="A674" t="s">
        <v>752</v>
      </c>
      <c r="B674" s="1">
        <v>45405</v>
      </c>
      <c r="C674">
        <v>2024</v>
      </c>
      <c r="D674" t="s">
        <v>599</v>
      </c>
      <c r="E674" t="s">
        <v>600</v>
      </c>
      <c r="F674" t="s">
        <v>31</v>
      </c>
      <c r="G674" t="s">
        <v>49</v>
      </c>
      <c r="H674" t="s">
        <v>26</v>
      </c>
      <c r="I674" t="s">
        <v>70</v>
      </c>
      <c r="J674" t="s">
        <v>162</v>
      </c>
      <c r="K674">
        <v>2</v>
      </c>
      <c r="L674" s="2">
        <v>636.09</v>
      </c>
      <c r="M674" s="3">
        <v>0</v>
      </c>
      <c r="N674" t="s">
        <v>38</v>
      </c>
      <c r="O674" s="2">
        <v>1272.18</v>
      </c>
      <c r="P674" s="2">
        <v>1020.87</v>
      </c>
      <c r="Q674" s="2">
        <v>251.31</v>
      </c>
      <c r="R674">
        <v>1</v>
      </c>
      <c r="S674">
        <v>1</v>
      </c>
      <c r="T674">
        <v>3</v>
      </c>
      <c r="U674">
        <v>3</v>
      </c>
    </row>
    <row r="675" spans="1:21" ht="16.5" x14ac:dyDescent="0.3">
      <c r="A675" t="s">
        <v>753</v>
      </c>
      <c r="B675" s="1">
        <v>45405</v>
      </c>
      <c r="C675">
        <v>2024</v>
      </c>
      <c r="D675" t="s">
        <v>599</v>
      </c>
      <c r="E675" t="s">
        <v>600</v>
      </c>
      <c r="F675" t="s">
        <v>31</v>
      </c>
      <c r="G675" t="s">
        <v>25</v>
      </c>
      <c r="H675" t="s">
        <v>32</v>
      </c>
      <c r="I675" t="s">
        <v>42</v>
      </c>
      <c r="J675" t="s">
        <v>58</v>
      </c>
      <c r="K675">
        <v>2</v>
      </c>
      <c r="L675" s="2">
        <v>233.81</v>
      </c>
      <c r="M675" s="3">
        <v>0.25</v>
      </c>
      <c r="N675" t="s">
        <v>62</v>
      </c>
      <c r="O675" s="2">
        <v>350.72</v>
      </c>
      <c r="P675" s="2">
        <v>307.54000000000002</v>
      </c>
      <c r="Q675" s="2">
        <v>43.18</v>
      </c>
      <c r="R675">
        <v>1</v>
      </c>
      <c r="S675">
        <v>0</v>
      </c>
      <c r="T675">
        <v>4</v>
      </c>
      <c r="U675">
        <v>5</v>
      </c>
    </row>
    <row r="676" spans="1:21" ht="16.5" x14ac:dyDescent="0.3">
      <c r="A676" t="s">
        <v>754</v>
      </c>
      <c r="B676" s="1">
        <v>45405</v>
      </c>
      <c r="C676">
        <v>2024</v>
      </c>
      <c r="D676" t="s">
        <v>599</v>
      </c>
      <c r="E676" t="s">
        <v>600</v>
      </c>
      <c r="F676" t="s">
        <v>24</v>
      </c>
      <c r="G676" t="s">
        <v>49</v>
      </c>
      <c r="H676" t="s">
        <v>26</v>
      </c>
      <c r="I676" t="s">
        <v>36</v>
      </c>
      <c r="J676" t="s">
        <v>52</v>
      </c>
      <c r="K676">
        <v>1</v>
      </c>
      <c r="L676" s="2">
        <v>92.54</v>
      </c>
      <c r="M676" s="3">
        <v>0.2</v>
      </c>
      <c r="N676" t="s">
        <v>34</v>
      </c>
      <c r="O676" s="2">
        <v>74.03</v>
      </c>
      <c r="P676" s="2">
        <v>43.67</v>
      </c>
      <c r="Q676" s="2">
        <v>30.36</v>
      </c>
      <c r="R676">
        <v>1</v>
      </c>
      <c r="S676">
        <v>0</v>
      </c>
      <c r="T676">
        <v>5</v>
      </c>
      <c r="U676">
        <v>5</v>
      </c>
    </row>
    <row r="677" spans="1:21" ht="16.5" x14ac:dyDescent="0.3">
      <c r="A677" t="s">
        <v>755</v>
      </c>
      <c r="B677" s="1">
        <v>45405</v>
      </c>
      <c r="C677">
        <v>2024</v>
      </c>
      <c r="D677" t="s">
        <v>599</v>
      </c>
      <c r="E677" t="s">
        <v>600</v>
      </c>
      <c r="F677" t="s">
        <v>24</v>
      </c>
      <c r="G677" t="s">
        <v>65</v>
      </c>
      <c r="H677" t="s">
        <v>32</v>
      </c>
      <c r="I677" t="s">
        <v>84</v>
      </c>
      <c r="J677" t="s">
        <v>106</v>
      </c>
      <c r="K677">
        <v>1</v>
      </c>
      <c r="L677" s="2">
        <v>45.28</v>
      </c>
      <c r="M677" s="3">
        <v>0.05</v>
      </c>
      <c r="N677" t="s">
        <v>29</v>
      </c>
      <c r="O677" s="2">
        <v>43.02</v>
      </c>
      <c r="P677" s="2">
        <v>31.46</v>
      </c>
      <c r="Q677" s="2">
        <v>11.56</v>
      </c>
      <c r="R677">
        <v>1</v>
      </c>
      <c r="S677">
        <v>0</v>
      </c>
      <c r="T677">
        <v>7</v>
      </c>
      <c r="U677">
        <v>2</v>
      </c>
    </row>
    <row r="678" spans="1:21" ht="16.5" x14ac:dyDescent="0.3">
      <c r="A678" t="s">
        <v>756</v>
      </c>
      <c r="B678" s="1">
        <v>45406</v>
      </c>
      <c r="C678">
        <v>2024</v>
      </c>
      <c r="D678" t="s">
        <v>599</v>
      </c>
      <c r="E678" t="s">
        <v>600</v>
      </c>
      <c r="F678" t="s">
        <v>24</v>
      </c>
      <c r="G678" t="s">
        <v>51</v>
      </c>
      <c r="H678" t="s">
        <v>32</v>
      </c>
      <c r="I678" t="s">
        <v>42</v>
      </c>
      <c r="J678" t="s">
        <v>98</v>
      </c>
      <c r="K678">
        <v>1</v>
      </c>
      <c r="L678" s="2">
        <v>117.63</v>
      </c>
      <c r="M678" s="3">
        <v>0.05</v>
      </c>
      <c r="N678" t="s">
        <v>29</v>
      </c>
      <c r="O678" s="2">
        <v>111.75</v>
      </c>
      <c r="P678" s="2">
        <v>78.63</v>
      </c>
      <c r="Q678" s="2">
        <v>33.119999999999997</v>
      </c>
      <c r="R678">
        <v>1</v>
      </c>
      <c r="S678">
        <v>0</v>
      </c>
      <c r="T678">
        <v>3</v>
      </c>
      <c r="U678">
        <v>4</v>
      </c>
    </row>
    <row r="679" spans="1:21" ht="16.5" x14ac:dyDescent="0.3">
      <c r="A679" t="s">
        <v>757</v>
      </c>
      <c r="B679" s="1">
        <v>45406</v>
      </c>
      <c r="C679">
        <v>2024</v>
      </c>
      <c r="D679" t="s">
        <v>599</v>
      </c>
      <c r="E679" t="s">
        <v>600</v>
      </c>
      <c r="F679" t="s">
        <v>31</v>
      </c>
      <c r="G679" t="s">
        <v>25</v>
      </c>
      <c r="H679" t="s">
        <v>32</v>
      </c>
      <c r="I679" t="s">
        <v>84</v>
      </c>
      <c r="J679" t="s">
        <v>96</v>
      </c>
      <c r="K679">
        <v>1</v>
      </c>
      <c r="L679" s="2">
        <v>10.76</v>
      </c>
      <c r="M679" s="3">
        <v>0.1</v>
      </c>
      <c r="N679" t="s">
        <v>29</v>
      </c>
      <c r="O679" s="2">
        <v>9.68</v>
      </c>
      <c r="P679" s="2">
        <v>7.97</v>
      </c>
      <c r="Q679" s="2">
        <v>1.71</v>
      </c>
      <c r="R679">
        <v>1</v>
      </c>
      <c r="S679">
        <v>0</v>
      </c>
      <c r="T679">
        <v>3</v>
      </c>
      <c r="U679">
        <v>5</v>
      </c>
    </row>
    <row r="680" spans="1:21" ht="16.5" x14ac:dyDescent="0.3">
      <c r="A680" t="s">
        <v>758</v>
      </c>
      <c r="B680" s="1">
        <v>45406</v>
      </c>
      <c r="C680">
        <v>2024</v>
      </c>
      <c r="D680" t="s">
        <v>599</v>
      </c>
      <c r="E680" t="s">
        <v>600</v>
      </c>
      <c r="F680" t="s">
        <v>24</v>
      </c>
      <c r="G680" t="s">
        <v>51</v>
      </c>
      <c r="H680" t="s">
        <v>32</v>
      </c>
      <c r="I680" t="s">
        <v>27</v>
      </c>
      <c r="J680" t="s">
        <v>33</v>
      </c>
      <c r="K680">
        <v>1</v>
      </c>
      <c r="L680" s="2">
        <v>78.510000000000005</v>
      </c>
      <c r="M680" s="3">
        <v>0.1</v>
      </c>
      <c r="N680" t="s">
        <v>29</v>
      </c>
      <c r="O680" s="2">
        <v>70.66</v>
      </c>
      <c r="P680" s="2">
        <v>43.28</v>
      </c>
      <c r="Q680" s="2">
        <v>27.38</v>
      </c>
      <c r="R680">
        <v>1</v>
      </c>
      <c r="S680">
        <v>0</v>
      </c>
      <c r="T680">
        <v>4</v>
      </c>
      <c r="U680">
        <v>3</v>
      </c>
    </row>
    <row r="681" spans="1:21" ht="16.5" x14ac:dyDescent="0.3">
      <c r="A681" t="s">
        <v>759</v>
      </c>
      <c r="B681" s="1">
        <v>45406</v>
      </c>
      <c r="C681">
        <v>2024</v>
      </c>
      <c r="D681" t="s">
        <v>599</v>
      </c>
      <c r="E681" t="s">
        <v>600</v>
      </c>
      <c r="F681" t="s">
        <v>45</v>
      </c>
      <c r="G681" t="s">
        <v>51</v>
      </c>
      <c r="H681" t="s">
        <v>32</v>
      </c>
      <c r="I681" t="s">
        <v>67</v>
      </c>
      <c r="J681" t="s">
        <v>174</v>
      </c>
      <c r="K681">
        <v>2</v>
      </c>
      <c r="L681" s="2">
        <v>137.05000000000001</v>
      </c>
      <c r="M681" s="3">
        <v>0</v>
      </c>
      <c r="N681" t="s">
        <v>38</v>
      </c>
      <c r="O681" s="2">
        <v>274.10000000000002</v>
      </c>
      <c r="P681" s="2">
        <v>173.18</v>
      </c>
      <c r="Q681" s="2">
        <v>100.92</v>
      </c>
      <c r="R681">
        <v>1</v>
      </c>
      <c r="S681">
        <v>1</v>
      </c>
      <c r="T681">
        <v>4</v>
      </c>
      <c r="U681">
        <v>4</v>
      </c>
    </row>
    <row r="682" spans="1:21" ht="16.5" x14ac:dyDescent="0.3">
      <c r="A682" t="s">
        <v>760</v>
      </c>
      <c r="B682" s="1">
        <v>45406</v>
      </c>
      <c r="C682">
        <v>2024</v>
      </c>
      <c r="D682" t="s">
        <v>599</v>
      </c>
      <c r="E682" t="s">
        <v>600</v>
      </c>
      <c r="F682" t="s">
        <v>31</v>
      </c>
      <c r="G682" t="s">
        <v>49</v>
      </c>
      <c r="H682" t="s">
        <v>32</v>
      </c>
      <c r="I682" t="s">
        <v>42</v>
      </c>
      <c r="J682" t="s">
        <v>76</v>
      </c>
      <c r="K682">
        <v>1</v>
      </c>
      <c r="L682" s="2">
        <v>90.75</v>
      </c>
      <c r="M682" s="3">
        <v>0.05</v>
      </c>
      <c r="N682" t="s">
        <v>29</v>
      </c>
      <c r="O682" s="2">
        <v>86.21</v>
      </c>
      <c r="P682" s="2">
        <v>59.94</v>
      </c>
      <c r="Q682" s="2">
        <v>26.27</v>
      </c>
      <c r="R682">
        <v>1</v>
      </c>
      <c r="S682">
        <v>0</v>
      </c>
      <c r="T682">
        <v>4</v>
      </c>
      <c r="U682">
        <v>5</v>
      </c>
    </row>
    <row r="683" spans="1:21" ht="16.5" x14ac:dyDescent="0.3">
      <c r="A683" t="s">
        <v>761</v>
      </c>
      <c r="B683" s="1">
        <v>45407</v>
      </c>
      <c r="C683">
        <v>2024</v>
      </c>
      <c r="D683" t="s">
        <v>599</v>
      </c>
      <c r="E683" t="s">
        <v>600</v>
      </c>
      <c r="F683" t="s">
        <v>24</v>
      </c>
      <c r="G683" t="s">
        <v>25</v>
      </c>
      <c r="H683" t="s">
        <v>32</v>
      </c>
      <c r="I683" t="s">
        <v>27</v>
      </c>
      <c r="J683" t="s">
        <v>40</v>
      </c>
      <c r="K683">
        <v>1</v>
      </c>
      <c r="L683" s="2">
        <v>104.94</v>
      </c>
      <c r="M683" s="3">
        <v>0</v>
      </c>
      <c r="N683" t="s">
        <v>38</v>
      </c>
      <c r="O683" s="2">
        <v>104.94</v>
      </c>
      <c r="P683" s="2">
        <v>58.05</v>
      </c>
      <c r="Q683" s="2">
        <v>46.89</v>
      </c>
      <c r="R683">
        <v>1</v>
      </c>
      <c r="S683">
        <v>0</v>
      </c>
      <c r="T683">
        <v>4</v>
      </c>
      <c r="U683">
        <v>4</v>
      </c>
    </row>
    <row r="684" spans="1:21" ht="16.5" x14ac:dyDescent="0.3">
      <c r="A684" t="s">
        <v>762</v>
      </c>
      <c r="B684" s="1">
        <v>45407</v>
      </c>
      <c r="C684">
        <v>2024</v>
      </c>
      <c r="D684" t="s">
        <v>599</v>
      </c>
      <c r="E684" t="s">
        <v>600</v>
      </c>
      <c r="F684" t="s">
        <v>45</v>
      </c>
      <c r="G684" t="s">
        <v>46</v>
      </c>
      <c r="H684" t="s">
        <v>26</v>
      </c>
      <c r="I684" t="s">
        <v>42</v>
      </c>
      <c r="J684" t="s">
        <v>43</v>
      </c>
      <c r="K684">
        <v>1</v>
      </c>
      <c r="L684" s="2">
        <v>154.66</v>
      </c>
      <c r="M684" s="3">
        <v>0.1</v>
      </c>
      <c r="N684" t="s">
        <v>29</v>
      </c>
      <c r="O684" s="2">
        <v>139.19</v>
      </c>
      <c r="P684" s="2">
        <v>97.47</v>
      </c>
      <c r="Q684" s="2">
        <v>41.72</v>
      </c>
      <c r="R684">
        <v>1</v>
      </c>
      <c r="S684">
        <v>0</v>
      </c>
      <c r="T684">
        <v>7</v>
      </c>
      <c r="U684">
        <v>3</v>
      </c>
    </row>
    <row r="685" spans="1:21" ht="16.5" x14ac:dyDescent="0.3">
      <c r="A685" t="s">
        <v>763</v>
      </c>
      <c r="B685" s="1">
        <v>45407</v>
      </c>
      <c r="C685">
        <v>2024</v>
      </c>
      <c r="D685" t="s">
        <v>599</v>
      </c>
      <c r="E685" t="s">
        <v>600</v>
      </c>
      <c r="F685" t="s">
        <v>24</v>
      </c>
      <c r="G685" t="s">
        <v>46</v>
      </c>
      <c r="H685" t="s">
        <v>26</v>
      </c>
      <c r="I685" t="s">
        <v>70</v>
      </c>
      <c r="J685" t="s">
        <v>129</v>
      </c>
      <c r="K685">
        <v>2</v>
      </c>
      <c r="L685" s="2">
        <v>177.65</v>
      </c>
      <c r="M685" s="3">
        <v>0</v>
      </c>
      <c r="N685" t="s">
        <v>38</v>
      </c>
      <c r="O685" s="2">
        <v>355.3</v>
      </c>
      <c r="P685" s="2">
        <v>307.76</v>
      </c>
      <c r="Q685" s="2">
        <v>47.54</v>
      </c>
      <c r="R685">
        <v>1</v>
      </c>
      <c r="S685">
        <v>1</v>
      </c>
      <c r="T685">
        <v>6</v>
      </c>
      <c r="U685">
        <v>2</v>
      </c>
    </row>
    <row r="686" spans="1:21" ht="16.5" x14ac:dyDescent="0.3">
      <c r="A686" t="s">
        <v>764</v>
      </c>
      <c r="B686" s="1">
        <v>45407</v>
      </c>
      <c r="C686">
        <v>2024</v>
      </c>
      <c r="D686" t="s">
        <v>599</v>
      </c>
      <c r="E686" t="s">
        <v>600</v>
      </c>
      <c r="F686" t="s">
        <v>24</v>
      </c>
      <c r="G686" t="s">
        <v>49</v>
      </c>
      <c r="H686" t="s">
        <v>26</v>
      </c>
      <c r="I686" t="s">
        <v>36</v>
      </c>
      <c r="J686" t="s">
        <v>56</v>
      </c>
      <c r="K686">
        <v>1</v>
      </c>
      <c r="L686" s="2">
        <v>74.3</v>
      </c>
      <c r="M686" s="3">
        <v>0.05</v>
      </c>
      <c r="N686" t="s">
        <v>29</v>
      </c>
      <c r="O686" s="2">
        <v>70.58</v>
      </c>
      <c r="P686" s="2">
        <v>36.82</v>
      </c>
      <c r="Q686" s="2">
        <v>33.76</v>
      </c>
      <c r="R686">
        <v>1</v>
      </c>
      <c r="S686">
        <v>0</v>
      </c>
      <c r="T686">
        <v>5</v>
      </c>
      <c r="U686">
        <v>4</v>
      </c>
    </row>
    <row r="687" spans="1:21" ht="16.5" x14ac:dyDescent="0.3">
      <c r="A687" t="s">
        <v>765</v>
      </c>
      <c r="B687" s="1">
        <v>45407</v>
      </c>
      <c r="C687">
        <v>2024</v>
      </c>
      <c r="D687" t="s">
        <v>599</v>
      </c>
      <c r="E687" t="s">
        <v>600</v>
      </c>
      <c r="F687" t="s">
        <v>45</v>
      </c>
      <c r="G687" t="s">
        <v>25</v>
      </c>
      <c r="H687" t="s">
        <v>26</v>
      </c>
      <c r="I687" t="s">
        <v>27</v>
      </c>
      <c r="J687" t="s">
        <v>28</v>
      </c>
      <c r="K687">
        <v>1</v>
      </c>
      <c r="L687" s="2">
        <v>138.5</v>
      </c>
      <c r="M687" s="3">
        <v>0.2</v>
      </c>
      <c r="N687" t="s">
        <v>34</v>
      </c>
      <c r="O687" s="2">
        <v>110.8</v>
      </c>
      <c r="P687" s="2">
        <v>72.760000000000005</v>
      </c>
      <c r="Q687" s="2">
        <v>38.04</v>
      </c>
      <c r="R687">
        <v>1</v>
      </c>
      <c r="S687">
        <v>0</v>
      </c>
      <c r="T687">
        <v>4</v>
      </c>
      <c r="U687">
        <v>4</v>
      </c>
    </row>
    <row r="688" spans="1:21" ht="16.5" x14ac:dyDescent="0.3">
      <c r="A688" t="s">
        <v>766</v>
      </c>
      <c r="B688" s="1">
        <v>45407</v>
      </c>
      <c r="C688">
        <v>2024</v>
      </c>
      <c r="D688" t="s">
        <v>599</v>
      </c>
      <c r="E688" t="s">
        <v>600</v>
      </c>
      <c r="F688" t="s">
        <v>31</v>
      </c>
      <c r="G688" t="s">
        <v>51</v>
      </c>
      <c r="H688" t="s">
        <v>32</v>
      </c>
      <c r="I688" t="s">
        <v>27</v>
      </c>
      <c r="J688" t="s">
        <v>40</v>
      </c>
      <c r="K688">
        <v>2</v>
      </c>
      <c r="L688" s="2">
        <v>104.94</v>
      </c>
      <c r="M688" s="3">
        <v>0.05</v>
      </c>
      <c r="N688" t="s">
        <v>29</v>
      </c>
      <c r="O688" s="2">
        <v>199.39</v>
      </c>
      <c r="P688" s="2">
        <v>120.33</v>
      </c>
      <c r="Q688" s="2">
        <v>79.06</v>
      </c>
      <c r="R688">
        <v>1</v>
      </c>
      <c r="S688">
        <v>0</v>
      </c>
      <c r="T688">
        <v>2</v>
      </c>
      <c r="U688">
        <v>5</v>
      </c>
    </row>
    <row r="689" spans="1:21" ht="16.5" x14ac:dyDescent="0.3">
      <c r="A689" t="s">
        <v>767</v>
      </c>
      <c r="B689" s="1">
        <v>45407</v>
      </c>
      <c r="C689">
        <v>2024</v>
      </c>
      <c r="D689" t="s">
        <v>599</v>
      </c>
      <c r="E689" t="s">
        <v>600</v>
      </c>
      <c r="F689" t="s">
        <v>24</v>
      </c>
      <c r="G689" t="s">
        <v>46</v>
      </c>
      <c r="H689" t="s">
        <v>26</v>
      </c>
      <c r="I689" t="s">
        <v>27</v>
      </c>
      <c r="J689" t="s">
        <v>28</v>
      </c>
      <c r="K689">
        <v>1</v>
      </c>
      <c r="L689" s="2">
        <v>138.5</v>
      </c>
      <c r="M689" s="3">
        <v>0.1</v>
      </c>
      <c r="N689" t="s">
        <v>29</v>
      </c>
      <c r="O689" s="2">
        <v>124.65</v>
      </c>
      <c r="P689" s="2">
        <v>75.599999999999994</v>
      </c>
      <c r="Q689" s="2">
        <v>49.05</v>
      </c>
      <c r="R689">
        <v>1</v>
      </c>
      <c r="S689">
        <v>1</v>
      </c>
      <c r="T689">
        <v>6</v>
      </c>
      <c r="U689">
        <v>2</v>
      </c>
    </row>
    <row r="690" spans="1:21" ht="16.5" x14ac:dyDescent="0.3">
      <c r="A690" t="s">
        <v>768</v>
      </c>
      <c r="B690" s="1">
        <v>45407</v>
      </c>
      <c r="C690">
        <v>2024</v>
      </c>
      <c r="D690" t="s">
        <v>599</v>
      </c>
      <c r="E690" t="s">
        <v>600</v>
      </c>
      <c r="F690" t="s">
        <v>45</v>
      </c>
      <c r="G690" t="s">
        <v>25</v>
      </c>
      <c r="H690" t="s">
        <v>26</v>
      </c>
      <c r="I690" t="s">
        <v>67</v>
      </c>
      <c r="J690" t="s">
        <v>68</v>
      </c>
      <c r="K690">
        <v>1</v>
      </c>
      <c r="L690" s="2">
        <v>74.459999999999994</v>
      </c>
      <c r="M690" s="3">
        <v>0.05</v>
      </c>
      <c r="N690" t="s">
        <v>29</v>
      </c>
      <c r="O690" s="2">
        <v>70.739999999999995</v>
      </c>
      <c r="P690" s="2">
        <v>46.28</v>
      </c>
      <c r="Q690" s="2">
        <v>24.46</v>
      </c>
      <c r="R690">
        <v>1</v>
      </c>
      <c r="S690">
        <v>0</v>
      </c>
      <c r="T690">
        <v>4</v>
      </c>
      <c r="U690">
        <v>4</v>
      </c>
    </row>
    <row r="691" spans="1:21" ht="16.5" x14ac:dyDescent="0.3">
      <c r="A691" t="s">
        <v>769</v>
      </c>
      <c r="B691" s="1">
        <v>45408</v>
      </c>
      <c r="C691">
        <v>2024</v>
      </c>
      <c r="D691" t="s">
        <v>599</v>
      </c>
      <c r="E691" t="s">
        <v>600</v>
      </c>
      <c r="F691" t="s">
        <v>24</v>
      </c>
      <c r="G691" t="s">
        <v>51</v>
      </c>
      <c r="H691" t="s">
        <v>32</v>
      </c>
      <c r="I691" t="s">
        <v>70</v>
      </c>
      <c r="J691" t="s">
        <v>129</v>
      </c>
      <c r="K691">
        <v>1</v>
      </c>
      <c r="L691" s="2">
        <v>177.65</v>
      </c>
      <c r="M691" s="3">
        <v>0.1</v>
      </c>
      <c r="N691" t="s">
        <v>29</v>
      </c>
      <c r="O691" s="2">
        <v>159.88999999999999</v>
      </c>
      <c r="P691" s="2">
        <v>141.16999999999999</v>
      </c>
      <c r="Q691" s="2">
        <v>18.72</v>
      </c>
      <c r="R691">
        <v>1</v>
      </c>
      <c r="S691">
        <v>0</v>
      </c>
      <c r="T691">
        <v>3</v>
      </c>
      <c r="U691">
        <v>4</v>
      </c>
    </row>
    <row r="692" spans="1:21" ht="16.5" x14ac:dyDescent="0.3">
      <c r="A692" t="s">
        <v>770</v>
      </c>
      <c r="B692" s="1">
        <v>45408</v>
      </c>
      <c r="C692">
        <v>2024</v>
      </c>
      <c r="D692" t="s">
        <v>599</v>
      </c>
      <c r="E692" t="s">
        <v>600</v>
      </c>
      <c r="F692" t="s">
        <v>24</v>
      </c>
      <c r="G692" t="s">
        <v>49</v>
      </c>
      <c r="H692" t="s">
        <v>26</v>
      </c>
      <c r="I692" t="s">
        <v>27</v>
      </c>
      <c r="J692" t="s">
        <v>28</v>
      </c>
      <c r="K692">
        <v>1</v>
      </c>
      <c r="L692" s="2">
        <v>138.5</v>
      </c>
      <c r="M692" s="3">
        <v>0.1</v>
      </c>
      <c r="N692" t="s">
        <v>29</v>
      </c>
      <c r="O692" s="2">
        <v>124.65</v>
      </c>
      <c r="P692" s="2">
        <v>75.069999999999993</v>
      </c>
      <c r="Q692" s="2">
        <v>49.58</v>
      </c>
      <c r="R692">
        <v>1</v>
      </c>
      <c r="S692">
        <v>0</v>
      </c>
      <c r="T692">
        <v>3</v>
      </c>
      <c r="U692">
        <v>5</v>
      </c>
    </row>
    <row r="693" spans="1:21" ht="16.5" x14ac:dyDescent="0.3">
      <c r="A693" t="s">
        <v>771</v>
      </c>
      <c r="B693" s="1">
        <v>45408</v>
      </c>
      <c r="C693">
        <v>2024</v>
      </c>
      <c r="D693" t="s">
        <v>599</v>
      </c>
      <c r="E693" t="s">
        <v>600</v>
      </c>
      <c r="F693" t="s">
        <v>24</v>
      </c>
      <c r="G693" t="s">
        <v>51</v>
      </c>
      <c r="H693" t="s">
        <v>32</v>
      </c>
      <c r="I693" t="s">
        <v>27</v>
      </c>
      <c r="J693" t="s">
        <v>47</v>
      </c>
      <c r="K693">
        <v>2</v>
      </c>
      <c r="L693" s="2">
        <v>33.99</v>
      </c>
      <c r="M693" s="3">
        <v>0.2</v>
      </c>
      <c r="N693" t="s">
        <v>34</v>
      </c>
      <c r="O693" s="2">
        <v>54.38</v>
      </c>
      <c r="P693" s="2">
        <v>38.229999999999997</v>
      </c>
      <c r="Q693" s="2">
        <v>16.149999999999999</v>
      </c>
      <c r="R693">
        <v>1</v>
      </c>
      <c r="S693">
        <v>0</v>
      </c>
      <c r="T693">
        <v>2</v>
      </c>
      <c r="U693">
        <v>5</v>
      </c>
    </row>
    <row r="694" spans="1:21" ht="16.5" x14ac:dyDescent="0.3">
      <c r="A694" t="s">
        <v>772</v>
      </c>
      <c r="B694" s="1">
        <v>45408</v>
      </c>
      <c r="C694">
        <v>2024</v>
      </c>
      <c r="D694" t="s">
        <v>599</v>
      </c>
      <c r="E694" t="s">
        <v>600</v>
      </c>
      <c r="F694" t="s">
        <v>45</v>
      </c>
      <c r="G694" t="s">
        <v>49</v>
      </c>
      <c r="H694" t="s">
        <v>32</v>
      </c>
      <c r="I694" t="s">
        <v>27</v>
      </c>
      <c r="J694" t="s">
        <v>47</v>
      </c>
      <c r="K694">
        <v>1</v>
      </c>
      <c r="L694" s="2">
        <v>33.99</v>
      </c>
      <c r="M694" s="3">
        <v>0.2</v>
      </c>
      <c r="N694" t="s">
        <v>34</v>
      </c>
      <c r="O694" s="2">
        <v>27.19</v>
      </c>
      <c r="P694" s="2">
        <v>18.02</v>
      </c>
      <c r="Q694" s="2">
        <v>9.17</v>
      </c>
      <c r="R694">
        <v>1</v>
      </c>
      <c r="S694">
        <v>0</v>
      </c>
      <c r="T694">
        <v>3</v>
      </c>
      <c r="U694">
        <v>5</v>
      </c>
    </row>
    <row r="695" spans="1:21" ht="16.5" x14ac:dyDescent="0.3">
      <c r="A695" t="s">
        <v>773</v>
      </c>
      <c r="B695" s="1">
        <v>45408</v>
      </c>
      <c r="C695">
        <v>2024</v>
      </c>
      <c r="D695" t="s">
        <v>599</v>
      </c>
      <c r="E695" t="s">
        <v>600</v>
      </c>
      <c r="F695" t="s">
        <v>31</v>
      </c>
      <c r="G695" t="s">
        <v>25</v>
      </c>
      <c r="H695" t="s">
        <v>32</v>
      </c>
      <c r="I695" t="s">
        <v>67</v>
      </c>
      <c r="J695" t="s">
        <v>93</v>
      </c>
      <c r="K695">
        <v>1</v>
      </c>
      <c r="L695" s="2">
        <v>198.42</v>
      </c>
      <c r="M695" s="3">
        <v>0.1</v>
      </c>
      <c r="N695" t="s">
        <v>29</v>
      </c>
      <c r="O695" s="2">
        <v>178.58</v>
      </c>
      <c r="P695" s="2">
        <v>123.19</v>
      </c>
      <c r="Q695" s="2">
        <v>55.39</v>
      </c>
      <c r="R695">
        <v>1</v>
      </c>
      <c r="S695">
        <v>0</v>
      </c>
      <c r="T695">
        <v>5</v>
      </c>
      <c r="U695">
        <v>5</v>
      </c>
    </row>
    <row r="696" spans="1:21" ht="16.5" x14ac:dyDescent="0.3">
      <c r="A696" t="s">
        <v>774</v>
      </c>
      <c r="B696" s="1">
        <v>45408</v>
      </c>
      <c r="C696">
        <v>2024</v>
      </c>
      <c r="D696" t="s">
        <v>599</v>
      </c>
      <c r="E696" t="s">
        <v>600</v>
      </c>
      <c r="F696" t="s">
        <v>45</v>
      </c>
      <c r="G696" t="s">
        <v>51</v>
      </c>
      <c r="H696" t="s">
        <v>32</v>
      </c>
      <c r="I696" t="s">
        <v>67</v>
      </c>
      <c r="J696" t="s">
        <v>68</v>
      </c>
      <c r="K696">
        <v>1</v>
      </c>
      <c r="L696" s="2">
        <v>74.459999999999994</v>
      </c>
      <c r="M696" s="3">
        <v>0.05</v>
      </c>
      <c r="N696" t="s">
        <v>29</v>
      </c>
      <c r="O696" s="2">
        <v>70.739999999999995</v>
      </c>
      <c r="P696" s="2">
        <v>48.88</v>
      </c>
      <c r="Q696" s="2">
        <v>21.86</v>
      </c>
      <c r="R696">
        <v>1</v>
      </c>
      <c r="S696">
        <v>0</v>
      </c>
      <c r="T696">
        <v>2</v>
      </c>
      <c r="U696">
        <v>5</v>
      </c>
    </row>
    <row r="697" spans="1:21" ht="16.5" x14ac:dyDescent="0.3">
      <c r="A697" t="s">
        <v>775</v>
      </c>
      <c r="B697" s="1">
        <v>45408</v>
      </c>
      <c r="C697">
        <v>2024</v>
      </c>
      <c r="D697" t="s">
        <v>599</v>
      </c>
      <c r="E697" t="s">
        <v>600</v>
      </c>
      <c r="F697" t="s">
        <v>24</v>
      </c>
      <c r="G697" t="s">
        <v>65</v>
      </c>
      <c r="H697" t="s">
        <v>32</v>
      </c>
      <c r="I697" t="s">
        <v>84</v>
      </c>
      <c r="J697" t="s">
        <v>106</v>
      </c>
      <c r="K697">
        <v>2</v>
      </c>
      <c r="L697" s="2">
        <v>45.28</v>
      </c>
      <c r="M697" s="3">
        <v>0</v>
      </c>
      <c r="N697" t="s">
        <v>38</v>
      </c>
      <c r="O697" s="2">
        <v>90.56</v>
      </c>
      <c r="P697" s="2">
        <v>65.31</v>
      </c>
      <c r="Q697" s="2">
        <v>25.25</v>
      </c>
      <c r="R697">
        <v>1</v>
      </c>
      <c r="S697">
        <v>0</v>
      </c>
      <c r="T697">
        <v>5</v>
      </c>
      <c r="U697">
        <v>4</v>
      </c>
    </row>
    <row r="698" spans="1:21" ht="16.5" x14ac:dyDescent="0.3">
      <c r="A698" t="s">
        <v>776</v>
      </c>
      <c r="B698" s="1">
        <v>45409</v>
      </c>
      <c r="C698">
        <v>2024</v>
      </c>
      <c r="D698" t="s">
        <v>599</v>
      </c>
      <c r="E698" t="s">
        <v>600</v>
      </c>
      <c r="F698" t="s">
        <v>31</v>
      </c>
      <c r="G698" t="s">
        <v>46</v>
      </c>
      <c r="H698" t="s">
        <v>26</v>
      </c>
      <c r="I698" t="s">
        <v>70</v>
      </c>
      <c r="J698" t="s">
        <v>87</v>
      </c>
      <c r="K698">
        <v>3</v>
      </c>
      <c r="L698" s="2">
        <v>490.3</v>
      </c>
      <c r="M698" s="3">
        <v>0.25</v>
      </c>
      <c r="N698" t="s">
        <v>62</v>
      </c>
      <c r="O698" s="2">
        <v>1103.18</v>
      </c>
      <c r="P698" s="2">
        <v>1158.8900000000001</v>
      </c>
      <c r="Q698" s="2">
        <v>-55.71</v>
      </c>
      <c r="R698">
        <v>1</v>
      </c>
      <c r="S698">
        <v>0</v>
      </c>
      <c r="T698">
        <v>6</v>
      </c>
      <c r="U698">
        <v>3</v>
      </c>
    </row>
    <row r="699" spans="1:21" ht="16.5" x14ac:dyDescent="0.3">
      <c r="A699" t="s">
        <v>777</v>
      </c>
      <c r="B699" s="1">
        <v>45409</v>
      </c>
      <c r="C699">
        <v>2024</v>
      </c>
      <c r="D699" t="s">
        <v>599</v>
      </c>
      <c r="E699" t="s">
        <v>600</v>
      </c>
      <c r="F699" t="s">
        <v>31</v>
      </c>
      <c r="G699" t="s">
        <v>65</v>
      </c>
      <c r="H699" t="s">
        <v>32</v>
      </c>
      <c r="I699" t="s">
        <v>70</v>
      </c>
      <c r="J699" t="s">
        <v>162</v>
      </c>
      <c r="K699">
        <v>1</v>
      </c>
      <c r="L699" s="2">
        <v>636.09</v>
      </c>
      <c r="M699" s="3">
        <v>0.05</v>
      </c>
      <c r="N699" t="s">
        <v>29</v>
      </c>
      <c r="O699" s="2">
        <v>604.29</v>
      </c>
      <c r="P699" s="2">
        <v>474.99</v>
      </c>
      <c r="Q699" s="2">
        <v>129.30000000000001</v>
      </c>
      <c r="R699">
        <v>1</v>
      </c>
      <c r="S699">
        <v>0</v>
      </c>
      <c r="T699">
        <v>5</v>
      </c>
      <c r="U699">
        <v>4</v>
      </c>
    </row>
    <row r="700" spans="1:21" ht="16.5" x14ac:dyDescent="0.3">
      <c r="A700" t="s">
        <v>778</v>
      </c>
      <c r="B700" s="1">
        <v>45409</v>
      </c>
      <c r="C700">
        <v>2024</v>
      </c>
      <c r="D700" t="s">
        <v>599</v>
      </c>
      <c r="E700" t="s">
        <v>600</v>
      </c>
      <c r="F700" t="s">
        <v>45</v>
      </c>
      <c r="G700" t="s">
        <v>49</v>
      </c>
      <c r="H700" t="s">
        <v>32</v>
      </c>
      <c r="I700" t="s">
        <v>42</v>
      </c>
      <c r="J700" t="s">
        <v>43</v>
      </c>
      <c r="K700">
        <v>1</v>
      </c>
      <c r="L700" s="2">
        <v>154.66</v>
      </c>
      <c r="M700" s="3">
        <v>0.15</v>
      </c>
      <c r="N700" t="s">
        <v>34</v>
      </c>
      <c r="O700" s="2">
        <v>131.46</v>
      </c>
      <c r="P700" s="2">
        <v>103.2</v>
      </c>
      <c r="Q700" s="2">
        <v>28.26</v>
      </c>
      <c r="R700">
        <v>1</v>
      </c>
      <c r="S700">
        <v>0</v>
      </c>
      <c r="T700">
        <v>4</v>
      </c>
      <c r="U700">
        <v>5</v>
      </c>
    </row>
    <row r="701" spans="1:21" ht="16.5" x14ac:dyDescent="0.3">
      <c r="A701" t="s">
        <v>779</v>
      </c>
      <c r="B701" s="1">
        <v>45409</v>
      </c>
      <c r="C701">
        <v>2024</v>
      </c>
      <c r="D701" t="s">
        <v>599</v>
      </c>
      <c r="E701" t="s">
        <v>600</v>
      </c>
      <c r="F701" t="s">
        <v>24</v>
      </c>
      <c r="G701" t="s">
        <v>49</v>
      </c>
      <c r="H701" t="s">
        <v>26</v>
      </c>
      <c r="I701" t="s">
        <v>70</v>
      </c>
      <c r="J701" t="s">
        <v>87</v>
      </c>
      <c r="K701">
        <v>1</v>
      </c>
      <c r="L701" s="2">
        <v>490.3</v>
      </c>
      <c r="M701" s="3">
        <v>0.15</v>
      </c>
      <c r="N701" t="s">
        <v>34</v>
      </c>
      <c r="O701" s="2">
        <v>416.76</v>
      </c>
      <c r="P701" s="2">
        <v>376.82</v>
      </c>
      <c r="Q701" s="2">
        <v>39.94</v>
      </c>
      <c r="R701">
        <v>1</v>
      </c>
      <c r="S701">
        <v>0</v>
      </c>
      <c r="T701">
        <v>4</v>
      </c>
      <c r="U701">
        <v>4</v>
      </c>
    </row>
    <row r="702" spans="1:21" ht="16.5" x14ac:dyDescent="0.3">
      <c r="A702" t="s">
        <v>780</v>
      </c>
      <c r="B702" s="1">
        <v>45409</v>
      </c>
      <c r="C702">
        <v>2024</v>
      </c>
      <c r="D702" t="s">
        <v>599</v>
      </c>
      <c r="E702" t="s">
        <v>600</v>
      </c>
      <c r="F702" t="s">
        <v>31</v>
      </c>
      <c r="G702" t="s">
        <v>51</v>
      </c>
      <c r="H702" t="s">
        <v>26</v>
      </c>
      <c r="I702" t="s">
        <v>42</v>
      </c>
      <c r="J702" t="s">
        <v>43</v>
      </c>
      <c r="K702">
        <v>2</v>
      </c>
      <c r="L702" s="2">
        <v>154.66</v>
      </c>
      <c r="M702" s="3">
        <v>0.1</v>
      </c>
      <c r="N702" t="s">
        <v>29</v>
      </c>
      <c r="O702" s="2">
        <v>278.39</v>
      </c>
      <c r="P702" s="2">
        <v>201.34</v>
      </c>
      <c r="Q702" s="2">
        <v>77.05</v>
      </c>
      <c r="R702">
        <v>1</v>
      </c>
      <c r="S702">
        <v>0</v>
      </c>
      <c r="T702">
        <v>2</v>
      </c>
      <c r="U702">
        <v>5</v>
      </c>
    </row>
    <row r="703" spans="1:21" ht="16.5" x14ac:dyDescent="0.3">
      <c r="A703" t="s">
        <v>781</v>
      </c>
      <c r="B703" s="1">
        <v>45409</v>
      </c>
      <c r="C703">
        <v>2024</v>
      </c>
      <c r="D703" t="s">
        <v>599</v>
      </c>
      <c r="E703" t="s">
        <v>600</v>
      </c>
      <c r="F703" t="s">
        <v>45</v>
      </c>
      <c r="G703" t="s">
        <v>25</v>
      </c>
      <c r="H703" t="s">
        <v>26</v>
      </c>
      <c r="I703" t="s">
        <v>70</v>
      </c>
      <c r="J703" t="s">
        <v>82</v>
      </c>
      <c r="K703">
        <v>1</v>
      </c>
      <c r="L703" s="2">
        <v>508.8</v>
      </c>
      <c r="M703" s="3">
        <v>0.2</v>
      </c>
      <c r="N703" t="s">
        <v>34</v>
      </c>
      <c r="O703" s="2">
        <v>407.04</v>
      </c>
      <c r="P703" s="2">
        <v>375.07</v>
      </c>
      <c r="Q703" s="2">
        <v>31.97</v>
      </c>
      <c r="R703">
        <v>1</v>
      </c>
      <c r="S703">
        <v>0</v>
      </c>
      <c r="T703">
        <v>3</v>
      </c>
      <c r="U703">
        <v>4</v>
      </c>
    </row>
    <row r="704" spans="1:21" ht="16.5" x14ac:dyDescent="0.3">
      <c r="A704" t="s">
        <v>782</v>
      </c>
      <c r="B704" s="1">
        <v>45409</v>
      </c>
      <c r="C704">
        <v>2024</v>
      </c>
      <c r="D704" t="s">
        <v>599</v>
      </c>
      <c r="E704" t="s">
        <v>600</v>
      </c>
      <c r="F704" t="s">
        <v>24</v>
      </c>
      <c r="G704" t="s">
        <v>51</v>
      </c>
      <c r="H704" t="s">
        <v>32</v>
      </c>
      <c r="I704" t="s">
        <v>84</v>
      </c>
      <c r="J704" t="s">
        <v>223</v>
      </c>
      <c r="K704">
        <v>1</v>
      </c>
      <c r="L704" s="2">
        <v>16.97</v>
      </c>
      <c r="M704" s="3">
        <v>0</v>
      </c>
      <c r="N704" t="s">
        <v>38</v>
      </c>
      <c r="O704" s="2">
        <v>16.97</v>
      </c>
      <c r="P704" s="2">
        <v>11.99</v>
      </c>
      <c r="Q704" s="2">
        <v>4.9800000000000004</v>
      </c>
      <c r="R704">
        <v>1</v>
      </c>
      <c r="S704">
        <v>0</v>
      </c>
      <c r="T704">
        <v>2</v>
      </c>
      <c r="U704">
        <v>5</v>
      </c>
    </row>
    <row r="705" spans="1:21" ht="16.5" x14ac:dyDescent="0.3">
      <c r="A705" t="s">
        <v>783</v>
      </c>
      <c r="B705" s="1">
        <v>45409</v>
      </c>
      <c r="C705">
        <v>2024</v>
      </c>
      <c r="D705" t="s">
        <v>599</v>
      </c>
      <c r="E705" t="s">
        <v>600</v>
      </c>
      <c r="F705" t="s">
        <v>31</v>
      </c>
      <c r="G705" t="s">
        <v>25</v>
      </c>
      <c r="H705" t="s">
        <v>26</v>
      </c>
      <c r="I705" t="s">
        <v>70</v>
      </c>
      <c r="J705" t="s">
        <v>82</v>
      </c>
      <c r="K705">
        <v>1</v>
      </c>
      <c r="L705" s="2">
        <v>508.8</v>
      </c>
      <c r="M705" s="3">
        <v>0.05</v>
      </c>
      <c r="N705" t="s">
        <v>29</v>
      </c>
      <c r="O705" s="2">
        <v>483.36</v>
      </c>
      <c r="P705" s="2">
        <v>402.17</v>
      </c>
      <c r="Q705" s="2">
        <v>81.19</v>
      </c>
      <c r="R705">
        <v>1</v>
      </c>
      <c r="S705">
        <v>0</v>
      </c>
      <c r="T705">
        <v>3</v>
      </c>
      <c r="U705">
        <v>3</v>
      </c>
    </row>
    <row r="706" spans="1:21" ht="16.5" x14ac:dyDescent="0.3">
      <c r="A706" t="s">
        <v>784</v>
      </c>
      <c r="B706" s="1">
        <v>45410</v>
      </c>
      <c r="C706">
        <v>2024</v>
      </c>
      <c r="D706" t="s">
        <v>599</v>
      </c>
      <c r="E706" t="s">
        <v>600</v>
      </c>
      <c r="F706" t="s">
        <v>24</v>
      </c>
      <c r="G706" t="s">
        <v>25</v>
      </c>
      <c r="H706" t="s">
        <v>32</v>
      </c>
      <c r="I706" t="s">
        <v>42</v>
      </c>
      <c r="J706" t="s">
        <v>76</v>
      </c>
      <c r="K706">
        <v>3</v>
      </c>
      <c r="L706" s="2">
        <v>90.75</v>
      </c>
      <c r="M706" s="3">
        <v>0.15</v>
      </c>
      <c r="N706" t="s">
        <v>34</v>
      </c>
      <c r="O706" s="2">
        <v>231.41</v>
      </c>
      <c r="P706" s="2">
        <v>183.96</v>
      </c>
      <c r="Q706" s="2">
        <v>47.45</v>
      </c>
      <c r="R706">
        <v>1</v>
      </c>
      <c r="S706">
        <v>0</v>
      </c>
      <c r="T706">
        <v>4</v>
      </c>
      <c r="U706">
        <v>4</v>
      </c>
    </row>
    <row r="707" spans="1:21" ht="16.5" x14ac:dyDescent="0.3">
      <c r="A707" t="s">
        <v>785</v>
      </c>
      <c r="B707" s="1">
        <v>45410</v>
      </c>
      <c r="C707">
        <v>2024</v>
      </c>
      <c r="D707" t="s">
        <v>599</v>
      </c>
      <c r="E707" t="s">
        <v>600</v>
      </c>
      <c r="F707" t="s">
        <v>31</v>
      </c>
      <c r="G707" t="s">
        <v>51</v>
      </c>
      <c r="H707" t="s">
        <v>32</v>
      </c>
      <c r="I707" t="s">
        <v>67</v>
      </c>
      <c r="J707" t="s">
        <v>78</v>
      </c>
      <c r="K707">
        <v>4</v>
      </c>
      <c r="L707" s="2">
        <v>85.42</v>
      </c>
      <c r="M707" s="3">
        <v>0.1</v>
      </c>
      <c r="N707" t="s">
        <v>29</v>
      </c>
      <c r="O707" s="2">
        <v>307.51</v>
      </c>
      <c r="P707" s="2">
        <v>224.35</v>
      </c>
      <c r="Q707" s="2">
        <v>83.16</v>
      </c>
      <c r="R707">
        <v>1</v>
      </c>
      <c r="S707">
        <v>1</v>
      </c>
      <c r="T707">
        <v>2</v>
      </c>
      <c r="U707">
        <v>3</v>
      </c>
    </row>
    <row r="708" spans="1:21" ht="16.5" x14ac:dyDescent="0.3">
      <c r="A708" t="s">
        <v>786</v>
      </c>
      <c r="B708" s="1">
        <v>45410</v>
      </c>
      <c r="C708">
        <v>2024</v>
      </c>
      <c r="D708" t="s">
        <v>599</v>
      </c>
      <c r="E708" t="s">
        <v>600</v>
      </c>
      <c r="F708" t="s">
        <v>24</v>
      </c>
      <c r="G708" t="s">
        <v>49</v>
      </c>
      <c r="H708" t="s">
        <v>32</v>
      </c>
      <c r="I708" t="s">
        <v>67</v>
      </c>
      <c r="J708" t="s">
        <v>174</v>
      </c>
      <c r="K708">
        <v>1</v>
      </c>
      <c r="L708" s="2">
        <v>137.05000000000001</v>
      </c>
      <c r="M708" s="3">
        <v>0.1</v>
      </c>
      <c r="N708" t="s">
        <v>29</v>
      </c>
      <c r="O708" s="2">
        <v>123.35</v>
      </c>
      <c r="P708" s="2">
        <v>94.78</v>
      </c>
      <c r="Q708" s="2">
        <v>28.57</v>
      </c>
      <c r="R708">
        <v>1</v>
      </c>
      <c r="S708">
        <v>0</v>
      </c>
      <c r="T708">
        <v>3</v>
      </c>
      <c r="U708">
        <v>5</v>
      </c>
    </row>
    <row r="709" spans="1:21" ht="16.5" x14ac:dyDescent="0.3">
      <c r="A709" t="s">
        <v>787</v>
      </c>
      <c r="B709" s="1">
        <v>45410</v>
      </c>
      <c r="C709">
        <v>2024</v>
      </c>
      <c r="D709" t="s">
        <v>599</v>
      </c>
      <c r="E709" t="s">
        <v>600</v>
      </c>
      <c r="F709" t="s">
        <v>31</v>
      </c>
      <c r="G709" t="s">
        <v>49</v>
      </c>
      <c r="H709" t="s">
        <v>32</v>
      </c>
      <c r="I709" t="s">
        <v>36</v>
      </c>
      <c r="J709" t="s">
        <v>52</v>
      </c>
      <c r="K709">
        <v>3</v>
      </c>
      <c r="L709" s="2">
        <v>92.54</v>
      </c>
      <c r="M709" s="3">
        <v>0.05</v>
      </c>
      <c r="N709" t="s">
        <v>29</v>
      </c>
      <c r="O709" s="2">
        <v>263.74</v>
      </c>
      <c r="P709" s="2">
        <v>137.18</v>
      </c>
      <c r="Q709" s="2">
        <v>126.56</v>
      </c>
      <c r="R709">
        <v>1</v>
      </c>
      <c r="S709">
        <v>1</v>
      </c>
      <c r="T709">
        <v>5</v>
      </c>
      <c r="U709">
        <v>3</v>
      </c>
    </row>
    <row r="710" spans="1:21" ht="16.5" x14ac:dyDescent="0.3">
      <c r="A710" t="s">
        <v>788</v>
      </c>
      <c r="B710" s="1">
        <v>45410</v>
      </c>
      <c r="C710">
        <v>2024</v>
      </c>
      <c r="D710" t="s">
        <v>599</v>
      </c>
      <c r="E710" t="s">
        <v>600</v>
      </c>
      <c r="F710" t="s">
        <v>24</v>
      </c>
      <c r="G710" t="s">
        <v>65</v>
      </c>
      <c r="H710" t="s">
        <v>32</v>
      </c>
      <c r="I710" t="s">
        <v>67</v>
      </c>
      <c r="J710" t="s">
        <v>174</v>
      </c>
      <c r="K710">
        <v>3</v>
      </c>
      <c r="L710" s="2">
        <v>137.05000000000001</v>
      </c>
      <c r="M710" s="3">
        <v>0.05</v>
      </c>
      <c r="N710" t="s">
        <v>29</v>
      </c>
      <c r="O710" s="2">
        <v>390.59</v>
      </c>
      <c r="P710" s="2">
        <v>266.52</v>
      </c>
      <c r="Q710" s="2">
        <v>124.07</v>
      </c>
      <c r="R710">
        <v>1</v>
      </c>
      <c r="S710">
        <v>0</v>
      </c>
      <c r="T710">
        <v>7</v>
      </c>
      <c r="U710">
        <v>3</v>
      </c>
    </row>
    <row r="711" spans="1:21" ht="16.5" x14ac:dyDescent="0.3">
      <c r="A711" t="s">
        <v>789</v>
      </c>
      <c r="B711" s="1">
        <v>45410</v>
      </c>
      <c r="C711">
        <v>2024</v>
      </c>
      <c r="D711" t="s">
        <v>599</v>
      </c>
      <c r="E711" t="s">
        <v>600</v>
      </c>
      <c r="F711" t="s">
        <v>31</v>
      </c>
      <c r="G711" t="s">
        <v>25</v>
      </c>
      <c r="H711" t="s">
        <v>26</v>
      </c>
      <c r="I711" t="s">
        <v>27</v>
      </c>
      <c r="J711" t="s">
        <v>60</v>
      </c>
      <c r="K711">
        <v>1</v>
      </c>
      <c r="L711" s="2">
        <v>94.85</v>
      </c>
      <c r="M711" s="3">
        <v>0</v>
      </c>
      <c r="N711" t="s">
        <v>38</v>
      </c>
      <c r="O711" s="2">
        <v>94.85</v>
      </c>
      <c r="P711" s="2">
        <v>48.8</v>
      </c>
      <c r="Q711" s="2">
        <v>46.05</v>
      </c>
      <c r="R711">
        <v>1</v>
      </c>
      <c r="S711">
        <v>0</v>
      </c>
      <c r="T711">
        <v>5</v>
      </c>
      <c r="U711">
        <v>4</v>
      </c>
    </row>
    <row r="712" spans="1:21" ht="16.5" x14ac:dyDescent="0.3">
      <c r="A712" t="s">
        <v>790</v>
      </c>
      <c r="B712" s="1">
        <v>45411</v>
      </c>
      <c r="C712">
        <v>2024</v>
      </c>
      <c r="D712" t="s">
        <v>599</v>
      </c>
      <c r="E712" t="s">
        <v>600</v>
      </c>
      <c r="F712" t="s">
        <v>24</v>
      </c>
      <c r="G712" t="s">
        <v>25</v>
      </c>
      <c r="H712" t="s">
        <v>32</v>
      </c>
      <c r="I712" t="s">
        <v>70</v>
      </c>
      <c r="J712" t="s">
        <v>129</v>
      </c>
      <c r="K712">
        <v>1</v>
      </c>
      <c r="L712" s="2">
        <v>177.65</v>
      </c>
      <c r="M712" s="3">
        <v>0.1</v>
      </c>
      <c r="N712" t="s">
        <v>29</v>
      </c>
      <c r="O712" s="2">
        <v>159.88999999999999</v>
      </c>
      <c r="P712" s="2">
        <v>147</v>
      </c>
      <c r="Q712" s="2">
        <v>12.89</v>
      </c>
      <c r="R712">
        <v>1</v>
      </c>
      <c r="S712">
        <v>0</v>
      </c>
      <c r="T712">
        <v>5</v>
      </c>
      <c r="U712">
        <v>5</v>
      </c>
    </row>
    <row r="713" spans="1:21" ht="16.5" x14ac:dyDescent="0.3">
      <c r="A713" t="s">
        <v>791</v>
      </c>
      <c r="B713" s="1">
        <v>45411</v>
      </c>
      <c r="C713">
        <v>2024</v>
      </c>
      <c r="D713" t="s">
        <v>599</v>
      </c>
      <c r="E713" t="s">
        <v>600</v>
      </c>
      <c r="F713" t="s">
        <v>24</v>
      </c>
      <c r="G713" t="s">
        <v>25</v>
      </c>
      <c r="H713" t="s">
        <v>26</v>
      </c>
      <c r="I713" t="s">
        <v>70</v>
      </c>
      <c r="J713" t="s">
        <v>71</v>
      </c>
      <c r="K713">
        <v>1</v>
      </c>
      <c r="L713" s="2">
        <v>588.41</v>
      </c>
      <c r="M713" s="3">
        <v>0</v>
      </c>
      <c r="N713" t="s">
        <v>38</v>
      </c>
      <c r="O713" s="2">
        <v>588.41</v>
      </c>
      <c r="P713" s="2">
        <v>470.09</v>
      </c>
      <c r="Q713" s="2">
        <v>118.32</v>
      </c>
      <c r="R713">
        <v>1</v>
      </c>
      <c r="S713">
        <v>0</v>
      </c>
      <c r="T713">
        <v>3</v>
      </c>
      <c r="U713">
        <v>4</v>
      </c>
    </row>
    <row r="714" spans="1:21" ht="16.5" x14ac:dyDescent="0.3">
      <c r="A714" t="s">
        <v>792</v>
      </c>
      <c r="B714" s="1">
        <v>45411</v>
      </c>
      <c r="C714">
        <v>2024</v>
      </c>
      <c r="D714" t="s">
        <v>599</v>
      </c>
      <c r="E714" t="s">
        <v>600</v>
      </c>
      <c r="F714" t="s">
        <v>24</v>
      </c>
      <c r="G714" t="s">
        <v>51</v>
      </c>
      <c r="H714" t="s">
        <v>32</v>
      </c>
      <c r="I714" t="s">
        <v>27</v>
      </c>
      <c r="J714" t="s">
        <v>60</v>
      </c>
      <c r="K714">
        <v>2</v>
      </c>
      <c r="L714" s="2">
        <v>94.85</v>
      </c>
      <c r="M714" s="3">
        <v>0</v>
      </c>
      <c r="N714" t="s">
        <v>38</v>
      </c>
      <c r="O714" s="2">
        <v>189.7</v>
      </c>
      <c r="P714" s="2">
        <v>104.11</v>
      </c>
      <c r="Q714" s="2">
        <v>85.59</v>
      </c>
      <c r="R714">
        <v>1</v>
      </c>
      <c r="S714">
        <v>0</v>
      </c>
      <c r="T714">
        <v>4</v>
      </c>
      <c r="U714">
        <v>3</v>
      </c>
    </row>
    <row r="715" spans="1:21" ht="16.5" x14ac:dyDescent="0.3">
      <c r="A715" t="s">
        <v>793</v>
      </c>
      <c r="B715" s="1">
        <v>45411</v>
      </c>
      <c r="C715">
        <v>2024</v>
      </c>
      <c r="D715" t="s">
        <v>599</v>
      </c>
      <c r="E715" t="s">
        <v>600</v>
      </c>
      <c r="F715" t="s">
        <v>45</v>
      </c>
      <c r="G715" t="s">
        <v>46</v>
      </c>
      <c r="H715" t="s">
        <v>32</v>
      </c>
      <c r="I715" t="s">
        <v>27</v>
      </c>
      <c r="J715" t="s">
        <v>33</v>
      </c>
      <c r="K715">
        <v>2</v>
      </c>
      <c r="L715" s="2">
        <v>78.510000000000005</v>
      </c>
      <c r="M715" s="3">
        <v>0.1</v>
      </c>
      <c r="N715" t="s">
        <v>29</v>
      </c>
      <c r="O715" s="2">
        <v>141.32</v>
      </c>
      <c r="P715" s="2">
        <v>81.239999999999995</v>
      </c>
      <c r="Q715" s="2">
        <v>60.08</v>
      </c>
      <c r="R715">
        <v>1</v>
      </c>
      <c r="S715">
        <v>0</v>
      </c>
      <c r="T715">
        <v>5</v>
      </c>
      <c r="U715">
        <v>4</v>
      </c>
    </row>
    <row r="716" spans="1:21" ht="16.5" x14ac:dyDescent="0.3">
      <c r="A716" t="s">
        <v>794</v>
      </c>
      <c r="B716" s="1">
        <v>45411</v>
      </c>
      <c r="C716">
        <v>2024</v>
      </c>
      <c r="D716" t="s">
        <v>599</v>
      </c>
      <c r="E716" t="s">
        <v>600</v>
      </c>
      <c r="F716" t="s">
        <v>24</v>
      </c>
      <c r="G716" t="s">
        <v>49</v>
      </c>
      <c r="H716" t="s">
        <v>26</v>
      </c>
      <c r="I716" t="s">
        <v>42</v>
      </c>
      <c r="J716" t="s">
        <v>98</v>
      </c>
      <c r="K716">
        <v>3</v>
      </c>
      <c r="L716" s="2">
        <v>117.63</v>
      </c>
      <c r="M716" s="3">
        <v>0.2</v>
      </c>
      <c r="N716" t="s">
        <v>34</v>
      </c>
      <c r="O716" s="2">
        <v>282.31</v>
      </c>
      <c r="P716" s="2">
        <v>226.62</v>
      </c>
      <c r="Q716" s="2">
        <v>55.69</v>
      </c>
      <c r="R716">
        <v>1</v>
      </c>
      <c r="S716">
        <v>0</v>
      </c>
      <c r="T716">
        <v>4</v>
      </c>
      <c r="U716">
        <v>4</v>
      </c>
    </row>
    <row r="717" spans="1:21" ht="16.5" x14ac:dyDescent="0.3">
      <c r="A717" t="s">
        <v>795</v>
      </c>
      <c r="B717" s="1">
        <v>45411</v>
      </c>
      <c r="C717">
        <v>2024</v>
      </c>
      <c r="D717" t="s">
        <v>599</v>
      </c>
      <c r="E717" t="s">
        <v>600</v>
      </c>
      <c r="F717" t="s">
        <v>45</v>
      </c>
      <c r="G717" t="s">
        <v>51</v>
      </c>
      <c r="H717" t="s">
        <v>32</v>
      </c>
      <c r="I717" t="s">
        <v>27</v>
      </c>
      <c r="J717" t="s">
        <v>33</v>
      </c>
      <c r="K717">
        <v>1</v>
      </c>
      <c r="L717" s="2">
        <v>78.510000000000005</v>
      </c>
      <c r="M717" s="3">
        <v>0.2</v>
      </c>
      <c r="N717" t="s">
        <v>34</v>
      </c>
      <c r="O717" s="2">
        <v>62.81</v>
      </c>
      <c r="P717" s="2">
        <v>43.96</v>
      </c>
      <c r="Q717" s="2">
        <v>18.850000000000001</v>
      </c>
      <c r="R717">
        <v>1</v>
      </c>
      <c r="S717">
        <v>0</v>
      </c>
      <c r="T717">
        <v>2</v>
      </c>
      <c r="U717">
        <v>4</v>
      </c>
    </row>
    <row r="718" spans="1:21" ht="16.5" x14ac:dyDescent="0.3">
      <c r="A718" t="s">
        <v>796</v>
      </c>
      <c r="B718" s="1">
        <v>45411</v>
      </c>
      <c r="C718">
        <v>2024</v>
      </c>
      <c r="D718" t="s">
        <v>599</v>
      </c>
      <c r="E718" t="s">
        <v>600</v>
      </c>
      <c r="F718" t="s">
        <v>31</v>
      </c>
      <c r="G718" t="s">
        <v>65</v>
      </c>
      <c r="H718" t="s">
        <v>26</v>
      </c>
      <c r="I718" t="s">
        <v>36</v>
      </c>
      <c r="J718" t="s">
        <v>56</v>
      </c>
      <c r="K718">
        <v>1</v>
      </c>
      <c r="L718" s="2">
        <v>74.3</v>
      </c>
      <c r="M718" s="3">
        <v>0.1</v>
      </c>
      <c r="N718" t="s">
        <v>29</v>
      </c>
      <c r="O718" s="2">
        <v>66.87</v>
      </c>
      <c r="P718" s="2">
        <v>35.07</v>
      </c>
      <c r="Q718" s="2">
        <v>31.8</v>
      </c>
      <c r="R718">
        <v>1</v>
      </c>
      <c r="S718">
        <v>0</v>
      </c>
      <c r="T718">
        <v>6</v>
      </c>
      <c r="U718">
        <v>3</v>
      </c>
    </row>
    <row r="719" spans="1:21" ht="16.5" x14ac:dyDescent="0.3">
      <c r="A719" t="s">
        <v>797</v>
      </c>
      <c r="B719" s="1">
        <v>45412</v>
      </c>
      <c r="C719">
        <v>2024</v>
      </c>
      <c r="D719" t="s">
        <v>599</v>
      </c>
      <c r="E719" t="s">
        <v>600</v>
      </c>
      <c r="F719" t="s">
        <v>45</v>
      </c>
      <c r="G719" t="s">
        <v>51</v>
      </c>
      <c r="H719" t="s">
        <v>26</v>
      </c>
      <c r="I719" t="s">
        <v>27</v>
      </c>
      <c r="J719" t="s">
        <v>28</v>
      </c>
      <c r="K719">
        <v>1</v>
      </c>
      <c r="L719" s="2">
        <v>138.5</v>
      </c>
      <c r="M719" s="3">
        <v>0</v>
      </c>
      <c r="N719" t="s">
        <v>38</v>
      </c>
      <c r="O719" s="2">
        <v>138.5</v>
      </c>
      <c r="P719" s="2">
        <v>78.09</v>
      </c>
      <c r="Q719" s="2">
        <v>60.41</v>
      </c>
      <c r="R719">
        <v>1</v>
      </c>
      <c r="S719">
        <v>0</v>
      </c>
      <c r="T719">
        <v>2</v>
      </c>
      <c r="U719">
        <v>5</v>
      </c>
    </row>
    <row r="720" spans="1:21" ht="16.5" x14ac:dyDescent="0.3">
      <c r="A720" t="s">
        <v>798</v>
      </c>
      <c r="B720" s="1">
        <v>45412</v>
      </c>
      <c r="C720">
        <v>2024</v>
      </c>
      <c r="D720" t="s">
        <v>599</v>
      </c>
      <c r="E720" t="s">
        <v>600</v>
      </c>
      <c r="F720" t="s">
        <v>31</v>
      </c>
      <c r="G720" t="s">
        <v>25</v>
      </c>
      <c r="H720" t="s">
        <v>26</v>
      </c>
      <c r="I720" t="s">
        <v>42</v>
      </c>
      <c r="J720" t="s">
        <v>89</v>
      </c>
      <c r="K720">
        <v>1</v>
      </c>
      <c r="L720" s="2">
        <v>68.349999999999994</v>
      </c>
      <c r="M720" s="3">
        <v>0.05</v>
      </c>
      <c r="N720" t="s">
        <v>29</v>
      </c>
      <c r="O720" s="2">
        <v>64.930000000000007</v>
      </c>
      <c r="P720" s="2">
        <v>44.85</v>
      </c>
      <c r="Q720" s="2">
        <v>20.079999999999998</v>
      </c>
      <c r="R720">
        <v>1</v>
      </c>
      <c r="S720">
        <v>0</v>
      </c>
      <c r="T720">
        <v>5</v>
      </c>
      <c r="U720">
        <v>4</v>
      </c>
    </row>
    <row r="721" spans="1:21" ht="16.5" x14ac:dyDescent="0.3">
      <c r="A721" t="s">
        <v>799</v>
      </c>
      <c r="B721" s="1">
        <v>45412</v>
      </c>
      <c r="C721">
        <v>2024</v>
      </c>
      <c r="D721" t="s">
        <v>599</v>
      </c>
      <c r="E721" t="s">
        <v>600</v>
      </c>
      <c r="F721" t="s">
        <v>31</v>
      </c>
      <c r="G721" t="s">
        <v>49</v>
      </c>
      <c r="H721" t="s">
        <v>32</v>
      </c>
      <c r="I721" t="s">
        <v>70</v>
      </c>
      <c r="J721" t="s">
        <v>252</v>
      </c>
      <c r="K721">
        <v>1</v>
      </c>
      <c r="L721" s="2">
        <v>216.08</v>
      </c>
      <c r="M721" s="3">
        <v>0</v>
      </c>
      <c r="N721" t="s">
        <v>38</v>
      </c>
      <c r="O721" s="2">
        <v>216.08</v>
      </c>
      <c r="P721" s="2">
        <v>171.15</v>
      </c>
      <c r="Q721" s="2">
        <v>44.93</v>
      </c>
      <c r="R721">
        <v>1</v>
      </c>
      <c r="S721">
        <v>0</v>
      </c>
      <c r="T721">
        <v>5</v>
      </c>
      <c r="U721">
        <v>5</v>
      </c>
    </row>
    <row r="722" spans="1:21" ht="16.5" x14ac:dyDescent="0.3">
      <c r="A722" t="s">
        <v>800</v>
      </c>
      <c r="B722" s="1">
        <v>45412</v>
      </c>
      <c r="C722">
        <v>2024</v>
      </c>
      <c r="D722" t="s">
        <v>599</v>
      </c>
      <c r="E722" t="s">
        <v>600</v>
      </c>
      <c r="F722" t="s">
        <v>31</v>
      </c>
      <c r="G722" t="s">
        <v>49</v>
      </c>
      <c r="H722" t="s">
        <v>32</v>
      </c>
      <c r="I722" t="s">
        <v>27</v>
      </c>
      <c r="J722" t="s">
        <v>110</v>
      </c>
      <c r="K722">
        <v>2</v>
      </c>
      <c r="L722" s="2">
        <v>19.41</v>
      </c>
      <c r="M722" s="3">
        <v>0.05</v>
      </c>
      <c r="N722" t="s">
        <v>29</v>
      </c>
      <c r="O722" s="2">
        <v>36.880000000000003</v>
      </c>
      <c r="P722" s="2">
        <v>21.91</v>
      </c>
      <c r="Q722" s="2">
        <v>14.97</v>
      </c>
      <c r="R722">
        <v>1</v>
      </c>
      <c r="S722">
        <v>0</v>
      </c>
      <c r="T722">
        <v>3</v>
      </c>
      <c r="U722">
        <v>5</v>
      </c>
    </row>
    <row r="723" spans="1:21" ht="16.5" x14ac:dyDescent="0.3">
      <c r="A723" t="s">
        <v>801</v>
      </c>
      <c r="B723" s="1">
        <v>45413</v>
      </c>
      <c r="C723">
        <v>2024</v>
      </c>
      <c r="D723" t="s">
        <v>599</v>
      </c>
      <c r="E723" t="s">
        <v>802</v>
      </c>
      <c r="F723" t="s">
        <v>24</v>
      </c>
      <c r="G723" t="s">
        <v>51</v>
      </c>
      <c r="H723" t="s">
        <v>32</v>
      </c>
      <c r="I723" t="s">
        <v>27</v>
      </c>
      <c r="J723" t="s">
        <v>40</v>
      </c>
      <c r="K723">
        <v>1</v>
      </c>
      <c r="L723" s="2">
        <v>104.94</v>
      </c>
      <c r="M723" s="3">
        <v>0</v>
      </c>
      <c r="N723" t="s">
        <v>38</v>
      </c>
      <c r="O723" s="2">
        <v>104.94</v>
      </c>
      <c r="P723" s="2">
        <v>55.4</v>
      </c>
      <c r="Q723" s="2">
        <v>49.54</v>
      </c>
      <c r="R723">
        <v>1</v>
      </c>
      <c r="S723">
        <v>1</v>
      </c>
      <c r="T723">
        <v>3</v>
      </c>
      <c r="U723">
        <v>2</v>
      </c>
    </row>
    <row r="724" spans="1:21" ht="16.5" x14ac:dyDescent="0.3">
      <c r="A724" t="s">
        <v>803</v>
      </c>
      <c r="B724" s="1">
        <v>45413</v>
      </c>
      <c r="C724">
        <v>2024</v>
      </c>
      <c r="D724" t="s">
        <v>599</v>
      </c>
      <c r="E724" t="s">
        <v>802</v>
      </c>
      <c r="F724" t="s">
        <v>31</v>
      </c>
      <c r="G724" t="s">
        <v>51</v>
      </c>
      <c r="H724" t="s">
        <v>26</v>
      </c>
      <c r="I724" t="s">
        <v>70</v>
      </c>
      <c r="J724" t="s">
        <v>129</v>
      </c>
      <c r="K724">
        <v>1</v>
      </c>
      <c r="L724" s="2">
        <v>177.65</v>
      </c>
      <c r="M724" s="3">
        <v>0</v>
      </c>
      <c r="N724" t="s">
        <v>38</v>
      </c>
      <c r="O724" s="2">
        <v>177.65</v>
      </c>
      <c r="P724" s="2">
        <v>140.26</v>
      </c>
      <c r="Q724" s="2">
        <v>37.39</v>
      </c>
      <c r="R724">
        <v>1</v>
      </c>
      <c r="S724">
        <v>0</v>
      </c>
      <c r="T724">
        <v>3</v>
      </c>
      <c r="U724">
        <v>5</v>
      </c>
    </row>
    <row r="725" spans="1:21" ht="16.5" x14ac:dyDescent="0.3">
      <c r="A725" t="s">
        <v>804</v>
      </c>
      <c r="B725" s="1">
        <v>45413</v>
      </c>
      <c r="C725">
        <v>2024</v>
      </c>
      <c r="D725" t="s">
        <v>599</v>
      </c>
      <c r="E725" t="s">
        <v>802</v>
      </c>
      <c r="F725" t="s">
        <v>24</v>
      </c>
      <c r="G725" t="s">
        <v>51</v>
      </c>
      <c r="H725" t="s">
        <v>32</v>
      </c>
      <c r="I725" t="s">
        <v>67</v>
      </c>
      <c r="J725" t="s">
        <v>68</v>
      </c>
      <c r="K725">
        <v>1</v>
      </c>
      <c r="L725" s="2">
        <v>74.459999999999994</v>
      </c>
      <c r="M725" s="3">
        <v>0.05</v>
      </c>
      <c r="N725" t="s">
        <v>29</v>
      </c>
      <c r="O725" s="2">
        <v>70.739999999999995</v>
      </c>
      <c r="P725" s="2">
        <v>47.03</v>
      </c>
      <c r="Q725" s="2">
        <v>23.71</v>
      </c>
      <c r="R725">
        <v>1</v>
      </c>
      <c r="S725">
        <v>0</v>
      </c>
      <c r="T725">
        <v>2</v>
      </c>
      <c r="U725">
        <v>4</v>
      </c>
    </row>
    <row r="726" spans="1:21" ht="16.5" x14ac:dyDescent="0.3">
      <c r="A726" t="s">
        <v>805</v>
      </c>
      <c r="B726" s="1">
        <v>45413</v>
      </c>
      <c r="C726">
        <v>2024</v>
      </c>
      <c r="D726" t="s">
        <v>599</v>
      </c>
      <c r="E726" t="s">
        <v>802</v>
      </c>
      <c r="F726" t="s">
        <v>45</v>
      </c>
      <c r="G726" t="s">
        <v>25</v>
      </c>
      <c r="H726" t="s">
        <v>26</v>
      </c>
      <c r="I726" t="s">
        <v>42</v>
      </c>
      <c r="J726" t="s">
        <v>89</v>
      </c>
      <c r="K726">
        <v>2</v>
      </c>
      <c r="L726" s="2">
        <v>68.349999999999994</v>
      </c>
      <c r="M726" s="3">
        <v>0.05</v>
      </c>
      <c r="N726" t="s">
        <v>29</v>
      </c>
      <c r="O726" s="2">
        <v>129.86000000000001</v>
      </c>
      <c r="P726" s="2">
        <v>90.82</v>
      </c>
      <c r="Q726" s="2">
        <v>39.04</v>
      </c>
      <c r="R726">
        <v>1</v>
      </c>
      <c r="S726">
        <v>0</v>
      </c>
      <c r="T726">
        <v>6</v>
      </c>
      <c r="U726">
        <v>5</v>
      </c>
    </row>
    <row r="727" spans="1:21" ht="16.5" x14ac:dyDescent="0.3">
      <c r="A727" t="s">
        <v>806</v>
      </c>
      <c r="B727" s="1">
        <v>45413</v>
      </c>
      <c r="C727">
        <v>2024</v>
      </c>
      <c r="D727" t="s">
        <v>599</v>
      </c>
      <c r="E727" t="s">
        <v>802</v>
      </c>
      <c r="F727" t="s">
        <v>24</v>
      </c>
      <c r="G727" t="s">
        <v>49</v>
      </c>
      <c r="H727" t="s">
        <v>32</v>
      </c>
      <c r="I727" t="s">
        <v>36</v>
      </c>
      <c r="J727" t="s">
        <v>126</v>
      </c>
      <c r="K727">
        <v>1</v>
      </c>
      <c r="L727" s="2">
        <v>54.56</v>
      </c>
      <c r="M727" s="3">
        <v>0</v>
      </c>
      <c r="N727" t="s">
        <v>38</v>
      </c>
      <c r="O727" s="2">
        <v>54.56</v>
      </c>
      <c r="P727" s="2">
        <v>24.85</v>
      </c>
      <c r="Q727" s="2">
        <v>29.71</v>
      </c>
      <c r="R727">
        <v>1</v>
      </c>
      <c r="S727">
        <v>0</v>
      </c>
      <c r="T727">
        <v>4</v>
      </c>
      <c r="U727">
        <v>5</v>
      </c>
    </row>
    <row r="728" spans="1:21" ht="16.5" x14ac:dyDescent="0.3">
      <c r="A728" t="s">
        <v>807</v>
      </c>
      <c r="B728" s="1">
        <v>45414</v>
      </c>
      <c r="C728">
        <v>2024</v>
      </c>
      <c r="D728" t="s">
        <v>599</v>
      </c>
      <c r="E728" t="s">
        <v>802</v>
      </c>
      <c r="F728" t="s">
        <v>24</v>
      </c>
      <c r="G728" t="s">
        <v>25</v>
      </c>
      <c r="H728" t="s">
        <v>32</v>
      </c>
      <c r="I728" t="s">
        <v>42</v>
      </c>
      <c r="J728" t="s">
        <v>58</v>
      </c>
      <c r="K728">
        <v>1</v>
      </c>
      <c r="L728" s="2">
        <v>233.81</v>
      </c>
      <c r="M728" s="3">
        <v>0</v>
      </c>
      <c r="N728" t="s">
        <v>38</v>
      </c>
      <c r="O728" s="2">
        <v>233.81</v>
      </c>
      <c r="P728" s="2">
        <v>159.33000000000001</v>
      </c>
      <c r="Q728" s="2">
        <v>74.48</v>
      </c>
      <c r="R728">
        <v>1</v>
      </c>
      <c r="S728">
        <v>0</v>
      </c>
      <c r="T728">
        <v>4</v>
      </c>
      <c r="U728">
        <v>4</v>
      </c>
    </row>
    <row r="729" spans="1:21" ht="16.5" x14ac:dyDescent="0.3">
      <c r="A729" t="s">
        <v>808</v>
      </c>
      <c r="B729" s="1">
        <v>45414</v>
      </c>
      <c r="C729">
        <v>2024</v>
      </c>
      <c r="D729" t="s">
        <v>599</v>
      </c>
      <c r="E729" t="s">
        <v>802</v>
      </c>
      <c r="F729" t="s">
        <v>24</v>
      </c>
      <c r="G729" t="s">
        <v>25</v>
      </c>
      <c r="H729" t="s">
        <v>32</v>
      </c>
      <c r="I729" t="s">
        <v>27</v>
      </c>
      <c r="J729" t="s">
        <v>47</v>
      </c>
      <c r="K729">
        <v>1</v>
      </c>
      <c r="L729" s="2">
        <v>33.99</v>
      </c>
      <c r="M729" s="3">
        <v>0</v>
      </c>
      <c r="N729" t="s">
        <v>38</v>
      </c>
      <c r="O729" s="2">
        <v>33.99</v>
      </c>
      <c r="P729" s="2">
        <v>18.39</v>
      </c>
      <c r="Q729" s="2">
        <v>15.6</v>
      </c>
      <c r="R729">
        <v>1</v>
      </c>
      <c r="S729">
        <v>0</v>
      </c>
      <c r="T729">
        <v>5</v>
      </c>
      <c r="U729">
        <v>4</v>
      </c>
    </row>
    <row r="730" spans="1:21" ht="16.5" x14ac:dyDescent="0.3">
      <c r="A730" t="s">
        <v>809</v>
      </c>
      <c r="B730" s="1">
        <v>45414</v>
      </c>
      <c r="C730">
        <v>2024</v>
      </c>
      <c r="D730" t="s">
        <v>599</v>
      </c>
      <c r="E730" t="s">
        <v>802</v>
      </c>
      <c r="F730" t="s">
        <v>31</v>
      </c>
      <c r="G730" t="s">
        <v>25</v>
      </c>
      <c r="H730" t="s">
        <v>26</v>
      </c>
      <c r="I730" t="s">
        <v>67</v>
      </c>
      <c r="J730" t="s">
        <v>103</v>
      </c>
      <c r="K730">
        <v>1</v>
      </c>
      <c r="L730" s="2">
        <v>83.06</v>
      </c>
      <c r="M730" s="3">
        <v>0</v>
      </c>
      <c r="N730" t="s">
        <v>38</v>
      </c>
      <c r="O730" s="2">
        <v>83.06</v>
      </c>
      <c r="P730" s="2">
        <v>57.77</v>
      </c>
      <c r="Q730" s="2">
        <v>25.29</v>
      </c>
      <c r="R730">
        <v>1</v>
      </c>
      <c r="S730">
        <v>0</v>
      </c>
      <c r="T730">
        <v>5</v>
      </c>
      <c r="U730">
        <v>5</v>
      </c>
    </row>
    <row r="731" spans="1:21" ht="16.5" x14ac:dyDescent="0.3">
      <c r="A731" t="s">
        <v>810</v>
      </c>
      <c r="B731" s="1">
        <v>45414</v>
      </c>
      <c r="C731">
        <v>2024</v>
      </c>
      <c r="D731" t="s">
        <v>599</v>
      </c>
      <c r="E731" t="s">
        <v>802</v>
      </c>
      <c r="F731" t="s">
        <v>24</v>
      </c>
      <c r="G731" t="s">
        <v>65</v>
      </c>
      <c r="H731" t="s">
        <v>26</v>
      </c>
      <c r="I731" t="s">
        <v>42</v>
      </c>
      <c r="J731" t="s">
        <v>76</v>
      </c>
      <c r="K731">
        <v>2</v>
      </c>
      <c r="L731" s="2">
        <v>90.75</v>
      </c>
      <c r="M731" s="3">
        <v>0</v>
      </c>
      <c r="N731" t="s">
        <v>38</v>
      </c>
      <c r="O731" s="2">
        <v>181.5</v>
      </c>
      <c r="P731" s="2">
        <v>118.39</v>
      </c>
      <c r="Q731" s="2">
        <v>63.11</v>
      </c>
      <c r="R731">
        <v>1</v>
      </c>
      <c r="S731">
        <v>0</v>
      </c>
      <c r="T731">
        <v>8</v>
      </c>
      <c r="U731">
        <v>4</v>
      </c>
    </row>
    <row r="732" spans="1:21" ht="16.5" x14ac:dyDescent="0.3">
      <c r="A732" t="s">
        <v>811</v>
      </c>
      <c r="B732" s="1">
        <v>45414</v>
      </c>
      <c r="C732">
        <v>2024</v>
      </c>
      <c r="D732" t="s">
        <v>599</v>
      </c>
      <c r="E732" t="s">
        <v>802</v>
      </c>
      <c r="F732" t="s">
        <v>24</v>
      </c>
      <c r="G732" t="s">
        <v>49</v>
      </c>
      <c r="H732" t="s">
        <v>32</v>
      </c>
      <c r="I732" t="s">
        <v>27</v>
      </c>
      <c r="J732" t="s">
        <v>60</v>
      </c>
      <c r="K732">
        <v>1</v>
      </c>
      <c r="L732" s="2">
        <v>94.85</v>
      </c>
      <c r="M732" s="3">
        <v>0.1</v>
      </c>
      <c r="N732" t="s">
        <v>29</v>
      </c>
      <c r="O732" s="2">
        <v>85.36</v>
      </c>
      <c r="P732" s="2">
        <v>50.91</v>
      </c>
      <c r="Q732" s="2">
        <v>34.450000000000003</v>
      </c>
      <c r="R732">
        <v>1</v>
      </c>
      <c r="S732">
        <v>0</v>
      </c>
      <c r="T732">
        <v>4</v>
      </c>
      <c r="U732">
        <v>4</v>
      </c>
    </row>
    <row r="733" spans="1:21" ht="16.5" x14ac:dyDescent="0.3">
      <c r="A733" t="s">
        <v>812</v>
      </c>
      <c r="B733" s="1">
        <v>45414</v>
      </c>
      <c r="C733">
        <v>2024</v>
      </c>
      <c r="D733" t="s">
        <v>599</v>
      </c>
      <c r="E733" t="s">
        <v>802</v>
      </c>
      <c r="F733" t="s">
        <v>31</v>
      </c>
      <c r="G733" t="s">
        <v>51</v>
      </c>
      <c r="H733" t="s">
        <v>32</v>
      </c>
      <c r="I733" t="s">
        <v>27</v>
      </c>
      <c r="J733" t="s">
        <v>47</v>
      </c>
      <c r="K733">
        <v>2</v>
      </c>
      <c r="L733" s="2">
        <v>33.99</v>
      </c>
      <c r="M733" s="3">
        <v>0.1</v>
      </c>
      <c r="N733" t="s">
        <v>29</v>
      </c>
      <c r="O733" s="2">
        <v>61.18</v>
      </c>
      <c r="P733" s="2">
        <v>37.71</v>
      </c>
      <c r="Q733" s="2">
        <v>23.47</v>
      </c>
      <c r="R733">
        <v>1</v>
      </c>
      <c r="S733">
        <v>0</v>
      </c>
      <c r="T733">
        <v>2</v>
      </c>
      <c r="U733">
        <v>3</v>
      </c>
    </row>
    <row r="734" spans="1:21" ht="16.5" x14ac:dyDescent="0.3">
      <c r="A734" t="s">
        <v>813</v>
      </c>
      <c r="B734" s="1">
        <v>45415</v>
      </c>
      <c r="C734">
        <v>2024</v>
      </c>
      <c r="D734" t="s">
        <v>599</v>
      </c>
      <c r="E734" t="s">
        <v>802</v>
      </c>
      <c r="F734" t="s">
        <v>31</v>
      </c>
      <c r="G734" t="s">
        <v>51</v>
      </c>
      <c r="H734" t="s">
        <v>26</v>
      </c>
      <c r="I734" t="s">
        <v>42</v>
      </c>
      <c r="J734" t="s">
        <v>54</v>
      </c>
      <c r="K734">
        <v>2</v>
      </c>
      <c r="L734" s="2">
        <v>148.05000000000001</v>
      </c>
      <c r="M734" s="3">
        <v>0</v>
      </c>
      <c r="N734" t="s">
        <v>38</v>
      </c>
      <c r="O734" s="2">
        <v>296.10000000000002</v>
      </c>
      <c r="P734" s="2">
        <v>190.64</v>
      </c>
      <c r="Q734" s="2">
        <v>105.46</v>
      </c>
      <c r="R734">
        <v>1</v>
      </c>
      <c r="S734">
        <v>0</v>
      </c>
      <c r="T734">
        <v>2</v>
      </c>
      <c r="U734">
        <v>4</v>
      </c>
    </row>
    <row r="735" spans="1:21" ht="16.5" x14ac:dyDescent="0.3">
      <c r="A735" t="s">
        <v>814</v>
      </c>
      <c r="B735" s="1">
        <v>45415</v>
      </c>
      <c r="C735">
        <v>2024</v>
      </c>
      <c r="D735" t="s">
        <v>599</v>
      </c>
      <c r="E735" t="s">
        <v>802</v>
      </c>
      <c r="F735" t="s">
        <v>45</v>
      </c>
      <c r="G735" t="s">
        <v>51</v>
      </c>
      <c r="H735" t="s">
        <v>32</v>
      </c>
      <c r="I735" t="s">
        <v>70</v>
      </c>
      <c r="J735" t="s">
        <v>129</v>
      </c>
      <c r="K735">
        <v>2</v>
      </c>
      <c r="L735" s="2">
        <v>177.65</v>
      </c>
      <c r="M735" s="3">
        <v>0</v>
      </c>
      <c r="N735" t="s">
        <v>38</v>
      </c>
      <c r="O735" s="2">
        <v>355.3</v>
      </c>
      <c r="P735" s="2">
        <v>285.61</v>
      </c>
      <c r="Q735" s="2">
        <v>69.69</v>
      </c>
      <c r="R735">
        <v>1</v>
      </c>
      <c r="S735">
        <v>0</v>
      </c>
      <c r="T735">
        <v>5</v>
      </c>
      <c r="U735">
        <v>5</v>
      </c>
    </row>
    <row r="736" spans="1:21" ht="16.5" x14ac:dyDescent="0.3">
      <c r="A736" t="s">
        <v>815</v>
      </c>
      <c r="B736" s="1">
        <v>45415</v>
      </c>
      <c r="C736">
        <v>2024</v>
      </c>
      <c r="D736" t="s">
        <v>599</v>
      </c>
      <c r="E736" t="s">
        <v>802</v>
      </c>
      <c r="F736" t="s">
        <v>24</v>
      </c>
      <c r="G736" t="s">
        <v>51</v>
      </c>
      <c r="H736" t="s">
        <v>26</v>
      </c>
      <c r="I736" t="s">
        <v>67</v>
      </c>
      <c r="J736" t="s">
        <v>103</v>
      </c>
      <c r="K736">
        <v>2</v>
      </c>
      <c r="L736" s="2">
        <v>83.06</v>
      </c>
      <c r="M736" s="3">
        <v>0</v>
      </c>
      <c r="N736" t="s">
        <v>38</v>
      </c>
      <c r="O736" s="2">
        <v>166.12</v>
      </c>
      <c r="P736" s="2">
        <v>114.89</v>
      </c>
      <c r="Q736" s="2">
        <v>51.23</v>
      </c>
      <c r="R736">
        <v>1</v>
      </c>
      <c r="S736">
        <v>0</v>
      </c>
      <c r="T736">
        <v>4</v>
      </c>
      <c r="U736">
        <v>5</v>
      </c>
    </row>
    <row r="737" spans="1:21" ht="16.5" x14ac:dyDescent="0.3">
      <c r="A737" t="s">
        <v>816</v>
      </c>
      <c r="B737" s="1">
        <v>45415</v>
      </c>
      <c r="C737">
        <v>2024</v>
      </c>
      <c r="D737" t="s">
        <v>599</v>
      </c>
      <c r="E737" t="s">
        <v>802</v>
      </c>
      <c r="F737" t="s">
        <v>31</v>
      </c>
      <c r="G737" t="s">
        <v>49</v>
      </c>
      <c r="H737" t="s">
        <v>26</v>
      </c>
      <c r="I737" t="s">
        <v>36</v>
      </c>
      <c r="J737" t="s">
        <v>37</v>
      </c>
      <c r="K737">
        <v>1</v>
      </c>
      <c r="L737" s="2">
        <v>33.18</v>
      </c>
      <c r="M737" s="3">
        <v>0.05</v>
      </c>
      <c r="N737" t="s">
        <v>29</v>
      </c>
      <c r="O737" s="2">
        <v>31.52</v>
      </c>
      <c r="P737" s="2">
        <v>15.8</v>
      </c>
      <c r="Q737" s="2">
        <v>15.72</v>
      </c>
      <c r="R737">
        <v>1</v>
      </c>
      <c r="S737">
        <v>0</v>
      </c>
      <c r="T737">
        <v>5</v>
      </c>
      <c r="U737">
        <v>5</v>
      </c>
    </row>
    <row r="738" spans="1:21" ht="16.5" x14ac:dyDescent="0.3">
      <c r="A738" t="s">
        <v>817</v>
      </c>
      <c r="B738" s="1">
        <v>45416</v>
      </c>
      <c r="C738">
        <v>2024</v>
      </c>
      <c r="D738" t="s">
        <v>599</v>
      </c>
      <c r="E738" t="s">
        <v>802</v>
      </c>
      <c r="F738" t="s">
        <v>45</v>
      </c>
      <c r="G738" t="s">
        <v>49</v>
      </c>
      <c r="H738" t="s">
        <v>26</v>
      </c>
      <c r="I738" t="s">
        <v>27</v>
      </c>
      <c r="J738" t="s">
        <v>47</v>
      </c>
      <c r="K738">
        <v>2</v>
      </c>
      <c r="L738" s="2">
        <v>33.99</v>
      </c>
      <c r="M738" s="3">
        <v>0.2</v>
      </c>
      <c r="N738" t="s">
        <v>34</v>
      </c>
      <c r="O738" s="2">
        <v>54.38</v>
      </c>
      <c r="P738" s="2">
        <v>36.270000000000003</v>
      </c>
      <c r="Q738" s="2">
        <v>18.11</v>
      </c>
      <c r="R738">
        <v>1</v>
      </c>
      <c r="S738">
        <v>0</v>
      </c>
      <c r="T738">
        <v>4</v>
      </c>
      <c r="U738">
        <v>5</v>
      </c>
    </row>
    <row r="739" spans="1:21" ht="16.5" x14ac:dyDescent="0.3">
      <c r="A739" t="s">
        <v>818</v>
      </c>
      <c r="B739" s="1">
        <v>45416</v>
      </c>
      <c r="C739">
        <v>2024</v>
      </c>
      <c r="D739" t="s">
        <v>599</v>
      </c>
      <c r="E739" t="s">
        <v>802</v>
      </c>
      <c r="F739" t="s">
        <v>24</v>
      </c>
      <c r="G739" t="s">
        <v>51</v>
      </c>
      <c r="H739" t="s">
        <v>32</v>
      </c>
      <c r="I739" t="s">
        <v>67</v>
      </c>
      <c r="J739" t="s">
        <v>174</v>
      </c>
      <c r="K739">
        <v>1</v>
      </c>
      <c r="L739" s="2">
        <v>137.05000000000001</v>
      </c>
      <c r="M739" s="3">
        <v>0.05</v>
      </c>
      <c r="N739" t="s">
        <v>29</v>
      </c>
      <c r="O739" s="2">
        <v>130.19999999999999</v>
      </c>
      <c r="P739" s="2">
        <v>95.63</v>
      </c>
      <c r="Q739" s="2">
        <v>34.57</v>
      </c>
      <c r="R739">
        <v>1</v>
      </c>
      <c r="S739">
        <v>0</v>
      </c>
      <c r="T739">
        <v>3</v>
      </c>
      <c r="U739">
        <v>5</v>
      </c>
    </row>
    <row r="740" spans="1:21" ht="16.5" x14ac:dyDescent="0.3">
      <c r="A740" t="s">
        <v>819</v>
      </c>
      <c r="B740" s="1">
        <v>45416</v>
      </c>
      <c r="C740">
        <v>2024</v>
      </c>
      <c r="D740" t="s">
        <v>599</v>
      </c>
      <c r="E740" t="s">
        <v>802</v>
      </c>
      <c r="F740" t="s">
        <v>24</v>
      </c>
      <c r="G740" t="s">
        <v>25</v>
      </c>
      <c r="H740" t="s">
        <v>32</v>
      </c>
      <c r="I740" t="s">
        <v>42</v>
      </c>
      <c r="J740" t="s">
        <v>43</v>
      </c>
      <c r="K740">
        <v>2</v>
      </c>
      <c r="L740" s="2">
        <v>154.66</v>
      </c>
      <c r="M740" s="3">
        <v>0</v>
      </c>
      <c r="N740" t="s">
        <v>38</v>
      </c>
      <c r="O740" s="2">
        <v>309.32</v>
      </c>
      <c r="P740" s="2">
        <v>201.49</v>
      </c>
      <c r="Q740" s="2">
        <v>107.83</v>
      </c>
      <c r="R740">
        <v>1</v>
      </c>
      <c r="S740">
        <v>0</v>
      </c>
      <c r="T740">
        <v>4</v>
      </c>
      <c r="U740">
        <v>4</v>
      </c>
    </row>
    <row r="741" spans="1:21" ht="16.5" x14ac:dyDescent="0.3">
      <c r="A741" t="s">
        <v>820</v>
      </c>
      <c r="B741" s="1">
        <v>45416</v>
      </c>
      <c r="C741">
        <v>2024</v>
      </c>
      <c r="D741" t="s">
        <v>599</v>
      </c>
      <c r="E741" t="s">
        <v>802</v>
      </c>
      <c r="F741" t="s">
        <v>24</v>
      </c>
      <c r="G741" t="s">
        <v>49</v>
      </c>
      <c r="H741" t="s">
        <v>32</v>
      </c>
      <c r="I741" t="s">
        <v>36</v>
      </c>
      <c r="J741" t="s">
        <v>115</v>
      </c>
      <c r="K741">
        <v>1</v>
      </c>
      <c r="L741" s="2">
        <v>33.479999999999997</v>
      </c>
      <c r="M741" s="3">
        <v>0</v>
      </c>
      <c r="N741" t="s">
        <v>38</v>
      </c>
      <c r="O741" s="2">
        <v>33.479999999999997</v>
      </c>
      <c r="P741" s="2">
        <v>16.66</v>
      </c>
      <c r="Q741" s="2">
        <v>16.82</v>
      </c>
      <c r="R741">
        <v>1</v>
      </c>
      <c r="S741">
        <v>0</v>
      </c>
      <c r="T741">
        <v>3</v>
      </c>
      <c r="U741">
        <v>5</v>
      </c>
    </row>
    <row r="742" spans="1:21" ht="16.5" x14ac:dyDescent="0.3">
      <c r="A742" t="s">
        <v>821</v>
      </c>
      <c r="B742" s="1">
        <v>45416</v>
      </c>
      <c r="C742">
        <v>2024</v>
      </c>
      <c r="D742" t="s">
        <v>599</v>
      </c>
      <c r="E742" t="s">
        <v>802</v>
      </c>
      <c r="F742" t="s">
        <v>24</v>
      </c>
      <c r="G742" t="s">
        <v>51</v>
      </c>
      <c r="H742" t="s">
        <v>26</v>
      </c>
      <c r="I742" t="s">
        <v>42</v>
      </c>
      <c r="J742" t="s">
        <v>76</v>
      </c>
      <c r="K742">
        <v>3</v>
      </c>
      <c r="L742" s="2">
        <v>90.75</v>
      </c>
      <c r="M742" s="3">
        <v>0</v>
      </c>
      <c r="N742" t="s">
        <v>38</v>
      </c>
      <c r="O742" s="2">
        <v>272.25</v>
      </c>
      <c r="P742" s="2">
        <v>190.93</v>
      </c>
      <c r="Q742" s="2">
        <v>81.319999999999993</v>
      </c>
      <c r="R742">
        <v>1</v>
      </c>
      <c r="S742">
        <v>0</v>
      </c>
      <c r="T742">
        <v>3</v>
      </c>
      <c r="U742">
        <v>4</v>
      </c>
    </row>
    <row r="743" spans="1:21" ht="16.5" x14ac:dyDescent="0.3">
      <c r="A743" t="s">
        <v>822</v>
      </c>
      <c r="B743" s="1">
        <v>45416</v>
      </c>
      <c r="C743">
        <v>2024</v>
      </c>
      <c r="D743" t="s">
        <v>599</v>
      </c>
      <c r="E743" t="s">
        <v>802</v>
      </c>
      <c r="F743" t="s">
        <v>24</v>
      </c>
      <c r="G743" t="s">
        <v>65</v>
      </c>
      <c r="H743" t="s">
        <v>26</v>
      </c>
      <c r="I743" t="s">
        <v>67</v>
      </c>
      <c r="J743" t="s">
        <v>103</v>
      </c>
      <c r="K743">
        <v>1</v>
      </c>
      <c r="L743" s="2">
        <v>83.06</v>
      </c>
      <c r="M743" s="3">
        <v>0</v>
      </c>
      <c r="N743" t="s">
        <v>38</v>
      </c>
      <c r="O743" s="2">
        <v>83.06</v>
      </c>
      <c r="P743" s="2">
        <v>53.76</v>
      </c>
      <c r="Q743" s="2">
        <v>29.3</v>
      </c>
      <c r="R743">
        <v>1</v>
      </c>
      <c r="S743">
        <v>0</v>
      </c>
      <c r="T743">
        <v>7</v>
      </c>
      <c r="U743">
        <v>4</v>
      </c>
    </row>
    <row r="744" spans="1:21" ht="16.5" x14ac:dyDescent="0.3">
      <c r="A744" t="s">
        <v>823</v>
      </c>
      <c r="B744" s="1">
        <v>45416</v>
      </c>
      <c r="C744">
        <v>2024</v>
      </c>
      <c r="D744" t="s">
        <v>599</v>
      </c>
      <c r="E744" t="s">
        <v>802</v>
      </c>
      <c r="F744" t="s">
        <v>31</v>
      </c>
      <c r="G744" t="s">
        <v>46</v>
      </c>
      <c r="H744" t="s">
        <v>26</v>
      </c>
      <c r="I744" t="s">
        <v>42</v>
      </c>
      <c r="J744" t="s">
        <v>43</v>
      </c>
      <c r="K744">
        <v>2</v>
      </c>
      <c r="L744" s="2">
        <v>154.66</v>
      </c>
      <c r="M744" s="3">
        <v>0.2</v>
      </c>
      <c r="N744" t="s">
        <v>34</v>
      </c>
      <c r="O744" s="2">
        <v>247.46</v>
      </c>
      <c r="P744" s="2">
        <v>210.06</v>
      </c>
      <c r="Q744" s="2">
        <v>37.4</v>
      </c>
      <c r="R744">
        <v>1</v>
      </c>
      <c r="S744">
        <v>0</v>
      </c>
      <c r="T744">
        <v>6</v>
      </c>
      <c r="U744">
        <v>4</v>
      </c>
    </row>
    <row r="745" spans="1:21" ht="16.5" x14ac:dyDescent="0.3">
      <c r="A745" t="s">
        <v>824</v>
      </c>
      <c r="B745" s="1">
        <v>45416</v>
      </c>
      <c r="C745">
        <v>2024</v>
      </c>
      <c r="D745" t="s">
        <v>599</v>
      </c>
      <c r="E745" t="s">
        <v>802</v>
      </c>
      <c r="F745" t="s">
        <v>31</v>
      </c>
      <c r="G745" t="s">
        <v>25</v>
      </c>
      <c r="H745" t="s">
        <v>26</v>
      </c>
      <c r="I745" t="s">
        <v>67</v>
      </c>
      <c r="J745" t="s">
        <v>68</v>
      </c>
      <c r="K745">
        <v>1</v>
      </c>
      <c r="L745" s="2">
        <v>74.459999999999994</v>
      </c>
      <c r="M745" s="3">
        <v>0</v>
      </c>
      <c r="N745" t="s">
        <v>38</v>
      </c>
      <c r="O745" s="2">
        <v>74.459999999999994</v>
      </c>
      <c r="P745" s="2">
        <v>50.46</v>
      </c>
      <c r="Q745" s="2">
        <v>24</v>
      </c>
      <c r="R745">
        <v>1</v>
      </c>
      <c r="S745">
        <v>0</v>
      </c>
      <c r="T745">
        <v>3</v>
      </c>
      <c r="U745">
        <v>5</v>
      </c>
    </row>
    <row r="746" spans="1:21" ht="16.5" x14ac:dyDescent="0.3">
      <c r="A746" t="s">
        <v>825</v>
      </c>
      <c r="B746" s="1">
        <v>45417</v>
      </c>
      <c r="C746">
        <v>2024</v>
      </c>
      <c r="D746" t="s">
        <v>599</v>
      </c>
      <c r="E746" t="s">
        <v>802</v>
      </c>
      <c r="F746" t="s">
        <v>24</v>
      </c>
      <c r="G746" t="s">
        <v>49</v>
      </c>
      <c r="H746" t="s">
        <v>32</v>
      </c>
      <c r="I746" t="s">
        <v>70</v>
      </c>
      <c r="J746" t="s">
        <v>129</v>
      </c>
      <c r="K746">
        <v>2</v>
      </c>
      <c r="L746" s="2">
        <v>177.65</v>
      </c>
      <c r="M746" s="3">
        <v>0.1</v>
      </c>
      <c r="N746" t="s">
        <v>29</v>
      </c>
      <c r="O746" s="2">
        <v>319.77</v>
      </c>
      <c r="P746" s="2">
        <v>305.86</v>
      </c>
      <c r="Q746" s="2">
        <v>13.91</v>
      </c>
      <c r="R746">
        <v>1</v>
      </c>
      <c r="S746">
        <v>0</v>
      </c>
      <c r="T746">
        <v>3</v>
      </c>
      <c r="U746">
        <v>5</v>
      </c>
    </row>
    <row r="747" spans="1:21" ht="16.5" x14ac:dyDescent="0.3">
      <c r="A747" t="s">
        <v>826</v>
      </c>
      <c r="B747" s="1">
        <v>45417</v>
      </c>
      <c r="C747">
        <v>2024</v>
      </c>
      <c r="D747" t="s">
        <v>599</v>
      </c>
      <c r="E747" t="s">
        <v>802</v>
      </c>
      <c r="F747" t="s">
        <v>31</v>
      </c>
      <c r="G747" t="s">
        <v>65</v>
      </c>
      <c r="H747" t="s">
        <v>32</v>
      </c>
      <c r="I747" t="s">
        <v>67</v>
      </c>
      <c r="J747" t="s">
        <v>93</v>
      </c>
      <c r="K747">
        <v>2</v>
      </c>
      <c r="L747" s="2">
        <v>198.42</v>
      </c>
      <c r="M747" s="3">
        <v>0.2</v>
      </c>
      <c r="N747" t="s">
        <v>34</v>
      </c>
      <c r="O747" s="2">
        <v>317.47000000000003</v>
      </c>
      <c r="P747" s="2">
        <v>279.48</v>
      </c>
      <c r="Q747" s="2">
        <v>37.99</v>
      </c>
      <c r="R747">
        <v>1</v>
      </c>
      <c r="S747">
        <v>0</v>
      </c>
      <c r="T747">
        <v>5</v>
      </c>
      <c r="U747">
        <v>5</v>
      </c>
    </row>
    <row r="748" spans="1:21" ht="16.5" x14ac:dyDescent="0.3">
      <c r="A748" t="s">
        <v>827</v>
      </c>
      <c r="B748" s="1">
        <v>45417</v>
      </c>
      <c r="C748">
        <v>2024</v>
      </c>
      <c r="D748" t="s">
        <v>599</v>
      </c>
      <c r="E748" t="s">
        <v>802</v>
      </c>
      <c r="F748" t="s">
        <v>24</v>
      </c>
      <c r="G748" t="s">
        <v>65</v>
      </c>
      <c r="H748" t="s">
        <v>32</v>
      </c>
      <c r="I748" t="s">
        <v>27</v>
      </c>
      <c r="J748" t="s">
        <v>33</v>
      </c>
      <c r="K748">
        <v>1</v>
      </c>
      <c r="L748" s="2">
        <v>78.510000000000005</v>
      </c>
      <c r="M748" s="3">
        <v>0.15</v>
      </c>
      <c r="N748" t="s">
        <v>34</v>
      </c>
      <c r="O748" s="2">
        <v>66.73</v>
      </c>
      <c r="P748" s="2">
        <v>42.05</v>
      </c>
      <c r="Q748" s="2">
        <v>24.68</v>
      </c>
      <c r="R748">
        <v>1</v>
      </c>
      <c r="S748">
        <v>0</v>
      </c>
      <c r="T748">
        <v>5</v>
      </c>
      <c r="U748">
        <v>4</v>
      </c>
    </row>
    <row r="749" spans="1:21" ht="16.5" x14ac:dyDescent="0.3">
      <c r="A749" t="s">
        <v>828</v>
      </c>
      <c r="B749" s="1">
        <v>45417</v>
      </c>
      <c r="C749">
        <v>2024</v>
      </c>
      <c r="D749" t="s">
        <v>599</v>
      </c>
      <c r="E749" t="s">
        <v>802</v>
      </c>
      <c r="F749" t="s">
        <v>45</v>
      </c>
      <c r="G749" t="s">
        <v>25</v>
      </c>
      <c r="H749" t="s">
        <v>26</v>
      </c>
      <c r="I749" t="s">
        <v>70</v>
      </c>
      <c r="J749" t="s">
        <v>71</v>
      </c>
      <c r="K749">
        <v>2</v>
      </c>
      <c r="L749" s="2">
        <v>588.41</v>
      </c>
      <c r="M749" s="3">
        <v>0.2</v>
      </c>
      <c r="N749" t="s">
        <v>34</v>
      </c>
      <c r="O749" s="2">
        <v>941.46</v>
      </c>
      <c r="P749" s="2">
        <v>855.46</v>
      </c>
      <c r="Q749" s="2">
        <v>86</v>
      </c>
      <c r="R749">
        <v>1</v>
      </c>
      <c r="S749">
        <v>0</v>
      </c>
      <c r="T749">
        <v>4</v>
      </c>
      <c r="U749">
        <v>4</v>
      </c>
    </row>
    <row r="750" spans="1:21" ht="16.5" x14ac:dyDescent="0.3">
      <c r="A750" t="s">
        <v>829</v>
      </c>
      <c r="B750" s="1">
        <v>45417</v>
      </c>
      <c r="C750">
        <v>2024</v>
      </c>
      <c r="D750" t="s">
        <v>599</v>
      </c>
      <c r="E750" t="s">
        <v>802</v>
      </c>
      <c r="F750" t="s">
        <v>24</v>
      </c>
      <c r="G750" t="s">
        <v>49</v>
      </c>
      <c r="H750" t="s">
        <v>26</v>
      </c>
      <c r="I750" t="s">
        <v>27</v>
      </c>
      <c r="J750" t="s">
        <v>28</v>
      </c>
      <c r="K750">
        <v>1</v>
      </c>
      <c r="L750" s="2">
        <v>138.5</v>
      </c>
      <c r="M750" s="3">
        <v>0.1</v>
      </c>
      <c r="N750" t="s">
        <v>29</v>
      </c>
      <c r="O750" s="2">
        <v>124.65</v>
      </c>
      <c r="P750" s="2">
        <v>75.67</v>
      </c>
      <c r="Q750" s="2">
        <v>48.98</v>
      </c>
      <c r="R750">
        <v>1</v>
      </c>
      <c r="S750">
        <v>1</v>
      </c>
      <c r="T750">
        <v>6</v>
      </c>
      <c r="U750">
        <v>3</v>
      </c>
    </row>
    <row r="751" spans="1:21" ht="16.5" x14ac:dyDescent="0.3">
      <c r="A751" t="s">
        <v>830</v>
      </c>
      <c r="B751" s="1">
        <v>45417</v>
      </c>
      <c r="C751">
        <v>2024</v>
      </c>
      <c r="D751" t="s">
        <v>599</v>
      </c>
      <c r="E751" t="s">
        <v>802</v>
      </c>
      <c r="F751" t="s">
        <v>24</v>
      </c>
      <c r="G751" t="s">
        <v>51</v>
      </c>
      <c r="H751" t="s">
        <v>32</v>
      </c>
      <c r="I751" t="s">
        <v>36</v>
      </c>
      <c r="J751" t="s">
        <v>115</v>
      </c>
      <c r="K751">
        <v>1</v>
      </c>
      <c r="L751" s="2">
        <v>33.479999999999997</v>
      </c>
      <c r="M751" s="3">
        <v>0.1</v>
      </c>
      <c r="N751" t="s">
        <v>29</v>
      </c>
      <c r="O751" s="2">
        <v>30.13</v>
      </c>
      <c r="P751" s="2">
        <v>15.31</v>
      </c>
      <c r="Q751" s="2">
        <v>14.82</v>
      </c>
      <c r="R751">
        <v>1</v>
      </c>
      <c r="S751">
        <v>0</v>
      </c>
      <c r="T751">
        <v>3</v>
      </c>
      <c r="U751">
        <v>4</v>
      </c>
    </row>
    <row r="752" spans="1:21" ht="16.5" x14ac:dyDescent="0.3">
      <c r="A752" t="s">
        <v>831</v>
      </c>
      <c r="B752" s="1">
        <v>45418</v>
      </c>
      <c r="C752">
        <v>2024</v>
      </c>
      <c r="D752" t="s">
        <v>599</v>
      </c>
      <c r="E752" t="s">
        <v>802</v>
      </c>
      <c r="F752" t="s">
        <v>31</v>
      </c>
      <c r="G752" t="s">
        <v>51</v>
      </c>
      <c r="H752" t="s">
        <v>32</v>
      </c>
      <c r="I752" t="s">
        <v>70</v>
      </c>
      <c r="J752" t="s">
        <v>129</v>
      </c>
      <c r="K752">
        <v>1</v>
      </c>
      <c r="L752" s="2">
        <v>177.65</v>
      </c>
      <c r="M752" s="3">
        <v>0</v>
      </c>
      <c r="N752" t="s">
        <v>38</v>
      </c>
      <c r="O752" s="2">
        <v>177.65</v>
      </c>
      <c r="P752" s="2">
        <v>143.44</v>
      </c>
      <c r="Q752" s="2">
        <v>34.21</v>
      </c>
      <c r="R752">
        <v>1</v>
      </c>
      <c r="S752">
        <v>1</v>
      </c>
      <c r="T752">
        <v>2</v>
      </c>
      <c r="U752">
        <v>3</v>
      </c>
    </row>
    <row r="753" spans="1:21" ht="16.5" x14ac:dyDescent="0.3">
      <c r="A753" t="s">
        <v>832</v>
      </c>
      <c r="B753" s="1">
        <v>45418</v>
      </c>
      <c r="C753">
        <v>2024</v>
      </c>
      <c r="D753" t="s">
        <v>599</v>
      </c>
      <c r="E753" t="s">
        <v>802</v>
      </c>
      <c r="F753" t="s">
        <v>24</v>
      </c>
      <c r="G753" t="s">
        <v>25</v>
      </c>
      <c r="H753" t="s">
        <v>32</v>
      </c>
      <c r="I753" t="s">
        <v>70</v>
      </c>
      <c r="J753" t="s">
        <v>129</v>
      </c>
      <c r="K753">
        <v>1</v>
      </c>
      <c r="L753" s="2">
        <v>177.65</v>
      </c>
      <c r="M753" s="3">
        <v>0.05</v>
      </c>
      <c r="N753" t="s">
        <v>29</v>
      </c>
      <c r="O753" s="2">
        <v>168.77</v>
      </c>
      <c r="P753" s="2">
        <v>144.65</v>
      </c>
      <c r="Q753" s="2">
        <v>24.12</v>
      </c>
      <c r="R753">
        <v>1</v>
      </c>
      <c r="S753">
        <v>0</v>
      </c>
      <c r="T753">
        <v>3</v>
      </c>
      <c r="U753">
        <v>5</v>
      </c>
    </row>
    <row r="754" spans="1:21" ht="16.5" x14ac:dyDescent="0.3">
      <c r="A754" t="s">
        <v>833</v>
      </c>
      <c r="B754" s="1">
        <v>45418</v>
      </c>
      <c r="C754">
        <v>2024</v>
      </c>
      <c r="D754" t="s">
        <v>599</v>
      </c>
      <c r="E754" t="s">
        <v>802</v>
      </c>
      <c r="F754" t="s">
        <v>45</v>
      </c>
      <c r="G754" t="s">
        <v>49</v>
      </c>
      <c r="H754" t="s">
        <v>32</v>
      </c>
      <c r="I754" t="s">
        <v>27</v>
      </c>
      <c r="J754" t="s">
        <v>60</v>
      </c>
      <c r="K754">
        <v>1</v>
      </c>
      <c r="L754" s="2">
        <v>94.85</v>
      </c>
      <c r="M754" s="3">
        <v>0</v>
      </c>
      <c r="N754" t="s">
        <v>38</v>
      </c>
      <c r="O754" s="2">
        <v>94.85</v>
      </c>
      <c r="P754" s="2">
        <v>54.47</v>
      </c>
      <c r="Q754" s="2">
        <v>40.380000000000003</v>
      </c>
      <c r="R754">
        <v>1</v>
      </c>
      <c r="S754">
        <v>0</v>
      </c>
      <c r="T754">
        <v>4</v>
      </c>
      <c r="U754">
        <v>4</v>
      </c>
    </row>
    <row r="755" spans="1:21" ht="16.5" x14ac:dyDescent="0.3">
      <c r="A755" t="s">
        <v>834</v>
      </c>
      <c r="B755" s="1">
        <v>45418</v>
      </c>
      <c r="C755">
        <v>2024</v>
      </c>
      <c r="D755" t="s">
        <v>599</v>
      </c>
      <c r="E755" t="s">
        <v>802</v>
      </c>
      <c r="F755" t="s">
        <v>24</v>
      </c>
      <c r="G755" t="s">
        <v>49</v>
      </c>
      <c r="H755" t="s">
        <v>32</v>
      </c>
      <c r="I755" t="s">
        <v>84</v>
      </c>
      <c r="J755" t="s">
        <v>106</v>
      </c>
      <c r="K755">
        <v>1</v>
      </c>
      <c r="L755" s="2">
        <v>45.28</v>
      </c>
      <c r="M755" s="3">
        <v>0</v>
      </c>
      <c r="N755" t="s">
        <v>38</v>
      </c>
      <c r="O755" s="2">
        <v>45.28</v>
      </c>
      <c r="P755" s="2">
        <v>31.21</v>
      </c>
      <c r="Q755" s="2">
        <v>14.07</v>
      </c>
      <c r="R755">
        <v>1</v>
      </c>
      <c r="S755">
        <v>0</v>
      </c>
      <c r="T755">
        <v>3</v>
      </c>
      <c r="U755">
        <v>5</v>
      </c>
    </row>
    <row r="756" spans="1:21" ht="16.5" x14ac:dyDescent="0.3">
      <c r="A756" t="s">
        <v>835</v>
      </c>
      <c r="B756" s="1">
        <v>45419</v>
      </c>
      <c r="C756">
        <v>2024</v>
      </c>
      <c r="D756" t="s">
        <v>599</v>
      </c>
      <c r="E756" t="s">
        <v>802</v>
      </c>
      <c r="F756" t="s">
        <v>24</v>
      </c>
      <c r="G756" t="s">
        <v>46</v>
      </c>
      <c r="H756" t="s">
        <v>26</v>
      </c>
      <c r="I756" t="s">
        <v>27</v>
      </c>
      <c r="J756" t="s">
        <v>47</v>
      </c>
      <c r="K756">
        <v>1</v>
      </c>
      <c r="L756" s="2">
        <v>33.99</v>
      </c>
      <c r="M756" s="3">
        <v>0</v>
      </c>
      <c r="N756" t="s">
        <v>38</v>
      </c>
      <c r="O756" s="2">
        <v>33.99</v>
      </c>
      <c r="P756" s="2">
        <v>18.309999999999999</v>
      </c>
      <c r="Q756" s="2">
        <v>15.68</v>
      </c>
      <c r="R756">
        <v>1</v>
      </c>
      <c r="S756">
        <v>0</v>
      </c>
      <c r="T756">
        <v>6</v>
      </c>
      <c r="U756">
        <v>3</v>
      </c>
    </row>
    <row r="757" spans="1:21" ht="16.5" x14ac:dyDescent="0.3">
      <c r="A757" t="s">
        <v>836</v>
      </c>
      <c r="B757" s="1">
        <v>45419</v>
      </c>
      <c r="C757">
        <v>2024</v>
      </c>
      <c r="D757" t="s">
        <v>599</v>
      </c>
      <c r="E757" t="s">
        <v>802</v>
      </c>
      <c r="F757" t="s">
        <v>24</v>
      </c>
      <c r="G757" t="s">
        <v>51</v>
      </c>
      <c r="H757" t="s">
        <v>32</v>
      </c>
      <c r="I757" t="s">
        <v>36</v>
      </c>
      <c r="J757" t="s">
        <v>126</v>
      </c>
      <c r="K757">
        <v>1</v>
      </c>
      <c r="L757" s="2">
        <v>54.56</v>
      </c>
      <c r="M757" s="3">
        <v>0.15</v>
      </c>
      <c r="N757" t="s">
        <v>34</v>
      </c>
      <c r="O757" s="2">
        <v>46.38</v>
      </c>
      <c r="P757" s="2">
        <v>26.49</v>
      </c>
      <c r="Q757" s="2">
        <v>19.89</v>
      </c>
      <c r="R757">
        <v>1</v>
      </c>
      <c r="S757">
        <v>0</v>
      </c>
      <c r="T757">
        <v>4</v>
      </c>
      <c r="U757">
        <v>5</v>
      </c>
    </row>
    <row r="758" spans="1:21" ht="16.5" x14ac:dyDescent="0.3">
      <c r="A758" t="s">
        <v>837</v>
      </c>
      <c r="B758" s="1">
        <v>45419</v>
      </c>
      <c r="C758">
        <v>2024</v>
      </c>
      <c r="D758" t="s">
        <v>599</v>
      </c>
      <c r="E758" t="s">
        <v>802</v>
      </c>
      <c r="F758" t="s">
        <v>24</v>
      </c>
      <c r="G758" t="s">
        <v>65</v>
      </c>
      <c r="H758" t="s">
        <v>26</v>
      </c>
      <c r="I758" t="s">
        <v>42</v>
      </c>
      <c r="J758" t="s">
        <v>43</v>
      </c>
      <c r="K758">
        <v>1</v>
      </c>
      <c r="L758" s="2">
        <v>154.66</v>
      </c>
      <c r="M758" s="3">
        <v>0.15</v>
      </c>
      <c r="N758" t="s">
        <v>34</v>
      </c>
      <c r="O758" s="2">
        <v>131.46</v>
      </c>
      <c r="P758" s="2">
        <v>104.76</v>
      </c>
      <c r="Q758" s="2">
        <v>26.7</v>
      </c>
      <c r="R758">
        <v>1</v>
      </c>
      <c r="S758">
        <v>0</v>
      </c>
      <c r="T758">
        <v>6</v>
      </c>
      <c r="U758">
        <v>3</v>
      </c>
    </row>
    <row r="759" spans="1:21" ht="16.5" x14ac:dyDescent="0.3">
      <c r="A759" t="s">
        <v>838</v>
      </c>
      <c r="B759" s="1">
        <v>45419</v>
      </c>
      <c r="C759">
        <v>2024</v>
      </c>
      <c r="D759" t="s">
        <v>599</v>
      </c>
      <c r="E759" t="s">
        <v>802</v>
      </c>
      <c r="F759" t="s">
        <v>45</v>
      </c>
      <c r="G759" t="s">
        <v>51</v>
      </c>
      <c r="H759" t="s">
        <v>26</v>
      </c>
      <c r="I759" t="s">
        <v>67</v>
      </c>
      <c r="J759" t="s">
        <v>103</v>
      </c>
      <c r="K759">
        <v>1</v>
      </c>
      <c r="L759" s="2">
        <v>83.06</v>
      </c>
      <c r="M759" s="3">
        <v>0.1</v>
      </c>
      <c r="N759" t="s">
        <v>29</v>
      </c>
      <c r="O759" s="2">
        <v>74.75</v>
      </c>
      <c r="P759" s="2">
        <v>55.34</v>
      </c>
      <c r="Q759" s="2">
        <v>19.41</v>
      </c>
      <c r="R759">
        <v>1</v>
      </c>
      <c r="S759">
        <v>0</v>
      </c>
      <c r="T759">
        <v>4</v>
      </c>
      <c r="U759">
        <v>4</v>
      </c>
    </row>
    <row r="760" spans="1:21" ht="16.5" x14ac:dyDescent="0.3">
      <c r="A760" t="s">
        <v>839</v>
      </c>
      <c r="B760" s="1">
        <v>45420</v>
      </c>
      <c r="C760">
        <v>2024</v>
      </c>
      <c r="D760" t="s">
        <v>599</v>
      </c>
      <c r="E760" t="s">
        <v>802</v>
      </c>
      <c r="F760" t="s">
        <v>24</v>
      </c>
      <c r="G760" t="s">
        <v>51</v>
      </c>
      <c r="H760" t="s">
        <v>32</v>
      </c>
      <c r="I760" t="s">
        <v>70</v>
      </c>
      <c r="J760" t="s">
        <v>82</v>
      </c>
      <c r="K760">
        <v>3</v>
      </c>
      <c r="L760" s="2">
        <v>508.8</v>
      </c>
      <c r="M760" s="3">
        <v>0.2</v>
      </c>
      <c r="N760" t="s">
        <v>34</v>
      </c>
      <c r="O760" s="2">
        <v>1221.1199999999999</v>
      </c>
      <c r="P760" s="2">
        <v>1285</v>
      </c>
      <c r="Q760" s="2">
        <v>-63.88</v>
      </c>
      <c r="R760">
        <v>1</v>
      </c>
      <c r="S760">
        <v>0</v>
      </c>
      <c r="T760">
        <v>3</v>
      </c>
      <c r="U760">
        <v>4</v>
      </c>
    </row>
    <row r="761" spans="1:21" ht="16.5" x14ac:dyDescent="0.3">
      <c r="A761" t="s">
        <v>840</v>
      </c>
      <c r="B761" s="1">
        <v>45420</v>
      </c>
      <c r="C761">
        <v>2024</v>
      </c>
      <c r="D761" t="s">
        <v>599</v>
      </c>
      <c r="E761" t="s">
        <v>802</v>
      </c>
      <c r="F761" t="s">
        <v>45</v>
      </c>
      <c r="G761" t="s">
        <v>49</v>
      </c>
      <c r="H761" t="s">
        <v>26</v>
      </c>
      <c r="I761" t="s">
        <v>42</v>
      </c>
      <c r="J761" t="s">
        <v>76</v>
      </c>
      <c r="K761">
        <v>2</v>
      </c>
      <c r="L761" s="2">
        <v>90.75</v>
      </c>
      <c r="M761" s="3">
        <v>0.05</v>
      </c>
      <c r="N761" t="s">
        <v>29</v>
      </c>
      <c r="O761" s="2">
        <v>172.42</v>
      </c>
      <c r="P761" s="2">
        <v>125.03</v>
      </c>
      <c r="Q761" s="2">
        <v>47.39</v>
      </c>
      <c r="R761">
        <v>1</v>
      </c>
      <c r="S761">
        <v>0</v>
      </c>
      <c r="T761">
        <v>3</v>
      </c>
      <c r="U761">
        <v>4</v>
      </c>
    </row>
    <row r="762" spans="1:21" ht="16.5" x14ac:dyDescent="0.3">
      <c r="A762" t="s">
        <v>841</v>
      </c>
      <c r="B762" s="1">
        <v>45420</v>
      </c>
      <c r="C762">
        <v>2024</v>
      </c>
      <c r="D762" t="s">
        <v>599</v>
      </c>
      <c r="E762" t="s">
        <v>802</v>
      </c>
      <c r="F762" t="s">
        <v>24</v>
      </c>
      <c r="G762" t="s">
        <v>49</v>
      </c>
      <c r="H762" t="s">
        <v>26</v>
      </c>
      <c r="I762" t="s">
        <v>27</v>
      </c>
      <c r="J762" t="s">
        <v>28</v>
      </c>
      <c r="K762">
        <v>2</v>
      </c>
      <c r="L762" s="2">
        <v>138.5</v>
      </c>
      <c r="M762" s="3">
        <v>0.1</v>
      </c>
      <c r="N762" t="s">
        <v>29</v>
      </c>
      <c r="O762" s="2">
        <v>249.3</v>
      </c>
      <c r="P762" s="2">
        <v>149.77000000000001</v>
      </c>
      <c r="Q762" s="2">
        <v>99.53</v>
      </c>
      <c r="R762">
        <v>1</v>
      </c>
      <c r="S762">
        <v>1</v>
      </c>
      <c r="T762">
        <v>4</v>
      </c>
      <c r="U762">
        <v>3</v>
      </c>
    </row>
    <row r="763" spans="1:21" ht="16.5" x14ac:dyDescent="0.3">
      <c r="A763" t="s">
        <v>842</v>
      </c>
      <c r="B763" s="1">
        <v>45420</v>
      </c>
      <c r="C763">
        <v>2024</v>
      </c>
      <c r="D763" t="s">
        <v>599</v>
      </c>
      <c r="E763" t="s">
        <v>802</v>
      </c>
      <c r="F763" t="s">
        <v>31</v>
      </c>
      <c r="G763" t="s">
        <v>49</v>
      </c>
      <c r="H763" t="s">
        <v>26</v>
      </c>
      <c r="I763" t="s">
        <v>36</v>
      </c>
      <c r="J763" t="s">
        <v>126</v>
      </c>
      <c r="K763">
        <v>3</v>
      </c>
      <c r="L763" s="2">
        <v>54.56</v>
      </c>
      <c r="M763" s="3">
        <v>0.1</v>
      </c>
      <c r="N763" t="s">
        <v>29</v>
      </c>
      <c r="O763" s="2">
        <v>147.31</v>
      </c>
      <c r="P763" s="2">
        <v>82.09</v>
      </c>
      <c r="Q763" s="2">
        <v>65.22</v>
      </c>
      <c r="R763">
        <v>1</v>
      </c>
      <c r="S763">
        <v>0</v>
      </c>
      <c r="T763">
        <v>4</v>
      </c>
      <c r="U763">
        <v>4</v>
      </c>
    </row>
    <row r="764" spans="1:21" ht="16.5" x14ac:dyDescent="0.3">
      <c r="A764" t="s">
        <v>843</v>
      </c>
      <c r="B764" s="1">
        <v>45420</v>
      </c>
      <c r="C764">
        <v>2024</v>
      </c>
      <c r="D764" t="s">
        <v>599</v>
      </c>
      <c r="E764" t="s">
        <v>802</v>
      </c>
      <c r="F764" t="s">
        <v>24</v>
      </c>
      <c r="G764" t="s">
        <v>25</v>
      </c>
      <c r="H764" t="s">
        <v>32</v>
      </c>
      <c r="I764" t="s">
        <v>27</v>
      </c>
      <c r="J764" t="s">
        <v>47</v>
      </c>
      <c r="K764">
        <v>1</v>
      </c>
      <c r="L764" s="2">
        <v>33.99</v>
      </c>
      <c r="M764" s="3">
        <v>0.05</v>
      </c>
      <c r="N764" t="s">
        <v>29</v>
      </c>
      <c r="O764" s="2">
        <v>32.29</v>
      </c>
      <c r="P764" s="2">
        <v>18.559999999999999</v>
      </c>
      <c r="Q764" s="2">
        <v>13.73</v>
      </c>
      <c r="R764">
        <v>1</v>
      </c>
      <c r="S764">
        <v>0</v>
      </c>
      <c r="T764">
        <v>3</v>
      </c>
      <c r="U764">
        <v>3</v>
      </c>
    </row>
    <row r="765" spans="1:21" ht="16.5" x14ac:dyDescent="0.3">
      <c r="A765" t="s">
        <v>844</v>
      </c>
      <c r="B765" s="1">
        <v>45420</v>
      </c>
      <c r="C765">
        <v>2024</v>
      </c>
      <c r="D765" t="s">
        <v>599</v>
      </c>
      <c r="E765" t="s">
        <v>802</v>
      </c>
      <c r="F765" t="s">
        <v>45</v>
      </c>
      <c r="G765" t="s">
        <v>49</v>
      </c>
      <c r="H765" t="s">
        <v>32</v>
      </c>
      <c r="I765" t="s">
        <v>27</v>
      </c>
      <c r="J765" t="s">
        <v>110</v>
      </c>
      <c r="K765">
        <v>1</v>
      </c>
      <c r="L765" s="2">
        <v>19.41</v>
      </c>
      <c r="M765" s="3">
        <v>0</v>
      </c>
      <c r="N765" t="s">
        <v>38</v>
      </c>
      <c r="O765" s="2">
        <v>19.41</v>
      </c>
      <c r="P765" s="2">
        <v>11.22</v>
      </c>
      <c r="Q765" s="2">
        <v>8.19</v>
      </c>
      <c r="R765">
        <v>1</v>
      </c>
      <c r="S765">
        <v>0</v>
      </c>
      <c r="T765">
        <v>3</v>
      </c>
      <c r="U765">
        <v>5</v>
      </c>
    </row>
    <row r="766" spans="1:21" ht="16.5" x14ac:dyDescent="0.3">
      <c r="A766" t="s">
        <v>845</v>
      </c>
      <c r="B766" s="1">
        <v>45420</v>
      </c>
      <c r="C766">
        <v>2024</v>
      </c>
      <c r="D766" t="s">
        <v>599</v>
      </c>
      <c r="E766" t="s">
        <v>802</v>
      </c>
      <c r="F766" t="s">
        <v>31</v>
      </c>
      <c r="G766" t="s">
        <v>49</v>
      </c>
      <c r="H766" t="s">
        <v>26</v>
      </c>
      <c r="I766" t="s">
        <v>27</v>
      </c>
      <c r="J766" t="s">
        <v>60</v>
      </c>
      <c r="K766">
        <v>2</v>
      </c>
      <c r="L766" s="2">
        <v>94.85</v>
      </c>
      <c r="M766" s="3">
        <v>0.15</v>
      </c>
      <c r="N766" t="s">
        <v>34</v>
      </c>
      <c r="O766" s="2">
        <v>161.24</v>
      </c>
      <c r="P766" s="2">
        <v>97.2</v>
      </c>
      <c r="Q766" s="2">
        <v>64.040000000000006</v>
      </c>
      <c r="R766">
        <v>1</v>
      </c>
      <c r="S766">
        <v>1</v>
      </c>
      <c r="T766">
        <v>3</v>
      </c>
      <c r="U766">
        <v>3</v>
      </c>
    </row>
    <row r="767" spans="1:21" ht="16.5" x14ac:dyDescent="0.3">
      <c r="A767" t="s">
        <v>846</v>
      </c>
      <c r="B767" s="1">
        <v>45420</v>
      </c>
      <c r="C767">
        <v>2024</v>
      </c>
      <c r="D767" t="s">
        <v>599</v>
      </c>
      <c r="E767" t="s">
        <v>802</v>
      </c>
      <c r="F767" t="s">
        <v>45</v>
      </c>
      <c r="G767" t="s">
        <v>49</v>
      </c>
      <c r="H767" t="s">
        <v>32</v>
      </c>
      <c r="I767" t="s">
        <v>42</v>
      </c>
      <c r="J767" t="s">
        <v>43</v>
      </c>
      <c r="K767">
        <v>4</v>
      </c>
      <c r="L767" s="2">
        <v>154.66</v>
      </c>
      <c r="M767" s="3">
        <v>0.1</v>
      </c>
      <c r="N767" t="s">
        <v>29</v>
      </c>
      <c r="O767" s="2">
        <v>556.78</v>
      </c>
      <c r="P767" s="2">
        <v>407.84</v>
      </c>
      <c r="Q767" s="2">
        <v>148.94</v>
      </c>
      <c r="R767">
        <v>1</v>
      </c>
      <c r="S767">
        <v>0</v>
      </c>
      <c r="T767">
        <v>6</v>
      </c>
      <c r="U767">
        <v>4</v>
      </c>
    </row>
    <row r="768" spans="1:21" ht="16.5" x14ac:dyDescent="0.3">
      <c r="A768" t="s">
        <v>847</v>
      </c>
      <c r="B768" s="1">
        <v>45420</v>
      </c>
      <c r="C768">
        <v>2024</v>
      </c>
      <c r="D768" t="s">
        <v>599</v>
      </c>
      <c r="E768" t="s">
        <v>802</v>
      </c>
      <c r="F768" t="s">
        <v>45</v>
      </c>
      <c r="G768" t="s">
        <v>25</v>
      </c>
      <c r="H768" t="s">
        <v>26</v>
      </c>
      <c r="I768" t="s">
        <v>27</v>
      </c>
      <c r="J768" t="s">
        <v>28</v>
      </c>
      <c r="K768">
        <v>1</v>
      </c>
      <c r="L768" s="2">
        <v>138.5</v>
      </c>
      <c r="M768" s="3">
        <v>0.1</v>
      </c>
      <c r="N768" t="s">
        <v>29</v>
      </c>
      <c r="O768" s="2">
        <v>124.65</v>
      </c>
      <c r="P768" s="2">
        <v>76.459999999999994</v>
      </c>
      <c r="Q768" s="2">
        <v>48.19</v>
      </c>
      <c r="R768">
        <v>1</v>
      </c>
      <c r="S768">
        <v>0</v>
      </c>
      <c r="T768">
        <v>4</v>
      </c>
      <c r="U768">
        <v>3</v>
      </c>
    </row>
    <row r="769" spans="1:21" ht="16.5" x14ac:dyDescent="0.3">
      <c r="A769" t="s">
        <v>848</v>
      </c>
      <c r="B769" s="1">
        <v>45420</v>
      </c>
      <c r="C769">
        <v>2024</v>
      </c>
      <c r="D769" t="s">
        <v>599</v>
      </c>
      <c r="E769" t="s">
        <v>802</v>
      </c>
      <c r="F769" t="s">
        <v>24</v>
      </c>
      <c r="G769" t="s">
        <v>51</v>
      </c>
      <c r="H769" t="s">
        <v>26</v>
      </c>
      <c r="I769" t="s">
        <v>27</v>
      </c>
      <c r="J769" t="s">
        <v>33</v>
      </c>
      <c r="K769">
        <v>1</v>
      </c>
      <c r="L769" s="2">
        <v>78.510000000000005</v>
      </c>
      <c r="M769" s="3">
        <v>0.05</v>
      </c>
      <c r="N769" t="s">
        <v>29</v>
      </c>
      <c r="O769" s="2">
        <v>74.58</v>
      </c>
      <c r="P769" s="2">
        <v>42.28</v>
      </c>
      <c r="Q769" s="2">
        <v>32.299999999999997</v>
      </c>
      <c r="R769">
        <v>1</v>
      </c>
      <c r="S769">
        <v>0</v>
      </c>
      <c r="T769">
        <v>5</v>
      </c>
      <c r="U769">
        <v>4</v>
      </c>
    </row>
    <row r="770" spans="1:21" ht="16.5" x14ac:dyDescent="0.3">
      <c r="A770" t="s">
        <v>849</v>
      </c>
      <c r="B770" s="1">
        <v>45420</v>
      </c>
      <c r="C770">
        <v>2024</v>
      </c>
      <c r="D770" t="s">
        <v>599</v>
      </c>
      <c r="E770" t="s">
        <v>802</v>
      </c>
      <c r="F770" t="s">
        <v>24</v>
      </c>
      <c r="G770" t="s">
        <v>51</v>
      </c>
      <c r="H770" t="s">
        <v>32</v>
      </c>
      <c r="I770" t="s">
        <v>42</v>
      </c>
      <c r="J770" t="s">
        <v>98</v>
      </c>
      <c r="K770">
        <v>1</v>
      </c>
      <c r="L770" s="2">
        <v>117.63</v>
      </c>
      <c r="M770" s="3">
        <v>0.05</v>
      </c>
      <c r="N770" t="s">
        <v>29</v>
      </c>
      <c r="O770" s="2">
        <v>111.75</v>
      </c>
      <c r="P770" s="2">
        <v>75.790000000000006</v>
      </c>
      <c r="Q770" s="2">
        <v>35.96</v>
      </c>
      <c r="R770">
        <v>1</v>
      </c>
      <c r="S770">
        <v>0</v>
      </c>
      <c r="T770">
        <v>2</v>
      </c>
      <c r="U770">
        <v>5</v>
      </c>
    </row>
    <row r="771" spans="1:21" ht="16.5" x14ac:dyDescent="0.3">
      <c r="A771" t="s">
        <v>850</v>
      </c>
      <c r="B771" s="1">
        <v>45420</v>
      </c>
      <c r="C771">
        <v>2024</v>
      </c>
      <c r="D771" t="s">
        <v>599</v>
      </c>
      <c r="E771" t="s">
        <v>802</v>
      </c>
      <c r="F771" t="s">
        <v>45</v>
      </c>
      <c r="G771" t="s">
        <v>49</v>
      </c>
      <c r="H771" t="s">
        <v>32</v>
      </c>
      <c r="I771" t="s">
        <v>70</v>
      </c>
      <c r="J771" t="s">
        <v>87</v>
      </c>
      <c r="K771">
        <v>1</v>
      </c>
      <c r="L771" s="2">
        <v>490.3</v>
      </c>
      <c r="M771" s="3">
        <v>0.15</v>
      </c>
      <c r="N771" t="s">
        <v>34</v>
      </c>
      <c r="O771" s="2">
        <v>416.76</v>
      </c>
      <c r="P771" s="2">
        <v>386.52</v>
      </c>
      <c r="Q771" s="2">
        <v>30.24</v>
      </c>
      <c r="R771">
        <v>1</v>
      </c>
      <c r="S771">
        <v>0</v>
      </c>
      <c r="T771">
        <v>3</v>
      </c>
      <c r="U771">
        <v>3</v>
      </c>
    </row>
    <row r="772" spans="1:21" ht="16.5" x14ac:dyDescent="0.3">
      <c r="A772" t="s">
        <v>851</v>
      </c>
      <c r="B772" s="1">
        <v>45420</v>
      </c>
      <c r="C772">
        <v>2024</v>
      </c>
      <c r="D772" t="s">
        <v>599</v>
      </c>
      <c r="E772" t="s">
        <v>802</v>
      </c>
      <c r="F772" t="s">
        <v>31</v>
      </c>
      <c r="G772" t="s">
        <v>51</v>
      </c>
      <c r="H772" t="s">
        <v>32</v>
      </c>
      <c r="I772" t="s">
        <v>27</v>
      </c>
      <c r="J772" t="s">
        <v>110</v>
      </c>
      <c r="K772">
        <v>1</v>
      </c>
      <c r="L772" s="2">
        <v>19.41</v>
      </c>
      <c r="M772" s="3">
        <v>0.25</v>
      </c>
      <c r="N772" t="s">
        <v>62</v>
      </c>
      <c r="O772" s="2">
        <v>14.56</v>
      </c>
      <c r="P772" s="2">
        <v>9.92</v>
      </c>
      <c r="Q772" s="2">
        <v>4.6399999999999997</v>
      </c>
      <c r="R772">
        <v>1</v>
      </c>
      <c r="S772">
        <v>0</v>
      </c>
      <c r="T772">
        <v>5</v>
      </c>
      <c r="U772">
        <v>5</v>
      </c>
    </row>
    <row r="773" spans="1:21" ht="16.5" x14ac:dyDescent="0.3">
      <c r="A773" t="s">
        <v>852</v>
      </c>
      <c r="B773" s="1">
        <v>45420</v>
      </c>
      <c r="C773">
        <v>2024</v>
      </c>
      <c r="D773" t="s">
        <v>599</v>
      </c>
      <c r="E773" t="s">
        <v>802</v>
      </c>
      <c r="F773" t="s">
        <v>31</v>
      </c>
      <c r="G773" t="s">
        <v>46</v>
      </c>
      <c r="H773" t="s">
        <v>32</v>
      </c>
      <c r="I773" t="s">
        <v>27</v>
      </c>
      <c r="J773" t="s">
        <v>47</v>
      </c>
      <c r="K773">
        <v>1</v>
      </c>
      <c r="L773" s="2">
        <v>33.99</v>
      </c>
      <c r="M773" s="3">
        <v>0</v>
      </c>
      <c r="N773" t="s">
        <v>38</v>
      </c>
      <c r="O773" s="2">
        <v>33.99</v>
      </c>
      <c r="P773" s="2">
        <v>17.760000000000002</v>
      </c>
      <c r="Q773" s="2">
        <v>16.23</v>
      </c>
      <c r="R773">
        <v>1</v>
      </c>
      <c r="S773">
        <v>0</v>
      </c>
      <c r="T773">
        <v>6</v>
      </c>
      <c r="U773">
        <v>3</v>
      </c>
    </row>
    <row r="774" spans="1:21" ht="16.5" x14ac:dyDescent="0.3">
      <c r="A774" t="s">
        <v>853</v>
      </c>
      <c r="B774" s="1">
        <v>45421</v>
      </c>
      <c r="C774">
        <v>2024</v>
      </c>
      <c r="D774" t="s">
        <v>599</v>
      </c>
      <c r="E774" t="s">
        <v>802</v>
      </c>
      <c r="F774" t="s">
        <v>24</v>
      </c>
      <c r="G774" t="s">
        <v>49</v>
      </c>
      <c r="H774" t="s">
        <v>32</v>
      </c>
      <c r="I774" t="s">
        <v>67</v>
      </c>
      <c r="J774" t="s">
        <v>78</v>
      </c>
      <c r="K774">
        <v>3</v>
      </c>
      <c r="L774" s="2">
        <v>85.42</v>
      </c>
      <c r="M774" s="3">
        <v>0.05</v>
      </c>
      <c r="N774" t="s">
        <v>29</v>
      </c>
      <c r="O774" s="2">
        <v>243.45</v>
      </c>
      <c r="P774" s="2">
        <v>184.81</v>
      </c>
      <c r="Q774" s="2">
        <v>58.64</v>
      </c>
      <c r="R774">
        <v>1</v>
      </c>
      <c r="S774">
        <v>0</v>
      </c>
      <c r="T774">
        <v>3</v>
      </c>
      <c r="U774">
        <v>4</v>
      </c>
    </row>
    <row r="775" spans="1:21" ht="16.5" x14ac:dyDescent="0.3">
      <c r="A775" t="s">
        <v>854</v>
      </c>
      <c r="B775" s="1">
        <v>45421</v>
      </c>
      <c r="C775">
        <v>2024</v>
      </c>
      <c r="D775" t="s">
        <v>599</v>
      </c>
      <c r="E775" t="s">
        <v>802</v>
      </c>
      <c r="F775" t="s">
        <v>31</v>
      </c>
      <c r="G775" t="s">
        <v>25</v>
      </c>
      <c r="H775" t="s">
        <v>26</v>
      </c>
      <c r="I775" t="s">
        <v>42</v>
      </c>
      <c r="J775" t="s">
        <v>76</v>
      </c>
      <c r="K775">
        <v>1</v>
      </c>
      <c r="L775" s="2">
        <v>90.75</v>
      </c>
      <c r="M775" s="3">
        <v>0</v>
      </c>
      <c r="N775" t="s">
        <v>38</v>
      </c>
      <c r="O775" s="2">
        <v>90.75</v>
      </c>
      <c r="P775" s="2">
        <v>59.69</v>
      </c>
      <c r="Q775" s="2">
        <v>31.06</v>
      </c>
      <c r="R775">
        <v>1</v>
      </c>
      <c r="S775">
        <v>0</v>
      </c>
      <c r="T775">
        <v>4</v>
      </c>
      <c r="U775">
        <v>5</v>
      </c>
    </row>
    <row r="776" spans="1:21" ht="16.5" x14ac:dyDescent="0.3">
      <c r="A776" t="s">
        <v>855</v>
      </c>
      <c r="B776" s="1">
        <v>45421</v>
      </c>
      <c r="C776">
        <v>2024</v>
      </c>
      <c r="D776" t="s">
        <v>599</v>
      </c>
      <c r="E776" t="s">
        <v>802</v>
      </c>
      <c r="F776" t="s">
        <v>24</v>
      </c>
      <c r="G776" t="s">
        <v>49</v>
      </c>
      <c r="H776" t="s">
        <v>26</v>
      </c>
      <c r="I776" t="s">
        <v>36</v>
      </c>
      <c r="J776" t="s">
        <v>37</v>
      </c>
      <c r="K776">
        <v>1</v>
      </c>
      <c r="L776" s="2">
        <v>33.18</v>
      </c>
      <c r="M776" s="3">
        <v>0</v>
      </c>
      <c r="N776" t="s">
        <v>38</v>
      </c>
      <c r="O776" s="2">
        <v>33.18</v>
      </c>
      <c r="P776" s="2">
        <v>15.96</v>
      </c>
      <c r="Q776" s="2">
        <v>17.22</v>
      </c>
      <c r="R776">
        <v>1</v>
      </c>
      <c r="S776">
        <v>0</v>
      </c>
      <c r="T776">
        <v>4</v>
      </c>
      <c r="U776">
        <v>5</v>
      </c>
    </row>
    <row r="777" spans="1:21" ht="16.5" x14ac:dyDescent="0.3">
      <c r="A777" t="s">
        <v>856</v>
      </c>
      <c r="B777" s="1">
        <v>45421</v>
      </c>
      <c r="C777">
        <v>2024</v>
      </c>
      <c r="D777" t="s">
        <v>599</v>
      </c>
      <c r="E777" t="s">
        <v>802</v>
      </c>
      <c r="F777" t="s">
        <v>31</v>
      </c>
      <c r="G777" t="s">
        <v>25</v>
      </c>
      <c r="H777" t="s">
        <v>32</v>
      </c>
      <c r="I777" t="s">
        <v>84</v>
      </c>
      <c r="J777" t="s">
        <v>223</v>
      </c>
      <c r="K777">
        <v>1</v>
      </c>
      <c r="L777" s="2">
        <v>16.97</v>
      </c>
      <c r="M777" s="3">
        <v>0</v>
      </c>
      <c r="N777" t="s">
        <v>38</v>
      </c>
      <c r="O777" s="2">
        <v>16.97</v>
      </c>
      <c r="P777" s="2">
        <v>12.23</v>
      </c>
      <c r="Q777" s="2">
        <v>4.74</v>
      </c>
      <c r="R777">
        <v>1</v>
      </c>
      <c r="S777">
        <v>0</v>
      </c>
      <c r="T777">
        <v>8</v>
      </c>
      <c r="U777">
        <v>4</v>
      </c>
    </row>
    <row r="778" spans="1:21" ht="16.5" x14ac:dyDescent="0.3">
      <c r="A778" t="s">
        <v>857</v>
      </c>
      <c r="B778" s="1">
        <v>45422</v>
      </c>
      <c r="C778">
        <v>2024</v>
      </c>
      <c r="D778" t="s">
        <v>599</v>
      </c>
      <c r="E778" t="s">
        <v>802</v>
      </c>
      <c r="F778" t="s">
        <v>24</v>
      </c>
      <c r="G778" t="s">
        <v>51</v>
      </c>
      <c r="H778" t="s">
        <v>32</v>
      </c>
      <c r="I778" t="s">
        <v>84</v>
      </c>
      <c r="J778" t="s">
        <v>106</v>
      </c>
      <c r="K778">
        <v>4</v>
      </c>
      <c r="L778" s="2">
        <v>45.28</v>
      </c>
      <c r="M778" s="3">
        <v>0.1</v>
      </c>
      <c r="N778" t="s">
        <v>29</v>
      </c>
      <c r="O778" s="2">
        <v>163.01</v>
      </c>
      <c r="P778" s="2">
        <v>132.07</v>
      </c>
      <c r="Q778" s="2">
        <v>30.94</v>
      </c>
      <c r="R778">
        <v>1</v>
      </c>
      <c r="S778">
        <v>0</v>
      </c>
      <c r="T778">
        <v>3</v>
      </c>
      <c r="U778">
        <v>5</v>
      </c>
    </row>
    <row r="779" spans="1:21" ht="16.5" x14ac:dyDescent="0.3">
      <c r="A779" t="s">
        <v>858</v>
      </c>
      <c r="B779" s="1">
        <v>45422</v>
      </c>
      <c r="C779">
        <v>2024</v>
      </c>
      <c r="D779" t="s">
        <v>599</v>
      </c>
      <c r="E779" t="s">
        <v>802</v>
      </c>
      <c r="F779" t="s">
        <v>31</v>
      </c>
      <c r="G779" t="s">
        <v>51</v>
      </c>
      <c r="H779" t="s">
        <v>26</v>
      </c>
      <c r="I779" t="s">
        <v>27</v>
      </c>
      <c r="J779" t="s">
        <v>110</v>
      </c>
      <c r="K779">
        <v>1</v>
      </c>
      <c r="L779" s="2">
        <v>19.41</v>
      </c>
      <c r="M779" s="3">
        <v>0.1</v>
      </c>
      <c r="N779" t="s">
        <v>29</v>
      </c>
      <c r="O779" s="2">
        <v>17.47</v>
      </c>
      <c r="P779" s="2">
        <v>10.61</v>
      </c>
      <c r="Q779" s="2">
        <v>6.86</v>
      </c>
      <c r="R779">
        <v>1</v>
      </c>
      <c r="S779">
        <v>1</v>
      </c>
      <c r="T779">
        <v>2</v>
      </c>
      <c r="U779">
        <v>3</v>
      </c>
    </row>
    <row r="780" spans="1:21" ht="16.5" x14ac:dyDescent="0.3">
      <c r="A780" t="s">
        <v>859</v>
      </c>
      <c r="B780" s="1">
        <v>45422</v>
      </c>
      <c r="C780">
        <v>2024</v>
      </c>
      <c r="D780" t="s">
        <v>599</v>
      </c>
      <c r="E780" t="s">
        <v>802</v>
      </c>
      <c r="F780" t="s">
        <v>45</v>
      </c>
      <c r="G780" t="s">
        <v>49</v>
      </c>
      <c r="H780" t="s">
        <v>26</v>
      </c>
      <c r="I780" t="s">
        <v>27</v>
      </c>
      <c r="J780" t="s">
        <v>28</v>
      </c>
      <c r="K780">
        <v>2</v>
      </c>
      <c r="L780" s="2">
        <v>138.5</v>
      </c>
      <c r="M780" s="3">
        <v>0.15</v>
      </c>
      <c r="N780" t="s">
        <v>34</v>
      </c>
      <c r="O780" s="2">
        <v>235.45</v>
      </c>
      <c r="P780" s="2">
        <v>153.96</v>
      </c>
      <c r="Q780" s="2">
        <v>81.489999999999995</v>
      </c>
      <c r="R780">
        <v>1</v>
      </c>
      <c r="S780">
        <v>1</v>
      </c>
      <c r="T780">
        <v>4</v>
      </c>
      <c r="U780">
        <v>5</v>
      </c>
    </row>
    <row r="781" spans="1:21" ht="16.5" x14ac:dyDescent="0.3">
      <c r="A781" t="s">
        <v>860</v>
      </c>
      <c r="B781" s="1">
        <v>45422</v>
      </c>
      <c r="C781">
        <v>2024</v>
      </c>
      <c r="D781" t="s">
        <v>599</v>
      </c>
      <c r="E781" t="s">
        <v>802</v>
      </c>
      <c r="F781" t="s">
        <v>24</v>
      </c>
      <c r="G781" t="s">
        <v>65</v>
      </c>
      <c r="H781" t="s">
        <v>32</v>
      </c>
      <c r="I781" t="s">
        <v>27</v>
      </c>
      <c r="J781" t="s">
        <v>60</v>
      </c>
      <c r="K781">
        <v>2</v>
      </c>
      <c r="L781" s="2">
        <v>94.85</v>
      </c>
      <c r="M781" s="3">
        <v>0.1</v>
      </c>
      <c r="N781" t="s">
        <v>29</v>
      </c>
      <c r="O781" s="2">
        <v>170.73</v>
      </c>
      <c r="P781" s="2">
        <v>104.38</v>
      </c>
      <c r="Q781" s="2">
        <v>66.349999999999994</v>
      </c>
      <c r="R781">
        <v>1</v>
      </c>
      <c r="S781">
        <v>1</v>
      </c>
      <c r="T781">
        <v>5</v>
      </c>
      <c r="U781">
        <v>3</v>
      </c>
    </row>
    <row r="782" spans="1:21" ht="16.5" x14ac:dyDescent="0.3">
      <c r="A782" t="s">
        <v>861</v>
      </c>
      <c r="B782" s="1">
        <v>45422</v>
      </c>
      <c r="C782">
        <v>2024</v>
      </c>
      <c r="D782" t="s">
        <v>599</v>
      </c>
      <c r="E782" t="s">
        <v>802</v>
      </c>
      <c r="F782" t="s">
        <v>24</v>
      </c>
      <c r="G782" t="s">
        <v>25</v>
      </c>
      <c r="H782" t="s">
        <v>32</v>
      </c>
      <c r="I782" t="s">
        <v>27</v>
      </c>
      <c r="J782" t="s">
        <v>60</v>
      </c>
      <c r="K782">
        <v>1</v>
      </c>
      <c r="L782" s="2">
        <v>94.85</v>
      </c>
      <c r="M782" s="3">
        <v>0.15</v>
      </c>
      <c r="N782" t="s">
        <v>34</v>
      </c>
      <c r="O782" s="2">
        <v>80.62</v>
      </c>
      <c r="P782" s="2">
        <v>52.23</v>
      </c>
      <c r="Q782" s="2">
        <v>28.39</v>
      </c>
      <c r="R782">
        <v>1</v>
      </c>
      <c r="S782">
        <v>0</v>
      </c>
      <c r="T782">
        <v>4</v>
      </c>
      <c r="U782">
        <v>4</v>
      </c>
    </row>
    <row r="783" spans="1:21" ht="16.5" x14ac:dyDescent="0.3">
      <c r="A783" t="s">
        <v>862</v>
      </c>
      <c r="B783" s="1">
        <v>45422</v>
      </c>
      <c r="C783">
        <v>2024</v>
      </c>
      <c r="D783" t="s">
        <v>599</v>
      </c>
      <c r="E783" t="s">
        <v>802</v>
      </c>
      <c r="F783" t="s">
        <v>24</v>
      </c>
      <c r="G783" t="s">
        <v>46</v>
      </c>
      <c r="H783" t="s">
        <v>32</v>
      </c>
      <c r="I783" t="s">
        <v>84</v>
      </c>
      <c r="J783" t="s">
        <v>223</v>
      </c>
      <c r="K783">
        <v>1</v>
      </c>
      <c r="L783" s="2">
        <v>16.97</v>
      </c>
      <c r="M783" s="3">
        <v>0</v>
      </c>
      <c r="N783" t="s">
        <v>38</v>
      </c>
      <c r="O783" s="2">
        <v>16.97</v>
      </c>
      <c r="P783" s="2">
        <v>12.16</v>
      </c>
      <c r="Q783" s="2">
        <v>4.8099999999999996</v>
      </c>
      <c r="R783">
        <v>1</v>
      </c>
      <c r="S783">
        <v>0</v>
      </c>
      <c r="T783">
        <v>6</v>
      </c>
      <c r="U783">
        <v>3</v>
      </c>
    </row>
    <row r="784" spans="1:21" ht="16.5" x14ac:dyDescent="0.3">
      <c r="A784" t="s">
        <v>863</v>
      </c>
      <c r="B784" s="1">
        <v>45422</v>
      </c>
      <c r="C784">
        <v>2024</v>
      </c>
      <c r="D784" t="s">
        <v>599</v>
      </c>
      <c r="E784" t="s">
        <v>802</v>
      </c>
      <c r="F784" t="s">
        <v>45</v>
      </c>
      <c r="G784" t="s">
        <v>65</v>
      </c>
      <c r="H784" t="s">
        <v>32</v>
      </c>
      <c r="I784" t="s">
        <v>84</v>
      </c>
      <c r="J784" t="s">
        <v>132</v>
      </c>
      <c r="K784">
        <v>2</v>
      </c>
      <c r="L784" s="2">
        <v>48.86</v>
      </c>
      <c r="M784" s="3">
        <v>0</v>
      </c>
      <c r="N784" t="s">
        <v>38</v>
      </c>
      <c r="O784" s="2">
        <v>97.72</v>
      </c>
      <c r="P784" s="2">
        <v>72.900000000000006</v>
      </c>
      <c r="Q784" s="2">
        <v>24.82</v>
      </c>
      <c r="R784">
        <v>1</v>
      </c>
      <c r="S784">
        <v>0</v>
      </c>
      <c r="T784">
        <v>7</v>
      </c>
      <c r="U784">
        <v>4</v>
      </c>
    </row>
    <row r="785" spans="1:21" ht="16.5" x14ac:dyDescent="0.3">
      <c r="A785" t="s">
        <v>864</v>
      </c>
      <c r="B785" s="1">
        <v>45422</v>
      </c>
      <c r="C785">
        <v>2024</v>
      </c>
      <c r="D785" t="s">
        <v>599</v>
      </c>
      <c r="E785" t="s">
        <v>802</v>
      </c>
      <c r="F785" t="s">
        <v>31</v>
      </c>
      <c r="G785" t="s">
        <v>51</v>
      </c>
      <c r="H785" t="s">
        <v>32</v>
      </c>
      <c r="I785" t="s">
        <v>70</v>
      </c>
      <c r="J785" t="s">
        <v>82</v>
      </c>
      <c r="K785">
        <v>2</v>
      </c>
      <c r="L785" s="2">
        <v>508.8</v>
      </c>
      <c r="M785" s="3">
        <v>0</v>
      </c>
      <c r="N785" t="s">
        <v>38</v>
      </c>
      <c r="O785" s="2">
        <v>1017.6</v>
      </c>
      <c r="P785" s="2">
        <v>800.03</v>
      </c>
      <c r="Q785" s="2">
        <v>217.57</v>
      </c>
      <c r="R785">
        <v>1</v>
      </c>
      <c r="S785">
        <v>0</v>
      </c>
      <c r="T785">
        <v>2</v>
      </c>
      <c r="U785">
        <v>5</v>
      </c>
    </row>
    <row r="786" spans="1:21" ht="16.5" x14ac:dyDescent="0.3">
      <c r="A786" t="s">
        <v>865</v>
      </c>
      <c r="B786" s="1">
        <v>45423</v>
      </c>
      <c r="C786">
        <v>2024</v>
      </c>
      <c r="D786" t="s">
        <v>599</v>
      </c>
      <c r="E786" t="s">
        <v>802</v>
      </c>
      <c r="F786" t="s">
        <v>31</v>
      </c>
      <c r="G786" t="s">
        <v>51</v>
      </c>
      <c r="H786" t="s">
        <v>32</v>
      </c>
      <c r="I786" t="s">
        <v>84</v>
      </c>
      <c r="J786" t="s">
        <v>85</v>
      </c>
      <c r="K786">
        <v>1</v>
      </c>
      <c r="L786" s="2">
        <v>57.92</v>
      </c>
      <c r="M786" s="3">
        <v>0.2</v>
      </c>
      <c r="N786" t="s">
        <v>34</v>
      </c>
      <c r="O786" s="2">
        <v>46.34</v>
      </c>
      <c r="P786" s="2">
        <v>39.590000000000003</v>
      </c>
      <c r="Q786" s="2">
        <v>6.75</v>
      </c>
      <c r="R786">
        <v>1</v>
      </c>
      <c r="S786">
        <v>0</v>
      </c>
      <c r="T786">
        <v>3</v>
      </c>
      <c r="U786">
        <v>5</v>
      </c>
    </row>
    <row r="787" spans="1:21" ht="16.5" x14ac:dyDescent="0.3">
      <c r="A787" t="s">
        <v>866</v>
      </c>
      <c r="B787" s="1">
        <v>45423</v>
      </c>
      <c r="C787">
        <v>2024</v>
      </c>
      <c r="D787" t="s">
        <v>599</v>
      </c>
      <c r="E787" t="s">
        <v>802</v>
      </c>
      <c r="F787" t="s">
        <v>31</v>
      </c>
      <c r="G787" t="s">
        <v>25</v>
      </c>
      <c r="H787" t="s">
        <v>26</v>
      </c>
      <c r="I787" t="s">
        <v>42</v>
      </c>
      <c r="J787" t="s">
        <v>98</v>
      </c>
      <c r="K787">
        <v>1</v>
      </c>
      <c r="L787" s="2">
        <v>117.63</v>
      </c>
      <c r="M787" s="3">
        <v>0.3</v>
      </c>
      <c r="N787" t="s">
        <v>62</v>
      </c>
      <c r="O787" s="2">
        <v>82.34</v>
      </c>
      <c r="P787" s="2">
        <v>74.790000000000006</v>
      </c>
      <c r="Q787" s="2">
        <v>7.55</v>
      </c>
      <c r="R787">
        <v>1</v>
      </c>
      <c r="S787">
        <v>0</v>
      </c>
      <c r="T787">
        <v>5</v>
      </c>
      <c r="U787">
        <v>5</v>
      </c>
    </row>
    <row r="788" spans="1:21" ht="16.5" x14ac:dyDescent="0.3">
      <c r="A788" t="s">
        <v>867</v>
      </c>
      <c r="B788" s="1">
        <v>45423</v>
      </c>
      <c r="C788">
        <v>2024</v>
      </c>
      <c r="D788" t="s">
        <v>599</v>
      </c>
      <c r="E788" t="s">
        <v>802</v>
      </c>
      <c r="F788" t="s">
        <v>31</v>
      </c>
      <c r="G788" t="s">
        <v>49</v>
      </c>
      <c r="H788" t="s">
        <v>32</v>
      </c>
      <c r="I788" t="s">
        <v>42</v>
      </c>
      <c r="J788" t="s">
        <v>58</v>
      </c>
      <c r="K788">
        <v>1</v>
      </c>
      <c r="L788" s="2">
        <v>233.81</v>
      </c>
      <c r="M788" s="3">
        <v>0</v>
      </c>
      <c r="N788" t="s">
        <v>38</v>
      </c>
      <c r="O788" s="2">
        <v>233.81</v>
      </c>
      <c r="P788" s="2">
        <v>157.49</v>
      </c>
      <c r="Q788" s="2">
        <v>76.319999999999993</v>
      </c>
      <c r="R788">
        <v>1</v>
      </c>
      <c r="S788">
        <v>0</v>
      </c>
      <c r="T788">
        <v>3</v>
      </c>
      <c r="U788">
        <v>4</v>
      </c>
    </row>
    <row r="789" spans="1:21" ht="16.5" x14ac:dyDescent="0.3">
      <c r="A789" t="s">
        <v>868</v>
      </c>
      <c r="B789" s="1">
        <v>45423</v>
      </c>
      <c r="C789">
        <v>2024</v>
      </c>
      <c r="D789" t="s">
        <v>599</v>
      </c>
      <c r="E789" t="s">
        <v>802</v>
      </c>
      <c r="F789" t="s">
        <v>24</v>
      </c>
      <c r="G789" t="s">
        <v>46</v>
      </c>
      <c r="H789" t="s">
        <v>26</v>
      </c>
      <c r="I789" t="s">
        <v>27</v>
      </c>
      <c r="J789" t="s">
        <v>60</v>
      </c>
      <c r="K789">
        <v>1</v>
      </c>
      <c r="L789" s="2">
        <v>94.85</v>
      </c>
      <c r="M789" s="3">
        <v>0.15</v>
      </c>
      <c r="N789" t="s">
        <v>34</v>
      </c>
      <c r="O789" s="2">
        <v>80.62</v>
      </c>
      <c r="P789" s="2">
        <v>51.09</v>
      </c>
      <c r="Q789" s="2">
        <v>29.53</v>
      </c>
      <c r="R789">
        <v>1</v>
      </c>
      <c r="S789">
        <v>0</v>
      </c>
      <c r="T789">
        <v>7</v>
      </c>
      <c r="U789">
        <v>4</v>
      </c>
    </row>
    <row r="790" spans="1:21" ht="16.5" x14ac:dyDescent="0.3">
      <c r="A790" t="s">
        <v>869</v>
      </c>
      <c r="B790" s="1">
        <v>45423</v>
      </c>
      <c r="C790">
        <v>2024</v>
      </c>
      <c r="D790" t="s">
        <v>599</v>
      </c>
      <c r="E790" t="s">
        <v>802</v>
      </c>
      <c r="F790" t="s">
        <v>45</v>
      </c>
      <c r="G790" t="s">
        <v>49</v>
      </c>
      <c r="H790" t="s">
        <v>26</v>
      </c>
      <c r="I790" t="s">
        <v>42</v>
      </c>
      <c r="J790" t="s">
        <v>89</v>
      </c>
      <c r="K790">
        <v>4</v>
      </c>
      <c r="L790" s="2">
        <v>68.349999999999994</v>
      </c>
      <c r="M790" s="3">
        <v>0</v>
      </c>
      <c r="N790" t="s">
        <v>38</v>
      </c>
      <c r="O790" s="2">
        <v>273.39999999999998</v>
      </c>
      <c r="P790" s="2">
        <v>178.84</v>
      </c>
      <c r="Q790" s="2">
        <v>94.56</v>
      </c>
      <c r="R790">
        <v>1</v>
      </c>
      <c r="S790">
        <v>0</v>
      </c>
      <c r="T790">
        <v>6</v>
      </c>
      <c r="U790">
        <v>5</v>
      </c>
    </row>
    <row r="791" spans="1:21" ht="16.5" x14ac:dyDescent="0.3">
      <c r="A791" t="s">
        <v>870</v>
      </c>
      <c r="B791" s="1">
        <v>45423</v>
      </c>
      <c r="C791">
        <v>2024</v>
      </c>
      <c r="D791" t="s">
        <v>599</v>
      </c>
      <c r="E791" t="s">
        <v>802</v>
      </c>
      <c r="F791" t="s">
        <v>24</v>
      </c>
      <c r="G791" t="s">
        <v>51</v>
      </c>
      <c r="H791" t="s">
        <v>26</v>
      </c>
      <c r="I791" t="s">
        <v>67</v>
      </c>
      <c r="J791" t="s">
        <v>93</v>
      </c>
      <c r="K791">
        <v>1</v>
      </c>
      <c r="L791" s="2">
        <v>198.42</v>
      </c>
      <c r="M791" s="3">
        <v>0</v>
      </c>
      <c r="N791" t="s">
        <v>38</v>
      </c>
      <c r="O791" s="2">
        <v>198.42</v>
      </c>
      <c r="P791" s="2">
        <v>136.49</v>
      </c>
      <c r="Q791" s="2">
        <v>61.93</v>
      </c>
      <c r="R791">
        <v>1</v>
      </c>
      <c r="S791">
        <v>0</v>
      </c>
      <c r="T791">
        <v>3</v>
      </c>
      <c r="U791">
        <v>4</v>
      </c>
    </row>
    <row r="792" spans="1:21" ht="16.5" x14ac:dyDescent="0.3">
      <c r="A792" t="s">
        <v>871</v>
      </c>
      <c r="B792" s="1">
        <v>45423</v>
      </c>
      <c r="C792">
        <v>2024</v>
      </c>
      <c r="D792" t="s">
        <v>599</v>
      </c>
      <c r="E792" t="s">
        <v>802</v>
      </c>
      <c r="F792" t="s">
        <v>24</v>
      </c>
      <c r="G792" t="s">
        <v>49</v>
      </c>
      <c r="H792" t="s">
        <v>32</v>
      </c>
      <c r="I792" t="s">
        <v>70</v>
      </c>
      <c r="J792" t="s">
        <v>162</v>
      </c>
      <c r="K792">
        <v>3</v>
      </c>
      <c r="L792" s="2">
        <v>636.09</v>
      </c>
      <c r="M792" s="3">
        <v>0.2</v>
      </c>
      <c r="N792" t="s">
        <v>34</v>
      </c>
      <c r="O792" s="2">
        <v>1526.62</v>
      </c>
      <c r="P792" s="2">
        <v>1506.2</v>
      </c>
      <c r="Q792" s="2">
        <v>20.420000000000002</v>
      </c>
      <c r="R792">
        <v>1</v>
      </c>
      <c r="S792">
        <v>0</v>
      </c>
      <c r="T792">
        <v>5</v>
      </c>
      <c r="U792">
        <v>3</v>
      </c>
    </row>
    <row r="793" spans="1:21" ht="16.5" x14ac:dyDescent="0.3">
      <c r="A793" t="s">
        <v>872</v>
      </c>
      <c r="B793" s="1">
        <v>45423</v>
      </c>
      <c r="C793">
        <v>2024</v>
      </c>
      <c r="D793" t="s">
        <v>599</v>
      </c>
      <c r="E793" t="s">
        <v>802</v>
      </c>
      <c r="F793" t="s">
        <v>31</v>
      </c>
      <c r="G793" t="s">
        <v>49</v>
      </c>
      <c r="H793" t="s">
        <v>32</v>
      </c>
      <c r="I793" t="s">
        <v>42</v>
      </c>
      <c r="J793" t="s">
        <v>89</v>
      </c>
      <c r="K793">
        <v>2</v>
      </c>
      <c r="L793" s="2">
        <v>68.349999999999994</v>
      </c>
      <c r="M793" s="3">
        <v>0.15</v>
      </c>
      <c r="N793" t="s">
        <v>34</v>
      </c>
      <c r="O793" s="2">
        <v>116.2</v>
      </c>
      <c r="P793" s="2">
        <v>90.02</v>
      </c>
      <c r="Q793" s="2">
        <v>26.18</v>
      </c>
      <c r="R793">
        <v>1</v>
      </c>
      <c r="S793">
        <v>0</v>
      </c>
      <c r="T793">
        <v>3</v>
      </c>
      <c r="U793">
        <v>5</v>
      </c>
    </row>
    <row r="794" spans="1:21" ht="16.5" x14ac:dyDescent="0.3">
      <c r="A794" t="s">
        <v>873</v>
      </c>
      <c r="B794" s="1">
        <v>45423</v>
      </c>
      <c r="C794">
        <v>2024</v>
      </c>
      <c r="D794" t="s">
        <v>599</v>
      </c>
      <c r="E794" t="s">
        <v>802</v>
      </c>
      <c r="F794" t="s">
        <v>45</v>
      </c>
      <c r="G794" t="s">
        <v>25</v>
      </c>
      <c r="H794" t="s">
        <v>32</v>
      </c>
      <c r="I794" t="s">
        <v>67</v>
      </c>
      <c r="J794" t="s">
        <v>103</v>
      </c>
      <c r="K794">
        <v>1</v>
      </c>
      <c r="L794" s="2">
        <v>83.06</v>
      </c>
      <c r="M794" s="3">
        <v>0</v>
      </c>
      <c r="N794" t="s">
        <v>38</v>
      </c>
      <c r="O794" s="2">
        <v>83.06</v>
      </c>
      <c r="P794" s="2">
        <v>56.41</v>
      </c>
      <c r="Q794" s="2">
        <v>26.65</v>
      </c>
      <c r="R794">
        <v>1</v>
      </c>
      <c r="S794">
        <v>0</v>
      </c>
      <c r="T794">
        <v>3</v>
      </c>
      <c r="U794">
        <v>4</v>
      </c>
    </row>
    <row r="795" spans="1:21" ht="16.5" x14ac:dyDescent="0.3">
      <c r="A795" t="s">
        <v>874</v>
      </c>
      <c r="B795" s="1">
        <v>45423</v>
      </c>
      <c r="C795">
        <v>2024</v>
      </c>
      <c r="D795" t="s">
        <v>599</v>
      </c>
      <c r="E795" t="s">
        <v>802</v>
      </c>
      <c r="F795" t="s">
        <v>24</v>
      </c>
      <c r="G795" t="s">
        <v>46</v>
      </c>
      <c r="H795" t="s">
        <v>32</v>
      </c>
      <c r="I795" t="s">
        <v>70</v>
      </c>
      <c r="J795" t="s">
        <v>129</v>
      </c>
      <c r="K795">
        <v>1</v>
      </c>
      <c r="L795" s="2">
        <v>177.65</v>
      </c>
      <c r="M795" s="3">
        <v>0</v>
      </c>
      <c r="N795" t="s">
        <v>38</v>
      </c>
      <c r="O795" s="2">
        <v>177.65</v>
      </c>
      <c r="P795" s="2">
        <v>141.37</v>
      </c>
      <c r="Q795" s="2">
        <v>36.28</v>
      </c>
      <c r="R795">
        <v>1</v>
      </c>
      <c r="S795">
        <v>0</v>
      </c>
      <c r="T795">
        <v>6</v>
      </c>
      <c r="U795">
        <v>4</v>
      </c>
    </row>
    <row r="796" spans="1:21" ht="16.5" x14ac:dyDescent="0.3">
      <c r="A796" t="s">
        <v>875</v>
      </c>
      <c r="B796" s="1">
        <v>45424</v>
      </c>
      <c r="C796">
        <v>2024</v>
      </c>
      <c r="D796" t="s">
        <v>599</v>
      </c>
      <c r="E796" t="s">
        <v>802</v>
      </c>
      <c r="F796" t="s">
        <v>24</v>
      </c>
      <c r="G796" t="s">
        <v>51</v>
      </c>
      <c r="H796" t="s">
        <v>26</v>
      </c>
      <c r="I796" t="s">
        <v>27</v>
      </c>
      <c r="J796" t="s">
        <v>60</v>
      </c>
      <c r="K796">
        <v>2</v>
      </c>
      <c r="L796" s="2">
        <v>94.85</v>
      </c>
      <c r="M796" s="3">
        <v>0</v>
      </c>
      <c r="N796" t="s">
        <v>38</v>
      </c>
      <c r="O796" s="2">
        <v>189.7</v>
      </c>
      <c r="P796" s="2">
        <v>101.05</v>
      </c>
      <c r="Q796" s="2">
        <v>88.65</v>
      </c>
      <c r="R796">
        <v>1</v>
      </c>
      <c r="S796">
        <v>0</v>
      </c>
      <c r="T796">
        <v>3</v>
      </c>
      <c r="U796">
        <v>4</v>
      </c>
    </row>
    <row r="797" spans="1:21" ht="16.5" x14ac:dyDescent="0.3">
      <c r="A797" t="s">
        <v>876</v>
      </c>
      <c r="B797" s="1">
        <v>45424</v>
      </c>
      <c r="C797">
        <v>2024</v>
      </c>
      <c r="D797" t="s">
        <v>599</v>
      </c>
      <c r="E797" t="s">
        <v>802</v>
      </c>
      <c r="F797" t="s">
        <v>24</v>
      </c>
      <c r="G797" t="s">
        <v>49</v>
      </c>
      <c r="H797" t="s">
        <v>32</v>
      </c>
      <c r="I797" t="s">
        <v>70</v>
      </c>
      <c r="J797" t="s">
        <v>71</v>
      </c>
      <c r="K797">
        <v>4</v>
      </c>
      <c r="L797" s="2">
        <v>588.41</v>
      </c>
      <c r="M797" s="3">
        <v>0.05</v>
      </c>
      <c r="N797" t="s">
        <v>29</v>
      </c>
      <c r="O797" s="2">
        <v>2235.96</v>
      </c>
      <c r="P797" s="2">
        <v>1937.35</v>
      </c>
      <c r="Q797" s="2">
        <v>298.61</v>
      </c>
      <c r="R797">
        <v>1</v>
      </c>
      <c r="S797">
        <v>0</v>
      </c>
      <c r="T797">
        <v>5</v>
      </c>
      <c r="U797">
        <v>5</v>
      </c>
    </row>
    <row r="798" spans="1:21" ht="16.5" x14ac:dyDescent="0.3">
      <c r="A798" t="s">
        <v>877</v>
      </c>
      <c r="B798" s="1">
        <v>45424</v>
      </c>
      <c r="C798">
        <v>2024</v>
      </c>
      <c r="D798" t="s">
        <v>599</v>
      </c>
      <c r="E798" t="s">
        <v>802</v>
      </c>
      <c r="F798" t="s">
        <v>31</v>
      </c>
      <c r="G798" t="s">
        <v>46</v>
      </c>
      <c r="H798" t="s">
        <v>32</v>
      </c>
      <c r="I798" t="s">
        <v>70</v>
      </c>
      <c r="J798" t="s">
        <v>129</v>
      </c>
      <c r="K798">
        <v>1</v>
      </c>
      <c r="L798" s="2">
        <v>177.65</v>
      </c>
      <c r="M798" s="3">
        <v>0.15</v>
      </c>
      <c r="N798" t="s">
        <v>34</v>
      </c>
      <c r="O798" s="2">
        <v>151</v>
      </c>
      <c r="P798" s="2">
        <v>136.44999999999999</v>
      </c>
      <c r="Q798" s="2">
        <v>14.55</v>
      </c>
      <c r="R798">
        <v>1</v>
      </c>
      <c r="S798">
        <v>0</v>
      </c>
      <c r="T798">
        <v>6</v>
      </c>
      <c r="U798">
        <v>4</v>
      </c>
    </row>
    <row r="799" spans="1:21" ht="16.5" x14ac:dyDescent="0.3">
      <c r="A799" t="s">
        <v>878</v>
      </c>
      <c r="B799" s="1">
        <v>45424</v>
      </c>
      <c r="C799">
        <v>2024</v>
      </c>
      <c r="D799" t="s">
        <v>599</v>
      </c>
      <c r="E799" t="s">
        <v>802</v>
      </c>
      <c r="F799" t="s">
        <v>45</v>
      </c>
      <c r="G799" t="s">
        <v>51</v>
      </c>
      <c r="H799" t="s">
        <v>26</v>
      </c>
      <c r="I799" t="s">
        <v>42</v>
      </c>
      <c r="J799" t="s">
        <v>89</v>
      </c>
      <c r="K799">
        <v>2</v>
      </c>
      <c r="L799" s="2">
        <v>68.349999999999994</v>
      </c>
      <c r="M799" s="3">
        <v>0.15</v>
      </c>
      <c r="N799" t="s">
        <v>34</v>
      </c>
      <c r="O799" s="2">
        <v>116.2</v>
      </c>
      <c r="P799" s="2">
        <v>89.83</v>
      </c>
      <c r="Q799" s="2">
        <v>26.37</v>
      </c>
      <c r="R799">
        <v>1</v>
      </c>
      <c r="S799">
        <v>0</v>
      </c>
      <c r="T799">
        <v>3</v>
      </c>
      <c r="U799">
        <v>4</v>
      </c>
    </row>
    <row r="800" spans="1:21" ht="16.5" x14ac:dyDescent="0.3">
      <c r="A800" t="s">
        <v>879</v>
      </c>
      <c r="B800" s="1">
        <v>45424</v>
      </c>
      <c r="C800">
        <v>2024</v>
      </c>
      <c r="D800" t="s">
        <v>599</v>
      </c>
      <c r="E800" t="s">
        <v>802</v>
      </c>
      <c r="F800" t="s">
        <v>24</v>
      </c>
      <c r="G800" t="s">
        <v>51</v>
      </c>
      <c r="H800" t="s">
        <v>32</v>
      </c>
      <c r="I800" t="s">
        <v>70</v>
      </c>
      <c r="J800" t="s">
        <v>252</v>
      </c>
      <c r="K800">
        <v>1</v>
      </c>
      <c r="L800" s="2">
        <v>216.08</v>
      </c>
      <c r="M800" s="3">
        <v>0.25</v>
      </c>
      <c r="N800" t="s">
        <v>62</v>
      </c>
      <c r="O800" s="2">
        <v>162.06</v>
      </c>
      <c r="P800" s="2">
        <v>171.62</v>
      </c>
      <c r="Q800" s="2">
        <v>-9.56</v>
      </c>
      <c r="R800">
        <v>1</v>
      </c>
      <c r="S800">
        <v>0</v>
      </c>
      <c r="T800">
        <v>3</v>
      </c>
      <c r="U800">
        <v>4</v>
      </c>
    </row>
    <row r="801" spans="1:21" ht="16.5" x14ac:dyDescent="0.3">
      <c r="A801" t="s">
        <v>880</v>
      </c>
      <c r="B801" s="1">
        <v>45424</v>
      </c>
      <c r="C801">
        <v>2024</v>
      </c>
      <c r="D801" t="s">
        <v>599</v>
      </c>
      <c r="E801" t="s">
        <v>802</v>
      </c>
      <c r="F801" t="s">
        <v>31</v>
      </c>
      <c r="G801" t="s">
        <v>46</v>
      </c>
      <c r="H801" t="s">
        <v>32</v>
      </c>
      <c r="I801" t="s">
        <v>42</v>
      </c>
      <c r="J801" t="s">
        <v>89</v>
      </c>
      <c r="K801">
        <v>1</v>
      </c>
      <c r="L801" s="2">
        <v>68.349999999999994</v>
      </c>
      <c r="M801" s="3">
        <v>0.05</v>
      </c>
      <c r="N801" t="s">
        <v>29</v>
      </c>
      <c r="O801" s="2">
        <v>64.930000000000007</v>
      </c>
      <c r="P801" s="2">
        <v>46.39</v>
      </c>
      <c r="Q801" s="2">
        <v>18.54</v>
      </c>
      <c r="R801">
        <v>1</v>
      </c>
      <c r="S801">
        <v>0</v>
      </c>
      <c r="T801">
        <v>5</v>
      </c>
      <c r="U801">
        <v>4</v>
      </c>
    </row>
    <row r="802" spans="1:21" ht="16.5" x14ac:dyDescent="0.3">
      <c r="A802" t="s">
        <v>881</v>
      </c>
      <c r="B802" s="1">
        <v>45424</v>
      </c>
      <c r="C802">
        <v>2024</v>
      </c>
      <c r="D802" t="s">
        <v>599</v>
      </c>
      <c r="E802" t="s">
        <v>802</v>
      </c>
      <c r="F802" t="s">
        <v>45</v>
      </c>
      <c r="G802" t="s">
        <v>65</v>
      </c>
      <c r="H802" t="s">
        <v>26</v>
      </c>
      <c r="I802" t="s">
        <v>36</v>
      </c>
      <c r="J802" t="s">
        <v>126</v>
      </c>
      <c r="K802">
        <v>1</v>
      </c>
      <c r="L802" s="2">
        <v>54.56</v>
      </c>
      <c r="M802" s="3">
        <v>0.1</v>
      </c>
      <c r="N802" t="s">
        <v>29</v>
      </c>
      <c r="O802" s="2">
        <v>49.1</v>
      </c>
      <c r="P802" s="2">
        <v>24.01</v>
      </c>
      <c r="Q802" s="2">
        <v>25.09</v>
      </c>
      <c r="R802">
        <v>1</v>
      </c>
      <c r="S802">
        <v>0</v>
      </c>
      <c r="T802">
        <v>5</v>
      </c>
      <c r="U802">
        <v>4</v>
      </c>
    </row>
    <row r="803" spans="1:21" ht="16.5" x14ac:dyDescent="0.3">
      <c r="A803" t="s">
        <v>882</v>
      </c>
      <c r="B803" s="1">
        <v>45425</v>
      </c>
      <c r="C803">
        <v>2024</v>
      </c>
      <c r="D803" t="s">
        <v>599</v>
      </c>
      <c r="E803" t="s">
        <v>802</v>
      </c>
      <c r="F803" t="s">
        <v>24</v>
      </c>
      <c r="G803" t="s">
        <v>49</v>
      </c>
      <c r="H803" t="s">
        <v>32</v>
      </c>
      <c r="I803" t="s">
        <v>70</v>
      </c>
      <c r="J803" t="s">
        <v>129</v>
      </c>
      <c r="K803">
        <v>1</v>
      </c>
      <c r="L803" s="2">
        <v>177.65</v>
      </c>
      <c r="M803" s="3">
        <v>0.1</v>
      </c>
      <c r="N803" t="s">
        <v>29</v>
      </c>
      <c r="O803" s="2">
        <v>159.88999999999999</v>
      </c>
      <c r="P803" s="2">
        <v>152.34</v>
      </c>
      <c r="Q803" s="2">
        <v>7.55</v>
      </c>
      <c r="R803">
        <v>1</v>
      </c>
      <c r="S803">
        <v>0</v>
      </c>
      <c r="T803">
        <v>5</v>
      </c>
      <c r="U803">
        <v>5</v>
      </c>
    </row>
    <row r="804" spans="1:21" ht="16.5" x14ac:dyDescent="0.3">
      <c r="A804" t="s">
        <v>883</v>
      </c>
      <c r="B804" s="1">
        <v>45425</v>
      </c>
      <c r="C804">
        <v>2024</v>
      </c>
      <c r="D804" t="s">
        <v>599</v>
      </c>
      <c r="E804" t="s">
        <v>802</v>
      </c>
      <c r="F804" t="s">
        <v>24</v>
      </c>
      <c r="G804" t="s">
        <v>25</v>
      </c>
      <c r="H804" t="s">
        <v>32</v>
      </c>
      <c r="I804" t="s">
        <v>27</v>
      </c>
      <c r="J804" t="s">
        <v>60</v>
      </c>
      <c r="K804">
        <v>1</v>
      </c>
      <c r="L804" s="2">
        <v>94.85</v>
      </c>
      <c r="M804" s="3">
        <v>0</v>
      </c>
      <c r="N804" t="s">
        <v>38</v>
      </c>
      <c r="O804" s="2">
        <v>94.85</v>
      </c>
      <c r="P804" s="2">
        <v>51.53</v>
      </c>
      <c r="Q804" s="2">
        <v>43.32</v>
      </c>
      <c r="R804">
        <v>1</v>
      </c>
      <c r="S804">
        <v>1</v>
      </c>
      <c r="T804">
        <v>3</v>
      </c>
      <c r="U804">
        <v>3</v>
      </c>
    </row>
    <row r="805" spans="1:21" ht="16.5" x14ac:dyDescent="0.3">
      <c r="A805" t="s">
        <v>884</v>
      </c>
      <c r="B805" s="1">
        <v>45425</v>
      </c>
      <c r="C805">
        <v>2024</v>
      </c>
      <c r="D805" t="s">
        <v>599</v>
      </c>
      <c r="E805" t="s">
        <v>802</v>
      </c>
      <c r="F805" t="s">
        <v>45</v>
      </c>
      <c r="G805" t="s">
        <v>25</v>
      </c>
      <c r="H805" t="s">
        <v>32</v>
      </c>
      <c r="I805" t="s">
        <v>27</v>
      </c>
      <c r="J805" t="s">
        <v>28</v>
      </c>
      <c r="K805">
        <v>3</v>
      </c>
      <c r="L805" s="2">
        <v>138.5</v>
      </c>
      <c r="M805" s="3">
        <v>0.05</v>
      </c>
      <c r="N805" t="s">
        <v>29</v>
      </c>
      <c r="O805" s="2">
        <v>394.72</v>
      </c>
      <c r="P805" s="2">
        <v>214.39</v>
      </c>
      <c r="Q805" s="2">
        <v>180.33</v>
      </c>
      <c r="R805">
        <v>1</v>
      </c>
      <c r="S805">
        <v>1</v>
      </c>
      <c r="T805">
        <v>3</v>
      </c>
      <c r="U805">
        <v>3</v>
      </c>
    </row>
    <row r="806" spans="1:21" ht="16.5" x14ac:dyDescent="0.3">
      <c r="A806" t="s">
        <v>885</v>
      </c>
      <c r="B806" s="1">
        <v>45425</v>
      </c>
      <c r="C806">
        <v>2024</v>
      </c>
      <c r="D806" t="s">
        <v>599</v>
      </c>
      <c r="E806" t="s">
        <v>802</v>
      </c>
      <c r="F806" t="s">
        <v>24</v>
      </c>
      <c r="G806" t="s">
        <v>65</v>
      </c>
      <c r="H806" t="s">
        <v>26</v>
      </c>
      <c r="I806" t="s">
        <v>70</v>
      </c>
      <c r="J806" t="s">
        <v>87</v>
      </c>
      <c r="K806">
        <v>1</v>
      </c>
      <c r="L806" s="2">
        <v>490.3</v>
      </c>
      <c r="M806" s="3">
        <v>0</v>
      </c>
      <c r="N806" t="s">
        <v>38</v>
      </c>
      <c r="O806" s="2">
        <v>490.3</v>
      </c>
      <c r="P806" s="2">
        <v>397.18</v>
      </c>
      <c r="Q806" s="2">
        <v>93.12</v>
      </c>
      <c r="R806">
        <v>1</v>
      </c>
      <c r="S806">
        <v>1</v>
      </c>
      <c r="T806">
        <v>5</v>
      </c>
      <c r="U806">
        <v>3</v>
      </c>
    </row>
    <row r="807" spans="1:21" ht="16.5" x14ac:dyDescent="0.3">
      <c r="A807" t="s">
        <v>886</v>
      </c>
      <c r="B807" s="1">
        <v>45425</v>
      </c>
      <c r="C807">
        <v>2024</v>
      </c>
      <c r="D807" t="s">
        <v>599</v>
      </c>
      <c r="E807" t="s">
        <v>802</v>
      </c>
      <c r="F807" t="s">
        <v>31</v>
      </c>
      <c r="G807" t="s">
        <v>49</v>
      </c>
      <c r="H807" t="s">
        <v>32</v>
      </c>
      <c r="I807" t="s">
        <v>36</v>
      </c>
      <c r="J807" t="s">
        <v>115</v>
      </c>
      <c r="K807">
        <v>3</v>
      </c>
      <c r="L807" s="2">
        <v>33.479999999999997</v>
      </c>
      <c r="M807" s="3">
        <v>0.1</v>
      </c>
      <c r="N807" t="s">
        <v>29</v>
      </c>
      <c r="O807" s="2">
        <v>90.4</v>
      </c>
      <c r="P807" s="2">
        <v>49.15</v>
      </c>
      <c r="Q807" s="2">
        <v>41.25</v>
      </c>
      <c r="R807">
        <v>1</v>
      </c>
      <c r="S807">
        <v>0</v>
      </c>
      <c r="T807">
        <v>4</v>
      </c>
      <c r="U807">
        <v>4</v>
      </c>
    </row>
    <row r="808" spans="1:21" ht="16.5" x14ac:dyDescent="0.3">
      <c r="A808" t="s">
        <v>887</v>
      </c>
      <c r="B808" s="1">
        <v>45426</v>
      </c>
      <c r="C808">
        <v>2024</v>
      </c>
      <c r="D808" t="s">
        <v>599</v>
      </c>
      <c r="E808" t="s">
        <v>802</v>
      </c>
      <c r="F808" t="s">
        <v>31</v>
      </c>
      <c r="G808" t="s">
        <v>25</v>
      </c>
      <c r="H808" t="s">
        <v>32</v>
      </c>
      <c r="I808" t="s">
        <v>36</v>
      </c>
      <c r="J808" t="s">
        <v>52</v>
      </c>
      <c r="K808">
        <v>1</v>
      </c>
      <c r="L808" s="2">
        <v>92.54</v>
      </c>
      <c r="M808" s="3">
        <v>0</v>
      </c>
      <c r="N808" t="s">
        <v>38</v>
      </c>
      <c r="O808" s="2">
        <v>92.54</v>
      </c>
      <c r="P808" s="2">
        <v>44.72</v>
      </c>
      <c r="Q808" s="2">
        <v>47.82</v>
      </c>
      <c r="R808">
        <v>1</v>
      </c>
      <c r="S808">
        <v>0</v>
      </c>
      <c r="T808">
        <v>4</v>
      </c>
      <c r="U808">
        <v>4</v>
      </c>
    </row>
    <row r="809" spans="1:21" ht="16.5" x14ac:dyDescent="0.3">
      <c r="A809" t="s">
        <v>888</v>
      </c>
      <c r="B809" s="1">
        <v>45426</v>
      </c>
      <c r="C809">
        <v>2024</v>
      </c>
      <c r="D809" t="s">
        <v>599</v>
      </c>
      <c r="E809" t="s">
        <v>802</v>
      </c>
      <c r="F809" t="s">
        <v>24</v>
      </c>
      <c r="G809" t="s">
        <v>49</v>
      </c>
      <c r="H809" t="s">
        <v>32</v>
      </c>
      <c r="I809" t="s">
        <v>27</v>
      </c>
      <c r="J809" t="s">
        <v>47</v>
      </c>
      <c r="K809">
        <v>2</v>
      </c>
      <c r="L809" s="2">
        <v>33.99</v>
      </c>
      <c r="M809" s="3">
        <v>0.05</v>
      </c>
      <c r="N809" t="s">
        <v>29</v>
      </c>
      <c r="O809" s="2">
        <v>64.58</v>
      </c>
      <c r="P809" s="2">
        <v>36.78</v>
      </c>
      <c r="Q809" s="2">
        <v>27.8</v>
      </c>
      <c r="R809">
        <v>1</v>
      </c>
      <c r="S809">
        <v>1</v>
      </c>
      <c r="T809">
        <v>5</v>
      </c>
      <c r="U809">
        <v>3</v>
      </c>
    </row>
    <row r="810" spans="1:21" ht="16.5" x14ac:dyDescent="0.3">
      <c r="A810" t="s">
        <v>889</v>
      </c>
      <c r="B810" s="1">
        <v>45426</v>
      </c>
      <c r="C810">
        <v>2024</v>
      </c>
      <c r="D810" t="s">
        <v>599</v>
      </c>
      <c r="E810" t="s">
        <v>802</v>
      </c>
      <c r="F810" t="s">
        <v>45</v>
      </c>
      <c r="G810" t="s">
        <v>25</v>
      </c>
      <c r="H810" t="s">
        <v>26</v>
      </c>
      <c r="I810" t="s">
        <v>70</v>
      </c>
      <c r="J810" t="s">
        <v>82</v>
      </c>
      <c r="K810">
        <v>2</v>
      </c>
      <c r="L810" s="2">
        <v>508.8</v>
      </c>
      <c r="M810" s="3">
        <v>0</v>
      </c>
      <c r="N810" t="s">
        <v>38</v>
      </c>
      <c r="O810" s="2">
        <v>1017.6</v>
      </c>
      <c r="P810" s="2">
        <v>804.64</v>
      </c>
      <c r="Q810" s="2">
        <v>212.96</v>
      </c>
      <c r="R810">
        <v>1</v>
      </c>
      <c r="S810">
        <v>0</v>
      </c>
      <c r="T810">
        <v>4</v>
      </c>
      <c r="U810">
        <v>3</v>
      </c>
    </row>
    <row r="811" spans="1:21" ht="16.5" x14ac:dyDescent="0.3">
      <c r="A811" t="s">
        <v>890</v>
      </c>
      <c r="B811" s="1">
        <v>45427</v>
      </c>
      <c r="C811">
        <v>2024</v>
      </c>
      <c r="D811" t="s">
        <v>599</v>
      </c>
      <c r="E811" t="s">
        <v>802</v>
      </c>
      <c r="F811" t="s">
        <v>24</v>
      </c>
      <c r="G811" t="s">
        <v>25</v>
      </c>
      <c r="H811" t="s">
        <v>32</v>
      </c>
      <c r="I811" t="s">
        <v>36</v>
      </c>
      <c r="J811" t="s">
        <v>56</v>
      </c>
      <c r="K811">
        <v>2</v>
      </c>
      <c r="L811" s="2">
        <v>74.3</v>
      </c>
      <c r="M811" s="3">
        <v>0.15</v>
      </c>
      <c r="N811" t="s">
        <v>34</v>
      </c>
      <c r="O811" s="2">
        <v>126.31</v>
      </c>
      <c r="P811" s="2">
        <v>73.59</v>
      </c>
      <c r="Q811" s="2">
        <v>52.72</v>
      </c>
      <c r="R811">
        <v>1</v>
      </c>
      <c r="S811">
        <v>0</v>
      </c>
      <c r="T811">
        <v>3</v>
      </c>
      <c r="U811">
        <v>5</v>
      </c>
    </row>
    <row r="812" spans="1:21" ht="16.5" x14ac:dyDescent="0.3">
      <c r="A812" t="s">
        <v>891</v>
      </c>
      <c r="B812" s="1">
        <v>45427</v>
      </c>
      <c r="C812">
        <v>2024</v>
      </c>
      <c r="D812" t="s">
        <v>599</v>
      </c>
      <c r="E812" t="s">
        <v>802</v>
      </c>
      <c r="F812" t="s">
        <v>31</v>
      </c>
      <c r="G812" t="s">
        <v>49</v>
      </c>
      <c r="H812" t="s">
        <v>26</v>
      </c>
      <c r="I812" t="s">
        <v>67</v>
      </c>
      <c r="J812" t="s">
        <v>103</v>
      </c>
      <c r="K812">
        <v>1</v>
      </c>
      <c r="L812" s="2">
        <v>83.06</v>
      </c>
      <c r="M812" s="3">
        <v>0.1</v>
      </c>
      <c r="N812" t="s">
        <v>29</v>
      </c>
      <c r="O812" s="2">
        <v>74.75</v>
      </c>
      <c r="P812" s="2">
        <v>55.39</v>
      </c>
      <c r="Q812" s="2">
        <v>19.36</v>
      </c>
      <c r="R812">
        <v>1</v>
      </c>
      <c r="S812">
        <v>0</v>
      </c>
      <c r="T812">
        <v>5</v>
      </c>
      <c r="U812">
        <v>4</v>
      </c>
    </row>
    <row r="813" spans="1:21" ht="16.5" x14ac:dyDescent="0.3">
      <c r="A813" t="s">
        <v>892</v>
      </c>
      <c r="B813" s="1">
        <v>45427</v>
      </c>
      <c r="C813">
        <v>2024</v>
      </c>
      <c r="D813" t="s">
        <v>599</v>
      </c>
      <c r="E813" t="s">
        <v>802</v>
      </c>
      <c r="F813" t="s">
        <v>31</v>
      </c>
      <c r="G813" t="s">
        <v>46</v>
      </c>
      <c r="H813" t="s">
        <v>26</v>
      </c>
      <c r="I813" t="s">
        <v>84</v>
      </c>
      <c r="J813" t="s">
        <v>85</v>
      </c>
      <c r="K813">
        <v>1</v>
      </c>
      <c r="L813" s="2">
        <v>57.92</v>
      </c>
      <c r="M813" s="3">
        <v>0.25</v>
      </c>
      <c r="N813" t="s">
        <v>62</v>
      </c>
      <c r="O813" s="2">
        <v>43.44</v>
      </c>
      <c r="P813" s="2">
        <v>40.42</v>
      </c>
      <c r="Q813" s="2">
        <v>3.02</v>
      </c>
      <c r="R813">
        <v>1</v>
      </c>
      <c r="S813">
        <v>0</v>
      </c>
      <c r="T813">
        <v>5</v>
      </c>
      <c r="U813">
        <v>3</v>
      </c>
    </row>
    <row r="814" spans="1:21" ht="16.5" x14ac:dyDescent="0.3">
      <c r="A814" t="s">
        <v>893</v>
      </c>
      <c r="B814" s="1">
        <v>45427</v>
      </c>
      <c r="C814">
        <v>2024</v>
      </c>
      <c r="D814" t="s">
        <v>599</v>
      </c>
      <c r="E814" t="s">
        <v>802</v>
      </c>
      <c r="F814" t="s">
        <v>31</v>
      </c>
      <c r="G814" t="s">
        <v>51</v>
      </c>
      <c r="H814" t="s">
        <v>32</v>
      </c>
      <c r="I814" t="s">
        <v>27</v>
      </c>
      <c r="J814" t="s">
        <v>33</v>
      </c>
      <c r="K814">
        <v>1</v>
      </c>
      <c r="L814" s="2">
        <v>78.510000000000005</v>
      </c>
      <c r="M814" s="3">
        <v>0</v>
      </c>
      <c r="N814" t="s">
        <v>38</v>
      </c>
      <c r="O814" s="2">
        <v>78.510000000000005</v>
      </c>
      <c r="P814" s="2">
        <v>43.6</v>
      </c>
      <c r="Q814" s="2">
        <v>34.909999999999997</v>
      </c>
      <c r="R814">
        <v>1</v>
      </c>
      <c r="S814">
        <v>1</v>
      </c>
      <c r="T814">
        <v>3</v>
      </c>
      <c r="U814">
        <v>3</v>
      </c>
    </row>
    <row r="815" spans="1:21" ht="16.5" x14ac:dyDescent="0.3">
      <c r="A815" t="s">
        <v>894</v>
      </c>
      <c r="B815" s="1">
        <v>45427</v>
      </c>
      <c r="C815">
        <v>2024</v>
      </c>
      <c r="D815" t="s">
        <v>599</v>
      </c>
      <c r="E815" t="s">
        <v>802</v>
      </c>
      <c r="F815" t="s">
        <v>24</v>
      </c>
      <c r="G815" t="s">
        <v>49</v>
      </c>
      <c r="H815" t="s">
        <v>26</v>
      </c>
      <c r="I815" t="s">
        <v>36</v>
      </c>
      <c r="J815" t="s">
        <v>37</v>
      </c>
      <c r="K815">
        <v>1</v>
      </c>
      <c r="L815" s="2">
        <v>33.18</v>
      </c>
      <c r="M815" s="3">
        <v>0</v>
      </c>
      <c r="N815" t="s">
        <v>38</v>
      </c>
      <c r="O815" s="2">
        <v>33.18</v>
      </c>
      <c r="P815" s="2">
        <v>16.54</v>
      </c>
      <c r="Q815" s="2">
        <v>16.64</v>
      </c>
      <c r="R815">
        <v>1</v>
      </c>
      <c r="S815">
        <v>0</v>
      </c>
      <c r="T815">
        <v>3</v>
      </c>
      <c r="U815">
        <v>4</v>
      </c>
    </row>
    <row r="816" spans="1:21" ht="16.5" x14ac:dyDescent="0.3">
      <c r="A816" t="s">
        <v>895</v>
      </c>
      <c r="B816" s="1">
        <v>45427</v>
      </c>
      <c r="C816">
        <v>2024</v>
      </c>
      <c r="D816" t="s">
        <v>599</v>
      </c>
      <c r="E816" t="s">
        <v>802</v>
      </c>
      <c r="F816" t="s">
        <v>24</v>
      </c>
      <c r="G816" t="s">
        <v>51</v>
      </c>
      <c r="H816" t="s">
        <v>32</v>
      </c>
      <c r="I816" t="s">
        <v>70</v>
      </c>
      <c r="J816" t="s">
        <v>87</v>
      </c>
      <c r="K816">
        <v>1</v>
      </c>
      <c r="L816" s="2">
        <v>490.3</v>
      </c>
      <c r="M816" s="3">
        <v>0.1</v>
      </c>
      <c r="N816" t="s">
        <v>29</v>
      </c>
      <c r="O816" s="2">
        <v>441.27</v>
      </c>
      <c r="P816" s="2">
        <v>398.53</v>
      </c>
      <c r="Q816" s="2">
        <v>42.74</v>
      </c>
      <c r="R816">
        <v>1</v>
      </c>
      <c r="S816">
        <v>1</v>
      </c>
      <c r="T816">
        <v>3</v>
      </c>
      <c r="U816">
        <v>4</v>
      </c>
    </row>
    <row r="817" spans="1:21" ht="16.5" x14ac:dyDescent="0.3">
      <c r="A817" t="s">
        <v>896</v>
      </c>
      <c r="B817" s="1">
        <v>45427</v>
      </c>
      <c r="C817">
        <v>2024</v>
      </c>
      <c r="D817" t="s">
        <v>599</v>
      </c>
      <c r="E817" t="s">
        <v>802</v>
      </c>
      <c r="F817" t="s">
        <v>31</v>
      </c>
      <c r="G817" t="s">
        <v>51</v>
      </c>
      <c r="H817" t="s">
        <v>26</v>
      </c>
      <c r="I817" t="s">
        <v>67</v>
      </c>
      <c r="J817" t="s">
        <v>68</v>
      </c>
      <c r="K817">
        <v>1</v>
      </c>
      <c r="L817" s="2">
        <v>74.459999999999994</v>
      </c>
      <c r="M817" s="3">
        <v>0</v>
      </c>
      <c r="N817" t="s">
        <v>38</v>
      </c>
      <c r="O817" s="2">
        <v>74.459999999999994</v>
      </c>
      <c r="P817" s="2">
        <v>51.41</v>
      </c>
      <c r="Q817" s="2">
        <v>23.05</v>
      </c>
      <c r="R817">
        <v>1</v>
      </c>
      <c r="S817">
        <v>0</v>
      </c>
      <c r="T817">
        <v>2</v>
      </c>
      <c r="U817">
        <v>5</v>
      </c>
    </row>
    <row r="818" spans="1:21" ht="16.5" x14ac:dyDescent="0.3">
      <c r="A818" t="s">
        <v>897</v>
      </c>
      <c r="B818" s="1">
        <v>45427</v>
      </c>
      <c r="C818">
        <v>2024</v>
      </c>
      <c r="D818" t="s">
        <v>599</v>
      </c>
      <c r="E818" t="s">
        <v>802</v>
      </c>
      <c r="F818" t="s">
        <v>45</v>
      </c>
      <c r="G818" t="s">
        <v>25</v>
      </c>
      <c r="H818" t="s">
        <v>32</v>
      </c>
      <c r="I818" t="s">
        <v>70</v>
      </c>
      <c r="J818" t="s">
        <v>252</v>
      </c>
      <c r="K818">
        <v>3</v>
      </c>
      <c r="L818" s="2">
        <v>216.08</v>
      </c>
      <c r="M818" s="3">
        <v>0.1</v>
      </c>
      <c r="N818" t="s">
        <v>29</v>
      </c>
      <c r="O818" s="2">
        <v>583.41999999999996</v>
      </c>
      <c r="P818" s="2">
        <v>530.91999999999996</v>
      </c>
      <c r="Q818" s="2">
        <v>52.5</v>
      </c>
      <c r="R818">
        <v>1</v>
      </c>
      <c r="S818">
        <v>0</v>
      </c>
      <c r="T818">
        <v>4</v>
      </c>
      <c r="U818">
        <v>4</v>
      </c>
    </row>
    <row r="819" spans="1:21" ht="16.5" x14ac:dyDescent="0.3">
      <c r="A819" t="s">
        <v>898</v>
      </c>
      <c r="B819" s="1">
        <v>45427</v>
      </c>
      <c r="C819">
        <v>2024</v>
      </c>
      <c r="D819" t="s">
        <v>599</v>
      </c>
      <c r="E819" t="s">
        <v>802</v>
      </c>
      <c r="F819" t="s">
        <v>24</v>
      </c>
      <c r="G819" t="s">
        <v>51</v>
      </c>
      <c r="H819" t="s">
        <v>32</v>
      </c>
      <c r="I819" t="s">
        <v>70</v>
      </c>
      <c r="J819" t="s">
        <v>82</v>
      </c>
      <c r="K819">
        <v>1</v>
      </c>
      <c r="L819" s="2">
        <v>508.8</v>
      </c>
      <c r="M819" s="3">
        <v>0.1</v>
      </c>
      <c r="N819" t="s">
        <v>29</v>
      </c>
      <c r="O819" s="2">
        <v>457.92</v>
      </c>
      <c r="P819" s="2">
        <v>412.4</v>
      </c>
      <c r="Q819" s="2">
        <v>45.52</v>
      </c>
      <c r="R819">
        <v>1</v>
      </c>
      <c r="S819">
        <v>0</v>
      </c>
      <c r="T819">
        <v>4</v>
      </c>
      <c r="U819">
        <v>5</v>
      </c>
    </row>
    <row r="820" spans="1:21" ht="16.5" x14ac:dyDescent="0.3">
      <c r="A820" t="s">
        <v>899</v>
      </c>
      <c r="B820" s="1">
        <v>45427</v>
      </c>
      <c r="C820">
        <v>2024</v>
      </c>
      <c r="D820" t="s">
        <v>599</v>
      </c>
      <c r="E820" t="s">
        <v>802</v>
      </c>
      <c r="F820" t="s">
        <v>24</v>
      </c>
      <c r="G820" t="s">
        <v>51</v>
      </c>
      <c r="H820" t="s">
        <v>26</v>
      </c>
      <c r="I820" t="s">
        <v>70</v>
      </c>
      <c r="J820" t="s">
        <v>252</v>
      </c>
      <c r="K820">
        <v>1</v>
      </c>
      <c r="L820" s="2">
        <v>216.08</v>
      </c>
      <c r="M820" s="3">
        <v>0.3</v>
      </c>
      <c r="N820" t="s">
        <v>62</v>
      </c>
      <c r="O820" s="2">
        <v>151.26</v>
      </c>
      <c r="P820" s="2">
        <v>171.63</v>
      </c>
      <c r="Q820" s="2">
        <v>-20.37</v>
      </c>
      <c r="R820">
        <v>1</v>
      </c>
      <c r="S820">
        <v>0</v>
      </c>
      <c r="T820">
        <v>4</v>
      </c>
      <c r="U820">
        <v>4</v>
      </c>
    </row>
    <row r="821" spans="1:21" ht="16.5" x14ac:dyDescent="0.3">
      <c r="A821" t="s">
        <v>900</v>
      </c>
      <c r="B821" s="1">
        <v>45428</v>
      </c>
      <c r="C821">
        <v>2024</v>
      </c>
      <c r="D821" t="s">
        <v>599</v>
      </c>
      <c r="E821" t="s">
        <v>802</v>
      </c>
      <c r="F821" t="s">
        <v>31</v>
      </c>
      <c r="G821" t="s">
        <v>51</v>
      </c>
      <c r="H821" t="s">
        <v>32</v>
      </c>
      <c r="I821" t="s">
        <v>36</v>
      </c>
      <c r="J821" t="s">
        <v>126</v>
      </c>
      <c r="K821">
        <v>1</v>
      </c>
      <c r="L821" s="2">
        <v>54.56</v>
      </c>
      <c r="M821" s="3">
        <v>0</v>
      </c>
      <c r="N821" t="s">
        <v>38</v>
      </c>
      <c r="O821" s="2">
        <v>54.56</v>
      </c>
      <c r="P821" s="2">
        <v>26.3</v>
      </c>
      <c r="Q821" s="2">
        <v>28.26</v>
      </c>
      <c r="R821">
        <v>1</v>
      </c>
      <c r="S821">
        <v>0</v>
      </c>
      <c r="T821">
        <v>2</v>
      </c>
      <c r="U821">
        <v>4</v>
      </c>
    </row>
    <row r="822" spans="1:21" ht="16.5" x14ac:dyDescent="0.3">
      <c r="A822" t="s">
        <v>901</v>
      </c>
      <c r="B822" s="1">
        <v>45429</v>
      </c>
      <c r="C822">
        <v>2024</v>
      </c>
      <c r="D822" t="s">
        <v>599</v>
      </c>
      <c r="E822" t="s">
        <v>802</v>
      </c>
      <c r="F822" t="s">
        <v>24</v>
      </c>
      <c r="G822" t="s">
        <v>51</v>
      </c>
      <c r="H822" t="s">
        <v>32</v>
      </c>
      <c r="I822" t="s">
        <v>27</v>
      </c>
      <c r="J822" t="s">
        <v>33</v>
      </c>
      <c r="K822">
        <v>4</v>
      </c>
      <c r="L822" s="2">
        <v>78.510000000000005</v>
      </c>
      <c r="M822" s="3">
        <v>0</v>
      </c>
      <c r="N822" t="s">
        <v>38</v>
      </c>
      <c r="O822" s="2">
        <v>314.04000000000002</v>
      </c>
      <c r="P822" s="2">
        <v>172.49</v>
      </c>
      <c r="Q822" s="2">
        <v>141.55000000000001</v>
      </c>
      <c r="R822">
        <v>1</v>
      </c>
      <c r="S822">
        <v>0</v>
      </c>
      <c r="T822">
        <v>3</v>
      </c>
      <c r="U822">
        <v>5</v>
      </c>
    </row>
    <row r="823" spans="1:21" ht="16.5" x14ac:dyDescent="0.3">
      <c r="A823" t="s">
        <v>902</v>
      </c>
      <c r="B823" s="1">
        <v>45429</v>
      </c>
      <c r="C823">
        <v>2024</v>
      </c>
      <c r="D823" t="s">
        <v>599</v>
      </c>
      <c r="E823" t="s">
        <v>802</v>
      </c>
      <c r="F823" t="s">
        <v>24</v>
      </c>
      <c r="G823" t="s">
        <v>25</v>
      </c>
      <c r="H823" t="s">
        <v>32</v>
      </c>
      <c r="I823" t="s">
        <v>36</v>
      </c>
      <c r="J823" t="s">
        <v>126</v>
      </c>
      <c r="K823">
        <v>4</v>
      </c>
      <c r="L823" s="2">
        <v>54.56</v>
      </c>
      <c r="M823" s="3">
        <v>0.15</v>
      </c>
      <c r="N823" t="s">
        <v>34</v>
      </c>
      <c r="O823" s="2">
        <v>185.5</v>
      </c>
      <c r="P823" s="2">
        <v>102.73</v>
      </c>
      <c r="Q823" s="2">
        <v>82.77</v>
      </c>
      <c r="R823">
        <v>1</v>
      </c>
      <c r="S823">
        <v>0</v>
      </c>
      <c r="T823">
        <v>3</v>
      </c>
      <c r="U823">
        <v>4</v>
      </c>
    </row>
    <row r="824" spans="1:21" ht="16.5" x14ac:dyDescent="0.3">
      <c r="A824" t="s">
        <v>903</v>
      </c>
      <c r="B824" s="1">
        <v>45429</v>
      </c>
      <c r="C824">
        <v>2024</v>
      </c>
      <c r="D824" t="s">
        <v>599</v>
      </c>
      <c r="E824" t="s">
        <v>802</v>
      </c>
      <c r="F824" t="s">
        <v>31</v>
      </c>
      <c r="G824" t="s">
        <v>51</v>
      </c>
      <c r="H824" t="s">
        <v>32</v>
      </c>
      <c r="I824" t="s">
        <v>27</v>
      </c>
      <c r="J824" t="s">
        <v>28</v>
      </c>
      <c r="K824">
        <v>3</v>
      </c>
      <c r="L824" s="2">
        <v>138.5</v>
      </c>
      <c r="M824" s="3">
        <v>0.1</v>
      </c>
      <c r="N824" t="s">
        <v>29</v>
      </c>
      <c r="O824" s="2">
        <v>373.95</v>
      </c>
      <c r="P824" s="2">
        <v>230.83</v>
      </c>
      <c r="Q824" s="2">
        <v>143.12</v>
      </c>
      <c r="R824">
        <v>1</v>
      </c>
      <c r="S824">
        <v>1</v>
      </c>
      <c r="T824">
        <v>3</v>
      </c>
      <c r="U824">
        <v>3</v>
      </c>
    </row>
    <row r="825" spans="1:21" ht="16.5" x14ac:dyDescent="0.3">
      <c r="A825" t="s">
        <v>904</v>
      </c>
      <c r="B825" s="1">
        <v>45429</v>
      </c>
      <c r="C825">
        <v>2024</v>
      </c>
      <c r="D825" t="s">
        <v>599</v>
      </c>
      <c r="E825" t="s">
        <v>802</v>
      </c>
      <c r="F825" t="s">
        <v>24</v>
      </c>
      <c r="G825" t="s">
        <v>25</v>
      </c>
      <c r="H825" t="s">
        <v>26</v>
      </c>
      <c r="I825" t="s">
        <v>27</v>
      </c>
      <c r="J825" t="s">
        <v>60</v>
      </c>
      <c r="K825">
        <v>1</v>
      </c>
      <c r="L825" s="2">
        <v>94.85</v>
      </c>
      <c r="M825" s="3">
        <v>0</v>
      </c>
      <c r="N825" t="s">
        <v>38</v>
      </c>
      <c r="O825" s="2">
        <v>94.85</v>
      </c>
      <c r="P825" s="2">
        <v>53</v>
      </c>
      <c r="Q825" s="2">
        <v>41.85</v>
      </c>
      <c r="R825">
        <v>1</v>
      </c>
      <c r="S825">
        <v>1</v>
      </c>
      <c r="T825">
        <v>3</v>
      </c>
      <c r="U825">
        <v>3</v>
      </c>
    </row>
    <row r="826" spans="1:21" ht="16.5" x14ac:dyDescent="0.3">
      <c r="A826" t="s">
        <v>905</v>
      </c>
      <c r="B826" s="1">
        <v>45429</v>
      </c>
      <c r="C826">
        <v>2024</v>
      </c>
      <c r="D826" t="s">
        <v>599</v>
      </c>
      <c r="E826" t="s">
        <v>802</v>
      </c>
      <c r="F826" t="s">
        <v>31</v>
      </c>
      <c r="G826" t="s">
        <v>25</v>
      </c>
      <c r="H826" t="s">
        <v>26</v>
      </c>
      <c r="I826" t="s">
        <v>67</v>
      </c>
      <c r="J826" t="s">
        <v>78</v>
      </c>
      <c r="K826">
        <v>1</v>
      </c>
      <c r="L826" s="2">
        <v>85.42</v>
      </c>
      <c r="M826" s="3">
        <v>0.05</v>
      </c>
      <c r="N826" t="s">
        <v>29</v>
      </c>
      <c r="O826" s="2">
        <v>81.150000000000006</v>
      </c>
      <c r="P826" s="2">
        <v>57.21</v>
      </c>
      <c r="Q826" s="2">
        <v>23.94</v>
      </c>
      <c r="R826">
        <v>1</v>
      </c>
      <c r="S826">
        <v>1</v>
      </c>
      <c r="T826">
        <v>6</v>
      </c>
      <c r="U826">
        <v>2</v>
      </c>
    </row>
    <row r="827" spans="1:21" ht="16.5" x14ac:dyDescent="0.3">
      <c r="A827" t="s">
        <v>906</v>
      </c>
      <c r="B827" s="1">
        <v>45429</v>
      </c>
      <c r="C827">
        <v>2024</v>
      </c>
      <c r="D827" t="s">
        <v>599</v>
      </c>
      <c r="E827" t="s">
        <v>802</v>
      </c>
      <c r="F827" t="s">
        <v>31</v>
      </c>
      <c r="G827" t="s">
        <v>25</v>
      </c>
      <c r="H827" t="s">
        <v>26</v>
      </c>
      <c r="I827" t="s">
        <v>42</v>
      </c>
      <c r="J827" t="s">
        <v>58</v>
      </c>
      <c r="K827">
        <v>1</v>
      </c>
      <c r="L827" s="2">
        <v>233.81</v>
      </c>
      <c r="M827" s="3">
        <v>0</v>
      </c>
      <c r="N827" t="s">
        <v>38</v>
      </c>
      <c r="O827" s="2">
        <v>233.81</v>
      </c>
      <c r="P827" s="2">
        <v>163.13</v>
      </c>
      <c r="Q827" s="2">
        <v>70.680000000000007</v>
      </c>
      <c r="R827">
        <v>1</v>
      </c>
      <c r="S827">
        <v>0</v>
      </c>
      <c r="T827">
        <v>4</v>
      </c>
      <c r="U827">
        <v>5</v>
      </c>
    </row>
    <row r="828" spans="1:21" ht="16.5" x14ac:dyDescent="0.3">
      <c r="A828" t="s">
        <v>907</v>
      </c>
      <c r="B828" s="1">
        <v>45430</v>
      </c>
      <c r="C828">
        <v>2024</v>
      </c>
      <c r="D828" t="s">
        <v>599</v>
      </c>
      <c r="E828" t="s">
        <v>802</v>
      </c>
      <c r="F828" t="s">
        <v>31</v>
      </c>
      <c r="G828" t="s">
        <v>25</v>
      </c>
      <c r="H828" t="s">
        <v>26</v>
      </c>
      <c r="I828" t="s">
        <v>67</v>
      </c>
      <c r="J828" t="s">
        <v>78</v>
      </c>
      <c r="K828">
        <v>1</v>
      </c>
      <c r="L828" s="2">
        <v>85.42</v>
      </c>
      <c r="M828" s="3">
        <v>0.05</v>
      </c>
      <c r="N828" t="s">
        <v>29</v>
      </c>
      <c r="O828" s="2">
        <v>81.150000000000006</v>
      </c>
      <c r="P828" s="2">
        <v>55.52</v>
      </c>
      <c r="Q828" s="2">
        <v>25.63</v>
      </c>
      <c r="R828">
        <v>1</v>
      </c>
      <c r="S828">
        <v>0</v>
      </c>
      <c r="T828">
        <v>4</v>
      </c>
      <c r="U828">
        <v>4</v>
      </c>
    </row>
    <row r="829" spans="1:21" ht="16.5" x14ac:dyDescent="0.3">
      <c r="A829" t="s">
        <v>908</v>
      </c>
      <c r="B829" s="1">
        <v>45430</v>
      </c>
      <c r="C829">
        <v>2024</v>
      </c>
      <c r="D829" t="s">
        <v>599</v>
      </c>
      <c r="E829" t="s">
        <v>802</v>
      </c>
      <c r="F829" t="s">
        <v>24</v>
      </c>
      <c r="G829" t="s">
        <v>49</v>
      </c>
      <c r="H829" t="s">
        <v>32</v>
      </c>
      <c r="I829" t="s">
        <v>27</v>
      </c>
      <c r="J829" t="s">
        <v>110</v>
      </c>
      <c r="K829">
        <v>2</v>
      </c>
      <c r="L829" s="2">
        <v>19.41</v>
      </c>
      <c r="M829" s="3">
        <v>0</v>
      </c>
      <c r="N829" t="s">
        <v>38</v>
      </c>
      <c r="O829" s="2">
        <v>38.82</v>
      </c>
      <c r="P829" s="2">
        <v>20.39</v>
      </c>
      <c r="Q829" s="2">
        <v>18.43</v>
      </c>
      <c r="R829">
        <v>1</v>
      </c>
      <c r="S829">
        <v>0</v>
      </c>
      <c r="T829">
        <v>4</v>
      </c>
      <c r="U829">
        <v>4</v>
      </c>
    </row>
    <row r="830" spans="1:21" ht="16.5" x14ac:dyDescent="0.3">
      <c r="A830" t="s">
        <v>909</v>
      </c>
      <c r="B830" s="1">
        <v>45430</v>
      </c>
      <c r="C830">
        <v>2024</v>
      </c>
      <c r="D830" t="s">
        <v>599</v>
      </c>
      <c r="E830" t="s">
        <v>802</v>
      </c>
      <c r="F830" t="s">
        <v>24</v>
      </c>
      <c r="G830" t="s">
        <v>46</v>
      </c>
      <c r="H830" t="s">
        <v>26</v>
      </c>
      <c r="I830" t="s">
        <v>67</v>
      </c>
      <c r="J830" t="s">
        <v>103</v>
      </c>
      <c r="K830">
        <v>1</v>
      </c>
      <c r="L830" s="2">
        <v>83.06</v>
      </c>
      <c r="M830" s="3">
        <v>0.15</v>
      </c>
      <c r="N830" t="s">
        <v>34</v>
      </c>
      <c r="O830" s="2">
        <v>70.599999999999994</v>
      </c>
      <c r="P830" s="2">
        <v>55.58</v>
      </c>
      <c r="Q830" s="2">
        <v>15.02</v>
      </c>
      <c r="R830">
        <v>1</v>
      </c>
      <c r="S830">
        <v>0</v>
      </c>
      <c r="T830">
        <v>5</v>
      </c>
      <c r="U830">
        <v>5</v>
      </c>
    </row>
    <row r="831" spans="1:21" ht="16.5" x14ac:dyDescent="0.3">
      <c r="A831" t="s">
        <v>910</v>
      </c>
      <c r="B831" s="1">
        <v>45430</v>
      </c>
      <c r="C831">
        <v>2024</v>
      </c>
      <c r="D831" t="s">
        <v>599</v>
      </c>
      <c r="E831" t="s">
        <v>802</v>
      </c>
      <c r="F831" t="s">
        <v>24</v>
      </c>
      <c r="G831" t="s">
        <v>51</v>
      </c>
      <c r="H831" t="s">
        <v>26</v>
      </c>
      <c r="I831" t="s">
        <v>84</v>
      </c>
      <c r="J831" t="s">
        <v>106</v>
      </c>
      <c r="K831">
        <v>1</v>
      </c>
      <c r="L831" s="2">
        <v>45.28</v>
      </c>
      <c r="M831" s="3">
        <v>0.1</v>
      </c>
      <c r="N831" t="s">
        <v>29</v>
      </c>
      <c r="O831" s="2">
        <v>40.75</v>
      </c>
      <c r="P831" s="2">
        <v>32.56</v>
      </c>
      <c r="Q831" s="2">
        <v>8.19</v>
      </c>
      <c r="R831">
        <v>1</v>
      </c>
      <c r="S831">
        <v>0</v>
      </c>
      <c r="T831">
        <v>3</v>
      </c>
      <c r="U831">
        <v>5</v>
      </c>
    </row>
    <row r="832" spans="1:21" ht="16.5" x14ac:dyDescent="0.3">
      <c r="A832" t="s">
        <v>911</v>
      </c>
      <c r="B832" s="1">
        <v>45430</v>
      </c>
      <c r="C832">
        <v>2024</v>
      </c>
      <c r="D832" t="s">
        <v>599</v>
      </c>
      <c r="E832" t="s">
        <v>802</v>
      </c>
      <c r="F832" t="s">
        <v>24</v>
      </c>
      <c r="G832" t="s">
        <v>65</v>
      </c>
      <c r="H832" t="s">
        <v>26</v>
      </c>
      <c r="I832" t="s">
        <v>36</v>
      </c>
      <c r="J832" t="s">
        <v>126</v>
      </c>
      <c r="K832">
        <v>1</v>
      </c>
      <c r="L832" s="2">
        <v>54.56</v>
      </c>
      <c r="M832" s="3">
        <v>0.05</v>
      </c>
      <c r="N832" t="s">
        <v>29</v>
      </c>
      <c r="O832" s="2">
        <v>51.83</v>
      </c>
      <c r="P832" s="2">
        <v>24.55</v>
      </c>
      <c r="Q832" s="2">
        <v>27.28</v>
      </c>
      <c r="R832">
        <v>1</v>
      </c>
      <c r="S832">
        <v>0</v>
      </c>
      <c r="T832">
        <v>5</v>
      </c>
      <c r="U832">
        <v>4</v>
      </c>
    </row>
    <row r="833" spans="1:21" ht="16.5" x14ac:dyDescent="0.3">
      <c r="A833" t="s">
        <v>912</v>
      </c>
      <c r="B833" s="1">
        <v>45430</v>
      </c>
      <c r="C833">
        <v>2024</v>
      </c>
      <c r="D833" t="s">
        <v>599</v>
      </c>
      <c r="E833" t="s">
        <v>802</v>
      </c>
      <c r="F833" t="s">
        <v>45</v>
      </c>
      <c r="G833" t="s">
        <v>51</v>
      </c>
      <c r="H833" t="s">
        <v>32</v>
      </c>
      <c r="I833" t="s">
        <v>70</v>
      </c>
      <c r="J833" t="s">
        <v>252</v>
      </c>
      <c r="K833">
        <v>1</v>
      </c>
      <c r="L833" s="2">
        <v>216.08</v>
      </c>
      <c r="M833" s="3">
        <v>0</v>
      </c>
      <c r="N833" t="s">
        <v>38</v>
      </c>
      <c r="O833" s="2">
        <v>216.08</v>
      </c>
      <c r="P833" s="2">
        <v>171.62</v>
      </c>
      <c r="Q833" s="2">
        <v>44.46</v>
      </c>
      <c r="R833">
        <v>1</v>
      </c>
      <c r="S833">
        <v>1</v>
      </c>
      <c r="T833">
        <v>2</v>
      </c>
      <c r="U833">
        <v>3</v>
      </c>
    </row>
    <row r="834" spans="1:21" ht="16.5" x14ac:dyDescent="0.3">
      <c r="A834" t="s">
        <v>913</v>
      </c>
      <c r="B834" s="1">
        <v>45430</v>
      </c>
      <c r="C834">
        <v>2024</v>
      </c>
      <c r="D834" t="s">
        <v>599</v>
      </c>
      <c r="E834" t="s">
        <v>802</v>
      </c>
      <c r="F834" t="s">
        <v>45</v>
      </c>
      <c r="G834" t="s">
        <v>51</v>
      </c>
      <c r="H834" t="s">
        <v>32</v>
      </c>
      <c r="I834" t="s">
        <v>42</v>
      </c>
      <c r="J834" t="s">
        <v>76</v>
      </c>
      <c r="K834">
        <v>1</v>
      </c>
      <c r="L834" s="2">
        <v>90.75</v>
      </c>
      <c r="M834" s="3">
        <v>0</v>
      </c>
      <c r="N834" t="s">
        <v>38</v>
      </c>
      <c r="O834" s="2">
        <v>90.75</v>
      </c>
      <c r="P834" s="2">
        <v>59.97</v>
      </c>
      <c r="Q834" s="2">
        <v>30.78</v>
      </c>
      <c r="R834">
        <v>1</v>
      </c>
      <c r="S834">
        <v>0</v>
      </c>
      <c r="T834">
        <v>2</v>
      </c>
      <c r="U834">
        <v>4</v>
      </c>
    </row>
    <row r="835" spans="1:21" ht="16.5" x14ac:dyDescent="0.3">
      <c r="A835" t="s">
        <v>914</v>
      </c>
      <c r="B835" s="1">
        <v>45430</v>
      </c>
      <c r="C835">
        <v>2024</v>
      </c>
      <c r="D835" t="s">
        <v>599</v>
      </c>
      <c r="E835" t="s">
        <v>802</v>
      </c>
      <c r="F835" t="s">
        <v>24</v>
      </c>
      <c r="G835" t="s">
        <v>51</v>
      </c>
      <c r="H835" t="s">
        <v>32</v>
      </c>
      <c r="I835" t="s">
        <v>27</v>
      </c>
      <c r="J835" t="s">
        <v>110</v>
      </c>
      <c r="K835">
        <v>1</v>
      </c>
      <c r="L835" s="2">
        <v>19.41</v>
      </c>
      <c r="M835" s="3">
        <v>0.15</v>
      </c>
      <c r="N835" t="s">
        <v>34</v>
      </c>
      <c r="O835" s="2">
        <v>16.5</v>
      </c>
      <c r="P835" s="2">
        <v>10.73</v>
      </c>
      <c r="Q835" s="2">
        <v>5.77</v>
      </c>
      <c r="R835">
        <v>1</v>
      </c>
      <c r="S835">
        <v>0</v>
      </c>
      <c r="T835">
        <v>2</v>
      </c>
      <c r="U835">
        <v>5</v>
      </c>
    </row>
    <row r="836" spans="1:21" ht="16.5" x14ac:dyDescent="0.3">
      <c r="A836" t="s">
        <v>915</v>
      </c>
      <c r="B836" s="1">
        <v>45430</v>
      </c>
      <c r="C836">
        <v>2024</v>
      </c>
      <c r="D836" t="s">
        <v>599</v>
      </c>
      <c r="E836" t="s">
        <v>802</v>
      </c>
      <c r="F836" t="s">
        <v>45</v>
      </c>
      <c r="G836" t="s">
        <v>51</v>
      </c>
      <c r="H836" t="s">
        <v>32</v>
      </c>
      <c r="I836" t="s">
        <v>70</v>
      </c>
      <c r="J836" t="s">
        <v>87</v>
      </c>
      <c r="K836">
        <v>1</v>
      </c>
      <c r="L836" s="2">
        <v>490.3</v>
      </c>
      <c r="M836" s="3">
        <v>0.1</v>
      </c>
      <c r="N836" t="s">
        <v>29</v>
      </c>
      <c r="O836" s="2">
        <v>441.27</v>
      </c>
      <c r="P836" s="2">
        <v>401.35</v>
      </c>
      <c r="Q836" s="2">
        <v>39.92</v>
      </c>
      <c r="R836">
        <v>1</v>
      </c>
      <c r="S836">
        <v>0</v>
      </c>
      <c r="T836">
        <v>2</v>
      </c>
      <c r="U836">
        <v>3</v>
      </c>
    </row>
    <row r="837" spans="1:21" ht="16.5" x14ac:dyDescent="0.3">
      <c r="A837" t="s">
        <v>916</v>
      </c>
      <c r="B837" s="1">
        <v>45430</v>
      </c>
      <c r="C837">
        <v>2024</v>
      </c>
      <c r="D837" t="s">
        <v>599</v>
      </c>
      <c r="E837" t="s">
        <v>802</v>
      </c>
      <c r="F837" t="s">
        <v>31</v>
      </c>
      <c r="G837" t="s">
        <v>65</v>
      </c>
      <c r="H837" t="s">
        <v>26</v>
      </c>
      <c r="I837" t="s">
        <v>36</v>
      </c>
      <c r="J837" t="s">
        <v>56</v>
      </c>
      <c r="K837">
        <v>1</v>
      </c>
      <c r="L837" s="2">
        <v>74.3</v>
      </c>
      <c r="M837" s="3">
        <v>0</v>
      </c>
      <c r="N837" t="s">
        <v>38</v>
      </c>
      <c r="O837" s="2">
        <v>74.3</v>
      </c>
      <c r="P837" s="2">
        <v>36.049999999999997</v>
      </c>
      <c r="Q837" s="2">
        <v>38.25</v>
      </c>
      <c r="R837">
        <v>1</v>
      </c>
      <c r="S837">
        <v>0</v>
      </c>
      <c r="T837">
        <v>6</v>
      </c>
      <c r="U837">
        <v>4</v>
      </c>
    </row>
    <row r="838" spans="1:21" ht="16.5" x14ac:dyDescent="0.3">
      <c r="A838" t="s">
        <v>917</v>
      </c>
      <c r="B838" s="1">
        <v>45431</v>
      </c>
      <c r="C838">
        <v>2024</v>
      </c>
      <c r="D838" t="s">
        <v>599</v>
      </c>
      <c r="E838" t="s">
        <v>802</v>
      </c>
      <c r="F838" t="s">
        <v>31</v>
      </c>
      <c r="G838" t="s">
        <v>25</v>
      </c>
      <c r="H838" t="s">
        <v>26</v>
      </c>
      <c r="I838" t="s">
        <v>27</v>
      </c>
      <c r="J838" t="s">
        <v>40</v>
      </c>
      <c r="K838">
        <v>4</v>
      </c>
      <c r="L838" s="2">
        <v>104.94</v>
      </c>
      <c r="M838" s="3">
        <v>0</v>
      </c>
      <c r="N838" t="s">
        <v>38</v>
      </c>
      <c r="O838" s="2">
        <v>419.76</v>
      </c>
      <c r="P838" s="2">
        <v>226.17</v>
      </c>
      <c r="Q838" s="2">
        <v>193.59</v>
      </c>
      <c r="R838">
        <v>1</v>
      </c>
      <c r="S838">
        <v>0</v>
      </c>
      <c r="T838">
        <v>5</v>
      </c>
      <c r="U838">
        <v>4</v>
      </c>
    </row>
    <row r="839" spans="1:21" ht="16.5" x14ac:dyDescent="0.3">
      <c r="A839" t="s">
        <v>918</v>
      </c>
      <c r="B839" s="1">
        <v>45431</v>
      </c>
      <c r="C839">
        <v>2024</v>
      </c>
      <c r="D839" t="s">
        <v>599</v>
      </c>
      <c r="E839" t="s">
        <v>802</v>
      </c>
      <c r="F839" t="s">
        <v>45</v>
      </c>
      <c r="G839" t="s">
        <v>25</v>
      </c>
      <c r="H839" t="s">
        <v>26</v>
      </c>
      <c r="I839" t="s">
        <v>42</v>
      </c>
      <c r="J839" t="s">
        <v>58</v>
      </c>
      <c r="K839">
        <v>1</v>
      </c>
      <c r="L839" s="2">
        <v>233.81</v>
      </c>
      <c r="M839" s="3">
        <v>0.1</v>
      </c>
      <c r="N839" t="s">
        <v>29</v>
      </c>
      <c r="O839" s="2">
        <v>210.43</v>
      </c>
      <c r="P839" s="2">
        <v>144.13</v>
      </c>
      <c r="Q839" s="2">
        <v>66.3</v>
      </c>
      <c r="R839">
        <v>1</v>
      </c>
      <c r="S839">
        <v>0</v>
      </c>
      <c r="T839">
        <v>5</v>
      </c>
      <c r="U839">
        <v>4</v>
      </c>
    </row>
    <row r="840" spans="1:21" ht="16.5" x14ac:dyDescent="0.3">
      <c r="A840" t="s">
        <v>919</v>
      </c>
      <c r="B840" s="1">
        <v>45431</v>
      </c>
      <c r="C840">
        <v>2024</v>
      </c>
      <c r="D840" t="s">
        <v>599</v>
      </c>
      <c r="E840" t="s">
        <v>802</v>
      </c>
      <c r="F840" t="s">
        <v>24</v>
      </c>
      <c r="G840" t="s">
        <v>25</v>
      </c>
      <c r="H840" t="s">
        <v>32</v>
      </c>
      <c r="I840" t="s">
        <v>84</v>
      </c>
      <c r="J840" t="s">
        <v>223</v>
      </c>
      <c r="K840">
        <v>1</v>
      </c>
      <c r="L840" s="2">
        <v>16.97</v>
      </c>
      <c r="M840" s="3">
        <v>0.25</v>
      </c>
      <c r="N840" t="s">
        <v>62</v>
      </c>
      <c r="O840" s="2">
        <v>12.73</v>
      </c>
      <c r="P840" s="2">
        <v>12.1</v>
      </c>
      <c r="Q840" s="2">
        <v>0.63</v>
      </c>
      <c r="R840">
        <v>1</v>
      </c>
      <c r="S840">
        <v>0</v>
      </c>
      <c r="T840">
        <v>4</v>
      </c>
      <c r="U840">
        <v>4</v>
      </c>
    </row>
    <row r="841" spans="1:21" ht="16.5" x14ac:dyDescent="0.3">
      <c r="A841" t="s">
        <v>920</v>
      </c>
      <c r="B841" s="1">
        <v>45431</v>
      </c>
      <c r="C841">
        <v>2024</v>
      </c>
      <c r="D841" t="s">
        <v>599</v>
      </c>
      <c r="E841" t="s">
        <v>802</v>
      </c>
      <c r="F841" t="s">
        <v>45</v>
      </c>
      <c r="G841" t="s">
        <v>25</v>
      </c>
      <c r="H841" t="s">
        <v>26</v>
      </c>
      <c r="I841" t="s">
        <v>70</v>
      </c>
      <c r="J841" t="s">
        <v>162</v>
      </c>
      <c r="K841">
        <v>2</v>
      </c>
      <c r="L841" s="2">
        <v>636.09</v>
      </c>
      <c r="M841" s="3">
        <v>0.15</v>
      </c>
      <c r="N841" t="s">
        <v>34</v>
      </c>
      <c r="O841" s="2">
        <v>1081.3499999999999</v>
      </c>
      <c r="P841" s="2">
        <v>1047.23</v>
      </c>
      <c r="Q841" s="2">
        <v>34.119999999999997</v>
      </c>
      <c r="R841">
        <v>1</v>
      </c>
      <c r="S841">
        <v>0</v>
      </c>
      <c r="T841">
        <v>4</v>
      </c>
      <c r="U841">
        <v>5</v>
      </c>
    </row>
    <row r="842" spans="1:21" ht="16.5" x14ac:dyDescent="0.3">
      <c r="A842" t="s">
        <v>921</v>
      </c>
      <c r="B842" s="1">
        <v>45431</v>
      </c>
      <c r="C842">
        <v>2024</v>
      </c>
      <c r="D842" t="s">
        <v>599</v>
      </c>
      <c r="E842" t="s">
        <v>802</v>
      </c>
      <c r="F842" t="s">
        <v>24</v>
      </c>
      <c r="G842" t="s">
        <v>51</v>
      </c>
      <c r="H842" t="s">
        <v>32</v>
      </c>
      <c r="I842" t="s">
        <v>36</v>
      </c>
      <c r="J842" t="s">
        <v>56</v>
      </c>
      <c r="K842">
        <v>1</v>
      </c>
      <c r="L842" s="2">
        <v>74.3</v>
      </c>
      <c r="M842" s="3">
        <v>0.1</v>
      </c>
      <c r="N842" t="s">
        <v>29</v>
      </c>
      <c r="O842" s="2">
        <v>66.87</v>
      </c>
      <c r="P842" s="2">
        <v>34.67</v>
      </c>
      <c r="Q842" s="2">
        <v>32.200000000000003</v>
      </c>
      <c r="R842">
        <v>1</v>
      </c>
      <c r="S842">
        <v>0</v>
      </c>
      <c r="T842">
        <v>3</v>
      </c>
      <c r="U842">
        <v>5</v>
      </c>
    </row>
    <row r="843" spans="1:21" ht="16.5" x14ac:dyDescent="0.3">
      <c r="A843" t="s">
        <v>922</v>
      </c>
      <c r="B843" s="1">
        <v>45432</v>
      </c>
      <c r="C843">
        <v>2024</v>
      </c>
      <c r="D843" t="s">
        <v>599</v>
      </c>
      <c r="E843" t="s">
        <v>802</v>
      </c>
      <c r="F843" t="s">
        <v>31</v>
      </c>
      <c r="G843" t="s">
        <v>51</v>
      </c>
      <c r="H843" t="s">
        <v>32</v>
      </c>
      <c r="I843" t="s">
        <v>27</v>
      </c>
      <c r="J843" t="s">
        <v>110</v>
      </c>
      <c r="K843">
        <v>1</v>
      </c>
      <c r="L843" s="2">
        <v>19.41</v>
      </c>
      <c r="M843" s="3">
        <v>0.25</v>
      </c>
      <c r="N843" t="s">
        <v>62</v>
      </c>
      <c r="O843" s="2">
        <v>14.56</v>
      </c>
      <c r="P843" s="2">
        <v>10.119999999999999</v>
      </c>
      <c r="Q843" s="2">
        <v>4.4400000000000004</v>
      </c>
      <c r="R843">
        <v>1</v>
      </c>
      <c r="S843">
        <v>0</v>
      </c>
      <c r="T843">
        <v>3</v>
      </c>
      <c r="U843">
        <v>5</v>
      </c>
    </row>
    <row r="844" spans="1:21" ht="16.5" x14ac:dyDescent="0.3">
      <c r="A844" t="s">
        <v>923</v>
      </c>
      <c r="B844" s="1">
        <v>45432</v>
      </c>
      <c r="C844">
        <v>2024</v>
      </c>
      <c r="D844" t="s">
        <v>599</v>
      </c>
      <c r="E844" t="s">
        <v>802</v>
      </c>
      <c r="F844" t="s">
        <v>31</v>
      </c>
      <c r="G844" t="s">
        <v>51</v>
      </c>
      <c r="H844" t="s">
        <v>32</v>
      </c>
      <c r="I844" t="s">
        <v>27</v>
      </c>
      <c r="J844" t="s">
        <v>28</v>
      </c>
      <c r="K844">
        <v>3</v>
      </c>
      <c r="L844" s="2">
        <v>138.5</v>
      </c>
      <c r="M844" s="3">
        <v>0.1</v>
      </c>
      <c r="N844" t="s">
        <v>29</v>
      </c>
      <c r="O844" s="2">
        <v>373.95</v>
      </c>
      <c r="P844" s="2">
        <v>222.19</v>
      </c>
      <c r="Q844" s="2">
        <v>151.76</v>
      </c>
      <c r="R844">
        <v>1</v>
      </c>
      <c r="S844">
        <v>0</v>
      </c>
      <c r="T844">
        <v>2</v>
      </c>
      <c r="U844">
        <v>5</v>
      </c>
    </row>
    <row r="845" spans="1:21" ht="16.5" x14ac:dyDescent="0.3">
      <c r="A845" t="s">
        <v>924</v>
      </c>
      <c r="B845" s="1">
        <v>45432</v>
      </c>
      <c r="C845">
        <v>2024</v>
      </c>
      <c r="D845" t="s">
        <v>599</v>
      </c>
      <c r="E845" t="s">
        <v>802</v>
      </c>
      <c r="F845" t="s">
        <v>24</v>
      </c>
      <c r="G845" t="s">
        <v>51</v>
      </c>
      <c r="H845" t="s">
        <v>32</v>
      </c>
      <c r="I845" t="s">
        <v>70</v>
      </c>
      <c r="J845" t="s">
        <v>82</v>
      </c>
      <c r="K845">
        <v>1</v>
      </c>
      <c r="L845" s="2">
        <v>508.8</v>
      </c>
      <c r="M845" s="3">
        <v>0</v>
      </c>
      <c r="N845" t="s">
        <v>38</v>
      </c>
      <c r="O845" s="2">
        <v>508.8</v>
      </c>
      <c r="P845" s="2">
        <v>415.69</v>
      </c>
      <c r="Q845" s="2">
        <v>93.11</v>
      </c>
      <c r="R845">
        <v>1</v>
      </c>
      <c r="S845">
        <v>0</v>
      </c>
      <c r="T845">
        <v>3</v>
      </c>
      <c r="U845">
        <v>5</v>
      </c>
    </row>
    <row r="846" spans="1:21" ht="16.5" x14ac:dyDescent="0.3">
      <c r="A846" t="s">
        <v>925</v>
      </c>
      <c r="B846" s="1">
        <v>45432</v>
      </c>
      <c r="C846">
        <v>2024</v>
      </c>
      <c r="D846" t="s">
        <v>599</v>
      </c>
      <c r="E846" t="s">
        <v>802</v>
      </c>
      <c r="F846" t="s">
        <v>45</v>
      </c>
      <c r="G846" t="s">
        <v>46</v>
      </c>
      <c r="H846" t="s">
        <v>32</v>
      </c>
      <c r="I846" t="s">
        <v>70</v>
      </c>
      <c r="J846" t="s">
        <v>82</v>
      </c>
      <c r="K846">
        <v>1</v>
      </c>
      <c r="L846" s="2">
        <v>508.8</v>
      </c>
      <c r="M846" s="3">
        <v>0.15</v>
      </c>
      <c r="N846" t="s">
        <v>34</v>
      </c>
      <c r="O846" s="2">
        <v>432.48</v>
      </c>
      <c r="P846" s="2">
        <v>418.22</v>
      </c>
      <c r="Q846" s="2">
        <v>14.26</v>
      </c>
      <c r="R846">
        <v>1</v>
      </c>
      <c r="S846">
        <v>0</v>
      </c>
      <c r="T846">
        <v>8</v>
      </c>
      <c r="U846">
        <v>3</v>
      </c>
    </row>
    <row r="847" spans="1:21" ht="16.5" x14ac:dyDescent="0.3">
      <c r="A847" t="s">
        <v>926</v>
      </c>
      <c r="B847" s="1">
        <v>45433</v>
      </c>
      <c r="C847">
        <v>2024</v>
      </c>
      <c r="D847" t="s">
        <v>599</v>
      </c>
      <c r="E847" t="s">
        <v>802</v>
      </c>
      <c r="F847" t="s">
        <v>24</v>
      </c>
      <c r="G847" t="s">
        <v>51</v>
      </c>
      <c r="H847" t="s">
        <v>32</v>
      </c>
      <c r="I847" t="s">
        <v>36</v>
      </c>
      <c r="J847" t="s">
        <v>37</v>
      </c>
      <c r="K847">
        <v>1</v>
      </c>
      <c r="L847" s="2">
        <v>33.18</v>
      </c>
      <c r="M847" s="3">
        <v>0.05</v>
      </c>
      <c r="N847" t="s">
        <v>29</v>
      </c>
      <c r="O847" s="2">
        <v>31.52</v>
      </c>
      <c r="P847" s="2">
        <v>15.77</v>
      </c>
      <c r="Q847" s="2">
        <v>15.75</v>
      </c>
      <c r="R847">
        <v>1</v>
      </c>
      <c r="S847">
        <v>0</v>
      </c>
      <c r="T847">
        <v>3</v>
      </c>
      <c r="U847">
        <v>4</v>
      </c>
    </row>
    <row r="848" spans="1:21" ht="16.5" x14ac:dyDescent="0.3">
      <c r="A848" t="s">
        <v>927</v>
      </c>
      <c r="B848" s="1">
        <v>45433</v>
      </c>
      <c r="C848">
        <v>2024</v>
      </c>
      <c r="D848" t="s">
        <v>599</v>
      </c>
      <c r="E848" t="s">
        <v>802</v>
      </c>
      <c r="F848" t="s">
        <v>31</v>
      </c>
      <c r="G848" t="s">
        <v>51</v>
      </c>
      <c r="H848" t="s">
        <v>32</v>
      </c>
      <c r="I848" t="s">
        <v>42</v>
      </c>
      <c r="J848" t="s">
        <v>76</v>
      </c>
      <c r="K848">
        <v>1</v>
      </c>
      <c r="L848" s="2">
        <v>90.75</v>
      </c>
      <c r="M848" s="3">
        <v>0</v>
      </c>
      <c r="N848" t="s">
        <v>38</v>
      </c>
      <c r="O848" s="2">
        <v>90.75</v>
      </c>
      <c r="P848" s="2">
        <v>61.11</v>
      </c>
      <c r="Q848" s="2">
        <v>29.64</v>
      </c>
      <c r="R848">
        <v>1</v>
      </c>
      <c r="S848">
        <v>0</v>
      </c>
      <c r="T848">
        <v>3</v>
      </c>
      <c r="U848">
        <v>3</v>
      </c>
    </row>
    <row r="849" spans="1:21" ht="16.5" x14ac:dyDescent="0.3">
      <c r="A849" t="s">
        <v>928</v>
      </c>
      <c r="B849" s="1">
        <v>45433</v>
      </c>
      <c r="C849">
        <v>2024</v>
      </c>
      <c r="D849" t="s">
        <v>599</v>
      </c>
      <c r="E849" t="s">
        <v>802</v>
      </c>
      <c r="F849" t="s">
        <v>45</v>
      </c>
      <c r="G849" t="s">
        <v>46</v>
      </c>
      <c r="H849" t="s">
        <v>32</v>
      </c>
      <c r="I849" t="s">
        <v>70</v>
      </c>
      <c r="J849" t="s">
        <v>71</v>
      </c>
      <c r="K849">
        <v>1</v>
      </c>
      <c r="L849" s="2">
        <v>588.41</v>
      </c>
      <c r="M849" s="3">
        <v>0.05</v>
      </c>
      <c r="N849" t="s">
        <v>29</v>
      </c>
      <c r="O849" s="2">
        <v>558.99</v>
      </c>
      <c r="P849" s="2">
        <v>453.74</v>
      </c>
      <c r="Q849" s="2">
        <v>105.25</v>
      </c>
      <c r="R849">
        <v>1</v>
      </c>
      <c r="S849">
        <v>0</v>
      </c>
      <c r="T849">
        <v>5</v>
      </c>
      <c r="U849">
        <v>4</v>
      </c>
    </row>
    <row r="850" spans="1:21" ht="16.5" x14ac:dyDescent="0.3">
      <c r="A850" t="s">
        <v>929</v>
      </c>
      <c r="B850" s="1">
        <v>45433</v>
      </c>
      <c r="C850">
        <v>2024</v>
      </c>
      <c r="D850" t="s">
        <v>599</v>
      </c>
      <c r="E850" t="s">
        <v>802</v>
      </c>
      <c r="F850" t="s">
        <v>31</v>
      </c>
      <c r="G850" t="s">
        <v>25</v>
      </c>
      <c r="H850" t="s">
        <v>32</v>
      </c>
      <c r="I850" t="s">
        <v>67</v>
      </c>
      <c r="J850" t="s">
        <v>103</v>
      </c>
      <c r="K850">
        <v>1</v>
      </c>
      <c r="L850" s="2">
        <v>83.06</v>
      </c>
      <c r="M850" s="3">
        <v>0.1</v>
      </c>
      <c r="N850" t="s">
        <v>29</v>
      </c>
      <c r="O850" s="2">
        <v>74.75</v>
      </c>
      <c r="P850" s="2">
        <v>57.3</v>
      </c>
      <c r="Q850" s="2">
        <v>17.45</v>
      </c>
      <c r="R850">
        <v>1</v>
      </c>
      <c r="S850">
        <v>0</v>
      </c>
      <c r="T850">
        <v>5</v>
      </c>
      <c r="U850">
        <v>5</v>
      </c>
    </row>
    <row r="851" spans="1:21" ht="16.5" x14ac:dyDescent="0.3">
      <c r="A851" t="s">
        <v>930</v>
      </c>
      <c r="B851" s="1">
        <v>45433</v>
      </c>
      <c r="C851">
        <v>2024</v>
      </c>
      <c r="D851" t="s">
        <v>599</v>
      </c>
      <c r="E851" t="s">
        <v>802</v>
      </c>
      <c r="F851" t="s">
        <v>24</v>
      </c>
      <c r="G851" t="s">
        <v>51</v>
      </c>
      <c r="H851" t="s">
        <v>26</v>
      </c>
      <c r="I851" t="s">
        <v>70</v>
      </c>
      <c r="J851" t="s">
        <v>71</v>
      </c>
      <c r="K851">
        <v>1</v>
      </c>
      <c r="L851" s="2">
        <v>588.41</v>
      </c>
      <c r="M851" s="3">
        <v>0</v>
      </c>
      <c r="N851" t="s">
        <v>38</v>
      </c>
      <c r="O851" s="2">
        <v>588.41</v>
      </c>
      <c r="P851" s="2">
        <v>459.68</v>
      </c>
      <c r="Q851" s="2">
        <v>128.72999999999999</v>
      </c>
      <c r="R851">
        <v>1</v>
      </c>
      <c r="S851">
        <v>0</v>
      </c>
      <c r="T851">
        <v>3</v>
      </c>
      <c r="U851">
        <v>5</v>
      </c>
    </row>
    <row r="852" spans="1:21" ht="16.5" x14ac:dyDescent="0.3">
      <c r="A852" t="s">
        <v>931</v>
      </c>
      <c r="B852" s="1">
        <v>45433</v>
      </c>
      <c r="C852">
        <v>2024</v>
      </c>
      <c r="D852" t="s">
        <v>599</v>
      </c>
      <c r="E852" t="s">
        <v>802</v>
      </c>
      <c r="F852" t="s">
        <v>45</v>
      </c>
      <c r="G852" t="s">
        <v>49</v>
      </c>
      <c r="H852" t="s">
        <v>32</v>
      </c>
      <c r="I852" t="s">
        <v>42</v>
      </c>
      <c r="J852" t="s">
        <v>98</v>
      </c>
      <c r="K852">
        <v>2</v>
      </c>
      <c r="L852" s="2">
        <v>117.63</v>
      </c>
      <c r="M852" s="3">
        <v>0.3</v>
      </c>
      <c r="N852" t="s">
        <v>62</v>
      </c>
      <c r="O852" s="2">
        <v>164.68</v>
      </c>
      <c r="P852" s="2">
        <v>157.63999999999999</v>
      </c>
      <c r="Q852" s="2">
        <v>7.04</v>
      </c>
      <c r="R852">
        <v>1</v>
      </c>
      <c r="S852">
        <v>0</v>
      </c>
      <c r="T852">
        <v>4</v>
      </c>
      <c r="U852">
        <v>3</v>
      </c>
    </row>
    <row r="853" spans="1:21" ht="16.5" x14ac:dyDescent="0.3">
      <c r="A853" t="s">
        <v>932</v>
      </c>
      <c r="B853" s="1">
        <v>45433</v>
      </c>
      <c r="C853">
        <v>2024</v>
      </c>
      <c r="D853" t="s">
        <v>599</v>
      </c>
      <c r="E853" t="s">
        <v>802</v>
      </c>
      <c r="F853" t="s">
        <v>24</v>
      </c>
      <c r="G853" t="s">
        <v>49</v>
      </c>
      <c r="H853" t="s">
        <v>26</v>
      </c>
      <c r="I853" t="s">
        <v>27</v>
      </c>
      <c r="J853" t="s">
        <v>28</v>
      </c>
      <c r="K853">
        <v>4</v>
      </c>
      <c r="L853" s="2">
        <v>138.5</v>
      </c>
      <c r="M853" s="3">
        <v>0</v>
      </c>
      <c r="N853" t="s">
        <v>38</v>
      </c>
      <c r="O853" s="2">
        <v>554</v>
      </c>
      <c r="P853" s="2">
        <v>291.89</v>
      </c>
      <c r="Q853" s="2">
        <v>262.11</v>
      </c>
      <c r="R853">
        <v>1</v>
      </c>
      <c r="S853">
        <v>0</v>
      </c>
      <c r="T853">
        <v>4</v>
      </c>
      <c r="U853">
        <v>4</v>
      </c>
    </row>
    <row r="854" spans="1:21" ht="16.5" x14ac:dyDescent="0.3">
      <c r="A854" t="s">
        <v>933</v>
      </c>
      <c r="B854" s="1">
        <v>45433</v>
      </c>
      <c r="C854">
        <v>2024</v>
      </c>
      <c r="D854" t="s">
        <v>599</v>
      </c>
      <c r="E854" t="s">
        <v>802</v>
      </c>
      <c r="F854" t="s">
        <v>31</v>
      </c>
      <c r="G854" t="s">
        <v>51</v>
      </c>
      <c r="H854" t="s">
        <v>26</v>
      </c>
      <c r="I854" t="s">
        <v>36</v>
      </c>
      <c r="J854" t="s">
        <v>126</v>
      </c>
      <c r="K854">
        <v>1</v>
      </c>
      <c r="L854" s="2">
        <v>54.56</v>
      </c>
      <c r="M854" s="3">
        <v>0.25</v>
      </c>
      <c r="N854" t="s">
        <v>62</v>
      </c>
      <c r="O854" s="2">
        <v>40.92</v>
      </c>
      <c r="P854" s="2">
        <v>26</v>
      </c>
      <c r="Q854" s="2">
        <v>14.92</v>
      </c>
      <c r="R854">
        <v>1</v>
      </c>
      <c r="S854">
        <v>0</v>
      </c>
      <c r="T854">
        <v>3</v>
      </c>
      <c r="U854">
        <v>3</v>
      </c>
    </row>
    <row r="855" spans="1:21" ht="16.5" x14ac:dyDescent="0.3">
      <c r="A855" t="s">
        <v>934</v>
      </c>
      <c r="B855" s="1">
        <v>45434</v>
      </c>
      <c r="C855">
        <v>2024</v>
      </c>
      <c r="D855" t="s">
        <v>599</v>
      </c>
      <c r="E855" t="s">
        <v>802</v>
      </c>
      <c r="F855" t="s">
        <v>45</v>
      </c>
      <c r="G855" t="s">
        <v>51</v>
      </c>
      <c r="H855" t="s">
        <v>26</v>
      </c>
      <c r="I855" t="s">
        <v>27</v>
      </c>
      <c r="J855" t="s">
        <v>28</v>
      </c>
      <c r="K855">
        <v>1</v>
      </c>
      <c r="L855" s="2">
        <v>138.5</v>
      </c>
      <c r="M855" s="3">
        <v>0</v>
      </c>
      <c r="N855" t="s">
        <v>38</v>
      </c>
      <c r="O855" s="2">
        <v>138.5</v>
      </c>
      <c r="P855" s="2">
        <v>79.739999999999995</v>
      </c>
      <c r="Q855" s="2">
        <v>58.76</v>
      </c>
      <c r="R855">
        <v>1</v>
      </c>
      <c r="S855">
        <v>0</v>
      </c>
      <c r="T855">
        <v>5</v>
      </c>
      <c r="U855">
        <v>5</v>
      </c>
    </row>
    <row r="856" spans="1:21" ht="16.5" x14ac:dyDescent="0.3">
      <c r="A856" t="s">
        <v>935</v>
      </c>
      <c r="B856" s="1">
        <v>45434</v>
      </c>
      <c r="C856">
        <v>2024</v>
      </c>
      <c r="D856" t="s">
        <v>599</v>
      </c>
      <c r="E856" t="s">
        <v>802</v>
      </c>
      <c r="F856" t="s">
        <v>24</v>
      </c>
      <c r="G856" t="s">
        <v>25</v>
      </c>
      <c r="H856" t="s">
        <v>32</v>
      </c>
      <c r="I856" t="s">
        <v>27</v>
      </c>
      <c r="J856" t="s">
        <v>60</v>
      </c>
      <c r="K856">
        <v>1</v>
      </c>
      <c r="L856" s="2">
        <v>94.85</v>
      </c>
      <c r="M856" s="3">
        <v>0</v>
      </c>
      <c r="N856" t="s">
        <v>38</v>
      </c>
      <c r="O856" s="2">
        <v>94.85</v>
      </c>
      <c r="P856" s="2">
        <v>49.5</v>
      </c>
      <c r="Q856" s="2">
        <v>45.35</v>
      </c>
      <c r="R856">
        <v>1</v>
      </c>
      <c r="S856">
        <v>0</v>
      </c>
      <c r="T856">
        <v>5</v>
      </c>
      <c r="U856">
        <v>5</v>
      </c>
    </row>
    <row r="857" spans="1:21" ht="16.5" x14ac:dyDescent="0.3">
      <c r="A857" t="s">
        <v>936</v>
      </c>
      <c r="B857" s="1">
        <v>45434</v>
      </c>
      <c r="C857">
        <v>2024</v>
      </c>
      <c r="D857" t="s">
        <v>599</v>
      </c>
      <c r="E857" t="s">
        <v>802</v>
      </c>
      <c r="F857" t="s">
        <v>24</v>
      </c>
      <c r="G857" t="s">
        <v>51</v>
      </c>
      <c r="H857" t="s">
        <v>32</v>
      </c>
      <c r="I857" t="s">
        <v>70</v>
      </c>
      <c r="J857" t="s">
        <v>82</v>
      </c>
      <c r="K857">
        <v>1</v>
      </c>
      <c r="L857" s="2">
        <v>508.8</v>
      </c>
      <c r="M857" s="3">
        <v>0.05</v>
      </c>
      <c r="N857" t="s">
        <v>29</v>
      </c>
      <c r="O857" s="2">
        <v>483.36</v>
      </c>
      <c r="P857" s="2">
        <v>414.78</v>
      </c>
      <c r="Q857" s="2">
        <v>68.58</v>
      </c>
      <c r="R857">
        <v>1</v>
      </c>
      <c r="S857">
        <v>0</v>
      </c>
      <c r="T857">
        <v>4</v>
      </c>
      <c r="U857">
        <v>4</v>
      </c>
    </row>
    <row r="858" spans="1:21" ht="16.5" x14ac:dyDescent="0.3">
      <c r="A858" t="s">
        <v>937</v>
      </c>
      <c r="B858" s="1">
        <v>45434</v>
      </c>
      <c r="C858">
        <v>2024</v>
      </c>
      <c r="D858" t="s">
        <v>599</v>
      </c>
      <c r="E858" t="s">
        <v>802</v>
      </c>
      <c r="F858" t="s">
        <v>24</v>
      </c>
      <c r="G858" t="s">
        <v>46</v>
      </c>
      <c r="H858" t="s">
        <v>32</v>
      </c>
      <c r="I858" t="s">
        <v>36</v>
      </c>
      <c r="J858" t="s">
        <v>126</v>
      </c>
      <c r="K858">
        <v>1</v>
      </c>
      <c r="L858" s="2">
        <v>54.56</v>
      </c>
      <c r="M858" s="3">
        <v>0.1</v>
      </c>
      <c r="N858" t="s">
        <v>29</v>
      </c>
      <c r="O858" s="2">
        <v>49.1</v>
      </c>
      <c r="P858" s="2">
        <v>25.41</v>
      </c>
      <c r="Q858" s="2">
        <v>23.69</v>
      </c>
      <c r="R858">
        <v>1</v>
      </c>
      <c r="S858">
        <v>0</v>
      </c>
      <c r="T858">
        <v>7</v>
      </c>
      <c r="U858">
        <v>4</v>
      </c>
    </row>
    <row r="859" spans="1:21" ht="16.5" x14ac:dyDescent="0.3">
      <c r="A859" t="s">
        <v>938</v>
      </c>
      <c r="B859" s="1">
        <v>45434</v>
      </c>
      <c r="C859">
        <v>2024</v>
      </c>
      <c r="D859" t="s">
        <v>599</v>
      </c>
      <c r="E859" t="s">
        <v>802</v>
      </c>
      <c r="F859" t="s">
        <v>45</v>
      </c>
      <c r="G859" t="s">
        <v>51</v>
      </c>
      <c r="H859" t="s">
        <v>32</v>
      </c>
      <c r="I859" t="s">
        <v>42</v>
      </c>
      <c r="J859" t="s">
        <v>76</v>
      </c>
      <c r="K859">
        <v>2</v>
      </c>
      <c r="L859" s="2">
        <v>90.75</v>
      </c>
      <c r="M859" s="3">
        <v>0.2</v>
      </c>
      <c r="N859" t="s">
        <v>34</v>
      </c>
      <c r="O859" s="2">
        <v>145.19999999999999</v>
      </c>
      <c r="P859" s="2">
        <v>118.93</v>
      </c>
      <c r="Q859" s="2">
        <v>26.27</v>
      </c>
      <c r="R859">
        <v>1</v>
      </c>
      <c r="S859">
        <v>0</v>
      </c>
      <c r="T859">
        <v>4</v>
      </c>
      <c r="U859">
        <v>5</v>
      </c>
    </row>
    <row r="860" spans="1:21" ht="16.5" x14ac:dyDescent="0.3">
      <c r="A860" t="s">
        <v>939</v>
      </c>
      <c r="B860" s="1">
        <v>45434</v>
      </c>
      <c r="C860">
        <v>2024</v>
      </c>
      <c r="D860" t="s">
        <v>599</v>
      </c>
      <c r="E860" t="s">
        <v>802</v>
      </c>
      <c r="F860" t="s">
        <v>31</v>
      </c>
      <c r="G860" t="s">
        <v>46</v>
      </c>
      <c r="H860" t="s">
        <v>32</v>
      </c>
      <c r="I860" t="s">
        <v>70</v>
      </c>
      <c r="J860" t="s">
        <v>252</v>
      </c>
      <c r="K860">
        <v>2</v>
      </c>
      <c r="L860" s="2">
        <v>216.08</v>
      </c>
      <c r="M860" s="3">
        <v>0</v>
      </c>
      <c r="N860" t="s">
        <v>38</v>
      </c>
      <c r="O860" s="2">
        <v>432.16</v>
      </c>
      <c r="P860" s="2">
        <v>337.97</v>
      </c>
      <c r="Q860" s="2">
        <v>94.19</v>
      </c>
      <c r="R860">
        <v>1</v>
      </c>
      <c r="S860">
        <v>0</v>
      </c>
      <c r="T860">
        <v>6</v>
      </c>
      <c r="U860">
        <v>3</v>
      </c>
    </row>
    <row r="861" spans="1:21" ht="16.5" x14ac:dyDescent="0.3">
      <c r="A861" t="s">
        <v>940</v>
      </c>
      <c r="B861" s="1">
        <v>45434</v>
      </c>
      <c r="C861">
        <v>2024</v>
      </c>
      <c r="D861" t="s">
        <v>599</v>
      </c>
      <c r="E861" t="s">
        <v>802</v>
      </c>
      <c r="F861" t="s">
        <v>24</v>
      </c>
      <c r="G861" t="s">
        <v>51</v>
      </c>
      <c r="H861" t="s">
        <v>26</v>
      </c>
      <c r="I861" t="s">
        <v>42</v>
      </c>
      <c r="J861" t="s">
        <v>98</v>
      </c>
      <c r="K861">
        <v>2</v>
      </c>
      <c r="L861" s="2">
        <v>117.63</v>
      </c>
      <c r="M861" s="3">
        <v>0.05</v>
      </c>
      <c r="N861" t="s">
        <v>29</v>
      </c>
      <c r="O861" s="2">
        <v>223.5</v>
      </c>
      <c r="P861" s="2">
        <v>157.62</v>
      </c>
      <c r="Q861" s="2">
        <v>65.88</v>
      </c>
      <c r="R861">
        <v>1</v>
      </c>
      <c r="S861">
        <v>0</v>
      </c>
      <c r="T861">
        <v>3</v>
      </c>
      <c r="U861">
        <v>5</v>
      </c>
    </row>
    <row r="862" spans="1:21" ht="16.5" x14ac:dyDescent="0.3">
      <c r="A862" t="s">
        <v>941</v>
      </c>
      <c r="B862" s="1">
        <v>45434</v>
      </c>
      <c r="C862">
        <v>2024</v>
      </c>
      <c r="D862" t="s">
        <v>599</v>
      </c>
      <c r="E862" t="s">
        <v>802</v>
      </c>
      <c r="F862" t="s">
        <v>24</v>
      </c>
      <c r="G862" t="s">
        <v>65</v>
      </c>
      <c r="H862" t="s">
        <v>32</v>
      </c>
      <c r="I862" t="s">
        <v>70</v>
      </c>
      <c r="J862" t="s">
        <v>252</v>
      </c>
      <c r="K862">
        <v>1</v>
      </c>
      <c r="L862" s="2">
        <v>216.08</v>
      </c>
      <c r="M862" s="3">
        <v>0</v>
      </c>
      <c r="N862" t="s">
        <v>38</v>
      </c>
      <c r="O862" s="2">
        <v>216.08</v>
      </c>
      <c r="P862" s="2">
        <v>176.96</v>
      </c>
      <c r="Q862" s="2">
        <v>39.119999999999997</v>
      </c>
      <c r="R862">
        <v>1</v>
      </c>
      <c r="S862">
        <v>0</v>
      </c>
      <c r="T862">
        <v>5</v>
      </c>
      <c r="U862">
        <v>5</v>
      </c>
    </row>
    <row r="863" spans="1:21" ht="16.5" x14ac:dyDescent="0.3">
      <c r="A863" t="s">
        <v>942</v>
      </c>
      <c r="B863" s="1">
        <v>45434</v>
      </c>
      <c r="C863">
        <v>2024</v>
      </c>
      <c r="D863" t="s">
        <v>599</v>
      </c>
      <c r="E863" t="s">
        <v>802</v>
      </c>
      <c r="F863" t="s">
        <v>31</v>
      </c>
      <c r="G863" t="s">
        <v>25</v>
      </c>
      <c r="H863" t="s">
        <v>32</v>
      </c>
      <c r="I863" t="s">
        <v>27</v>
      </c>
      <c r="J863" t="s">
        <v>60</v>
      </c>
      <c r="K863">
        <v>2</v>
      </c>
      <c r="L863" s="2">
        <v>94.85</v>
      </c>
      <c r="M863" s="3">
        <v>0.05</v>
      </c>
      <c r="N863" t="s">
        <v>29</v>
      </c>
      <c r="O863" s="2">
        <v>180.21</v>
      </c>
      <c r="P863" s="2">
        <v>99.87</v>
      </c>
      <c r="Q863" s="2">
        <v>80.34</v>
      </c>
      <c r="R863">
        <v>1</v>
      </c>
      <c r="S863">
        <v>0</v>
      </c>
      <c r="T863">
        <v>5</v>
      </c>
      <c r="U863">
        <v>5</v>
      </c>
    </row>
    <row r="864" spans="1:21" ht="16.5" x14ac:dyDescent="0.3">
      <c r="A864" t="s">
        <v>943</v>
      </c>
      <c r="B864" s="1">
        <v>45434</v>
      </c>
      <c r="C864">
        <v>2024</v>
      </c>
      <c r="D864" t="s">
        <v>599</v>
      </c>
      <c r="E864" t="s">
        <v>802</v>
      </c>
      <c r="F864" t="s">
        <v>24</v>
      </c>
      <c r="G864" t="s">
        <v>25</v>
      </c>
      <c r="H864" t="s">
        <v>26</v>
      </c>
      <c r="I864" t="s">
        <v>70</v>
      </c>
      <c r="J864" t="s">
        <v>129</v>
      </c>
      <c r="K864">
        <v>1</v>
      </c>
      <c r="L864" s="2">
        <v>177.65</v>
      </c>
      <c r="M864" s="3">
        <v>0.05</v>
      </c>
      <c r="N864" t="s">
        <v>29</v>
      </c>
      <c r="O864" s="2">
        <v>168.77</v>
      </c>
      <c r="P864" s="2">
        <v>146.57</v>
      </c>
      <c r="Q864" s="2">
        <v>22.2</v>
      </c>
      <c r="R864">
        <v>1</v>
      </c>
      <c r="S864">
        <v>0</v>
      </c>
      <c r="T864">
        <v>4</v>
      </c>
      <c r="U864">
        <v>4</v>
      </c>
    </row>
    <row r="865" spans="1:21" ht="16.5" x14ac:dyDescent="0.3">
      <c r="A865" t="s">
        <v>944</v>
      </c>
      <c r="B865" s="1">
        <v>45435</v>
      </c>
      <c r="C865">
        <v>2024</v>
      </c>
      <c r="D865" t="s">
        <v>599</v>
      </c>
      <c r="E865" t="s">
        <v>802</v>
      </c>
      <c r="F865" t="s">
        <v>24</v>
      </c>
      <c r="G865" t="s">
        <v>51</v>
      </c>
      <c r="H865" t="s">
        <v>32</v>
      </c>
      <c r="I865" t="s">
        <v>84</v>
      </c>
      <c r="J865" t="s">
        <v>85</v>
      </c>
      <c r="K865">
        <v>2</v>
      </c>
      <c r="L865" s="2">
        <v>57.92</v>
      </c>
      <c r="M865" s="3">
        <v>0.25</v>
      </c>
      <c r="N865" t="s">
        <v>62</v>
      </c>
      <c r="O865" s="2">
        <v>86.88</v>
      </c>
      <c r="P865" s="2">
        <v>79.989999999999995</v>
      </c>
      <c r="Q865" s="2">
        <v>6.89</v>
      </c>
      <c r="R865">
        <v>1</v>
      </c>
      <c r="S865">
        <v>0</v>
      </c>
      <c r="T865">
        <v>3</v>
      </c>
      <c r="U865">
        <v>4</v>
      </c>
    </row>
    <row r="866" spans="1:21" ht="16.5" x14ac:dyDescent="0.3">
      <c r="A866" t="s">
        <v>945</v>
      </c>
      <c r="B866" s="1">
        <v>45435</v>
      </c>
      <c r="C866">
        <v>2024</v>
      </c>
      <c r="D866" t="s">
        <v>599</v>
      </c>
      <c r="E866" t="s">
        <v>802</v>
      </c>
      <c r="F866" t="s">
        <v>45</v>
      </c>
      <c r="G866" t="s">
        <v>25</v>
      </c>
      <c r="H866" t="s">
        <v>26</v>
      </c>
      <c r="I866" t="s">
        <v>42</v>
      </c>
      <c r="J866" t="s">
        <v>58</v>
      </c>
      <c r="K866">
        <v>1</v>
      </c>
      <c r="L866" s="2">
        <v>233.81</v>
      </c>
      <c r="M866" s="3">
        <v>0.2</v>
      </c>
      <c r="N866" t="s">
        <v>34</v>
      </c>
      <c r="O866" s="2">
        <v>187.05</v>
      </c>
      <c r="P866" s="2">
        <v>162.06</v>
      </c>
      <c r="Q866" s="2">
        <v>24.99</v>
      </c>
      <c r="R866">
        <v>1</v>
      </c>
      <c r="S866">
        <v>0</v>
      </c>
      <c r="T866">
        <v>3</v>
      </c>
      <c r="U866">
        <v>4</v>
      </c>
    </row>
    <row r="867" spans="1:21" ht="16.5" x14ac:dyDescent="0.3">
      <c r="A867" t="s">
        <v>946</v>
      </c>
      <c r="B867" s="1">
        <v>45435</v>
      </c>
      <c r="C867">
        <v>2024</v>
      </c>
      <c r="D867" t="s">
        <v>599</v>
      </c>
      <c r="E867" t="s">
        <v>802</v>
      </c>
      <c r="F867" t="s">
        <v>24</v>
      </c>
      <c r="G867" t="s">
        <v>51</v>
      </c>
      <c r="H867" t="s">
        <v>26</v>
      </c>
      <c r="I867" t="s">
        <v>84</v>
      </c>
      <c r="J867" t="s">
        <v>132</v>
      </c>
      <c r="K867">
        <v>1</v>
      </c>
      <c r="L867" s="2">
        <v>48.86</v>
      </c>
      <c r="M867" s="3">
        <v>0</v>
      </c>
      <c r="N867" t="s">
        <v>38</v>
      </c>
      <c r="O867" s="2">
        <v>48.86</v>
      </c>
      <c r="P867" s="2">
        <v>35.07</v>
      </c>
      <c r="Q867" s="2">
        <v>13.79</v>
      </c>
      <c r="R867">
        <v>1</v>
      </c>
      <c r="S867">
        <v>0</v>
      </c>
      <c r="T867">
        <v>2</v>
      </c>
      <c r="U867">
        <v>4</v>
      </c>
    </row>
    <row r="868" spans="1:21" ht="16.5" x14ac:dyDescent="0.3">
      <c r="A868" t="s">
        <v>947</v>
      </c>
      <c r="B868" s="1">
        <v>45435</v>
      </c>
      <c r="C868">
        <v>2024</v>
      </c>
      <c r="D868" t="s">
        <v>599</v>
      </c>
      <c r="E868" t="s">
        <v>802</v>
      </c>
      <c r="F868" t="s">
        <v>31</v>
      </c>
      <c r="G868" t="s">
        <v>25</v>
      </c>
      <c r="H868" t="s">
        <v>26</v>
      </c>
      <c r="I868" t="s">
        <v>42</v>
      </c>
      <c r="J868" t="s">
        <v>43</v>
      </c>
      <c r="K868">
        <v>1</v>
      </c>
      <c r="L868" s="2">
        <v>154.66</v>
      </c>
      <c r="M868" s="3">
        <v>0.15</v>
      </c>
      <c r="N868" t="s">
        <v>34</v>
      </c>
      <c r="O868" s="2">
        <v>131.46</v>
      </c>
      <c r="P868" s="2">
        <v>100.23</v>
      </c>
      <c r="Q868" s="2">
        <v>31.23</v>
      </c>
      <c r="R868">
        <v>1</v>
      </c>
      <c r="S868">
        <v>0</v>
      </c>
      <c r="T868">
        <v>4</v>
      </c>
      <c r="U868">
        <v>5</v>
      </c>
    </row>
    <row r="869" spans="1:21" ht="16.5" x14ac:dyDescent="0.3">
      <c r="A869" t="s">
        <v>948</v>
      </c>
      <c r="B869" s="1">
        <v>45435</v>
      </c>
      <c r="C869">
        <v>2024</v>
      </c>
      <c r="D869" t="s">
        <v>599</v>
      </c>
      <c r="E869" t="s">
        <v>802</v>
      </c>
      <c r="F869" t="s">
        <v>24</v>
      </c>
      <c r="G869" t="s">
        <v>49</v>
      </c>
      <c r="H869" t="s">
        <v>32</v>
      </c>
      <c r="I869" t="s">
        <v>42</v>
      </c>
      <c r="J869" t="s">
        <v>76</v>
      </c>
      <c r="K869">
        <v>2</v>
      </c>
      <c r="L869" s="2">
        <v>90.75</v>
      </c>
      <c r="M869" s="3">
        <v>0.1</v>
      </c>
      <c r="N869" t="s">
        <v>29</v>
      </c>
      <c r="O869" s="2">
        <v>163.35</v>
      </c>
      <c r="P869" s="2">
        <v>125.89</v>
      </c>
      <c r="Q869" s="2">
        <v>37.46</v>
      </c>
      <c r="R869">
        <v>1</v>
      </c>
      <c r="S869">
        <v>0</v>
      </c>
      <c r="T869">
        <v>4</v>
      </c>
      <c r="U869">
        <v>4</v>
      </c>
    </row>
    <row r="870" spans="1:21" ht="16.5" x14ac:dyDescent="0.3">
      <c r="A870" t="s">
        <v>949</v>
      </c>
      <c r="B870" s="1">
        <v>45435</v>
      </c>
      <c r="C870">
        <v>2024</v>
      </c>
      <c r="D870" t="s">
        <v>599</v>
      </c>
      <c r="E870" t="s">
        <v>802</v>
      </c>
      <c r="F870" t="s">
        <v>24</v>
      </c>
      <c r="G870" t="s">
        <v>65</v>
      </c>
      <c r="H870" t="s">
        <v>32</v>
      </c>
      <c r="I870" t="s">
        <v>84</v>
      </c>
      <c r="J870" t="s">
        <v>132</v>
      </c>
      <c r="K870">
        <v>1</v>
      </c>
      <c r="L870" s="2">
        <v>48.86</v>
      </c>
      <c r="M870" s="3">
        <v>0.1</v>
      </c>
      <c r="N870" t="s">
        <v>29</v>
      </c>
      <c r="O870" s="2">
        <v>43.97</v>
      </c>
      <c r="P870" s="2">
        <v>35.58</v>
      </c>
      <c r="Q870" s="2">
        <v>8.39</v>
      </c>
      <c r="R870">
        <v>1</v>
      </c>
      <c r="S870">
        <v>0</v>
      </c>
      <c r="T870">
        <v>5</v>
      </c>
      <c r="U870">
        <v>5</v>
      </c>
    </row>
    <row r="871" spans="1:21" ht="16.5" x14ac:dyDescent="0.3">
      <c r="A871" t="s">
        <v>950</v>
      </c>
      <c r="B871" s="1">
        <v>45435</v>
      </c>
      <c r="C871">
        <v>2024</v>
      </c>
      <c r="D871" t="s">
        <v>599</v>
      </c>
      <c r="E871" t="s">
        <v>802</v>
      </c>
      <c r="F871" t="s">
        <v>31</v>
      </c>
      <c r="G871" t="s">
        <v>65</v>
      </c>
      <c r="H871" t="s">
        <v>26</v>
      </c>
      <c r="I871" t="s">
        <v>27</v>
      </c>
      <c r="J871" t="s">
        <v>47</v>
      </c>
      <c r="K871">
        <v>1</v>
      </c>
      <c r="L871" s="2">
        <v>33.99</v>
      </c>
      <c r="M871" s="3">
        <v>0.2</v>
      </c>
      <c r="N871" t="s">
        <v>34</v>
      </c>
      <c r="O871" s="2">
        <v>27.19</v>
      </c>
      <c r="P871" s="2">
        <v>18.18</v>
      </c>
      <c r="Q871" s="2">
        <v>9.01</v>
      </c>
      <c r="R871">
        <v>1</v>
      </c>
      <c r="S871">
        <v>0</v>
      </c>
      <c r="T871">
        <v>6</v>
      </c>
      <c r="U871">
        <v>3</v>
      </c>
    </row>
    <row r="872" spans="1:21" ht="16.5" x14ac:dyDescent="0.3">
      <c r="A872" t="s">
        <v>951</v>
      </c>
      <c r="B872" s="1">
        <v>45435</v>
      </c>
      <c r="C872">
        <v>2024</v>
      </c>
      <c r="D872" t="s">
        <v>599</v>
      </c>
      <c r="E872" t="s">
        <v>802</v>
      </c>
      <c r="F872" t="s">
        <v>24</v>
      </c>
      <c r="G872" t="s">
        <v>65</v>
      </c>
      <c r="H872" t="s">
        <v>26</v>
      </c>
      <c r="I872" t="s">
        <v>27</v>
      </c>
      <c r="J872" t="s">
        <v>47</v>
      </c>
      <c r="K872">
        <v>1</v>
      </c>
      <c r="L872" s="2">
        <v>33.99</v>
      </c>
      <c r="M872" s="3">
        <v>0.15</v>
      </c>
      <c r="N872" t="s">
        <v>34</v>
      </c>
      <c r="O872" s="2">
        <v>28.89</v>
      </c>
      <c r="P872" s="2">
        <v>18.489999999999998</v>
      </c>
      <c r="Q872" s="2">
        <v>10.4</v>
      </c>
      <c r="R872">
        <v>1</v>
      </c>
      <c r="S872">
        <v>0</v>
      </c>
      <c r="T872">
        <v>5</v>
      </c>
      <c r="U872">
        <v>4</v>
      </c>
    </row>
    <row r="873" spans="1:21" ht="16.5" x14ac:dyDescent="0.3">
      <c r="A873" t="s">
        <v>952</v>
      </c>
      <c r="B873" s="1">
        <v>45436</v>
      </c>
      <c r="C873">
        <v>2024</v>
      </c>
      <c r="D873" t="s">
        <v>599</v>
      </c>
      <c r="E873" t="s">
        <v>802</v>
      </c>
      <c r="F873" t="s">
        <v>24</v>
      </c>
      <c r="G873" t="s">
        <v>65</v>
      </c>
      <c r="H873" t="s">
        <v>32</v>
      </c>
      <c r="I873" t="s">
        <v>27</v>
      </c>
      <c r="J873" t="s">
        <v>40</v>
      </c>
      <c r="K873">
        <v>4</v>
      </c>
      <c r="L873" s="2">
        <v>104.94</v>
      </c>
      <c r="M873" s="3">
        <v>0.25</v>
      </c>
      <c r="N873" t="s">
        <v>62</v>
      </c>
      <c r="O873" s="2">
        <v>314.82</v>
      </c>
      <c r="P873" s="2">
        <v>218.62</v>
      </c>
      <c r="Q873" s="2">
        <v>96.2</v>
      </c>
      <c r="R873">
        <v>1</v>
      </c>
      <c r="S873">
        <v>0</v>
      </c>
      <c r="T873">
        <v>5</v>
      </c>
      <c r="U873">
        <v>4</v>
      </c>
    </row>
    <row r="874" spans="1:21" ht="16.5" x14ac:dyDescent="0.3">
      <c r="A874" t="s">
        <v>953</v>
      </c>
      <c r="B874" s="1">
        <v>45436</v>
      </c>
      <c r="C874">
        <v>2024</v>
      </c>
      <c r="D874" t="s">
        <v>599</v>
      </c>
      <c r="E874" t="s">
        <v>802</v>
      </c>
      <c r="F874" t="s">
        <v>24</v>
      </c>
      <c r="G874" t="s">
        <v>49</v>
      </c>
      <c r="H874" t="s">
        <v>32</v>
      </c>
      <c r="I874" t="s">
        <v>36</v>
      </c>
      <c r="J874" t="s">
        <v>115</v>
      </c>
      <c r="K874">
        <v>1</v>
      </c>
      <c r="L874" s="2">
        <v>33.479999999999997</v>
      </c>
      <c r="M874" s="3">
        <v>0.2</v>
      </c>
      <c r="N874" t="s">
        <v>34</v>
      </c>
      <c r="O874" s="2">
        <v>26.78</v>
      </c>
      <c r="P874" s="2">
        <v>16.57</v>
      </c>
      <c r="Q874" s="2">
        <v>10.210000000000001</v>
      </c>
      <c r="R874">
        <v>1</v>
      </c>
      <c r="S874">
        <v>0</v>
      </c>
      <c r="T874">
        <v>5</v>
      </c>
      <c r="U874">
        <v>5</v>
      </c>
    </row>
    <row r="875" spans="1:21" ht="16.5" x14ac:dyDescent="0.3">
      <c r="A875" t="s">
        <v>954</v>
      </c>
      <c r="B875" s="1">
        <v>45436</v>
      </c>
      <c r="C875">
        <v>2024</v>
      </c>
      <c r="D875" t="s">
        <v>599</v>
      </c>
      <c r="E875" t="s">
        <v>802</v>
      </c>
      <c r="F875" t="s">
        <v>24</v>
      </c>
      <c r="G875" t="s">
        <v>51</v>
      </c>
      <c r="H875" t="s">
        <v>32</v>
      </c>
      <c r="I875" t="s">
        <v>84</v>
      </c>
      <c r="J875" t="s">
        <v>223</v>
      </c>
      <c r="K875">
        <v>1</v>
      </c>
      <c r="L875" s="2">
        <v>16.97</v>
      </c>
      <c r="M875" s="3">
        <v>0</v>
      </c>
      <c r="N875" t="s">
        <v>38</v>
      </c>
      <c r="O875" s="2">
        <v>16.97</v>
      </c>
      <c r="P875" s="2">
        <v>11.66</v>
      </c>
      <c r="Q875" s="2">
        <v>5.31</v>
      </c>
      <c r="R875">
        <v>1</v>
      </c>
      <c r="S875">
        <v>0</v>
      </c>
      <c r="T875">
        <v>3</v>
      </c>
      <c r="U875">
        <v>5</v>
      </c>
    </row>
    <row r="876" spans="1:21" ht="16.5" x14ac:dyDescent="0.3">
      <c r="A876" t="s">
        <v>955</v>
      </c>
      <c r="B876" s="1">
        <v>45437</v>
      </c>
      <c r="C876">
        <v>2024</v>
      </c>
      <c r="D876" t="s">
        <v>599</v>
      </c>
      <c r="E876" t="s">
        <v>802</v>
      </c>
      <c r="F876" t="s">
        <v>45</v>
      </c>
      <c r="G876" t="s">
        <v>49</v>
      </c>
      <c r="H876" t="s">
        <v>32</v>
      </c>
      <c r="I876" t="s">
        <v>42</v>
      </c>
      <c r="J876" t="s">
        <v>58</v>
      </c>
      <c r="K876">
        <v>2</v>
      </c>
      <c r="L876" s="2">
        <v>233.81</v>
      </c>
      <c r="M876" s="3">
        <v>0</v>
      </c>
      <c r="N876" t="s">
        <v>38</v>
      </c>
      <c r="O876" s="2">
        <v>467.62</v>
      </c>
      <c r="P876" s="2">
        <v>309.64</v>
      </c>
      <c r="Q876" s="2">
        <v>157.97999999999999</v>
      </c>
      <c r="R876">
        <v>1</v>
      </c>
      <c r="S876">
        <v>0</v>
      </c>
      <c r="T876">
        <v>4</v>
      </c>
      <c r="U876">
        <v>5</v>
      </c>
    </row>
    <row r="877" spans="1:21" ht="16.5" x14ac:dyDescent="0.3">
      <c r="A877" t="s">
        <v>956</v>
      </c>
      <c r="B877" s="1">
        <v>45437</v>
      </c>
      <c r="C877">
        <v>2024</v>
      </c>
      <c r="D877" t="s">
        <v>599</v>
      </c>
      <c r="E877" t="s">
        <v>802</v>
      </c>
      <c r="F877" t="s">
        <v>45</v>
      </c>
      <c r="G877" t="s">
        <v>49</v>
      </c>
      <c r="H877" t="s">
        <v>32</v>
      </c>
      <c r="I877" t="s">
        <v>70</v>
      </c>
      <c r="J877" t="s">
        <v>162</v>
      </c>
      <c r="K877">
        <v>1</v>
      </c>
      <c r="L877" s="2">
        <v>636.09</v>
      </c>
      <c r="M877" s="3">
        <v>0.15</v>
      </c>
      <c r="N877" t="s">
        <v>34</v>
      </c>
      <c r="O877" s="2">
        <v>540.67999999999995</v>
      </c>
      <c r="P877" s="2">
        <v>510.55</v>
      </c>
      <c r="Q877" s="2">
        <v>30.13</v>
      </c>
      <c r="R877">
        <v>1</v>
      </c>
      <c r="S877">
        <v>0</v>
      </c>
      <c r="T877">
        <v>3</v>
      </c>
      <c r="U877">
        <v>5</v>
      </c>
    </row>
    <row r="878" spans="1:21" ht="16.5" x14ac:dyDescent="0.3">
      <c r="A878" t="s">
        <v>957</v>
      </c>
      <c r="B878" s="1">
        <v>45437</v>
      </c>
      <c r="C878">
        <v>2024</v>
      </c>
      <c r="D878" t="s">
        <v>599</v>
      </c>
      <c r="E878" t="s">
        <v>802</v>
      </c>
      <c r="F878" t="s">
        <v>24</v>
      </c>
      <c r="G878" t="s">
        <v>65</v>
      </c>
      <c r="H878" t="s">
        <v>32</v>
      </c>
      <c r="I878" t="s">
        <v>84</v>
      </c>
      <c r="J878" t="s">
        <v>85</v>
      </c>
      <c r="K878">
        <v>1</v>
      </c>
      <c r="L878" s="2">
        <v>57.92</v>
      </c>
      <c r="M878" s="3">
        <v>0.1</v>
      </c>
      <c r="N878" t="s">
        <v>29</v>
      </c>
      <c r="O878" s="2">
        <v>52.13</v>
      </c>
      <c r="P878" s="2">
        <v>43.65</v>
      </c>
      <c r="Q878" s="2">
        <v>8.48</v>
      </c>
      <c r="R878">
        <v>1</v>
      </c>
      <c r="S878">
        <v>0</v>
      </c>
      <c r="T878">
        <v>6</v>
      </c>
      <c r="U878">
        <v>4</v>
      </c>
    </row>
    <row r="879" spans="1:21" ht="16.5" x14ac:dyDescent="0.3">
      <c r="A879" t="s">
        <v>958</v>
      </c>
      <c r="B879" s="1">
        <v>45437</v>
      </c>
      <c r="C879">
        <v>2024</v>
      </c>
      <c r="D879" t="s">
        <v>599</v>
      </c>
      <c r="E879" t="s">
        <v>802</v>
      </c>
      <c r="F879" t="s">
        <v>24</v>
      </c>
      <c r="G879" t="s">
        <v>25</v>
      </c>
      <c r="H879" t="s">
        <v>32</v>
      </c>
      <c r="I879" t="s">
        <v>27</v>
      </c>
      <c r="J879" t="s">
        <v>28</v>
      </c>
      <c r="K879">
        <v>1</v>
      </c>
      <c r="L879" s="2">
        <v>138.5</v>
      </c>
      <c r="M879" s="3">
        <v>0</v>
      </c>
      <c r="N879" t="s">
        <v>38</v>
      </c>
      <c r="O879" s="2">
        <v>138.5</v>
      </c>
      <c r="P879" s="2">
        <v>75.19</v>
      </c>
      <c r="Q879" s="2">
        <v>63.31</v>
      </c>
      <c r="R879">
        <v>1</v>
      </c>
      <c r="S879">
        <v>0</v>
      </c>
      <c r="T879">
        <v>4</v>
      </c>
      <c r="U879">
        <v>4</v>
      </c>
    </row>
    <row r="880" spans="1:21" ht="16.5" x14ac:dyDescent="0.3">
      <c r="A880" t="s">
        <v>959</v>
      </c>
      <c r="B880" s="1">
        <v>45437</v>
      </c>
      <c r="C880">
        <v>2024</v>
      </c>
      <c r="D880" t="s">
        <v>599</v>
      </c>
      <c r="E880" t="s">
        <v>802</v>
      </c>
      <c r="F880" t="s">
        <v>31</v>
      </c>
      <c r="G880" t="s">
        <v>49</v>
      </c>
      <c r="H880" t="s">
        <v>26</v>
      </c>
      <c r="I880" t="s">
        <v>42</v>
      </c>
      <c r="J880" t="s">
        <v>43</v>
      </c>
      <c r="K880">
        <v>1</v>
      </c>
      <c r="L880" s="2">
        <v>154.66</v>
      </c>
      <c r="M880" s="3">
        <v>0.1</v>
      </c>
      <c r="N880" t="s">
        <v>29</v>
      </c>
      <c r="O880" s="2">
        <v>139.19</v>
      </c>
      <c r="P880" s="2">
        <v>99.78</v>
      </c>
      <c r="Q880" s="2">
        <v>39.409999999999997</v>
      </c>
      <c r="R880">
        <v>1</v>
      </c>
      <c r="S880">
        <v>1</v>
      </c>
      <c r="T880">
        <v>6</v>
      </c>
      <c r="U880">
        <v>3</v>
      </c>
    </row>
    <row r="881" spans="1:21" ht="16.5" x14ac:dyDescent="0.3">
      <c r="A881" t="s">
        <v>960</v>
      </c>
      <c r="B881" s="1">
        <v>45437</v>
      </c>
      <c r="C881">
        <v>2024</v>
      </c>
      <c r="D881" t="s">
        <v>599</v>
      </c>
      <c r="E881" t="s">
        <v>802</v>
      </c>
      <c r="F881" t="s">
        <v>31</v>
      </c>
      <c r="G881" t="s">
        <v>49</v>
      </c>
      <c r="H881" t="s">
        <v>26</v>
      </c>
      <c r="I881" t="s">
        <v>42</v>
      </c>
      <c r="J881" t="s">
        <v>89</v>
      </c>
      <c r="K881">
        <v>2</v>
      </c>
      <c r="L881" s="2">
        <v>68.349999999999994</v>
      </c>
      <c r="M881" s="3">
        <v>0.05</v>
      </c>
      <c r="N881" t="s">
        <v>29</v>
      </c>
      <c r="O881" s="2">
        <v>129.86000000000001</v>
      </c>
      <c r="P881" s="2">
        <v>87.28</v>
      </c>
      <c r="Q881" s="2">
        <v>42.58</v>
      </c>
      <c r="R881">
        <v>1</v>
      </c>
      <c r="S881">
        <v>0</v>
      </c>
      <c r="T881">
        <v>4</v>
      </c>
      <c r="U881">
        <v>4</v>
      </c>
    </row>
    <row r="882" spans="1:21" ht="16.5" x14ac:dyDescent="0.3">
      <c r="A882" t="s">
        <v>961</v>
      </c>
      <c r="B882" s="1">
        <v>45437</v>
      </c>
      <c r="C882">
        <v>2024</v>
      </c>
      <c r="D882" t="s">
        <v>599</v>
      </c>
      <c r="E882" t="s">
        <v>802</v>
      </c>
      <c r="F882" t="s">
        <v>31</v>
      </c>
      <c r="G882" t="s">
        <v>51</v>
      </c>
      <c r="H882" t="s">
        <v>32</v>
      </c>
      <c r="I882" t="s">
        <v>67</v>
      </c>
      <c r="J882" t="s">
        <v>68</v>
      </c>
      <c r="K882">
        <v>1</v>
      </c>
      <c r="L882" s="2">
        <v>74.459999999999994</v>
      </c>
      <c r="M882" s="3">
        <v>0.15</v>
      </c>
      <c r="N882" t="s">
        <v>34</v>
      </c>
      <c r="O882" s="2">
        <v>63.29</v>
      </c>
      <c r="P882" s="2">
        <v>50.02</v>
      </c>
      <c r="Q882" s="2">
        <v>13.27</v>
      </c>
      <c r="R882">
        <v>1</v>
      </c>
      <c r="S882">
        <v>0</v>
      </c>
      <c r="T882">
        <v>4</v>
      </c>
      <c r="U882">
        <v>4</v>
      </c>
    </row>
    <row r="883" spans="1:21" ht="16.5" x14ac:dyDescent="0.3">
      <c r="A883" t="s">
        <v>962</v>
      </c>
      <c r="B883" s="1">
        <v>45438</v>
      </c>
      <c r="C883">
        <v>2024</v>
      </c>
      <c r="D883" t="s">
        <v>599</v>
      </c>
      <c r="E883" t="s">
        <v>802</v>
      </c>
      <c r="F883" t="s">
        <v>45</v>
      </c>
      <c r="G883" t="s">
        <v>65</v>
      </c>
      <c r="H883" t="s">
        <v>32</v>
      </c>
      <c r="I883" t="s">
        <v>42</v>
      </c>
      <c r="J883" t="s">
        <v>58</v>
      </c>
      <c r="K883">
        <v>1</v>
      </c>
      <c r="L883" s="2">
        <v>233.81</v>
      </c>
      <c r="M883" s="3">
        <v>0</v>
      </c>
      <c r="N883" t="s">
        <v>38</v>
      </c>
      <c r="O883" s="2">
        <v>233.81</v>
      </c>
      <c r="P883" s="2">
        <v>152.07</v>
      </c>
      <c r="Q883" s="2">
        <v>81.739999999999995</v>
      </c>
      <c r="R883">
        <v>1</v>
      </c>
      <c r="S883">
        <v>0</v>
      </c>
      <c r="T883">
        <v>8</v>
      </c>
      <c r="U883">
        <v>3</v>
      </c>
    </row>
    <row r="884" spans="1:21" ht="16.5" x14ac:dyDescent="0.3">
      <c r="A884" t="s">
        <v>963</v>
      </c>
      <c r="B884" s="1">
        <v>45438</v>
      </c>
      <c r="C884">
        <v>2024</v>
      </c>
      <c r="D884" t="s">
        <v>599</v>
      </c>
      <c r="E884" t="s">
        <v>802</v>
      </c>
      <c r="F884" t="s">
        <v>24</v>
      </c>
      <c r="G884" t="s">
        <v>49</v>
      </c>
      <c r="H884" t="s">
        <v>32</v>
      </c>
      <c r="I884" t="s">
        <v>42</v>
      </c>
      <c r="J884" t="s">
        <v>98</v>
      </c>
      <c r="K884">
        <v>1</v>
      </c>
      <c r="L884" s="2">
        <v>117.63</v>
      </c>
      <c r="M884" s="3">
        <v>0.05</v>
      </c>
      <c r="N884" t="s">
        <v>29</v>
      </c>
      <c r="O884" s="2">
        <v>111.75</v>
      </c>
      <c r="P884" s="2">
        <v>76.31</v>
      </c>
      <c r="Q884" s="2">
        <v>35.44</v>
      </c>
      <c r="R884">
        <v>1</v>
      </c>
      <c r="S884">
        <v>0</v>
      </c>
      <c r="T884">
        <v>5</v>
      </c>
      <c r="U884">
        <v>4</v>
      </c>
    </row>
    <row r="885" spans="1:21" ht="16.5" x14ac:dyDescent="0.3">
      <c r="A885" t="s">
        <v>964</v>
      </c>
      <c r="B885" s="1">
        <v>45438</v>
      </c>
      <c r="C885">
        <v>2024</v>
      </c>
      <c r="D885" t="s">
        <v>599</v>
      </c>
      <c r="E885" t="s">
        <v>802</v>
      </c>
      <c r="F885" t="s">
        <v>24</v>
      </c>
      <c r="G885" t="s">
        <v>51</v>
      </c>
      <c r="H885" t="s">
        <v>32</v>
      </c>
      <c r="I885" t="s">
        <v>27</v>
      </c>
      <c r="J885" t="s">
        <v>33</v>
      </c>
      <c r="K885">
        <v>1</v>
      </c>
      <c r="L885" s="2">
        <v>78.510000000000005</v>
      </c>
      <c r="M885" s="3">
        <v>0.05</v>
      </c>
      <c r="N885" t="s">
        <v>29</v>
      </c>
      <c r="O885" s="2">
        <v>74.58</v>
      </c>
      <c r="P885" s="2">
        <v>41.32</v>
      </c>
      <c r="Q885" s="2">
        <v>33.26</v>
      </c>
      <c r="R885">
        <v>1</v>
      </c>
      <c r="S885">
        <v>1</v>
      </c>
      <c r="T885">
        <v>5</v>
      </c>
      <c r="U885">
        <v>4</v>
      </c>
    </row>
    <row r="886" spans="1:21" ht="16.5" x14ac:dyDescent="0.3">
      <c r="A886" t="s">
        <v>965</v>
      </c>
      <c r="B886" s="1">
        <v>45438</v>
      </c>
      <c r="C886">
        <v>2024</v>
      </c>
      <c r="D886" t="s">
        <v>599</v>
      </c>
      <c r="E886" t="s">
        <v>802</v>
      </c>
      <c r="F886" t="s">
        <v>24</v>
      </c>
      <c r="G886" t="s">
        <v>49</v>
      </c>
      <c r="H886" t="s">
        <v>26</v>
      </c>
      <c r="I886" t="s">
        <v>36</v>
      </c>
      <c r="J886" t="s">
        <v>56</v>
      </c>
      <c r="K886">
        <v>1</v>
      </c>
      <c r="L886" s="2">
        <v>74.3</v>
      </c>
      <c r="M886" s="3">
        <v>0.15</v>
      </c>
      <c r="N886" t="s">
        <v>34</v>
      </c>
      <c r="O886" s="2">
        <v>63.15</v>
      </c>
      <c r="P886" s="2">
        <v>33.43</v>
      </c>
      <c r="Q886" s="2">
        <v>29.72</v>
      </c>
      <c r="R886">
        <v>1</v>
      </c>
      <c r="S886">
        <v>0</v>
      </c>
      <c r="T886">
        <v>4</v>
      </c>
      <c r="U886">
        <v>4</v>
      </c>
    </row>
    <row r="887" spans="1:21" ht="16.5" x14ac:dyDescent="0.3">
      <c r="A887" t="s">
        <v>966</v>
      </c>
      <c r="B887" s="1">
        <v>45439</v>
      </c>
      <c r="C887">
        <v>2024</v>
      </c>
      <c r="D887" t="s">
        <v>599</v>
      </c>
      <c r="E887" t="s">
        <v>802</v>
      </c>
      <c r="F887" t="s">
        <v>31</v>
      </c>
      <c r="G887" t="s">
        <v>51</v>
      </c>
      <c r="H887" t="s">
        <v>32</v>
      </c>
      <c r="I887" t="s">
        <v>70</v>
      </c>
      <c r="J887" t="s">
        <v>71</v>
      </c>
      <c r="K887">
        <v>2</v>
      </c>
      <c r="L887" s="2">
        <v>588.41</v>
      </c>
      <c r="M887" s="3">
        <v>0.1</v>
      </c>
      <c r="N887" t="s">
        <v>29</v>
      </c>
      <c r="O887" s="2">
        <v>1059.1400000000001</v>
      </c>
      <c r="P887" s="2">
        <v>972.94</v>
      </c>
      <c r="Q887" s="2">
        <v>86.2</v>
      </c>
      <c r="R887">
        <v>1</v>
      </c>
      <c r="S887">
        <v>0</v>
      </c>
      <c r="T887">
        <v>2</v>
      </c>
      <c r="U887">
        <v>4</v>
      </c>
    </row>
    <row r="888" spans="1:21" ht="16.5" x14ac:dyDescent="0.3">
      <c r="A888" t="s">
        <v>967</v>
      </c>
      <c r="B888" s="1">
        <v>45439</v>
      </c>
      <c r="C888">
        <v>2024</v>
      </c>
      <c r="D888" t="s">
        <v>599</v>
      </c>
      <c r="E888" t="s">
        <v>802</v>
      </c>
      <c r="F888" t="s">
        <v>31</v>
      </c>
      <c r="G888" t="s">
        <v>25</v>
      </c>
      <c r="H888" t="s">
        <v>26</v>
      </c>
      <c r="I888" t="s">
        <v>27</v>
      </c>
      <c r="J888" t="s">
        <v>47</v>
      </c>
      <c r="K888">
        <v>2</v>
      </c>
      <c r="L888" s="2">
        <v>33.99</v>
      </c>
      <c r="M888" s="3">
        <v>0</v>
      </c>
      <c r="N888" t="s">
        <v>38</v>
      </c>
      <c r="O888" s="2">
        <v>67.98</v>
      </c>
      <c r="P888" s="2">
        <v>37.81</v>
      </c>
      <c r="Q888" s="2">
        <v>30.17</v>
      </c>
      <c r="R888">
        <v>1</v>
      </c>
      <c r="S888">
        <v>1</v>
      </c>
      <c r="T888">
        <v>3</v>
      </c>
      <c r="U888">
        <v>3</v>
      </c>
    </row>
    <row r="889" spans="1:21" ht="16.5" x14ac:dyDescent="0.3">
      <c r="A889" t="s">
        <v>968</v>
      </c>
      <c r="B889" s="1">
        <v>45439</v>
      </c>
      <c r="C889">
        <v>2024</v>
      </c>
      <c r="D889" t="s">
        <v>599</v>
      </c>
      <c r="E889" t="s">
        <v>802</v>
      </c>
      <c r="F889" t="s">
        <v>24</v>
      </c>
      <c r="G889" t="s">
        <v>46</v>
      </c>
      <c r="H889" t="s">
        <v>32</v>
      </c>
      <c r="I889" t="s">
        <v>27</v>
      </c>
      <c r="J889" t="s">
        <v>28</v>
      </c>
      <c r="K889">
        <v>3</v>
      </c>
      <c r="L889" s="2">
        <v>138.5</v>
      </c>
      <c r="M889" s="3">
        <v>0.05</v>
      </c>
      <c r="N889" t="s">
        <v>29</v>
      </c>
      <c r="O889" s="2">
        <v>394.72</v>
      </c>
      <c r="P889" s="2">
        <v>222.09</v>
      </c>
      <c r="Q889" s="2">
        <v>172.63</v>
      </c>
      <c r="R889">
        <v>1</v>
      </c>
      <c r="S889">
        <v>0</v>
      </c>
      <c r="T889">
        <v>7</v>
      </c>
      <c r="U889">
        <v>2</v>
      </c>
    </row>
    <row r="890" spans="1:21" ht="16.5" x14ac:dyDescent="0.3">
      <c r="A890" t="s">
        <v>969</v>
      </c>
      <c r="B890" s="1">
        <v>45439</v>
      </c>
      <c r="C890">
        <v>2024</v>
      </c>
      <c r="D890" t="s">
        <v>599</v>
      </c>
      <c r="E890" t="s">
        <v>802</v>
      </c>
      <c r="F890" t="s">
        <v>24</v>
      </c>
      <c r="G890" t="s">
        <v>49</v>
      </c>
      <c r="H890" t="s">
        <v>32</v>
      </c>
      <c r="I890" t="s">
        <v>42</v>
      </c>
      <c r="J890" t="s">
        <v>54</v>
      </c>
      <c r="K890">
        <v>1</v>
      </c>
      <c r="L890" s="2">
        <v>148.05000000000001</v>
      </c>
      <c r="M890" s="3">
        <v>0</v>
      </c>
      <c r="N890" t="s">
        <v>38</v>
      </c>
      <c r="O890" s="2">
        <v>148.05000000000001</v>
      </c>
      <c r="P890" s="2">
        <v>105.33</v>
      </c>
      <c r="Q890" s="2">
        <v>42.72</v>
      </c>
      <c r="R890">
        <v>1</v>
      </c>
      <c r="S890">
        <v>0</v>
      </c>
      <c r="T890">
        <v>3</v>
      </c>
      <c r="U890">
        <v>5</v>
      </c>
    </row>
    <row r="891" spans="1:21" ht="16.5" x14ac:dyDescent="0.3">
      <c r="A891" t="s">
        <v>970</v>
      </c>
      <c r="B891" s="1">
        <v>45439</v>
      </c>
      <c r="C891">
        <v>2024</v>
      </c>
      <c r="D891" t="s">
        <v>599</v>
      </c>
      <c r="E891" t="s">
        <v>802</v>
      </c>
      <c r="F891" t="s">
        <v>31</v>
      </c>
      <c r="G891" t="s">
        <v>65</v>
      </c>
      <c r="H891" t="s">
        <v>26</v>
      </c>
      <c r="I891" t="s">
        <v>42</v>
      </c>
      <c r="J891" t="s">
        <v>43</v>
      </c>
      <c r="K891">
        <v>3</v>
      </c>
      <c r="L891" s="2">
        <v>154.66</v>
      </c>
      <c r="M891" s="3">
        <v>0</v>
      </c>
      <c r="N891" t="s">
        <v>38</v>
      </c>
      <c r="O891" s="2">
        <v>463.98</v>
      </c>
      <c r="P891" s="2">
        <v>330.18</v>
      </c>
      <c r="Q891" s="2">
        <v>133.80000000000001</v>
      </c>
      <c r="R891">
        <v>1</v>
      </c>
      <c r="S891">
        <v>0</v>
      </c>
      <c r="T891">
        <v>5</v>
      </c>
      <c r="U891">
        <v>5</v>
      </c>
    </row>
    <row r="892" spans="1:21" ht="16.5" x14ac:dyDescent="0.3">
      <c r="A892" t="s">
        <v>971</v>
      </c>
      <c r="B892" s="1">
        <v>45439</v>
      </c>
      <c r="C892">
        <v>2024</v>
      </c>
      <c r="D892" t="s">
        <v>599</v>
      </c>
      <c r="E892" t="s">
        <v>802</v>
      </c>
      <c r="F892" t="s">
        <v>45</v>
      </c>
      <c r="G892" t="s">
        <v>25</v>
      </c>
      <c r="H892" t="s">
        <v>26</v>
      </c>
      <c r="I892" t="s">
        <v>42</v>
      </c>
      <c r="J892" t="s">
        <v>43</v>
      </c>
      <c r="K892">
        <v>1</v>
      </c>
      <c r="L892" s="2">
        <v>154.66</v>
      </c>
      <c r="M892" s="3">
        <v>0</v>
      </c>
      <c r="N892" t="s">
        <v>38</v>
      </c>
      <c r="O892" s="2">
        <v>154.66</v>
      </c>
      <c r="P892" s="2">
        <v>102.25</v>
      </c>
      <c r="Q892" s="2">
        <v>52.41</v>
      </c>
      <c r="R892">
        <v>1</v>
      </c>
      <c r="S892">
        <v>0</v>
      </c>
      <c r="T892">
        <v>4</v>
      </c>
      <c r="U892">
        <v>4</v>
      </c>
    </row>
    <row r="893" spans="1:21" ht="16.5" x14ac:dyDescent="0.3">
      <c r="A893" t="s">
        <v>972</v>
      </c>
      <c r="B893" s="1">
        <v>45439</v>
      </c>
      <c r="C893">
        <v>2024</v>
      </c>
      <c r="D893" t="s">
        <v>599</v>
      </c>
      <c r="E893" t="s">
        <v>802</v>
      </c>
      <c r="F893" t="s">
        <v>45</v>
      </c>
      <c r="G893" t="s">
        <v>49</v>
      </c>
      <c r="H893" t="s">
        <v>26</v>
      </c>
      <c r="I893" t="s">
        <v>42</v>
      </c>
      <c r="J893" t="s">
        <v>54</v>
      </c>
      <c r="K893">
        <v>1</v>
      </c>
      <c r="L893" s="2">
        <v>148.05000000000001</v>
      </c>
      <c r="M893" s="3">
        <v>0.1</v>
      </c>
      <c r="N893" t="s">
        <v>29</v>
      </c>
      <c r="O893" s="2">
        <v>133.24</v>
      </c>
      <c r="P893" s="2">
        <v>95.63</v>
      </c>
      <c r="Q893" s="2">
        <v>37.61</v>
      </c>
      <c r="R893">
        <v>1</v>
      </c>
      <c r="S893">
        <v>0</v>
      </c>
      <c r="T893">
        <v>3</v>
      </c>
      <c r="U893">
        <v>4</v>
      </c>
    </row>
    <row r="894" spans="1:21" ht="16.5" x14ac:dyDescent="0.3">
      <c r="A894" t="s">
        <v>973</v>
      </c>
      <c r="B894" s="1">
        <v>45439</v>
      </c>
      <c r="C894">
        <v>2024</v>
      </c>
      <c r="D894" t="s">
        <v>599</v>
      </c>
      <c r="E894" t="s">
        <v>802</v>
      </c>
      <c r="F894" t="s">
        <v>45</v>
      </c>
      <c r="G894" t="s">
        <v>65</v>
      </c>
      <c r="H894" t="s">
        <v>32</v>
      </c>
      <c r="I894" t="s">
        <v>42</v>
      </c>
      <c r="J894" t="s">
        <v>43</v>
      </c>
      <c r="K894">
        <v>2</v>
      </c>
      <c r="L894" s="2">
        <v>154.66</v>
      </c>
      <c r="M894" s="3">
        <v>0.1</v>
      </c>
      <c r="N894" t="s">
        <v>29</v>
      </c>
      <c r="O894" s="2">
        <v>278.39</v>
      </c>
      <c r="P894" s="2">
        <v>200.22</v>
      </c>
      <c r="Q894" s="2">
        <v>78.17</v>
      </c>
      <c r="R894">
        <v>1</v>
      </c>
      <c r="S894">
        <v>0</v>
      </c>
      <c r="T894">
        <v>6</v>
      </c>
      <c r="U894">
        <v>3</v>
      </c>
    </row>
    <row r="895" spans="1:21" ht="16.5" x14ac:dyDescent="0.3">
      <c r="A895" t="s">
        <v>974</v>
      </c>
      <c r="B895" s="1">
        <v>45440</v>
      </c>
      <c r="C895">
        <v>2024</v>
      </c>
      <c r="D895" t="s">
        <v>599</v>
      </c>
      <c r="E895" t="s">
        <v>802</v>
      </c>
      <c r="F895" t="s">
        <v>31</v>
      </c>
      <c r="G895" t="s">
        <v>51</v>
      </c>
      <c r="H895" t="s">
        <v>26</v>
      </c>
      <c r="I895" t="s">
        <v>27</v>
      </c>
      <c r="J895" t="s">
        <v>33</v>
      </c>
      <c r="K895">
        <v>1</v>
      </c>
      <c r="L895" s="2">
        <v>78.510000000000005</v>
      </c>
      <c r="M895" s="3">
        <v>0.1</v>
      </c>
      <c r="N895" t="s">
        <v>29</v>
      </c>
      <c r="O895" s="2">
        <v>70.66</v>
      </c>
      <c r="P895" s="2">
        <v>43.26</v>
      </c>
      <c r="Q895" s="2">
        <v>27.4</v>
      </c>
      <c r="R895">
        <v>1</v>
      </c>
      <c r="S895">
        <v>0</v>
      </c>
      <c r="T895">
        <v>5</v>
      </c>
      <c r="U895">
        <v>4</v>
      </c>
    </row>
    <row r="896" spans="1:21" ht="16.5" x14ac:dyDescent="0.3">
      <c r="A896" t="s">
        <v>975</v>
      </c>
      <c r="B896" s="1">
        <v>45440</v>
      </c>
      <c r="C896">
        <v>2024</v>
      </c>
      <c r="D896" t="s">
        <v>599</v>
      </c>
      <c r="E896" t="s">
        <v>802</v>
      </c>
      <c r="F896" t="s">
        <v>31</v>
      </c>
      <c r="G896" t="s">
        <v>25</v>
      </c>
      <c r="H896" t="s">
        <v>32</v>
      </c>
      <c r="I896" t="s">
        <v>70</v>
      </c>
      <c r="J896" t="s">
        <v>82</v>
      </c>
      <c r="K896">
        <v>1</v>
      </c>
      <c r="L896" s="2">
        <v>508.8</v>
      </c>
      <c r="M896" s="3">
        <v>0.2</v>
      </c>
      <c r="N896" t="s">
        <v>34</v>
      </c>
      <c r="O896" s="2">
        <v>407.04</v>
      </c>
      <c r="P896" s="2">
        <v>421.26</v>
      </c>
      <c r="Q896" s="2">
        <v>-14.22</v>
      </c>
      <c r="R896">
        <v>1</v>
      </c>
      <c r="S896">
        <v>0</v>
      </c>
      <c r="T896">
        <v>4</v>
      </c>
      <c r="U896">
        <v>4</v>
      </c>
    </row>
    <row r="897" spans="1:21" ht="16.5" x14ac:dyDescent="0.3">
      <c r="A897" t="s">
        <v>976</v>
      </c>
      <c r="B897" s="1">
        <v>45440</v>
      </c>
      <c r="C897">
        <v>2024</v>
      </c>
      <c r="D897" t="s">
        <v>599</v>
      </c>
      <c r="E897" t="s">
        <v>802</v>
      </c>
      <c r="F897" t="s">
        <v>45</v>
      </c>
      <c r="G897" t="s">
        <v>49</v>
      </c>
      <c r="H897" t="s">
        <v>26</v>
      </c>
      <c r="I897" t="s">
        <v>36</v>
      </c>
      <c r="J897" t="s">
        <v>126</v>
      </c>
      <c r="K897">
        <v>1</v>
      </c>
      <c r="L897" s="2">
        <v>54.56</v>
      </c>
      <c r="M897" s="3">
        <v>0</v>
      </c>
      <c r="N897" t="s">
        <v>38</v>
      </c>
      <c r="O897" s="2">
        <v>54.56</v>
      </c>
      <c r="P897" s="2">
        <v>25.11</v>
      </c>
      <c r="Q897" s="2">
        <v>29.45</v>
      </c>
      <c r="R897">
        <v>1</v>
      </c>
      <c r="S897">
        <v>0</v>
      </c>
      <c r="T897">
        <v>4</v>
      </c>
      <c r="U897">
        <v>5</v>
      </c>
    </row>
    <row r="898" spans="1:21" ht="16.5" x14ac:dyDescent="0.3">
      <c r="A898" t="s">
        <v>977</v>
      </c>
      <c r="B898" s="1">
        <v>45440</v>
      </c>
      <c r="C898">
        <v>2024</v>
      </c>
      <c r="D898" t="s">
        <v>599</v>
      </c>
      <c r="E898" t="s">
        <v>802</v>
      </c>
      <c r="F898" t="s">
        <v>24</v>
      </c>
      <c r="G898" t="s">
        <v>49</v>
      </c>
      <c r="H898" t="s">
        <v>26</v>
      </c>
      <c r="I898" t="s">
        <v>42</v>
      </c>
      <c r="J898" t="s">
        <v>58</v>
      </c>
      <c r="K898">
        <v>1</v>
      </c>
      <c r="L898" s="2">
        <v>233.81</v>
      </c>
      <c r="M898" s="3">
        <v>0.1</v>
      </c>
      <c r="N898" t="s">
        <v>29</v>
      </c>
      <c r="O898" s="2">
        <v>210.43</v>
      </c>
      <c r="P898" s="2">
        <v>155.94999999999999</v>
      </c>
      <c r="Q898" s="2">
        <v>54.48</v>
      </c>
      <c r="R898">
        <v>1</v>
      </c>
      <c r="S898">
        <v>0</v>
      </c>
      <c r="T898">
        <v>4</v>
      </c>
      <c r="U898">
        <v>4</v>
      </c>
    </row>
    <row r="899" spans="1:21" ht="16.5" x14ac:dyDescent="0.3">
      <c r="A899" t="s">
        <v>978</v>
      </c>
      <c r="B899" s="1">
        <v>45440</v>
      </c>
      <c r="C899">
        <v>2024</v>
      </c>
      <c r="D899" t="s">
        <v>599</v>
      </c>
      <c r="E899" t="s">
        <v>802</v>
      </c>
      <c r="F899" t="s">
        <v>24</v>
      </c>
      <c r="G899" t="s">
        <v>51</v>
      </c>
      <c r="H899" t="s">
        <v>32</v>
      </c>
      <c r="I899" t="s">
        <v>70</v>
      </c>
      <c r="J899" t="s">
        <v>71</v>
      </c>
      <c r="K899">
        <v>2</v>
      </c>
      <c r="L899" s="2">
        <v>588.41</v>
      </c>
      <c r="M899" s="3">
        <v>0</v>
      </c>
      <c r="N899" t="s">
        <v>38</v>
      </c>
      <c r="O899" s="2">
        <v>1176.82</v>
      </c>
      <c r="P899" s="2">
        <v>930.23</v>
      </c>
      <c r="Q899" s="2">
        <v>246.59</v>
      </c>
      <c r="R899">
        <v>1</v>
      </c>
      <c r="S899">
        <v>0</v>
      </c>
      <c r="T899">
        <v>2</v>
      </c>
      <c r="U899">
        <v>5</v>
      </c>
    </row>
    <row r="900" spans="1:21" ht="16.5" x14ac:dyDescent="0.3">
      <c r="A900" t="s">
        <v>979</v>
      </c>
      <c r="B900" s="1">
        <v>45440</v>
      </c>
      <c r="C900">
        <v>2024</v>
      </c>
      <c r="D900" t="s">
        <v>599</v>
      </c>
      <c r="E900" t="s">
        <v>802</v>
      </c>
      <c r="F900" t="s">
        <v>45</v>
      </c>
      <c r="G900" t="s">
        <v>49</v>
      </c>
      <c r="H900" t="s">
        <v>32</v>
      </c>
      <c r="I900" t="s">
        <v>42</v>
      </c>
      <c r="J900" t="s">
        <v>76</v>
      </c>
      <c r="K900">
        <v>2</v>
      </c>
      <c r="L900" s="2">
        <v>90.75</v>
      </c>
      <c r="M900" s="3">
        <v>0.15</v>
      </c>
      <c r="N900" t="s">
        <v>34</v>
      </c>
      <c r="O900" s="2">
        <v>154.28</v>
      </c>
      <c r="P900" s="2">
        <v>121.97</v>
      </c>
      <c r="Q900" s="2">
        <v>32.31</v>
      </c>
      <c r="R900">
        <v>1</v>
      </c>
      <c r="S900">
        <v>0</v>
      </c>
      <c r="T900">
        <v>3</v>
      </c>
      <c r="U900">
        <v>5</v>
      </c>
    </row>
    <row r="901" spans="1:21" ht="16.5" x14ac:dyDescent="0.3">
      <c r="A901" t="s">
        <v>980</v>
      </c>
      <c r="B901" s="1">
        <v>45440</v>
      </c>
      <c r="C901">
        <v>2024</v>
      </c>
      <c r="D901" t="s">
        <v>599</v>
      </c>
      <c r="E901" t="s">
        <v>802</v>
      </c>
      <c r="F901" t="s">
        <v>31</v>
      </c>
      <c r="G901" t="s">
        <v>25</v>
      </c>
      <c r="H901" t="s">
        <v>26</v>
      </c>
      <c r="I901" t="s">
        <v>36</v>
      </c>
      <c r="J901" t="s">
        <v>52</v>
      </c>
      <c r="K901">
        <v>1</v>
      </c>
      <c r="L901" s="2">
        <v>92.54</v>
      </c>
      <c r="M901" s="3">
        <v>0</v>
      </c>
      <c r="N901" t="s">
        <v>38</v>
      </c>
      <c r="O901" s="2">
        <v>92.54</v>
      </c>
      <c r="P901" s="2">
        <v>44.81</v>
      </c>
      <c r="Q901" s="2">
        <v>47.73</v>
      </c>
      <c r="R901">
        <v>1</v>
      </c>
      <c r="S901">
        <v>0</v>
      </c>
      <c r="T901">
        <v>3</v>
      </c>
      <c r="U901">
        <v>5</v>
      </c>
    </row>
    <row r="902" spans="1:21" ht="16.5" x14ac:dyDescent="0.3">
      <c r="A902" t="s">
        <v>981</v>
      </c>
      <c r="B902" s="1">
        <v>45440</v>
      </c>
      <c r="C902">
        <v>2024</v>
      </c>
      <c r="D902" t="s">
        <v>599</v>
      </c>
      <c r="E902" t="s">
        <v>802</v>
      </c>
      <c r="F902" t="s">
        <v>24</v>
      </c>
      <c r="G902" t="s">
        <v>25</v>
      </c>
      <c r="H902" t="s">
        <v>32</v>
      </c>
      <c r="I902" t="s">
        <v>27</v>
      </c>
      <c r="J902" t="s">
        <v>28</v>
      </c>
      <c r="K902">
        <v>1</v>
      </c>
      <c r="L902" s="2">
        <v>138.5</v>
      </c>
      <c r="M902" s="3">
        <v>0.1</v>
      </c>
      <c r="N902" t="s">
        <v>29</v>
      </c>
      <c r="O902" s="2">
        <v>124.65</v>
      </c>
      <c r="P902" s="2">
        <v>77.400000000000006</v>
      </c>
      <c r="Q902" s="2">
        <v>47.25</v>
      </c>
      <c r="R902">
        <v>1</v>
      </c>
      <c r="S902">
        <v>0</v>
      </c>
      <c r="T902">
        <v>3</v>
      </c>
      <c r="U902">
        <v>4</v>
      </c>
    </row>
    <row r="903" spans="1:21" ht="16.5" x14ac:dyDescent="0.3">
      <c r="A903" t="s">
        <v>982</v>
      </c>
      <c r="B903" s="1">
        <v>45440</v>
      </c>
      <c r="C903">
        <v>2024</v>
      </c>
      <c r="D903" t="s">
        <v>599</v>
      </c>
      <c r="E903" t="s">
        <v>802</v>
      </c>
      <c r="F903" t="s">
        <v>24</v>
      </c>
      <c r="G903" t="s">
        <v>25</v>
      </c>
      <c r="H903" t="s">
        <v>32</v>
      </c>
      <c r="I903" t="s">
        <v>70</v>
      </c>
      <c r="J903" t="s">
        <v>252</v>
      </c>
      <c r="K903">
        <v>1</v>
      </c>
      <c r="L903" s="2">
        <v>216.08</v>
      </c>
      <c r="M903" s="3">
        <v>0.15</v>
      </c>
      <c r="N903" t="s">
        <v>34</v>
      </c>
      <c r="O903" s="2">
        <v>183.67</v>
      </c>
      <c r="P903" s="2">
        <v>183.19</v>
      </c>
      <c r="Q903" s="2">
        <v>0.48</v>
      </c>
      <c r="R903">
        <v>1</v>
      </c>
      <c r="S903">
        <v>0</v>
      </c>
      <c r="T903">
        <v>4</v>
      </c>
      <c r="U903">
        <v>4</v>
      </c>
    </row>
    <row r="904" spans="1:21" ht="16.5" x14ac:dyDescent="0.3">
      <c r="A904" t="s">
        <v>983</v>
      </c>
      <c r="B904" s="1">
        <v>45440</v>
      </c>
      <c r="C904">
        <v>2024</v>
      </c>
      <c r="D904" t="s">
        <v>599</v>
      </c>
      <c r="E904" t="s">
        <v>802</v>
      </c>
      <c r="F904" t="s">
        <v>31</v>
      </c>
      <c r="G904" t="s">
        <v>46</v>
      </c>
      <c r="H904" t="s">
        <v>26</v>
      </c>
      <c r="I904" t="s">
        <v>70</v>
      </c>
      <c r="J904" t="s">
        <v>129</v>
      </c>
      <c r="K904">
        <v>1</v>
      </c>
      <c r="L904" s="2">
        <v>177.65</v>
      </c>
      <c r="M904" s="3">
        <v>0.15</v>
      </c>
      <c r="N904" t="s">
        <v>34</v>
      </c>
      <c r="O904" s="2">
        <v>151</v>
      </c>
      <c r="P904" s="2">
        <v>138.07</v>
      </c>
      <c r="Q904" s="2">
        <v>12.93</v>
      </c>
      <c r="R904">
        <v>1</v>
      </c>
      <c r="S904">
        <v>0</v>
      </c>
      <c r="T904">
        <v>6</v>
      </c>
      <c r="U904">
        <v>3</v>
      </c>
    </row>
    <row r="905" spans="1:21" ht="16.5" x14ac:dyDescent="0.3">
      <c r="A905" t="s">
        <v>984</v>
      </c>
      <c r="B905" s="1">
        <v>45440</v>
      </c>
      <c r="C905">
        <v>2024</v>
      </c>
      <c r="D905" t="s">
        <v>599</v>
      </c>
      <c r="E905" t="s">
        <v>802</v>
      </c>
      <c r="F905" t="s">
        <v>24</v>
      </c>
      <c r="G905" t="s">
        <v>51</v>
      </c>
      <c r="H905" t="s">
        <v>26</v>
      </c>
      <c r="I905" t="s">
        <v>84</v>
      </c>
      <c r="J905" t="s">
        <v>223</v>
      </c>
      <c r="K905">
        <v>2</v>
      </c>
      <c r="L905" s="2">
        <v>16.97</v>
      </c>
      <c r="M905" s="3">
        <v>0.15</v>
      </c>
      <c r="N905" t="s">
        <v>34</v>
      </c>
      <c r="O905" s="2">
        <v>28.85</v>
      </c>
      <c r="P905" s="2">
        <v>23.91</v>
      </c>
      <c r="Q905" s="2">
        <v>4.9400000000000004</v>
      </c>
      <c r="R905">
        <v>1</v>
      </c>
      <c r="S905">
        <v>0</v>
      </c>
      <c r="T905">
        <v>4</v>
      </c>
      <c r="U905">
        <v>4</v>
      </c>
    </row>
    <row r="906" spans="1:21" ht="16.5" x14ac:dyDescent="0.3">
      <c r="A906" t="s">
        <v>985</v>
      </c>
      <c r="B906" s="1">
        <v>45441</v>
      </c>
      <c r="C906">
        <v>2024</v>
      </c>
      <c r="D906" t="s">
        <v>599</v>
      </c>
      <c r="E906" t="s">
        <v>802</v>
      </c>
      <c r="F906" t="s">
        <v>31</v>
      </c>
      <c r="G906" t="s">
        <v>46</v>
      </c>
      <c r="H906" t="s">
        <v>26</v>
      </c>
      <c r="I906" t="s">
        <v>70</v>
      </c>
      <c r="J906" t="s">
        <v>129</v>
      </c>
      <c r="K906">
        <v>2</v>
      </c>
      <c r="L906" s="2">
        <v>177.65</v>
      </c>
      <c r="M906" s="3">
        <v>0</v>
      </c>
      <c r="N906" t="s">
        <v>38</v>
      </c>
      <c r="O906" s="2">
        <v>355.3</v>
      </c>
      <c r="P906" s="2">
        <v>276.95</v>
      </c>
      <c r="Q906" s="2">
        <v>78.349999999999994</v>
      </c>
      <c r="R906">
        <v>1</v>
      </c>
      <c r="S906">
        <v>0</v>
      </c>
      <c r="T906">
        <v>5</v>
      </c>
      <c r="U906">
        <v>5</v>
      </c>
    </row>
    <row r="907" spans="1:21" ht="16.5" x14ac:dyDescent="0.3">
      <c r="A907" t="s">
        <v>986</v>
      </c>
      <c r="B907" s="1">
        <v>45441</v>
      </c>
      <c r="C907">
        <v>2024</v>
      </c>
      <c r="D907" t="s">
        <v>599</v>
      </c>
      <c r="E907" t="s">
        <v>802</v>
      </c>
      <c r="F907" t="s">
        <v>24</v>
      </c>
      <c r="G907" t="s">
        <v>51</v>
      </c>
      <c r="H907" t="s">
        <v>26</v>
      </c>
      <c r="I907" t="s">
        <v>36</v>
      </c>
      <c r="J907" t="s">
        <v>115</v>
      </c>
      <c r="K907">
        <v>1</v>
      </c>
      <c r="L907" s="2">
        <v>33.479999999999997</v>
      </c>
      <c r="M907" s="3">
        <v>0.1</v>
      </c>
      <c r="N907" t="s">
        <v>29</v>
      </c>
      <c r="O907" s="2">
        <v>30.13</v>
      </c>
      <c r="P907" s="2">
        <v>15.38</v>
      </c>
      <c r="Q907" s="2">
        <v>14.75</v>
      </c>
      <c r="R907">
        <v>1</v>
      </c>
      <c r="S907">
        <v>0</v>
      </c>
      <c r="T907">
        <v>2</v>
      </c>
      <c r="U907">
        <v>4</v>
      </c>
    </row>
    <row r="908" spans="1:21" ht="16.5" x14ac:dyDescent="0.3">
      <c r="A908" t="s">
        <v>987</v>
      </c>
      <c r="B908" s="1">
        <v>45441</v>
      </c>
      <c r="C908">
        <v>2024</v>
      </c>
      <c r="D908" t="s">
        <v>599</v>
      </c>
      <c r="E908" t="s">
        <v>802</v>
      </c>
      <c r="F908" t="s">
        <v>24</v>
      </c>
      <c r="G908" t="s">
        <v>51</v>
      </c>
      <c r="H908" t="s">
        <v>26</v>
      </c>
      <c r="I908" t="s">
        <v>27</v>
      </c>
      <c r="J908" t="s">
        <v>40</v>
      </c>
      <c r="K908">
        <v>1</v>
      </c>
      <c r="L908" s="2">
        <v>104.94</v>
      </c>
      <c r="M908" s="3">
        <v>0.05</v>
      </c>
      <c r="N908" t="s">
        <v>29</v>
      </c>
      <c r="O908" s="2">
        <v>99.69</v>
      </c>
      <c r="P908" s="2">
        <v>57.32</v>
      </c>
      <c r="Q908" s="2">
        <v>42.37</v>
      </c>
      <c r="R908">
        <v>1</v>
      </c>
      <c r="S908">
        <v>0</v>
      </c>
      <c r="T908">
        <v>2</v>
      </c>
      <c r="U908">
        <v>4</v>
      </c>
    </row>
    <row r="909" spans="1:21" ht="16.5" x14ac:dyDescent="0.3">
      <c r="A909" t="s">
        <v>988</v>
      </c>
      <c r="B909" s="1">
        <v>45441</v>
      </c>
      <c r="C909">
        <v>2024</v>
      </c>
      <c r="D909" t="s">
        <v>599</v>
      </c>
      <c r="E909" t="s">
        <v>802</v>
      </c>
      <c r="F909" t="s">
        <v>45</v>
      </c>
      <c r="G909" t="s">
        <v>51</v>
      </c>
      <c r="H909" t="s">
        <v>32</v>
      </c>
      <c r="I909" t="s">
        <v>67</v>
      </c>
      <c r="J909" t="s">
        <v>68</v>
      </c>
      <c r="K909">
        <v>1</v>
      </c>
      <c r="L909" s="2">
        <v>74.459999999999994</v>
      </c>
      <c r="M909" s="3">
        <v>0</v>
      </c>
      <c r="N909" t="s">
        <v>38</v>
      </c>
      <c r="O909" s="2">
        <v>74.459999999999994</v>
      </c>
      <c r="P909" s="2">
        <v>51.7</v>
      </c>
      <c r="Q909" s="2">
        <v>22.76</v>
      </c>
      <c r="R909">
        <v>1</v>
      </c>
      <c r="S909">
        <v>0</v>
      </c>
      <c r="T909">
        <v>3</v>
      </c>
      <c r="U909">
        <v>4</v>
      </c>
    </row>
    <row r="910" spans="1:21" ht="16.5" x14ac:dyDescent="0.3">
      <c r="A910" t="s">
        <v>989</v>
      </c>
      <c r="B910" s="1">
        <v>45441</v>
      </c>
      <c r="C910">
        <v>2024</v>
      </c>
      <c r="D910" t="s">
        <v>599</v>
      </c>
      <c r="E910" t="s">
        <v>802</v>
      </c>
      <c r="F910" t="s">
        <v>31</v>
      </c>
      <c r="G910" t="s">
        <v>51</v>
      </c>
      <c r="H910" t="s">
        <v>26</v>
      </c>
      <c r="I910" t="s">
        <v>67</v>
      </c>
      <c r="J910" t="s">
        <v>78</v>
      </c>
      <c r="K910">
        <v>1</v>
      </c>
      <c r="L910" s="2">
        <v>85.42</v>
      </c>
      <c r="M910" s="3">
        <v>0</v>
      </c>
      <c r="N910" t="s">
        <v>38</v>
      </c>
      <c r="O910" s="2">
        <v>85.42</v>
      </c>
      <c r="P910" s="2">
        <v>56.71</v>
      </c>
      <c r="Q910" s="2">
        <v>28.71</v>
      </c>
      <c r="R910">
        <v>1</v>
      </c>
      <c r="S910">
        <v>0</v>
      </c>
      <c r="T910">
        <v>2</v>
      </c>
      <c r="U910">
        <v>4</v>
      </c>
    </row>
    <row r="911" spans="1:21" ht="16.5" x14ac:dyDescent="0.3">
      <c r="A911" t="s">
        <v>990</v>
      </c>
      <c r="B911" s="1">
        <v>45441</v>
      </c>
      <c r="C911">
        <v>2024</v>
      </c>
      <c r="D911" t="s">
        <v>599</v>
      </c>
      <c r="E911" t="s">
        <v>802</v>
      </c>
      <c r="F911" t="s">
        <v>24</v>
      </c>
      <c r="G911" t="s">
        <v>49</v>
      </c>
      <c r="H911" t="s">
        <v>26</v>
      </c>
      <c r="I911" t="s">
        <v>27</v>
      </c>
      <c r="J911" t="s">
        <v>47</v>
      </c>
      <c r="K911">
        <v>1</v>
      </c>
      <c r="L911" s="2">
        <v>33.99</v>
      </c>
      <c r="M911" s="3">
        <v>0</v>
      </c>
      <c r="N911" t="s">
        <v>38</v>
      </c>
      <c r="O911" s="2">
        <v>33.99</v>
      </c>
      <c r="P911" s="2">
        <v>17.829999999999998</v>
      </c>
      <c r="Q911" s="2">
        <v>16.16</v>
      </c>
      <c r="R911">
        <v>1</v>
      </c>
      <c r="S911">
        <v>0</v>
      </c>
      <c r="T911">
        <v>3</v>
      </c>
      <c r="U911">
        <v>5</v>
      </c>
    </row>
    <row r="912" spans="1:21" ht="16.5" x14ac:dyDescent="0.3">
      <c r="A912" t="s">
        <v>991</v>
      </c>
      <c r="B912" s="1">
        <v>45441</v>
      </c>
      <c r="C912">
        <v>2024</v>
      </c>
      <c r="D912" t="s">
        <v>599</v>
      </c>
      <c r="E912" t="s">
        <v>802</v>
      </c>
      <c r="F912" t="s">
        <v>24</v>
      </c>
      <c r="G912" t="s">
        <v>51</v>
      </c>
      <c r="H912" t="s">
        <v>32</v>
      </c>
      <c r="I912" t="s">
        <v>84</v>
      </c>
      <c r="J912" t="s">
        <v>106</v>
      </c>
      <c r="K912">
        <v>3</v>
      </c>
      <c r="L912" s="2">
        <v>45.28</v>
      </c>
      <c r="M912" s="3">
        <v>0.05</v>
      </c>
      <c r="N912" t="s">
        <v>29</v>
      </c>
      <c r="O912" s="2">
        <v>129.05000000000001</v>
      </c>
      <c r="P912" s="2">
        <v>99.94</v>
      </c>
      <c r="Q912" s="2">
        <v>29.11</v>
      </c>
      <c r="R912">
        <v>1</v>
      </c>
      <c r="S912">
        <v>0</v>
      </c>
      <c r="T912">
        <v>2</v>
      </c>
      <c r="U912">
        <v>5</v>
      </c>
    </row>
    <row r="913" spans="1:21" ht="16.5" x14ac:dyDescent="0.3">
      <c r="A913" t="s">
        <v>992</v>
      </c>
      <c r="B913" s="1">
        <v>45442</v>
      </c>
      <c r="C913">
        <v>2024</v>
      </c>
      <c r="D913" t="s">
        <v>599</v>
      </c>
      <c r="E913" t="s">
        <v>802</v>
      </c>
      <c r="F913" t="s">
        <v>24</v>
      </c>
      <c r="G913" t="s">
        <v>51</v>
      </c>
      <c r="H913" t="s">
        <v>32</v>
      </c>
      <c r="I913" t="s">
        <v>70</v>
      </c>
      <c r="J913" t="s">
        <v>162</v>
      </c>
      <c r="K913">
        <v>3</v>
      </c>
      <c r="L913" s="2">
        <v>636.09</v>
      </c>
      <c r="M913" s="3">
        <v>0.1</v>
      </c>
      <c r="N913" t="s">
        <v>29</v>
      </c>
      <c r="O913" s="2">
        <v>1717.44</v>
      </c>
      <c r="P913" s="2">
        <v>1513.43</v>
      </c>
      <c r="Q913" s="2">
        <v>204.01</v>
      </c>
      <c r="R913">
        <v>1</v>
      </c>
      <c r="S913">
        <v>0</v>
      </c>
      <c r="T913">
        <v>3</v>
      </c>
      <c r="U913">
        <v>5</v>
      </c>
    </row>
    <row r="914" spans="1:21" ht="16.5" x14ac:dyDescent="0.3">
      <c r="A914" t="s">
        <v>993</v>
      </c>
      <c r="B914" s="1">
        <v>45443</v>
      </c>
      <c r="C914">
        <v>2024</v>
      </c>
      <c r="D914" t="s">
        <v>599</v>
      </c>
      <c r="E914" t="s">
        <v>802</v>
      </c>
      <c r="F914" t="s">
        <v>45</v>
      </c>
      <c r="G914" t="s">
        <v>65</v>
      </c>
      <c r="H914" t="s">
        <v>26</v>
      </c>
      <c r="I914" t="s">
        <v>42</v>
      </c>
      <c r="J914" t="s">
        <v>58</v>
      </c>
      <c r="K914">
        <v>1</v>
      </c>
      <c r="L914" s="2">
        <v>233.81</v>
      </c>
      <c r="M914" s="3">
        <v>0.3</v>
      </c>
      <c r="N914" t="s">
        <v>62</v>
      </c>
      <c r="O914" s="2">
        <v>163.66999999999999</v>
      </c>
      <c r="P914" s="2">
        <v>165.69</v>
      </c>
      <c r="Q914" s="2">
        <v>-2.02</v>
      </c>
      <c r="R914">
        <v>1</v>
      </c>
      <c r="S914">
        <v>0</v>
      </c>
      <c r="T914">
        <v>5</v>
      </c>
      <c r="U914">
        <v>4</v>
      </c>
    </row>
    <row r="915" spans="1:21" ht="16.5" x14ac:dyDescent="0.3">
      <c r="A915" t="s">
        <v>994</v>
      </c>
      <c r="B915" s="1">
        <v>45443</v>
      </c>
      <c r="C915">
        <v>2024</v>
      </c>
      <c r="D915" t="s">
        <v>599</v>
      </c>
      <c r="E915" t="s">
        <v>802</v>
      </c>
      <c r="F915" t="s">
        <v>31</v>
      </c>
      <c r="G915" t="s">
        <v>65</v>
      </c>
      <c r="H915" t="s">
        <v>32</v>
      </c>
      <c r="I915" t="s">
        <v>67</v>
      </c>
      <c r="J915" t="s">
        <v>68</v>
      </c>
      <c r="K915">
        <v>2</v>
      </c>
      <c r="L915" s="2">
        <v>74.459999999999994</v>
      </c>
      <c r="M915" s="3">
        <v>0</v>
      </c>
      <c r="N915" t="s">
        <v>38</v>
      </c>
      <c r="O915" s="2">
        <v>148.91999999999999</v>
      </c>
      <c r="P915" s="2">
        <v>98.97</v>
      </c>
      <c r="Q915" s="2">
        <v>49.95</v>
      </c>
      <c r="R915">
        <v>1</v>
      </c>
      <c r="S915">
        <v>0</v>
      </c>
      <c r="T915">
        <v>9</v>
      </c>
      <c r="U915">
        <v>4</v>
      </c>
    </row>
    <row r="916" spans="1:21" ht="16.5" x14ac:dyDescent="0.3">
      <c r="A916" t="s">
        <v>995</v>
      </c>
      <c r="B916" s="1">
        <v>45443</v>
      </c>
      <c r="C916">
        <v>2024</v>
      </c>
      <c r="D916" t="s">
        <v>599</v>
      </c>
      <c r="E916" t="s">
        <v>802</v>
      </c>
      <c r="F916" t="s">
        <v>31</v>
      </c>
      <c r="G916" t="s">
        <v>65</v>
      </c>
      <c r="H916" t="s">
        <v>32</v>
      </c>
      <c r="I916" t="s">
        <v>36</v>
      </c>
      <c r="J916" t="s">
        <v>37</v>
      </c>
      <c r="K916">
        <v>2</v>
      </c>
      <c r="L916" s="2">
        <v>33.18</v>
      </c>
      <c r="M916" s="3">
        <v>0</v>
      </c>
      <c r="N916" t="s">
        <v>38</v>
      </c>
      <c r="O916" s="2">
        <v>66.36</v>
      </c>
      <c r="P916" s="2">
        <v>30.24</v>
      </c>
      <c r="Q916" s="2">
        <v>36.119999999999997</v>
      </c>
      <c r="R916">
        <v>1</v>
      </c>
      <c r="S916">
        <v>0</v>
      </c>
      <c r="T916">
        <v>6</v>
      </c>
      <c r="U916">
        <v>4</v>
      </c>
    </row>
    <row r="917" spans="1:21" ht="16.5" x14ac:dyDescent="0.3">
      <c r="A917" t="s">
        <v>996</v>
      </c>
      <c r="B917" s="1">
        <v>45443</v>
      </c>
      <c r="C917">
        <v>2024</v>
      </c>
      <c r="D917" t="s">
        <v>599</v>
      </c>
      <c r="E917" t="s">
        <v>802</v>
      </c>
      <c r="F917" t="s">
        <v>24</v>
      </c>
      <c r="G917" t="s">
        <v>51</v>
      </c>
      <c r="H917" t="s">
        <v>32</v>
      </c>
      <c r="I917" t="s">
        <v>42</v>
      </c>
      <c r="J917" t="s">
        <v>76</v>
      </c>
      <c r="K917">
        <v>2</v>
      </c>
      <c r="L917" s="2">
        <v>90.75</v>
      </c>
      <c r="M917" s="3">
        <v>0.05</v>
      </c>
      <c r="N917" t="s">
        <v>29</v>
      </c>
      <c r="O917" s="2">
        <v>172.42</v>
      </c>
      <c r="P917" s="2">
        <v>116.66</v>
      </c>
      <c r="Q917" s="2">
        <v>55.76</v>
      </c>
      <c r="R917">
        <v>1</v>
      </c>
      <c r="S917">
        <v>0</v>
      </c>
      <c r="T917">
        <v>3</v>
      </c>
      <c r="U917">
        <v>4</v>
      </c>
    </row>
    <row r="918" spans="1:21" ht="16.5" x14ac:dyDescent="0.3">
      <c r="A918" t="s">
        <v>997</v>
      </c>
      <c r="B918" s="1">
        <v>45443</v>
      </c>
      <c r="C918">
        <v>2024</v>
      </c>
      <c r="D918" t="s">
        <v>599</v>
      </c>
      <c r="E918" t="s">
        <v>802</v>
      </c>
      <c r="F918" t="s">
        <v>45</v>
      </c>
      <c r="G918" t="s">
        <v>46</v>
      </c>
      <c r="H918" t="s">
        <v>26</v>
      </c>
      <c r="I918" t="s">
        <v>36</v>
      </c>
      <c r="J918" t="s">
        <v>115</v>
      </c>
      <c r="K918">
        <v>2</v>
      </c>
      <c r="L918" s="2">
        <v>33.479999999999997</v>
      </c>
      <c r="M918" s="3">
        <v>0</v>
      </c>
      <c r="N918" t="s">
        <v>38</v>
      </c>
      <c r="O918" s="2">
        <v>66.959999999999994</v>
      </c>
      <c r="P918" s="2">
        <v>32.01</v>
      </c>
      <c r="Q918" s="2">
        <v>34.950000000000003</v>
      </c>
      <c r="R918">
        <v>1</v>
      </c>
      <c r="S918">
        <v>0</v>
      </c>
      <c r="T918">
        <v>6</v>
      </c>
      <c r="U918">
        <v>4</v>
      </c>
    </row>
    <row r="919" spans="1:21" ht="16.5" x14ac:dyDescent="0.3">
      <c r="A919" t="s">
        <v>998</v>
      </c>
      <c r="B919" s="1">
        <v>45443</v>
      </c>
      <c r="C919">
        <v>2024</v>
      </c>
      <c r="D919" t="s">
        <v>599</v>
      </c>
      <c r="E919" t="s">
        <v>802</v>
      </c>
      <c r="F919" t="s">
        <v>45</v>
      </c>
      <c r="G919" t="s">
        <v>65</v>
      </c>
      <c r="H919" t="s">
        <v>32</v>
      </c>
      <c r="I919" t="s">
        <v>36</v>
      </c>
      <c r="J919" t="s">
        <v>126</v>
      </c>
      <c r="K919">
        <v>1</v>
      </c>
      <c r="L919" s="2">
        <v>54.56</v>
      </c>
      <c r="M919" s="3">
        <v>0.15</v>
      </c>
      <c r="N919" t="s">
        <v>34</v>
      </c>
      <c r="O919" s="2">
        <v>46.38</v>
      </c>
      <c r="P919" s="2">
        <v>26.35</v>
      </c>
      <c r="Q919" s="2">
        <v>20.03</v>
      </c>
      <c r="R919">
        <v>1</v>
      </c>
      <c r="S919">
        <v>0</v>
      </c>
      <c r="T919">
        <v>5</v>
      </c>
      <c r="U919">
        <v>4</v>
      </c>
    </row>
    <row r="920" spans="1:21" ht="16.5" x14ac:dyDescent="0.3">
      <c r="A920" t="s">
        <v>999</v>
      </c>
      <c r="B920" s="1">
        <v>45444</v>
      </c>
      <c r="C920">
        <v>2024</v>
      </c>
      <c r="D920" t="s">
        <v>599</v>
      </c>
      <c r="E920" t="s">
        <v>1000</v>
      </c>
      <c r="F920" t="s">
        <v>24</v>
      </c>
      <c r="G920" t="s">
        <v>51</v>
      </c>
      <c r="H920" t="s">
        <v>32</v>
      </c>
      <c r="I920" t="s">
        <v>67</v>
      </c>
      <c r="J920" t="s">
        <v>174</v>
      </c>
      <c r="K920">
        <v>1</v>
      </c>
      <c r="L920" s="2">
        <v>137.05000000000001</v>
      </c>
      <c r="M920" s="3">
        <v>0.05</v>
      </c>
      <c r="N920" t="s">
        <v>29</v>
      </c>
      <c r="O920" s="2">
        <v>130.19999999999999</v>
      </c>
      <c r="P920" s="2">
        <v>95.54</v>
      </c>
      <c r="Q920" s="2">
        <v>34.659999999999997</v>
      </c>
      <c r="R920">
        <v>1</v>
      </c>
      <c r="S920">
        <v>0</v>
      </c>
      <c r="T920">
        <v>5</v>
      </c>
      <c r="U920">
        <v>4</v>
      </c>
    </row>
    <row r="921" spans="1:21" ht="16.5" x14ac:dyDescent="0.3">
      <c r="A921" t="s">
        <v>1001</v>
      </c>
      <c r="B921" s="1">
        <v>45444</v>
      </c>
      <c r="C921">
        <v>2024</v>
      </c>
      <c r="D921" t="s">
        <v>599</v>
      </c>
      <c r="E921" t="s">
        <v>1000</v>
      </c>
      <c r="F921" t="s">
        <v>31</v>
      </c>
      <c r="G921" t="s">
        <v>49</v>
      </c>
      <c r="H921" t="s">
        <v>32</v>
      </c>
      <c r="I921" t="s">
        <v>27</v>
      </c>
      <c r="J921" t="s">
        <v>40</v>
      </c>
      <c r="K921">
        <v>1</v>
      </c>
      <c r="L921" s="2">
        <v>104.94</v>
      </c>
      <c r="M921" s="3">
        <v>0.05</v>
      </c>
      <c r="N921" t="s">
        <v>29</v>
      </c>
      <c r="O921" s="2">
        <v>99.69</v>
      </c>
      <c r="P921" s="2">
        <v>55.15</v>
      </c>
      <c r="Q921" s="2">
        <v>44.54</v>
      </c>
      <c r="R921">
        <v>1</v>
      </c>
      <c r="S921">
        <v>0</v>
      </c>
      <c r="T921">
        <v>4</v>
      </c>
      <c r="U921">
        <v>3</v>
      </c>
    </row>
    <row r="922" spans="1:21" ht="16.5" x14ac:dyDescent="0.3">
      <c r="A922" t="s">
        <v>1002</v>
      </c>
      <c r="B922" s="1">
        <v>45444</v>
      </c>
      <c r="C922">
        <v>2024</v>
      </c>
      <c r="D922" t="s">
        <v>599</v>
      </c>
      <c r="E922" t="s">
        <v>1000</v>
      </c>
      <c r="F922" t="s">
        <v>24</v>
      </c>
      <c r="G922" t="s">
        <v>51</v>
      </c>
      <c r="H922" t="s">
        <v>32</v>
      </c>
      <c r="I922" t="s">
        <v>27</v>
      </c>
      <c r="J922" t="s">
        <v>110</v>
      </c>
      <c r="K922">
        <v>1</v>
      </c>
      <c r="L922" s="2">
        <v>19.41</v>
      </c>
      <c r="M922" s="3">
        <v>0.1</v>
      </c>
      <c r="N922" t="s">
        <v>29</v>
      </c>
      <c r="O922" s="2">
        <v>17.47</v>
      </c>
      <c r="P922" s="2">
        <v>10.17</v>
      </c>
      <c r="Q922" s="2">
        <v>7.3</v>
      </c>
      <c r="R922">
        <v>1</v>
      </c>
      <c r="S922">
        <v>0</v>
      </c>
      <c r="T922">
        <v>4</v>
      </c>
      <c r="U922">
        <v>5</v>
      </c>
    </row>
    <row r="923" spans="1:21" ht="16.5" x14ac:dyDescent="0.3">
      <c r="A923" t="s">
        <v>1003</v>
      </c>
      <c r="B923" s="1">
        <v>45444</v>
      </c>
      <c r="C923">
        <v>2024</v>
      </c>
      <c r="D923" t="s">
        <v>599</v>
      </c>
      <c r="E923" t="s">
        <v>1000</v>
      </c>
      <c r="F923" t="s">
        <v>31</v>
      </c>
      <c r="G923" t="s">
        <v>46</v>
      </c>
      <c r="H923" t="s">
        <v>32</v>
      </c>
      <c r="I923" t="s">
        <v>67</v>
      </c>
      <c r="J923" t="s">
        <v>93</v>
      </c>
      <c r="K923">
        <v>2</v>
      </c>
      <c r="L923" s="2">
        <v>198.42</v>
      </c>
      <c r="M923" s="3">
        <v>0.1</v>
      </c>
      <c r="N923" t="s">
        <v>29</v>
      </c>
      <c r="O923" s="2">
        <v>357.16</v>
      </c>
      <c r="P923" s="2">
        <v>269.19</v>
      </c>
      <c r="Q923" s="2">
        <v>87.97</v>
      </c>
      <c r="R923">
        <v>1</v>
      </c>
      <c r="S923">
        <v>0</v>
      </c>
      <c r="T923">
        <v>6</v>
      </c>
      <c r="U923">
        <v>4</v>
      </c>
    </row>
    <row r="924" spans="1:21" ht="16.5" x14ac:dyDescent="0.3">
      <c r="A924" t="s">
        <v>1004</v>
      </c>
      <c r="B924" s="1">
        <v>45444</v>
      </c>
      <c r="C924">
        <v>2024</v>
      </c>
      <c r="D924" t="s">
        <v>599</v>
      </c>
      <c r="E924" t="s">
        <v>1000</v>
      </c>
      <c r="F924" t="s">
        <v>24</v>
      </c>
      <c r="G924" t="s">
        <v>25</v>
      </c>
      <c r="H924" t="s">
        <v>26</v>
      </c>
      <c r="I924" t="s">
        <v>84</v>
      </c>
      <c r="J924" t="s">
        <v>106</v>
      </c>
      <c r="K924">
        <v>1</v>
      </c>
      <c r="L924" s="2">
        <v>45.28</v>
      </c>
      <c r="M924" s="3">
        <v>0</v>
      </c>
      <c r="N924" t="s">
        <v>38</v>
      </c>
      <c r="O924" s="2">
        <v>45.28</v>
      </c>
      <c r="P924" s="2">
        <v>34.26</v>
      </c>
      <c r="Q924" s="2">
        <v>11.02</v>
      </c>
      <c r="R924">
        <v>1</v>
      </c>
      <c r="S924">
        <v>0</v>
      </c>
      <c r="T924">
        <v>5</v>
      </c>
      <c r="U924">
        <v>4</v>
      </c>
    </row>
    <row r="925" spans="1:21" ht="16.5" x14ac:dyDescent="0.3">
      <c r="A925" t="s">
        <v>1005</v>
      </c>
      <c r="B925" s="1">
        <v>45445</v>
      </c>
      <c r="C925">
        <v>2024</v>
      </c>
      <c r="D925" t="s">
        <v>599</v>
      </c>
      <c r="E925" t="s">
        <v>1000</v>
      </c>
      <c r="F925" t="s">
        <v>24</v>
      </c>
      <c r="G925" t="s">
        <v>25</v>
      </c>
      <c r="H925" t="s">
        <v>26</v>
      </c>
      <c r="I925" t="s">
        <v>67</v>
      </c>
      <c r="J925" t="s">
        <v>78</v>
      </c>
      <c r="K925">
        <v>1</v>
      </c>
      <c r="L925" s="2">
        <v>85.42</v>
      </c>
      <c r="M925" s="3">
        <v>0</v>
      </c>
      <c r="N925" t="s">
        <v>38</v>
      </c>
      <c r="O925" s="2">
        <v>85.42</v>
      </c>
      <c r="P925" s="2">
        <v>57.43</v>
      </c>
      <c r="Q925" s="2">
        <v>27.99</v>
      </c>
      <c r="R925">
        <v>1</v>
      </c>
      <c r="S925">
        <v>0</v>
      </c>
      <c r="T925">
        <v>4</v>
      </c>
      <c r="U925">
        <v>4</v>
      </c>
    </row>
    <row r="926" spans="1:21" ht="16.5" x14ac:dyDescent="0.3">
      <c r="A926" t="s">
        <v>1006</v>
      </c>
      <c r="B926" s="1">
        <v>45445</v>
      </c>
      <c r="C926">
        <v>2024</v>
      </c>
      <c r="D926" t="s">
        <v>599</v>
      </c>
      <c r="E926" t="s">
        <v>1000</v>
      </c>
      <c r="F926" t="s">
        <v>24</v>
      </c>
      <c r="G926" t="s">
        <v>25</v>
      </c>
      <c r="H926" t="s">
        <v>32</v>
      </c>
      <c r="I926" t="s">
        <v>42</v>
      </c>
      <c r="J926" t="s">
        <v>58</v>
      </c>
      <c r="K926">
        <v>2</v>
      </c>
      <c r="L926" s="2">
        <v>233.81</v>
      </c>
      <c r="M926" s="3">
        <v>0.3</v>
      </c>
      <c r="N926" t="s">
        <v>62</v>
      </c>
      <c r="O926" s="2">
        <v>327.33</v>
      </c>
      <c r="P926" s="2">
        <v>308.23</v>
      </c>
      <c r="Q926" s="2">
        <v>19.100000000000001</v>
      </c>
      <c r="R926">
        <v>1</v>
      </c>
      <c r="S926">
        <v>0</v>
      </c>
      <c r="T926">
        <v>4</v>
      </c>
      <c r="U926">
        <v>4</v>
      </c>
    </row>
    <row r="927" spans="1:21" ht="16.5" x14ac:dyDescent="0.3">
      <c r="A927" t="s">
        <v>1007</v>
      </c>
      <c r="B927" s="1">
        <v>45445</v>
      </c>
      <c r="C927">
        <v>2024</v>
      </c>
      <c r="D927" t="s">
        <v>599</v>
      </c>
      <c r="E927" t="s">
        <v>1000</v>
      </c>
      <c r="F927" t="s">
        <v>24</v>
      </c>
      <c r="G927" t="s">
        <v>25</v>
      </c>
      <c r="H927" t="s">
        <v>32</v>
      </c>
      <c r="I927" t="s">
        <v>84</v>
      </c>
      <c r="J927" t="s">
        <v>106</v>
      </c>
      <c r="K927">
        <v>2</v>
      </c>
      <c r="L927" s="2">
        <v>45.28</v>
      </c>
      <c r="M927" s="3">
        <v>0.05</v>
      </c>
      <c r="N927" t="s">
        <v>29</v>
      </c>
      <c r="O927" s="2">
        <v>86.03</v>
      </c>
      <c r="P927" s="2">
        <v>62.53</v>
      </c>
      <c r="Q927" s="2">
        <v>23.5</v>
      </c>
      <c r="R927">
        <v>1</v>
      </c>
      <c r="S927">
        <v>0</v>
      </c>
      <c r="T927">
        <v>4</v>
      </c>
      <c r="U927">
        <v>5</v>
      </c>
    </row>
    <row r="928" spans="1:21" ht="16.5" x14ac:dyDescent="0.3">
      <c r="A928" t="s">
        <v>1008</v>
      </c>
      <c r="B928" s="1">
        <v>45445</v>
      </c>
      <c r="C928">
        <v>2024</v>
      </c>
      <c r="D928" t="s">
        <v>599</v>
      </c>
      <c r="E928" t="s">
        <v>1000</v>
      </c>
      <c r="F928" t="s">
        <v>31</v>
      </c>
      <c r="G928" t="s">
        <v>49</v>
      </c>
      <c r="H928" t="s">
        <v>26</v>
      </c>
      <c r="I928" t="s">
        <v>42</v>
      </c>
      <c r="J928" t="s">
        <v>54</v>
      </c>
      <c r="K928">
        <v>3</v>
      </c>
      <c r="L928" s="2">
        <v>148.05000000000001</v>
      </c>
      <c r="M928" s="3">
        <v>0.1</v>
      </c>
      <c r="N928" t="s">
        <v>29</v>
      </c>
      <c r="O928" s="2">
        <v>399.74</v>
      </c>
      <c r="P928" s="2">
        <v>278.36</v>
      </c>
      <c r="Q928" s="2">
        <v>121.38</v>
      </c>
      <c r="R928">
        <v>1</v>
      </c>
      <c r="S928">
        <v>0</v>
      </c>
      <c r="T928">
        <v>3</v>
      </c>
      <c r="U928">
        <v>4</v>
      </c>
    </row>
    <row r="929" spans="1:21" ht="16.5" x14ac:dyDescent="0.3">
      <c r="A929" t="s">
        <v>1009</v>
      </c>
      <c r="B929" s="1">
        <v>45445</v>
      </c>
      <c r="C929">
        <v>2024</v>
      </c>
      <c r="D929" t="s">
        <v>599</v>
      </c>
      <c r="E929" t="s">
        <v>1000</v>
      </c>
      <c r="F929" t="s">
        <v>24</v>
      </c>
      <c r="G929" t="s">
        <v>49</v>
      </c>
      <c r="H929" t="s">
        <v>32</v>
      </c>
      <c r="I929" t="s">
        <v>27</v>
      </c>
      <c r="J929" t="s">
        <v>47</v>
      </c>
      <c r="K929">
        <v>2</v>
      </c>
      <c r="L929" s="2">
        <v>33.99</v>
      </c>
      <c r="M929" s="3">
        <v>0</v>
      </c>
      <c r="N929" t="s">
        <v>38</v>
      </c>
      <c r="O929" s="2">
        <v>67.98</v>
      </c>
      <c r="P929" s="2">
        <v>37.299999999999997</v>
      </c>
      <c r="Q929" s="2">
        <v>30.68</v>
      </c>
      <c r="R929">
        <v>1</v>
      </c>
      <c r="S929">
        <v>1</v>
      </c>
      <c r="T929">
        <v>4</v>
      </c>
      <c r="U929">
        <v>2</v>
      </c>
    </row>
    <row r="930" spans="1:21" ht="16.5" x14ac:dyDescent="0.3">
      <c r="A930" t="s">
        <v>1010</v>
      </c>
      <c r="B930" s="1">
        <v>45446</v>
      </c>
      <c r="C930">
        <v>2024</v>
      </c>
      <c r="D930" t="s">
        <v>599</v>
      </c>
      <c r="E930" t="s">
        <v>1000</v>
      </c>
      <c r="F930" t="s">
        <v>31</v>
      </c>
      <c r="G930" t="s">
        <v>25</v>
      </c>
      <c r="H930" t="s">
        <v>26</v>
      </c>
      <c r="I930" t="s">
        <v>42</v>
      </c>
      <c r="J930" t="s">
        <v>76</v>
      </c>
      <c r="K930">
        <v>1</v>
      </c>
      <c r="L930" s="2">
        <v>90.75</v>
      </c>
      <c r="M930" s="3">
        <v>0</v>
      </c>
      <c r="N930" t="s">
        <v>38</v>
      </c>
      <c r="O930" s="2">
        <v>90.75</v>
      </c>
      <c r="P930" s="2">
        <v>59.49</v>
      </c>
      <c r="Q930" s="2">
        <v>31.26</v>
      </c>
      <c r="R930">
        <v>1</v>
      </c>
      <c r="S930">
        <v>0</v>
      </c>
      <c r="T930">
        <v>4</v>
      </c>
      <c r="U930">
        <v>5</v>
      </c>
    </row>
    <row r="931" spans="1:21" ht="16.5" x14ac:dyDescent="0.3">
      <c r="A931" t="s">
        <v>1011</v>
      </c>
      <c r="B931" s="1">
        <v>45446</v>
      </c>
      <c r="C931">
        <v>2024</v>
      </c>
      <c r="D931" t="s">
        <v>599</v>
      </c>
      <c r="E931" t="s">
        <v>1000</v>
      </c>
      <c r="F931" t="s">
        <v>24</v>
      </c>
      <c r="G931" t="s">
        <v>51</v>
      </c>
      <c r="H931" t="s">
        <v>26</v>
      </c>
      <c r="I931" t="s">
        <v>67</v>
      </c>
      <c r="J931" t="s">
        <v>78</v>
      </c>
      <c r="K931">
        <v>1</v>
      </c>
      <c r="L931" s="2">
        <v>85.42</v>
      </c>
      <c r="M931" s="3">
        <v>0.1</v>
      </c>
      <c r="N931" t="s">
        <v>29</v>
      </c>
      <c r="O931" s="2">
        <v>76.88</v>
      </c>
      <c r="P931" s="2">
        <v>59.28</v>
      </c>
      <c r="Q931" s="2">
        <v>17.600000000000001</v>
      </c>
      <c r="R931">
        <v>1</v>
      </c>
      <c r="S931">
        <v>0</v>
      </c>
      <c r="T931">
        <v>4</v>
      </c>
      <c r="U931">
        <v>5</v>
      </c>
    </row>
    <row r="932" spans="1:21" ht="16.5" x14ac:dyDescent="0.3">
      <c r="A932" t="s">
        <v>1012</v>
      </c>
      <c r="B932" s="1">
        <v>45446</v>
      </c>
      <c r="C932">
        <v>2024</v>
      </c>
      <c r="D932" t="s">
        <v>599</v>
      </c>
      <c r="E932" t="s">
        <v>1000</v>
      </c>
      <c r="F932" t="s">
        <v>24</v>
      </c>
      <c r="G932" t="s">
        <v>25</v>
      </c>
      <c r="H932" t="s">
        <v>32</v>
      </c>
      <c r="I932" t="s">
        <v>84</v>
      </c>
      <c r="J932" t="s">
        <v>96</v>
      </c>
      <c r="K932">
        <v>3</v>
      </c>
      <c r="L932" s="2">
        <v>10.76</v>
      </c>
      <c r="M932" s="3">
        <v>0.05</v>
      </c>
      <c r="N932" t="s">
        <v>29</v>
      </c>
      <c r="O932" s="2">
        <v>30.67</v>
      </c>
      <c r="P932" s="2">
        <v>24.24</v>
      </c>
      <c r="Q932" s="2">
        <v>6.43</v>
      </c>
      <c r="R932">
        <v>1</v>
      </c>
      <c r="S932">
        <v>0</v>
      </c>
      <c r="T932">
        <v>5</v>
      </c>
      <c r="U932">
        <v>5</v>
      </c>
    </row>
    <row r="933" spans="1:21" ht="16.5" x14ac:dyDescent="0.3">
      <c r="A933" t="s">
        <v>1013</v>
      </c>
      <c r="B933" s="1">
        <v>45446</v>
      </c>
      <c r="C933">
        <v>2024</v>
      </c>
      <c r="D933" t="s">
        <v>599</v>
      </c>
      <c r="E933" t="s">
        <v>1000</v>
      </c>
      <c r="F933" t="s">
        <v>24</v>
      </c>
      <c r="G933" t="s">
        <v>51</v>
      </c>
      <c r="H933" t="s">
        <v>32</v>
      </c>
      <c r="I933" t="s">
        <v>42</v>
      </c>
      <c r="J933" t="s">
        <v>89</v>
      </c>
      <c r="K933">
        <v>2</v>
      </c>
      <c r="L933" s="2">
        <v>68.349999999999994</v>
      </c>
      <c r="M933" s="3">
        <v>0.2</v>
      </c>
      <c r="N933" t="s">
        <v>34</v>
      </c>
      <c r="O933" s="2">
        <v>109.36</v>
      </c>
      <c r="P933" s="2">
        <v>95.41</v>
      </c>
      <c r="Q933" s="2">
        <v>13.95</v>
      </c>
      <c r="R933">
        <v>1</v>
      </c>
      <c r="S933">
        <v>0</v>
      </c>
      <c r="T933">
        <v>4</v>
      </c>
      <c r="U933">
        <v>3</v>
      </c>
    </row>
    <row r="934" spans="1:21" ht="16.5" x14ac:dyDescent="0.3">
      <c r="A934" t="s">
        <v>1014</v>
      </c>
      <c r="B934" s="1">
        <v>45446</v>
      </c>
      <c r="C934">
        <v>2024</v>
      </c>
      <c r="D934" t="s">
        <v>599</v>
      </c>
      <c r="E934" t="s">
        <v>1000</v>
      </c>
      <c r="F934" t="s">
        <v>24</v>
      </c>
      <c r="G934" t="s">
        <v>51</v>
      </c>
      <c r="H934" t="s">
        <v>32</v>
      </c>
      <c r="I934" t="s">
        <v>42</v>
      </c>
      <c r="J934" t="s">
        <v>58</v>
      </c>
      <c r="K934">
        <v>1</v>
      </c>
      <c r="L934" s="2">
        <v>233.81</v>
      </c>
      <c r="M934" s="3">
        <v>0.1</v>
      </c>
      <c r="N934" t="s">
        <v>29</v>
      </c>
      <c r="O934" s="2">
        <v>210.43</v>
      </c>
      <c r="P934" s="2">
        <v>153.19999999999999</v>
      </c>
      <c r="Q934" s="2">
        <v>57.23</v>
      </c>
      <c r="R934">
        <v>1</v>
      </c>
      <c r="S934">
        <v>0</v>
      </c>
      <c r="T934">
        <v>3</v>
      </c>
      <c r="U934">
        <v>4</v>
      </c>
    </row>
    <row r="935" spans="1:21" ht="16.5" x14ac:dyDescent="0.3">
      <c r="A935" t="s">
        <v>1015</v>
      </c>
      <c r="B935" s="1">
        <v>45447</v>
      </c>
      <c r="C935">
        <v>2024</v>
      </c>
      <c r="D935" t="s">
        <v>599</v>
      </c>
      <c r="E935" t="s">
        <v>1000</v>
      </c>
      <c r="F935" t="s">
        <v>31</v>
      </c>
      <c r="G935" t="s">
        <v>51</v>
      </c>
      <c r="H935" t="s">
        <v>26</v>
      </c>
      <c r="I935" t="s">
        <v>27</v>
      </c>
      <c r="J935" t="s">
        <v>110</v>
      </c>
      <c r="K935">
        <v>2</v>
      </c>
      <c r="L935" s="2">
        <v>19.41</v>
      </c>
      <c r="M935" s="3">
        <v>0.05</v>
      </c>
      <c r="N935" t="s">
        <v>29</v>
      </c>
      <c r="O935" s="2">
        <v>36.880000000000003</v>
      </c>
      <c r="P935" s="2">
        <v>21.1</v>
      </c>
      <c r="Q935" s="2">
        <v>15.78</v>
      </c>
      <c r="R935">
        <v>1</v>
      </c>
      <c r="S935">
        <v>0</v>
      </c>
      <c r="T935">
        <v>3</v>
      </c>
      <c r="U935">
        <v>4</v>
      </c>
    </row>
    <row r="936" spans="1:21" ht="16.5" x14ac:dyDescent="0.3">
      <c r="A936" t="s">
        <v>1016</v>
      </c>
      <c r="B936" s="1">
        <v>45447</v>
      </c>
      <c r="C936">
        <v>2024</v>
      </c>
      <c r="D936" t="s">
        <v>599</v>
      </c>
      <c r="E936" t="s">
        <v>1000</v>
      </c>
      <c r="F936" t="s">
        <v>45</v>
      </c>
      <c r="G936" t="s">
        <v>51</v>
      </c>
      <c r="H936" t="s">
        <v>32</v>
      </c>
      <c r="I936" t="s">
        <v>27</v>
      </c>
      <c r="J936" t="s">
        <v>28</v>
      </c>
      <c r="K936">
        <v>1</v>
      </c>
      <c r="L936" s="2">
        <v>138.5</v>
      </c>
      <c r="M936" s="3">
        <v>0</v>
      </c>
      <c r="N936" t="s">
        <v>38</v>
      </c>
      <c r="O936" s="2">
        <v>138.5</v>
      </c>
      <c r="P936" s="2">
        <v>72.95</v>
      </c>
      <c r="Q936" s="2">
        <v>65.55</v>
      </c>
      <c r="R936">
        <v>1</v>
      </c>
      <c r="S936">
        <v>0</v>
      </c>
      <c r="T936">
        <v>5</v>
      </c>
      <c r="U936">
        <v>5</v>
      </c>
    </row>
    <row r="937" spans="1:21" ht="16.5" x14ac:dyDescent="0.3">
      <c r="A937" t="s">
        <v>1017</v>
      </c>
      <c r="B937" s="1">
        <v>45447</v>
      </c>
      <c r="C937">
        <v>2024</v>
      </c>
      <c r="D937" t="s">
        <v>599</v>
      </c>
      <c r="E937" t="s">
        <v>1000</v>
      </c>
      <c r="F937" t="s">
        <v>24</v>
      </c>
      <c r="G937" t="s">
        <v>49</v>
      </c>
      <c r="H937" t="s">
        <v>26</v>
      </c>
      <c r="I937" t="s">
        <v>42</v>
      </c>
      <c r="J937" t="s">
        <v>76</v>
      </c>
      <c r="K937">
        <v>1</v>
      </c>
      <c r="L937" s="2">
        <v>90.75</v>
      </c>
      <c r="M937" s="3">
        <v>0.1</v>
      </c>
      <c r="N937" t="s">
        <v>29</v>
      </c>
      <c r="O937" s="2">
        <v>81.680000000000007</v>
      </c>
      <c r="P937" s="2">
        <v>60.75</v>
      </c>
      <c r="Q937" s="2">
        <v>20.93</v>
      </c>
      <c r="R937">
        <v>1</v>
      </c>
      <c r="S937">
        <v>1</v>
      </c>
      <c r="T937">
        <v>3</v>
      </c>
      <c r="U937">
        <v>5</v>
      </c>
    </row>
    <row r="938" spans="1:21" ht="16.5" x14ac:dyDescent="0.3">
      <c r="A938" t="s">
        <v>1018</v>
      </c>
      <c r="B938" s="1">
        <v>45447</v>
      </c>
      <c r="C938">
        <v>2024</v>
      </c>
      <c r="D938" t="s">
        <v>599</v>
      </c>
      <c r="E938" t="s">
        <v>1000</v>
      </c>
      <c r="F938" t="s">
        <v>45</v>
      </c>
      <c r="G938" t="s">
        <v>65</v>
      </c>
      <c r="H938" t="s">
        <v>26</v>
      </c>
      <c r="I938" t="s">
        <v>27</v>
      </c>
      <c r="J938" t="s">
        <v>28</v>
      </c>
      <c r="K938">
        <v>1</v>
      </c>
      <c r="L938" s="2">
        <v>138.5</v>
      </c>
      <c r="M938" s="3">
        <v>0.1</v>
      </c>
      <c r="N938" t="s">
        <v>29</v>
      </c>
      <c r="O938" s="2">
        <v>124.65</v>
      </c>
      <c r="P938" s="2">
        <v>70.180000000000007</v>
      </c>
      <c r="Q938" s="2">
        <v>54.47</v>
      </c>
      <c r="R938">
        <v>1</v>
      </c>
      <c r="S938">
        <v>0</v>
      </c>
      <c r="T938">
        <v>6</v>
      </c>
      <c r="U938">
        <v>3</v>
      </c>
    </row>
    <row r="939" spans="1:21" ht="16.5" x14ac:dyDescent="0.3">
      <c r="A939" t="s">
        <v>1019</v>
      </c>
      <c r="B939" s="1">
        <v>45448</v>
      </c>
      <c r="C939">
        <v>2024</v>
      </c>
      <c r="D939" t="s">
        <v>599</v>
      </c>
      <c r="E939" t="s">
        <v>1000</v>
      </c>
      <c r="F939" t="s">
        <v>24</v>
      </c>
      <c r="G939" t="s">
        <v>49</v>
      </c>
      <c r="H939" t="s">
        <v>26</v>
      </c>
      <c r="I939" t="s">
        <v>42</v>
      </c>
      <c r="J939" t="s">
        <v>89</v>
      </c>
      <c r="K939">
        <v>1</v>
      </c>
      <c r="L939" s="2">
        <v>68.349999999999994</v>
      </c>
      <c r="M939" s="3">
        <v>0.25</v>
      </c>
      <c r="N939" t="s">
        <v>62</v>
      </c>
      <c r="O939" s="2">
        <v>51.26</v>
      </c>
      <c r="P939" s="2">
        <v>44.28</v>
      </c>
      <c r="Q939" s="2">
        <v>6.98</v>
      </c>
      <c r="R939">
        <v>1</v>
      </c>
      <c r="S939">
        <v>0</v>
      </c>
      <c r="T939">
        <v>3</v>
      </c>
      <c r="U939">
        <v>4</v>
      </c>
    </row>
    <row r="940" spans="1:21" ht="16.5" x14ac:dyDescent="0.3">
      <c r="A940" t="s">
        <v>1020</v>
      </c>
      <c r="B940" s="1">
        <v>45448</v>
      </c>
      <c r="C940">
        <v>2024</v>
      </c>
      <c r="D940" t="s">
        <v>599</v>
      </c>
      <c r="E940" t="s">
        <v>1000</v>
      </c>
      <c r="F940" t="s">
        <v>24</v>
      </c>
      <c r="G940" t="s">
        <v>65</v>
      </c>
      <c r="H940" t="s">
        <v>26</v>
      </c>
      <c r="I940" t="s">
        <v>70</v>
      </c>
      <c r="J940" t="s">
        <v>129</v>
      </c>
      <c r="K940">
        <v>1</v>
      </c>
      <c r="L940" s="2">
        <v>177.65</v>
      </c>
      <c r="M940" s="3">
        <v>0</v>
      </c>
      <c r="N940" t="s">
        <v>38</v>
      </c>
      <c r="O940" s="2">
        <v>177.65</v>
      </c>
      <c r="P940" s="2">
        <v>141</v>
      </c>
      <c r="Q940" s="2">
        <v>36.65</v>
      </c>
      <c r="R940">
        <v>1</v>
      </c>
      <c r="S940">
        <v>0</v>
      </c>
      <c r="T940">
        <v>7</v>
      </c>
      <c r="U940">
        <v>4</v>
      </c>
    </row>
    <row r="941" spans="1:21" ht="16.5" x14ac:dyDescent="0.3">
      <c r="A941" t="s">
        <v>1021</v>
      </c>
      <c r="B941" s="1">
        <v>45448</v>
      </c>
      <c r="C941">
        <v>2024</v>
      </c>
      <c r="D941" t="s">
        <v>599</v>
      </c>
      <c r="E941" t="s">
        <v>1000</v>
      </c>
      <c r="F941" t="s">
        <v>24</v>
      </c>
      <c r="G941" t="s">
        <v>51</v>
      </c>
      <c r="H941" t="s">
        <v>32</v>
      </c>
      <c r="I941" t="s">
        <v>36</v>
      </c>
      <c r="J941" t="s">
        <v>52</v>
      </c>
      <c r="K941">
        <v>4</v>
      </c>
      <c r="L941" s="2">
        <v>92.54</v>
      </c>
      <c r="M941" s="3">
        <v>0.05</v>
      </c>
      <c r="N941" t="s">
        <v>29</v>
      </c>
      <c r="O941" s="2">
        <v>351.65</v>
      </c>
      <c r="P941" s="2">
        <v>182.93</v>
      </c>
      <c r="Q941" s="2">
        <v>168.72</v>
      </c>
      <c r="R941">
        <v>1</v>
      </c>
      <c r="S941">
        <v>0</v>
      </c>
      <c r="T941">
        <v>3</v>
      </c>
      <c r="U941">
        <v>4</v>
      </c>
    </row>
    <row r="942" spans="1:21" ht="16.5" x14ac:dyDescent="0.3">
      <c r="A942" t="s">
        <v>1022</v>
      </c>
      <c r="B942" s="1">
        <v>45448</v>
      </c>
      <c r="C942">
        <v>2024</v>
      </c>
      <c r="D942" t="s">
        <v>599</v>
      </c>
      <c r="E942" t="s">
        <v>1000</v>
      </c>
      <c r="F942" t="s">
        <v>24</v>
      </c>
      <c r="G942" t="s">
        <v>51</v>
      </c>
      <c r="H942" t="s">
        <v>32</v>
      </c>
      <c r="I942" t="s">
        <v>27</v>
      </c>
      <c r="J942" t="s">
        <v>110</v>
      </c>
      <c r="K942">
        <v>1</v>
      </c>
      <c r="L942" s="2">
        <v>19.41</v>
      </c>
      <c r="M942" s="3">
        <v>0</v>
      </c>
      <c r="N942" t="s">
        <v>38</v>
      </c>
      <c r="O942" s="2">
        <v>19.41</v>
      </c>
      <c r="P942" s="2">
        <v>10.34</v>
      </c>
      <c r="Q942" s="2">
        <v>9.07</v>
      </c>
      <c r="R942">
        <v>1</v>
      </c>
      <c r="S942">
        <v>0</v>
      </c>
      <c r="T942">
        <v>5</v>
      </c>
      <c r="U942">
        <v>4</v>
      </c>
    </row>
    <row r="943" spans="1:21" ht="16.5" x14ac:dyDescent="0.3">
      <c r="A943" t="s">
        <v>1023</v>
      </c>
      <c r="B943" s="1">
        <v>45448</v>
      </c>
      <c r="C943">
        <v>2024</v>
      </c>
      <c r="D943" t="s">
        <v>599</v>
      </c>
      <c r="E943" t="s">
        <v>1000</v>
      </c>
      <c r="F943" t="s">
        <v>45</v>
      </c>
      <c r="G943" t="s">
        <v>25</v>
      </c>
      <c r="H943" t="s">
        <v>32</v>
      </c>
      <c r="I943" t="s">
        <v>27</v>
      </c>
      <c r="J943" t="s">
        <v>28</v>
      </c>
      <c r="K943">
        <v>1</v>
      </c>
      <c r="L943" s="2">
        <v>138.5</v>
      </c>
      <c r="M943" s="3">
        <v>0.2</v>
      </c>
      <c r="N943" t="s">
        <v>34</v>
      </c>
      <c r="O943" s="2">
        <v>110.8</v>
      </c>
      <c r="P943" s="2">
        <v>75.959999999999994</v>
      </c>
      <c r="Q943" s="2">
        <v>34.840000000000003</v>
      </c>
      <c r="R943">
        <v>1</v>
      </c>
      <c r="S943">
        <v>0</v>
      </c>
      <c r="T943">
        <v>10</v>
      </c>
      <c r="U943">
        <v>4</v>
      </c>
    </row>
    <row r="944" spans="1:21" ht="16.5" x14ac:dyDescent="0.3">
      <c r="A944" t="s">
        <v>1024</v>
      </c>
      <c r="B944" s="1">
        <v>45448</v>
      </c>
      <c r="C944">
        <v>2024</v>
      </c>
      <c r="D944" t="s">
        <v>599</v>
      </c>
      <c r="E944" t="s">
        <v>1000</v>
      </c>
      <c r="F944" t="s">
        <v>45</v>
      </c>
      <c r="G944" t="s">
        <v>65</v>
      </c>
      <c r="H944" t="s">
        <v>32</v>
      </c>
      <c r="I944" t="s">
        <v>42</v>
      </c>
      <c r="J944" t="s">
        <v>43</v>
      </c>
      <c r="K944">
        <v>1</v>
      </c>
      <c r="L944" s="2">
        <v>154.66</v>
      </c>
      <c r="M944" s="3">
        <v>0.1</v>
      </c>
      <c r="N944" t="s">
        <v>29</v>
      </c>
      <c r="O944" s="2">
        <v>139.19</v>
      </c>
      <c r="P944" s="2">
        <v>102.93</v>
      </c>
      <c r="Q944" s="2">
        <v>36.26</v>
      </c>
      <c r="R944">
        <v>1</v>
      </c>
      <c r="S944">
        <v>1</v>
      </c>
      <c r="T944">
        <v>5</v>
      </c>
      <c r="U944">
        <v>3</v>
      </c>
    </row>
    <row r="945" spans="1:21" ht="16.5" x14ac:dyDescent="0.3">
      <c r="A945" t="s">
        <v>1025</v>
      </c>
      <c r="B945" s="1">
        <v>45449</v>
      </c>
      <c r="C945">
        <v>2024</v>
      </c>
      <c r="D945" t="s">
        <v>599</v>
      </c>
      <c r="E945" t="s">
        <v>1000</v>
      </c>
      <c r="F945" t="s">
        <v>31</v>
      </c>
      <c r="G945" t="s">
        <v>25</v>
      </c>
      <c r="H945" t="s">
        <v>32</v>
      </c>
      <c r="I945" t="s">
        <v>36</v>
      </c>
      <c r="J945" t="s">
        <v>37</v>
      </c>
      <c r="K945">
        <v>1</v>
      </c>
      <c r="L945" s="2">
        <v>33.18</v>
      </c>
      <c r="M945" s="3">
        <v>0</v>
      </c>
      <c r="N945" t="s">
        <v>38</v>
      </c>
      <c r="O945" s="2">
        <v>33.18</v>
      </c>
      <c r="P945" s="2">
        <v>15.66</v>
      </c>
      <c r="Q945" s="2">
        <v>17.52</v>
      </c>
      <c r="R945">
        <v>1</v>
      </c>
      <c r="S945">
        <v>0</v>
      </c>
      <c r="T945">
        <v>5</v>
      </c>
      <c r="U945">
        <v>4</v>
      </c>
    </row>
    <row r="946" spans="1:21" ht="16.5" x14ac:dyDescent="0.3">
      <c r="A946" t="s">
        <v>1026</v>
      </c>
      <c r="B946" s="1">
        <v>45449</v>
      </c>
      <c r="C946">
        <v>2024</v>
      </c>
      <c r="D946" t="s">
        <v>599</v>
      </c>
      <c r="E946" t="s">
        <v>1000</v>
      </c>
      <c r="F946" t="s">
        <v>31</v>
      </c>
      <c r="G946" t="s">
        <v>51</v>
      </c>
      <c r="H946" t="s">
        <v>26</v>
      </c>
      <c r="I946" t="s">
        <v>70</v>
      </c>
      <c r="J946" t="s">
        <v>252</v>
      </c>
      <c r="K946">
        <v>1</v>
      </c>
      <c r="L946" s="2">
        <v>216.08</v>
      </c>
      <c r="M946" s="3">
        <v>0</v>
      </c>
      <c r="N946" t="s">
        <v>38</v>
      </c>
      <c r="O946" s="2">
        <v>216.08</v>
      </c>
      <c r="P946" s="2">
        <v>161.88</v>
      </c>
      <c r="Q946" s="2">
        <v>54.2</v>
      </c>
      <c r="R946">
        <v>1</v>
      </c>
      <c r="S946">
        <v>0</v>
      </c>
      <c r="T946">
        <v>2</v>
      </c>
      <c r="U946">
        <v>3</v>
      </c>
    </row>
    <row r="947" spans="1:21" ht="16.5" x14ac:dyDescent="0.3">
      <c r="A947" t="s">
        <v>1027</v>
      </c>
      <c r="B947" s="1">
        <v>45449</v>
      </c>
      <c r="C947">
        <v>2024</v>
      </c>
      <c r="D947" t="s">
        <v>599</v>
      </c>
      <c r="E947" t="s">
        <v>1000</v>
      </c>
      <c r="F947" t="s">
        <v>24</v>
      </c>
      <c r="G947" t="s">
        <v>51</v>
      </c>
      <c r="H947" t="s">
        <v>32</v>
      </c>
      <c r="I947" t="s">
        <v>70</v>
      </c>
      <c r="J947" t="s">
        <v>87</v>
      </c>
      <c r="K947">
        <v>1</v>
      </c>
      <c r="L947" s="2">
        <v>490.3</v>
      </c>
      <c r="M947" s="3">
        <v>0.05</v>
      </c>
      <c r="N947" t="s">
        <v>29</v>
      </c>
      <c r="O947" s="2">
        <v>465.78</v>
      </c>
      <c r="P947" s="2">
        <v>382.63</v>
      </c>
      <c r="Q947" s="2">
        <v>83.15</v>
      </c>
      <c r="R947">
        <v>1</v>
      </c>
      <c r="S947">
        <v>0</v>
      </c>
      <c r="T947">
        <v>3</v>
      </c>
      <c r="U947">
        <v>4</v>
      </c>
    </row>
    <row r="948" spans="1:21" ht="16.5" x14ac:dyDescent="0.3">
      <c r="A948" t="s">
        <v>1028</v>
      </c>
      <c r="B948" s="1">
        <v>45449</v>
      </c>
      <c r="C948">
        <v>2024</v>
      </c>
      <c r="D948" t="s">
        <v>599</v>
      </c>
      <c r="E948" t="s">
        <v>1000</v>
      </c>
      <c r="F948" t="s">
        <v>24</v>
      </c>
      <c r="G948" t="s">
        <v>51</v>
      </c>
      <c r="H948" t="s">
        <v>32</v>
      </c>
      <c r="I948" t="s">
        <v>70</v>
      </c>
      <c r="J948" t="s">
        <v>162</v>
      </c>
      <c r="K948">
        <v>1</v>
      </c>
      <c r="L948" s="2">
        <v>636.09</v>
      </c>
      <c r="M948" s="3">
        <v>0.2</v>
      </c>
      <c r="N948" t="s">
        <v>34</v>
      </c>
      <c r="O948" s="2">
        <v>508.87</v>
      </c>
      <c r="P948" s="2">
        <v>505.15</v>
      </c>
      <c r="Q948" s="2">
        <v>3.72</v>
      </c>
      <c r="R948">
        <v>1</v>
      </c>
      <c r="S948">
        <v>0</v>
      </c>
      <c r="T948">
        <v>3</v>
      </c>
      <c r="U948">
        <v>5</v>
      </c>
    </row>
    <row r="949" spans="1:21" ht="16.5" x14ac:dyDescent="0.3">
      <c r="A949" t="s">
        <v>1029</v>
      </c>
      <c r="B949" s="1">
        <v>45449</v>
      </c>
      <c r="C949">
        <v>2024</v>
      </c>
      <c r="D949" t="s">
        <v>599</v>
      </c>
      <c r="E949" t="s">
        <v>1000</v>
      </c>
      <c r="F949" t="s">
        <v>31</v>
      </c>
      <c r="G949" t="s">
        <v>51</v>
      </c>
      <c r="H949" t="s">
        <v>32</v>
      </c>
      <c r="I949" t="s">
        <v>67</v>
      </c>
      <c r="J949" t="s">
        <v>103</v>
      </c>
      <c r="K949">
        <v>1</v>
      </c>
      <c r="L949" s="2">
        <v>83.06</v>
      </c>
      <c r="M949" s="3">
        <v>0.25</v>
      </c>
      <c r="N949" t="s">
        <v>62</v>
      </c>
      <c r="O949" s="2">
        <v>62.3</v>
      </c>
      <c r="P949" s="2">
        <v>55.85</v>
      </c>
      <c r="Q949" s="2">
        <v>6.45</v>
      </c>
      <c r="R949">
        <v>1</v>
      </c>
      <c r="S949">
        <v>0</v>
      </c>
      <c r="T949">
        <v>2</v>
      </c>
      <c r="U949">
        <v>5</v>
      </c>
    </row>
    <row r="950" spans="1:21" ht="16.5" x14ac:dyDescent="0.3">
      <c r="A950" t="s">
        <v>1030</v>
      </c>
      <c r="B950" s="1">
        <v>45450</v>
      </c>
      <c r="C950">
        <v>2024</v>
      </c>
      <c r="D950" t="s">
        <v>599</v>
      </c>
      <c r="E950" t="s">
        <v>1000</v>
      </c>
      <c r="F950" t="s">
        <v>24</v>
      </c>
      <c r="G950" t="s">
        <v>46</v>
      </c>
      <c r="H950" t="s">
        <v>32</v>
      </c>
      <c r="I950" t="s">
        <v>36</v>
      </c>
      <c r="J950" t="s">
        <v>37</v>
      </c>
      <c r="K950">
        <v>1</v>
      </c>
      <c r="L950" s="2">
        <v>33.18</v>
      </c>
      <c r="M950" s="3">
        <v>0.1</v>
      </c>
      <c r="N950" t="s">
        <v>29</v>
      </c>
      <c r="O950" s="2">
        <v>29.86</v>
      </c>
      <c r="P950" s="2">
        <v>14.45</v>
      </c>
      <c r="Q950" s="2">
        <v>15.41</v>
      </c>
      <c r="R950">
        <v>1</v>
      </c>
      <c r="S950">
        <v>0</v>
      </c>
      <c r="T950">
        <v>5</v>
      </c>
      <c r="U950">
        <v>4</v>
      </c>
    </row>
    <row r="951" spans="1:21" ht="16.5" x14ac:dyDescent="0.3">
      <c r="A951" t="s">
        <v>1031</v>
      </c>
      <c r="B951" s="1">
        <v>45450</v>
      </c>
      <c r="C951">
        <v>2024</v>
      </c>
      <c r="D951" t="s">
        <v>599</v>
      </c>
      <c r="E951" t="s">
        <v>1000</v>
      </c>
      <c r="F951" t="s">
        <v>24</v>
      </c>
      <c r="G951" t="s">
        <v>51</v>
      </c>
      <c r="H951" t="s">
        <v>26</v>
      </c>
      <c r="I951" t="s">
        <v>84</v>
      </c>
      <c r="J951" t="s">
        <v>85</v>
      </c>
      <c r="K951">
        <v>1</v>
      </c>
      <c r="L951" s="2">
        <v>57.92</v>
      </c>
      <c r="M951" s="3">
        <v>0.05</v>
      </c>
      <c r="N951" t="s">
        <v>29</v>
      </c>
      <c r="O951" s="2">
        <v>55.02</v>
      </c>
      <c r="P951" s="2">
        <v>40.92</v>
      </c>
      <c r="Q951" s="2">
        <v>14.1</v>
      </c>
      <c r="R951">
        <v>1</v>
      </c>
      <c r="S951">
        <v>0</v>
      </c>
      <c r="T951">
        <v>4</v>
      </c>
      <c r="U951">
        <v>3</v>
      </c>
    </row>
    <row r="952" spans="1:21" ht="16.5" x14ac:dyDescent="0.3">
      <c r="A952" t="s">
        <v>1032</v>
      </c>
      <c r="B952" s="1">
        <v>45450</v>
      </c>
      <c r="C952">
        <v>2024</v>
      </c>
      <c r="D952" t="s">
        <v>599</v>
      </c>
      <c r="E952" t="s">
        <v>1000</v>
      </c>
      <c r="F952" t="s">
        <v>24</v>
      </c>
      <c r="G952" t="s">
        <v>25</v>
      </c>
      <c r="H952" t="s">
        <v>26</v>
      </c>
      <c r="I952" t="s">
        <v>36</v>
      </c>
      <c r="J952" t="s">
        <v>56</v>
      </c>
      <c r="K952">
        <v>1</v>
      </c>
      <c r="L952" s="2">
        <v>74.3</v>
      </c>
      <c r="M952" s="3">
        <v>0.15</v>
      </c>
      <c r="N952" t="s">
        <v>34</v>
      </c>
      <c r="O952" s="2">
        <v>63.15</v>
      </c>
      <c r="P952" s="2">
        <v>37.229999999999997</v>
      </c>
      <c r="Q952" s="2">
        <v>25.92</v>
      </c>
      <c r="R952">
        <v>1</v>
      </c>
      <c r="S952">
        <v>0</v>
      </c>
      <c r="T952">
        <v>4</v>
      </c>
      <c r="U952">
        <v>5</v>
      </c>
    </row>
    <row r="953" spans="1:21" ht="16.5" x14ac:dyDescent="0.3">
      <c r="A953" t="s">
        <v>1033</v>
      </c>
      <c r="B953" s="1">
        <v>45450</v>
      </c>
      <c r="C953">
        <v>2024</v>
      </c>
      <c r="D953" t="s">
        <v>599</v>
      </c>
      <c r="E953" t="s">
        <v>1000</v>
      </c>
      <c r="F953" t="s">
        <v>31</v>
      </c>
      <c r="G953" t="s">
        <v>25</v>
      </c>
      <c r="H953" t="s">
        <v>26</v>
      </c>
      <c r="I953" t="s">
        <v>67</v>
      </c>
      <c r="J953" t="s">
        <v>103</v>
      </c>
      <c r="K953">
        <v>1</v>
      </c>
      <c r="L953" s="2">
        <v>83.06</v>
      </c>
      <c r="M953" s="3">
        <v>0.05</v>
      </c>
      <c r="N953" t="s">
        <v>29</v>
      </c>
      <c r="O953" s="2">
        <v>78.91</v>
      </c>
      <c r="P953" s="2">
        <v>53.92</v>
      </c>
      <c r="Q953" s="2">
        <v>24.99</v>
      </c>
      <c r="R953">
        <v>1</v>
      </c>
      <c r="S953">
        <v>0</v>
      </c>
      <c r="T953">
        <v>3</v>
      </c>
      <c r="U953">
        <v>4</v>
      </c>
    </row>
    <row r="954" spans="1:21" ht="16.5" x14ac:dyDescent="0.3">
      <c r="A954" t="s">
        <v>1034</v>
      </c>
      <c r="B954" s="1">
        <v>45450</v>
      </c>
      <c r="C954">
        <v>2024</v>
      </c>
      <c r="D954" t="s">
        <v>599</v>
      </c>
      <c r="E954" t="s">
        <v>1000</v>
      </c>
      <c r="F954" t="s">
        <v>31</v>
      </c>
      <c r="G954" t="s">
        <v>51</v>
      </c>
      <c r="H954" t="s">
        <v>32</v>
      </c>
      <c r="I954" t="s">
        <v>27</v>
      </c>
      <c r="J954" t="s">
        <v>60</v>
      </c>
      <c r="K954">
        <v>1</v>
      </c>
      <c r="L954" s="2">
        <v>94.85</v>
      </c>
      <c r="M954" s="3">
        <v>0</v>
      </c>
      <c r="N954" t="s">
        <v>38</v>
      </c>
      <c r="O954" s="2">
        <v>94.85</v>
      </c>
      <c r="P954" s="2">
        <v>53.07</v>
      </c>
      <c r="Q954" s="2">
        <v>41.78</v>
      </c>
      <c r="R954">
        <v>1</v>
      </c>
      <c r="S954">
        <v>0</v>
      </c>
      <c r="T954">
        <v>4</v>
      </c>
      <c r="U954">
        <v>4</v>
      </c>
    </row>
    <row r="955" spans="1:21" ht="16.5" x14ac:dyDescent="0.3">
      <c r="A955" t="s">
        <v>1035</v>
      </c>
      <c r="B955" s="1">
        <v>45450</v>
      </c>
      <c r="C955">
        <v>2024</v>
      </c>
      <c r="D955" t="s">
        <v>599</v>
      </c>
      <c r="E955" t="s">
        <v>1000</v>
      </c>
      <c r="F955" t="s">
        <v>45</v>
      </c>
      <c r="G955" t="s">
        <v>49</v>
      </c>
      <c r="H955" t="s">
        <v>32</v>
      </c>
      <c r="I955" t="s">
        <v>67</v>
      </c>
      <c r="J955" t="s">
        <v>93</v>
      </c>
      <c r="K955">
        <v>2</v>
      </c>
      <c r="L955" s="2">
        <v>198.42</v>
      </c>
      <c r="M955" s="3">
        <v>0.3</v>
      </c>
      <c r="N955" t="s">
        <v>62</v>
      </c>
      <c r="O955" s="2">
        <v>277.79000000000002</v>
      </c>
      <c r="P955" s="2">
        <v>269.61</v>
      </c>
      <c r="Q955" s="2">
        <v>8.18</v>
      </c>
      <c r="R955">
        <v>1</v>
      </c>
      <c r="S955">
        <v>0</v>
      </c>
      <c r="T955">
        <v>3</v>
      </c>
      <c r="U955">
        <v>5</v>
      </c>
    </row>
    <row r="956" spans="1:21" ht="16.5" x14ac:dyDescent="0.3">
      <c r="A956" t="s">
        <v>1036</v>
      </c>
      <c r="B956" s="1">
        <v>45450</v>
      </c>
      <c r="C956">
        <v>2024</v>
      </c>
      <c r="D956" t="s">
        <v>599</v>
      </c>
      <c r="E956" t="s">
        <v>1000</v>
      </c>
      <c r="F956" t="s">
        <v>45</v>
      </c>
      <c r="G956" t="s">
        <v>25</v>
      </c>
      <c r="H956" t="s">
        <v>32</v>
      </c>
      <c r="I956" t="s">
        <v>27</v>
      </c>
      <c r="J956" t="s">
        <v>60</v>
      </c>
      <c r="K956">
        <v>2</v>
      </c>
      <c r="L956" s="2">
        <v>94.85</v>
      </c>
      <c r="M956" s="3">
        <v>0</v>
      </c>
      <c r="N956" t="s">
        <v>38</v>
      </c>
      <c r="O956" s="2">
        <v>189.7</v>
      </c>
      <c r="P956" s="2">
        <v>106.99</v>
      </c>
      <c r="Q956" s="2">
        <v>82.71</v>
      </c>
      <c r="R956">
        <v>1</v>
      </c>
      <c r="S956">
        <v>0</v>
      </c>
      <c r="T956">
        <v>3</v>
      </c>
      <c r="U956">
        <v>4</v>
      </c>
    </row>
    <row r="957" spans="1:21" ht="16.5" x14ac:dyDescent="0.3">
      <c r="A957" t="s">
        <v>1037</v>
      </c>
      <c r="B957" s="1">
        <v>45451</v>
      </c>
      <c r="C957">
        <v>2024</v>
      </c>
      <c r="D957" t="s">
        <v>599</v>
      </c>
      <c r="E957" t="s">
        <v>1000</v>
      </c>
      <c r="F957" t="s">
        <v>31</v>
      </c>
      <c r="G957" t="s">
        <v>51</v>
      </c>
      <c r="H957" t="s">
        <v>26</v>
      </c>
      <c r="I957" t="s">
        <v>70</v>
      </c>
      <c r="J957" t="s">
        <v>82</v>
      </c>
      <c r="K957">
        <v>4</v>
      </c>
      <c r="L957" s="2">
        <v>508.8</v>
      </c>
      <c r="M957" s="3">
        <v>0.05</v>
      </c>
      <c r="N957" t="s">
        <v>29</v>
      </c>
      <c r="O957" s="2">
        <v>1933.44</v>
      </c>
      <c r="P957" s="2">
        <v>1622.77</v>
      </c>
      <c r="Q957" s="2">
        <v>310.67</v>
      </c>
      <c r="R957">
        <v>1</v>
      </c>
      <c r="S957">
        <v>0</v>
      </c>
      <c r="T957">
        <v>2</v>
      </c>
      <c r="U957">
        <v>4</v>
      </c>
    </row>
    <row r="958" spans="1:21" ht="16.5" x14ac:dyDescent="0.3">
      <c r="A958" t="s">
        <v>1038</v>
      </c>
      <c r="B958" s="1">
        <v>45451</v>
      </c>
      <c r="C958">
        <v>2024</v>
      </c>
      <c r="D958" t="s">
        <v>599</v>
      </c>
      <c r="E958" t="s">
        <v>1000</v>
      </c>
      <c r="F958" t="s">
        <v>24</v>
      </c>
      <c r="G958" t="s">
        <v>49</v>
      </c>
      <c r="H958" t="s">
        <v>26</v>
      </c>
      <c r="I958" t="s">
        <v>27</v>
      </c>
      <c r="J958" t="s">
        <v>28</v>
      </c>
      <c r="K958">
        <v>1</v>
      </c>
      <c r="L958" s="2">
        <v>138.5</v>
      </c>
      <c r="M958" s="3">
        <v>0.2</v>
      </c>
      <c r="N958" t="s">
        <v>34</v>
      </c>
      <c r="O958" s="2">
        <v>110.8</v>
      </c>
      <c r="P958" s="2">
        <v>71.36</v>
      </c>
      <c r="Q958" s="2">
        <v>39.44</v>
      </c>
      <c r="R958">
        <v>1</v>
      </c>
      <c r="S958">
        <v>0</v>
      </c>
      <c r="T958">
        <v>4</v>
      </c>
      <c r="U958">
        <v>5</v>
      </c>
    </row>
    <row r="959" spans="1:21" ht="16.5" x14ac:dyDescent="0.3">
      <c r="A959" t="s">
        <v>1039</v>
      </c>
      <c r="B959" s="1">
        <v>45451</v>
      </c>
      <c r="C959">
        <v>2024</v>
      </c>
      <c r="D959" t="s">
        <v>599</v>
      </c>
      <c r="E959" t="s">
        <v>1000</v>
      </c>
      <c r="F959" t="s">
        <v>45</v>
      </c>
      <c r="G959" t="s">
        <v>65</v>
      </c>
      <c r="H959" t="s">
        <v>32</v>
      </c>
      <c r="I959" t="s">
        <v>27</v>
      </c>
      <c r="J959" t="s">
        <v>60</v>
      </c>
      <c r="K959">
        <v>1</v>
      </c>
      <c r="L959" s="2">
        <v>94.85</v>
      </c>
      <c r="M959" s="3">
        <v>0</v>
      </c>
      <c r="N959" t="s">
        <v>38</v>
      </c>
      <c r="O959" s="2">
        <v>94.85</v>
      </c>
      <c r="P959" s="2">
        <v>49.96</v>
      </c>
      <c r="Q959" s="2">
        <v>44.89</v>
      </c>
      <c r="R959">
        <v>1</v>
      </c>
      <c r="S959">
        <v>0</v>
      </c>
      <c r="T959">
        <v>8</v>
      </c>
      <c r="U959">
        <v>4</v>
      </c>
    </row>
    <row r="960" spans="1:21" ht="16.5" x14ac:dyDescent="0.3">
      <c r="A960" t="s">
        <v>1040</v>
      </c>
      <c r="B960" s="1">
        <v>45451</v>
      </c>
      <c r="C960">
        <v>2024</v>
      </c>
      <c r="D960" t="s">
        <v>599</v>
      </c>
      <c r="E960" t="s">
        <v>1000</v>
      </c>
      <c r="F960" t="s">
        <v>24</v>
      </c>
      <c r="G960" t="s">
        <v>51</v>
      </c>
      <c r="H960" t="s">
        <v>32</v>
      </c>
      <c r="I960" t="s">
        <v>42</v>
      </c>
      <c r="J960" t="s">
        <v>54</v>
      </c>
      <c r="K960">
        <v>2</v>
      </c>
      <c r="L960" s="2">
        <v>148.05000000000001</v>
      </c>
      <c r="M960" s="3">
        <v>0</v>
      </c>
      <c r="N960" t="s">
        <v>38</v>
      </c>
      <c r="O960" s="2">
        <v>296.10000000000002</v>
      </c>
      <c r="P960" s="2">
        <v>187.18</v>
      </c>
      <c r="Q960" s="2">
        <v>108.92</v>
      </c>
      <c r="R960">
        <v>1</v>
      </c>
      <c r="S960">
        <v>0</v>
      </c>
      <c r="T960">
        <v>2</v>
      </c>
      <c r="U960">
        <v>5</v>
      </c>
    </row>
    <row r="961" spans="1:21" ht="16.5" x14ac:dyDescent="0.3">
      <c r="A961" t="s">
        <v>1041</v>
      </c>
      <c r="B961" s="1">
        <v>45451</v>
      </c>
      <c r="C961">
        <v>2024</v>
      </c>
      <c r="D961" t="s">
        <v>599</v>
      </c>
      <c r="E961" t="s">
        <v>1000</v>
      </c>
      <c r="F961" t="s">
        <v>24</v>
      </c>
      <c r="G961" t="s">
        <v>65</v>
      </c>
      <c r="H961" t="s">
        <v>26</v>
      </c>
      <c r="I961" t="s">
        <v>27</v>
      </c>
      <c r="J961" t="s">
        <v>33</v>
      </c>
      <c r="K961">
        <v>1</v>
      </c>
      <c r="L961" s="2">
        <v>78.510000000000005</v>
      </c>
      <c r="M961" s="3">
        <v>0.15</v>
      </c>
      <c r="N961" t="s">
        <v>34</v>
      </c>
      <c r="O961" s="2">
        <v>66.73</v>
      </c>
      <c r="P961" s="2">
        <v>39.880000000000003</v>
      </c>
      <c r="Q961" s="2">
        <v>26.85</v>
      </c>
      <c r="R961">
        <v>1</v>
      </c>
      <c r="S961">
        <v>0</v>
      </c>
      <c r="T961">
        <v>8</v>
      </c>
      <c r="U961">
        <v>3</v>
      </c>
    </row>
    <row r="962" spans="1:21" ht="16.5" x14ac:dyDescent="0.3">
      <c r="A962" t="s">
        <v>1042</v>
      </c>
      <c r="B962" s="1">
        <v>45451</v>
      </c>
      <c r="C962">
        <v>2024</v>
      </c>
      <c r="D962" t="s">
        <v>599</v>
      </c>
      <c r="E962" t="s">
        <v>1000</v>
      </c>
      <c r="F962" t="s">
        <v>31</v>
      </c>
      <c r="G962" t="s">
        <v>25</v>
      </c>
      <c r="H962" t="s">
        <v>26</v>
      </c>
      <c r="I962" t="s">
        <v>70</v>
      </c>
      <c r="J962" t="s">
        <v>162</v>
      </c>
      <c r="K962">
        <v>1</v>
      </c>
      <c r="L962" s="2">
        <v>636.09</v>
      </c>
      <c r="M962" s="3">
        <v>0</v>
      </c>
      <c r="N962" t="s">
        <v>38</v>
      </c>
      <c r="O962" s="2">
        <v>636.09</v>
      </c>
      <c r="P962" s="2">
        <v>514.63</v>
      </c>
      <c r="Q962" s="2">
        <v>121.46</v>
      </c>
      <c r="R962">
        <v>1</v>
      </c>
      <c r="S962">
        <v>0</v>
      </c>
      <c r="T962">
        <v>4</v>
      </c>
      <c r="U962">
        <v>4</v>
      </c>
    </row>
    <row r="963" spans="1:21" ht="16.5" x14ac:dyDescent="0.3">
      <c r="A963" t="s">
        <v>1043</v>
      </c>
      <c r="B963" s="1">
        <v>45451</v>
      </c>
      <c r="C963">
        <v>2024</v>
      </c>
      <c r="D963" t="s">
        <v>599</v>
      </c>
      <c r="E963" t="s">
        <v>1000</v>
      </c>
      <c r="F963" t="s">
        <v>24</v>
      </c>
      <c r="G963" t="s">
        <v>49</v>
      </c>
      <c r="H963" t="s">
        <v>32</v>
      </c>
      <c r="I963" t="s">
        <v>42</v>
      </c>
      <c r="J963" t="s">
        <v>58</v>
      </c>
      <c r="K963">
        <v>2</v>
      </c>
      <c r="L963" s="2">
        <v>233.81</v>
      </c>
      <c r="M963" s="3">
        <v>0.15</v>
      </c>
      <c r="N963" t="s">
        <v>34</v>
      </c>
      <c r="O963" s="2">
        <v>397.48</v>
      </c>
      <c r="P963" s="2">
        <v>319.31</v>
      </c>
      <c r="Q963" s="2">
        <v>78.17</v>
      </c>
      <c r="R963">
        <v>1</v>
      </c>
      <c r="S963">
        <v>0</v>
      </c>
      <c r="T963">
        <v>4</v>
      </c>
      <c r="U963">
        <v>3</v>
      </c>
    </row>
    <row r="964" spans="1:21" ht="16.5" x14ac:dyDescent="0.3">
      <c r="A964" t="s">
        <v>1044</v>
      </c>
      <c r="B964" s="1">
        <v>45452</v>
      </c>
      <c r="C964">
        <v>2024</v>
      </c>
      <c r="D964" t="s">
        <v>599</v>
      </c>
      <c r="E964" t="s">
        <v>1000</v>
      </c>
      <c r="F964" t="s">
        <v>45</v>
      </c>
      <c r="G964" t="s">
        <v>65</v>
      </c>
      <c r="H964" t="s">
        <v>32</v>
      </c>
      <c r="I964" t="s">
        <v>84</v>
      </c>
      <c r="J964" t="s">
        <v>132</v>
      </c>
      <c r="K964">
        <v>1</v>
      </c>
      <c r="L964" s="2">
        <v>48.86</v>
      </c>
      <c r="M964" s="3">
        <v>0.1</v>
      </c>
      <c r="N964" t="s">
        <v>29</v>
      </c>
      <c r="O964" s="2">
        <v>43.97</v>
      </c>
      <c r="P964" s="2">
        <v>32.520000000000003</v>
      </c>
      <c r="Q964" s="2">
        <v>11.45</v>
      </c>
      <c r="R964">
        <v>1</v>
      </c>
      <c r="S964">
        <v>0</v>
      </c>
      <c r="T964">
        <v>5</v>
      </c>
      <c r="U964">
        <v>3</v>
      </c>
    </row>
    <row r="965" spans="1:21" ht="16.5" x14ac:dyDescent="0.3">
      <c r="A965" t="s">
        <v>1045</v>
      </c>
      <c r="B965" s="1">
        <v>45452</v>
      </c>
      <c r="C965">
        <v>2024</v>
      </c>
      <c r="D965" t="s">
        <v>599</v>
      </c>
      <c r="E965" t="s">
        <v>1000</v>
      </c>
      <c r="F965" t="s">
        <v>31</v>
      </c>
      <c r="G965" t="s">
        <v>49</v>
      </c>
      <c r="H965" t="s">
        <v>26</v>
      </c>
      <c r="I965" t="s">
        <v>36</v>
      </c>
      <c r="J965" t="s">
        <v>115</v>
      </c>
      <c r="K965">
        <v>3</v>
      </c>
      <c r="L965" s="2">
        <v>33.479999999999997</v>
      </c>
      <c r="M965" s="3">
        <v>0.05</v>
      </c>
      <c r="N965" t="s">
        <v>29</v>
      </c>
      <c r="O965" s="2">
        <v>95.42</v>
      </c>
      <c r="P965" s="2">
        <v>48.58</v>
      </c>
      <c r="Q965" s="2">
        <v>46.84</v>
      </c>
      <c r="R965">
        <v>1</v>
      </c>
      <c r="S965">
        <v>0</v>
      </c>
      <c r="T965">
        <v>4</v>
      </c>
      <c r="U965">
        <v>4</v>
      </c>
    </row>
    <row r="966" spans="1:21" ht="16.5" x14ac:dyDescent="0.3">
      <c r="A966" t="s">
        <v>1046</v>
      </c>
      <c r="B966" s="1">
        <v>45452</v>
      </c>
      <c r="C966">
        <v>2024</v>
      </c>
      <c r="D966" t="s">
        <v>599</v>
      </c>
      <c r="E966" t="s">
        <v>1000</v>
      </c>
      <c r="F966" t="s">
        <v>24</v>
      </c>
      <c r="G966" t="s">
        <v>51</v>
      </c>
      <c r="H966" t="s">
        <v>26</v>
      </c>
      <c r="I966" t="s">
        <v>42</v>
      </c>
      <c r="J966" t="s">
        <v>89</v>
      </c>
      <c r="K966">
        <v>1</v>
      </c>
      <c r="L966" s="2">
        <v>68.349999999999994</v>
      </c>
      <c r="M966" s="3">
        <v>0.1</v>
      </c>
      <c r="N966" t="s">
        <v>29</v>
      </c>
      <c r="O966" s="2">
        <v>61.51</v>
      </c>
      <c r="P966" s="2">
        <v>46.47</v>
      </c>
      <c r="Q966" s="2">
        <v>15.04</v>
      </c>
      <c r="R966">
        <v>1</v>
      </c>
      <c r="S966">
        <v>0</v>
      </c>
      <c r="T966">
        <v>5</v>
      </c>
      <c r="U966">
        <v>4</v>
      </c>
    </row>
    <row r="967" spans="1:21" ht="16.5" x14ac:dyDescent="0.3">
      <c r="A967" t="s">
        <v>1047</v>
      </c>
      <c r="B967" s="1">
        <v>45452</v>
      </c>
      <c r="C967">
        <v>2024</v>
      </c>
      <c r="D967" t="s">
        <v>599</v>
      </c>
      <c r="E967" t="s">
        <v>1000</v>
      </c>
      <c r="F967" t="s">
        <v>31</v>
      </c>
      <c r="G967" t="s">
        <v>51</v>
      </c>
      <c r="H967" t="s">
        <v>32</v>
      </c>
      <c r="I967" t="s">
        <v>42</v>
      </c>
      <c r="J967" t="s">
        <v>89</v>
      </c>
      <c r="K967">
        <v>2</v>
      </c>
      <c r="L967" s="2">
        <v>68.349999999999994</v>
      </c>
      <c r="M967" s="3">
        <v>0</v>
      </c>
      <c r="N967" t="s">
        <v>38</v>
      </c>
      <c r="O967" s="2">
        <v>136.69999999999999</v>
      </c>
      <c r="P967" s="2">
        <v>94.32</v>
      </c>
      <c r="Q967" s="2">
        <v>42.38</v>
      </c>
      <c r="R967">
        <v>1</v>
      </c>
      <c r="S967">
        <v>0</v>
      </c>
      <c r="T967">
        <v>4</v>
      </c>
      <c r="U967">
        <v>4</v>
      </c>
    </row>
    <row r="968" spans="1:21" ht="16.5" x14ac:dyDescent="0.3">
      <c r="A968" t="s">
        <v>1048</v>
      </c>
      <c r="B968" s="1">
        <v>45452</v>
      </c>
      <c r="C968">
        <v>2024</v>
      </c>
      <c r="D968" t="s">
        <v>599</v>
      </c>
      <c r="E968" t="s">
        <v>1000</v>
      </c>
      <c r="F968" t="s">
        <v>24</v>
      </c>
      <c r="G968" t="s">
        <v>51</v>
      </c>
      <c r="H968" t="s">
        <v>32</v>
      </c>
      <c r="I968" t="s">
        <v>36</v>
      </c>
      <c r="J968" t="s">
        <v>52</v>
      </c>
      <c r="K968">
        <v>1</v>
      </c>
      <c r="L968" s="2">
        <v>92.54</v>
      </c>
      <c r="M968" s="3">
        <v>0.2</v>
      </c>
      <c r="N968" t="s">
        <v>34</v>
      </c>
      <c r="O968" s="2">
        <v>74.03</v>
      </c>
      <c r="P968" s="2">
        <v>46.78</v>
      </c>
      <c r="Q968" s="2">
        <v>27.25</v>
      </c>
      <c r="R968">
        <v>1</v>
      </c>
      <c r="S968">
        <v>0</v>
      </c>
      <c r="T968">
        <v>2</v>
      </c>
      <c r="U968">
        <v>4</v>
      </c>
    </row>
    <row r="969" spans="1:21" ht="16.5" x14ac:dyDescent="0.3">
      <c r="A969" t="s">
        <v>1049</v>
      </c>
      <c r="B969" s="1">
        <v>45452</v>
      </c>
      <c r="C969">
        <v>2024</v>
      </c>
      <c r="D969" t="s">
        <v>599</v>
      </c>
      <c r="E969" t="s">
        <v>1000</v>
      </c>
      <c r="F969" t="s">
        <v>24</v>
      </c>
      <c r="G969" t="s">
        <v>25</v>
      </c>
      <c r="H969" t="s">
        <v>32</v>
      </c>
      <c r="I969" t="s">
        <v>27</v>
      </c>
      <c r="J969" t="s">
        <v>60</v>
      </c>
      <c r="K969">
        <v>1</v>
      </c>
      <c r="L969" s="2">
        <v>94.85</v>
      </c>
      <c r="M969" s="3">
        <v>0</v>
      </c>
      <c r="N969" t="s">
        <v>38</v>
      </c>
      <c r="O969" s="2">
        <v>94.85</v>
      </c>
      <c r="P969" s="2">
        <v>50.05</v>
      </c>
      <c r="Q969" s="2">
        <v>44.8</v>
      </c>
      <c r="R969">
        <v>1</v>
      </c>
      <c r="S969">
        <v>1</v>
      </c>
      <c r="T969">
        <v>4</v>
      </c>
      <c r="U969">
        <v>3</v>
      </c>
    </row>
    <row r="970" spans="1:21" ht="16.5" x14ac:dyDescent="0.3">
      <c r="A970" t="s">
        <v>1050</v>
      </c>
      <c r="B970" s="1">
        <v>45453</v>
      </c>
      <c r="C970">
        <v>2024</v>
      </c>
      <c r="D970" t="s">
        <v>599</v>
      </c>
      <c r="E970" t="s">
        <v>1000</v>
      </c>
      <c r="F970" t="s">
        <v>45</v>
      </c>
      <c r="G970" t="s">
        <v>46</v>
      </c>
      <c r="H970" t="s">
        <v>32</v>
      </c>
      <c r="I970" t="s">
        <v>36</v>
      </c>
      <c r="J970" t="s">
        <v>56</v>
      </c>
      <c r="K970">
        <v>4</v>
      </c>
      <c r="L970" s="2">
        <v>74.3</v>
      </c>
      <c r="M970" s="3">
        <v>0</v>
      </c>
      <c r="N970" t="s">
        <v>38</v>
      </c>
      <c r="O970" s="2">
        <v>297.2</v>
      </c>
      <c r="P970" s="2">
        <v>145.75</v>
      </c>
      <c r="Q970" s="2">
        <v>151.44999999999999</v>
      </c>
      <c r="R970">
        <v>1</v>
      </c>
      <c r="S970">
        <v>0</v>
      </c>
      <c r="T970">
        <v>7</v>
      </c>
      <c r="U970">
        <v>3</v>
      </c>
    </row>
    <row r="971" spans="1:21" ht="16.5" x14ac:dyDescent="0.3">
      <c r="A971" t="s">
        <v>1051</v>
      </c>
      <c r="B971" s="1">
        <v>45453</v>
      </c>
      <c r="C971">
        <v>2024</v>
      </c>
      <c r="D971" t="s">
        <v>599</v>
      </c>
      <c r="E971" t="s">
        <v>1000</v>
      </c>
      <c r="F971" t="s">
        <v>24</v>
      </c>
      <c r="G971" t="s">
        <v>65</v>
      </c>
      <c r="H971" t="s">
        <v>32</v>
      </c>
      <c r="I971" t="s">
        <v>70</v>
      </c>
      <c r="J971" t="s">
        <v>252</v>
      </c>
      <c r="K971">
        <v>3</v>
      </c>
      <c r="L971" s="2">
        <v>216.08</v>
      </c>
      <c r="M971" s="3">
        <v>0.1</v>
      </c>
      <c r="N971" t="s">
        <v>29</v>
      </c>
      <c r="O971" s="2">
        <v>583.41999999999996</v>
      </c>
      <c r="P971" s="2">
        <v>516.24</v>
      </c>
      <c r="Q971" s="2">
        <v>67.180000000000007</v>
      </c>
      <c r="R971">
        <v>1</v>
      </c>
      <c r="S971">
        <v>0</v>
      </c>
      <c r="T971">
        <v>7</v>
      </c>
      <c r="U971">
        <v>3</v>
      </c>
    </row>
    <row r="972" spans="1:21" ht="16.5" x14ac:dyDescent="0.3">
      <c r="A972" t="s">
        <v>1052</v>
      </c>
      <c r="B972" s="1">
        <v>45453</v>
      </c>
      <c r="C972">
        <v>2024</v>
      </c>
      <c r="D972" t="s">
        <v>599</v>
      </c>
      <c r="E972" t="s">
        <v>1000</v>
      </c>
      <c r="F972" t="s">
        <v>24</v>
      </c>
      <c r="G972" t="s">
        <v>51</v>
      </c>
      <c r="H972" t="s">
        <v>32</v>
      </c>
      <c r="I972" t="s">
        <v>36</v>
      </c>
      <c r="J972" t="s">
        <v>56</v>
      </c>
      <c r="K972">
        <v>1</v>
      </c>
      <c r="L972" s="2">
        <v>74.3</v>
      </c>
      <c r="M972" s="3">
        <v>0.1</v>
      </c>
      <c r="N972" t="s">
        <v>29</v>
      </c>
      <c r="O972" s="2">
        <v>66.87</v>
      </c>
      <c r="P972" s="2">
        <v>35.119999999999997</v>
      </c>
      <c r="Q972" s="2">
        <v>31.75</v>
      </c>
      <c r="R972">
        <v>1</v>
      </c>
      <c r="S972">
        <v>0</v>
      </c>
      <c r="T972">
        <v>3</v>
      </c>
      <c r="U972">
        <v>5</v>
      </c>
    </row>
    <row r="973" spans="1:21" ht="16.5" x14ac:dyDescent="0.3">
      <c r="A973" t="s">
        <v>1053</v>
      </c>
      <c r="B973" s="1">
        <v>45453</v>
      </c>
      <c r="C973">
        <v>2024</v>
      </c>
      <c r="D973" t="s">
        <v>599</v>
      </c>
      <c r="E973" t="s">
        <v>1000</v>
      </c>
      <c r="F973" t="s">
        <v>24</v>
      </c>
      <c r="G973" t="s">
        <v>25</v>
      </c>
      <c r="H973" t="s">
        <v>32</v>
      </c>
      <c r="I973" t="s">
        <v>70</v>
      </c>
      <c r="J973" t="s">
        <v>87</v>
      </c>
      <c r="K973">
        <v>2</v>
      </c>
      <c r="L973" s="2">
        <v>490.3</v>
      </c>
      <c r="M973" s="3">
        <v>0.1</v>
      </c>
      <c r="N973" t="s">
        <v>29</v>
      </c>
      <c r="O973" s="2">
        <v>882.54</v>
      </c>
      <c r="P973" s="2">
        <v>776.45</v>
      </c>
      <c r="Q973" s="2">
        <v>106.09</v>
      </c>
      <c r="R973">
        <v>1</v>
      </c>
      <c r="S973">
        <v>1</v>
      </c>
      <c r="T973">
        <v>4</v>
      </c>
      <c r="U973">
        <v>3</v>
      </c>
    </row>
    <row r="974" spans="1:21" ht="16.5" x14ac:dyDescent="0.3">
      <c r="A974" t="s">
        <v>1054</v>
      </c>
      <c r="B974" s="1">
        <v>45454</v>
      </c>
      <c r="C974">
        <v>2024</v>
      </c>
      <c r="D974" t="s">
        <v>599</v>
      </c>
      <c r="E974" t="s">
        <v>1000</v>
      </c>
      <c r="F974" t="s">
        <v>31</v>
      </c>
      <c r="G974" t="s">
        <v>51</v>
      </c>
      <c r="H974" t="s">
        <v>32</v>
      </c>
      <c r="I974" t="s">
        <v>42</v>
      </c>
      <c r="J974" t="s">
        <v>54</v>
      </c>
      <c r="K974">
        <v>1</v>
      </c>
      <c r="L974" s="2">
        <v>148.05000000000001</v>
      </c>
      <c r="M974" s="3">
        <v>0</v>
      </c>
      <c r="N974" t="s">
        <v>38</v>
      </c>
      <c r="O974" s="2">
        <v>148.05000000000001</v>
      </c>
      <c r="P974" s="2">
        <v>96.52</v>
      </c>
      <c r="Q974" s="2">
        <v>51.53</v>
      </c>
      <c r="R974">
        <v>1</v>
      </c>
      <c r="S974">
        <v>0</v>
      </c>
      <c r="T974">
        <v>3</v>
      </c>
      <c r="U974">
        <v>4</v>
      </c>
    </row>
    <row r="975" spans="1:21" ht="16.5" x14ac:dyDescent="0.3">
      <c r="A975" t="s">
        <v>1055</v>
      </c>
      <c r="B975" s="1">
        <v>45454</v>
      </c>
      <c r="C975">
        <v>2024</v>
      </c>
      <c r="D975" t="s">
        <v>599</v>
      </c>
      <c r="E975" t="s">
        <v>1000</v>
      </c>
      <c r="F975" t="s">
        <v>31</v>
      </c>
      <c r="G975" t="s">
        <v>65</v>
      </c>
      <c r="H975" t="s">
        <v>26</v>
      </c>
      <c r="I975" t="s">
        <v>42</v>
      </c>
      <c r="J975" t="s">
        <v>54</v>
      </c>
      <c r="K975">
        <v>2</v>
      </c>
      <c r="L975" s="2">
        <v>148.05000000000001</v>
      </c>
      <c r="M975" s="3">
        <v>0</v>
      </c>
      <c r="N975" t="s">
        <v>38</v>
      </c>
      <c r="O975" s="2">
        <v>296.10000000000002</v>
      </c>
      <c r="P975" s="2">
        <v>200.92</v>
      </c>
      <c r="Q975" s="2">
        <v>95.18</v>
      </c>
      <c r="R975">
        <v>1</v>
      </c>
      <c r="S975">
        <v>0</v>
      </c>
      <c r="T975">
        <v>5</v>
      </c>
      <c r="U975">
        <v>5</v>
      </c>
    </row>
    <row r="976" spans="1:21" ht="16.5" x14ac:dyDescent="0.3">
      <c r="A976" t="s">
        <v>1056</v>
      </c>
      <c r="B976" s="1">
        <v>45454</v>
      </c>
      <c r="C976">
        <v>2024</v>
      </c>
      <c r="D976" t="s">
        <v>599</v>
      </c>
      <c r="E976" t="s">
        <v>1000</v>
      </c>
      <c r="F976" t="s">
        <v>24</v>
      </c>
      <c r="G976" t="s">
        <v>65</v>
      </c>
      <c r="H976" t="s">
        <v>26</v>
      </c>
      <c r="I976" t="s">
        <v>42</v>
      </c>
      <c r="J976" t="s">
        <v>43</v>
      </c>
      <c r="K976">
        <v>2</v>
      </c>
      <c r="L976" s="2">
        <v>154.66</v>
      </c>
      <c r="M976" s="3">
        <v>0.15</v>
      </c>
      <c r="N976" t="s">
        <v>34</v>
      </c>
      <c r="O976" s="2">
        <v>262.92</v>
      </c>
      <c r="P976" s="2">
        <v>202.8</v>
      </c>
      <c r="Q976" s="2">
        <v>60.12</v>
      </c>
      <c r="R976">
        <v>1</v>
      </c>
      <c r="S976">
        <v>0</v>
      </c>
      <c r="T976">
        <v>6</v>
      </c>
      <c r="U976">
        <v>3</v>
      </c>
    </row>
    <row r="977" spans="1:21" ht="16.5" x14ac:dyDescent="0.3">
      <c r="A977" t="s">
        <v>1057</v>
      </c>
      <c r="B977" s="1">
        <v>45454</v>
      </c>
      <c r="C977">
        <v>2024</v>
      </c>
      <c r="D977" t="s">
        <v>599</v>
      </c>
      <c r="E977" t="s">
        <v>1000</v>
      </c>
      <c r="F977" t="s">
        <v>45</v>
      </c>
      <c r="G977" t="s">
        <v>51</v>
      </c>
      <c r="H977" t="s">
        <v>32</v>
      </c>
      <c r="I977" t="s">
        <v>42</v>
      </c>
      <c r="J977" t="s">
        <v>54</v>
      </c>
      <c r="K977">
        <v>1</v>
      </c>
      <c r="L977" s="2">
        <v>148.05000000000001</v>
      </c>
      <c r="M977" s="3">
        <v>0.15</v>
      </c>
      <c r="N977" t="s">
        <v>34</v>
      </c>
      <c r="O977" s="2">
        <v>125.84</v>
      </c>
      <c r="P977" s="2">
        <v>100.09</v>
      </c>
      <c r="Q977" s="2">
        <v>25.75</v>
      </c>
      <c r="R977">
        <v>1</v>
      </c>
      <c r="S977">
        <v>0</v>
      </c>
      <c r="T977">
        <v>2</v>
      </c>
      <c r="U977">
        <v>4</v>
      </c>
    </row>
    <row r="978" spans="1:21" ht="16.5" x14ac:dyDescent="0.3">
      <c r="A978" t="s">
        <v>1058</v>
      </c>
      <c r="B978" s="1">
        <v>45454</v>
      </c>
      <c r="C978">
        <v>2024</v>
      </c>
      <c r="D978" t="s">
        <v>599</v>
      </c>
      <c r="E978" t="s">
        <v>1000</v>
      </c>
      <c r="F978" t="s">
        <v>24</v>
      </c>
      <c r="G978" t="s">
        <v>25</v>
      </c>
      <c r="H978" t="s">
        <v>32</v>
      </c>
      <c r="I978" t="s">
        <v>27</v>
      </c>
      <c r="J978" t="s">
        <v>40</v>
      </c>
      <c r="K978">
        <v>3</v>
      </c>
      <c r="L978" s="2">
        <v>104.94</v>
      </c>
      <c r="M978" s="3">
        <v>0.15</v>
      </c>
      <c r="N978" t="s">
        <v>34</v>
      </c>
      <c r="O978" s="2">
        <v>267.60000000000002</v>
      </c>
      <c r="P978" s="2">
        <v>164.2</v>
      </c>
      <c r="Q978" s="2">
        <v>103.4</v>
      </c>
      <c r="R978">
        <v>1</v>
      </c>
      <c r="S978">
        <v>0</v>
      </c>
      <c r="T978">
        <v>6</v>
      </c>
      <c r="U978">
        <v>4</v>
      </c>
    </row>
    <row r="979" spans="1:21" ht="16.5" x14ac:dyDescent="0.3">
      <c r="A979" t="s">
        <v>1059</v>
      </c>
      <c r="B979" s="1">
        <v>45454</v>
      </c>
      <c r="C979">
        <v>2024</v>
      </c>
      <c r="D979" t="s">
        <v>599</v>
      </c>
      <c r="E979" t="s">
        <v>1000</v>
      </c>
      <c r="F979" t="s">
        <v>31</v>
      </c>
      <c r="G979" t="s">
        <v>49</v>
      </c>
      <c r="H979" t="s">
        <v>26</v>
      </c>
      <c r="I979" t="s">
        <v>70</v>
      </c>
      <c r="J979" t="s">
        <v>87</v>
      </c>
      <c r="K979">
        <v>2</v>
      </c>
      <c r="L979" s="2">
        <v>490.3</v>
      </c>
      <c r="M979" s="3">
        <v>0.3</v>
      </c>
      <c r="N979" t="s">
        <v>62</v>
      </c>
      <c r="O979" s="2">
        <v>686.42</v>
      </c>
      <c r="P979" s="2">
        <v>780.69</v>
      </c>
      <c r="Q979" s="2">
        <v>-94.27</v>
      </c>
      <c r="R979">
        <v>1</v>
      </c>
      <c r="S979">
        <v>0</v>
      </c>
      <c r="T979">
        <v>4</v>
      </c>
      <c r="U979">
        <v>4</v>
      </c>
    </row>
    <row r="980" spans="1:21" ht="16.5" x14ac:dyDescent="0.3">
      <c r="A980" t="s">
        <v>1060</v>
      </c>
      <c r="B980" s="1">
        <v>45455</v>
      </c>
      <c r="C980">
        <v>2024</v>
      </c>
      <c r="D980" t="s">
        <v>599</v>
      </c>
      <c r="E980" t="s">
        <v>1000</v>
      </c>
      <c r="F980" t="s">
        <v>45</v>
      </c>
      <c r="G980" t="s">
        <v>51</v>
      </c>
      <c r="H980" t="s">
        <v>32</v>
      </c>
      <c r="I980" t="s">
        <v>70</v>
      </c>
      <c r="J980" t="s">
        <v>71</v>
      </c>
      <c r="K980">
        <v>2</v>
      </c>
      <c r="L980" s="2">
        <v>588.41</v>
      </c>
      <c r="M980" s="3">
        <v>0.1</v>
      </c>
      <c r="N980" t="s">
        <v>29</v>
      </c>
      <c r="O980" s="2">
        <v>1059.1400000000001</v>
      </c>
      <c r="P980" s="2">
        <v>954.63</v>
      </c>
      <c r="Q980" s="2">
        <v>104.51</v>
      </c>
      <c r="R980">
        <v>1</v>
      </c>
      <c r="S980">
        <v>0</v>
      </c>
      <c r="T980">
        <v>2</v>
      </c>
      <c r="U980">
        <v>4</v>
      </c>
    </row>
    <row r="981" spans="1:21" ht="16.5" x14ac:dyDescent="0.3">
      <c r="A981" t="s">
        <v>1061</v>
      </c>
      <c r="B981" s="1">
        <v>45455</v>
      </c>
      <c r="C981">
        <v>2024</v>
      </c>
      <c r="D981" t="s">
        <v>599</v>
      </c>
      <c r="E981" t="s">
        <v>1000</v>
      </c>
      <c r="F981" t="s">
        <v>24</v>
      </c>
      <c r="G981" t="s">
        <v>65</v>
      </c>
      <c r="H981" t="s">
        <v>32</v>
      </c>
      <c r="I981" t="s">
        <v>70</v>
      </c>
      <c r="J981" t="s">
        <v>82</v>
      </c>
      <c r="K981">
        <v>3</v>
      </c>
      <c r="L981" s="2">
        <v>508.8</v>
      </c>
      <c r="M981" s="3">
        <v>0.25</v>
      </c>
      <c r="N981" t="s">
        <v>62</v>
      </c>
      <c r="O981" s="2">
        <v>1144.8</v>
      </c>
      <c r="P981" s="2">
        <v>1274.92</v>
      </c>
      <c r="Q981" s="2">
        <v>-130.12</v>
      </c>
      <c r="R981">
        <v>1</v>
      </c>
      <c r="S981">
        <v>0</v>
      </c>
      <c r="T981">
        <v>6</v>
      </c>
      <c r="U981">
        <v>3</v>
      </c>
    </row>
    <row r="982" spans="1:21" ht="16.5" x14ac:dyDescent="0.3">
      <c r="A982" t="s">
        <v>1062</v>
      </c>
      <c r="B982" s="1">
        <v>45455</v>
      </c>
      <c r="C982">
        <v>2024</v>
      </c>
      <c r="D982" t="s">
        <v>599</v>
      </c>
      <c r="E982" t="s">
        <v>1000</v>
      </c>
      <c r="F982" t="s">
        <v>31</v>
      </c>
      <c r="G982" t="s">
        <v>65</v>
      </c>
      <c r="H982" t="s">
        <v>32</v>
      </c>
      <c r="I982" t="s">
        <v>67</v>
      </c>
      <c r="J982" t="s">
        <v>93</v>
      </c>
      <c r="K982">
        <v>2</v>
      </c>
      <c r="L982" s="2">
        <v>198.42</v>
      </c>
      <c r="M982" s="3">
        <v>0</v>
      </c>
      <c r="N982" t="s">
        <v>38</v>
      </c>
      <c r="O982" s="2">
        <v>396.84</v>
      </c>
      <c r="P982" s="2">
        <v>273.97000000000003</v>
      </c>
      <c r="Q982" s="2">
        <v>122.87</v>
      </c>
      <c r="R982">
        <v>1</v>
      </c>
      <c r="S982">
        <v>0</v>
      </c>
      <c r="T982">
        <v>7</v>
      </c>
      <c r="U982">
        <v>4</v>
      </c>
    </row>
    <row r="983" spans="1:21" ht="16.5" x14ac:dyDescent="0.3">
      <c r="A983" t="s">
        <v>1063</v>
      </c>
      <c r="B983" s="1">
        <v>45455</v>
      </c>
      <c r="C983">
        <v>2024</v>
      </c>
      <c r="D983" t="s">
        <v>599</v>
      </c>
      <c r="E983" t="s">
        <v>1000</v>
      </c>
      <c r="F983" t="s">
        <v>45</v>
      </c>
      <c r="G983" t="s">
        <v>51</v>
      </c>
      <c r="H983" t="s">
        <v>26</v>
      </c>
      <c r="I983" t="s">
        <v>27</v>
      </c>
      <c r="J983" t="s">
        <v>110</v>
      </c>
      <c r="K983">
        <v>1</v>
      </c>
      <c r="L983" s="2">
        <v>19.41</v>
      </c>
      <c r="M983" s="3">
        <v>0</v>
      </c>
      <c r="N983" t="s">
        <v>38</v>
      </c>
      <c r="O983" s="2">
        <v>19.41</v>
      </c>
      <c r="P983" s="2">
        <v>10.49</v>
      </c>
      <c r="Q983" s="2">
        <v>8.92</v>
      </c>
      <c r="R983">
        <v>1</v>
      </c>
      <c r="S983">
        <v>0</v>
      </c>
      <c r="T983">
        <v>4</v>
      </c>
      <c r="U983">
        <v>5</v>
      </c>
    </row>
    <row r="984" spans="1:21" ht="16.5" x14ac:dyDescent="0.3">
      <c r="A984" t="s">
        <v>1064</v>
      </c>
      <c r="B984" s="1">
        <v>45455</v>
      </c>
      <c r="C984">
        <v>2024</v>
      </c>
      <c r="D984" t="s">
        <v>599</v>
      </c>
      <c r="E984" t="s">
        <v>1000</v>
      </c>
      <c r="F984" t="s">
        <v>45</v>
      </c>
      <c r="G984" t="s">
        <v>46</v>
      </c>
      <c r="H984" t="s">
        <v>32</v>
      </c>
      <c r="I984" t="s">
        <v>84</v>
      </c>
      <c r="J984" t="s">
        <v>223</v>
      </c>
      <c r="K984">
        <v>1</v>
      </c>
      <c r="L984" s="2">
        <v>16.97</v>
      </c>
      <c r="M984" s="3">
        <v>0.2</v>
      </c>
      <c r="N984" t="s">
        <v>34</v>
      </c>
      <c r="O984" s="2">
        <v>13.58</v>
      </c>
      <c r="P984" s="2">
        <v>11.92</v>
      </c>
      <c r="Q984" s="2">
        <v>1.66</v>
      </c>
      <c r="R984">
        <v>1</v>
      </c>
      <c r="S984">
        <v>0</v>
      </c>
      <c r="T984">
        <v>7</v>
      </c>
      <c r="U984">
        <v>2</v>
      </c>
    </row>
    <row r="985" spans="1:21" ht="16.5" x14ac:dyDescent="0.3">
      <c r="A985" t="s">
        <v>1065</v>
      </c>
      <c r="B985" s="1">
        <v>45455</v>
      </c>
      <c r="C985">
        <v>2024</v>
      </c>
      <c r="D985" t="s">
        <v>599</v>
      </c>
      <c r="E985" t="s">
        <v>1000</v>
      </c>
      <c r="F985" t="s">
        <v>24</v>
      </c>
      <c r="G985" t="s">
        <v>65</v>
      </c>
      <c r="H985" t="s">
        <v>32</v>
      </c>
      <c r="I985" t="s">
        <v>70</v>
      </c>
      <c r="J985" t="s">
        <v>162</v>
      </c>
      <c r="K985">
        <v>1</v>
      </c>
      <c r="L985" s="2">
        <v>636.09</v>
      </c>
      <c r="M985" s="3">
        <v>0</v>
      </c>
      <c r="N985" t="s">
        <v>38</v>
      </c>
      <c r="O985" s="2">
        <v>636.09</v>
      </c>
      <c r="P985" s="2">
        <v>529.35</v>
      </c>
      <c r="Q985" s="2">
        <v>106.74</v>
      </c>
      <c r="R985">
        <v>1</v>
      </c>
      <c r="S985">
        <v>0</v>
      </c>
      <c r="T985">
        <v>6</v>
      </c>
      <c r="U985">
        <v>4</v>
      </c>
    </row>
    <row r="986" spans="1:21" ht="16.5" x14ac:dyDescent="0.3">
      <c r="A986" t="s">
        <v>1066</v>
      </c>
      <c r="B986" s="1">
        <v>45455</v>
      </c>
      <c r="C986">
        <v>2024</v>
      </c>
      <c r="D986" t="s">
        <v>599</v>
      </c>
      <c r="E986" t="s">
        <v>1000</v>
      </c>
      <c r="F986" t="s">
        <v>31</v>
      </c>
      <c r="G986" t="s">
        <v>51</v>
      </c>
      <c r="H986" t="s">
        <v>32</v>
      </c>
      <c r="I986" t="s">
        <v>70</v>
      </c>
      <c r="J986" t="s">
        <v>162</v>
      </c>
      <c r="K986">
        <v>1</v>
      </c>
      <c r="L986" s="2">
        <v>636.09</v>
      </c>
      <c r="M986" s="3">
        <v>0.25</v>
      </c>
      <c r="N986" t="s">
        <v>62</v>
      </c>
      <c r="O986" s="2">
        <v>477.07</v>
      </c>
      <c r="P986" s="2">
        <v>525.33000000000004</v>
      </c>
      <c r="Q986" s="2">
        <v>-48.26</v>
      </c>
      <c r="R986">
        <v>1</v>
      </c>
      <c r="S986">
        <v>0</v>
      </c>
      <c r="T986">
        <v>3</v>
      </c>
      <c r="U986">
        <v>4</v>
      </c>
    </row>
    <row r="987" spans="1:21" ht="16.5" x14ac:dyDescent="0.3">
      <c r="A987" t="s">
        <v>1067</v>
      </c>
      <c r="B987" s="1">
        <v>45455</v>
      </c>
      <c r="C987">
        <v>2024</v>
      </c>
      <c r="D987" t="s">
        <v>599</v>
      </c>
      <c r="E987" t="s">
        <v>1000</v>
      </c>
      <c r="F987" t="s">
        <v>24</v>
      </c>
      <c r="G987" t="s">
        <v>49</v>
      </c>
      <c r="H987" t="s">
        <v>26</v>
      </c>
      <c r="I987" t="s">
        <v>42</v>
      </c>
      <c r="J987" t="s">
        <v>76</v>
      </c>
      <c r="K987">
        <v>1</v>
      </c>
      <c r="L987" s="2">
        <v>90.75</v>
      </c>
      <c r="M987" s="3">
        <v>0</v>
      </c>
      <c r="N987" t="s">
        <v>38</v>
      </c>
      <c r="O987" s="2">
        <v>90.75</v>
      </c>
      <c r="P987" s="2">
        <v>59.62</v>
      </c>
      <c r="Q987" s="2">
        <v>31.13</v>
      </c>
      <c r="R987">
        <v>1</v>
      </c>
      <c r="S987">
        <v>0</v>
      </c>
      <c r="T987">
        <v>5</v>
      </c>
      <c r="U987">
        <v>5</v>
      </c>
    </row>
    <row r="988" spans="1:21" ht="16.5" x14ac:dyDescent="0.3">
      <c r="A988" t="s">
        <v>1068</v>
      </c>
      <c r="B988" s="1">
        <v>45456</v>
      </c>
      <c r="C988">
        <v>2024</v>
      </c>
      <c r="D988" t="s">
        <v>599</v>
      </c>
      <c r="E988" t="s">
        <v>1000</v>
      </c>
      <c r="F988" t="s">
        <v>31</v>
      </c>
      <c r="G988" t="s">
        <v>25</v>
      </c>
      <c r="H988" t="s">
        <v>26</v>
      </c>
      <c r="I988" t="s">
        <v>67</v>
      </c>
      <c r="J988" t="s">
        <v>68</v>
      </c>
      <c r="K988">
        <v>1</v>
      </c>
      <c r="L988" s="2">
        <v>74.459999999999994</v>
      </c>
      <c r="M988" s="3">
        <v>0</v>
      </c>
      <c r="N988" t="s">
        <v>38</v>
      </c>
      <c r="O988" s="2">
        <v>74.459999999999994</v>
      </c>
      <c r="P988" s="2">
        <v>49.47</v>
      </c>
      <c r="Q988" s="2">
        <v>24.99</v>
      </c>
      <c r="R988">
        <v>1</v>
      </c>
      <c r="S988">
        <v>0</v>
      </c>
      <c r="T988">
        <v>3</v>
      </c>
      <c r="U988">
        <v>4</v>
      </c>
    </row>
    <row r="989" spans="1:21" ht="16.5" x14ac:dyDescent="0.3">
      <c r="A989" t="s">
        <v>1069</v>
      </c>
      <c r="B989" s="1">
        <v>45456</v>
      </c>
      <c r="C989">
        <v>2024</v>
      </c>
      <c r="D989" t="s">
        <v>599</v>
      </c>
      <c r="E989" t="s">
        <v>1000</v>
      </c>
      <c r="F989" t="s">
        <v>45</v>
      </c>
      <c r="G989" t="s">
        <v>49</v>
      </c>
      <c r="H989" t="s">
        <v>32</v>
      </c>
      <c r="I989" t="s">
        <v>70</v>
      </c>
      <c r="J989" t="s">
        <v>252</v>
      </c>
      <c r="K989">
        <v>1</v>
      </c>
      <c r="L989" s="2">
        <v>216.08</v>
      </c>
      <c r="M989" s="3">
        <v>0</v>
      </c>
      <c r="N989" t="s">
        <v>38</v>
      </c>
      <c r="O989" s="2">
        <v>216.08</v>
      </c>
      <c r="P989" s="2">
        <v>171.41</v>
      </c>
      <c r="Q989" s="2">
        <v>44.67</v>
      </c>
      <c r="R989">
        <v>1</v>
      </c>
      <c r="S989">
        <v>0</v>
      </c>
      <c r="T989">
        <v>3</v>
      </c>
      <c r="U989">
        <v>3</v>
      </c>
    </row>
    <row r="990" spans="1:21" ht="16.5" x14ac:dyDescent="0.3">
      <c r="A990" t="s">
        <v>1070</v>
      </c>
      <c r="B990" s="1">
        <v>45456</v>
      </c>
      <c r="C990">
        <v>2024</v>
      </c>
      <c r="D990" t="s">
        <v>599</v>
      </c>
      <c r="E990" t="s">
        <v>1000</v>
      </c>
      <c r="F990" t="s">
        <v>45</v>
      </c>
      <c r="G990" t="s">
        <v>51</v>
      </c>
      <c r="H990" t="s">
        <v>26</v>
      </c>
      <c r="I990" t="s">
        <v>36</v>
      </c>
      <c r="J990" t="s">
        <v>52</v>
      </c>
      <c r="K990">
        <v>1</v>
      </c>
      <c r="L990" s="2">
        <v>92.54</v>
      </c>
      <c r="M990" s="3">
        <v>0.25</v>
      </c>
      <c r="N990" t="s">
        <v>62</v>
      </c>
      <c r="O990" s="2">
        <v>69.400000000000006</v>
      </c>
      <c r="P990" s="2">
        <v>45.6</v>
      </c>
      <c r="Q990" s="2">
        <v>23.8</v>
      </c>
      <c r="R990">
        <v>1</v>
      </c>
      <c r="S990">
        <v>0</v>
      </c>
      <c r="T990">
        <v>2</v>
      </c>
      <c r="U990">
        <v>4</v>
      </c>
    </row>
    <row r="991" spans="1:21" ht="16.5" x14ac:dyDescent="0.3">
      <c r="A991" t="s">
        <v>1071</v>
      </c>
      <c r="B991" s="1">
        <v>45456</v>
      </c>
      <c r="C991">
        <v>2024</v>
      </c>
      <c r="D991" t="s">
        <v>599</v>
      </c>
      <c r="E991" t="s">
        <v>1000</v>
      </c>
      <c r="F991" t="s">
        <v>31</v>
      </c>
      <c r="G991" t="s">
        <v>65</v>
      </c>
      <c r="H991" t="s">
        <v>26</v>
      </c>
      <c r="I991" t="s">
        <v>42</v>
      </c>
      <c r="J991" t="s">
        <v>89</v>
      </c>
      <c r="K991">
        <v>3</v>
      </c>
      <c r="L991" s="2">
        <v>68.349999999999994</v>
      </c>
      <c r="M991" s="3">
        <v>0.3</v>
      </c>
      <c r="N991" t="s">
        <v>62</v>
      </c>
      <c r="O991" s="2">
        <v>143.53</v>
      </c>
      <c r="P991" s="2">
        <v>136.54</v>
      </c>
      <c r="Q991" s="2">
        <v>6.99</v>
      </c>
      <c r="R991">
        <v>1</v>
      </c>
      <c r="S991">
        <v>1</v>
      </c>
      <c r="T991">
        <v>5</v>
      </c>
      <c r="U991">
        <v>4</v>
      </c>
    </row>
    <row r="992" spans="1:21" ht="16.5" x14ac:dyDescent="0.3">
      <c r="A992" t="s">
        <v>1072</v>
      </c>
      <c r="B992" s="1">
        <v>45456</v>
      </c>
      <c r="C992">
        <v>2024</v>
      </c>
      <c r="D992" t="s">
        <v>599</v>
      </c>
      <c r="E992" t="s">
        <v>1000</v>
      </c>
      <c r="F992" t="s">
        <v>24</v>
      </c>
      <c r="G992" t="s">
        <v>25</v>
      </c>
      <c r="H992" t="s">
        <v>32</v>
      </c>
      <c r="I992" t="s">
        <v>84</v>
      </c>
      <c r="J992" t="s">
        <v>96</v>
      </c>
      <c r="K992">
        <v>1</v>
      </c>
      <c r="L992" s="2">
        <v>10.76</v>
      </c>
      <c r="M992" s="3">
        <v>0</v>
      </c>
      <c r="N992" t="s">
        <v>38</v>
      </c>
      <c r="O992" s="2">
        <v>10.76</v>
      </c>
      <c r="P992" s="2">
        <v>7.86</v>
      </c>
      <c r="Q992" s="2">
        <v>2.9</v>
      </c>
      <c r="R992">
        <v>1</v>
      </c>
      <c r="S992">
        <v>0</v>
      </c>
      <c r="T992">
        <v>3</v>
      </c>
      <c r="U992">
        <v>5</v>
      </c>
    </row>
    <row r="993" spans="1:21" ht="16.5" x14ac:dyDescent="0.3">
      <c r="A993" t="s">
        <v>1073</v>
      </c>
      <c r="B993" s="1">
        <v>45457</v>
      </c>
      <c r="C993">
        <v>2024</v>
      </c>
      <c r="D993" t="s">
        <v>599</v>
      </c>
      <c r="E993" t="s">
        <v>1000</v>
      </c>
      <c r="F993" t="s">
        <v>24</v>
      </c>
      <c r="G993" t="s">
        <v>65</v>
      </c>
      <c r="H993" t="s">
        <v>32</v>
      </c>
      <c r="I993" t="s">
        <v>70</v>
      </c>
      <c r="J993" t="s">
        <v>162</v>
      </c>
      <c r="K993">
        <v>4</v>
      </c>
      <c r="L993" s="2">
        <v>636.09</v>
      </c>
      <c r="M993" s="3">
        <v>0.1</v>
      </c>
      <c r="N993" t="s">
        <v>29</v>
      </c>
      <c r="O993" s="2">
        <v>2289.92</v>
      </c>
      <c r="P993" s="2">
        <v>2032.92</v>
      </c>
      <c r="Q993" s="2">
        <v>257</v>
      </c>
      <c r="R993">
        <v>1</v>
      </c>
      <c r="S993">
        <v>0</v>
      </c>
      <c r="T993">
        <v>6</v>
      </c>
      <c r="U993">
        <v>3</v>
      </c>
    </row>
    <row r="994" spans="1:21" ht="16.5" x14ac:dyDescent="0.3">
      <c r="A994" t="s">
        <v>1074</v>
      </c>
      <c r="B994" s="1">
        <v>45457</v>
      </c>
      <c r="C994">
        <v>2024</v>
      </c>
      <c r="D994" t="s">
        <v>599</v>
      </c>
      <c r="E994" t="s">
        <v>1000</v>
      </c>
      <c r="F994" t="s">
        <v>31</v>
      </c>
      <c r="G994" t="s">
        <v>51</v>
      </c>
      <c r="H994" t="s">
        <v>26</v>
      </c>
      <c r="I994" t="s">
        <v>36</v>
      </c>
      <c r="J994" t="s">
        <v>126</v>
      </c>
      <c r="K994">
        <v>3</v>
      </c>
      <c r="L994" s="2">
        <v>54.56</v>
      </c>
      <c r="M994" s="3">
        <v>0</v>
      </c>
      <c r="N994" t="s">
        <v>38</v>
      </c>
      <c r="O994" s="2">
        <v>163.68</v>
      </c>
      <c r="P994" s="2">
        <v>76.83</v>
      </c>
      <c r="Q994" s="2">
        <v>86.85</v>
      </c>
      <c r="R994">
        <v>1</v>
      </c>
      <c r="S994">
        <v>0</v>
      </c>
      <c r="T994">
        <v>4</v>
      </c>
      <c r="U994">
        <v>5</v>
      </c>
    </row>
    <row r="995" spans="1:21" ht="16.5" x14ac:dyDescent="0.3">
      <c r="A995" t="s">
        <v>1075</v>
      </c>
      <c r="B995" s="1">
        <v>45457</v>
      </c>
      <c r="C995">
        <v>2024</v>
      </c>
      <c r="D995" t="s">
        <v>599</v>
      </c>
      <c r="E995" t="s">
        <v>1000</v>
      </c>
      <c r="F995" t="s">
        <v>45</v>
      </c>
      <c r="G995" t="s">
        <v>51</v>
      </c>
      <c r="H995" t="s">
        <v>32</v>
      </c>
      <c r="I995" t="s">
        <v>84</v>
      </c>
      <c r="J995" t="s">
        <v>132</v>
      </c>
      <c r="K995">
        <v>2</v>
      </c>
      <c r="L995" s="2">
        <v>48.86</v>
      </c>
      <c r="M995" s="3">
        <v>0.05</v>
      </c>
      <c r="N995" t="s">
        <v>29</v>
      </c>
      <c r="O995" s="2">
        <v>92.83</v>
      </c>
      <c r="P995" s="2">
        <v>70.260000000000005</v>
      </c>
      <c r="Q995" s="2">
        <v>22.57</v>
      </c>
      <c r="R995">
        <v>1</v>
      </c>
      <c r="S995">
        <v>0</v>
      </c>
      <c r="T995">
        <v>4</v>
      </c>
      <c r="U995">
        <v>4</v>
      </c>
    </row>
    <row r="996" spans="1:21" ht="16.5" x14ac:dyDescent="0.3">
      <c r="A996" t="s">
        <v>1076</v>
      </c>
      <c r="B996" s="1">
        <v>45457</v>
      </c>
      <c r="C996">
        <v>2024</v>
      </c>
      <c r="D996" t="s">
        <v>599</v>
      </c>
      <c r="E996" t="s">
        <v>1000</v>
      </c>
      <c r="F996" t="s">
        <v>31</v>
      </c>
      <c r="G996" t="s">
        <v>25</v>
      </c>
      <c r="H996" t="s">
        <v>26</v>
      </c>
      <c r="I996" t="s">
        <v>84</v>
      </c>
      <c r="J996" t="s">
        <v>132</v>
      </c>
      <c r="K996">
        <v>2</v>
      </c>
      <c r="L996" s="2">
        <v>48.86</v>
      </c>
      <c r="M996" s="3">
        <v>0.1</v>
      </c>
      <c r="N996" t="s">
        <v>29</v>
      </c>
      <c r="O996" s="2">
        <v>87.95</v>
      </c>
      <c r="P996" s="2">
        <v>72.040000000000006</v>
      </c>
      <c r="Q996" s="2">
        <v>15.91</v>
      </c>
      <c r="R996">
        <v>1</v>
      </c>
      <c r="S996">
        <v>0</v>
      </c>
      <c r="T996">
        <v>4</v>
      </c>
      <c r="U996">
        <v>5</v>
      </c>
    </row>
    <row r="997" spans="1:21" ht="16.5" x14ac:dyDescent="0.3">
      <c r="A997" t="s">
        <v>1077</v>
      </c>
      <c r="B997" s="1">
        <v>45457</v>
      </c>
      <c r="C997">
        <v>2024</v>
      </c>
      <c r="D997" t="s">
        <v>599</v>
      </c>
      <c r="E997" t="s">
        <v>1000</v>
      </c>
      <c r="F997" t="s">
        <v>24</v>
      </c>
      <c r="G997" t="s">
        <v>65</v>
      </c>
      <c r="H997" t="s">
        <v>26</v>
      </c>
      <c r="I997" t="s">
        <v>70</v>
      </c>
      <c r="J997" t="s">
        <v>252</v>
      </c>
      <c r="K997">
        <v>1</v>
      </c>
      <c r="L997" s="2">
        <v>216.08</v>
      </c>
      <c r="M997" s="3">
        <v>0</v>
      </c>
      <c r="N997" t="s">
        <v>38</v>
      </c>
      <c r="O997" s="2">
        <v>216.08</v>
      </c>
      <c r="P997" s="2">
        <v>176.45</v>
      </c>
      <c r="Q997" s="2">
        <v>39.630000000000003</v>
      </c>
      <c r="R997">
        <v>1</v>
      </c>
      <c r="S997">
        <v>0</v>
      </c>
      <c r="T997">
        <v>6</v>
      </c>
      <c r="U997">
        <v>4</v>
      </c>
    </row>
    <row r="998" spans="1:21" ht="16.5" x14ac:dyDescent="0.3">
      <c r="A998" t="s">
        <v>1078</v>
      </c>
      <c r="B998" s="1">
        <v>45457</v>
      </c>
      <c r="C998">
        <v>2024</v>
      </c>
      <c r="D998" t="s">
        <v>599</v>
      </c>
      <c r="E998" t="s">
        <v>1000</v>
      </c>
      <c r="F998" t="s">
        <v>24</v>
      </c>
      <c r="G998" t="s">
        <v>46</v>
      </c>
      <c r="H998" t="s">
        <v>32</v>
      </c>
      <c r="I998" t="s">
        <v>36</v>
      </c>
      <c r="J998" t="s">
        <v>115</v>
      </c>
      <c r="K998">
        <v>1</v>
      </c>
      <c r="L998" s="2">
        <v>33.479999999999997</v>
      </c>
      <c r="M998" s="3">
        <v>0.15</v>
      </c>
      <c r="N998" t="s">
        <v>34</v>
      </c>
      <c r="O998" s="2">
        <v>28.46</v>
      </c>
      <c r="P998" s="2">
        <v>15.96</v>
      </c>
      <c r="Q998" s="2">
        <v>12.5</v>
      </c>
      <c r="R998">
        <v>1</v>
      </c>
      <c r="S998">
        <v>0</v>
      </c>
      <c r="T998">
        <v>8</v>
      </c>
      <c r="U998">
        <v>3</v>
      </c>
    </row>
    <row r="999" spans="1:21" ht="16.5" x14ac:dyDescent="0.3">
      <c r="A999" t="s">
        <v>1079</v>
      </c>
      <c r="B999" s="1">
        <v>45457</v>
      </c>
      <c r="C999">
        <v>2024</v>
      </c>
      <c r="D999" t="s">
        <v>599</v>
      </c>
      <c r="E999" t="s">
        <v>1000</v>
      </c>
      <c r="F999" t="s">
        <v>24</v>
      </c>
      <c r="G999" t="s">
        <v>25</v>
      </c>
      <c r="H999" t="s">
        <v>26</v>
      </c>
      <c r="I999" t="s">
        <v>36</v>
      </c>
      <c r="J999" t="s">
        <v>52</v>
      </c>
      <c r="K999">
        <v>3</v>
      </c>
      <c r="L999" s="2">
        <v>92.54</v>
      </c>
      <c r="M999" s="3">
        <v>0.05</v>
      </c>
      <c r="N999" t="s">
        <v>29</v>
      </c>
      <c r="O999" s="2">
        <v>263.74</v>
      </c>
      <c r="P999" s="2">
        <v>129.02000000000001</v>
      </c>
      <c r="Q999" s="2">
        <v>134.72</v>
      </c>
      <c r="R999">
        <v>1</v>
      </c>
      <c r="S999">
        <v>0</v>
      </c>
      <c r="T999">
        <v>4</v>
      </c>
      <c r="U999">
        <v>4</v>
      </c>
    </row>
    <row r="1000" spans="1:21" ht="16.5" x14ac:dyDescent="0.3">
      <c r="A1000" t="s">
        <v>1080</v>
      </c>
      <c r="B1000" s="1">
        <v>45458</v>
      </c>
      <c r="C1000">
        <v>2024</v>
      </c>
      <c r="D1000" t="s">
        <v>599</v>
      </c>
      <c r="E1000" t="s">
        <v>1000</v>
      </c>
      <c r="F1000" t="s">
        <v>24</v>
      </c>
      <c r="G1000" t="s">
        <v>51</v>
      </c>
      <c r="H1000" t="s">
        <v>26</v>
      </c>
      <c r="I1000" t="s">
        <v>42</v>
      </c>
      <c r="J1000" t="s">
        <v>98</v>
      </c>
      <c r="K1000">
        <v>2</v>
      </c>
      <c r="L1000" s="2">
        <v>117.63</v>
      </c>
      <c r="M1000" s="3">
        <v>0.05</v>
      </c>
      <c r="N1000" t="s">
        <v>29</v>
      </c>
      <c r="O1000" s="2">
        <v>223.5</v>
      </c>
      <c r="P1000" s="2">
        <v>149.41999999999999</v>
      </c>
      <c r="Q1000" s="2">
        <v>74.08</v>
      </c>
      <c r="R1000">
        <v>1</v>
      </c>
      <c r="S1000">
        <v>0</v>
      </c>
      <c r="T1000">
        <v>3</v>
      </c>
      <c r="U1000">
        <v>4</v>
      </c>
    </row>
    <row r="1001" spans="1:21" ht="16.5" x14ac:dyDescent="0.3">
      <c r="A1001" t="s">
        <v>1081</v>
      </c>
      <c r="B1001" s="1">
        <v>45458</v>
      </c>
      <c r="C1001">
        <v>2024</v>
      </c>
      <c r="D1001" t="s">
        <v>599</v>
      </c>
      <c r="E1001" t="s">
        <v>1000</v>
      </c>
      <c r="F1001" t="s">
        <v>24</v>
      </c>
      <c r="G1001" t="s">
        <v>25</v>
      </c>
      <c r="H1001" t="s">
        <v>32</v>
      </c>
      <c r="I1001" t="s">
        <v>36</v>
      </c>
      <c r="J1001" t="s">
        <v>126</v>
      </c>
      <c r="K1001">
        <v>2</v>
      </c>
      <c r="L1001" s="2">
        <v>54.56</v>
      </c>
      <c r="M1001" s="3">
        <v>0</v>
      </c>
      <c r="N1001" t="s">
        <v>38</v>
      </c>
      <c r="O1001" s="2">
        <v>109.12</v>
      </c>
      <c r="P1001" s="2">
        <v>54.76</v>
      </c>
      <c r="Q1001" s="2">
        <v>54.36</v>
      </c>
      <c r="R1001">
        <v>1</v>
      </c>
      <c r="S1001">
        <v>0</v>
      </c>
      <c r="T1001">
        <v>3</v>
      </c>
      <c r="U1001">
        <v>3</v>
      </c>
    </row>
    <row r="1002" spans="1:21" ht="16.5" x14ac:dyDescent="0.3">
      <c r="A1002" t="s">
        <v>1082</v>
      </c>
      <c r="B1002" s="1">
        <v>45458</v>
      </c>
      <c r="C1002">
        <v>2024</v>
      </c>
      <c r="D1002" t="s">
        <v>599</v>
      </c>
      <c r="E1002" t="s">
        <v>1000</v>
      </c>
      <c r="F1002" t="s">
        <v>24</v>
      </c>
      <c r="G1002" t="s">
        <v>65</v>
      </c>
      <c r="H1002" t="s">
        <v>26</v>
      </c>
      <c r="I1002" t="s">
        <v>67</v>
      </c>
      <c r="J1002" t="s">
        <v>103</v>
      </c>
      <c r="K1002">
        <v>1</v>
      </c>
      <c r="L1002" s="2">
        <v>83.06</v>
      </c>
      <c r="M1002" s="3">
        <v>0</v>
      </c>
      <c r="N1002" t="s">
        <v>38</v>
      </c>
      <c r="O1002" s="2">
        <v>83.06</v>
      </c>
      <c r="P1002" s="2">
        <v>54.09</v>
      </c>
      <c r="Q1002" s="2">
        <v>28.97</v>
      </c>
      <c r="R1002">
        <v>1</v>
      </c>
      <c r="S1002">
        <v>0</v>
      </c>
      <c r="T1002">
        <v>5</v>
      </c>
      <c r="U1002">
        <v>5</v>
      </c>
    </row>
    <row r="1003" spans="1:21" ht="16.5" x14ac:dyDescent="0.3">
      <c r="A1003" t="s">
        <v>1083</v>
      </c>
      <c r="B1003" s="1">
        <v>45458</v>
      </c>
      <c r="C1003">
        <v>2024</v>
      </c>
      <c r="D1003" t="s">
        <v>599</v>
      </c>
      <c r="E1003" t="s">
        <v>1000</v>
      </c>
      <c r="F1003" t="s">
        <v>31</v>
      </c>
      <c r="G1003" t="s">
        <v>25</v>
      </c>
      <c r="H1003" t="s">
        <v>32</v>
      </c>
      <c r="I1003" t="s">
        <v>70</v>
      </c>
      <c r="J1003" t="s">
        <v>82</v>
      </c>
      <c r="K1003">
        <v>4</v>
      </c>
      <c r="L1003" s="2">
        <v>508.8</v>
      </c>
      <c r="M1003" s="3">
        <v>0</v>
      </c>
      <c r="N1003" t="s">
        <v>38</v>
      </c>
      <c r="O1003" s="2">
        <v>2035.2</v>
      </c>
      <c r="P1003" s="2">
        <v>1667.49</v>
      </c>
      <c r="Q1003" s="2">
        <v>367.71</v>
      </c>
      <c r="R1003">
        <v>1</v>
      </c>
      <c r="S1003">
        <v>0</v>
      </c>
      <c r="T1003">
        <v>5</v>
      </c>
      <c r="U1003">
        <v>3</v>
      </c>
    </row>
    <row r="1004" spans="1:21" ht="16.5" x14ac:dyDescent="0.3">
      <c r="A1004" t="s">
        <v>1084</v>
      </c>
      <c r="B1004" s="1">
        <v>45458</v>
      </c>
      <c r="C1004">
        <v>2024</v>
      </c>
      <c r="D1004" t="s">
        <v>599</v>
      </c>
      <c r="E1004" t="s">
        <v>1000</v>
      </c>
      <c r="F1004" t="s">
        <v>24</v>
      </c>
      <c r="G1004" t="s">
        <v>25</v>
      </c>
      <c r="H1004" t="s">
        <v>26</v>
      </c>
      <c r="I1004" t="s">
        <v>84</v>
      </c>
      <c r="J1004" t="s">
        <v>106</v>
      </c>
      <c r="K1004">
        <v>1</v>
      </c>
      <c r="L1004" s="2">
        <v>45.28</v>
      </c>
      <c r="M1004" s="3">
        <v>0.1</v>
      </c>
      <c r="N1004" t="s">
        <v>29</v>
      </c>
      <c r="O1004" s="2">
        <v>40.75</v>
      </c>
      <c r="P1004" s="2">
        <v>32.520000000000003</v>
      </c>
      <c r="Q1004" s="2">
        <v>8.23</v>
      </c>
      <c r="R1004">
        <v>1</v>
      </c>
      <c r="S1004">
        <v>0</v>
      </c>
      <c r="T1004">
        <v>4</v>
      </c>
      <c r="U1004">
        <v>5</v>
      </c>
    </row>
    <row r="1005" spans="1:21" ht="16.5" x14ac:dyDescent="0.3">
      <c r="A1005" t="s">
        <v>1085</v>
      </c>
      <c r="B1005" s="1">
        <v>45458</v>
      </c>
      <c r="C1005">
        <v>2024</v>
      </c>
      <c r="D1005" t="s">
        <v>599</v>
      </c>
      <c r="E1005" t="s">
        <v>1000</v>
      </c>
      <c r="F1005" t="s">
        <v>31</v>
      </c>
      <c r="G1005" t="s">
        <v>25</v>
      </c>
      <c r="H1005" t="s">
        <v>32</v>
      </c>
      <c r="I1005" t="s">
        <v>84</v>
      </c>
      <c r="J1005" t="s">
        <v>223</v>
      </c>
      <c r="K1005">
        <v>1</v>
      </c>
      <c r="L1005" s="2">
        <v>16.97</v>
      </c>
      <c r="M1005" s="3">
        <v>0</v>
      </c>
      <c r="N1005" t="s">
        <v>38</v>
      </c>
      <c r="O1005" s="2">
        <v>16.97</v>
      </c>
      <c r="P1005" s="2">
        <v>12.77</v>
      </c>
      <c r="Q1005" s="2">
        <v>4.2</v>
      </c>
      <c r="R1005">
        <v>1</v>
      </c>
      <c r="S1005">
        <v>0</v>
      </c>
      <c r="T1005">
        <v>4</v>
      </c>
      <c r="U1005">
        <v>4</v>
      </c>
    </row>
    <row r="1006" spans="1:21" ht="16.5" x14ac:dyDescent="0.3">
      <c r="A1006" t="s">
        <v>1086</v>
      </c>
      <c r="B1006" s="1">
        <v>45458</v>
      </c>
      <c r="C1006">
        <v>2024</v>
      </c>
      <c r="D1006" t="s">
        <v>599</v>
      </c>
      <c r="E1006" t="s">
        <v>1000</v>
      </c>
      <c r="F1006" t="s">
        <v>24</v>
      </c>
      <c r="G1006" t="s">
        <v>49</v>
      </c>
      <c r="H1006" t="s">
        <v>32</v>
      </c>
      <c r="I1006" t="s">
        <v>70</v>
      </c>
      <c r="J1006" t="s">
        <v>162</v>
      </c>
      <c r="K1006">
        <v>2</v>
      </c>
      <c r="L1006" s="2">
        <v>636.09</v>
      </c>
      <c r="M1006" s="3">
        <v>0.1</v>
      </c>
      <c r="N1006" t="s">
        <v>29</v>
      </c>
      <c r="O1006" s="2">
        <v>1144.96</v>
      </c>
      <c r="P1006" s="2">
        <v>1080.17</v>
      </c>
      <c r="Q1006" s="2">
        <v>64.790000000000006</v>
      </c>
      <c r="R1006">
        <v>1</v>
      </c>
      <c r="S1006">
        <v>0</v>
      </c>
      <c r="T1006">
        <v>5</v>
      </c>
      <c r="U1006">
        <v>5</v>
      </c>
    </row>
    <row r="1007" spans="1:21" ht="16.5" x14ac:dyDescent="0.3">
      <c r="A1007" t="s">
        <v>1087</v>
      </c>
      <c r="B1007" s="1">
        <v>45458</v>
      </c>
      <c r="C1007">
        <v>2024</v>
      </c>
      <c r="D1007" t="s">
        <v>599</v>
      </c>
      <c r="E1007" t="s">
        <v>1000</v>
      </c>
      <c r="F1007" t="s">
        <v>31</v>
      </c>
      <c r="G1007" t="s">
        <v>51</v>
      </c>
      <c r="H1007" t="s">
        <v>26</v>
      </c>
      <c r="I1007" t="s">
        <v>42</v>
      </c>
      <c r="J1007" t="s">
        <v>89</v>
      </c>
      <c r="K1007">
        <v>1</v>
      </c>
      <c r="L1007" s="2">
        <v>68.349999999999994</v>
      </c>
      <c r="M1007" s="3">
        <v>0.2</v>
      </c>
      <c r="N1007" t="s">
        <v>34</v>
      </c>
      <c r="O1007" s="2">
        <v>54.68</v>
      </c>
      <c r="P1007" s="2">
        <v>45.54</v>
      </c>
      <c r="Q1007" s="2">
        <v>9.14</v>
      </c>
      <c r="R1007">
        <v>1</v>
      </c>
      <c r="S1007">
        <v>1</v>
      </c>
      <c r="T1007">
        <v>3</v>
      </c>
      <c r="U1007">
        <v>3</v>
      </c>
    </row>
    <row r="1008" spans="1:21" ht="16.5" x14ac:dyDescent="0.3">
      <c r="A1008" t="s">
        <v>1088</v>
      </c>
      <c r="B1008" s="1">
        <v>45458</v>
      </c>
      <c r="C1008">
        <v>2024</v>
      </c>
      <c r="D1008" t="s">
        <v>599</v>
      </c>
      <c r="E1008" t="s">
        <v>1000</v>
      </c>
      <c r="F1008" t="s">
        <v>24</v>
      </c>
      <c r="G1008" t="s">
        <v>51</v>
      </c>
      <c r="H1008" t="s">
        <v>32</v>
      </c>
      <c r="I1008" t="s">
        <v>27</v>
      </c>
      <c r="J1008" t="s">
        <v>28</v>
      </c>
      <c r="K1008">
        <v>1</v>
      </c>
      <c r="L1008" s="2">
        <v>138.5</v>
      </c>
      <c r="M1008" s="3">
        <v>0.25</v>
      </c>
      <c r="N1008" t="s">
        <v>62</v>
      </c>
      <c r="O1008" s="2">
        <v>103.88</v>
      </c>
      <c r="P1008" s="2">
        <v>72.930000000000007</v>
      </c>
      <c r="Q1008" s="2">
        <v>30.95</v>
      </c>
      <c r="R1008">
        <v>1</v>
      </c>
      <c r="S1008">
        <v>1</v>
      </c>
      <c r="T1008">
        <v>2</v>
      </c>
      <c r="U1008">
        <v>3</v>
      </c>
    </row>
    <row r="1009" spans="1:21" ht="16.5" x14ac:dyDescent="0.3">
      <c r="A1009" t="s">
        <v>1089</v>
      </c>
      <c r="B1009" s="1">
        <v>45458</v>
      </c>
      <c r="C1009">
        <v>2024</v>
      </c>
      <c r="D1009" t="s">
        <v>599</v>
      </c>
      <c r="E1009" t="s">
        <v>1000</v>
      </c>
      <c r="F1009" t="s">
        <v>24</v>
      </c>
      <c r="G1009" t="s">
        <v>51</v>
      </c>
      <c r="H1009" t="s">
        <v>32</v>
      </c>
      <c r="I1009" t="s">
        <v>84</v>
      </c>
      <c r="J1009" t="s">
        <v>96</v>
      </c>
      <c r="K1009">
        <v>1</v>
      </c>
      <c r="L1009" s="2">
        <v>10.76</v>
      </c>
      <c r="M1009" s="3">
        <v>0</v>
      </c>
      <c r="N1009" t="s">
        <v>38</v>
      </c>
      <c r="O1009" s="2">
        <v>10.76</v>
      </c>
      <c r="P1009" s="2">
        <v>7.89</v>
      </c>
      <c r="Q1009" s="2">
        <v>2.87</v>
      </c>
      <c r="R1009">
        <v>1</v>
      </c>
      <c r="S1009">
        <v>0</v>
      </c>
      <c r="T1009">
        <v>3</v>
      </c>
      <c r="U1009">
        <v>4</v>
      </c>
    </row>
    <row r="1010" spans="1:21" ht="16.5" x14ac:dyDescent="0.3">
      <c r="A1010" t="s">
        <v>1090</v>
      </c>
      <c r="B1010" s="1">
        <v>45458</v>
      </c>
      <c r="C1010">
        <v>2024</v>
      </c>
      <c r="D1010" t="s">
        <v>599</v>
      </c>
      <c r="E1010" t="s">
        <v>1000</v>
      </c>
      <c r="F1010" t="s">
        <v>24</v>
      </c>
      <c r="G1010" t="s">
        <v>49</v>
      </c>
      <c r="H1010" t="s">
        <v>32</v>
      </c>
      <c r="I1010" t="s">
        <v>42</v>
      </c>
      <c r="J1010" t="s">
        <v>76</v>
      </c>
      <c r="K1010">
        <v>1</v>
      </c>
      <c r="L1010" s="2">
        <v>90.75</v>
      </c>
      <c r="M1010" s="3">
        <v>0.05</v>
      </c>
      <c r="N1010" t="s">
        <v>29</v>
      </c>
      <c r="O1010" s="2">
        <v>86.21</v>
      </c>
      <c r="P1010" s="2">
        <v>59.35</v>
      </c>
      <c r="Q1010" s="2">
        <v>26.86</v>
      </c>
      <c r="R1010">
        <v>1</v>
      </c>
      <c r="S1010">
        <v>0</v>
      </c>
      <c r="T1010">
        <v>3</v>
      </c>
      <c r="U1010">
        <v>5</v>
      </c>
    </row>
    <row r="1011" spans="1:21" ht="16.5" x14ac:dyDescent="0.3">
      <c r="A1011" t="s">
        <v>1091</v>
      </c>
      <c r="B1011" s="1">
        <v>45458</v>
      </c>
      <c r="C1011">
        <v>2024</v>
      </c>
      <c r="D1011" t="s">
        <v>599</v>
      </c>
      <c r="E1011" t="s">
        <v>1000</v>
      </c>
      <c r="F1011" t="s">
        <v>24</v>
      </c>
      <c r="G1011" t="s">
        <v>51</v>
      </c>
      <c r="H1011" t="s">
        <v>26</v>
      </c>
      <c r="I1011" t="s">
        <v>27</v>
      </c>
      <c r="J1011" t="s">
        <v>47</v>
      </c>
      <c r="K1011">
        <v>1</v>
      </c>
      <c r="L1011" s="2">
        <v>33.99</v>
      </c>
      <c r="M1011" s="3">
        <v>0</v>
      </c>
      <c r="N1011" t="s">
        <v>38</v>
      </c>
      <c r="O1011" s="2">
        <v>33.99</v>
      </c>
      <c r="P1011" s="2">
        <v>18.37</v>
      </c>
      <c r="Q1011" s="2">
        <v>15.62</v>
      </c>
      <c r="R1011">
        <v>1</v>
      </c>
      <c r="S1011">
        <v>1</v>
      </c>
      <c r="T1011">
        <v>3</v>
      </c>
      <c r="U1011">
        <v>4</v>
      </c>
    </row>
    <row r="1012" spans="1:21" ht="16.5" x14ac:dyDescent="0.3">
      <c r="A1012" t="s">
        <v>1092</v>
      </c>
      <c r="B1012" s="1">
        <v>45459</v>
      </c>
      <c r="C1012">
        <v>2024</v>
      </c>
      <c r="D1012" t="s">
        <v>599</v>
      </c>
      <c r="E1012" t="s">
        <v>1000</v>
      </c>
      <c r="F1012" t="s">
        <v>24</v>
      </c>
      <c r="G1012" t="s">
        <v>49</v>
      </c>
      <c r="H1012" t="s">
        <v>32</v>
      </c>
      <c r="I1012" t="s">
        <v>70</v>
      </c>
      <c r="J1012" t="s">
        <v>71</v>
      </c>
      <c r="K1012">
        <v>1</v>
      </c>
      <c r="L1012" s="2">
        <v>588.41</v>
      </c>
      <c r="M1012" s="3">
        <v>0.1</v>
      </c>
      <c r="N1012" t="s">
        <v>29</v>
      </c>
      <c r="O1012" s="2">
        <v>529.57000000000005</v>
      </c>
      <c r="P1012" s="2">
        <v>474.01</v>
      </c>
      <c r="Q1012" s="2">
        <v>55.56</v>
      </c>
      <c r="R1012">
        <v>1</v>
      </c>
      <c r="S1012">
        <v>0</v>
      </c>
      <c r="T1012">
        <v>3</v>
      </c>
      <c r="U1012">
        <v>4</v>
      </c>
    </row>
    <row r="1013" spans="1:21" ht="16.5" x14ac:dyDescent="0.3">
      <c r="A1013" t="s">
        <v>1093</v>
      </c>
      <c r="B1013" s="1">
        <v>45459</v>
      </c>
      <c r="C1013">
        <v>2024</v>
      </c>
      <c r="D1013" t="s">
        <v>599</v>
      </c>
      <c r="E1013" t="s">
        <v>1000</v>
      </c>
      <c r="F1013" t="s">
        <v>24</v>
      </c>
      <c r="G1013" t="s">
        <v>51</v>
      </c>
      <c r="H1013" t="s">
        <v>26</v>
      </c>
      <c r="I1013" t="s">
        <v>36</v>
      </c>
      <c r="J1013" t="s">
        <v>115</v>
      </c>
      <c r="K1013">
        <v>1</v>
      </c>
      <c r="L1013" s="2">
        <v>33.479999999999997</v>
      </c>
      <c r="M1013" s="3">
        <v>0.3</v>
      </c>
      <c r="N1013" t="s">
        <v>62</v>
      </c>
      <c r="O1013" s="2">
        <v>23.44</v>
      </c>
      <c r="P1013" s="2">
        <v>15.77</v>
      </c>
      <c r="Q1013" s="2">
        <v>7.67</v>
      </c>
      <c r="R1013">
        <v>1</v>
      </c>
      <c r="S1013">
        <v>1</v>
      </c>
      <c r="T1013">
        <v>3</v>
      </c>
      <c r="U1013">
        <v>3</v>
      </c>
    </row>
    <row r="1014" spans="1:21" ht="16.5" x14ac:dyDescent="0.3">
      <c r="A1014" t="s">
        <v>1094</v>
      </c>
      <c r="B1014" s="1">
        <v>45459</v>
      </c>
      <c r="C1014">
        <v>2024</v>
      </c>
      <c r="D1014" t="s">
        <v>599</v>
      </c>
      <c r="E1014" t="s">
        <v>1000</v>
      </c>
      <c r="F1014" t="s">
        <v>45</v>
      </c>
      <c r="G1014" t="s">
        <v>25</v>
      </c>
      <c r="H1014" t="s">
        <v>32</v>
      </c>
      <c r="I1014" t="s">
        <v>27</v>
      </c>
      <c r="J1014" t="s">
        <v>47</v>
      </c>
      <c r="K1014">
        <v>2</v>
      </c>
      <c r="L1014" s="2">
        <v>33.99</v>
      </c>
      <c r="M1014" s="3">
        <v>0.1</v>
      </c>
      <c r="N1014" t="s">
        <v>29</v>
      </c>
      <c r="O1014" s="2">
        <v>61.18</v>
      </c>
      <c r="P1014" s="2">
        <v>37.58</v>
      </c>
      <c r="Q1014" s="2">
        <v>23.6</v>
      </c>
      <c r="R1014">
        <v>1</v>
      </c>
      <c r="S1014">
        <v>0</v>
      </c>
      <c r="T1014">
        <v>4</v>
      </c>
      <c r="U1014">
        <v>4</v>
      </c>
    </row>
    <row r="1015" spans="1:21" ht="16.5" x14ac:dyDescent="0.3">
      <c r="A1015" t="s">
        <v>1095</v>
      </c>
      <c r="B1015" s="1">
        <v>45459</v>
      </c>
      <c r="C1015">
        <v>2024</v>
      </c>
      <c r="D1015" t="s">
        <v>599</v>
      </c>
      <c r="E1015" t="s">
        <v>1000</v>
      </c>
      <c r="F1015" t="s">
        <v>24</v>
      </c>
      <c r="G1015" t="s">
        <v>51</v>
      </c>
      <c r="H1015" t="s">
        <v>26</v>
      </c>
      <c r="I1015" t="s">
        <v>36</v>
      </c>
      <c r="J1015" t="s">
        <v>37</v>
      </c>
      <c r="K1015">
        <v>1</v>
      </c>
      <c r="L1015" s="2">
        <v>33.18</v>
      </c>
      <c r="M1015" s="3">
        <v>0.05</v>
      </c>
      <c r="N1015" t="s">
        <v>29</v>
      </c>
      <c r="O1015" s="2">
        <v>31.52</v>
      </c>
      <c r="P1015" s="2">
        <v>16.670000000000002</v>
      </c>
      <c r="Q1015" s="2">
        <v>14.85</v>
      </c>
      <c r="R1015">
        <v>1</v>
      </c>
      <c r="S1015">
        <v>0</v>
      </c>
      <c r="T1015">
        <v>2</v>
      </c>
      <c r="U1015">
        <v>4</v>
      </c>
    </row>
    <row r="1016" spans="1:21" ht="16.5" x14ac:dyDescent="0.3">
      <c r="A1016" t="s">
        <v>1096</v>
      </c>
      <c r="B1016" s="1">
        <v>45459</v>
      </c>
      <c r="C1016">
        <v>2024</v>
      </c>
      <c r="D1016" t="s">
        <v>599</v>
      </c>
      <c r="E1016" t="s">
        <v>1000</v>
      </c>
      <c r="F1016" t="s">
        <v>24</v>
      </c>
      <c r="G1016" t="s">
        <v>49</v>
      </c>
      <c r="H1016" t="s">
        <v>26</v>
      </c>
      <c r="I1016" t="s">
        <v>27</v>
      </c>
      <c r="J1016" t="s">
        <v>60</v>
      </c>
      <c r="K1016">
        <v>2</v>
      </c>
      <c r="L1016" s="2">
        <v>94.85</v>
      </c>
      <c r="M1016" s="3">
        <v>0</v>
      </c>
      <c r="N1016" t="s">
        <v>38</v>
      </c>
      <c r="O1016" s="2">
        <v>189.7</v>
      </c>
      <c r="P1016" s="2">
        <v>99.84</v>
      </c>
      <c r="Q1016" s="2">
        <v>89.86</v>
      </c>
      <c r="R1016">
        <v>1</v>
      </c>
      <c r="S1016">
        <v>1</v>
      </c>
      <c r="T1016">
        <v>5</v>
      </c>
      <c r="U1016">
        <v>3</v>
      </c>
    </row>
    <row r="1017" spans="1:21" ht="16.5" x14ac:dyDescent="0.3">
      <c r="A1017" t="s">
        <v>1097</v>
      </c>
      <c r="B1017" s="1">
        <v>45459</v>
      </c>
      <c r="C1017">
        <v>2024</v>
      </c>
      <c r="D1017" t="s">
        <v>599</v>
      </c>
      <c r="E1017" t="s">
        <v>1000</v>
      </c>
      <c r="F1017" t="s">
        <v>24</v>
      </c>
      <c r="G1017" t="s">
        <v>51</v>
      </c>
      <c r="H1017" t="s">
        <v>26</v>
      </c>
      <c r="I1017" t="s">
        <v>42</v>
      </c>
      <c r="J1017" t="s">
        <v>58</v>
      </c>
      <c r="K1017">
        <v>1</v>
      </c>
      <c r="L1017" s="2">
        <v>233.81</v>
      </c>
      <c r="M1017" s="3">
        <v>0.1</v>
      </c>
      <c r="N1017" t="s">
        <v>29</v>
      </c>
      <c r="O1017" s="2">
        <v>210.43</v>
      </c>
      <c r="P1017" s="2">
        <v>150.47999999999999</v>
      </c>
      <c r="Q1017" s="2">
        <v>59.95</v>
      </c>
      <c r="R1017">
        <v>1</v>
      </c>
      <c r="S1017">
        <v>0</v>
      </c>
      <c r="T1017">
        <v>2</v>
      </c>
      <c r="U1017">
        <v>4</v>
      </c>
    </row>
    <row r="1018" spans="1:21" ht="16.5" x14ac:dyDescent="0.3">
      <c r="A1018" t="s">
        <v>1098</v>
      </c>
      <c r="B1018" s="1">
        <v>45459</v>
      </c>
      <c r="C1018">
        <v>2024</v>
      </c>
      <c r="D1018" t="s">
        <v>599</v>
      </c>
      <c r="E1018" t="s">
        <v>1000</v>
      </c>
      <c r="F1018" t="s">
        <v>24</v>
      </c>
      <c r="G1018" t="s">
        <v>51</v>
      </c>
      <c r="H1018" t="s">
        <v>26</v>
      </c>
      <c r="I1018" t="s">
        <v>42</v>
      </c>
      <c r="J1018" t="s">
        <v>98</v>
      </c>
      <c r="K1018">
        <v>1</v>
      </c>
      <c r="L1018" s="2">
        <v>117.63</v>
      </c>
      <c r="M1018" s="3">
        <v>0</v>
      </c>
      <c r="N1018" t="s">
        <v>38</v>
      </c>
      <c r="O1018" s="2">
        <v>117.63</v>
      </c>
      <c r="P1018" s="2">
        <v>72.58</v>
      </c>
      <c r="Q1018" s="2">
        <v>45.05</v>
      </c>
      <c r="R1018">
        <v>1</v>
      </c>
      <c r="S1018">
        <v>0</v>
      </c>
      <c r="T1018">
        <v>2</v>
      </c>
      <c r="U1018">
        <v>5</v>
      </c>
    </row>
    <row r="1019" spans="1:21" ht="16.5" x14ac:dyDescent="0.3">
      <c r="A1019" t="s">
        <v>1099</v>
      </c>
      <c r="B1019" s="1">
        <v>45460</v>
      </c>
      <c r="C1019">
        <v>2024</v>
      </c>
      <c r="D1019" t="s">
        <v>599</v>
      </c>
      <c r="E1019" t="s">
        <v>1000</v>
      </c>
      <c r="F1019" t="s">
        <v>24</v>
      </c>
      <c r="G1019" t="s">
        <v>25</v>
      </c>
      <c r="H1019" t="s">
        <v>26</v>
      </c>
      <c r="I1019" t="s">
        <v>27</v>
      </c>
      <c r="J1019" t="s">
        <v>60</v>
      </c>
      <c r="K1019">
        <v>1</v>
      </c>
      <c r="L1019" s="2">
        <v>94.85</v>
      </c>
      <c r="M1019" s="3">
        <v>0</v>
      </c>
      <c r="N1019" t="s">
        <v>38</v>
      </c>
      <c r="O1019" s="2">
        <v>94.85</v>
      </c>
      <c r="P1019" s="2">
        <v>52.6</v>
      </c>
      <c r="Q1019" s="2">
        <v>42.25</v>
      </c>
      <c r="R1019">
        <v>1</v>
      </c>
      <c r="S1019">
        <v>0</v>
      </c>
      <c r="T1019">
        <v>3</v>
      </c>
      <c r="U1019">
        <v>4</v>
      </c>
    </row>
    <row r="1020" spans="1:21" ht="16.5" x14ac:dyDescent="0.3">
      <c r="A1020" t="s">
        <v>1100</v>
      </c>
      <c r="B1020" s="1">
        <v>45460</v>
      </c>
      <c r="C1020">
        <v>2024</v>
      </c>
      <c r="D1020" t="s">
        <v>599</v>
      </c>
      <c r="E1020" t="s">
        <v>1000</v>
      </c>
      <c r="F1020" t="s">
        <v>45</v>
      </c>
      <c r="G1020" t="s">
        <v>51</v>
      </c>
      <c r="H1020" t="s">
        <v>26</v>
      </c>
      <c r="I1020" t="s">
        <v>42</v>
      </c>
      <c r="J1020" t="s">
        <v>89</v>
      </c>
      <c r="K1020">
        <v>1</v>
      </c>
      <c r="L1020" s="2">
        <v>68.349999999999994</v>
      </c>
      <c r="M1020" s="3">
        <v>0.25</v>
      </c>
      <c r="N1020" t="s">
        <v>62</v>
      </c>
      <c r="O1020" s="2">
        <v>51.26</v>
      </c>
      <c r="P1020" s="2">
        <v>46.46</v>
      </c>
      <c r="Q1020" s="2">
        <v>4.8</v>
      </c>
      <c r="R1020">
        <v>1</v>
      </c>
      <c r="S1020">
        <v>0</v>
      </c>
      <c r="T1020">
        <v>2</v>
      </c>
      <c r="U1020">
        <v>5</v>
      </c>
    </row>
    <row r="1021" spans="1:21" ht="16.5" x14ac:dyDescent="0.3">
      <c r="A1021" t="s">
        <v>1101</v>
      </c>
      <c r="B1021" s="1">
        <v>45460</v>
      </c>
      <c r="C1021">
        <v>2024</v>
      </c>
      <c r="D1021" t="s">
        <v>599</v>
      </c>
      <c r="E1021" t="s">
        <v>1000</v>
      </c>
      <c r="F1021" t="s">
        <v>45</v>
      </c>
      <c r="G1021" t="s">
        <v>49</v>
      </c>
      <c r="H1021" t="s">
        <v>32</v>
      </c>
      <c r="I1021" t="s">
        <v>67</v>
      </c>
      <c r="J1021" t="s">
        <v>68</v>
      </c>
      <c r="K1021">
        <v>3</v>
      </c>
      <c r="L1021" s="2">
        <v>74.459999999999994</v>
      </c>
      <c r="M1021" s="3">
        <v>0.05</v>
      </c>
      <c r="N1021" t="s">
        <v>29</v>
      </c>
      <c r="O1021" s="2">
        <v>212.21</v>
      </c>
      <c r="P1021" s="2">
        <v>153.88</v>
      </c>
      <c r="Q1021" s="2">
        <v>58.33</v>
      </c>
      <c r="R1021">
        <v>1</v>
      </c>
      <c r="S1021">
        <v>1</v>
      </c>
      <c r="T1021">
        <v>4</v>
      </c>
      <c r="U1021">
        <v>4</v>
      </c>
    </row>
    <row r="1022" spans="1:21" ht="16.5" x14ac:dyDescent="0.3">
      <c r="A1022" t="s">
        <v>1102</v>
      </c>
      <c r="B1022" s="1">
        <v>45460</v>
      </c>
      <c r="C1022">
        <v>2024</v>
      </c>
      <c r="D1022" t="s">
        <v>599</v>
      </c>
      <c r="E1022" t="s">
        <v>1000</v>
      </c>
      <c r="F1022" t="s">
        <v>24</v>
      </c>
      <c r="G1022" t="s">
        <v>25</v>
      </c>
      <c r="H1022" t="s">
        <v>26</v>
      </c>
      <c r="I1022" t="s">
        <v>70</v>
      </c>
      <c r="J1022" t="s">
        <v>252</v>
      </c>
      <c r="K1022">
        <v>1</v>
      </c>
      <c r="L1022" s="2">
        <v>216.08</v>
      </c>
      <c r="M1022" s="3">
        <v>0.2</v>
      </c>
      <c r="N1022" t="s">
        <v>34</v>
      </c>
      <c r="O1022" s="2">
        <v>172.86</v>
      </c>
      <c r="P1022" s="2">
        <v>165.12</v>
      </c>
      <c r="Q1022" s="2">
        <v>7.74</v>
      </c>
      <c r="R1022">
        <v>1</v>
      </c>
      <c r="S1022">
        <v>0</v>
      </c>
      <c r="T1022">
        <v>4</v>
      </c>
      <c r="U1022">
        <v>4</v>
      </c>
    </row>
    <row r="1023" spans="1:21" ht="16.5" x14ac:dyDescent="0.3">
      <c r="A1023" t="s">
        <v>1103</v>
      </c>
      <c r="B1023" s="1">
        <v>45460</v>
      </c>
      <c r="C1023">
        <v>2024</v>
      </c>
      <c r="D1023" t="s">
        <v>599</v>
      </c>
      <c r="E1023" t="s">
        <v>1000</v>
      </c>
      <c r="F1023" t="s">
        <v>31</v>
      </c>
      <c r="G1023" t="s">
        <v>49</v>
      </c>
      <c r="H1023" t="s">
        <v>26</v>
      </c>
      <c r="I1023" t="s">
        <v>36</v>
      </c>
      <c r="J1023" t="s">
        <v>126</v>
      </c>
      <c r="K1023">
        <v>1</v>
      </c>
      <c r="L1023" s="2">
        <v>54.56</v>
      </c>
      <c r="M1023" s="3">
        <v>0.2</v>
      </c>
      <c r="N1023" t="s">
        <v>34</v>
      </c>
      <c r="O1023" s="2">
        <v>43.65</v>
      </c>
      <c r="P1023" s="2">
        <v>26.46</v>
      </c>
      <c r="Q1023" s="2">
        <v>17.190000000000001</v>
      </c>
      <c r="R1023">
        <v>1</v>
      </c>
      <c r="S1023">
        <v>0</v>
      </c>
      <c r="T1023">
        <v>5</v>
      </c>
      <c r="U1023">
        <v>5</v>
      </c>
    </row>
    <row r="1024" spans="1:21" ht="16.5" x14ac:dyDescent="0.3">
      <c r="A1024" t="s">
        <v>1104</v>
      </c>
      <c r="B1024" s="1">
        <v>45460</v>
      </c>
      <c r="C1024">
        <v>2024</v>
      </c>
      <c r="D1024" t="s">
        <v>599</v>
      </c>
      <c r="E1024" t="s">
        <v>1000</v>
      </c>
      <c r="F1024" t="s">
        <v>45</v>
      </c>
      <c r="G1024" t="s">
        <v>51</v>
      </c>
      <c r="H1024" t="s">
        <v>32</v>
      </c>
      <c r="I1024" t="s">
        <v>27</v>
      </c>
      <c r="J1024" t="s">
        <v>110</v>
      </c>
      <c r="K1024">
        <v>2</v>
      </c>
      <c r="L1024" s="2">
        <v>19.41</v>
      </c>
      <c r="M1024" s="3">
        <v>0.1</v>
      </c>
      <c r="N1024" t="s">
        <v>29</v>
      </c>
      <c r="O1024" s="2">
        <v>34.94</v>
      </c>
      <c r="P1024" s="2">
        <v>21.21</v>
      </c>
      <c r="Q1024" s="2">
        <v>13.73</v>
      </c>
      <c r="R1024">
        <v>1</v>
      </c>
      <c r="S1024">
        <v>0</v>
      </c>
      <c r="T1024">
        <v>3</v>
      </c>
      <c r="U1024">
        <v>5</v>
      </c>
    </row>
    <row r="1025" spans="1:21" ht="16.5" x14ac:dyDescent="0.3">
      <c r="A1025" t="s">
        <v>1105</v>
      </c>
      <c r="B1025" s="1">
        <v>45461</v>
      </c>
      <c r="C1025">
        <v>2024</v>
      </c>
      <c r="D1025" t="s">
        <v>599</v>
      </c>
      <c r="E1025" t="s">
        <v>1000</v>
      </c>
      <c r="F1025" t="s">
        <v>24</v>
      </c>
      <c r="G1025" t="s">
        <v>49</v>
      </c>
      <c r="H1025" t="s">
        <v>32</v>
      </c>
      <c r="I1025" t="s">
        <v>36</v>
      </c>
      <c r="J1025" t="s">
        <v>52</v>
      </c>
      <c r="K1025">
        <v>2</v>
      </c>
      <c r="L1025" s="2">
        <v>92.54</v>
      </c>
      <c r="M1025" s="3">
        <v>0.1</v>
      </c>
      <c r="N1025" t="s">
        <v>29</v>
      </c>
      <c r="O1025" s="2">
        <v>166.57</v>
      </c>
      <c r="P1025" s="2">
        <v>88.3</v>
      </c>
      <c r="Q1025" s="2">
        <v>78.27</v>
      </c>
      <c r="R1025">
        <v>1</v>
      </c>
      <c r="S1025">
        <v>0</v>
      </c>
      <c r="T1025">
        <v>4</v>
      </c>
      <c r="U1025">
        <v>5</v>
      </c>
    </row>
    <row r="1026" spans="1:21" ht="16.5" x14ac:dyDescent="0.3">
      <c r="A1026" t="s">
        <v>1106</v>
      </c>
      <c r="B1026" s="1">
        <v>45461</v>
      </c>
      <c r="C1026">
        <v>2024</v>
      </c>
      <c r="D1026" t="s">
        <v>599</v>
      </c>
      <c r="E1026" t="s">
        <v>1000</v>
      </c>
      <c r="F1026" t="s">
        <v>24</v>
      </c>
      <c r="G1026" t="s">
        <v>25</v>
      </c>
      <c r="H1026" t="s">
        <v>26</v>
      </c>
      <c r="I1026" t="s">
        <v>84</v>
      </c>
      <c r="J1026" t="s">
        <v>106</v>
      </c>
      <c r="K1026">
        <v>1</v>
      </c>
      <c r="L1026" s="2">
        <v>45.28</v>
      </c>
      <c r="M1026" s="3">
        <v>0.15</v>
      </c>
      <c r="N1026" t="s">
        <v>34</v>
      </c>
      <c r="O1026" s="2">
        <v>38.49</v>
      </c>
      <c r="P1026" s="2">
        <v>32.450000000000003</v>
      </c>
      <c r="Q1026" s="2">
        <v>6.04</v>
      </c>
      <c r="R1026">
        <v>1</v>
      </c>
      <c r="S1026">
        <v>0</v>
      </c>
      <c r="T1026">
        <v>6</v>
      </c>
      <c r="U1026">
        <v>4</v>
      </c>
    </row>
    <row r="1027" spans="1:21" ht="16.5" x14ac:dyDescent="0.3">
      <c r="A1027" t="s">
        <v>1107</v>
      </c>
      <c r="B1027" s="1">
        <v>45461</v>
      </c>
      <c r="C1027">
        <v>2024</v>
      </c>
      <c r="D1027" t="s">
        <v>599</v>
      </c>
      <c r="E1027" t="s">
        <v>1000</v>
      </c>
      <c r="F1027" t="s">
        <v>24</v>
      </c>
      <c r="G1027" t="s">
        <v>46</v>
      </c>
      <c r="H1027" t="s">
        <v>26</v>
      </c>
      <c r="I1027" t="s">
        <v>27</v>
      </c>
      <c r="J1027" t="s">
        <v>47</v>
      </c>
      <c r="K1027">
        <v>1</v>
      </c>
      <c r="L1027" s="2">
        <v>33.99</v>
      </c>
      <c r="M1027" s="3">
        <v>0.1</v>
      </c>
      <c r="N1027" t="s">
        <v>29</v>
      </c>
      <c r="O1027" s="2">
        <v>30.59</v>
      </c>
      <c r="P1027" s="2">
        <v>17.989999999999998</v>
      </c>
      <c r="Q1027" s="2">
        <v>12.6</v>
      </c>
      <c r="R1027">
        <v>1</v>
      </c>
      <c r="S1027">
        <v>1</v>
      </c>
      <c r="T1027">
        <v>5</v>
      </c>
      <c r="U1027">
        <v>3</v>
      </c>
    </row>
    <row r="1028" spans="1:21" ht="16.5" x14ac:dyDescent="0.3">
      <c r="A1028" t="s">
        <v>1108</v>
      </c>
      <c r="B1028" s="1">
        <v>45461</v>
      </c>
      <c r="C1028">
        <v>2024</v>
      </c>
      <c r="D1028" t="s">
        <v>599</v>
      </c>
      <c r="E1028" t="s">
        <v>1000</v>
      </c>
      <c r="F1028" t="s">
        <v>24</v>
      </c>
      <c r="G1028" t="s">
        <v>49</v>
      </c>
      <c r="H1028" t="s">
        <v>32</v>
      </c>
      <c r="I1028" t="s">
        <v>70</v>
      </c>
      <c r="J1028" t="s">
        <v>82</v>
      </c>
      <c r="K1028">
        <v>1</v>
      </c>
      <c r="L1028" s="2">
        <v>508.8</v>
      </c>
      <c r="M1028" s="3">
        <v>0.05</v>
      </c>
      <c r="N1028" t="s">
        <v>29</v>
      </c>
      <c r="O1028" s="2">
        <v>483.36</v>
      </c>
      <c r="P1028" s="2">
        <v>405.57</v>
      </c>
      <c r="Q1028" s="2">
        <v>77.790000000000006</v>
      </c>
      <c r="R1028">
        <v>1</v>
      </c>
      <c r="S1028">
        <v>1</v>
      </c>
      <c r="T1028">
        <v>3</v>
      </c>
      <c r="U1028">
        <v>3</v>
      </c>
    </row>
    <row r="1029" spans="1:21" ht="16.5" x14ac:dyDescent="0.3">
      <c r="A1029" t="s">
        <v>1109</v>
      </c>
      <c r="B1029" s="1">
        <v>45461</v>
      </c>
      <c r="C1029">
        <v>2024</v>
      </c>
      <c r="D1029" t="s">
        <v>599</v>
      </c>
      <c r="E1029" t="s">
        <v>1000</v>
      </c>
      <c r="F1029" t="s">
        <v>24</v>
      </c>
      <c r="G1029" t="s">
        <v>25</v>
      </c>
      <c r="H1029" t="s">
        <v>26</v>
      </c>
      <c r="I1029" t="s">
        <v>70</v>
      </c>
      <c r="J1029" t="s">
        <v>252</v>
      </c>
      <c r="K1029">
        <v>1</v>
      </c>
      <c r="L1029" s="2">
        <v>216.08</v>
      </c>
      <c r="M1029" s="3">
        <v>0</v>
      </c>
      <c r="N1029" t="s">
        <v>38</v>
      </c>
      <c r="O1029" s="2">
        <v>216.08</v>
      </c>
      <c r="P1029" s="2">
        <v>167.22</v>
      </c>
      <c r="Q1029" s="2">
        <v>48.86</v>
      </c>
      <c r="R1029">
        <v>1</v>
      </c>
      <c r="S1029">
        <v>0</v>
      </c>
      <c r="T1029">
        <v>4</v>
      </c>
      <c r="U1029">
        <v>4</v>
      </c>
    </row>
    <row r="1030" spans="1:21" ht="16.5" x14ac:dyDescent="0.3">
      <c r="A1030" t="s">
        <v>1110</v>
      </c>
      <c r="B1030" s="1">
        <v>45461</v>
      </c>
      <c r="C1030">
        <v>2024</v>
      </c>
      <c r="D1030" t="s">
        <v>599</v>
      </c>
      <c r="E1030" t="s">
        <v>1000</v>
      </c>
      <c r="F1030" t="s">
        <v>24</v>
      </c>
      <c r="G1030" t="s">
        <v>51</v>
      </c>
      <c r="H1030" t="s">
        <v>32</v>
      </c>
      <c r="I1030" t="s">
        <v>70</v>
      </c>
      <c r="J1030" t="s">
        <v>87</v>
      </c>
      <c r="K1030">
        <v>1</v>
      </c>
      <c r="L1030" s="2">
        <v>490.3</v>
      </c>
      <c r="M1030" s="3">
        <v>0.15</v>
      </c>
      <c r="N1030" t="s">
        <v>34</v>
      </c>
      <c r="O1030" s="2">
        <v>416.76</v>
      </c>
      <c r="P1030" s="2">
        <v>374.46</v>
      </c>
      <c r="Q1030" s="2">
        <v>42.3</v>
      </c>
      <c r="R1030">
        <v>1</v>
      </c>
      <c r="S1030">
        <v>1</v>
      </c>
      <c r="T1030">
        <v>3</v>
      </c>
      <c r="U1030">
        <v>3</v>
      </c>
    </row>
    <row r="1031" spans="1:21" ht="16.5" x14ac:dyDescent="0.3">
      <c r="A1031" t="s">
        <v>1111</v>
      </c>
      <c r="B1031" s="1">
        <v>45461</v>
      </c>
      <c r="C1031">
        <v>2024</v>
      </c>
      <c r="D1031" t="s">
        <v>599</v>
      </c>
      <c r="E1031" t="s">
        <v>1000</v>
      </c>
      <c r="F1031" t="s">
        <v>31</v>
      </c>
      <c r="G1031" t="s">
        <v>51</v>
      </c>
      <c r="H1031" t="s">
        <v>26</v>
      </c>
      <c r="I1031" t="s">
        <v>84</v>
      </c>
      <c r="J1031" t="s">
        <v>106</v>
      </c>
      <c r="K1031">
        <v>1</v>
      </c>
      <c r="L1031" s="2">
        <v>45.28</v>
      </c>
      <c r="M1031" s="3">
        <v>0.2</v>
      </c>
      <c r="N1031" t="s">
        <v>34</v>
      </c>
      <c r="O1031" s="2">
        <v>36.22</v>
      </c>
      <c r="P1031" s="2">
        <v>32.81</v>
      </c>
      <c r="Q1031" s="2">
        <v>3.41</v>
      </c>
      <c r="R1031">
        <v>1</v>
      </c>
      <c r="S1031">
        <v>0</v>
      </c>
      <c r="T1031">
        <v>4</v>
      </c>
      <c r="U1031">
        <v>4</v>
      </c>
    </row>
    <row r="1032" spans="1:21" ht="16.5" x14ac:dyDescent="0.3">
      <c r="A1032" t="s">
        <v>1112</v>
      </c>
      <c r="B1032" s="1">
        <v>45462</v>
      </c>
      <c r="C1032">
        <v>2024</v>
      </c>
      <c r="D1032" t="s">
        <v>599</v>
      </c>
      <c r="E1032" t="s">
        <v>1000</v>
      </c>
      <c r="F1032" t="s">
        <v>24</v>
      </c>
      <c r="G1032" t="s">
        <v>49</v>
      </c>
      <c r="H1032" t="s">
        <v>32</v>
      </c>
      <c r="I1032" t="s">
        <v>84</v>
      </c>
      <c r="J1032" t="s">
        <v>85</v>
      </c>
      <c r="K1032">
        <v>1</v>
      </c>
      <c r="L1032" s="2">
        <v>57.92</v>
      </c>
      <c r="M1032" s="3">
        <v>0</v>
      </c>
      <c r="N1032" t="s">
        <v>38</v>
      </c>
      <c r="O1032" s="2">
        <v>57.92</v>
      </c>
      <c r="P1032" s="2">
        <v>41.01</v>
      </c>
      <c r="Q1032" s="2">
        <v>16.91</v>
      </c>
      <c r="R1032">
        <v>1</v>
      </c>
      <c r="S1032">
        <v>0</v>
      </c>
      <c r="T1032">
        <v>4</v>
      </c>
      <c r="U1032">
        <v>4</v>
      </c>
    </row>
    <row r="1033" spans="1:21" ht="16.5" x14ac:dyDescent="0.3">
      <c r="A1033" t="s">
        <v>1113</v>
      </c>
      <c r="B1033" s="1">
        <v>45462</v>
      </c>
      <c r="C1033">
        <v>2024</v>
      </c>
      <c r="D1033" t="s">
        <v>599</v>
      </c>
      <c r="E1033" t="s">
        <v>1000</v>
      </c>
      <c r="F1033" t="s">
        <v>45</v>
      </c>
      <c r="G1033" t="s">
        <v>49</v>
      </c>
      <c r="H1033" t="s">
        <v>32</v>
      </c>
      <c r="I1033" t="s">
        <v>70</v>
      </c>
      <c r="J1033" t="s">
        <v>87</v>
      </c>
      <c r="K1033">
        <v>1</v>
      </c>
      <c r="L1033" s="2">
        <v>490.3</v>
      </c>
      <c r="M1033" s="3">
        <v>0</v>
      </c>
      <c r="N1033" t="s">
        <v>38</v>
      </c>
      <c r="O1033" s="2">
        <v>490.3</v>
      </c>
      <c r="P1033" s="2">
        <v>401.13</v>
      </c>
      <c r="Q1033" s="2">
        <v>89.17</v>
      </c>
      <c r="R1033">
        <v>1</v>
      </c>
      <c r="S1033">
        <v>0</v>
      </c>
      <c r="T1033">
        <v>4</v>
      </c>
      <c r="U1033">
        <v>5</v>
      </c>
    </row>
    <row r="1034" spans="1:21" ht="16.5" x14ac:dyDescent="0.3">
      <c r="A1034" t="s">
        <v>1114</v>
      </c>
      <c r="B1034" s="1">
        <v>45463</v>
      </c>
      <c r="C1034">
        <v>2024</v>
      </c>
      <c r="D1034" t="s">
        <v>599</v>
      </c>
      <c r="E1034" t="s">
        <v>1000</v>
      </c>
      <c r="F1034" t="s">
        <v>24</v>
      </c>
      <c r="G1034" t="s">
        <v>49</v>
      </c>
      <c r="H1034" t="s">
        <v>26</v>
      </c>
      <c r="I1034" t="s">
        <v>67</v>
      </c>
      <c r="J1034" t="s">
        <v>78</v>
      </c>
      <c r="K1034">
        <v>1</v>
      </c>
      <c r="L1034" s="2">
        <v>85.42</v>
      </c>
      <c r="M1034" s="3">
        <v>0.1</v>
      </c>
      <c r="N1034" t="s">
        <v>29</v>
      </c>
      <c r="O1034" s="2">
        <v>76.88</v>
      </c>
      <c r="P1034" s="2">
        <v>57.11</v>
      </c>
      <c r="Q1034" s="2">
        <v>19.77</v>
      </c>
      <c r="R1034">
        <v>1</v>
      </c>
      <c r="S1034">
        <v>0</v>
      </c>
      <c r="T1034">
        <v>5</v>
      </c>
      <c r="U1034">
        <v>3</v>
      </c>
    </row>
    <row r="1035" spans="1:21" ht="16.5" x14ac:dyDescent="0.3">
      <c r="A1035" t="s">
        <v>1115</v>
      </c>
      <c r="B1035" s="1">
        <v>45463</v>
      </c>
      <c r="C1035">
        <v>2024</v>
      </c>
      <c r="D1035" t="s">
        <v>599</v>
      </c>
      <c r="E1035" t="s">
        <v>1000</v>
      </c>
      <c r="F1035" t="s">
        <v>45</v>
      </c>
      <c r="G1035" t="s">
        <v>51</v>
      </c>
      <c r="H1035" t="s">
        <v>32</v>
      </c>
      <c r="I1035" t="s">
        <v>27</v>
      </c>
      <c r="J1035" t="s">
        <v>33</v>
      </c>
      <c r="K1035">
        <v>1</v>
      </c>
      <c r="L1035" s="2">
        <v>78.510000000000005</v>
      </c>
      <c r="M1035" s="3">
        <v>0.15</v>
      </c>
      <c r="N1035" t="s">
        <v>34</v>
      </c>
      <c r="O1035" s="2">
        <v>66.73</v>
      </c>
      <c r="P1035" s="2">
        <v>43.91</v>
      </c>
      <c r="Q1035" s="2">
        <v>22.82</v>
      </c>
      <c r="R1035">
        <v>1</v>
      </c>
      <c r="S1035">
        <v>0</v>
      </c>
      <c r="T1035">
        <v>4</v>
      </c>
      <c r="U1035">
        <v>4</v>
      </c>
    </row>
    <row r="1036" spans="1:21" ht="16.5" x14ac:dyDescent="0.3">
      <c r="A1036" t="s">
        <v>1116</v>
      </c>
      <c r="B1036" s="1">
        <v>45463</v>
      </c>
      <c r="C1036">
        <v>2024</v>
      </c>
      <c r="D1036" t="s">
        <v>599</v>
      </c>
      <c r="E1036" t="s">
        <v>1000</v>
      </c>
      <c r="F1036" t="s">
        <v>31</v>
      </c>
      <c r="G1036" t="s">
        <v>46</v>
      </c>
      <c r="H1036" t="s">
        <v>26</v>
      </c>
      <c r="I1036" t="s">
        <v>42</v>
      </c>
      <c r="J1036" t="s">
        <v>43</v>
      </c>
      <c r="K1036">
        <v>3</v>
      </c>
      <c r="L1036" s="2">
        <v>154.66</v>
      </c>
      <c r="M1036" s="3">
        <v>0.25</v>
      </c>
      <c r="N1036" t="s">
        <v>62</v>
      </c>
      <c r="O1036" s="2">
        <v>347.98</v>
      </c>
      <c r="P1036" s="2">
        <v>286.05</v>
      </c>
      <c r="Q1036" s="2">
        <v>61.93</v>
      </c>
      <c r="R1036">
        <v>1</v>
      </c>
      <c r="S1036">
        <v>0</v>
      </c>
      <c r="T1036">
        <v>6</v>
      </c>
      <c r="U1036">
        <v>3</v>
      </c>
    </row>
    <row r="1037" spans="1:21" ht="16.5" x14ac:dyDescent="0.3">
      <c r="A1037" t="s">
        <v>1117</v>
      </c>
      <c r="B1037" s="1">
        <v>45463</v>
      </c>
      <c r="C1037">
        <v>2024</v>
      </c>
      <c r="D1037" t="s">
        <v>599</v>
      </c>
      <c r="E1037" t="s">
        <v>1000</v>
      </c>
      <c r="F1037" t="s">
        <v>24</v>
      </c>
      <c r="G1037" t="s">
        <v>49</v>
      </c>
      <c r="H1037" t="s">
        <v>32</v>
      </c>
      <c r="I1037" t="s">
        <v>70</v>
      </c>
      <c r="J1037" t="s">
        <v>87</v>
      </c>
      <c r="K1037">
        <v>3</v>
      </c>
      <c r="L1037" s="2">
        <v>490.3</v>
      </c>
      <c r="M1037" s="3">
        <v>0</v>
      </c>
      <c r="N1037" t="s">
        <v>38</v>
      </c>
      <c r="O1037" s="2">
        <v>1470.9</v>
      </c>
      <c r="P1037" s="2">
        <v>1178.49</v>
      </c>
      <c r="Q1037" s="2">
        <v>292.41000000000003</v>
      </c>
      <c r="R1037">
        <v>1</v>
      </c>
      <c r="S1037">
        <v>0</v>
      </c>
      <c r="T1037">
        <v>3</v>
      </c>
      <c r="U1037">
        <v>4</v>
      </c>
    </row>
    <row r="1038" spans="1:21" ht="16.5" x14ac:dyDescent="0.3">
      <c r="A1038" t="s">
        <v>1118</v>
      </c>
      <c r="B1038" s="1">
        <v>45464</v>
      </c>
      <c r="C1038">
        <v>2024</v>
      </c>
      <c r="D1038" t="s">
        <v>599</v>
      </c>
      <c r="E1038" t="s">
        <v>1000</v>
      </c>
      <c r="F1038" t="s">
        <v>24</v>
      </c>
      <c r="G1038" t="s">
        <v>46</v>
      </c>
      <c r="H1038" t="s">
        <v>32</v>
      </c>
      <c r="I1038" t="s">
        <v>84</v>
      </c>
      <c r="J1038" t="s">
        <v>132</v>
      </c>
      <c r="K1038">
        <v>1</v>
      </c>
      <c r="L1038" s="2">
        <v>48.86</v>
      </c>
      <c r="M1038" s="3">
        <v>0.2</v>
      </c>
      <c r="N1038" t="s">
        <v>34</v>
      </c>
      <c r="O1038" s="2">
        <v>39.090000000000003</v>
      </c>
      <c r="P1038" s="2">
        <v>35.409999999999997</v>
      </c>
      <c r="Q1038" s="2">
        <v>3.68</v>
      </c>
      <c r="R1038">
        <v>1</v>
      </c>
      <c r="S1038">
        <v>0</v>
      </c>
      <c r="T1038">
        <v>5</v>
      </c>
      <c r="U1038">
        <v>4</v>
      </c>
    </row>
    <row r="1039" spans="1:21" ht="16.5" x14ac:dyDescent="0.3">
      <c r="A1039" t="s">
        <v>1119</v>
      </c>
      <c r="B1039" s="1">
        <v>45464</v>
      </c>
      <c r="C1039">
        <v>2024</v>
      </c>
      <c r="D1039" t="s">
        <v>599</v>
      </c>
      <c r="E1039" t="s">
        <v>1000</v>
      </c>
      <c r="F1039" t="s">
        <v>45</v>
      </c>
      <c r="G1039" t="s">
        <v>25</v>
      </c>
      <c r="H1039" t="s">
        <v>32</v>
      </c>
      <c r="I1039" t="s">
        <v>27</v>
      </c>
      <c r="J1039" t="s">
        <v>60</v>
      </c>
      <c r="K1039">
        <v>1</v>
      </c>
      <c r="L1039" s="2">
        <v>94.85</v>
      </c>
      <c r="M1039" s="3">
        <v>0.15</v>
      </c>
      <c r="N1039" t="s">
        <v>34</v>
      </c>
      <c r="O1039" s="2">
        <v>80.62</v>
      </c>
      <c r="P1039" s="2">
        <v>51.82</v>
      </c>
      <c r="Q1039" s="2">
        <v>28.8</v>
      </c>
      <c r="R1039">
        <v>1</v>
      </c>
      <c r="S1039">
        <v>0</v>
      </c>
      <c r="T1039">
        <v>3</v>
      </c>
      <c r="U1039">
        <v>4</v>
      </c>
    </row>
    <row r="1040" spans="1:21" ht="16.5" x14ac:dyDescent="0.3">
      <c r="A1040" t="s">
        <v>1120</v>
      </c>
      <c r="B1040" s="1">
        <v>45464</v>
      </c>
      <c r="C1040">
        <v>2024</v>
      </c>
      <c r="D1040" t="s">
        <v>599</v>
      </c>
      <c r="E1040" t="s">
        <v>1000</v>
      </c>
      <c r="F1040" t="s">
        <v>45</v>
      </c>
      <c r="G1040" t="s">
        <v>25</v>
      </c>
      <c r="H1040" t="s">
        <v>26</v>
      </c>
      <c r="I1040" t="s">
        <v>42</v>
      </c>
      <c r="J1040" t="s">
        <v>76</v>
      </c>
      <c r="K1040">
        <v>2</v>
      </c>
      <c r="L1040" s="2">
        <v>90.75</v>
      </c>
      <c r="M1040" s="3">
        <v>0.15</v>
      </c>
      <c r="N1040" t="s">
        <v>34</v>
      </c>
      <c r="O1040" s="2">
        <v>154.28</v>
      </c>
      <c r="P1040" s="2">
        <v>117.04</v>
      </c>
      <c r="Q1040" s="2">
        <v>37.24</v>
      </c>
      <c r="R1040">
        <v>1</v>
      </c>
      <c r="S1040">
        <v>0</v>
      </c>
      <c r="T1040">
        <v>4</v>
      </c>
      <c r="U1040">
        <v>4</v>
      </c>
    </row>
    <row r="1041" spans="1:21" ht="16.5" x14ac:dyDescent="0.3">
      <c r="A1041" t="s">
        <v>1121</v>
      </c>
      <c r="B1041" s="1">
        <v>45464</v>
      </c>
      <c r="C1041">
        <v>2024</v>
      </c>
      <c r="D1041" t="s">
        <v>599</v>
      </c>
      <c r="E1041" t="s">
        <v>1000</v>
      </c>
      <c r="F1041" t="s">
        <v>45</v>
      </c>
      <c r="G1041" t="s">
        <v>49</v>
      </c>
      <c r="H1041" t="s">
        <v>26</v>
      </c>
      <c r="I1041" t="s">
        <v>42</v>
      </c>
      <c r="J1041" t="s">
        <v>54</v>
      </c>
      <c r="K1041">
        <v>1</v>
      </c>
      <c r="L1041" s="2">
        <v>148.05000000000001</v>
      </c>
      <c r="M1041" s="3">
        <v>0</v>
      </c>
      <c r="N1041" t="s">
        <v>38</v>
      </c>
      <c r="O1041" s="2">
        <v>148.05000000000001</v>
      </c>
      <c r="P1041" s="2">
        <v>101.13</v>
      </c>
      <c r="Q1041" s="2">
        <v>46.92</v>
      </c>
      <c r="R1041">
        <v>1</v>
      </c>
      <c r="S1041">
        <v>0</v>
      </c>
      <c r="T1041">
        <v>4</v>
      </c>
      <c r="U1041">
        <v>4</v>
      </c>
    </row>
    <row r="1042" spans="1:21" ht="16.5" x14ac:dyDescent="0.3">
      <c r="A1042" t="s">
        <v>1122</v>
      </c>
      <c r="B1042" s="1">
        <v>45464</v>
      </c>
      <c r="C1042">
        <v>2024</v>
      </c>
      <c r="D1042" t="s">
        <v>599</v>
      </c>
      <c r="E1042" t="s">
        <v>1000</v>
      </c>
      <c r="F1042" t="s">
        <v>24</v>
      </c>
      <c r="G1042" t="s">
        <v>25</v>
      </c>
      <c r="H1042" t="s">
        <v>32</v>
      </c>
      <c r="I1042" t="s">
        <v>42</v>
      </c>
      <c r="J1042" t="s">
        <v>89</v>
      </c>
      <c r="K1042">
        <v>1</v>
      </c>
      <c r="L1042" s="2">
        <v>68.349999999999994</v>
      </c>
      <c r="M1042" s="3">
        <v>0</v>
      </c>
      <c r="N1042" t="s">
        <v>38</v>
      </c>
      <c r="O1042" s="2">
        <v>68.349999999999994</v>
      </c>
      <c r="P1042" s="2">
        <v>45.82</v>
      </c>
      <c r="Q1042" s="2">
        <v>22.53</v>
      </c>
      <c r="R1042">
        <v>1</v>
      </c>
      <c r="S1042">
        <v>0</v>
      </c>
      <c r="T1042">
        <v>4</v>
      </c>
      <c r="U1042">
        <v>5</v>
      </c>
    </row>
    <row r="1043" spans="1:21" ht="16.5" x14ac:dyDescent="0.3">
      <c r="A1043" t="s">
        <v>1123</v>
      </c>
      <c r="B1043" s="1">
        <v>45465</v>
      </c>
      <c r="C1043">
        <v>2024</v>
      </c>
      <c r="D1043" t="s">
        <v>599</v>
      </c>
      <c r="E1043" t="s">
        <v>1000</v>
      </c>
      <c r="F1043" t="s">
        <v>45</v>
      </c>
      <c r="G1043" t="s">
        <v>51</v>
      </c>
      <c r="H1043" t="s">
        <v>26</v>
      </c>
      <c r="I1043" t="s">
        <v>27</v>
      </c>
      <c r="J1043" t="s">
        <v>28</v>
      </c>
      <c r="K1043">
        <v>3</v>
      </c>
      <c r="L1043" s="2">
        <v>138.5</v>
      </c>
      <c r="M1043" s="3">
        <v>0</v>
      </c>
      <c r="N1043" t="s">
        <v>38</v>
      </c>
      <c r="O1043" s="2">
        <v>415.5</v>
      </c>
      <c r="P1043" s="2">
        <v>227.32</v>
      </c>
      <c r="Q1043" s="2">
        <v>188.18</v>
      </c>
      <c r="R1043">
        <v>1</v>
      </c>
      <c r="S1043">
        <v>0</v>
      </c>
      <c r="T1043">
        <v>4</v>
      </c>
      <c r="U1043">
        <v>5</v>
      </c>
    </row>
    <row r="1044" spans="1:21" ht="16.5" x14ac:dyDescent="0.3">
      <c r="A1044" t="s">
        <v>1124</v>
      </c>
      <c r="B1044" s="1">
        <v>45465</v>
      </c>
      <c r="C1044">
        <v>2024</v>
      </c>
      <c r="D1044" t="s">
        <v>599</v>
      </c>
      <c r="E1044" t="s">
        <v>1000</v>
      </c>
      <c r="F1044" t="s">
        <v>45</v>
      </c>
      <c r="G1044" t="s">
        <v>49</v>
      </c>
      <c r="H1044" t="s">
        <v>32</v>
      </c>
      <c r="I1044" t="s">
        <v>67</v>
      </c>
      <c r="J1044" t="s">
        <v>174</v>
      </c>
      <c r="K1044">
        <v>1</v>
      </c>
      <c r="L1044" s="2">
        <v>137.05000000000001</v>
      </c>
      <c r="M1044" s="3">
        <v>0</v>
      </c>
      <c r="N1044" t="s">
        <v>38</v>
      </c>
      <c r="O1044" s="2">
        <v>137.05000000000001</v>
      </c>
      <c r="P1044" s="2">
        <v>91.46</v>
      </c>
      <c r="Q1044" s="2">
        <v>45.59</v>
      </c>
      <c r="R1044">
        <v>1</v>
      </c>
      <c r="S1044">
        <v>0</v>
      </c>
      <c r="T1044">
        <v>4</v>
      </c>
      <c r="U1044">
        <v>5</v>
      </c>
    </row>
    <row r="1045" spans="1:21" ht="16.5" x14ac:dyDescent="0.3">
      <c r="A1045" t="s">
        <v>1125</v>
      </c>
      <c r="B1045" s="1">
        <v>45465</v>
      </c>
      <c r="C1045">
        <v>2024</v>
      </c>
      <c r="D1045" t="s">
        <v>599</v>
      </c>
      <c r="E1045" t="s">
        <v>1000</v>
      </c>
      <c r="F1045" t="s">
        <v>31</v>
      </c>
      <c r="G1045" t="s">
        <v>25</v>
      </c>
      <c r="H1045" t="s">
        <v>26</v>
      </c>
      <c r="I1045" t="s">
        <v>42</v>
      </c>
      <c r="J1045" t="s">
        <v>76</v>
      </c>
      <c r="K1045">
        <v>2</v>
      </c>
      <c r="L1045" s="2">
        <v>90.75</v>
      </c>
      <c r="M1045" s="3">
        <v>0.05</v>
      </c>
      <c r="N1045" t="s">
        <v>29</v>
      </c>
      <c r="O1045" s="2">
        <v>172.42</v>
      </c>
      <c r="P1045" s="2">
        <v>119.68</v>
      </c>
      <c r="Q1045" s="2">
        <v>52.74</v>
      </c>
      <c r="R1045">
        <v>1</v>
      </c>
      <c r="S1045">
        <v>0</v>
      </c>
      <c r="T1045">
        <v>3</v>
      </c>
      <c r="U1045">
        <v>4</v>
      </c>
    </row>
    <row r="1046" spans="1:21" ht="16.5" x14ac:dyDescent="0.3">
      <c r="A1046" t="s">
        <v>1126</v>
      </c>
      <c r="B1046" s="1">
        <v>45465</v>
      </c>
      <c r="C1046">
        <v>2024</v>
      </c>
      <c r="D1046" t="s">
        <v>599</v>
      </c>
      <c r="E1046" t="s">
        <v>1000</v>
      </c>
      <c r="F1046" t="s">
        <v>24</v>
      </c>
      <c r="G1046" t="s">
        <v>49</v>
      </c>
      <c r="H1046" t="s">
        <v>32</v>
      </c>
      <c r="I1046" t="s">
        <v>67</v>
      </c>
      <c r="J1046" t="s">
        <v>93</v>
      </c>
      <c r="K1046">
        <v>2</v>
      </c>
      <c r="L1046" s="2">
        <v>198.42</v>
      </c>
      <c r="M1046" s="3">
        <v>0.05</v>
      </c>
      <c r="N1046" t="s">
        <v>29</v>
      </c>
      <c r="O1046" s="2">
        <v>377</v>
      </c>
      <c r="P1046" s="2">
        <v>265.63</v>
      </c>
      <c r="Q1046" s="2">
        <v>111.37</v>
      </c>
      <c r="R1046">
        <v>1</v>
      </c>
      <c r="S1046">
        <v>0</v>
      </c>
      <c r="T1046">
        <v>3</v>
      </c>
      <c r="U1046">
        <v>5</v>
      </c>
    </row>
    <row r="1047" spans="1:21" ht="16.5" x14ac:dyDescent="0.3">
      <c r="A1047" t="s">
        <v>1127</v>
      </c>
      <c r="B1047" s="1">
        <v>45465</v>
      </c>
      <c r="C1047">
        <v>2024</v>
      </c>
      <c r="D1047" t="s">
        <v>599</v>
      </c>
      <c r="E1047" t="s">
        <v>1000</v>
      </c>
      <c r="F1047" t="s">
        <v>31</v>
      </c>
      <c r="G1047" t="s">
        <v>25</v>
      </c>
      <c r="H1047" t="s">
        <v>26</v>
      </c>
      <c r="I1047" t="s">
        <v>70</v>
      </c>
      <c r="J1047" t="s">
        <v>162</v>
      </c>
      <c r="K1047">
        <v>1</v>
      </c>
      <c r="L1047" s="2">
        <v>636.09</v>
      </c>
      <c r="M1047" s="3">
        <v>0.05</v>
      </c>
      <c r="N1047" t="s">
        <v>29</v>
      </c>
      <c r="O1047" s="2">
        <v>604.29</v>
      </c>
      <c r="P1047" s="2">
        <v>501.76</v>
      </c>
      <c r="Q1047" s="2">
        <v>102.53</v>
      </c>
      <c r="R1047">
        <v>1</v>
      </c>
      <c r="S1047">
        <v>0</v>
      </c>
      <c r="T1047">
        <v>5</v>
      </c>
      <c r="U1047">
        <v>5</v>
      </c>
    </row>
    <row r="1048" spans="1:21" ht="16.5" x14ac:dyDescent="0.3">
      <c r="A1048" t="s">
        <v>1128</v>
      </c>
      <c r="B1048" s="1">
        <v>45465</v>
      </c>
      <c r="C1048">
        <v>2024</v>
      </c>
      <c r="D1048" t="s">
        <v>599</v>
      </c>
      <c r="E1048" t="s">
        <v>1000</v>
      </c>
      <c r="F1048" t="s">
        <v>45</v>
      </c>
      <c r="G1048" t="s">
        <v>51</v>
      </c>
      <c r="H1048" t="s">
        <v>32</v>
      </c>
      <c r="I1048" t="s">
        <v>27</v>
      </c>
      <c r="J1048" t="s">
        <v>110</v>
      </c>
      <c r="K1048">
        <v>1</v>
      </c>
      <c r="L1048" s="2">
        <v>19.41</v>
      </c>
      <c r="M1048" s="3">
        <v>0.05</v>
      </c>
      <c r="N1048" t="s">
        <v>29</v>
      </c>
      <c r="O1048" s="2">
        <v>18.440000000000001</v>
      </c>
      <c r="P1048" s="2">
        <v>10.62</v>
      </c>
      <c r="Q1048" s="2">
        <v>7.82</v>
      </c>
      <c r="R1048">
        <v>1</v>
      </c>
      <c r="S1048">
        <v>1</v>
      </c>
      <c r="T1048">
        <v>2</v>
      </c>
      <c r="U1048">
        <v>3</v>
      </c>
    </row>
    <row r="1049" spans="1:21" ht="16.5" x14ac:dyDescent="0.3">
      <c r="A1049" t="s">
        <v>1129</v>
      </c>
      <c r="B1049" s="1">
        <v>45465</v>
      </c>
      <c r="C1049">
        <v>2024</v>
      </c>
      <c r="D1049" t="s">
        <v>599</v>
      </c>
      <c r="E1049" t="s">
        <v>1000</v>
      </c>
      <c r="F1049" t="s">
        <v>45</v>
      </c>
      <c r="G1049" t="s">
        <v>51</v>
      </c>
      <c r="H1049" t="s">
        <v>26</v>
      </c>
      <c r="I1049" t="s">
        <v>42</v>
      </c>
      <c r="J1049" t="s">
        <v>58</v>
      </c>
      <c r="K1049">
        <v>1</v>
      </c>
      <c r="L1049" s="2">
        <v>233.81</v>
      </c>
      <c r="M1049" s="3">
        <v>0.05</v>
      </c>
      <c r="N1049" t="s">
        <v>29</v>
      </c>
      <c r="O1049" s="2">
        <v>222.12</v>
      </c>
      <c r="P1049" s="2">
        <v>156.93</v>
      </c>
      <c r="Q1049" s="2">
        <v>65.19</v>
      </c>
      <c r="R1049">
        <v>1</v>
      </c>
      <c r="S1049">
        <v>0</v>
      </c>
      <c r="T1049">
        <v>2</v>
      </c>
      <c r="U1049">
        <v>4</v>
      </c>
    </row>
    <row r="1050" spans="1:21" ht="16.5" x14ac:dyDescent="0.3">
      <c r="A1050" t="s">
        <v>1130</v>
      </c>
      <c r="B1050" s="1">
        <v>45466</v>
      </c>
      <c r="C1050">
        <v>2024</v>
      </c>
      <c r="D1050" t="s">
        <v>599</v>
      </c>
      <c r="E1050" t="s">
        <v>1000</v>
      </c>
      <c r="F1050" t="s">
        <v>24</v>
      </c>
      <c r="G1050" t="s">
        <v>46</v>
      </c>
      <c r="H1050" t="s">
        <v>32</v>
      </c>
      <c r="I1050" t="s">
        <v>27</v>
      </c>
      <c r="J1050" t="s">
        <v>40</v>
      </c>
      <c r="K1050">
        <v>1</v>
      </c>
      <c r="L1050" s="2">
        <v>104.94</v>
      </c>
      <c r="M1050" s="3">
        <v>0.15</v>
      </c>
      <c r="N1050" t="s">
        <v>34</v>
      </c>
      <c r="O1050" s="2">
        <v>89.2</v>
      </c>
      <c r="P1050" s="2">
        <v>55.4</v>
      </c>
      <c r="Q1050" s="2">
        <v>33.799999999999997</v>
      </c>
      <c r="R1050">
        <v>1</v>
      </c>
      <c r="S1050">
        <v>0</v>
      </c>
      <c r="T1050">
        <v>5</v>
      </c>
      <c r="U1050">
        <v>5</v>
      </c>
    </row>
    <row r="1051" spans="1:21" ht="16.5" x14ac:dyDescent="0.3">
      <c r="A1051" t="s">
        <v>1131</v>
      </c>
      <c r="B1051" s="1">
        <v>45466</v>
      </c>
      <c r="C1051">
        <v>2024</v>
      </c>
      <c r="D1051" t="s">
        <v>599</v>
      </c>
      <c r="E1051" t="s">
        <v>1000</v>
      </c>
      <c r="F1051" t="s">
        <v>24</v>
      </c>
      <c r="G1051" t="s">
        <v>51</v>
      </c>
      <c r="H1051" t="s">
        <v>26</v>
      </c>
      <c r="I1051" t="s">
        <v>42</v>
      </c>
      <c r="J1051" t="s">
        <v>58</v>
      </c>
      <c r="K1051">
        <v>3</v>
      </c>
      <c r="L1051" s="2">
        <v>233.81</v>
      </c>
      <c r="M1051" s="3">
        <v>0.15</v>
      </c>
      <c r="N1051" t="s">
        <v>34</v>
      </c>
      <c r="O1051" s="2">
        <v>596.22</v>
      </c>
      <c r="P1051" s="2">
        <v>444.11</v>
      </c>
      <c r="Q1051" s="2">
        <v>152.11000000000001</v>
      </c>
      <c r="R1051">
        <v>1</v>
      </c>
      <c r="S1051">
        <v>1</v>
      </c>
      <c r="T1051">
        <v>4</v>
      </c>
      <c r="U1051">
        <v>2</v>
      </c>
    </row>
    <row r="1052" spans="1:21" ht="16.5" x14ac:dyDescent="0.3">
      <c r="A1052" t="s">
        <v>1132</v>
      </c>
      <c r="B1052" s="1">
        <v>45466</v>
      </c>
      <c r="C1052">
        <v>2024</v>
      </c>
      <c r="D1052" t="s">
        <v>599</v>
      </c>
      <c r="E1052" t="s">
        <v>1000</v>
      </c>
      <c r="F1052" t="s">
        <v>24</v>
      </c>
      <c r="G1052" t="s">
        <v>65</v>
      </c>
      <c r="H1052" t="s">
        <v>32</v>
      </c>
      <c r="I1052" t="s">
        <v>70</v>
      </c>
      <c r="J1052" t="s">
        <v>87</v>
      </c>
      <c r="K1052">
        <v>2</v>
      </c>
      <c r="L1052" s="2">
        <v>490.3</v>
      </c>
      <c r="M1052" s="3">
        <v>0.05</v>
      </c>
      <c r="N1052" t="s">
        <v>29</v>
      </c>
      <c r="O1052" s="2">
        <v>931.57</v>
      </c>
      <c r="P1052" s="2">
        <v>776.84</v>
      </c>
      <c r="Q1052" s="2">
        <v>154.72999999999999</v>
      </c>
      <c r="R1052">
        <v>1</v>
      </c>
      <c r="S1052">
        <v>0</v>
      </c>
      <c r="T1052">
        <v>5</v>
      </c>
      <c r="U1052">
        <v>4</v>
      </c>
    </row>
    <row r="1053" spans="1:21" ht="16.5" x14ac:dyDescent="0.3">
      <c r="A1053" t="s">
        <v>1133</v>
      </c>
      <c r="B1053" s="1">
        <v>45466</v>
      </c>
      <c r="C1053">
        <v>2024</v>
      </c>
      <c r="D1053" t="s">
        <v>599</v>
      </c>
      <c r="E1053" t="s">
        <v>1000</v>
      </c>
      <c r="F1053" t="s">
        <v>45</v>
      </c>
      <c r="G1053" t="s">
        <v>25</v>
      </c>
      <c r="H1053" t="s">
        <v>32</v>
      </c>
      <c r="I1053" t="s">
        <v>42</v>
      </c>
      <c r="J1053" t="s">
        <v>43</v>
      </c>
      <c r="K1053">
        <v>1</v>
      </c>
      <c r="L1053" s="2">
        <v>154.66</v>
      </c>
      <c r="M1053" s="3">
        <v>0.05</v>
      </c>
      <c r="N1053" t="s">
        <v>29</v>
      </c>
      <c r="O1053" s="2">
        <v>146.93</v>
      </c>
      <c r="P1053" s="2">
        <v>107.79</v>
      </c>
      <c r="Q1053" s="2">
        <v>39.14</v>
      </c>
      <c r="R1053">
        <v>1</v>
      </c>
      <c r="S1053">
        <v>0</v>
      </c>
      <c r="T1053">
        <v>5</v>
      </c>
      <c r="U1053">
        <v>4</v>
      </c>
    </row>
    <row r="1054" spans="1:21" ht="16.5" x14ac:dyDescent="0.3">
      <c r="A1054" t="s">
        <v>1134</v>
      </c>
      <c r="B1054" s="1">
        <v>45466</v>
      </c>
      <c r="C1054">
        <v>2024</v>
      </c>
      <c r="D1054" t="s">
        <v>599</v>
      </c>
      <c r="E1054" t="s">
        <v>1000</v>
      </c>
      <c r="F1054" t="s">
        <v>24</v>
      </c>
      <c r="G1054" t="s">
        <v>51</v>
      </c>
      <c r="H1054" t="s">
        <v>26</v>
      </c>
      <c r="I1054" t="s">
        <v>70</v>
      </c>
      <c r="J1054" t="s">
        <v>82</v>
      </c>
      <c r="K1054">
        <v>1</v>
      </c>
      <c r="L1054" s="2">
        <v>508.8</v>
      </c>
      <c r="M1054" s="3">
        <v>0</v>
      </c>
      <c r="N1054" t="s">
        <v>38</v>
      </c>
      <c r="O1054" s="2">
        <v>508.8</v>
      </c>
      <c r="P1054" s="2">
        <v>394.14</v>
      </c>
      <c r="Q1054" s="2">
        <v>114.66</v>
      </c>
      <c r="R1054">
        <v>1</v>
      </c>
      <c r="S1054">
        <v>0</v>
      </c>
      <c r="T1054">
        <v>4</v>
      </c>
      <c r="U1054">
        <v>4</v>
      </c>
    </row>
    <row r="1055" spans="1:21" ht="16.5" x14ac:dyDescent="0.3">
      <c r="A1055" t="s">
        <v>1135</v>
      </c>
      <c r="B1055" s="1">
        <v>45466</v>
      </c>
      <c r="C1055">
        <v>2024</v>
      </c>
      <c r="D1055" t="s">
        <v>599</v>
      </c>
      <c r="E1055" t="s">
        <v>1000</v>
      </c>
      <c r="F1055" t="s">
        <v>24</v>
      </c>
      <c r="G1055" t="s">
        <v>25</v>
      </c>
      <c r="H1055" t="s">
        <v>26</v>
      </c>
      <c r="I1055" t="s">
        <v>36</v>
      </c>
      <c r="J1055" t="s">
        <v>52</v>
      </c>
      <c r="K1055">
        <v>3</v>
      </c>
      <c r="L1055" s="2">
        <v>92.54</v>
      </c>
      <c r="M1055" s="3">
        <v>0.1</v>
      </c>
      <c r="N1055" t="s">
        <v>29</v>
      </c>
      <c r="O1055" s="2">
        <v>249.86</v>
      </c>
      <c r="P1055" s="2">
        <v>137.55000000000001</v>
      </c>
      <c r="Q1055" s="2">
        <v>112.31</v>
      </c>
      <c r="R1055">
        <v>1</v>
      </c>
      <c r="S1055">
        <v>0</v>
      </c>
      <c r="T1055">
        <v>3</v>
      </c>
      <c r="U1055">
        <v>5</v>
      </c>
    </row>
    <row r="1056" spans="1:21" ht="16.5" x14ac:dyDescent="0.3">
      <c r="A1056" t="s">
        <v>1136</v>
      </c>
      <c r="B1056" s="1">
        <v>45466</v>
      </c>
      <c r="C1056">
        <v>2024</v>
      </c>
      <c r="D1056" t="s">
        <v>599</v>
      </c>
      <c r="E1056" t="s">
        <v>1000</v>
      </c>
      <c r="F1056" t="s">
        <v>24</v>
      </c>
      <c r="G1056" t="s">
        <v>25</v>
      </c>
      <c r="H1056" t="s">
        <v>26</v>
      </c>
      <c r="I1056" t="s">
        <v>70</v>
      </c>
      <c r="J1056" t="s">
        <v>87</v>
      </c>
      <c r="K1056">
        <v>1</v>
      </c>
      <c r="L1056" s="2">
        <v>490.3</v>
      </c>
      <c r="M1056" s="3">
        <v>0</v>
      </c>
      <c r="N1056" t="s">
        <v>38</v>
      </c>
      <c r="O1056" s="2">
        <v>490.3</v>
      </c>
      <c r="P1056" s="2">
        <v>397.33</v>
      </c>
      <c r="Q1056" s="2">
        <v>92.97</v>
      </c>
      <c r="R1056">
        <v>1</v>
      </c>
      <c r="S1056">
        <v>0</v>
      </c>
      <c r="T1056">
        <v>8</v>
      </c>
      <c r="U1056">
        <v>3</v>
      </c>
    </row>
    <row r="1057" spans="1:21" ht="16.5" x14ac:dyDescent="0.3">
      <c r="A1057" t="s">
        <v>1137</v>
      </c>
      <c r="B1057" s="1">
        <v>45466</v>
      </c>
      <c r="C1057">
        <v>2024</v>
      </c>
      <c r="D1057" t="s">
        <v>599</v>
      </c>
      <c r="E1057" t="s">
        <v>1000</v>
      </c>
      <c r="F1057" t="s">
        <v>24</v>
      </c>
      <c r="G1057" t="s">
        <v>65</v>
      </c>
      <c r="H1057" t="s">
        <v>32</v>
      </c>
      <c r="I1057" t="s">
        <v>84</v>
      </c>
      <c r="J1057" t="s">
        <v>85</v>
      </c>
      <c r="K1057">
        <v>1</v>
      </c>
      <c r="L1057" s="2">
        <v>57.92</v>
      </c>
      <c r="M1057" s="3">
        <v>0</v>
      </c>
      <c r="N1057" t="s">
        <v>38</v>
      </c>
      <c r="O1057" s="2">
        <v>57.92</v>
      </c>
      <c r="P1057" s="2">
        <v>42.76</v>
      </c>
      <c r="Q1057" s="2">
        <v>15.16</v>
      </c>
      <c r="R1057">
        <v>1</v>
      </c>
      <c r="S1057">
        <v>0</v>
      </c>
      <c r="T1057">
        <v>5</v>
      </c>
      <c r="U1057">
        <v>4</v>
      </c>
    </row>
    <row r="1058" spans="1:21" ht="16.5" x14ac:dyDescent="0.3">
      <c r="A1058" t="s">
        <v>1138</v>
      </c>
      <c r="B1058" s="1">
        <v>45467</v>
      </c>
      <c r="C1058">
        <v>2024</v>
      </c>
      <c r="D1058" t="s">
        <v>599</v>
      </c>
      <c r="E1058" t="s">
        <v>1000</v>
      </c>
      <c r="F1058" t="s">
        <v>24</v>
      </c>
      <c r="G1058" t="s">
        <v>49</v>
      </c>
      <c r="H1058" t="s">
        <v>26</v>
      </c>
      <c r="I1058" t="s">
        <v>70</v>
      </c>
      <c r="J1058" t="s">
        <v>82</v>
      </c>
      <c r="K1058">
        <v>2</v>
      </c>
      <c r="L1058" s="2">
        <v>508.8</v>
      </c>
      <c r="M1058" s="3">
        <v>0.1</v>
      </c>
      <c r="N1058" t="s">
        <v>29</v>
      </c>
      <c r="O1058" s="2">
        <v>915.84</v>
      </c>
      <c r="P1058" s="2">
        <v>829.27</v>
      </c>
      <c r="Q1058" s="2">
        <v>86.57</v>
      </c>
      <c r="R1058">
        <v>1</v>
      </c>
      <c r="S1058">
        <v>1</v>
      </c>
      <c r="T1058">
        <v>5</v>
      </c>
      <c r="U1058">
        <v>4</v>
      </c>
    </row>
    <row r="1059" spans="1:21" ht="16.5" x14ac:dyDescent="0.3">
      <c r="A1059" t="s">
        <v>1139</v>
      </c>
      <c r="B1059" s="1">
        <v>45467</v>
      </c>
      <c r="C1059">
        <v>2024</v>
      </c>
      <c r="D1059" t="s">
        <v>599</v>
      </c>
      <c r="E1059" t="s">
        <v>1000</v>
      </c>
      <c r="F1059" t="s">
        <v>24</v>
      </c>
      <c r="G1059" t="s">
        <v>51</v>
      </c>
      <c r="H1059" t="s">
        <v>32</v>
      </c>
      <c r="I1059" t="s">
        <v>84</v>
      </c>
      <c r="J1059" t="s">
        <v>223</v>
      </c>
      <c r="K1059">
        <v>3</v>
      </c>
      <c r="L1059" s="2">
        <v>16.97</v>
      </c>
      <c r="M1059" s="3">
        <v>0</v>
      </c>
      <c r="N1059" t="s">
        <v>38</v>
      </c>
      <c r="O1059" s="2">
        <v>50.91</v>
      </c>
      <c r="P1059" s="2">
        <v>35.71</v>
      </c>
      <c r="Q1059" s="2">
        <v>15.2</v>
      </c>
      <c r="R1059">
        <v>1</v>
      </c>
      <c r="S1059">
        <v>0</v>
      </c>
      <c r="T1059">
        <v>3</v>
      </c>
      <c r="U1059">
        <v>5</v>
      </c>
    </row>
    <row r="1060" spans="1:21" ht="16.5" x14ac:dyDescent="0.3">
      <c r="A1060" t="s">
        <v>1140</v>
      </c>
      <c r="B1060" s="1">
        <v>45467</v>
      </c>
      <c r="C1060">
        <v>2024</v>
      </c>
      <c r="D1060" t="s">
        <v>599</v>
      </c>
      <c r="E1060" t="s">
        <v>1000</v>
      </c>
      <c r="F1060" t="s">
        <v>45</v>
      </c>
      <c r="G1060" t="s">
        <v>49</v>
      </c>
      <c r="H1060" t="s">
        <v>26</v>
      </c>
      <c r="I1060" t="s">
        <v>42</v>
      </c>
      <c r="J1060" t="s">
        <v>76</v>
      </c>
      <c r="K1060">
        <v>1</v>
      </c>
      <c r="L1060" s="2">
        <v>90.75</v>
      </c>
      <c r="M1060" s="3">
        <v>0.1</v>
      </c>
      <c r="N1060" t="s">
        <v>29</v>
      </c>
      <c r="O1060" s="2">
        <v>81.680000000000007</v>
      </c>
      <c r="P1060" s="2">
        <v>61.06</v>
      </c>
      <c r="Q1060" s="2">
        <v>20.62</v>
      </c>
      <c r="R1060">
        <v>1</v>
      </c>
      <c r="S1060">
        <v>0</v>
      </c>
      <c r="T1060">
        <v>4</v>
      </c>
      <c r="U1060">
        <v>5</v>
      </c>
    </row>
    <row r="1061" spans="1:21" ht="16.5" x14ac:dyDescent="0.3">
      <c r="A1061" t="s">
        <v>1141</v>
      </c>
      <c r="B1061" s="1">
        <v>45468</v>
      </c>
      <c r="C1061">
        <v>2024</v>
      </c>
      <c r="D1061" t="s">
        <v>599</v>
      </c>
      <c r="E1061" t="s">
        <v>1000</v>
      </c>
      <c r="F1061" t="s">
        <v>31</v>
      </c>
      <c r="G1061" t="s">
        <v>49</v>
      </c>
      <c r="H1061" t="s">
        <v>26</v>
      </c>
      <c r="I1061" t="s">
        <v>42</v>
      </c>
      <c r="J1061" t="s">
        <v>43</v>
      </c>
      <c r="K1061">
        <v>1</v>
      </c>
      <c r="L1061" s="2">
        <v>154.66</v>
      </c>
      <c r="M1061" s="3">
        <v>0.25</v>
      </c>
      <c r="N1061" t="s">
        <v>62</v>
      </c>
      <c r="O1061" s="2">
        <v>116</v>
      </c>
      <c r="P1061" s="2">
        <v>103.76</v>
      </c>
      <c r="Q1061" s="2">
        <v>12.24</v>
      </c>
      <c r="R1061">
        <v>1</v>
      </c>
      <c r="S1061">
        <v>0</v>
      </c>
      <c r="T1061">
        <v>5</v>
      </c>
      <c r="U1061">
        <v>5</v>
      </c>
    </row>
    <row r="1062" spans="1:21" ht="16.5" x14ac:dyDescent="0.3">
      <c r="A1062" t="s">
        <v>1142</v>
      </c>
      <c r="B1062" s="1">
        <v>45468</v>
      </c>
      <c r="C1062">
        <v>2024</v>
      </c>
      <c r="D1062" t="s">
        <v>599</v>
      </c>
      <c r="E1062" t="s">
        <v>1000</v>
      </c>
      <c r="F1062" t="s">
        <v>31</v>
      </c>
      <c r="G1062" t="s">
        <v>49</v>
      </c>
      <c r="H1062" t="s">
        <v>26</v>
      </c>
      <c r="I1062" t="s">
        <v>42</v>
      </c>
      <c r="J1062" t="s">
        <v>54</v>
      </c>
      <c r="K1062">
        <v>1</v>
      </c>
      <c r="L1062" s="2">
        <v>148.05000000000001</v>
      </c>
      <c r="M1062" s="3">
        <v>0.25</v>
      </c>
      <c r="N1062" t="s">
        <v>62</v>
      </c>
      <c r="O1062" s="2">
        <v>111.04</v>
      </c>
      <c r="P1062" s="2">
        <v>98.58</v>
      </c>
      <c r="Q1062" s="2">
        <v>12.46</v>
      </c>
      <c r="R1062">
        <v>1</v>
      </c>
      <c r="S1062">
        <v>0</v>
      </c>
      <c r="T1062">
        <v>4</v>
      </c>
      <c r="U1062">
        <v>4</v>
      </c>
    </row>
    <row r="1063" spans="1:21" ht="16.5" x14ac:dyDescent="0.3">
      <c r="A1063" t="s">
        <v>1143</v>
      </c>
      <c r="B1063" s="1">
        <v>45468</v>
      </c>
      <c r="C1063">
        <v>2024</v>
      </c>
      <c r="D1063" t="s">
        <v>599</v>
      </c>
      <c r="E1063" t="s">
        <v>1000</v>
      </c>
      <c r="F1063" t="s">
        <v>24</v>
      </c>
      <c r="G1063" t="s">
        <v>51</v>
      </c>
      <c r="H1063" t="s">
        <v>32</v>
      </c>
      <c r="I1063" t="s">
        <v>42</v>
      </c>
      <c r="J1063" t="s">
        <v>54</v>
      </c>
      <c r="K1063">
        <v>2</v>
      </c>
      <c r="L1063" s="2">
        <v>148.05000000000001</v>
      </c>
      <c r="M1063" s="3">
        <v>0.15</v>
      </c>
      <c r="N1063" t="s">
        <v>34</v>
      </c>
      <c r="O1063" s="2">
        <v>251.68</v>
      </c>
      <c r="P1063" s="2">
        <v>194.39</v>
      </c>
      <c r="Q1063" s="2">
        <v>57.29</v>
      </c>
      <c r="R1063">
        <v>1</v>
      </c>
      <c r="S1063">
        <v>0</v>
      </c>
      <c r="T1063">
        <v>3</v>
      </c>
      <c r="U1063">
        <v>5</v>
      </c>
    </row>
    <row r="1064" spans="1:21" ht="16.5" x14ac:dyDescent="0.3">
      <c r="A1064" t="s">
        <v>1144</v>
      </c>
      <c r="B1064" s="1">
        <v>45468</v>
      </c>
      <c r="C1064">
        <v>2024</v>
      </c>
      <c r="D1064" t="s">
        <v>599</v>
      </c>
      <c r="E1064" t="s">
        <v>1000</v>
      </c>
      <c r="F1064" t="s">
        <v>31</v>
      </c>
      <c r="G1064" t="s">
        <v>49</v>
      </c>
      <c r="H1064" t="s">
        <v>32</v>
      </c>
      <c r="I1064" t="s">
        <v>70</v>
      </c>
      <c r="J1064" t="s">
        <v>82</v>
      </c>
      <c r="K1064">
        <v>1</v>
      </c>
      <c r="L1064" s="2">
        <v>508.8</v>
      </c>
      <c r="M1064" s="3">
        <v>0</v>
      </c>
      <c r="N1064" t="s">
        <v>38</v>
      </c>
      <c r="O1064" s="2">
        <v>508.8</v>
      </c>
      <c r="P1064" s="2">
        <v>398.59</v>
      </c>
      <c r="Q1064" s="2">
        <v>110.21</v>
      </c>
      <c r="R1064">
        <v>1</v>
      </c>
      <c r="S1064">
        <v>0</v>
      </c>
      <c r="T1064">
        <v>5</v>
      </c>
      <c r="U1064">
        <v>4</v>
      </c>
    </row>
    <row r="1065" spans="1:21" ht="16.5" x14ac:dyDescent="0.3">
      <c r="A1065" t="s">
        <v>1145</v>
      </c>
      <c r="B1065" s="1">
        <v>45468</v>
      </c>
      <c r="C1065">
        <v>2024</v>
      </c>
      <c r="D1065" t="s">
        <v>599</v>
      </c>
      <c r="E1065" t="s">
        <v>1000</v>
      </c>
      <c r="F1065" t="s">
        <v>31</v>
      </c>
      <c r="G1065" t="s">
        <v>25</v>
      </c>
      <c r="H1065" t="s">
        <v>32</v>
      </c>
      <c r="I1065" t="s">
        <v>70</v>
      </c>
      <c r="J1065" t="s">
        <v>252</v>
      </c>
      <c r="K1065">
        <v>1</v>
      </c>
      <c r="L1065" s="2">
        <v>216.08</v>
      </c>
      <c r="M1065" s="3">
        <v>0.1</v>
      </c>
      <c r="N1065" t="s">
        <v>29</v>
      </c>
      <c r="O1065" s="2">
        <v>194.47</v>
      </c>
      <c r="P1065" s="2">
        <v>168.04</v>
      </c>
      <c r="Q1065" s="2">
        <v>26.43</v>
      </c>
      <c r="R1065">
        <v>1</v>
      </c>
      <c r="S1065">
        <v>0</v>
      </c>
      <c r="T1065">
        <v>3</v>
      </c>
      <c r="U1065">
        <v>4</v>
      </c>
    </row>
    <row r="1066" spans="1:21" ht="16.5" x14ac:dyDescent="0.3">
      <c r="A1066" t="s">
        <v>1146</v>
      </c>
      <c r="B1066" s="1">
        <v>45469</v>
      </c>
      <c r="C1066">
        <v>2024</v>
      </c>
      <c r="D1066" t="s">
        <v>599</v>
      </c>
      <c r="E1066" t="s">
        <v>1000</v>
      </c>
      <c r="F1066" t="s">
        <v>24</v>
      </c>
      <c r="G1066" t="s">
        <v>65</v>
      </c>
      <c r="H1066" t="s">
        <v>32</v>
      </c>
      <c r="I1066" t="s">
        <v>42</v>
      </c>
      <c r="J1066" t="s">
        <v>89</v>
      </c>
      <c r="K1066">
        <v>1</v>
      </c>
      <c r="L1066" s="2">
        <v>68.349999999999994</v>
      </c>
      <c r="M1066" s="3">
        <v>0.05</v>
      </c>
      <c r="N1066" t="s">
        <v>29</v>
      </c>
      <c r="O1066" s="2">
        <v>64.930000000000007</v>
      </c>
      <c r="P1066" s="2">
        <v>44.72</v>
      </c>
      <c r="Q1066" s="2">
        <v>20.21</v>
      </c>
      <c r="R1066">
        <v>1</v>
      </c>
      <c r="S1066">
        <v>0</v>
      </c>
      <c r="T1066">
        <v>10</v>
      </c>
      <c r="U1066">
        <v>4</v>
      </c>
    </row>
    <row r="1067" spans="1:21" ht="16.5" x14ac:dyDescent="0.3">
      <c r="A1067" t="s">
        <v>1147</v>
      </c>
      <c r="B1067" s="1">
        <v>45469</v>
      </c>
      <c r="C1067">
        <v>2024</v>
      </c>
      <c r="D1067" t="s">
        <v>599</v>
      </c>
      <c r="E1067" t="s">
        <v>1000</v>
      </c>
      <c r="F1067" t="s">
        <v>45</v>
      </c>
      <c r="G1067" t="s">
        <v>49</v>
      </c>
      <c r="H1067" t="s">
        <v>32</v>
      </c>
      <c r="I1067" t="s">
        <v>36</v>
      </c>
      <c r="J1067" t="s">
        <v>126</v>
      </c>
      <c r="K1067">
        <v>2</v>
      </c>
      <c r="L1067" s="2">
        <v>54.56</v>
      </c>
      <c r="M1067" s="3">
        <v>0.05</v>
      </c>
      <c r="N1067" t="s">
        <v>29</v>
      </c>
      <c r="O1067" s="2">
        <v>103.66</v>
      </c>
      <c r="P1067" s="2">
        <v>52.32</v>
      </c>
      <c r="Q1067" s="2">
        <v>51.34</v>
      </c>
      <c r="R1067">
        <v>1</v>
      </c>
      <c r="S1067">
        <v>0</v>
      </c>
      <c r="T1067">
        <v>4</v>
      </c>
      <c r="U1067">
        <v>3</v>
      </c>
    </row>
    <row r="1068" spans="1:21" ht="16.5" x14ac:dyDescent="0.3">
      <c r="A1068" t="s">
        <v>1148</v>
      </c>
      <c r="B1068" s="1">
        <v>45469</v>
      </c>
      <c r="C1068">
        <v>2024</v>
      </c>
      <c r="D1068" t="s">
        <v>599</v>
      </c>
      <c r="E1068" t="s">
        <v>1000</v>
      </c>
      <c r="F1068" t="s">
        <v>31</v>
      </c>
      <c r="G1068" t="s">
        <v>51</v>
      </c>
      <c r="H1068" t="s">
        <v>32</v>
      </c>
      <c r="I1068" t="s">
        <v>84</v>
      </c>
      <c r="J1068" t="s">
        <v>223</v>
      </c>
      <c r="K1068">
        <v>2</v>
      </c>
      <c r="L1068" s="2">
        <v>16.97</v>
      </c>
      <c r="M1068" s="3">
        <v>0.25</v>
      </c>
      <c r="N1068" t="s">
        <v>62</v>
      </c>
      <c r="O1068" s="2">
        <v>25.46</v>
      </c>
      <c r="P1068" s="2">
        <v>23.74</v>
      </c>
      <c r="Q1068" s="2">
        <v>1.72</v>
      </c>
      <c r="R1068">
        <v>1</v>
      </c>
      <c r="S1068">
        <v>0</v>
      </c>
      <c r="T1068">
        <v>3</v>
      </c>
      <c r="U1068">
        <v>5</v>
      </c>
    </row>
    <row r="1069" spans="1:21" ht="16.5" x14ac:dyDescent="0.3">
      <c r="A1069" t="s">
        <v>1149</v>
      </c>
      <c r="B1069" s="1">
        <v>45469</v>
      </c>
      <c r="C1069">
        <v>2024</v>
      </c>
      <c r="D1069" t="s">
        <v>599</v>
      </c>
      <c r="E1069" t="s">
        <v>1000</v>
      </c>
      <c r="F1069" t="s">
        <v>45</v>
      </c>
      <c r="G1069" t="s">
        <v>25</v>
      </c>
      <c r="H1069" t="s">
        <v>26</v>
      </c>
      <c r="I1069" t="s">
        <v>42</v>
      </c>
      <c r="J1069" t="s">
        <v>89</v>
      </c>
      <c r="K1069">
        <v>1</v>
      </c>
      <c r="L1069" s="2">
        <v>68.349999999999994</v>
      </c>
      <c r="M1069" s="3">
        <v>0</v>
      </c>
      <c r="N1069" t="s">
        <v>38</v>
      </c>
      <c r="O1069" s="2">
        <v>68.349999999999994</v>
      </c>
      <c r="P1069" s="2">
        <v>43.71</v>
      </c>
      <c r="Q1069" s="2">
        <v>24.64</v>
      </c>
      <c r="R1069">
        <v>1</v>
      </c>
      <c r="S1069">
        <v>0</v>
      </c>
      <c r="T1069">
        <v>4</v>
      </c>
      <c r="U1069">
        <v>4</v>
      </c>
    </row>
    <row r="1070" spans="1:21" ht="16.5" x14ac:dyDescent="0.3">
      <c r="A1070" t="s">
        <v>1150</v>
      </c>
      <c r="B1070" s="1">
        <v>45470</v>
      </c>
      <c r="C1070">
        <v>2024</v>
      </c>
      <c r="D1070" t="s">
        <v>599</v>
      </c>
      <c r="E1070" t="s">
        <v>1000</v>
      </c>
      <c r="F1070" t="s">
        <v>31</v>
      </c>
      <c r="G1070" t="s">
        <v>25</v>
      </c>
      <c r="H1070" t="s">
        <v>32</v>
      </c>
      <c r="I1070" t="s">
        <v>42</v>
      </c>
      <c r="J1070" t="s">
        <v>43</v>
      </c>
      <c r="K1070">
        <v>1</v>
      </c>
      <c r="L1070" s="2">
        <v>154.66</v>
      </c>
      <c r="M1070" s="3">
        <v>0.05</v>
      </c>
      <c r="N1070" t="s">
        <v>29</v>
      </c>
      <c r="O1070" s="2">
        <v>146.93</v>
      </c>
      <c r="P1070" s="2">
        <v>102.93</v>
      </c>
      <c r="Q1070" s="2">
        <v>44</v>
      </c>
      <c r="R1070">
        <v>1</v>
      </c>
      <c r="S1070">
        <v>1</v>
      </c>
      <c r="T1070">
        <v>4</v>
      </c>
      <c r="U1070">
        <v>4</v>
      </c>
    </row>
    <row r="1071" spans="1:21" ht="16.5" x14ac:dyDescent="0.3">
      <c r="A1071" t="s">
        <v>1151</v>
      </c>
      <c r="B1071" s="1">
        <v>45470</v>
      </c>
      <c r="C1071">
        <v>2024</v>
      </c>
      <c r="D1071" t="s">
        <v>599</v>
      </c>
      <c r="E1071" t="s">
        <v>1000</v>
      </c>
      <c r="F1071" t="s">
        <v>24</v>
      </c>
      <c r="G1071" t="s">
        <v>51</v>
      </c>
      <c r="H1071" t="s">
        <v>32</v>
      </c>
      <c r="I1071" t="s">
        <v>27</v>
      </c>
      <c r="J1071" t="s">
        <v>28</v>
      </c>
      <c r="K1071">
        <v>1</v>
      </c>
      <c r="L1071" s="2">
        <v>138.5</v>
      </c>
      <c r="M1071" s="3">
        <v>0</v>
      </c>
      <c r="N1071" t="s">
        <v>38</v>
      </c>
      <c r="O1071" s="2">
        <v>138.5</v>
      </c>
      <c r="P1071" s="2">
        <v>76.94</v>
      </c>
      <c r="Q1071" s="2">
        <v>61.56</v>
      </c>
      <c r="R1071">
        <v>1</v>
      </c>
      <c r="S1071">
        <v>0</v>
      </c>
      <c r="T1071">
        <v>3</v>
      </c>
      <c r="U1071">
        <v>4</v>
      </c>
    </row>
    <row r="1072" spans="1:21" ht="16.5" x14ac:dyDescent="0.3">
      <c r="A1072" t="s">
        <v>1152</v>
      </c>
      <c r="B1072" s="1">
        <v>45470</v>
      </c>
      <c r="C1072">
        <v>2024</v>
      </c>
      <c r="D1072" t="s">
        <v>599</v>
      </c>
      <c r="E1072" t="s">
        <v>1000</v>
      </c>
      <c r="F1072" t="s">
        <v>24</v>
      </c>
      <c r="G1072" t="s">
        <v>46</v>
      </c>
      <c r="H1072" t="s">
        <v>32</v>
      </c>
      <c r="I1072" t="s">
        <v>84</v>
      </c>
      <c r="J1072" t="s">
        <v>85</v>
      </c>
      <c r="K1072">
        <v>2</v>
      </c>
      <c r="L1072" s="2">
        <v>57.92</v>
      </c>
      <c r="M1072" s="3">
        <v>0.1</v>
      </c>
      <c r="N1072" t="s">
        <v>29</v>
      </c>
      <c r="O1072" s="2">
        <v>104.26</v>
      </c>
      <c r="P1072" s="2">
        <v>86.51</v>
      </c>
      <c r="Q1072" s="2">
        <v>17.75</v>
      </c>
      <c r="R1072">
        <v>1</v>
      </c>
      <c r="S1072">
        <v>0</v>
      </c>
      <c r="T1072">
        <v>6</v>
      </c>
      <c r="U1072">
        <v>5</v>
      </c>
    </row>
    <row r="1073" spans="1:21" ht="16.5" x14ac:dyDescent="0.3">
      <c r="A1073" t="s">
        <v>1153</v>
      </c>
      <c r="B1073" s="1">
        <v>45470</v>
      </c>
      <c r="C1073">
        <v>2024</v>
      </c>
      <c r="D1073" t="s">
        <v>599</v>
      </c>
      <c r="E1073" t="s">
        <v>1000</v>
      </c>
      <c r="F1073" t="s">
        <v>24</v>
      </c>
      <c r="G1073" t="s">
        <v>46</v>
      </c>
      <c r="H1073" t="s">
        <v>32</v>
      </c>
      <c r="I1073" t="s">
        <v>67</v>
      </c>
      <c r="J1073" t="s">
        <v>68</v>
      </c>
      <c r="K1073">
        <v>1</v>
      </c>
      <c r="L1073" s="2">
        <v>74.459999999999994</v>
      </c>
      <c r="M1073" s="3">
        <v>0.05</v>
      </c>
      <c r="N1073" t="s">
        <v>29</v>
      </c>
      <c r="O1073" s="2">
        <v>70.739999999999995</v>
      </c>
      <c r="P1073" s="2">
        <v>49.36</v>
      </c>
      <c r="Q1073" s="2">
        <v>21.38</v>
      </c>
      <c r="R1073">
        <v>1</v>
      </c>
      <c r="S1073">
        <v>0</v>
      </c>
      <c r="T1073">
        <v>5</v>
      </c>
      <c r="U1073">
        <v>5</v>
      </c>
    </row>
    <row r="1074" spans="1:21" ht="16.5" x14ac:dyDescent="0.3">
      <c r="A1074" t="s">
        <v>1154</v>
      </c>
      <c r="B1074" s="1">
        <v>45470</v>
      </c>
      <c r="C1074">
        <v>2024</v>
      </c>
      <c r="D1074" t="s">
        <v>599</v>
      </c>
      <c r="E1074" t="s">
        <v>1000</v>
      </c>
      <c r="F1074" t="s">
        <v>24</v>
      </c>
      <c r="G1074" t="s">
        <v>46</v>
      </c>
      <c r="H1074" t="s">
        <v>26</v>
      </c>
      <c r="I1074" t="s">
        <v>67</v>
      </c>
      <c r="J1074" t="s">
        <v>103</v>
      </c>
      <c r="K1074">
        <v>2</v>
      </c>
      <c r="L1074" s="2">
        <v>83.06</v>
      </c>
      <c r="M1074" s="3">
        <v>0.1</v>
      </c>
      <c r="N1074" t="s">
        <v>29</v>
      </c>
      <c r="O1074" s="2">
        <v>149.51</v>
      </c>
      <c r="P1074" s="2">
        <v>102.95</v>
      </c>
      <c r="Q1074" s="2">
        <v>46.56</v>
      </c>
      <c r="R1074">
        <v>1</v>
      </c>
      <c r="S1074">
        <v>0</v>
      </c>
      <c r="T1074">
        <v>5</v>
      </c>
      <c r="U1074">
        <v>4</v>
      </c>
    </row>
    <row r="1075" spans="1:21" ht="16.5" x14ac:dyDescent="0.3">
      <c r="A1075" t="s">
        <v>1155</v>
      </c>
      <c r="B1075" s="1">
        <v>45470</v>
      </c>
      <c r="C1075">
        <v>2024</v>
      </c>
      <c r="D1075" t="s">
        <v>599</v>
      </c>
      <c r="E1075" t="s">
        <v>1000</v>
      </c>
      <c r="F1075" t="s">
        <v>24</v>
      </c>
      <c r="G1075" t="s">
        <v>51</v>
      </c>
      <c r="H1075" t="s">
        <v>26</v>
      </c>
      <c r="I1075" t="s">
        <v>27</v>
      </c>
      <c r="J1075" t="s">
        <v>110</v>
      </c>
      <c r="K1075">
        <v>1</v>
      </c>
      <c r="L1075" s="2">
        <v>19.41</v>
      </c>
      <c r="M1075" s="3">
        <v>0</v>
      </c>
      <c r="N1075" t="s">
        <v>38</v>
      </c>
      <c r="O1075" s="2">
        <v>19.41</v>
      </c>
      <c r="P1075" s="2">
        <v>10.52</v>
      </c>
      <c r="Q1075" s="2">
        <v>8.89</v>
      </c>
      <c r="R1075">
        <v>1</v>
      </c>
      <c r="S1075">
        <v>0</v>
      </c>
      <c r="T1075">
        <v>2</v>
      </c>
      <c r="U1075">
        <v>4</v>
      </c>
    </row>
    <row r="1076" spans="1:21" ht="16.5" x14ac:dyDescent="0.3">
      <c r="A1076" t="s">
        <v>1156</v>
      </c>
      <c r="B1076" s="1">
        <v>45470</v>
      </c>
      <c r="C1076">
        <v>2024</v>
      </c>
      <c r="D1076" t="s">
        <v>599</v>
      </c>
      <c r="E1076" t="s">
        <v>1000</v>
      </c>
      <c r="F1076" t="s">
        <v>45</v>
      </c>
      <c r="G1076" t="s">
        <v>25</v>
      </c>
      <c r="H1076" t="s">
        <v>32</v>
      </c>
      <c r="I1076" t="s">
        <v>70</v>
      </c>
      <c r="J1076" t="s">
        <v>162</v>
      </c>
      <c r="K1076">
        <v>2</v>
      </c>
      <c r="L1076" s="2">
        <v>636.09</v>
      </c>
      <c r="M1076" s="3">
        <v>0</v>
      </c>
      <c r="N1076" t="s">
        <v>38</v>
      </c>
      <c r="O1076" s="2">
        <v>1272.18</v>
      </c>
      <c r="P1076" s="2">
        <v>1069.98</v>
      </c>
      <c r="Q1076" s="2">
        <v>202.2</v>
      </c>
      <c r="R1076">
        <v>1</v>
      </c>
      <c r="S1076">
        <v>0</v>
      </c>
      <c r="T1076">
        <v>3</v>
      </c>
      <c r="U1076">
        <v>4</v>
      </c>
    </row>
    <row r="1077" spans="1:21" ht="16.5" x14ac:dyDescent="0.3">
      <c r="A1077" t="s">
        <v>1157</v>
      </c>
      <c r="B1077" s="1">
        <v>45471</v>
      </c>
      <c r="C1077">
        <v>2024</v>
      </c>
      <c r="D1077" t="s">
        <v>599</v>
      </c>
      <c r="E1077" t="s">
        <v>1000</v>
      </c>
      <c r="F1077" t="s">
        <v>45</v>
      </c>
      <c r="G1077" t="s">
        <v>49</v>
      </c>
      <c r="H1077" t="s">
        <v>32</v>
      </c>
      <c r="I1077" t="s">
        <v>67</v>
      </c>
      <c r="J1077" t="s">
        <v>174</v>
      </c>
      <c r="K1077">
        <v>2</v>
      </c>
      <c r="L1077" s="2">
        <v>137.05000000000001</v>
      </c>
      <c r="M1077" s="3">
        <v>0.15</v>
      </c>
      <c r="N1077" t="s">
        <v>34</v>
      </c>
      <c r="O1077" s="2">
        <v>232.98</v>
      </c>
      <c r="P1077" s="2">
        <v>177.58</v>
      </c>
      <c r="Q1077" s="2">
        <v>55.4</v>
      </c>
      <c r="R1077">
        <v>1</v>
      </c>
      <c r="S1077">
        <v>0</v>
      </c>
      <c r="T1077">
        <v>3</v>
      </c>
      <c r="U1077">
        <v>4</v>
      </c>
    </row>
    <row r="1078" spans="1:21" ht="16.5" x14ac:dyDescent="0.3">
      <c r="A1078" t="s">
        <v>1158</v>
      </c>
      <c r="B1078" s="1">
        <v>45471</v>
      </c>
      <c r="C1078">
        <v>2024</v>
      </c>
      <c r="D1078" t="s">
        <v>599</v>
      </c>
      <c r="E1078" t="s">
        <v>1000</v>
      </c>
      <c r="F1078" t="s">
        <v>31</v>
      </c>
      <c r="G1078" t="s">
        <v>51</v>
      </c>
      <c r="H1078" t="s">
        <v>26</v>
      </c>
      <c r="I1078" t="s">
        <v>70</v>
      </c>
      <c r="J1078" t="s">
        <v>71</v>
      </c>
      <c r="K1078">
        <v>1</v>
      </c>
      <c r="L1078" s="2">
        <v>588.41</v>
      </c>
      <c r="M1078" s="3">
        <v>0</v>
      </c>
      <c r="N1078" t="s">
        <v>38</v>
      </c>
      <c r="O1078" s="2">
        <v>588.41</v>
      </c>
      <c r="P1078" s="2">
        <v>473.04</v>
      </c>
      <c r="Q1078" s="2">
        <v>115.37</v>
      </c>
      <c r="R1078">
        <v>1</v>
      </c>
      <c r="S1078">
        <v>0</v>
      </c>
      <c r="T1078">
        <v>3</v>
      </c>
      <c r="U1078">
        <v>4</v>
      </c>
    </row>
    <row r="1079" spans="1:21" ht="16.5" x14ac:dyDescent="0.3">
      <c r="A1079" t="s">
        <v>1159</v>
      </c>
      <c r="B1079" s="1">
        <v>45471</v>
      </c>
      <c r="C1079">
        <v>2024</v>
      </c>
      <c r="D1079" t="s">
        <v>599</v>
      </c>
      <c r="E1079" t="s">
        <v>1000</v>
      </c>
      <c r="F1079" t="s">
        <v>31</v>
      </c>
      <c r="G1079" t="s">
        <v>46</v>
      </c>
      <c r="H1079" t="s">
        <v>32</v>
      </c>
      <c r="I1079" t="s">
        <v>36</v>
      </c>
      <c r="J1079" t="s">
        <v>126</v>
      </c>
      <c r="K1079">
        <v>1</v>
      </c>
      <c r="L1079" s="2">
        <v>54.56</v>
      </c>
      <c r="M1079" s="3">
        <v>0</v>
      </c>
      <c r="N1079" t="s">
        <v>38</v>
      </c>
      <c r="O1079" s="2">
        <v>54.56</v>
      </c>
      <c r="P1079" s="2">
        <v>25.8</v>
      </c>
      <c r="Q1079" s="2">
        <v>28.76</v>
      </c>
      <c r="R1079">
        <v>1</v>
      </c>
      <c r="S1079">
        <v>0</v>
      </c>
      <c r="T1079">
        <v>5</v>
      </c>
      <c r="U1079">
        <v>4</v>
      </c>
    </row>
    <row r="1080" spans="1:21" ht="16.5" x14ac:dyDescent="0.3">
      <c r="A1080" t="s">
        <v>1160</v>
      </c>
      <c r="B1080" s="1">
        <v>45471</v>
      </c>
      <c r="C1080">
        <v>2024</v>
      </c>
      <c r="D1080" t="s">
        <v>599</v>
      </c>
      <c r="E1080" t="s">
        <v>1000</v>
      </c>
      <c r="F1080" t="s">
        <v>31</v>
      </c>
      <c r="G1080" t="s">
        <v>46</v>
      </c>
      <c r="H1080" t="s">
        <v>32</v>
      </c>
      <c r="I1080" t="s">
        <v>27</v>
      </c>
      <c r="J1080" t="s">
        <v>110</v>
      </c>
      <c r="K1080">
        <v>3</v>
      </c>
      <c r="L1080" s="2">
        <v>19.41</v>
      </c>
      <c r="M1080" s="3">
        <v>0</v>
      </c>
      <c r="N1080" t="s">
        <v>38</v>
      </c>
      <c r="O1080" s="2">
        <v>58.23</v>
      </c>
      <c r="P1080" s="2">
        <v>31.35</v>
      </c>
      <c r="Q1080" s="2">
        <v>26.88</v>
      </c>
      <c r="R1080">
        <v>1</v>
      </c>
      <c r="S1080">
        <v>0</v>
      </c>
      <c r="T1080">
        <v>6</v>
      </c>
      <c r="U1080">
        <v>5</v>
      </c>
    </row>
    <row r="1081" spans="1:21" ht="16.5" x14ac:dyDescent="0.3">
      <c r="A1081" t="s">
        <v>1161</v>
      </c>
      <c r="B1081" s="1">
        <v>45471</v>
      </c>
      <c r="C1081">
        <v>2024</v>
      </c>
      <c r="D1081" t="s">
        <v>599</v>
      </c>
      <c r="E1081" t="s">
        <v>1000</v>
      </c>
      <c r="F1081" t="s">
        <v>31</v>
      </c>
      <c r="G1081" t="s">
        <v>65</v>
      </c>
      <c r="H1081" t="s">
        <v>32</v>
      </c>
      <c r="I1081" t="s">
        <v>42</v>
      </c>
      <c r="J1081" t="s">
        <v>54</v>
      </c>
      <c r="K1081">
        <v>1</v>
      </c>
      <c r="L1081" s="2">
        <v>148.05000000000001</v>
      </c>
      <c r="M1081" s="3">
        <v>0.1</v>
      </c>
      <c r="N1081" t="s">
        <v>29</v>
      </c>
      <c r="O1081" s="2">
        <v>133.24</v>
      </c>
      <c r="P1081" s="2">
        <v>97.73</v>
      </c>
      <c r="Q1081" s="2">
        <v>35.51</v>
      </c>
      <c r="R1081">
        <v>1</v>
      </c>
      <c r="S1081">
        <v>0</v>
      </c>
      <c r="T1081">
        <v>5</v>
      </c>
      <c r="U1081">
        <v>4</v>
      </c>
    </row>
    <row r="1082" spans="1:21" ht="16.5" x14ac:dyDescent="0.3">
      <c r="A1082" t="s">
        <v>1162</v>
      </c>
      <c r="B1082" s="1">
        <v>45471</v>
      </c>
      <c r="C1082">
        <v>2024</v>
      </c>
      <c r="D1082" t="s">
        <v>599</v>
      </c>
      <c r="E1082" t="s">
        <v>1000</v>
      </c>
      <c r="F1082" t="s">
        <v>45</v>
      </c>
      <c r="G1082" t="s">
        <v>49</v>
      </c>
      <c r="H1082" t="s">
        <v>26</v>
      </c>
      <c r="I1082" t="s">
        <v>67</v>
      </c>
      <c r="J1082" t="s">
        <v>68</v>
      </c>
      <c r="K1082">
        <v>1</v>
      </c>
      <c r="L1082" s="2">
        <v>74.459999999999994</v>
      </c>
      <c r="M1082" s="3">
        <v>0.1</v>
      </c>
      <c r="N1082" t="s">
        <v>29</v>
      </c>
      <c r="O1082" s="2">
        <v>67.010000000000005</v>
      </c>
      <c r="P1082" s="2">
        <v>49</v>
      </c>
      <c r="Q1082" s="2">
        <v>18.010000000000002</v>
      </c>
      <c r="R1082">
        <v>1</v>
      </c>
      <c r="S1082">
        <v>0</v>
      </c>
      <c r="T1082">
        <v>6</v>
      </c>
      <c r="U1082">
        <v>4</v>
      </c>
    </row>
    <row r="1083" spans="1:21" ht="16.5" x14ac:dyDescent="0.3">
      <c r="A1083" t="s">
        <v>1163</v>
      </c>
      <c r="B1083" s="1">
        <v>45471</v>
      </c>
      <c r="C1083">
        <v>2024</v>
      </c>
      <c r="D1083" t="s">
        <v>599</v>
      </c>
      <c r="E1083" t="s">
        <v>1000</v>
      </c>
      <c r="F1083" t="s">
        <v>24</v>
      </c>
      <c r="G1083" t="s">
        <v>46</v>
      </c>
      <c r="H1083" t="s">
        <v>26</v>
      </c>
      <c r="I1083" t="s">
        <v>27</v>
      </c>
      <c r="J1083" t="s">
        <v>47</v>
      </c>
      <c r="K1083">
        <v>1</v>
      </c>
      <c r="L1083" s="2">
        <v>33.99</v>
      </c>
      <c r="M1083" s="3">
        <v>0.15</v>
      </c>
      <c r="N1083" t="s">
        <v>34</v>
      </c>
      <c r="O1083" s="2">
        <v>28.89</v>
      </c>
      <c r="P1083" s="2">
        <v>18.41</v>
      </c>
      <c r="Q1083" s="2">
        <v>10.48</v>
      </c>
      <c r="R1083">
        <v>1</v>
      </c>
      <c r="S1083">
        <v>0</v>
      </c>
      <c r="T1083">
        <v>6</v>
      </c>
      <c r="U1083">
        <v>4</v>
      </c>
    </row>
    <row r="1084" spans="1:21" ht="16.5" x14ac:dyDescent="0.3">
      <c r="A1084" t="s">
        <v>1164</v>
      </c>
      <c r="B1084" s="1">
        <v>45472</v>
      </c>
      <c r="C1084">
        <v>2024</v>
      </c>
      <c r="D1084" t="s">
        <v>599</v>
      </c>
      <c r="E1084" t="s">
        <v>1000</v>
      </c>
      <c r="F1084" t="s">
        <v>24</v>
      </c>
      <c r="G1084" t="s">
        <v>51</v>
      </c>
      <c r="H1084" t="s">
        <v>26</v>
      </c>
      <c r="I1084" t="s">
        <v>27</v>
      </c>
      <c r="J1084" t="s">
        <v>33</v>
      </c>
      <c r="K1084">
        <v>3</v>
      </c>
      <c r="L1084" s="2">
        <v>78.510000000000005</v>
      </c>
      <c r="M1084" s="3">
        <v>0</v>
      </c>
      <c r="N1084" t="s">
        <v>38</v>
      </c>
      <c r="O1084" s="2">
        <v>235.53</v>
      </c>
      <c r="P1084" s="2">
        <v>129.43</v>
      </c>
      <c r="Q1084" s="2">
        <v>106.1</v>
      </c>
      <c r="R1084">
        <v>1</v>
      </c>
      <c r="S1084">
        <v>0</v>
      </c>
      <c r="T1084">
        <v>3</v>
      </c>
      <c r="U1084">
        <v>4</v>
      </c>
    </row>
    <row r="1085" spans="1:21" ht="16.5" x14ac:dyDescent="0.3">
      <c r="A1085" t="s">
        <v>1165</v>
      </c>
      <c r="B1085" s="1">
        <v>45472</v>
      </c>
      <c r="C1085">
        <v>2024</v>
      </c>
      <c r="D1085" t="s">
        <v>599</v>
      </c>
      <c r="E1085" t="s">
        <v>1000</v>
      </c>
      <c r="F1085" t="s">
        <v>24</v>
      </c>
      <c r="G1085" t="s">
        <v>49</v>
      </c>
      <c r="H1085" t="s">
        <v>32</v>
      </c>
      <c r="I1085" t="s">
        <v>36</v>
      </c>
      <c r="J1085" t="s">
        <v>56</v>
      </c>
      <c r="K1085">
        <v>1</v>
      </c>
      <c r="L1085" s="2">
        <v>74.3</v>
      </c>
      <c r="M1085" s="3">
        <v>0.15</v>
      </c>
      <c r="N1085" t="s">
        <v>34</v>
      </c>
      <c r="O1085" s="2">
        <v>63.15</v>
      </c>
      <c r="P1085" s="2">
        <v>34.89</v>
      </c>
      <c r="Q1085" s="2">
        <v>28.26</v>
      </c>
      <c r="R1085">
        <v>1</v>
      </c>
      <c r="S1085">
        <v>0</v>
      </c>
      <c r="T1085">
        <v>4</v>
      </c>
      <c r="U1085">
        <v>4</v>
      </c>
    </row>
    <row r="1086" spans="1:21" ht="16.5" x14ac:dyDescent="0.3">
      <c r="A1086" t="s">
        <v>1166</v>
      </c>
      <c r="B1086" s="1">
        <v>45472</v>
      </c>
      <c r="C1086">
        <v>2024</v>
      </c>
      <c r="D1086" t="s">
        <v>599</v>
      </c>
      <c r="E1086" t="s">
        <v>1000</v>
      </c>
      <c r="F1086" t="s">
        <v>45</v>
      </c>
      <c r="G1086" t="s">
        <v>25</v>
      </c>
      <c r="H1086" t="s">
        <v>32</v>
      </c>
      <c r="I1086" t="s">
        <v>36</v>
      </c>
      <c r="J1086" t="s">
        <v>52</v>
      </c>
      <c r="K1086">
        <v>1</v>
      </c>
      <c r="L1086" s="2">
        <v>92.54</v>
      </c>
      <c r="M1086" s="3">
        <v>0.1</v>
      </c>
      <c r="N1086" t="s">
        <v>29</v>
      </c>
      <c r="O1086" s="2">
        <v>83.29</v>
      </c>
      <c r="P1086" s="2">
        <v>45.03</v>
      </c>
      <c r="Q1086" s="2">
        <v>38.26</v>
      </c>
      <c r="R1086">
        <v>1</v>
      </c>
      <c r="S1086">
        <v>0</v>
      </c>
      <c r="T1086">
        <v>4</v>
      </c>
      <c r="U1086">
        <v>4</v>
      </c>
    </row>
    <row r="1087" spans="1:21" ht="16.5" x14ac:dyDescent="0.3">
      <c r="A1087" t="s">
        <v>1167</v>
      </c>
      <c r="B1087" s="1">
        <v>45472</v>
      </c>
      <c r="C1087">
        <v>2024</v>
      </c>
      <c r="D1087" t="s">
        <v>599</v>
      </c>
      <c r="E1087" t="s">
        <v>1000</v>
      </c>
      <c r="F1087" t="s">
        <v>24</v>
      </c>
      <c r="G1087" t="s">
        <v>51</v>
      </c>
      <c r="H1087" t="s">
        <v>32</v>
      </c>
      <c r="I1087" t="s">
        <v>84</v>
      </c>
      <c r="J1087" t="s">
        <v>132</v>
      </c>
      <c r="K1087">
        <v>1</v>
      </c>
      <c r="L1087" s="2">
        <v>48.86</v>
      </c>
      <c r="M1087" s="3">
        <v>0.05</v>
      </c>
      <c r="N1087" t="s">
        <v>29</v>
      </c>
      <c r="O1087" s="2">
        <v>46.42</v>
      </c>
      <c r="P1087" s="2">
        <v>36.06</v>
      </c>
      <c r="Q1087" s="2">
        <v>10.36</v>
      </c>
      <c r="R1087">
        <v>1</v>
      </c>
      <c r="S1087">
        <v>0</v>
      </c>
      <c r="T1087">
        <v>2</v>
      </c>
      <c r="U1087">
        <v>5</v>
      </c>
    </row>
    <row r="1088" spans="1:21" ht="16.5" x14ac:dyDescent="0.3">
      <c r="A1088" t="s">
        <v>1168</v>
      </c>
      <c r="B1088" s="1">
        <v>45472</v>
      </c>
      <c r="C1088">
        <v>2024</v>
      </c>
      <c r="D1088" t="s">
        <v>599</v>
      </c>
      <c r="E1088" t="s">
        <v>1000</v>
      </c>
      <c r="F1088" t="s">
        <v>45</v>
      </c>
      <c r="G1088" t="s">
        <v>25</v>
      </c>
      <c r="H1088" t="s">
        <v>32</v>
      </c>
      <c r="I1088" t="s">
        <v>36</v>
      </c>
      <c r="J1088" t="s">
        <v>126</v>
      </c>
      <c r="K1088">
        <v>2</v>
      </c>
      <c r="L1088" s="2">
        <v>54.56</v>
      </c>
      <c r="M1088" s="3">
        <v>0.05</v>
      </c>
      <c r="N1088" t="s">
        <v>29</v>
      </c>
      <c r="O1088" s="2">
        <v>103.66</v>
      </c>
      <c r="P1088" s="2">
        <v>55.4</v>
      </c>
      <c r="Q1088" s="2">
        <v>48.26</v>
      </c>
      <c r="R1088">
        <v>1</v>
      </c>
      <c r="S1088">
        <v>1</v>
      </c>
      <c r="T1088">
        <v>4</v>
      </c>
      <c r="U1088">
        <v>4</v>
      </c>
    </row>
    <row r="1089" spans="1:21" ht="16.5" x14ac:dyDescent="0.3">
      <c r="A1089" t="s">
        <v>1169</v>
      </c>
      <c r="B1089" s="1">
        <v>45472</v>
      </c>
      <c r="C1089">
        <v>2024</v>
      </c>
      <c r="D1089" t="s">
        <v>599</v>
      </c>
      <c r="E1089" t="s">
        <v>1000</v>
      </c>
      <c r="F1089" t="s">
        <v>31</v>
      </c>
      <c r="G1089" t="s">
        <v>49</v>
      </c>
      <c r="H1089" t="s">
        <v>26</v>
      </c>
      <c r="I1089" t="s">
        <v>84</v>
      </c>
      <c r="J1089" t="s">
        <v>223</v>
      </c>
      <c r="K1089">
        <v>1</v>
      </c>
      <c r="L1089" s="2">
        <v>16.97</v>
      </c>
      <c r="M1089" s="3">
        <v>0.05</v>
      </c>
      <c r="N1089" t="s">
        <v>29</v>
      </c>
      <c r="O1089" s="2">
        <v>16.12</v>
      </c>
      <c r="P1089" s="2">
        <v>11.81</v>
      </c>
      <c r="Q1089" s="2">
        <v>4.3099999999999996</v>
      </c>
      <c r="R1089">
        <v>1</v>
      </c>
      <c r="S1089">
        <v>0</v>
      </c>
      <c r="T1089">
        <v>3</v>
      </c>
      <c r="U1089">
        <v>4</v>
      </c>
    </row>
    <row r="1090" spans="1:21" ht="16.5" x14ac:dyDescent="0.3">
      <c r="A1090" t="s">
        <v>1170</v>
      </c>
      <c r="B1090" s="1">
        <v>45473</v>
      </c>
      <c r="C1090">
        <v>2024</v>
      </c>
      <c r="D1090" t="s">
        <v>599</v>
      </c>
      <c r="E1090" t="s">
        <v>1000</v>
      </c>
      <c r="F1090" t="s">
        <v>24</v>
      </c>
      <c r="G1090" t="s">
        <v>51</v>
      </c>
      <c r="H1090" t="s">
        <v>26</v>
      </c>
      <c r="I1090" t="s">
        <v>27</v>
      </c>
      <c r="J1090" t="s">
        <v>110</v>
      </c>
      <c r="K1090">
        <v>1</v>
      </c>
      <c r="L1090" s="2">
        <v>19.41</v>
      </c>
      <c r="M1090" s="3">
        <v>0.1</v>
      </c>
      <c r="N1090" t="s">
        <v>29</v>
      </c>
      <c r="O1090" s="2">
        <v>17.47</v>
      </c>
      <c r="P1090" s="2">
        <v>10.8</v>
      </c>
      <c r="Q1090" s="2">
        <v>6.67</v>
      </c>
      <c r="R1090">
        <v>1</v>
      </c>
      <c r="S1090">
        <v>1</v>
      </c>
      <c r="T1090">
        <v>4</v>
      </c>
      <c r="U1090">
        <v>3</v>
      </c>
    </row>
    <row r="1091" spans="1:21" ht="16.5" x14ac:dyDescent="0.3">
      <c r="A1091" t="s">
        <v>1171</v>
      </c>
      <c r="B1091" s="1">
        <v>45473</v>
      </c>
      <c r="C1091">
        <v>2024</v>
      </c>
      <c r="D1091" t="s">
        <v>599</v>
      </c>
      <c r="E1091" t="s">
        <v>1000</v>
      </c>
      <c r="F1091" t="s">
        <v>31</v>
      </c>
      <c r="G1091" t="s">
        <v>25</v>
      </c>
      <c r="H1091" t="s">
        <v>26</v>
      </c>
      <c r="I1091" t="s">
        <v>70</v>
      </c>
      <c r="J1091" t="s">
        <v>87</v>
      </c>
      <c r="K1091">
        <v>3</v>
      </c>
      <c r="L1091" s="2">
        <v>490.3</v>
      </c>
      <c r="M1091" s="3">
        <v>0.2</v>
      </c>
      <c r="N1091" t="s">
        <v>34</v>
      </c>
      <c r="O1091" s="2">
        <v>1176.72</v>
      </c>
      <c r="P1091" s="2">
        <v>1180.07</v>
      </c>
      <c r="Q1091" s="2">
        <v>-3.35</v>
      </c>
      <c r="R1091">
        <v>1</v>
      </c>
      <c r="S1091">
        <v>0</v>
      </c>
      <c r="T1091">
        <v>3</v>
      </c>
      <c r="U1091">
        <v>4</v>
      </c>
    </row>
    <row r="1092" spans="1:21" ht="16.5" x14ac:dyDescent="0.3">
      <c r="A1092" t="s">
        <v>1172</v>
      </c>
      <c r="B1092" s="1">
        <v>45473</v>
      </c>
      <c r="C1092">
        <v>2024</v>
      </c>
      <c r="D1092" t="s">
        <v>599</v>
      </c>
      <c r="E1092" t="s">
        <v>1000</v>
      </c>
      <c r="F1092" t="s">
        <v>45</v>
      </c>
      <c r="G1092" t="s">
        <v>65</v>
      </c>
      <c r="H1092" t="s">
        <v>32</v>
      </c>
      <c r="I1092" t="s">
        <v>70</v>
      </c>
      <c r="J1092" t="s">
        <v>252</v>
      </c>
      <c r="K1092">
        <v>1</v>
      </c>
      <c r="L1092" s="2">
        <v>216.08</v>
      </c>
      <c r="M1092" s="3">
        <v>0.15</v>
      </c>
      <c r="N1092" t="s">
        <v>34</v>
      </c>
      <c r="O1092" s="2">
        <v>183.67</v>
      </c>
      <c r="P1092" s="2">
        <v>178.98</v>
      </c>
      <c r="Q1092" s="2">
        <v>4.6900000000000004</v>
      </c>
      <c r="R1092">
        <v>1</v>
      </c>
      <c r="S1092">
        <v>0</v>
      </c>
      <c r="T1092">
        <v>6</v>
      </c>
      <c r="U1092">
        <v>4</v>
      </c>
    </row>
    <row r="1093" spans="1:21" ht="16.5" x14ac:dyDescent="0.3">
      <c r="A1093" t="s">
        <v>1173</v>
      </c>
      <c r="B1093" s="1">
        <v>45473</v>
      </c>
      <c r="C1093">
        <v>2024</v>
      </c>
      <c r="D1093" t="s">
        <v>599</v>
      </c>
      <c r="E1093" t="s">
        <v>1000</v>
      </c>
      <c r="F1093" t="s">
        <v>24</v>
      </c>
      <c r="G1093" t="s">
        <v>25</v>
      </c>
      <c r="H1093" t="s">
        <v>26</v>
      </c>
      <c r="I1093" t="s">
        <v>70</v>
      </c>
      <c r="J1093" t="s">
        <v>252</v>
      </c>
      <c r="K1093">
        <v>1</v>
      </c>
      <c r="L1093" s="2">
        <v>216.08</v>
      </c>
      <c r="M1093" s="3">
        <v>0.1</v>
      </c>
      <c r="N1093" t="s">
        <v>29</v>
      </c>
      <c r="O1093" s="2">
        <v>194.47</v>
      </c>
      <c r="P1093" s="2">
        <v>167.97</v>
      </c>
      <c r="Q1093" s="2">
        <v>26.5</v>
      </c>
      <c r="R1093">
        <v>1</v>
      </c>
      <c r="S1093">
        <v>0</v>
      </c>
      <c r="T1093">
        <v>5</v>
      </c>
      <c r="U1093">
        <v>4</v>
      </c>
    </row>
    <row r="1094" spans="1:21" ht="16.5" x14ac:dyDescent="0.3">
      <c r="A1094" t="s">
        <v>1174</v>
      </c>
      <c r="B1094" s="1">
        <v>45473</v>
      </c>
      <c r="C1094">
        <v>2024</v>
      </c>
      <c r="D1094" t="s">
        <v>599</v>
      </c>
      <c r="E1094" t="s">
        <v>1000</v>
      </c>
      <c r="F1094" t="s">
        <v>45</v>
      </c>
      <c r="G1094" t="s">
        <v>49</v>
      </c>
      <c r="H1094" t="s">
        <v>32</v>
      </c>
      <c r="I1094" t="s">
        <v>27</v>
      </c>
      <c r="J1094" t="s">
        <v>110</v>
      </c>
      <c r="K1094">
        <v>1</v>
      </c>
      <c r="L1094" s="2">
        <v>19.41</v>
      </c>
      <c r="M1094" s="3">
        <v>0</v>
      </c>
      <c r="N1094" t="s">
        <v>38</v>
      </c>
      <c r="O1094" s="2">
        <v>19.41</v>
      </c>
      <c r="P1094" s="2">
        <v>10.58</v>
      </c>
      <c r="Q1094" s="2">
        <v>8.83</v>
      </c>
      <c r="R1094">
        <v>1</v>
      </c>
      <c r="S1094">
        <v>0</v>
      </c>
      <c r="T1094">
        <v>6</v>
      </c>
      <c r="U1094">
        <v>3</v>
      </c>
    </row>
    <row r="1095" spans="1:21" ht="16.5" x14ac:dyDescent="0.3">
      <c r="A1095" t="s">
        <v>1175</v>
      </c>
      <c r="B1095" s="1">
        <v>45473</v>
      </c>
      <c r="C1095">
        <v>2024</v>
      </c>
      <c r="D1095" t="s">
        <v>599</v>
      </c>
      <c r="E1095" t="s">
        <v>1000</v>
      </c>
      <c r="F1095" t="s">
        <v>31</v>
      </c>
      <c r="G1095" t="s">
        <v>51</v>
      </c>
      <c r="H1095" t="s">
        <v>26</v>
      </c>
      <c r="I1095" t="s">
        <v>27</v>
      </c>
      <c r="J1095" t="s">
        <v>40</v>
      </c>
      <c r="K1095">
        <v>1</v>
      </c>
      <c r="L1095" s="2">
        <v>104.94</v>
      </c>
      <c r="M1095" s="3">
        <v>0.05</v>
      </c>
      <c r="N1095" t="s">
        <v>29</v>
      </c>
      <c r="O1095" s="2">
        <v>99.69</v>
      </c>
      <c r="P1095" s="2">
        <v>51.7</v>
      </c>
      <c r="Q1095" s="2">
        <v>47.99</v>
      </c>
      <c r="R1095">
        <v>1</v>
      </c>
      <c r="S1095">
        <v>0</v>
      </c>
      <c r="T1095">
        <v>2</v>
      </c>
      <c r="U1095">
        <v>4</v>
      </c>
    </row>
    <row r="1096" spans="1:21" ht="16.5" x14ac:dyDescent="0.3">
      <c r="A1096" t="s">
        <v>1176</v>
      </c>
      <c r="B1096" s="1">
        <v>45473</v>
      </c>
      <c r="C1096">
        <v>2024</v>
      </c>
      <c r="D1096" t="s">
        <v>599</v>
      </c>
      <c r="E1096" t="s">
        <v>1000</v>
      </c>
      <c r="F1096" t="s">
        <v>24</v>
      </c>
      <c r="G1096" t="s">
        <v>51</v>
      </c>
      <c r="H1096" t="s">
        <v>32</v>
      </c>
      <c r="I1096" t="s">
        <v>70</v>
      </c>
      <c r="J1096" t="s">
        <v>82</v>
      </c>
      <c r="K1096">
        <v>2</v>
      </c>
      <c r="L1096" s="2">
        <v>508.8</v>
      </c>
      <c r="M1096" s="3">
        <v>0</v>
      </c>
      <c r="N1096" t="s">
        <v>38</v>
      </c>
      <c r="O1096" s="2">
        <v>1017.6</v>
      </c>
      <c r="P1096" s="2">
        <v>830.32</v>
      </c>
      <c r="Q1096" s="2">
        <v>187.28</v>
      </c>
      <c r="R1096">
        <v>1</v>
      </c>
      <c r="S1096">
        <v>0</v>
      </c>
      <c r="T1096">
        <v>5</v>
      </c>
      <c r="U1096">
        <v>4</v>
      </c>
    </row>
    <row r="1097" spans="1:21" ht="16.5" x14ac:dyDescent="0.3">
      <c r="A1097" t="s">
        <v>1177</v>
      </c>
      <c r="B1097" s="1">
        <v>45473</v>
      </c>
      <c r="C1097">
        <v>2024</v>
      </c>
      <c r="D1097" t="s">
        <v>599</v>
      </c>
      <c r="E1097" t="s">
        <v>1000</v>
      </c>
      <c r="F1097" t="s">
        <v>45</v>
      </c>
      <c r="G1097" t="s">
        <v>49</v>
      </c>
      <c r="H1097" t="s">
        <v>32</v>
      </c>
      <c r="I1097" t="s">
        <v>84</v>
      </c>
      <c r="J1097" t="s">
        <v>132</v>
      </c>
      <c r="K1097">
        <v>2</v>
      </c>
      <c r="L1097" s="2">
        <v>48.86</v>
      </c>
      <c r="M1097" s="3">
        <v>0.15</v>
      </c>
      <c r="N1097" t="s">
        <v>34</v>
      </c>
      <c r="O1097" s="2">
        <v>83.06</v>
      </c>
      <c r="P1097" s="2">
        <v>68.78</v>
      </c>
      <c r="Q1097" s="2">
        <v>14.28</v>
      </c>
      <c r="R1097">
        <v>1</v>
      </c>
      <c r="S1097">
        <v>1</v>
      </c>
      <c r="T1097">
        <v>4</v>
      </c>
      <c r="U1097">
        <v>4</v>
      </c>
    </row>
    <row r="1098" spans="1:21" ht="16.5" x14ac:dyDescent="0.3">
      <c r="A1098" t="s">
        <v>1178</v>
      </c>
      <c r="B1098" s="1">
        <v>45473</v>
      </c>
      <c r="C1098">
        <v>2024</v>
      </c>
      <c r="D1098" t="s">
        <v>599</v>
      </c>
      <c r="E1098" t="s">
        <v>1000</v>
      </c>
      <c r="F1098" t="s">
        <v>24</v>
      </c>
      <c r="G1098" t="s">
        <v>49</v>
      </c>
      <c r="H1098" t="s">
        <v>32</v>
      </c>
      <c r="I1098" t="s">
        <v>84</v>
      </c>
      <c r="J1098" t="s">
        <v>106</v>
      </c>
      <c r="K1098">
        <v>3</v>
      </c>
      <c r="L1098" s="2">
        <v>45.28</v>
      </c>
      <c r="M1098" s="3">
        <v>0.2</v>
      </c>
      <c r="N1098" t="s">
        <v>34</v>
      </c>
      <c r="O1098" s="2">
        <v>108.67</v>
      </c>
      <c r="P1098" s="2">
        <v>102.75</v>
      </c>
      <c r="Q1098" s="2">
        <v>5.92</v>
      </c>
      <c r="R1098">
        <v>1</v>
      </c>
      <c r="S1098">
        <v>0</v>
      </c>
      <c r="T1098">
        <v>4</v>
      </c>
      <c r="U1098">
        <v>4</v>
      </c>
    </row>
    <row r="1099" spans="1:21" ht="16.5" x14ac:dyDescent="0.3">
      <c r="A1099" t="s">
        <v>1179</v>
      </c>
      <c r="B1099" s="1">
        <v>45473</v>
      </c>
      <c r="C1099">
        <v>2024</v>
      </c>
      <c r="D1099" t="s">
        <v>599</v>
      </c>
      <c r="E1099" t="s">
        <v>1000</v>
      </c>
      <c r="F1099" t="s">
        <v>45</v>
      </c>
      <c r="G1099" t="s">
        <v>51</v>
      </c>
      <c r="H1099" t="s">
        <v>26</v>
      </c>
      <c r="I1099" t="s">
        <v>27</v>
      </c>
      <c r="J1099" t="s">
        <v>28</v>
      </c>
      <c r="K1099">
        <v>1</v>
      </c>
      <c r="L1099" s="2">
        <v>138.5</v>
      </c>
      <c r="M1099" s="3">
        <v>0.05</v>
      </c>
      <c r="N1099" t="s">
        <v>29</v>
      </c>
      <c r="O1099" s="2">
        <v>131.57</v>
      </c>
      <c r="P1099" s="2">
        <v>71.650000000000006</v>
      </c>
      <c r="Q1099" s="2">
        <v>59.92</v>
      </c>
      <c r="R1099">
        <v>1</v>
      </c>
      <c r="S1099">
        <v>0</v>
      </c>
      <c r="T1099">
        <v>4</v>
      </c>
      <c r="U1099">
        <v>5</v>
      </c>
    </row>
    <row r="1100" spans="1:21" ht="16.5" x14ac:dyDescent="0.3">
      <c r="A1100" t="s">
        <v>1180</v>
      </c>
      <c r="B1100" s="1">
        <v>45473</v>
      </c>
      <c r="C1100">
        <v>2024</v>
      </c>
      <c r="D1100" t="s">
        <v>599</v>
      </c>
      <c r="E1100" t="s">
        <v>1000</v>
      </c>
      <c r="F1100" t="s">
        <v>24</v>
      </c>
      <c r="G1100" t="s">
        <v>51</v>
      </c>
      <c r="H1100" t="s">
        <v>32</v>
      </c>
      <c r="I1100" t="s">
        <v>67</v>
      </c>
      <c r="J1100" t="s">
        <v>174</v>
      </c>
      <c r="K1100">
        <v>1</v>
      </c>
      <c r="L1100" s="2">
        <v>137.05000000000001</v>
      </c>
      <c r="M1100" s="3">
        <v>0</v>
      </c>
      <c r="N1100" t="s">
        <v>38</v>
      </c>
      <c r="O1100" s="2">
        <v>137.05000000000001</v>
      </c>
      <c r="P1100" s="2">
        <v>91.72</v>
      </c>
      <c r="Q1100" s="2">
        <v>45.33</v>
      </c>
      <c r="R1100">
        <v>1</v>
      </c>
      <c r="S1100">
        <v>0</v>
      </c>
      <c r="T1100">
        <v>3</v>
      </c>
      <c r="U1100">
        <v>5</v>
      </c>
    </row>
    <row r="1101" spans="1:21" ht="16.5" x14ac:dyDescent="0.3">
      <c r="A1101" t="s">
        <v>1181</v>
      </c>
      <c r="B1101" s="1">
        <v>45473</v>
      </c>
      <c r="C1101">
        <v>2024</v>
      </c>
      <c r="D1101" t="s">
        <v>599</v>
      </c>
      <c r="E1101" t="s">
        <v>1000</v>
      </c>
      <c r="F1101" t="s">
        <v>24</v>
      </c>
      <c r="G1101" t="s">
        <v>65</v>
      </c>
      <c r="H1101" t="s">
        <v>26</v>
      </c>
      <c r="I1101" t="s">
        <v>42</v>
      </c>
      <c r="J1101" t="s">
        <v>58</v>
      </c>
      <c r="K1101">
        <v>3</v>
      </c>
      <c r="L1101" s="2">
        <v>233.81</v>
      </c>
      <c r="M1101" s="3">
        <v>0</v>
      </c>
      <c r="N1101" t="s">
        <v>38</v>
      </c>
      <c r="O1101" s="2">
        <v>701.43</v>
      </c>
      <c r="P1101" s="2">
        <v>451.57</v>
      </c>
      <c r="Q1101" s="2">
        <v>249.86</v>
      </c>
      <c r="R1101">
        <v>1</v>
      </c>
      <c r="S1101">
        <v>0</v>
      </c>
      <c r="T1101">
        <v>5</v>
      </c>
      <c r="U1101">
        <v>4</v>
      </c>
    </row>
    <row r="1102" spans="1:21" ht="16.5" x14ac:dyDescent="0.3">
      <c r="A1102" t="s">
        <v>1182</v>
      </c>
      <c r="B1102" s="1">
        <v>45473</v>
      </c>
      <c r="C1102">
        <v>2024</v>
      </c>
      <c r="D1102" t="s">
        <v>599</v>
      </c>
      <c r="E1102" t="s">
        <v>1000</v>
      </c>
      <c r="F1102" t="s">
        <v>24</v>
      </c>
      <c r="G1102" t="s">
        <v>49</v>
      </c>
      <c r="H1102" t="s">
        <v>32</v>
      </c>
      <c r="I1102" t="s">
        <v>42</v>
      </c>
      <c r="J1102" t="s">
        <v>43</v>
      </c>
      <c r="K1102">
        <v>1</v>
      </c>
      <c r="L1102" s="2">
        <v>154.66</v>
      </c>
      <c r="M1102" s="3">
        <v>0.1</v>
      </c>
      <c r="N1102" t="s">
        <v>29</v>
      </c>
      <c r="O1102" s="2">
        <v>139.19</v>
      </c>
      <c r="P1102" s="2">
        <v>100.05</v>
      </c>
      <c r="Q1102" s="2">
        <v>39.14</v>
      </c>
      <c r="R1102">
        <v>1</v>
      </c>
      <c r="S1102">
        <v>0</v>
      </c>
      <c r="T1102">
        <v>3</v>
      </c>
      <c r="U1102">
        <v>4</v>
      </c>
    </row>
    <row r="1103" spans="1:21" ht="16.5" x14ac:dyDescent="0.3">
      <c r="A1103" t="s">
        <v>1183</v>
      </c>
      <c r="B1103" s="1">
        <v>45473</v>
      </c>
      <c r="C1103">
        <v>2024</v>
      </c>
      <c r="D1103" t="s">
        <v>599</v>
      </c>
      <c r="E1103" t="s">
        <v>1000</v>
      </c>
      <c r="F1103" t="s">
        <v>24</v>
      </c>
      <c r="G1103" t="s">
        <v>51</v>
      </c>
      <c r="H1103" t="s">
        <v>32</v>
      </c>
      <c r="I1103" t="s">
        <v>27</v>
      </c>
      <c r="J1103" t="s">
        <v>47</v>
      </c>
      <c r="K1103">
        <v>3</v>
      </c>
      <c r="L1103" s="2">
        <v>33.99</v>
      </c>
      <c r="M1103" s="3">
        <v>0.05</v>
      </c>
      <c r="N1103" t="s">
        <v>29</v>
      </c>
      <c r="O1103" s="2">
        <v>96.87</v>
      </c>
      <c r="P1103" s="2">
        <v>58.22</v>
      </c>
      <c r="Q1103" s="2">
        <v>38.65</v>
      </c>
      <c r="R1103">
        <v>1</v>
      </c>
      <c r="S1103">
        <v>0</v>
      </c>
      <c r="T1103">
        <v>2</v>
      </c>
      <c r="U1103">
        <v>5</v>
      </c>
    </row>
    <row r="1104" spans="1:21" ht="16.5" x14ac:dyDescent="0.3">
      <c r="A1104" t="s">
        <v>1184</v>
      </c>
      <c r="B1104" s="1">
        <v>45473</v>
      </c>
      <c r="C1104">
        <v>2024</v>
      </c>
      <c r="D1104" t="s">
        <v>599</v>
      </c>
      <c r="E1104" t="s">
        <v>1000</v>
      </c>
      <c r="F1104" t="s">
        <v>31</v>
      </c>
      <c r="G1104" t="s">
        <v>49</v>
      </c>
      <c r="H1104" t="s">
        <v>26</v>
      </c>
      <c r="I1104" t="s">
        <v>27</v>
      </c>
      <c r="J1104" t="s">
        <v>110</v>
      </c>
      <c r="K1104">
        <v>1</v>
      </c>
      <c r="L1104" s="2">
        <v>19.41</v>
      </c>
      <c r="M1104" s="3">
        <v>0.1</v>
      </c>
      <c r="N1104" t="s">
        <v>29</v>
      </c>
      <c r="O1104" s="2">
        <v>17.47</v>
      </c>
      <c r="P1104" s="2">
        <v>10.42</v>
      </c>
      <c r="Q1104" s="2">
        <v>7.05</v>
      </c>
      <c r="R1104">
        <v>1</v>
      </c>
      <c r="S1104">
        <v>0</v>
      </c>
      <c r="T1104">
        <v>4</v>
      </c>
      <c r="U1104">
        <v>5</v>
      </c>
    </row>
    <row r="1105" spans="1:21" ht="16.5" x14ac:dyDescent="0.3">
      <c r="A1105" t="s">
        <v>1185</v>
      </c>
      <c r="B1105" s="1">
        <v>45473</v>
      </c>
      <c r="C1105">
        <v>2024</v>
      </c>
      <c r="D1105" t="s">
        <v>599</v>
      </c>
      <c r="E1105" t="s">
        <v>1000</v>
      </c>
      <c r="F1105" t="s">
        <v>45</v>
      </c>
      <c r="G1105" t="s">
        <v>51</v>
      </c>
      <c r="H1105" t="s">
        <v>32</v>
      </c>
      <c r="I1105" t="s">
        <v>36</v>
      </c>
      <c r="J1105" t="s">
        <v>56</v>
      </c>
      <c r="K1105">
        <v>1</v>
      </c>
      <c r="L1105" s="2">
        <v>74.3</v>
      </c>
      <c r="M1105" s="3">
        <v>0.1</v>
      </c>
      <c r="N1105" t="s">
        <v>29</v>
      </c>
      <c r="O1105" s="2">
        <v>66.87</v>
      </c>
      <c r="P1105" s="2">
        <v>36.97</v>
      </c>
      <c r="Q1105" s="2">
        <v>29.9</v>
      </c>
      <c r="R1105">
        <v>1</v>
      </c>
      <c r="S1105">
        <v>0</v>
      </c>
      <c r="T1105">
        <v>4</v>
      </c>
      <c r="U1105">
        <v>4</v>
      </c>
    </row>
    <row r="1106" spans="1:21" ht="16.5" x14ac:dyDescent="0.3">
      <c r="A1106" t="s">
        <v>1186</v>
      </c>
      <c r="B1106" s="1">
        <v>45474</v>
      </c>
      <c r="C1106">
        <v>2024</v>
      </c>
      <c r="D1106" t="s">
        <v>1187</v>
      </c>
      <c r="E1106" t="s">
        <v>1188</v>
      </c>
      <c r="F1106" t="s">
        <v>24</v>
      </c>
      <c r="G1106" t="s">
        <v>49</v>
      </c>
      <c r="H1106" t="s">
        <v>26</v>
      </c>
      <c r="I1106" t="s">
        <v>42</v>
      </c>
      <c r="J1106" t="s">
        <v>98</v>
      </c>
      <c r="K1106">
        <v>4</v>
      </c>
      <c r="L1106" s="2">
        <v>117.63</v>
      </c>
      <c r="M1106" s="3">
        <v>0.2</v>
      </c>
      <c r="N1106" t="s">
        <v>34</v>
      </c>
      <c r="O1106" s="2">
        <v>376.42</v>
      </c>
      <c r="P1106" s="2">
        <v>301.22000000000003</v>
      </c>
      <c r="Q1106" s="2">
        <v>75.2</v>
      </c>
      <c r="R1106">
        <v>1</v>
      </c>
      <c r="S1106">
        <v>0</v>
      </c>
      <c r="T1106">
        <v>4</v>
      </c>
      <c r="U1106">
        <v>4</v>
      </c>
    </row>
    <row r="1107" spans="1:21" ht="16.5" x14ac:dyDescent="0.3">
      <c r="A1107" t="s">
        <v>1189</v>
      </c>
      <c r="B1107" s="1">
        <v>45474</v>
      </c>
      <c r="C1107">
        <v>2024</v>
      </c>
      <c r="D1107" t="s">
        <v>1187</v>
      </c>
      <c r="E1107" t="s">
        <v>1188</v>
      </c>
      <c r="F1107" t="s">
        <v>24</v>
      </c>
      <c r="G1107" t="s">
        <v>25</v>
      </c>
      <c r="H1107" t="s">
        <v>26</v>
      </c>
      <c r="I1107" t="s">
        <v>70</v>
      </c>
      <c r="J1107" t="s">
        <v>87</v>
      </c>
      <c r="K1107">
        <v>2</v>
      </c>
      <c r="L1107" s="2">
        <v>490.3</v>
      </c>
      <c r="M1107" s="3">
        <v>0.1</v>
      </c>
      <c r="N1107" t="s">
        <v>29</v>
      </c>
      <c r="O1107" s="2">
        <v>882.54</v>
      </c>
      <c r="P1107" s="2">
        <v>783.66</v>
      </c>
      <c r="Q1107" s="2">
        <v>98.88</v>
      </c>
      <c r="R1107">
        <v>1</v>
      </c>
      <c r="S1107">
        <v>0</v>
      </c>
      <c r="T1107">
        <v>4</v>
      </c>
      <c r="U1107">
        <v>5</v>
      </c>
    </row>
    <row r="1108" spans="1:21" ht="16.5" x14ac:dyDescent="0.3">
      <c r="A1108" t="s">
        <v>1190</v>
      </c>
      <c r="B1108" s="1">
        <v>45474</v>
      </c>
      <c r="C1108">
        <v>2024</v>
      </c>
      <c r="D1108" t="s">
        <v>1187</v>
      </c>
      <c r="E1108" t="s">
        <v>1188</v>
      </c>
      <c r="F1108" t="s">
        <v>24</v>
      </c>
      <c r="G1108" t="s">
        <v>51</v>
      </c>
      <c r="H1108" t="s">
        <v>32</v>
      </c>
      <c r="I1108" t="s">
        <v>42</v>
      </c>
      <c r="J1108" t="s">
        <v>54</v>
      </c>
      <c r="K1108">
        <v>1</v>
      </c>
      <c r="L1108" s="2">
        <v>148.05000000000001</v>
      </c>
      <c r="M1108" s="3">
        <v>0.1</v>
      </c>
      <c r="N1108" t="s">
        <v>29</v>
      </c>
      <c r="O1108" s="2">
        <v>133.24</v>
      </c>
      <c r="P1108" s="2">
        <v>100.23</v>
      </c>
      <c r="Q1108" s="2">
        <v>33.01</v>
      </c>
      <c r="R1108">
        <v>1</v>
      </c>
      <c r="S1108">
        <v>0</v>
      </c>
      <c r="T1108">
        <v>2</v>
      </c>
      <c r="U1108">
        <v>5</v>
      </c>
    </row>
    <row r="1109" spans="1:21" ht="16.5" x14ac:dyDescent="0.3">
      <c r="A1109" t="s">
        <v>1191</v>
      </c>
      <c r="B1109" s="1">
        <v>45474</v>
      </c>
      <c r="C1109">
        <v>2024</v>
      </c>
      <c r="D1109" t="s">
        <v>1187</v>
      </c>
      <c r="E1109" t="s">
        <v>1188</v>
      </c>
      <c r="F1109" t="s">
        <v>31</v>
      </c>
      <c r="G1109" t="s">
        <v>49</v>
      </c>
      <c r="H1109" t="s">
        <v>32</v>
      </c>
      <c r="I1109" t="s">
        <v>84</v>
      </c>
      <c r="J1109" t="s">
        <v>132</v>
      </c>
      <c r="K1109">
        <v>2</v>
      </c>
      <c r="L1109" s="2">
        <v>48.86</v>
      </c>
      <c r="M1109" s="3">
        <v>0</v>
      </c>
      <c r="N1109" t="s">
        <v>38</v>
      </c>
      <c r="O1109" s="2">
        <v>97.72</v>
      </c>
      <c r="P1109" s="2">
        <v>67.75</v>
      </c>
      <c r="Q1109" s="2">
        <v>29.97</v>
      </c>
      <c r="R1109">
        <v>1</v>
      </c>
      <c r="S1109">
        <v>0</v>
      </c>
      <c r="T1109">
        <v>3</v>
      </c>
      <c r="U1109">
        <v>4</v>
      </c>
    </row>
    <row r="1110" spans="1:21" ht="16.5" x14ac:dyDescent="0.3">
      <c r="A1110" t="s">
        <v>1192</v>
      </c>
      <c r="B1110" s="1">
        <v>45474</v>
      </c>
      <c r="C1110">
        <v>2024</v>
      </c>
      <c r="D1110" t="s">
        <v>1187</v>
      </c>
      <c r="E1110" t="s">
        <v>1188</v>
      </c>
      <c r="F1110" t="s">
        <v>24</v>
      </c>
      <c r="G1110" t="s">
        <v>49</v>
      </c>
      <c r="H1110" t="s">
        <v>32</v>
      </c>
      <c r="I1110" t="s">
        <v>67</v>
      </c>
      <c r="J1110" t="s">
        <v>78</v>
      </c>
      <c r="K1110">
        <v>1</v>
      </c>
      <c r="L1110" s="2">
        <v>85.42</v>
      </c>
      <c r="M1110" s="3">
        <v>0.05</v>
      </c>
      <c r="N1110" t="s">
        <v>29</v>
      </c>
      <c r="O1110" s="2">
        <v>81.150000000000006</v>
      </c>
      <c r="P1110" s="2">
        <v>54.51</v>
      </c>
      <c r="Q1110" s="2">
        <v>26.64</v>
      </c>
      <c r="R1110">
        <v>1</v>
      </c>
      <c r="S1110">
        <v>0</v>
      </c>
      <c r="T1110">
        <v>3</v>
      </c>
      <c r="U1110">
        <v>4</v>
      </c>
    </row>
    <row r="1111" spans="1:21" ht="16.5" x14ac:dyDescent="0.3">
      <c r="A1111" t="s">
        <v>1193</v>
      </c>
      <c r="B1111" s="1">
        <v>45475</v>
      </c>
      <c r="C1111">
        <v>2024</v>
      </c>
      <c r="D1111" t="s">
        <v>1187</v>
      </c>
      <c r="E1111" t="s">
        <v>1188</v>
      </c>
      <c r="F1111" t="s">
        <v>31</v>
      </c>
      <c r="G1111" t="s">
        <v>51</v>
      </c>
      <c r="H1111" t="s">
        <v>32</v>
      </c>
      <c r="I1111" t="s">
        <v>27</v>
      </c>
      <c r="J1111" t="s">
        <v>33</v>
      </c>
      <c r="K1111">
        <v>1</v>
      </c>
      <c r="L1111" s="2">
        <v>78.510000000000005</v>
      </c>
      <c r="M1111" s="3">
        <v>0.25</v>
      </c>
      <c r="N1111" t="s">
        <v>62</v>
      </c>
      <c r="O1111" s="2">
        <v>58.88</v>
      </c>
      <c r="P1111" s="2">
        <v>42.12</v>
      </c>
      <c r="Q1111" s="2">
        <v>16.760000000000002</v>
      </c>
      <c r="R1111">
        <v>1</v>
      </c>
      <c r="S1111">
        <v>0</v>
      </c>
      <c r="T1111">
        <v>3</v>
      </c>
      <c r="U1111">
        <v>4</v>
      </c>
    </row>
    <row r="1112" spans="1:21" ht="16.5" x14ac:dyDescent="0.3">
      <c r="A1112" t="s">
        <v>1194</v>
      </c>
      <c r="B1112" s="1">
        <v>45475</v>
      </c>
      <c r="C1112">
        <v>2024</v>
      </c>
      <c r="D1112" t="s">
        <v>1187</v>
      </c>
      <c r="E1112" t="s">
        <v>1188</v>
      </c>
      <c r="F1112" t="s">
        <v>24</v>
      </c>
      <c r="G1112" t="s">
        <v>25</v>
      </c>
      <c r="H1112" t="s">
        <v>32</v>
      </c>
      <c r="I1112" t="s">
        <v>84</v>
      </c>
      <c r="J1112" t="s">
        <v>223</v>
      </c>
      <c r="K1112">
        <v>1</v>
      </c>
      <c r="L1112" s="2">
        <v>16.97</v>
      </c>
      <c r="M1112" s="3">
        <v>0</v>
      </c>
      <c r="N1112" t="s">
        <v>38</v>
      </c>
      <c r="O1112" s="2">
        <v>16.97</v>
      </c>
      <c r="P1112" s="2">
        <v>11.96</v>
      </c>
      <c r="Q1112" s="2">
        <v>5.01</v>
      </c>
      <c r="R1112">
        <v>1</v>
      </c>
      <c r="S1112">
        <v>0</v>
      </c>
      <c r="T1112">
        <v>6</v>
      </c>
      <c r="U1112">
        <v>4</v>
      </c>
    </row>
    <row r="1113" spans="1:21" ht="16.5" x14ac:dyDescent="0.3">
      <c r="A1113" t="s">
        <v>1195</v>
      </c>
      <c r="B1113" s="1">
        <v>45475</v>
      </c>
      <c r="C1113">
        <v>2024</v>
      </c>
      <c r="D1113" t="s">
        <v>1187</v>
      </c>
      <c r="E1113" t="s">
        <v>1188</v>
      </c>
      <c r="F1113" t="s">
        <v>45</v>
      </c>
      <c r="G1113" t="s">
        <v>49</v>
      </c>
      <c r="H1113" t="s">
        <v>32</v>
      </c>
      <c r="I1113" t="s">
        <v>67</v>
      </c>
      <c r="J1113" t="s">
        <v>174</v>
      </c>
      <c r="K1113">
        <v>3</v>
      </c>
      <c r="L1113" s="2">
        <v>137.05000000000001</v>
      </c>
      <c r="M1113" s="3">
        <v>0</v>
      </c>
      <c r="N1113" t="s">
        <v>38</v>
      </c>
      <c r="O1113" s="2">
        <v>411.15</v>
      </c>
      <c r="P1113" s="2">
        <v>280.2</v>
      </c>
      <c r="Q1113" s="2">
        <v>130.94999999999999</v>
      </c>
      <c r="R1113">
        <v>1</v>
      </c>
      <c r="S1113">
        <v>0</v>
      </c>
      <c r="T1113">
        <v>3</v>
      </c>
      <c r="U1113">
        <v>4</v>
      </c>
    </row>
    <row r="1114" spans="1:21" ht="16.5" x14ac:dyDescent="0.3">
      <c r="A1114" t="s">
        <v>1196</v>
      </c>
      <c r="B1114" s="1">
        <v>45476</v>
      </c>
      <c r="C1114">
        <v>2024</v>
      </c>
      <c r="D1114" t="s">
        <v>1187</v>
      </c>
      <c r="E1114" t="s">
        <v>1188</v>
      </c>
      <c r="F1114" t="s">
        <v>45</v>
      </c>
      <c r="G1114" t="s">
        <v>49</v>
      </c>
      <c r="H1114" t="s">
        <v>32</v>
      </c>
      <c r="I1114" t="s">
        <v>36</v>
      </c>
      <c r="J1114" t="s">
        <v>126</v>
      </c>
      <c r="K1114">
        <v>1</v>
      </c>
      <c r="L1114" s="2">
        <v>54.56</v>
      </c>
      <c r="M1114" s="3">
        <v>0.1</v>
      </c>
      <c r="N1114" t="s">
        <v>29</v>
      </c>
      <c r="O1114" s="2">
        <v>49.1</v>
      </c>
      <c r="P1114" s="2">
        <v>27.16</v>
      </c>
      <c r="Q1114" s="2">
        <v>21.94</v>
      </c>
      <c r="R1114">
        <v>1</v>
      </c>
      <c r="S1114">
        <v>0</v>
      </c>
      <c r="T1114">
        <v>4</v>
      </c>
      <c r="U1114">
        <v>4</v>
      </c>
    </row>
    <row r="1115" spans="1:21" ht="16.5" x14ac:dyDescent="0.3">
      <c r="A1115" t="s">
        <v>1197</v>
      </c>
      <c r="B1115" s="1">
        <v>45476</v>
      </c>
      <c r="C1115">
        <v>2024</v>
      </c>
      <c r="D1115" t="s">
        <v>1187</v>
      </c>
      <c r="E1115" t="s">
        <v>1188</v>
      </c>
      <c r="F1115" t="s">
        <v>31</v>
      </c>
      <c r="G1115" t="s">
        <v>25</v>
      </c>
      <c r="H1115" t="s">
        <v>32</v>
      </c>
      <c r="I1115" t="s">
        <v>67</v>
      </c>
      <c r="J1115" t="s">
        <v>174</v>
      </c>
      <c r="K1115">
        <v>1</v>
      </c>
      <c r="L1115" s="2">
        <v>137.05000000000001</v>
      </c>
      <c r="M1115" s="3">
        <v>0</v>
      </c>
      <c r="N1115" t="s">
        <v>38</v>
      </c>
      <c r="O1115" s="2">
        <v>137.05000000000001</v>
      </c>
      <c r="P1115" s="2">
        <v>91.31</v>
      </c>
      <c r="Q1115" s="2">
        <v>45.74</v>
      </c>
      <c r="R1115">
        <v>1</v>
      </c>
      <c r="S1115">
        <v>0</v>
      </c>
      <c r="T1115">
        <v>3</v>
      </c>
      <c r="U1115">
        <v>4</v>
      </c>
    </row>
    <row r="1116" spans="1:21" ht="16.5" x14ac:dyDescent="0.3">
      <c r="A1116" t="s">
        <v>1198</v>
      </c>
      <c r="B1116" s="1">
        <v>45476</v>
      </c>
      <c r="C1116">
        <v>2024</v>
      </c>
      <c r="D1116" t="s">
        <v>1187</v>
      </c>
      <c r="E1116" t="s">
        <v>1188</v>
      </c>
      <c r="F1116" t="s">
        <v>24</v>
      </c>
      <c r="G1116" t="s">
        <v>25</v>
      </c>
      <c r="H1116" t="s">
        <v>26</v>
      </c>
      <c r="I1116" t="s">
        <v>27</v>
      </c>
      <c r="J1116" t="s">
        <v>60</v>
      </c>
      <c r="K1116">
        <v>2</v>
      </c>
      <c r="L1116" s="2">
        <v>94.85</v>
      </c>
      <c r="M1116" s="3">
        <v>0.1</v>
      </c>
      <c r="N1116" t="s">
        <v>29</v>
      </c>
      <c r="O1116" s="2">
        <v>170.73</v>
      </c>
      <c r="P1116" s="2">
        <v>103.91</v>
      </c>
      <c r="Q1116" s="2">
        <v>66.819999999999993</v>
      </c>
      <c r="R1116">
        <v>1</v>
      </c>
      <c r="S1116">
        <v>0</v>
      </c>
      <c r="T1116">
        <v>3</v>
      </c>
      <c r="U1116">
        <v>4</v>
      </c>
    </row>
    <row r="1117" spans="1:21" ht="16.5" x14ac:dyDescent="0.3">
      <c r="A1117" t="s">
        <v>1199</v>
      </c>
      <c r="B1117" s="1">
        <v>45476</v>
      </c>
      <c r="C1117">
        <v>2024</v>
      </c>
      <c r="D1117" t="s">
        <v>1187</v>
      </c>
      <c r="E1117" t="s">
        <v>1188</v>
      </c>
      <c r="F1117" t="s">
        <v>45</v>
      </c>
      <c r="G1117" t="s">
        <v>25</v>
      </c>
      <c r="H1117" t="s">
        <v>32</v>
      </c>
      <c r="I1117" t="s">
        <v>67</v>
      </c>
      <c r="J1117" t="s">
        <v>103</v>
      </c>
      <c r="K1117">
        <v>1</v>
      </c>
      <c r="L1117" s="2">
        <v>83.06</v>
      </c>
      <c r="M1117" s="3">
        <v>0</v>
      </c>
      <c r="N1117" t="s">
        <v>38</v>
      </c>
      <c r="O1117" s="2">
        <v>83.06</v>
      </c>
      <c r="P1117" s="2">
        <v>54.42</v>
      </c>
      <c r="Q1117" s="2">
        <v>28.64</v>
      </c>
      <c r="R1117">
        <v>1</v>
      </c>
      <c r="S1117">
        <v>1</v>
      </c>
      <c r="T1117">
        <v>3</v>
      </c>
      <c r="U1117">
        <v>3</v>
      </c>
    </row>
    <row r="1118" spans="1:21" ht="16.5" x14ac:dyDescent="0.3">
      <c r="A1118" t="s">
        <v>1200</v>
      </c>
      <c r="B1118" s="1">
        <v>45476</v>
      </c>
      <c r="C1118">
        <v>2024</v>
      </c>
      <c r="D1118" t="s">
        <v>1187</v>
      </c>
      <c r="E1118" t="s">
        <v>1188</v>
      </c>
      <c r="F1118" t="s">
        <v>24</v>
      </c>
      <c r="G1118" t="s">
        <v>51</v>
      </c>
      <c r="H1118" t="s">
        <v>32</v>
      </c>
      <c r="I1118" t="s">
        <v>84</v>
      </c>
      <c r="J1118" t="s">
        <v>85</v>
      </c>
      <c r="K1118">
        <v>1</v>
      </c>
      <c r="L1118" s="2">
        <v>57.92</v>
      </c>
      <c r="M1118" s="3">
        <v>0.15</v>
      </c>
      <c r="N1118" t="s">
        <v>34</v>
      </c>
      <c r="O1118" s="2">
        <v>49.23</v>
      </c>
      <c r="P1118" s="2">
        <v>42.35</v>
      </c>
      <c r="Q1118" s="2">
        <v>6.88</v>
      </c>
      <c r="R1118">
        <v>1</v>
      </c>
      <c r="S1118">
        <v>0</v>
      </c>
      <c r="T1118">
        <v>2</v>
      </c>
      <c r="U1118">
        <v>5</v>
      </c>
    </row>
    <row r="1119" spans="1:21" ht="16.5" x14ac:dyDescent="0.3">
      <c r="A1119" t="s">
        <v>1201</v>
      </c>
      <c r="B1119" s="1">
        <v>45476</v>
      </c>
      <c r="C1119">
        <v>2024</v>
      </c>
      <c r="D1119" t="s">
        <v>1187</v>
      </c>
      <c r="E1119" t="s">
        <v>1188</v>
      </c>
      <c r="F1119" t="s">
        <v>31</v>
      </c>
      <c r="G1119" t="s">
        <v>49</v>
      </c>
      <c r="H1119" t="s">
        <v>26</v>
      </c>
      <c r="I1119" t="s">
        <v>27</v>
      </c>
      <c r="J1119" t="s">
        <v>40</v>
      </c>
      <c r="K1119">
        <v>2</v>
      </c>
      <c r="L1119" s="2">
        <v>104.94</v>
      </c>
      <c r="M1119" s="3">
        <v>0.2</v>
      </c>
      <c r="N1119" t="s">
        <v>34</v>
      </c>
      <c r="O1119" s="2">
        <v>167.9</v>
      </c>
      <c r="P1119" s="2">
        <v>113.34</v>
      </c>
      <c r="Q1119" s="2">
        <v>54.56</v>
      </c>
      <c r="R1119">
        <v>1</v>
      </c>
      <c r="S1119">
        <v>0</v>
      </c>
      <c r="T1119">
        <v>3</v>
      </c>
      <c r="U1119">
        <v>5</v>
      </c>
    </row>
    <row r="1120" spans="1:21" ht="16.5" x14ac:dyDescent="0.3">
      <c r="A1120" t="s">
        <v>1202</v>
      </c>
      <c r="B1120" s="1">
        <v>45476</v>
      </c>
      <c r="C1120">
        <v>2024</v>
      </c>
      <c r="D1120" t="s">
        <v>1187</v>
      </c>
      <c r="E1120" t="s">
        <v>1188</v>
      </c>
      <c r="F1120" t="s">
        <v>24</v>
      </c>
      <c r="G1120" t="s">
        <v>49</v>
      </c>
      <c r="H1120" t="s">
        <v>26</v>
      </c>
      <c r="I1120" t="s">
        <v>27</v>
      </c>
      <c r="J1120" t="s">
        <v>33</v>
      </c>
      <c r="K1120">
        <v>1</v>
      </c>
      <c r="L1120" s="2">
        <v>78.510000000000005</v>
      </c>
      <c r="M1120" s="3">
        <v>0.05</v>
      </c>
      <c r="N1120" t="s">
        <v>29</v>
      </c>
      <c r="O1120" s="2">
        <v>74.58</v>
      </c>
      <c r="P1120" s="2">
        <v>42.99</v>
      </c>
      <c r="Q1120" s="2">
        <v>31.59</v>
      </c>
      <c r="R1120">
        <v>1</v>
      </c>
      <c r="S1120">
        <v>1</v>
      </c>
      <c r="T1120">
        <v>3</v>
      </c>
      <c r="U1120">
        <v>2</v>
      </c>
    </row>
    <row r="1121" spans="1:21" ht="16.5" x14ac:dyDescent="0.3">
      <c r="A1121" t="s">
        <v>1203</v>
      </c>
      <c r="B1121" s="1">
        <v>45477</v>
      </c>
      <c r="C1121">
        <v>2024</v>
      </c>
      <c r="D1121" t="s">
        <v>1187</v>
      </c>
      <c r="E1121" t="s">
        <v>1188</v>
      </c>
      <c r="F1121" t="s">
        <v>31</v>
      </c>
      <c r="G1121" t="s">
        <v>51</v>
      </c>
      <c r="H1121" t="s">
        <v>26</v>
      </c>
      <c r="I1121" t="s">
        <v>70</v>
      </c>
      <c r="J1121" t="s">
        <v>129</v>
      </c>
      <c r="K1121">
        <v>1</v>
      </c>
      <c r="L1121" s="2">
        <v>177.65</v>
      </c>
      <c r="M1121" s="3">
        <v>0</v>
      </c>
      <c r="N1121" t="s">
        <v>38</v>
      </c>
      <c r="O1121" s="2">
        <v>177.65</v>
      </c>
      <c r="P1121" s="2">
        <v>142.87</v>
      </c>
      <c r="Q1121" s="2">
        <v>34.78</v>
      </c>
      <c r="R1121">
        <v>1</v>
      </c>
      <c r="S1121">
        <v>0</v>
      </c>
      <c r="T1121">
        <v>4</v>
      </c>
      <c r="U1121">
        <v>3</v>
      </c>
    </row>
    <row r="1122" spans="1:21" ht="16.5" x14ac:dyDescent="0.3">
      <c r="A1122" t="s">
        <v>1204</v>
      </c>
      <c r="B1122" s="1">
        <v>45477</v>
      </c>
      <c r="C1122">
        <v>2024</v>
      </c>
      <c r="D1122" t="s">
        <v>1187</v>
      </c>
      <c r="E1122" t="s">
        <v>1188</v>
      </c>
      <c r="F1122" t="s">
        <v>24</v>
      </c>
      <c r="G1122" t="s">
        <v>49</v>
      </c>
      <c r="H1122" t="s">
        <v>26</v>
      </c>
      <c r="I1122" t="s">
        <v>70</v>
      </c>
      <c r="J1122" t="s">
        <v>129</v>
      </c>
      <c r="K1122">
        <v>1</v>
      </c>
      <c r="L1122" s="2">
        <v>177.65</v>
      </c>
      <c r="M1122" s="3">
        <v>0</v>
      </c>
      <c r="N1122" t="s">
        <v>38</v>
      </c>
      <c r="O1122" s="2">
        <v>177.65</v>
      </c>
      <c r="P1122" s="2">
        <v>146.93</v>
      </c>
      <c r="Q1122" s="2">
        <v>30.72</v>
      </c>
      <c r="R1122">
        <v>1</v>
      </c>
      <c r="S1122">
        <v>0</v>
      </c>
      <c r="T1122">
        <v>4</v>
      </c>
      <c r="U1122">
        <v>4</v>
      </c>
    </row>
    <row r="1123" spans="1:21" ht="16.5" x14ac:dyDescent="0.3">
      <c r="A1123" t="s">
        <v>1205</v>
      </c>
      <c r="B1123" s="1">
        <v>45477</v>
      </c>
      <c r="C1123">
        <v>2024</v>
      </c>
      <c r="D1123" t="s">
        <v>1187</v>
      </c>
      <c r="E1123" t="s">
        <v>1188</v>
      </c>
      <c r="F1123" t="s">
        <v>45</v>
      </c>
      <c r="G1123" t="s">
        <v>49</v>
      </c>
      <c r="H1123" t="s">
        <v>32</v>
      </c>
      <c r="I1123" t="s">
        <v>70</v>
      </c>
      <c r="J1123" t="s">
        <v>82</v>
      </c>
      <c r="K1123">
        <v>1</v>
      </c>
      <c r="L1123" s="2">
        <v>508.8</v>
      </c>
      <c r="M1123" s="3">
        <v>0.3</v>
      </c>
      <c r="N1123" t="s">
        <v>62</v>
      </c>
      <c r="O1123" s="2">
        <v>356.16</v>
      </c>
      <c r="P1123" s="2">
        <v>409.91</v>
      </c>
      <c r="Q1123" s="2">
        <v>-53.75</v>
      </c>
      <c r="R1123">
        <v>1</v>
      </c>
      <c r="S1123">
        <v>0</v>
      </c>
      <c r="T1123">
        <v>4</v>
      </c>
      <c r="U1123">
        <v>4</v>
      </c>
    </row>
    <row r="1124" spans="1:21" ht="16.5" x14ac:dyDescent="0.3">
      <c r="A1124" t="s">
        <v>1206</v>
      </c>
      <c r="B1124" s="1">
        <v>45477</v>
      </c>
      <c r="C1124">
        <v>2024</v>
      </c>
      <c r="D1124" t="s">
        <v>1187</v>
      </c>
      <c r="E1124" t="s">
        <v>1188</v>
      </c>
      <c r="F1124" t="s">
        <v>24</v>
      </c>
      <c r="G1124" t="s">
        <v>51</v>
      </c>
      <c r="H1124" t="s">
        <v>32</v>
      </c>
      <c r="I1124" t="s">
        <v>36</v>
      </c>
      <c r="J1124" t="s">
        <v>56</v>
      </c>
      <c r="K1124">
        <v>2</v>
      </c>
      <c r="L1124" s="2">
        <v>74.3</v>
      </c>
      <c r="M1124" s="3">
        <v>0.1</v>
      </c>
      <c r="N1124" t="s">
        <v>29</v>
      </c>
      <c r="O1124" s="2">
        <v>133.74</v>
      </c>
      <c r="P1124" s="2">
        <v>75.14</v>
      </c>
      <c r="Q1124" s="2">
        <v>58.6</v>
      </c>
      <c r="R1124">
        <v>1</v>
      </c>
      <c r="S1124">
        <v>0</v>
      </c>
      <c r="T1124">
        <v>3</v>
      </c>
      <c r="U1124">
        <v>4</v>
      </c>
    </row>
    <row r="1125" spans="1:21" ht="16.5" x14ac:dyDescent="0.3">
      <c r="A1125" t="s">
        <v>1207</v>
      </c>
      <c r="B1125" s="1">
        <v>45477</v>
      </c>
      <c r="C1125">
        <v>2024</v>
      </c>
      <c r="D1125" t="s">
        <v>1187</v>
      </c>
      <c r="E1125" t="s">
        <v>1188</v>
      </c>
      <c r="F1125" t="s">
        <v>24</v>
      </c>
      <c r="G1125" t="s">
        <v>25</v>
      </c>
      <c r="H1125" t="s">
        <v>32</v>
      </c>
      <c r="I1125" t="s">
        <v>84</v>
      </c>
      <c r="J1125" t="s">
        <v>223</v>
      </c>
      <c r="K1125">
        <v>1</v>
      </c>
      <c r="L1125" s="2">
        <v>16.97</v>
      </c>
      <c r="M1125" s="3">
        <v>0.05</v>
      </c>
      <c r="N1125" t="s">
        <v>29</v>
      </c>
      <c r="O1125" s="2">
        <v>16.12</v>
      </c>
      <c r="P1125" s="2">
        <v>12.1</v>
      </c>
      <c r="Q1125" s="2">
        <v>4.0199999999999996</v>
      </c>
      <c r="R1125">
        <v>1</v>
      </c>
      <c r="S1125">
        <v>0</v>
      </c>
      <c r="T1125">
        <v>4</v>
      </c>
      <c r="U1125">
        <v>5</v>
      </c>
    </row>
    <row r="1126" spans="1:21" ht="16.5" x14ac:dyDescent="0.3">
      <c r="A1126" t="s">
        <v>1208</v>
      </c>
      <c r="B1126" s="1">
        <v>45477</v>
      </c>
      <c r="C1126">
        <v>2024</v>
      </c>
      <c r="D1126" t="s">
        <v>1187</v>
      </c>
      <c r="E1126" t="s">
        <v>1188</v>
      </c>
      <c r="F1126" t="s">
        <v>45</v>
      </c>
      <c r="G1126" t="s">
        <v>51</v>
      </c>
      <c r="H1126" t="s">
        <v>26</v>
      </c>
      <c r="I1126" t="s">
        <v>27</v>
      </c>
      <c r="J1126" t="s">
        <v>40</v>
      </c>
      <c r="K1126">
        <v>2</v>
      </c>
      <c r="L1126" s="2">
        <v>104.94</v>
      </c>
      <c r="M1126" s="3">
        <v>0.2</v>
      </c>
      <c r="N1126" t="s">
        <v>34</v>
      </c>
      <c r="O1126" s="2">
        <v>167.9</v>
      </c>
      <c r="P1126" s="2">
        <v>116.87</v>
      </c>
      <c r="Q1126" s="2">
        <v>51.03</v>
      </c>
      <c r="R1126">
        <v>1</v>
      </c>
      <c r="S1126">
        <v>1</v>
      </c>
      <c r="T1126">
        <v>2</v>
      </c>
      <c r="U1126">
        <v>3</v>
      </c>
    </row>
    <row r="1127" spans="1:21" ht="16.5" x14ac:dyDescent="0.3">
      <c r="A1127" t="s">
        <v>1209</v>
      </c>
      <c r="B1127" s="1">
        <v>45478</v>
      </c>
      <c r="C1127">
        <v>2024</v>
      </c>
      <c r="D1127" t="s">
        <v>1187</v>
      </c>
      <c r="E1127" t="s">
        <v>1188</v>
      </c>
      <c r="F1127" t="s">
        <v>45</v>
      </c>
      <c r="G1127" t="s">
        <v>49</v>
      </c>
      <c r="H1127" t="s">
        <v>26</v>
      </c>
      <c r="I1127" t="s">
        <v>36</v>
      </c>
      <c r="J1127" t="s">
        <v>126</v>
      </c>
      <c r="K1127">
        <v>2</v>
      </c>
      <c r="L1127" s="2">
        <v>54.56</v>
      </c>
      <c r="M1127" s="3">
        <v>0.3</v>
      </c>
      <c r="N1127" t="s">
        <v>62</v>
      </c>
      <c r="O1127" s="2">
        <v>76.38</v>
      </c>
      <c r="P1127" s="2">
        <v>51.53</v>
      </c>
      <c r="Q1127" s="2">
        <v>24.85</v>
      </c>
      <c r="R1127">
        <v>1</v>
      </c>
      <c r="S1127">
        <v>0</v>
      </c>
      <c r="T1127">
        <v>3</v>
      </c>
      <c r="U1127">
        <v>4</v>
      </c>
    </row>
    <row r="1128" spans="1:21" ht="16.5" x14ac:dyDescent="0.3">
      <c r="A1128" t="s">
        <v>1210</v>
      </c>
      <c r="B1128" s="1">
        <v>45478</v>
      </c>
      <c r="C1128">
        <v>2024</v>
      </c>
      <c r="D1128" t="s">
        <v>1187</v>
      </c>
      <c r="E1128" t="s">
        <v>1188</v>
      </c>
      <c r="F1128" t="s">
        <v>24</v>
      </c>
      <c r="G1128" t="s">
        <v>25</v>
      </c>
      <c r="H1128" t="s">
        <v>32</v>
      </c>
      <c r="I1128" t="s">
        <v>70</v>
      </c>
      <c r="J1128" t="s">
        <v>162</v>
      </c>
      <c r="K1128">
        <v>1</v>
      </c>
      <c r="L1128" s="2">
        <v>636.09</v>
      </c>
      <c r="M1128" s="3">
        <v>0.3</v>
      </c>
      <c r="N1128" t="s">
        <v>62</v>
      </c>
      <c r="O1128" s="2">
        <v>445.26</v>
      </c>
      <c r="P1128" s="2">
        <v>493.02</v>
      </c>
      <c r="Q1128" s="2">
        <v>-47.76</v>
      </c>
      <c r="R1128">
        <v>1</v>
      </c>
      <c r="S1128">
        <v>0</v>
      </c>
      <c r="T1128">
        <v>3</v>
      </c>
      <c r="U1128">
        <v>4</v>
      </c>
    </row>
    <row r="1129" spans="1:21" ht="16.5" x14ac:dyDescent="0.3">
      <c r="A1129" t="s">
        <v>1211</v>
      </c>
      <c r="B1129" s="1">
        <v>45478</v>
      </c>
      <c r="C1129">
        <v>2024</v>
      </c>
      <c r="D1129" t="s">
        <v>1187</v>
      </c>
      <c r="E1129" t="s">
        <v>1188</v>
      </c>
      <c r="F1129" t="s">
        <v>24</v>
      </c>
      <c r="G1129" t="s">
        <v>49</v>
      </c>
      <c r="H1129" t="s">
        <v>26</v>
      </c>
      <c r="I1129" t="s">
        <v>70</v>
      </c>
      <c r="J1129" t="s">
        <v>252</v>
      </c>
      <c r="K1129">
        <v>4</v>
      </c>
      <c r="L1129" s="2">
        <v>216.08</v>
      </c>
      <c r="M1129" s="3">
        <v>0.15</v>
      </c>
      <c r="N1129" t="s">
        <v>34</v>
      </c>
      <c r="O1129" s="2">
        <v>734.67</v>
      </c>
      <c r="P1129" s="2">
        <v>666.31</v>
      </c>
      <c r="Q1129" s="2">
        <v>68.36</v>
      </c>
      <c r="R1129">
        <v>1</v>
      </c>
      <c r="S1129">
        <v>0</v>
      </c>
      <c r="T1129">
        <v>5</v>
      </c>
      <c r="U1129">
        <v>4</v>
      </c>
    </row>
    <row r="1130" spans="1:21" ht="16.5" x14ac:dyDescent="0.3">
      <c r="A1130" t="s">
        <v>1212</v>
      </c>
      <c r="B1130" s="1">
        <v>45479</v>
      </c>
      <c r="C1130">
        <v>2024</v>
      </c>
      <c r="D1130" t="s">
        <v>1187</v>
      </c>
      <c r="E1130" t="s">
        <v>1188</v>
      </c>
      <c r="F1130" t="s">
        <v>45</v>
      </c>
      <c r="G1130" t="s">
        <v>65</v>
      </c>
      <c r="H1130" t="s">
        <v>26</v>
      </c>
      <c r="I1130" t="s">
        <v>84</v>
      </c>
      <c r="J1130" t="s">
        <v>223</v>
      </c>
      <c r="K1130">
        <v>1</v>
      </c>
      <c r="L1130" s="2">
        <v>16.97</v>
      </c>
      <c r="M1130" s="3">
        <v>0.1</v>
      </c>
      <c r="N1130" t="s">
        <v>29</v>
      </c>
      <c r="O1130" s="2">
        <v>15.27</v>
      </c>
      <c r="P1130" s="2">
        <v>12.75</v>
      </c>
      <c r="Q1130" s="2">
        <v>2.52</v>
      </c>
      <c r="R1130">
        <v>1</v>
      </c>
      <c r="S1130">
        <v>0</v>
      </c>
      <c r="T1130">
        <v>6</v>
      </c>
      <c r="U1130">
        <v>4</v>
      </c>
    </row>
    <row r="1131" spans="1:21" ht="16.5" x14ac:dyDescent="0.3">
      <c r="A1131" t="s">
        <v>1213</v>
      </c>
      <c r="B1131" s="1">
        <v>45479</v>
      </c>
      <c r="C1131">
        <v>2024</v>
      </c>
      <c r="D1131" t="s">
        <v>1187</v>
      </c>
      <c r="E1131" t="s">
        <v>1188</v>
      </c>
      <c r="F1131" t="s">
        <v>24</v>
      </c>
      <c r="G1131" t="s">
        <v>25</v>
      </c>
      <c r="H1131" t="s">
        <v>32</v>
      </c>
      <c r="I1131" t="s">
        <v>70</v>
      </c>
      <c r="J1131" t="s">
        <v>129</v>
      </c>
      <c r="K1131">
        <v>2</v>
      </c>
      <c r="L1131" s="2">
        <v>177.65</v>
      </c>
      <c r="M1131" s="3">
        <v>0.05</v>
      </c>
      <c r="N1131" t="s">
        <v>29</v>
      </c>
      <c r="O1131" s="2">
        <v>337.54</v>
      </c>
      <c r="P1131" s="2">
        <v>288.75</v>
      </c>
      <c r="Q1131" s="2">
        <v>48.79</v>
      </c>
      <c r="R1131">
        <v>1</v>
      </c>
      <c r="S1131">
        <v>0</v>
      </c>
      <c r="T1131">
        <v>3</v>
      </c>
      <c r="U1131">
        <v>4</v>
      </c>
    </row>
    <row r="1132" spans="1:21" ht="16.5" x14ac:dyDescent="0.3">
      <c r="A1132" t="s">
        <v>1214</v>
      </c>
      <c r="B1132" s="1">
        <v>45479</v>
      </c>
      <c r="C1132">
        <v>2024</v>
      </c>
      <c r="D1132" t="s">
        <v>1187</v>
      </c>
      <c r="E1132" t="s">
        <v>1188</v>
      </c>
      <c r="F1132" t="s">
        <v>31</v>
      </c>
      <c r="G1132" t="s">
        <v>25</v>
      </c>
      <c r="H1132" t="s">
        <v>26</v>
      </c>
      <c r="I1132" t="s">
        <v>70</v>
      </c>
      <c r="J1132" t="s">
        <v>82</v>
      </c>
      <c r="K1132">
        <v>1</v>
      </c>
      <c r="L1132" s="2">
        <v>508.8</v>
      </c>
      <c r="M1132" s="3">
        <v>0</v>
      </c>
      <c r="N1132" t="s">
        <v>38</v>
      </c>
      <c r="O1132" s="2">
        <v>508.8</v>
      </c>
      <c r="P1132" s="2">
        <v>378.81</v>
      </c>
      <c r="Q1132" s="2">
        <v>129.99</v>
      </c>
      <c r="R1132">
        <v>1</v>
      </c>
      <c r="S1132">
        <v>1</v>
      </c>
      <c r="T1132">
        <v>3</v>
      </c>
      <c r="U1132">
        <v>4</v>
      </c>
    </row>
    <row r="1133" spans="1:21" ht="16.5" x14ac:dyDescent="0.3">
      <c r="A1133" t="s">
        <v>1215</v>
      </c>
      <c r="B1133" s="1">
        <v>45479</v>
      </c>
      <c r="C1133">
        <v>2024</v>
      </c>
      <c r="D1133" t="s">
        <v>1187</v>
      </c>
      <c r="E1133" t="s">
        <v>1188</v>
      </c>
      <c r="F1133" t="s">
        <v>24</v>
      </c>
      <c r="G1133" t="s">
        <v>49</v>
      </c>
      <c r="H1133" t="s">
        <v>32</v>
      </c>
      <c r="I1133" t="s">
        <v>70</v>
      </c>
      <c r="J1133" t="s">
        <v>129</v>
      </c>
      <c r="K1133">
        <v>3</v>
      </c>
      <c r="L1133" s="2">
        <v>177.65</v>
      </c>
      <c r="M1133" s="3">
        <v>0.15</v>
      </c>
      <c r="N1133" t="s">
        <v>34</v>
      </c>
      <c r="O1133" s="2">
        <v>453.01</v>
      </c>
      <c r="P1133" s="2">
        <v>437.85</v>
      </c>
      <c r="Q1133" s="2">
        <v>15.16</v>
      </c>
      <c r="R1133">
        <v>1</v>
      </c>
      <c r="S1133">
        <v>0</v>
      </c>
      <c r="T1133">
        <v>6</v>
      </c>
      <c r="U1133">
        <v>3</v>
      </c>
    </row>
    <row r="1134" spans="1:21" ht="16.5" x14ac:dyDescent="0.3">
      <c r="A1134" t="s">
        <v>1216</v>
      </c>
      <c r="B1134" s="1">
        <v>45479</v>
      </c>
      <c r="C1134">
        <v>2024</v>
      </c>
      <c r="D1134" t="s">
        <v>1187</v>
      </c>
      <c r="E1134" t="s">
        <v>1188</v>
      </c>
      <c r="F1134" t="s">
        <v>24</v>
      </c>
      <c r="G1134" t="s">
        <v>49</v>
      </c>
      <c r="H1134" t="s">
        <v>32</v>
      </c>
      <c r="I1134" t="s">
        <v>27</v>
      </c>
      <c r="J1134" t="s">
        <v>60</v>
      </c>
      <c r="K1134">
        <v>1</v>
      </c>
      <c r="L1134" s="2">
        <v>94.85</v>
      </c>
      <c r="M1134" s="3">
        <v>0</v>
      </c>
      <c r="N1134" t="s">
        <v>38</v>
      </c>
      <c r="O1134" s="2">
        <v>94.85</v>
      </c>
      <c r="P1134" s="2">
        <v>48.36</v>
      </c>
      <c r="Q1134" s="2">
        <v>46.49</v>
      </c>
      <c r="R1134">
        <v>1</v>
      </c>
      <c r="S1134">
        <v>0</v>
      </c>
      <c r="T1134">
        <v>3</v>
      </c>
      <c r="U1134">
        <v>4</v>
      </c>
    </row>
    <row r="1135" spans="1:21" ht="16.5" x14ac:dyDescent="0.3">
      <c r="A1135" t="s">
        <v>1217</v>
      </c>
      <c r="B1135" s="1">
        <v>45479</v>
      </c>
      <c r="C1135">
        <v>2024</v>
      </c>
      <c r="D1135" t="s">
        <v>1187</v>
      </c>
      <c r="E1135" t="s">
        <v>1188</v>
      </c>
      <c r="F1135" t="s">
        <v>31</v>
      </c>
      <c r="G1135" t="s">
        <v>25</v>
      </c>
      <c r="H1135" t="s">
        <v>32</v>
      </c>
      <c r="I1135" t="s">
        <v>27</v>
      </c>
      <c r="J1135" t="s">
        <v>60</v>
      </c>
      <c r="K1135">
        <v>4</v>
      </c>
      <c r="L1135" s="2">
        <v>94.85</v>
      </c>
      <c r="M1135" s="3">
        <v>0.1</v>
      </c>
      <c r="N1135" t="s">
        <v>29</v>
      </c>
      <c r="O1135" s="2">
        <v>341.46</v>
      </c>
      <c r="P1135" s="2">
        <v>207.54</v>
      </c>
      <c r="Q1135" s="2">
        <v>133.91999999999999</v>
      </c>
      <c r="R1135">
        <v>1</v>
      </c>
      <c r="S1135">
        <v>0</v>
      </c>
      <c r="T1135">
        <v>4</v>
      </c>
      <c r="U1135">
        <v>4</v>
      </c>
    </row>
    <row r="1136" spans="1:21" ht="16.5" x14ac:dyDescent="0.3">
      <c r="A1136" t="s">
        <v>1218</v>
      </c>
      <c r="B1136" s="1">
        <v>45480</v>
      </c>
      <c r="C1136">
        <v>2024</v>
      </c>
      <c r="D1136" t="s">
        <v>1187</v>
      </c>
      <c r="E1136" t="s">
        <v>1188</v>
      </c>
      <c r="F1136" t="s">
        <v>24</v>
      </c>
      <c r="G1136" t="s">
        <v>65</v>
      </c>
      <c r="H1136" t="s">
        <v>26</v>
      </c>
      <c r="I1136" t="s">
        <v>27</v>
      </c>
      <c r="J1136" t="s">
        <v>110</v>
      </c>
      <c r="K1136">
        <v>1</v>
      </c>
      <c r="L1136" s="2">
        <v>19.41</v>
      </c>
      <c r="M1136" s="3">
        <v>0.1</v>
      </c>
      <c r="N1136" t="s">
        <v>29</v>
      </c>
      <c r="O1136" s="2">
        <v>17.47</v>
      </c>
      <c r="P1136" s="2">
        <v>9.83</v>
      </c>
      <c r="Q1136" s="2">
        <v>7.64</v>
      </c>
      <c r="R1136">
        <v>1</v>
      </c>
      <c r="S1136">
        <v>0</v>
      </c>
      <c r="T1136">
        <v>7</v>
      </c>
      <c r="U1136">
        <v>4</v>
      </c>
    </row>
    <row r="1137" spans="1:21" ht="16.5" x14ac:dyDescent="0.3">
      <c r="A1137" t="s">
        <v>1219</v>
      </c>
      <c r="B1137" s="1">
        <v>45480</v>
      </c>
      <c r="C1137">
        <v>2024</v>
      </c>
      <c r="D1137" t="s">
        <v>1187</v>
      </c>
      <c r="E1137" t="s">
        <v>1188</v>
      </c>
      <c r="F1137" t="s">
        <v>31</v>
      </c>
      <c r="G1137" t="s">
        <v>49</v>
      </c>
      <c r="H1137" t="s">
        <v>32</v>
      </c>
      <c r="I1137" t="s">
        <v>84</v>
      </c>
      <c r="J1137" t="s">
        <v>106</v>
      </c>
      <c r="K1137">
        <v>1</v>
      </c>
      <c r="L1137" s="2">
        <v>45.28</v>
      </c>
      <c r="M1137" s="3">
        <v>0.15</v>
      </c>
      <c r="N1137" t="s">
        <v>34</v>
      </c>
      <c r="O1137" s="2">
        <v>38.49</v>
      </c>
      <c r="P1137" s="2">
        <v>33.340000000000003</v>
      </c>
      <c r="Q1137" s="2">
        <v>5.15</v>
      </c>
      <c r="R1137">
        <v>1</v>
      </c>
      <c r="S1137">
        <v>0</v>
      </c>
      <c r="T1137">
        <v>3</v>
      </c>
      <c r="U1137">
        <v>4</v>
      </c>
    </row>
    <row r="1138" spans="1:21" ht="16.5" x14ac:dyDescent="0.3">
      <c r="A1138" t="s">
        <v>1220</v>
      </c>
      <c r="B1138" s="1">
        <v>45481</v>
      </c>
      <c r="C1138">
        <v>2024</v>
      </c>
      <c r="D1138" t="s">
        <v>1187</v>
      </c>
      <c r="E1138" t="s">
        <v>1188</v>
      </c>
      <c r="F1138" t="s">
        <v>24</v>
      </c>
      <c r="G1138" t="s">
        <v>49</v>
      </c>
      <c r="H1138" t="s">
        <v>32</v>
      </c>
      <c r="I1138" t="s">
        <v>27</v>
      </c>
      <c r="J1138" t="s">
        <v>47</v>
      </c>
      <c r="K1138">
        <v>1</v>
      </c>
      <c r="L1138" s="2">
        <v>33.99</v>
      </c>
      <c r="M1138" s="3">
        <v>0.15</v>
      </c>
      <c r="N1138" t="s">
        <v>34</v>
      </c>
      <c r="O1138" s="2">
        <v>28.89</v>
      </c>
      <c r="P1138" s="2">
        <v>18.07</v>
      </c>
      <c r="Q1138" s="2">
        <v>10.82</v>
      </c>
      <c r="R1138">
        <v>1</v>
      </c>
      <c r="S1138">
        <v>0</v>
      </c>
      <c r="T1138">
        <v>3</v>
      </c>
      <c r="U1138">
        <v>5</v>
      </c>
    </row>
    <row r="1139" spans="1:21" ht="16.5" x14ac:dyDescent="0.3">
      <c r="A1139" t="s">
        <v>1221</v>
      </c>
      <c r="B1139" s="1">
        <v>45481</v>
      </c>
      <c r="C1139">
        <v>2024</v>
      </c>
      <c r="D1139" t="s">
        <v>1187</v>
      </c>
      <c r="E1139" t="s">
        <v>1188</v>
      </c>
      <c r="F1139" t="s">
        <v>24</v>
      </c>
      <c r="G1139" t="s">
        <v>49</v>
      </c>
      <c r="H1139" t="s">
        <v>26</v>
      </c>
      <c r="I1139" t="s">
        <v>70</v>
      </c>
      <c r="J1139" t="s">
        <v>129</v>
      </c>
      <c r="K1139">
        <v>1</v>
      </c>
      <c r="L1139" s="2">
        <v>177.65</v>
      </c>
      <c r="M1139" s="3">
        <v>0.2</v>
      </c>
      <c r="N1139" t="s">
        <v>34</v>
      </c>
      <c r="O1139" s="2">
        <v>142.12</v>
      </c>
      <c r="P1139" s="2">
        <v>148.77000000000001</v>
      </c>
      <c r="Q1139" s="2">
        <v>-6.65</v>
      </c>
      <c r="R1139">
        <v>1</v>
      </c>
      <c r="S1139">
        <v>0</v>
      </c>
      <c r="T1139">
        <v>5</v>
      </c>
      <c r="U1139">
        <v>5</v>
      </c>
    </row>
    <row r="1140" spans="1:21" ht="16.5" x14ac:dyDescent="0.3">
      <c r="A1140" t="s">
        <v>1222</v>
      </c>
      <c r="B1140" s="1">
        <v>45481</v>
      </c>
      <c r="C1140">
        <v>2024</v>
      </c>
      <c r="D1140" t="s">
        <v>1187</v>
      </c>
      <c r="E1140" t="s">
        <v>1188</v>
      </c>
      <c r="F1140" t="s">
        <v>24</v>
      </c>
      <c r="G1140" t="s">
        <v>49</v>
      </c>
      <c r="H1140" t="s">
        <v>26</v>
      </c>
      <c r="I1140" t="s">
        <v>27</v>
      </c>
      <c r="J1140" t="s">
        <v>40</v>
      </c>
      <c r="K1140">
        <v>1</v>
      </c>
      <c r="L1140" s="2">
        <v>104.94</v>
      </c>
      <c r="M1140" s="3">
        <v>0.2</v>
      </c>
      <c r="N1140" t="s">
        <v>34</v>
      </c>
      <c r="O1140" s="2">
        <v>83.95</v>
      </c>
      <c r="P1140" s="2">
        <v>55.48</v>
      </c>
      <c r="Q1140" s="2">
        <v>28.47</v>
      </c>
      <c r="R1140">
        <v>1</v>
      </c>
      <c r="S1140">
        <v>0</v>
      </c>
      <c r="T1140">
        <v>4</v>
      </c>
      <c r="U1140">
        <v>5</v>
      </c>
    </row>
    <row r="1141" spans="1:21" ht="16.5" x14ac:dyDescent="0.3">
      <c r="A1141" t="s">
        <v>1223</v>
      </c>
      <c r="B1141" s="1">
        <v>45481</v>
      </c>
      <c r="C1141">
        <v>2024</v>
      </c>
      <c r="D1141" t="s">
        <v>1187</v>
      </c>
      <c r="E1141" t="s">
        <v>1188</v>
      </c>
      <c r="F1141" t="s">
        <v>31</v>
      </c>
      <c r="G1141" t="s">
        <v>65</v>
      </c>
      <c r="H1141" t="s">
        <v>32</v>
      </c>
      <c r="I1141" t="s">
        <v>27</v>
      </c>
      <c r="J1141" t="s">
        <v>33</v>
      </c>
      <c r="K1141">
        <v>1</v>
      </c>
      <c r="L1141" s="2">
        <v>78.510000000000005</v>
      </c>
      <c r="M1141" s="3">
        <v>0.1</v>
      </c>
      <c r="N1141" t="s">
        <v>29</v>
      </c>
      <c r="O1141" s="2">
        <v>70.66</v>
      </c>
      <c r="P1141" s="2">
        <v>43.72</v>
      </c>
      <c r="Q1141" s="2">
        <v>26.94</v>
      </c>
      <c r="R1141">
        <v>1</v>
      </c>
      <c r="S1141">
        <v>0</v>
      </c>
      <c r="T1141">
        <v>6</v>
      </c>
      <c r="U1141">
        <v>5</v>
      </c>
    </row>
    <row r="1142" spans="1:21" ht="16.5" x14ac:dyDescent="0.3">
      <c r="A1142" t="s">
        <v>1224</v>
      </c>
      <c r="B1142" s="1">
        <v>45481</v>
      </c>
      <c r="C1142">
        <v>2024</v>
      </c>
      <c r="D1142" t="s">
        <v>1187</v>
      </c>
      <c r="E1142" t="s">
        <v>1188</v>
      </c>
      <c r="F1142" t="s">
        <v>31</v>
      </c>
      <c r="G1142" t="s">
        <v>51</v>
      </c>
      <c r="H1142" t="s">
        <v>32</v>
      </c>
      <c r="I1142" t="s">
        <v>70</v>
      </c>
      <c r="J1142" t="s">
        <v>129</v>
      </c>
      <c r="K1142">
        <v>2</v>
      </c>
      <c r="L1142" s="2">
        <v>177.65</v>
      </c>
      <c r="M1142" s="3">
        <v>0</v>
      </c>
      <c r="N1142" t="s">
        <v>38</v>
      </c>
      <c r="O1142" s="2">
        <v>355.3</v>
      </c>
      <c r="P1142" s="2">
        <v>289.32</v>
      </c>
      <c r="Q1142" s="2">
        <v>65.98</v>
      </c>
      <c r="R1142">
        <v>1</v>
      </c>
      <c r="S1142">
        <v>0</v>
      </c>
      <c r="T1142">
        <v>3</v>
      </c>
      <c r="U1142">
        <v>5</v>
      </c>
    </row>
    <row r="1143" spans="1:21" ht="16.5" x14ac:dyDescent="0.3">
      <c r="A1143" t="s">
        <v>1225</v>
      </c>
      <c r="B1143" s="1">
        <v>45482</v>
      </c>
      <c r="C1143">
        <v>2024</v>
      </c>
      <c r="D1143" t="s">
        <v>1187</v>
      </c>
      <c r="E1143" t="s">
        <v>1188</v>
      </c>
      <c r="F1143" t="s">
        <v>45</v>
      </c>
      <c r="G1143" t="s">
        <v>25</v>
      </c>
      <c r="H1143" t="s">
        <v>32</v>
      </c>
      <c r="I1143" t="s">
        <v>27</v>
      </c>
      <c r="J1143" t="s">
        <v>28</v>
      </c>
      <c r="K1143">
        <v>1</v>
      </c>
      <c r="L1143" s="2">
        <v>138.5</v>
      </c>
      <c r="M1143" s="3">
        <v>0.2</v>
      </c>
      <c r="N1143" t="s">
        <v>34</v>
      </c>
      <c r="O1143" s="2">
        <v>110.8</v>
      </c>
      <c r="P1143" s="2">
        <v>73.349999999999994</v>
      </c>
      <c r="Q1143" s="2">
        <v>37.450000000000003</v>
      </c>
      <c r="R1143">
        <v>1</v>
      </c>
      <c r="S1143">
        <v>0</v>
      </c>
      <c r="T1143">
        <v>5</v>
      </c>
      <c r="U1143">
        <v>4</v>
      </c>
    </row>
    <row r="1144" spans="1:21" ht="16.5" x14ac:dyDescent="0.3">
      <c r="A1144" t="s">
        <v>1226</v>
      </c>
      <c r="B1144" s="1">
        <v>45482</v>
      </c>
      <c r="C1144">
        <v>2024</v>
      </c>
      <c r="D1144" t="s">
        <v>1187</v>
      </c>
      <c r="E1144" t="s">
        <v>1188</v>
      </c>
      <c r="F1144" t="s">
        <v>31</v>
      </c>
      <c r="G1144" t="s">
        <v>51</v>
      </c>
      <c r="H1144" t="s">
        <v>32</v>
      </c>
      <c r="I1144" t="s">
        <v>27</v>
      </c>
      <c r="J1144" t="s">
        <v>110</v>
      </c>
      <c r="K1144">
        <v>2</v>
      </c>
      <c r="L1144" s="2">
        <v>19.41</v>
      </c>
      <c r="M1144" s="3">
        <v>0.1</v>
      </c>
      <c r="N1144" t="s">
        <v>29</v>
      </c>
      <c r="O1144" s="2">
        <v>34.94</v>
      </c>
      <c r="P1144" s="2">
        <v>20.94</v>
      </c>
      <c r="Q1144" s="2">
        <v>14</v>
      </c>
      <c r="R1144">
        <v>1</v>
      </c>
      <c r="S1144">
        <v>0</v>
      </c>
      <c r="T1144">
        <v>2</v>
      </c>
      <c r="U1144">
        <v>5</v>
      </c>
    </row>
    <row r="1145" spans="1:21" ht="16.5" x14ac:dyDescent="0.3">
      <c r="A1145" t="s">
        <v>1227</v>
      </c>
      <c r="B1145" s="1">
        <v>45482</v>
      </c>
      <c r="C1145">
        <v>2024</v>
      </c>
      <c r="D1145" t="s">
        <v>1187</v>
      </c>
      <c r="E1145" t="s">
        <v>1188</v>
      </c>
      <c r="F1145" t="s">
        <v>31</v>
      </c>
      <c r="G1145" t="s">
        <v>49</v>
      </c>
      <c r="H1145" t="s">
        <v>32</v>
      </c>
      <c r="I1145" t="s">
        <v>27</v>
      </c>
      <c r="J1145" t="s">
        <v>28</v>
      </c>
      <c r="K1145">
        <v>1</v>
      </c>
      <c r="L1145" s="2">
        <v>138.5</v>
      </c>
      <c r="M1145" s="3">
        <v>0.1</v>
      </c>
      <c r="N1145" t="s">
        <v>29</v>
      </c>
      <c r="O1145" s="2">
        <v>124.65</v>
      </c>
      <c r="P1145" s="2">
        <v>72.45</v>
      </c>
      <c r="Q1145" s="2">
        <v>52.2</v>
      </c>
      <c r="R1145">
        <v>1</v>
      </c>
      <c r="S1145">
        <v>0</v>
      </c>
      <c r="T1145">
        <v>4</v>
      </c>
      <c r="U1145">
        <v>5</v>
      </c>
    </row>
    <row r="1146" spans="1:21" ht="16.5" x14ac:dyDescent="0.3">
      <c r="A1146" t="s">
        <v>1228</v>
      </c>
      <c r="B1146" s="1">
        <v>45482</v>
      </c>
      <c r="C1146">
        <v>2024</v>
      </c>
      <c r="D1146" t="s">
        <v>1187</v>
      </c>
      <c r="E1146" t="s">
        <v>1188</v>
      </c>
      <c r="F1146" t="s">
        <v>24</v>
      </c>
      <c r="G1146" t="s">
        <v>51</v>
      </c>
      <c r="H1146" t="s">
        <v>26</v>
      </c>
      <c r="I1146" t="s">
        <v>70</v>
      </c>
      <c r="J1146" t="s">
        <v>82</v>
      </c>
      <c r="K1146">
        <v>1</v>
      </c>
      <c r="L1146" s="2">
        <v>508.8</v>
      </c>
      <c r="M1146" s="3">
        <v>0.15</v>
      </c>
      <c r="N1146" t="s">
        <v>34</v>
      </c>
      <c r="O1146" s="2">
        <v>432.48</v>
      </c>
      <c r="P1146" s="2">
        <v>396.85</v>
      </c>
      <c r="Q1146" s="2">
        <v>35.630000000000003</v>
      </c>
      <c r="R1146">
        <v>1</v>
      </c>
      <c r="S1146">
        <v>0</v>
      </c>
      <c r="T1146">
        <v>2</v>
      </c>
      <c r="U1146">
        <v>5</v>
      </c>
    </row>
    <row r="1147" spans="1:21" ht="16.5" x14ac:dyDescent="0.3">
      <c r="A1147" t="s">
        <v>1229</v>
      </c>
      <c r="B1147" s="1">
        <v>45482</v>
      </c>
      <c r="C1147">
        <v>2024</v>
      </c>
      <c r="D1147" t="s">
        <v>1187</v>
      </c>
      <c r="E1147" t="s">
        <v>1188</v>
      </c>
      <c r="F1147" t="s">
        <v>24</v>
      </c>
      <c r="G1147" t="s">
        <v>25</v>
      </c>
      <c r="H1147" t="s">
        <v>26</v>
      </c>
      <c r="I1147" t="s">
        <v>70</v>
      </c>
      <c r="J1147" t="s">
        <v>87</v>
      </c>
      <c r="K1147">
        <v>1</v>
      </c>
      <c r="L1147" s="2">
        <v>490.3</v>
      </c>
      <c r="M1147" s="3">
        <v>0.2</v>
      </c>
      <c r="N1147" t="s">
        <v>34</v>
      </c>
      <c r="O1147" s="2">
        <v>392.24</v>
      </c>
      <c r="P1147" s="2">
        <v>387.37</v>
      </c>
      <c r="Q1147" s="2">
        <v>4.87</v>
      </c>
      <c r="R1147">
        <v>1</v>
      </c>
      <c r="S1147">
        <v>0</v>
      </c>
      <c r="T1147">
        <v>5</v>
      </c>
      <c r="U1147">
        <v>5</v>
      </c>
    </row>
    <row r="1148" spans="1:21" ht="16.5" x14ac:dyDescent="0.3">
      <c r="A1148" t="s">
        <v>1230</v>
      </c>
      <c r="B1148" s="1">
        <v>45482</v>
      </c>
      <c r="C1148">
        <v>2024</v>
      </c>
      <c r="D1148" t="s">
        <v>1187</v>
      </c>
      <c r="E1148" t="s">
        <v>1188</v>
      </c>
      <c r="F1148" t="s">
        <v>31</v>
      </c>
      <c r="G1148" t="s">
        <v>51</v>
      </c>
      <c r="H1148" t="s">
        <v>32</v>
      </c>
      <c r="I1148" t="s">
        <v>27</v>
      </c>
      <c r="J1148" t="s">
        <v>33</v>
      </c>
      <c r="K1148">
        <v>1</v>
      </c>
      <c r="L1148" s="2">
        <v>78.510000000000005</v>
      </c>
      <c r="M1148" s="3">
        <v>0.1</v>
      </c>
      <c r="N1148" t="s">
        <v>29</v>
      </c>
      <c r="O1148" s="2">
        <v>70.66</v>
      </c>
      <c r="P1148" s="2">
        <v>44.83</v>
      </c>
      <c r="Q1148" s="2">
        <v>25.83</v>
      </c>
      <c r="R1148">
        <v>1</v>
      </c>
      <c r="S1148">
        <v>0</v>
      </c>
      <c r="T1148">
        <v>3</v>
      </c>
      <c r="U1148">
        <v>4</v>
      </c>
    </row>
    <row r="1149" spans="1:21" ht="16.5" x14ac:dyDescent="0.3">
      <c r="A1149" t="s">
        <v>1231</v>
      </c>
      <c r="B1149" s="1">
        <v>45482</v>
      </c>
      <c r="C1149">
        <v>2024</v>
      </c>
      <c r="D1149" t="s">
        <v>1187</v>
      </c>
      <c r="E1149" t="s">
        <v>1188</v>
      </c>
      <c r="F1149" t="s">
        <v>24</v>
      </c>
      <c r="G1149" t="s">
        <v>25</v>
      </c>
      <c r="H1149" t="s">
        <v>32</v>
      </c>
      <c r="I1149" t="s">
        <v>42</v>
      </c>
      <c r="J1149" t="s">
        <v>54</v>
      </c>
      <c r="K1149">
        <v>1</v>
      </c>
      <c r="L1149" s="2">
        <v>148.05000000000001</v>
      </c>
      <c r="M1149" s="3">
        <v>0.05</v>
      </c>
      <c r="N1149" t="s">
        <v>29</v>
      </c>
      <c r="O1149" s="2">
        <v>140.65</v>
      </c>
      <c r="P1149" s="2">
        <v>98.61</v>
      </c>
      <c r="Q1149" s="2">
        <v>42.04</v>
      </c>
      <c r="R1149">
        <v>1</v>
      </c>
      <c r="S1149">
        <v>0</v>
      </c>
      <c r="T1149">
        <v>4</v>
      </c>
      <c r="U1149">
        <v>5</v>
      </c>
    </row>
    <row r="1150" spans="1:21" ht="16.5" x14ac:dyDescent="0.3">
      <c r="A1150" t="s">
        <v>1232</v>
      </c>
      <c r="B1150" s="1">
        <v>45483</v>
      </c>
      <c r="C1150">
        <v>2024</v>
      </c>
      <c r="D1150" t="s">
        <v>1187</v>
      </c>
      <c r="E1150" t="s">
        <v>1188</v>
      </c>
      <c r="F1150" t="s">
        <v>31</v>
      </c>
      <c r="G1150" t="s">
        <v>65</v>
      </c>
      <c r="H1150" t="s">
        <v>32</v>
      </c>
      <c r="I1150" t="s">
        <v>67</v>
      </c>
      <c r="J1150" t="s">
        <v>78</v>
      </c>
      <c r="K1150">
        <v>4</v>
      </c>
      <c r="L1150" s="2">
        <v>85.42</v>
      </c>
      <c r="M1150" s="3">
        <v>0</v>
      </c>
      <c r="N1150" t="s">
        <v>38</v>
      </c>
      <c r="O1150" s="2">
        <v>341.68</v>
      </c>
      <c r="P1150" s="2">
        <v>229.04</v>
      </c>
      <c r="Q1150" s="2">
        <v>112.64</v>
      </c>
      <c r="R1150">
        <v>1</v>
      </c>
      <c r="S1150">
        <v>0</v>
      </c>
      <c r="T1150">
        <v>6</v>
      </c>
      <c r="U1150">
        <v>4</v>
      </c>
    </row>
    <row r="1151" spans="1:21" ht="16.5" x14ac:dyDescent="0.3">
      <c r="A1151" t="s">
        <v>1233</v>
      </c>
      <c r="B1151" s="1">
        <v>45483</v>
      </c>
      <c r="C1151">
        <v>2024</v>
      </c>
      <c r="D1151" t="s">
        <v>1187</v>
      </c>
      <c r="E1151" t="s">
        <v>1188</v>
      </c>
      <c r="F1151" t="s">
        <v>24</v>
      </c>
      <c r="G1151" t="s">
        <v>25</v>
      </c>
      <c r="H1151" t="s">
        <v>32</v>
      </c>
      <c r="I1151" t="s">
        <v>42</v>
      </c>
      <c r="J1151" t="s">
        <v>54</v>
      </c>
      <c r="K1151">
        <v>1</v>
      </c>
      <c r="L1151" s="2">
        <v>148.05000000000001</v>
      </c>
      <c r="M1151" s="3">
        <v>0</v>
      </c>
      <c r="N1151" t="s">
        <v>38</v>
      </c>
      <c r="O1151" s="2">
        <v>148.05000000000001</v>
      </c>
      <c r="P1151" s="2">
        <v>100.06</v>
      </c>
      <c r="Q1151" s="2">
        <v>47.99</v>
      </c>
      <c r="R1151">
        <v>1</v>
      </c>
      <c r="S1151">
        <v>0</v>
      </c>
      <c r="T1151">
        <v>4</v>
      </c>
      <c r="U1151">
        <v>4</v>
      </c>
    </row>
    <row r="1152" spans="1:21" ht="16.5" x14ac:dyDescent="0.3">
      <c r="A1152" t="s">
        <v>1234</v>
      </c>
      <c r="B1152" s="1">
        <v>45483</v>
      </c>
      <c r="C1152">
        <v>2024</v>
      </c>
      <c r="D1152" t="s">
        <v>1187</v>
      </c>
      <c r="E1152" t="s">
        <v>1188</v>
      </c>
      <c r="F1152" t="s">
        <v>31</v>
      </c>
      <c r="G1152" t="s">
        <v>25</v>
      </c>
      <c r="H1152" t="s">
        <v>32</v>
      </c>
      <c r="I1152" t="s">
        <v>42</v>
      </c>
      <c r="J1152" t="s">
        <v>89</v>
      </c>
      <c r="K1152">
        <v>1</v>
      </c>
      <c r="L1152" s="2">
        <v>68.349999999999994</v>
      </c>
      <c r="M1152" s="3">
        <v>0.1</v>
      </c>
      <c r="N1152" t="s">
        <v>29</v>
      </c>
      <c r="O1152" s="2">
        <v>61.51</v>
      </c>
      <c r="P1152" s="2">
        <v>44.3</v>
      </c>
      <c r="Q1152" s="2">
        <v>17.21</v>
      </c>
      <c r="R1152">
        <v>1</v>
      </c>
      <c r="S1152">
        <v>0</v>
      </c>
      <c r="T1152">
        <v>5</v>
      </c>
      <c r="U1152">
        <v>5</v>
      </c>
    </row>
    <row r="1153" spans="1:21" ht="16.5" x14ac:dyDescent="0.3">
      <c r="A1153" t="s">
        <v>1235</v>
      </c>
      <c r="B1153" s="1">
        <v>45483</v>
      </c>
      <c r="C1153">
        <v>2024</v>
      </c>
      <c r="D1153" t="s">
        <v>1187</v>
      </c>
      <c r="E1153" t="s">
        <v>1188</v>
      </c>
      <c r="F1153" t="s">
        <v>45</v>
      </c>
      <c r="G1153" t="s">
        <v>65</v>
      </c>
      <c r="H1153" t="s">
        <v>26</v>
      </c>
      <c r="I1153" t="s">
        <v>67</v>
      </c>
      <c r="J1153" t="s">
        <v>103</v>
      </c>
      <c r="K1153">
        <v>2</v>
      </c>
      <c r="L1153" s="2">
        <v>83.06</v>
      </c>
      <c r="M1153" s="3">
        <v>0.1</v>
      </c>
      <c r="N1153" t="s">
        <v>29</v>
      </c>
      <c r="O1153" s="2">
        <v>149.51</v>
      </c>
      <c r="P1153" s="2">
        <v>108.27</v>
      </c>
      <c r="Q1153" s="2">
        <v>41.24</v>
      </c>
      <c r="R1153">
        <v>1</v>
      </c>
      <c r="S1153">
        <v>0</v>
      </c>
      <c r="T1153">
        <v>5</v>
      </c>
      <c r="U1153">
        <v>5</v>
      </c>
    </row>
    <row r="1154" spans="1:21" ht="16.5" x14ac:dyDescent="0.3">
      <c r="A1154" t="s">
        <v>1236</v>
      </c>
      <c r="B1154" s="1">
        <v>45483</v>
      </c>
      <c r="C1154">
        <v>2024</v>
      </c>
      <c r="D1154" t="s">
        <v>1187</v>
      </c>
      <c r="E1154" t="s">
        <v>1188</v>
      </c>
      <c r="F1154" t="s">
        <v>24</v>
      </c>
      <c r="G1154" t="s">
        <v>49</v>
      </c>
      <c r="H1154" t="s">
        <v>32</v>
      </c>
      <c r="I1154" t="s">
        <v>27</v>
      </c>
      <c r="J1154" t="s">
        <v>60</v>
      </c>
      <c r="K1154">
        <v>2</v>
      </c>
      <c r="L1154" s="2">
        <v>94.85</v>
      </c>
      <c r="M1154" s="3">
        <v>0.05</v>
      </c>
      <c r="N1154" t="s">
        <v>29</v>
      </c>
      <c r="O1154" s="2">
        <v>180.21</v>
      </c>
      <c r="P1154" s="2">
        <v>102.64</v>
      </c>
      <c r="Q1154" s="2">
        <v>77.569999999999993</v>
      </c>
      <c r="R1154">
        <v>1</v>
      </c>
      <c r="S1154">
        <v>0</v>
      </c>
      <c r="T1154">
        <v>5</v>
      </c>
      <c r="U1154">
        <v>4</v>
      </c>
    </row>
    <row r="1155" spans="1:21" ht="16.5" x14ac:dyDescent="0.3">
      <c r="A1155" t="s">
        <v>1237</v>
      </c>
      <c r="B1155" s="1">
        <v>45483</v>
      </c>
      <c r="C1155">
        <v>2024</v>
      </c>
      <c r="D1155" t="s">
        <v>1187</v>
      </c>
      <c r="E1155" t="s">
        <v>1188</v>
      </c>
      <c r="F1155" t="s">
        <v>31</v>
      </c>
      <c r="G1155" t="s">
        <v>25</v>
      </c>
      <c r="H1155" t="s">
        <v>32</v>
      </c>
      <c r="I1155" t="s">
        <v>36</v>
      </c>
      <c r="J1155" t="s">
        <v>56</v>
      </c>
      <c r="K1155">
        <v>4</v>
      </c>
      <c r="L1155" s="2">
        <v>74.3</v>
      </c>
      <c r="M1155" s="3">
        <v>0</v>
      </c>
      <c r="N1155" t="s">
        <v>38</v>
      </c>
      <c r="O1155" s="2">
        <v>297.2</v>
      </c>
      <c r="P1155" s="2">
        <v>139.30000000000001</v>
      </c>
      <c r="Q1155" s="2">
        <v>157.9</v>
      </c>
      <c r="R1155">
        <v>1</v>
      </c>
      <c r="S1155">
        <v>0</v>
      </c>
      <c r="T1155">
        <v>3</v>
      </c>
      <c r="U1155">
        <v>5</v>
      </c>
    </row>
    <row r="1156" spans="1:21" ht="16.5" x14ac:dyDescent="0.3">
      <c r="A1156" t="s">
        <v>1238</v>
      </c>
      <c r="B1156" s="1">
        <v>45484</v>
      </c>
      <c r="C1156">
        <v>2024</v>
      </c>
      <c r="D1156" t="s">
        <v>1187</v>
      </c>
      <c r="E1156" t="s">
        <v>1188</v>
      </c>
      <c r="F1156" t="s">
        <v>31</v>
      </c>
      <c r="G1156" t="s">
        <v>25</v>
      </c>
      <c r="H1156" t="s">
        <v>32</v>
      </c>
      <c r="I1156" t="s">
        <v>67</v>
      </c>
      <c r="J1156" t="s">
        <v>93</v>
      </c>
      <c r="K1156">
        <v>4</v>
      </c>
      <c r="L1156" s="2">
        <v>198.42</v>
      </c>
      <c r="M1156" s="3">
        <v>0.1</v>
      </c>
      <c r="N1156" t="s">
        <v>29</v>
      </c>
      <c r="O1156" s="2">
        <v>714.31</v>
      </c>
      <c r="P1156" s="2">
        <v>531.16999999999996</v>
      </c>
      <c r="Q1156" s="2">
        <v>183.14</v>
      </c>
      <c r="R1156">
        <v>1</v>
      </c>
      <c r="S1156">
        <v>0</v>
      </c>
      <c r="T1156">
        <v>5</v>
      </c>
      <c r="U1156">
        <v>4</v>
      </c>
    </row>
    <row r="1157" spans="1:21" ht="16.5" x14ac:dyDescent="0.3">
      <c r="A1157" t="s">
        <v>1239</v>
      </c>
      <c r="B1157" s="1">
        <v>45484</v>
      </c>
      <c r="C1157">
        <v>2024</v>
      </c>
      <c r="D1157" t="s">
        <v>1187</v>
      </c>
      <c r="E1157" t="s">
        <v>1188</v>
      </c>
      <c r="F1157" t="s">
        <v>24</v>
      </c>
      <c r="G1157" t="s">
        <v>49</v>
      </c>
      <c r="H1157" t="s">
        <v>32</v>
      </c>
      <c r="I1157" t="s">
        <v>27</v>
      </c>
      <c r="J1157" t="s">
        <v>47</v>
      </c>
      <c r="K1157">
        <v>3</v>
      </c>
      <c r="L1157" s="2">
        <v>33.99</v>
      </c>
      <c r="M1157" s="3">
        <v>0.05</v>
      </c>
      <c r="N1157" t="s">
        <v>29</v>
      </c>
      <c r="O1157" s="2">
        <v>96.87</v>
      </c>
      <c r="P1157" s="2">
        <v>56.07</v>
      </c>
      <c r="Q1157" s="2">
        <v>40.799999999999997</v>
      </c>
      <c r="R1157">
        <v>1</v>
      </c>
      <c r="S1157">
        <v>0</v>
      </c>
      <c r="T1157">
        <v>5</v>
      </c>
      <c r="U1157">
        <v>3</v>
      </c>
    </row>
    <row r="1158" spans="1:21" ht="16.5" x14ac:dyDescent="0.3">
      <c r="A1158" t="s">
        <v>1240</v>
      </c>
      <c r="B1158" s="1">
        <v>45484</v>
      </c>
      <c r="C1158">
        <v>2024</v>
      </c>
      <c r="D1158" t="s">
        <v>1187</v>
      </c>
      <c r="E1158" t="s">
        <v>1188</v>
      </c>
      <c r="F1158" t="s">
        <v>24</v>
      </c>
      <c r="G1158" t="s">
        <v>25</v>
      </c>
      <c r="H1158" t="s">
        <v>26</v>
      </c>
      <c r="I1158" t="s">
        <v>27</v>
      </c>
      <c r="J1158" t="s">
        <v>60</v>
      </c>
      <c r="K1158">
        <v>2</v>
      </c>
      <c r="L1158" s="2">
        <v>94.85</v>
      </c>
      <c r="M1158" s="3">
        <v>0.1</v>
      </c>
      <c r="N1158" t="s">
        <v>29</v>
      </c>
      <c r="O1158" s="2">
        <v>170.73</v>
      </c>
      <c r="P1158" s="2">
        <v>99.37</v>
      </c>
      <c r="Q1158" s="2">
        <v>71.36</v>
      </c>
      <c r="R1158">
        <v>1</v>
      </c>
      <c r="S1158">
        <v>1</v>
      </c>
      <c r="T1158">
        <v>4</v>
      </c>
      <c r="U1158">
        <v>3</v>
      </c>
    </row>
    <row r="1159" spans="1:21" ht="16.5" x14ac:dyDescent="0.3">
      <c r="A1159" t="s">
        <v>1241</v>
      </c>
      <c r="B1159" s="1">
        <v>45485</v>
      </c>
      <c r="C1159">
        <v>2024</v>
      </c>
      <c r="D1159" t="s">
        <v>1187</v>
      </c>
      <c r="E1159" t="s">
        <v>1188</v>
      </c>
      <c r="F1159" t="s">
        <v>24</v>
      </c>
      <c r="G1159" t="s">
        <v>51</v>
      </c>
      <c r="H1159" t="s">
        <v>26</v>
      </c>
      <c r="I1159" t="s">
        <v>27</v>
      </c>
      <c r="J1159" t="s">
        <v>28</v>
      </c>
      <c r="K1159">
        <v>1</v>
      </c>
      <c r="L1159" s="2">
        <v>138.5</v>
      </c>
      <c r="M1159" s="3">
        <v>0.25</v>
      </c>
      <c r="N1159" t="s">
        <v>62</v>
      </c>
      <c r="O1159" s="2">
        <v>103.88</v>
      </c>
      <c r="P1159" s="2">
        <v>74.98</v>
      </c>
      <c r="Q1159" s="2">
        <v>28.9</v>
      </c>
      <c r="R1159">
        <v>1</v>
      </c>
      <c r="S1159">
        <v>0</v>
      </c>
      <c r="T1159">
        <v>3</v>
      </c>
      <c r="U1159">
        <v>4</v>
      </c>
    </row>
    <row r="1160" spans="1:21" ht="16.5" x14ac:dyDescent="0.3">
      <c r="A1160" t="s">
        <v>1242</v>
      </c>
      <c r="B1160" s="1">
        <v>45485</v>
      </c>
      <c r="C1160">
        <v>2024</v>
      </c>
      <c r="D1160" t="s">
        <v>1187</v>
      </c>
      <c r="E1160" t="s">
        <v>1188</v>
      </c>
      <c r="F1160" t="s">
        <v>31</v>
      </c>
      <c r="G1160" t="s">
        <v>46</v>
      </c>
      <c r="H1160" t="s">
        <v>32</v>
      </c>
      <c r="I1160" t="s">
        <v>84</v>
      </c>
      <c r="J1160" t="s">
        <v>106</v>
      </c>
      <c r="K1160">
        <v>1</v>
      </c>
      <c r="L1160" s="2">
        <v>45.28</v>
      </c>
      <c r="M1160" s="3">
        <v>0.25</v>
      </c>
      <c r="N1160" t="s">
        <v>62</v>
      </c>
      <c r="O1160" s="2">
        <v>33.96</v>
      </c>
      <c r="P1160" s="2">
        <v>32.92</v>
      </c>
      <c r="Q1160" s="2">
        <v>1.04</v>
      </c>
      <c r="R1160">
        <v>1</v>
      </c>
      <c r="S1160">
        <v>0</v>
      </c>
      <c r="T1160">
        <v>6</v>
      </c>
      <c r="U1160">
        <v>4</v>
      </c>
    </row>
    <row r="1161" spans="1:21" ht="16.5" x14ac:dyDescent="0.3">
      <c r="A1161" t="s">
        <v>1243</v>
      </c>
      <c r="B1161" s="1">
        <v>45485</v>
      </c>
      <c r="C1161">
        <v>2024</v>
      </c>
      <c r="D1161" t="s">
        <v>1187</v>
      </c>
      <c r="E1161" t="s">
        <v>1188</v>
      </c>
      <c r="F1161" t="s">
        <v>45</v>
      </c>
      <c r="G1161" t="s">
        <v>65</v>
      </c>
      <c r="H1161" t="s">
        <v>32</v>
      </c>
      <c r="I1161" t="s">
        <v>42</v>
      </c>
      <c r="J1161" t="s">
        <v>58</v>
      </c>
      <c r="K1161">
        <v>1</v>
      </c>
      <c r="L1161" s="2">
        <v>233.81</v>
      </c>
      <c r="M1161" s="3">
        <v>0</v>
      </c>
      <c r="N1161" t="s">
        <v>38</v>
      </c>
      <c r="O1161" s="2">
        <v>233.81</v>
      </c>
      <c r="P1161" s="2">
        <v>149.83000000000001</v>
      </c>
      <c r="Q1161" s="2">
        <v>83.98</v>
      </c>
      <c r="R1161">
        <v>1</v>
      </c>
      <c r="S1161">
        <v>0</v>
      </c>
      <c r="T1161">
        <v>6</v>
      </c>
      <c r="U1161">
        <v>4</v>
      </c>
    </row>
    <row r="1162" spans="1:21" ht="16.5" x14ac:dyDescent="0.3">
      <c r="A1162" t="s">
        <v>1244</v>
      </c>
      <c r="B1162" s="1">
        <v>45485</v>
      </c>
      <c r="C1162">
        <v>2024</v>
      </c>
      <c r="D1162" t="s">
        <v>1187</v>
      </c>
      <c r="E1162" t="s">
        <v>1188</v>
      </c>
      <c r="F1162" t="s">
        <v>24</v>
      </c>
      <c r="G1162" t="s">
        <v>25</v>
      </c>
      <c r="H1162" t="s">
        <v>26</v>
      </c>
      <c r="I1162" t="s">
        <v>70</v>
      </c>
      <c r="J1162" t="s">
        <v>82</v>
      </c>
      <c r="K1162">
        <v>1</v>
      </c>
      <c r="L1162" s="2">
        <v>508.8</v>
      </c>
      <c r="M1162" s="3">
        <v>0.15</v>
      </c>
      <c r="N1162" t="s">
        <v>34</v>
      </c>
      <c r="O1162" s="2">
        <v>432.48</v>
      </c>
      <c r="P1162" s="2">
        <v>423.82</v>
      </c>
      <c r="Q1162" s="2">
        <v>8.66</v>
      </c>
      <c r="R1162">
        <v>1</v>
      </c>
      <c r="S1162">
        <v>0</v>
      </c>
      <c r="T1162">
        <v>3</v>
      </c>
      <c r="U1162">
        <v>5</v>
      </c>
    </row>
    <row r="1163" spans="1:21" ht="16.5" x14ac:dyDescent="0.3">
      <c r="A1163" t="s">
        <v>1245</v>
      </c>
      <c r="B1163" s="1">
        <v>45485</v>
      </c>
      <c r="C1163">
        <v>2024</v>
      </c>
      <c r="D1163" t="s">
        <v>1187</v>
      </c>
      <c r="E1163" t="s">
        <v>1188</v>
      </c>
      <c r="F1163" t="s">
        <v>31</v>
      </c>
      <c r="G1163" t="s">
        <v>51</v>
      </c>
      <c r="H1163" t="s">
        <v>26</v>
      </c>
      <c r="I1163" t="s">
        <v>70</v>
      </c>
      <c r="J1163" t="s">
        <v>162</v>
      </c>
      <c r="K1163">
        <v>1</v>
      </c>
      <c r="L1163" s="2">
        <v>636.09</v>
      </c>
      <c r="M1163" s="3">
        <v>0</v>
      </c>
      <c r="N1163" t="s">
        <v>38</v>
      </c>
      <c r="O1163" s="2">
        <v>636.09</v>
      </c>
      <c r="P1163" s="2">
        <v>498.33</v>
      </c>
      <c r="Q1163" s="2">
        <v>137.76</v>
      </c>
      <c r="R1163">
        <v>1</v>
      </c>
      <c r="S1163">
        <v>0</v>
      </c>
      <c r="T1163">
        <v>4</v>
      </c>
      <c r="U1163">
        <v>5</v>
      </c>
    </row>
    <row r="1164" spans="1:21" ht="16.5" x14ac:dyDescent="0.3">
      <c r="A1164" t="s">
        <v>1246</v>
      </c>
      <c r="B1164" s="1">
        <v>45485</v>
      </c>
      <c r="C1164">
        <v>2024</v>
      </c>
      <c r="D1164" t="s">
        <v>1187</v>
      </c>
      <c r="E1164" t="s">
        <v>1188</v>
      </c>
      <c r="F1164" t="s">
        <v>31</v>
      </c>
      <c r="G1164" t="s">
        <v>65</v>
      </c>
      <c r="H1164" t="s">
        <v>32</v>
      </c>
      <c r="I1164" t="s">
        <v>70</v>
      </c>
      <c r="J1164" t="s">
        <v>87</v>
      </c>
      <c r="K1164">
        <v>1</v>
      </c>
      <c r="L1164" s="2">
        <v>490.3</v>
      </c>
      <c r="M1164" s="3">
        <v>0</v>
      </c>
      <c r="N1164" t="s">
        <v>38</v>
      </c>
      <c r="O1164" s="2">
        <v>490.3</v>
      </c>
      <c r="P1164" s="2">
        <v>402.89</v>
      </c>
      <c r="Q1164" s="2">
        <v>87.41</v>
      </c>
      <c r="R1164">
        <v>1</v>
      </c>
      <c r="S1164">
        <v>0</v>
      </c>
      <c r="T1164">
        <v>6</v>
      </c>
      <c r="U1164">
        <v>4</v>
      </c>
    </row>
    <row r="1165" spans="1:21" ht="16.5" x14ac:dyDescent="0.3">
      <c r="A1165" t="s">
        <v>1247</v>
      </c>
      <c r="B1165" s="1">
        <v>45486</v>
      </c>
      <c r="C1165">
        <v>2024</v>
      </c>
      <c r="D1165" t="s">
        <v>1187</v>
      </c>
      <c r="E1165" t="s">
        <v>1188</v>
      </c>
      <c r="F1165" t="s">
        <v>45</v>
      </c>
      <c r="G1165" t="s">
        <v>46</v>
      </c>
      <c r="H1165" t="s">
        <v>32</v>
      </c>
      <c r="I1165" t="s">
        <v>67</v>
      </c>
      <c r="J1165" t="s">
        <v>103</v>
      </c>
      <c r="K1165">
        <v>1</v>
      </c>
      <c r="L1165" s="2">
        <v>83.06</v>
      </c>
      <c r="M1165" s="3">
        <v>0</v>
      </c>
      <c r="N1165" t="s">
        <v>38</v>
      </c>
      <c r="O1165" s="2">
        <v>83.06</v>
      </c>
      <c r="P1165" s="2">
        <v>58.37</v>
      </c>
      <c r="Q1165" s="2">
        <v>24.69</v>
      </c>
      <c r="R1165">
        <v>1</v>
      </c>
      <c r="S1165">
        <v>0</v>
      </c>
      <c r="T1165">
        <v>5</v>
      </c>
      <c r="U1165">
        <v>5</v>
      </c>
    </row>
    <row r="1166" spans="1:21" ht="16.5" x14ac:dyDescent="0.3">
      <c r="A1166" t="s">
        <v>1248</v>
      </c>
      <c r="B1166" s="1">
        <v>45486</v>
      </c>
      <c r="C1166">
        <v>2024</v>
      </c>
      <c r="D1166" t="s">
        <v>1187</v>
      </c>
      <c r="E1166" t="s">
        <v>1188</v>
      </c>
      <c r="F1166" t="s">
        <v>24</v>
      </c>
      <c r="G1166" t="s">
        <v>25</v>
      </c>
      <c r="H1166" t="s">
        <v>32</v>
      </c>
      <c r="I1166" t="s">
        <v>70</v>
      </c>
      <c r="J1166" t="s">
        <v>71</v>
      </c>
      <c r="K1166">
        <v>1</v>
      </c>
      <c r="L1166" s="2">
        <v>588.41</v>
      </c>
      <c r="M1166" s="3">
        <v>0</v>
      </c>
      <c r="N1166" t="s">
        <v>38</v>
      </c>
      <c r="O1166" s="2">
        <v>588.41</v>
      </c>
      <c r="P1166" s="2">
        <v>464.13</v>
      </c>
      <c r="Q1166" s="2">
        <v>124.28</v>
      </c>
      <c r="R1166">
        <v>1</v>
      </c>
      <c r="S1166">
        <v>0</v>
      </c>
      <c r="T1166">
        <v>4</v>
      </c>
      <c r="U1166">
        <v>4</v>
      </c>
    </row>
    <row r="1167" spans="1:21" ht="16.5" x14ac:dyDescent="0.3">
      <c r="A1167" t="s">
        <v>1249</v>
      </c>
      <c r="B1167" s="1">
        <v>45486</v>
      </c>
      <c r="C1167">
        <v>2024</v>
      </c>
      <c r="D1167" t="s">
        <v>1187</v>
      </c>
      <c r="E1167" t="s">
        <v>1188</v>
      </c>
      <c r="F1167" t="s">
        <v>31</v>
      </c>
      <c r="G1167" t="s">
        <v>25</v>
      </c>
      <c r="H1167" t="s">
        <v>26</v>
      </c>
      <c r="I1167" t="s">
        <v>27</v>
      </c>
      <c r="J1167" t="s">
        <v>40</v>
      </c>
      <c r="K1167">
        <v>1</v>
      </c>
      <c r="L1167" s="2">
        <v>104.94</v>
      </c>
      <c r="M1167" s="3">
        <v>0</v>
      </c>
      <c r="N1167" t="s">
        <v>38</v>
      </c>
      <c r="O1167" s="2">
        <v>104.94</v>
      </c>
      <c r="P1167" s="2">
        <v>59.18</v>
      </c>
      <c r="Q1167" s="2">
        <v>45.76</v>
      </c>
      <c r="R1167">
        <v>1</v>
      </c>
      <c r="S1167">
        <v>0</v>
      </c>
      <c r="T1167">
        <v>4</v>
      </c>
      <c r="U1167">
        <v>5</v>
      </c>
    </row>
    <row r="1168" spans="1:21" ht="16.5" x14ac:dyDescent="0.3">
      <c r="A1168" t="s">
        <v>1250</v>
      </c>
      <c r="B1168" s="1">
        <v>45486</v>
      </c>
      <c r="C1168">
        <v>2024</v>
      </c>
      <c r="D1168" t="s">
        <v>1187</v>
      </c>
      <c r="E1168" t="s">
        <v>1188</v>
      </c>
      <c r="F1168" t="s">
        <v>45</v>
      </c>
      <c r="G1168" t="s">
        <v>65</v>
      </c>
      <c r="H1168" t="s">
        <v>26</v>
      </c>
      <c r="I1168" t="s">
        <v>67</v>
      </c>
      <c r="J1168" t="s">
        <v>103</v>
      </c>
      <c r="K1168">
        <v>1</v>
      </c>
      <c r="L1168" s="2">
        <v>83.06</v>
      </c>
      <c r="M1168" s="3">
        <v>0</v>
      </c>
      <c r="N1168" t="s">
        <v>38</v>
      </c>
      <c r="O1168" s="2">
        <v>83.06</v>
      </c>
      <c r="P1168" s="2">
        <v>54.91</v>
      </c>
      <c r="Q1168" s="2">
        <v>28.15</v>
      </c>
      <c r="R1168">
        <v>1</v>
      </c>
      <c r="S1168">
        <v>0</v>
      </c>
      <c r="T1168">
        <v>7</v>
      </c>
      <c r="U1168">
        <v>4</v>
      </c>
    </row>
    <row r="1169" spans="1:21" ht="16.5" x14ac:dyDescent="0.3">
      <c r="A1169" t="s">
        <v>1251</v>
      </c>
      <c r="B1169" s="1">
        <v>45486</v>
      </c>
      <c r="C1169">
        <v>2024</v>
      </c>
      <c r="D1169" t="s">
        <v>1187</v>
      </c>
      <c r="E1169" t="s">
        <v>1188</v>
      </c>
      <c r="F1169" t="s">
        <v>24</v>
      </c>
      <c r="G1169" t="s">
        <v>51</v>
      </c>
      <c r="H1169" t="s">
        <v>26</v>
      </c>
      <c r="I1169" t="s">
        <v>42</v>
      </c>
      <c r="J1169" t="s">
        <v>43</v>
      </c>
      <c r="K1169">
        <v>2</v>
      </c>
      <c r="L1169" s="2">
        <v>154.66</v>
      </c>
      <c r="M1169" s="3">
        <v>0.05</v>
      </c>
      <c r="N1169" t="s">
        <v>29</v>
      </c>
      <c r="O1169" s="2">
        <v>293.85000000000002</v>
      </c>
      <c r="P1169" s="2">
        <v>208.88</v>
      </c>
      <c r="Q1169" s="2">
        <v>84.97</v>
      </c>
      <c r="R1169">
        <v>1</v>
      </c>
      <c r="S1169">
        <v>0</v>
      </c>
      <c r="T1169">
        <v>3</v>
      </c>
      <c r="U1169">
        <v>5</v>
      </c>
    </row>
    <row r="1170" spans="1:21" ht="16.5" x14ac:dyDescent="0.3">
      <c r="A1170" t="s">
        <v>1252</v>
      </c>
      <c r="B1170" s="1">
        <v>45486</v>
      </c>
      <c r="C1170">
        <v>2024</v>
      </c>
      <c r="D1170" t="s">
        <v>1187</v>
      </c>
      <c r="E1170" t="s">
        <v>1188</v>
      </c>
      <c r="F1170" t="s">
        <v>31</v>
      </c>
      <c r="G1170" t="s">
        <v>25</v>
      </c>
      <c r="H1170" t="s">
        <v>32</v>
      </c>
      <c r="I1170" t="s">
        <v>70</v>
      </c>
      <c r="J1170" t="s">
        <v>87</v>
      </c>
      <c r="K1170">
        <v>1</v>
      </c>
      <c r="L1170" s="2">
        <v>490.3</v>
      </c>
      <c r="M1170" s="3">
        <v>0.05</v>
      </c>
      <c r="N1170" t="s">
        <v>29</v>
      </c>
      <c r="O1170" s="2">
        <v>465.78</v>
      </c>
      <c r="P1170" s="2">
        <v>363.67</v>
      </c>
      <c r="Q1170" s="2">
        <v>102.11</v>
      </c>
      <c r="R1170">
        <v>1</v>
      </c>
      <c r="S1170">
        <v>0</v>
      </c>
      <c r="T1170">
        <v>7</v>
      </c>
      <c r="U1170">
        <v>2</v>
      </c>
    </row>
    <row r="1171" spans="1:21" ht="16.5" x14ac:dyDescent="0.3">
      <c r="A1171" t="s">
        <v>1253</v>
      </c>
      <c r="B1171" s="1">
        <v>45486</v>
      </c>
      <c r="C1171">
        <v>2024</v>
      </c>
      <c r="D1171" t="s">
        <v>1187</v>
      </c>
      <c r="E1171" t="s">
        <v>1188</v>
      </c>
      <c r="F1171" t="s">
        <v>24</v>
      </c>
      <c r="G1171" t="s">
        <v>51</v>
      </c>
      <c r="H1171" t="s">
        <v>32</v>
      </c>
      <c r="I1171" t="s">
        <v>70</v>
      </c>
      <c r="J1171" t="s">
        <v>82</v>
      </c>
      <c r="K1171">
        <v>1</v>
      </c>
      <c r="L1171" s="2">
        <v>508.8</v>
      </c>
      <c r="M1171" s="3">
        <v>0.1</v>
      </c>
      <c r="N1171" t="s">
        <v>29</v>
      </c>
      <c r="O1171" s="2">
        <v>457.92</v>
      </c>
      <c r="P1171" s="2">
        <v>385.66</v>
      </c>
      <c r="Q1171" s="2">
        <v>72.260000000000005</v>
      </c>
      <c r="R1171">
        <v>1</v>
      </c>
      <c r="S1171">
        <v>0</v>
      </c>
      <c r="T1171">
        <v>3</v>
      </c>
      <c r="U1171">
        <v>4</v>
      </c>
    </row>
    <row r="1172" spans="1:21" ht="16.5" x14ac:dyDescent="0.3">
      <c r="A1172" t="s">
        <v>1254</v>
      </c>
      <c r="B1172" s="1">
        <v>45487</v>
      </c>
      <c r="C1172">
        <v>2024</v>
      </c>
      <c r="D1172" t="s">
        <v>1187</v>
      </c>
      <c r="E1172" t="s">
        <v>1188</v>
      </c>
      <c r="F1172" t="s">
        <v>24</v>
      </c>
      <c r="G1172" t="s">
        <v>65</v>
      </c>
      <c r="H1172" t="s">
        <v>26</v>
      </c>
      <c r="I1172" t="s">
        <v>67</v>
      </c>
      <c r="J1172" t="s">
        <v>68</v>
      </c>
      <c r="K1172">
        <v>1</v>
      </c>
      <c r="L1172" s="2">
        <v>74.459999999999994</v>
      </c>
      <c r="M1172" s="3">
        <v>0.05</v>
      </c>
      <c r="N1172" t="s">
        <v>29</v>
      </c>
      <c r="O1172" s="2">
        <v>70.739999999999995</v>
      </c>
      <c r="P1172" s="2">
        <v>51.75</v>
      </c>
      <c r="Q1172" s="2">
        <v>18.989999999999998</v>
      </c>
      <c r="R1172">
        <v>1</v>
      </c>
      <c r="S1172">
        <v>0</v>
      </c>
      <c r="T1172">
        <v>7</v>
      </c>
      <c r="U1172">
        <v>4</v>
      </c>
    </row>
    <row r="1173" spans="1:21" ht="16.5" x14ac:dyDescent="0.3">
      <c r="A1173" t="s">
        <v>1255</v>
      </c>
      <c r="B1173" s="1">
        <v>45487</v>
      </c>
      <c r="C1173">
        <v>2024</v>
      </c>
      <c r="D1173" t="s">
        <v>1187</v>
      </c>
      <c r="E1173" t="s">
        <v>1188</v>
      </c>
      <c r="F1173" t="s">
        <v>31</v>
      </c>
      <c r="G1173" t="s">
        <v>25</v>
      </c>
      <c r="H1173" t="s">
        <v>32</v>
      </c>
      <c r="I1173" t="s">
        <v>67</v>
      </c>
      <c r="J1173" t="s">
        <v>103</v>
      </c>
      <c r="K1173">
        <v>2</v>
      </c>
      <c r="L1173" s="2">
        <v>83.06</v>
      </c>
      <c r="M1173" s="3">
        <v>0</v>
      </c>
      <c r="N1173" t="s">
        <v>38</v>
      </c>
      <c r="O1173" s="2">
        <v>166.12</v>
      </c>
      <c r="P1173" s="2">
        <v>108.09</v>
      </c>
      <c r="Q1173" s="2">
        <v>58.03</v>
      </c>
      <c r="R1173">
        <v>1</v>
      </c>
      <c r="S1173">
        <v>0</v>
      </c>
      <c r="T1173">
        <v>3</v>
      </c>
      <c r="U1173">
        <v>4</v>
      </c>
    </row>
    <row r="1174" spans="1:21" ht="16.5" x14ac:dyDescent="0.3">
      <c r="A1174" t="s">
        <v>1256</v>
      </c>
      <c r="B1174" s="1">
        <v>45487</v>
      </c>
      <c r="C1174">
        <v>2024</v>
      </c>
      <c r="D1174" t="s">
        <v>1187</v>
      </c>
      <c r="E1174" t="s">
        <v>1188</v>
      </c>
      <c r="F1174" t="s">
        <v>31</v>
      </c>
      <c r="G1174" t="s">
        <v>49</v>
      </c>
      <c r="H1174" t="s">
        <v>32</v>
      </c>
      <c r="I1174" t="s">
        <v>27</v>
      </c>
      <c r="J1174" t="s">
        <v>110</v>
      </c>
      <c r="K1174">
        <v>3</v>
      </c>
      <c r="L1174" s="2">
        <v>19.41</v>
      </c>
      <c r="M1174" s="3">
        <v>0.05</v>
      </c>
      <c r="N1174" t="s">
        <v>29</v>
      </c>
      <c r="O1174" s="2">
        <v>55.32</v>
      </c>
      <c r="P1174" s="2">
        <v>30.69</v>
      </c>
      <c r="Q1174" s="2">
        <v>24.63</v>
      </c>
      <c r="R1174">
        <v>1</v>
      </c>
      <c r="S1174">
        <v>0</v>
      </c>
      <c r="T1174">
        <v>6</v>
      </c>
      <c r="U1174">
        <v>4</v>
      </c>
    </row>
    <row r="1175" spans="1:21" ht="16.5" x14ac:dyDescent="0.3">
      <c r="A1175" t="s">
        <v>1257</v>
      </c>
      <c r="B1175" s="1">
        <v>45488</v>
      </c>
      <c r="C1175">
        <v>2024</v>
      </c>
      <c r="D1175" t="s">
        <v>1187</v>
      </c>
      <c r="E1175" t="s">
        <v>1188</v>
      </c>
      <c r="F1175" t="s">
        <v>24</v>
      </c>
      <c r="G1175" t="s">
        <v>65</v>
      </c>
      <c r="H1175" t="s">
        <v>26</v>
      </c>
      <c r="I1175" t="s">
        <v>27</v>
      </c>
      <c r="J1175" t="s">
        <v>110</v>
      </c>
      <c r="K1175">
        <v>1</v>
      </c>
      <c r="L1175" s="2">
        <v>19.41</v>
      </c>
      <c r="M1175" s="3">
        <v>0.2</v>
      </c>
      <c r="N1175" t="s">
        <v>34</v>
      </c>
      <c r="O1175" s="2">
        <v>15.53</v>
      </c>
      <c r="P1175" s="2">
        <v>10.43</v>
      </c>
      <c r="Q1175" s="2">
        <v>5.0999999999999996</v>
      </c>
      <c r="R1175">
        <v>1</v>
      </c>
      <c r="S1175">
        <v>0</v>
      </c>
      <c r="T1175">
        <v>6</v>
      </c>
      <c r="U1175">
        <v>4</v>
      </c>
    </row>
    <row r="1176" spans="1:21" ht="16.5" x14ac:dyDescent="0.3">
      <c r="A1176" t="s">
        <v>1258</v>
      </c>
      <c r="B1176" s="1">
        <v>45488</v>
      </c>
      <c r="C1176">
        <v>2024</v>
      </c>
      <c r="D1176" t="s">
        <v>1187</v>
      </c>
      <c r="E1176" t="s">
        <v>1188</v>
      </c>
      <c r="F1176" t="s">
        <v>24</v>
      </c>
      <c r="G1176" t="s">
        <v>25</v>
      </c>
      <c r="H1176" t="s">
        <v>26</v>
      </c>
      <c r="I1176" t="s">
        <v>42</v>
      </c>
      <c r="J1176" t="s">
        <v>54</v>
      </c>
      <c r="K1176">
        <v>2</v>
      </c>
      <c r="L1176" s="2">
        <v>148.05000000000001</v>
      </c>
      <c r="M1176" s="3">
        <v>0.1</v>
      </c>
      <c r="N1176" t="s">
        <v>29</v>
      </c>
      <c r="O1176" s="2">
        <v>266.49</v>
      </c>
      <c r="P1176" s="2">
        <v>200.76</v>
      </c>
      <c r="Q1176" s="2">
        <v>65.73</v>
      </c>
      <c r="R1176">
        <v>1</v>
      </c>
      <c r="S1176">
        <v>0</v>
      </c>
      <c r="T1176">
        <v>5</v>
      </c>
      <c r="U1176">
        <v>5</v>
      </c>
    </row>
    <row r="1177" spans="1:21" ht="16.5" x14ac:dyDescent="0.3">
      <c r="A1177" t="s">
        <v>1259</v>
      </c>
      <c r="B1177" s="1">
        <v>45488</v>
      </c>
      <c r="C1177">
        <v>2024</v>
      </c>
      <c r="D1177" t="s">
        <v>1187</v>
      </c>
      <c r="E1177" t="s">
        <v>1188</v>
      </c>
      <c r="F1177" t="s">
        <v>24</v>
      </c>
      <c r="G1177" t="s">
        <v>25</v>
      </c>
      <c r="H1177" t="s">
        <v>32</v>
      </c>
      <c r="I1177" t="s">
        <v>70</v>
      </c>
      <c r="J1177" t="s">
        <v>87</v>
      </c>
      <c r="K1177">
        <v>2</v>
      </c>
      <c r="L1177" s="2">
        <v>490.3</v>
      </c>
      <c r="M1177" s="3">
        <v>0</v>
      </c>
      <c r="N1177" t="s">
        <v>38</v>
      </c>
      <c r="O1177" s="2">
        <v>980.6</v>
      </c>
      <c r="P1177" s="2">
        <v>799.61</v>
      </c>
      <c r="Q1177" s="2">
        <v>180.99</v>
      </c>
      <c r="R1177">
        <v>1</v>
      </c>
      <c r="S1177">
        <v>0</v>
      </c>
      <c r="T1177">
        <v>4</v>
      </c>
      <c r="U1177">
        <v>5</v>
      </c>
    </row>
    <row r="1178" spans="1:21" ht="16.5" x14ac:dyDescent="0.3">
      <c r="A1178" t="s">
        <v>1260</v>
      </c>
      <c r="B1178" s="1">
        <v>45489</v>
      </c>
      <c r="C1178">
        <v>2024</v>
      </c>
      <c r="D1178" t="s">
        <v>1187</v>
      </c>
      <c r="E1178" t="s">
        <v>1188</v>
      </c>
      <c r="F1178" t="s">
        <v>31</v>
      </c>
      <c r="G1178" t="s">
        <v>49</v>
      </c>
      <c r="H1178" t="s">
        <v>32</v>
      </c>
      <c r="I1178" t="s">
        <v>70</v>
      </c>
      <c r="J1178" t="s">
        <v>87</v>
      </c>
      <c r="K1178">
        <v>1</v>
      </c>
      <c r="L1178" s="2">
        <v>490.3</v>
      </c>
      <c r="M1178" s="3">
        <v>0</v>
      </c>
      <c r="N1178" t="s">
        <v>38</v>
      </c>
      <c r="O1178" s="2">
        <v>490.3</v>
      </c>
      <c r="P1178" s="2">
        <v>382.02</v>
      </c>
      <c r="Q1178" s="2">
        <v>108.28</v>
      </c>
      <c r="R1178">
        <v>1</v>
      </c>
      <c r="S1178">
        <v>0</v>
      </c>
      <c r="T1178">
        <v>3</v>
      </c>
      <c r="U1178">
        <v>5</v>
      </c>
    </row>
    <row r="1179" spans="1:21" ht="16.5" x14ac:dyDescent="0.3">
      <c r="A1179" t="s">
        <v>1261</v>
      </c>
      <c r="B1179" s="1">
        <v>45489</v>
      </c>
      <c r="C1179">
        <v>2024</v>
      </c>
      <c r="D1179" t="s">
        <v>1187</v>
      </c>
      <c r="E1179" t="s">
        <v>1188</v>
      </c>
      <c r="F1179" t="s">
        <v>24</v>
      </c>
      <c r="G1179" t="s">
        <v>51</v>
      </c>
      <c r="H1179" t="s">
        <v>32</v>
      </c>
      <c r="I1179" t="s">
        <v>70</v>
      </c>
      <c r="J1179" t="s">
        <v>87</v>
      </c>
      <c r="K1179">
        <v>1</v>
      </c>
      <c r="L1179" s="2">
        <v>490.3</v>
      </c>
      <c r="M1179" s="3">
        <v>0.15</v>
      </c>
      <c r="N1179" t="s">
        <v>34</v>
      </c>
      <c r="O1179" s="2">
        <v>416.76</v>
      </c>
      <c r="P1179" s="2">
        <v>399.77</v>
      </c>
      <c r="Q1179" s="2">
        <v>16.989999999999998</v>
      </c>
      <c r="R1179">
        <v>1</v>
      </c>
      <c r="S1179">
        <v>0</v>
      </c>
      <c r="T1179">
        <v>2</v>
      </c>
      <c r="U1179">
        <v>4</v>
      </c>
    </row>
    <row r="1180" spans="1:21" ht="16.5" x14ac:dyDescent="0.3">
      <c r="A1180" t="s">
        <v>1262</v>
      </c>
      <c r="B1180" s="1">
        <v>45489</v>
      </c>
      <c r="C1180">
        <v>2024</v>
      </c>
      <c r="D1180" t="s">
        <v>1187</v>
      </c>
      <c r="E1180" t="s">
        <v>1188</v>
      </c>
      <c r="F1180" t="s">
        <v>24</v>
      </c>
      <c r="G1180" t="s">
        <v>51</v>
      </c>
      <c r="H1180" t="s">
        <v>32</v>
      </c>
      <c r="I1180" t="s">
        <v>42</v>
      </c>
      <c r="J1180" t="s">
        <v>58</v>
      </c>
      <c r="K1180">
        <v>2</v>
      </c>
      <c r="L1180" s="2">
        <v>233.81</v>
      </c>
      <c r="M1180" s="3">
        <v>0</v>
      </c>
      <c r="N1180" t="s">
        <v>38</v>
      </c>
      <c r="O1180" s="2">
        <v>467.62</v>
      </c>
      <c r="P1180" s="2">
        <v>311.99</v>
      </c>
      <c r="Q1180" s="2">
        <v>155.63</v>
      </c>
      <c r="R1180">
        <v>1</v>
      </c>
      <c r="S1180">
        <v>0</v>
      </c>
      <c r="T1180">
        <v>2</v>
      </c>
      <c r="U1180">
        <v>4</v>
      </c>
    </row>
    <row r="1181" spans="1:21" ht="16.5" x14ac:dyDescent="0.3">
      <c r="A1181" t="s">
        <v>1263</v>
      </c>
      <c r="B1181" s="1">
        <v>45489</v>
      </c>
      <c r="C1181">
        <v>2024</v>
      </c>
      <c r="D1181" t="s">
        <v>1187</v>
      </c>
      <c r="E1181" t="s">
        <v>1188</v>
      </c>
      <c r="F1181" t="s">
        <v>45</v>
      </c>
      <c r="G1181" t="s">
        <v>49</v>
      </c>
      <c r="H1181" t="s">
        <v>26</v>
      </c>
      <c r="I1181" t="s">
        <v>36</v>
      </c>
      <c r="J1181" t="s">
        <v>56</v>
      </c>
      <c r="K1181">
        <v>1</v>
      </c>
      <c r="L1181" s="2">
        <v>74.3</v>
      </c>
      <c r="M1181" s="3">
        <v>0</v>
      </c>
      <c r="N1181" t="s">
        <v>38</v>
      </c>
      <c r="O1181" s="2">
        <v>74.3</v>
      </c>
      <c r="P1181" s="2">
        <v>34.03</v>
      </c>
      <c r="Q1181" s="2">
        <v>40.270000000000003</v>
      </c>
      <c r="R1181">
        <v>1</v>
      </c>
      <c r="S1181">
        <v>0</v>
      </c>
      <c r="T1181">
        <v>5</v>
      </c>
      <c r="U1181">
        <v>5</v>
      </c>
    </row>
    <row r="1182" spans="1:21" ht="16.5" x14ac:dyDescent="0.3">
      <c r="A1182" t="s">
        <v>1264</v>
      </c>
      <c r="B1182" s="1">
        <v>45489</v>
      </c>
      <c r="C1182">
        <v>2024</v>
      </c>
      <c r="D1182" t="s">
        <v>1187</v>
      </c>
      <c r="E1182" t="s">
        <v>1188</v>
      </c>
      <c r="F1182" t="s">
        <v>24</v>
      </c>
      <c r="G1182" t="s">
        <v>25</v>
      </c>
      <c r="H1182" t="s">
        <v>32</v>
      </c>
      <c r="I1182" t="s">
        <v>70</v>
      </c>
      <c r="J1182" t="s">
        <v>82</v>
      </c>
      <c r="K1182">
        <v>1</v>
      </c>
      <c r="L1182" s="2">
        <v>508.8</v>
      </c>
      <c r="M1182" s="3">
        <v>0</v>
      </c>
      <c r="N1182" t="s">
        <v>38</v>
      </c>
      <c r="O1182" s="2">
        <v>508.8</v>
      </c>
      <c r="P1182" s="2">
        <v>394.29</v>
      </c>
      <c r="Q1182" s="2">
        <v>114.51</v>
      </c>
      <c r="R1182">
        <v>1</v>
      </c>
      <c r="S1182">
        <v>0</v>
      </c>
      <c r="T1182">
        <v>5</v>
      </c>
      <c r="U1182">
        <v>5</v>
      </c>
    </row>
    <row r="1183" spans="1:21" ht="16.5" x14ac:dyDescent="0.3">
      <c r="A1183" t="s">
        <v>1265</v>
      </c>
      <c r="B1183" s="1">
        <v>45489</v>
      </c>
      <c r="C1183">
        <v>2024</v>
      </c>
      <c r="D1183" t="s">
        <v>1187</v>
      </c>
      <c r="E1183" t="s">
        <v>1188</v>
      </c>
      <c r="F1183" t="s">
        <v>24</v>
      </c>
      <c r="G1183" t="s">
        <v>25</v>
      </c>
      <c r="H1183" t="s">
        <v>26</v>
      </c>
      <c r="I1183" t="s">
        <v>42</v>
      </c>
      <c r="J1183" t="s">
        <v>98</v>
      </c>
      <c r="K1183">
        <v>1</v>
      </c>
      <c r="L1183" s="2">
        <v>117.63</v>
      </c>
      <c r="M1183" s="3">
        <v>0.1</v>
      </c>
      <c r="N1183" t="s">
        <v>29</v>
      </c>
      <c r="O1183" s="2">
        <v>105.87</v>
      </c>
      <c r="P1183" s="2">
        <v>77.92</v>
      </c>
      <c r="Q1183" s="2">
        <v>27.95</v>
      </c>
      <c r="R1183">
        <v>1</v>
      </c>
      <c r="S1183">
        <v>0</v>
      </c>
      <c r="T1183">
        <v>5</v>
      </c>
      <c r="U1183">
        <v>5</v>
      </c>
    </row>
    <row r="1184" spans="1:21" ht="16.5" x14ac:dyDescent="0.3">
      <c r="A1184" t="s">
        <v>1266</v>
      </c>
      <c r="B1184" s="1">
        <v>45489</v>
      </c>
      <c r="C1184">
        <v>2024</v>
      </c>
      <c r="D1184" t="s">
        <v>1187</v>
      </c>
      <c r="E1184" t="s">
        <v>1188</v>
      </c>
      <c r="F1184" t="s">
        <v>24</v>
      </c>
      <c r="G1184" t="s">
        <v>25</v>
      </c>
      <c r="H1184" t="s">
        <v>26</v>
      </c>
      <c r="I1184" t="s">
        <v>70</v>
      </c>
      <c r="J1184" t="s">
        <v>87</v>
      </c>
      <c r="K1184">
        <v>1</v>
      </c>
      <c r="L1184" s="2">
        <v>490.3</v>
      </c>
      <c r="M1184" s="3">
        <v>0</v>
      </c>
      <c r="N1184" t="s">
        <v>38</v>
      </c>
      <c r="O1184" s="2">
        <v>490.3</v>
      </c>
      <c r="P1184" s="2">
        <v>382.97</v>
      </c>
      <c r="Q1184" s="2">
        <v>107.33</v>
      </c>
      <c r="R1184">
        <v>1</v>
      </c>
      <c r="S1184">
        <v>0</v>
      </c>
      <c r="T1184">
        <v>3</v>
      </c>
      <c r="U1184">
        <v>4</v>
      </c>
    </row>
    <row r="1185" spans="1:21" ht="16.5" x14ac:dyDescent="0.3">
      <c r="A1185" t="s">
        <v>1267</v>
      </c>
      <c r="B1185" s="1">
        <v>45489</v>
      </c>
      <c r="C1185">
        <v>2024</v>
      </c>
      <c r="D1185" t="s">
        <v>1187</v>
      </c>
      <c r="E1185" t="s">
        <v>1188</v>
      </c>
      <c r="F1185" t="s">
        <v>24</v>
      </c>
      <c r="G1185" t="s">
        <v>65</v>
      </c>
      <c r="H1185" t="s">
        <v>32</v>
      </c>
      <c r="I1185" t="s">
        <v>67</v>
      </c>
      <c r="J1185" t="s">
        <v>78</v>
      </c>
      <c r="K1185">
        <v>1</v>
      </c>
      <c r="L1185" s="2">
        <v>85.42</v>
      </c>
      <c r="M1185" s="3">
        <v>0</v>
      </c>
      <c r="N1185" t="s">
        <v>38</v>
      </c>
      <c r="O1185" s="2">
        <v>85.42</v>
      </c>
      <c r="P1185" s="2">
        <v>55.23</v>
      </c>
      <c r="Q1185" s="2">
        <v>30.19</v>
      </c>
      <c r="R1185">
        <v>1</v>
      </c>
      <c r="S1185">
        <v>0</v>
      </c>
      <c r="T1185">
        <v>6</v>
      </c>
      <c r="U1185">
        <v>4</v>
      </c>
    </row>
    <row r="1186" spans="1:21" ht="16.5" x14ac:dyDescent="0.3">
      <c r="A1186" t="s">
        <v>1268</v>
      </c>
      <c r="B1186" s="1">
        <v>45490</v>
      </c>
      <c r="C1186">
        <v>2024</v>
      </c>
      <c r="D1186" t="s">
        <v>1187</v>
      </c>
      <c r="E1186" t="s">
        <v>1188</v>
      </c>
      <c r="F1186" t="s">
        <v>24</v>
      </c>
      <c r="G1186" t="s">
        <v>51</v>
      </c>
      <c r="H1186" t="s">
        <v>26</v>
      </c>
      <c r="I1186" t="s">
        <v>27</v>
      </c>
      <c r="J1186" t="s">
        <v>33</v>
      </c>
      <c r="K1186">
        <v>1</v>
      </c>
      <c r="L1186" s="2">
        <v>78.510000000000005</v>
      </c>
      <c r="M1186" s="3">
        <v>0</v>
      </c>
      <c r="N1186" t="s">
        <v>38</v>
      </c>
      <c r="O1186" s="2">
        <v>78.510000000000005</v>
      </c>
      <c r="P1186" s="2">
        <v>39.6</v>
      </c>
      <c r="Q1186" s="2">
        <v>38.909999999999997</v>
      </c>
      <c r="R1186">
        <v>1</v>
      </c>
      <c r="S1186">
        <v>0</v>
      </c>
      <c r="T1186">
        <v>5</v>
      </c>
      <c r="U1186">
        <v>5</v>
      </c>
    </row>
    <row r="1187" spans="1:21" ht="16.5" x14ac:dyDescent="0.3">
      <c r="A1187" t="s">
        <v>1269</v>
      </c>
      <c r="B1187" s="1">
        <v>45490</v>
      </c>
      <c r="C1187">
        <v>2024</v>
      </c>
      <c r="D1187" t="s">
        <v>1187</v>
      </c>
      <c r="E1187" t="s">
        <v>1188</v>
      </c>
      <c r="F1187" t="s">
        <v>24</v>
      </c>
      <c r="G1187" t="s">
        <v>51</v>
      </c>
      <c r="H1187" t="s">
        <v>26</v>
      </c>
      <c r="I1187" t="s">
        <v>84</v>
      </c>
      <c r="J1187" t="s">
        <v>96</v>
      </c>
      <c r="K1187">
        <v>1</v>
      </c>
      <c r="L1187" s="2">
        <v>10.76</v>
      </c>
      <c r="M1187" s="3">
        <v>0</v>
      </c>
      <c r="N1187" t="s">
        <v>38</v>
      </c>
      <c r="O1187" s="2">
        <v>10.76</v>
      </c>
      <c r="P1187" s="2">
        <v>7.43</v>
      </c>
      <c r="Q1187" s="2">
        <v>3.33</v>
      </c>
      <c r="R1187">
        <v>1</v>
      </c>
      <c r="S1187">
        <v>1</v>
      </c>
      <c r="T1187">
        <v>4</v>
      </c>
      <c r="U1187">
        <v>3</v>
      </c>
    </row>
    <row r="1188" spans="1:21" ht="16.5" x14ac:dyDescent="0.3">
      <c r="A1188" t="s">
        <v>1270</v>
      </c>
      <c r="B1188" s="1">
        <v>45490</v>
      </c>
      <c r="C1188">
        <v>2024</v>
      </c>
      <c r="D1188" t="s">
        <v>1187</v>
      </c>
      <c r="E1188" t="s">
        <v>1188</v>
      </c>
      <c r="F1188" t="s">
        <v>24</v>
      </c>
      <c r="G1188" t="s">
        <v>51</v>
      </c>
      <c r="H1188" t="s">
        <v>26</v>
      </c>
      <c r="I1188" t="s">
        <v>70</v>
      </c>
      <c r="J1188" t="s">
        <v>162</v>
      </c>
      <c r="K1188">
        <v>2</v>
      </c>
      <c r="L1188" s="2">
        <v>636.09</v>
      </c>
      <c r="M1188" s="3">
        <v>0.05</v>
      </c>
      <c r="N1188" t="s">
        <v>29</v>
      </c>
      <c r="O1188" s="2">
        <v>1208.57</v>
      </c>
      <c r="P1188" s="2">
        <v>1063.27</v>
      </c>
      <c r="Q1188" s="2">
        <v>145.30000000000001</v>
      </c>
      <c r="R1188">
        <v>1</v>
      </c>
      <c r="S1188">
        <v>0</v>
      </c>
      <c r="T1188">
        <v>4</v>
      </c>
      <c r="U1188">
        <v>5</v>
      </c>
    </row>
    <row r="1189" spans="1:21" ht="16.5" x14ac:dyDescent="0.3">
      <c r="A1189" t="s">
        <v>1271</v>
      </c>
      <c r="B1189" s="1">
        <v>45490</v>
      </c>
      <c r="C1189">
        <v>2024</v>
      </c>
      <c r="D1189" t="s">
        <v>1187</v>
      </c>
      <c r="E1189" t="s">
        <v>1188</v>
      </c>
      <c r="F1189" t="s">
        <v>24</v>
      </c>
      <c r="G1189" t="s">
        <v>65</v>
      </c>
      <c r="H1189" t="s">
        <v>32</v>
      </c>
      <c r="I1189" t="s">
        <v>42</v>
      </c>
      <c r="J1189" t="s">
        <v>58</v>
      </c>
      <c r="K1189">
        <v>4</v>
      </c>
      <c r="L1189" s="2">
        <v>233.81</v>
      </c>
      <c r="M1189" s="3">
        <v>0</v>
      </c>
      <c r="N1189" t="s">
        <v>38</v>
      </c>
      <c r="O1189" s="2">
        <v>935.24</v>
      </c>
      <c r="P1189" s="2">
        <v>625.74</v>
      </c>
      <c r="Q1189" s="2">
        <v>309.5</v>
      </c>
      <c r="R1189">
        <v>1</v>
      </c>
      <c r="S1189">
        <v>0</v>
      </c>
      <c r="T1189">
        <v>5</v>
      </c>
      <c r="U1189">
        <v>4</v>
      </c>
    </row>
    <row r="1190" spans="1:21" ht="16.5" x14ac:dyDescent="0.3">
      <c r="A1190" t="s">
        <v>1272</v>
      </c>
      <c r="B1190" s="1">
        <v>45490</v>
      </c>
      <c r="C1190">
        <v>2024</v>
      </c>
      <c r="D1190" t="s">
        <v>1187</v>
      </c>
      <c r="E1190" t="s">
        <v>1188</v>
      </c>
      <c r="F1190" t="s">
        <v>24</v>
      </c>
      <c r="G1190" t="s">
        <v>51</v>
      </c>
      <c r="H1190" t="s">
        <v>32</v>
      </c>
      <c r="I1190" t="s">
        <v>36</v>
      </c>
      <c r="J1190" t="s">
        <v>52</v>
      </c>
      <c r="K1190">
        <v>2</v>
      </c>
      <c r="L1190" s="2">
        <v>92.54</v>
      </c>
      <c r="M1190" s="3">
        <v>0.2</v>
      </c>
      <c r="N1190" t="s">
        <v>34</v>
      </c>
      <c r="O1190" s="2">
        <v>148.06</v>
      </c>
      <c r="P1190" s="2">
        <v>90.33</v>
      </c>
      <c r="Q1190" s="2">
        <v>57.73</v>
      </c>
      <c r="R1190">
        <v>1</v>
      </c>
      <c r="S1190">
        <v>0</v>
      </c>
      <c r="T1190">
        <v>2</v>
      </c>
      <c r="U1190">
        <v>4</v>
      </c>
    </row>
    <row r="1191" spans="1:21" ht="16.5" x14ac:dyDescent="0.3">
      <c r="A1191" t="s">
        <v>1273</v>
      </c>
      <c r="B1191" s="1">
        <v>45490</v>
      </c>
      <c r="C1191">
        <v>2024</v>
      </c>
      <c r="D1191" t="s">
        <v>1187</v>
      </c>
      <c r="E1191" t="s">
        <v>1188</v>
      </c>
      <c r="F1191" t="s">
        <v>24</v>
      </c>
      <c r="G1191" t="s">
        <v>49</v>
      </c>
      <c r="H1191" t="s">
        <v>26</v>
      </c>
      <c r="I1191" t="s">
        <v>42</v>
      </c>
      <c r="J1191" t="s">
        <v>98</v>
      </c>
      <c r="K1191">
        <v>1</v>
      </c>
      <c r="L1191" s="2">
        <v>117.63</v>
      </c>
      <c r="M1191" s="3">
        <v>0</v>
      </c>
      <c r="N1191" t="s">
        <v>38</v>
      </c>
      <c r="O1191" s="2">
        <v>117.63</v>
      </c>
      <c r="P1191" s="2">
        <v>78.319999999999993</v>
      </c>
      <c r="Q1191" s="2">
        <v>39.31</v>
      </c>
      <c r="R1191">
        <v>1</v>
      </c>
      <c r="S1191">
        <v>1</v>
      </c>
      <c r="T1191">
        <v>7</v>
      </c>
      <c r="U1191">
        <v>3</v>
      </c>
    </row>
    <row r="1192" spans="1:21" ht="16.5" x14ac:dyDescent="0.3">
      <c r="A1192" t="s">
        <v>1274</v>
      </c>
      <c r="B1192" s="1">
        <v>45490</v>
      </c>
      <c r="C1192">
        <v>2024</v>
      </c>
      <c r="D1192" t="s">
        <v>1187</v>
      </c>
      <c r="E1192" t="s">
        <v>1188</v>
      </c>
      <c r="F1192" t="s">
        <v>31</v>
      </c>
      <c r="G1192" t="s">
        <v>25</v>
      </c>
      <c r="H1192" t="s">
        <v>26</v>
      </c>
      <c r="I1192" t="s">
        <v>27</v>
      </c>
      <c r="J1192" t="s">
        <v>110</v>
      </c>
      <c r="K1192">
        <v>1</v>
      </c>
      <c r="L1192" s="2">
        <v>19.41</v>
      </c>
      <c r="M1192" s="3">
        <v>0.25</v>
      </c>
      <c r="N1192" t="s">
        <v>62</v>
      </c>
      <c r="O1192" s="2">
        <v>14.56</v>
      </c>
      <c r="P1192" s="2">
        <v>10.46</v>
      </c>
      <c r="Q1192" s="2">
        <v>4.0999999999999996</v>
      </c>
      <c r="R1192">
        <v>1</v>
      </c>
      <c r="S1192">
        <v>0</v>
      </c>
      <c r="T1192">
        <v>4</v>
      </c>
      <c r="U1192">
        <v>3</v>
      </c>
    </row>
    <row r="1193" spans="1:21" ht="16.5" x14ac:dyDescent="0.3">
      <c r="A1193" t="s">
        <v>1275</v>
      </c>
      <c r="B1193" s="1">
        <v>45490</v>
      </c>
      <c r="C1193">
        <v>2024</v>
      </c>
      <c r="D1193" t="s">
        <v>1187</v>
      </c>
      <c r="E1193" t="s">
        <v>1188</v>
      </c>
      <c r="F1193" t="s">
        <v>24</v>
      </c>
      <c r="G1193" t="s">
        <v>49</v>
      </c>
      <c r="H1193" t="s">
        <v>32</v>
      </c>
      <c r="I1193" t="s">
        <v>42</v>
      </c>
      <c r="J1193" t="s">
        <v>43</v>
      </c>
      <c r="K1193">
        <v>1</v>
      </c>
      <c r="L1193" s="2">
        <v>154.66</v>
      </c>
      <c r="M1193" s="3">
        <v>0.1</v>
      </c>
      <c r="N1193" t="s">
        <v>29</v>
      </c>
      <c r="O1193" s="2">
        <v>139.19</v>
      </c>
      <c r="P1193" s="2">
        <v>104.69</v>
      </c>
      <c r="Q1193" s="2">
        <v>34.5</v>
      </c>
      <c r="R1193">
        <v>1</v>
      </c>
      <c r="S1193">
        <v>0</v>
      </c>
      <c r="T1193">
        <v>3</v>
      </c>
      <c r="U1193">
        <v>5</v>
      </c>
    </row>
    <row r="1194" spans="1:21" ht="16.5" x14ac:dyDescent="0.3">
      <c r="A1194" t="s">
        <v>1276</v>
      </c>
      <c r="B1194" s="1">
        <v>45491</v>
      </c>
      <c r="C1194">
        <v>2024</v>
      </c>
      <c r="D1194" t="s">
        <v>1187</v>
      </c>
      <c r="E1194" t="s">
        <v>1188</v>
      </c>
      <c r="F1194" t="s">
        <v>45</v>
      </c>
      <c r="G1194" t="s">
        <v>25</v>
      </c>
      <c r="H1194" t="s">
        <v>32</v>
      </c>
      <c r="I1194" t="s">
        <v>84</v>
      </c>
      <c r="J1194" t="s">
        <v>106</v>
      </c>
      <c r="K1194">
        <v>4</v>
      </c>
      <c r="L1194" s="2">
        <v>45.28</v>
      </c>
      <c r="M1194" s="3">
        <v>0</v>
      </c>
      <c r="N1194" t="s">
        <v>38</v>
      </c>
      <c r="O1194" s="2">
        <v>181.12</v>
      </c>
      <c r="P1194" s="2">
        <v>133.06</v>
      </c>
      <c r="Q1194" s="2">
        <v>48.06</v>
      </c>
      <c r="R1194">
        <v>1</v>
      </c>
      <c r="S1194">
        <v>1</v>
      </c>
      <c r="T1194">
        <v>6</v>
      </c>
      <c r="U1194">
        <v>2</v>
      </c>
    </row>
    <row r="1195" spans="1:21" ht="16.5" x14ac:dyDescent="0.3">
      <c r="A1195" t="s">
        <v>1277</v>
      </c>
      <c r="B1195" s="1">
        <v>45491</v>
      </c>
      <c r="C1195">
        <v>2024</v>
      </c>
      <c r="D1195" t="s">
        <v>1187</v>
      </c>
      <c r="E1195" t="s">
        <v>1188</v>
      </c>
      <c r="F1195" t="s">
        <v>24</v>
      </c>
      <c r="G1195" t="s">
        <v>65</v>
      </c>
      <c r="H1195" t="s">
        <v>32</v>
      </c>
      <c r="I1195" t="s">
        <v>27</v>
      </c>
      <c r="J1195" t="s">
        <v>28</v>
      </c>
      <c r="K1195">
        <v>1</v>
      </c>
      <c r="L1195" s="2">
        <v>138.5</v>
      </c>
      <c r="M1195" s="3">
        <v>0</v>
      </c>
      <c r="N1195" t="s">
        <v>38</v>
      </c>
      <c r="O1195" s="2">
        <v>138.5</v>
      </c>
      <c r="P1195" s="2">
        <v>74.22</v>
      </c>
      <c r="Q1195" s="2">
        <v>64.28</v>
      </c>
      <c r="R1195">
        <v>1</v>
      </c>
      <c r="S1195">
        <v>0</v>
      </c>
      <c r="T1195">
        <v>7</v>
      </c>
      <c r="U1195">
        <v>2</v>
      </c>
    </row>
    <row r="1196" spans="1:21" ht="16.5" x14ac:dyDescent="0.3">
      <c r="A1196" t="s">
        <v>1278</v>
      </c>
      <c r="B1196" s="1">
        <v>45491</v>
      </c>
      <c r="C1196">
        <v>2024</v>
      </c>
      <c r="D1196" t="s">
        <v>1187</v>
      </c>
      <c r="E1196" t="s">
        <v>1188</v>
      </c>
      <c r="F1196" t="s">
        <v>24</v>
      </c>
      <c r="G1196" t="s">
        <v>25</v>
      </c>
      <c r="H1196" t="s">
        <v>32</v>
      </c>
      <c r="I1196" t="s">
        <v>36</v>
      </c>
      <c r="J1196" t="s">
        <v>126</v>
      </c>
      <c r="K1196">
        <v>2</v>
      </c>
      <c r="L1196" s="2">
        <v>54.56</v>
      </c>
      <c r="M1196" s="3">
        <v>0.15</v>
      </c>
      <c r="N1196" t="s">
        <v>34</v>
      </c>
      <c r="O1196" s="2">
        <v>92.75</v>
      </c>
      <c r="P1196" s="2">
        <v>52.61</v>
      </c>
      <c r="Q1196" s="2">
        <v>40.14</v>
      </c>
      <c r="R1196">
        <v>1</v>
      </c>
      <c r="S1196">
        <v>0</v>
      </c>
      <c r="T1196">
        <v>5</v>
      </c>
      <c r="U1196">
        <v>5</v>
      </c>
    </row>
    <row r="1197" spans="1:21" ht="16.5" x14ac:dyDescent="0.3">
      <c r="A1197" t="s">
        <v>1279</v>
      </c>
      <c r="B1197" s="1">
        <v>45491</v>
      </c>
      <c r="C1197">
        <v>2024</v>
      </c>
      <c r="D1197" t="s">
        <v>1187</v>
      </c>
      <c r="E1197" t="s">
        <v>1188</v>
      </c>
      <c r="F1197" t="s">
        <v>31</v>
      </c>
      <c r="G1197" t="s">
        <v>49</v>
      </c>
      <c r="H1197" t="s">
        <v>26</v>
      </c>
      <c r="I1197" t="s">
        <v>27</v>
      </c>
      <c r="J1197" t="s">
        <v>60</v>
      </c>
      <c r="K1197">
        <v>1</v>
      </c>
      <c r="L1197" s="2">
        <v>94.85</v>
      </c>
      <c r="M1197" s="3">
        <v>0.2</v>
      </c>
      <c r="N1197" t="s">
        <v>34</v>
      </c>
      <c r="O1197" s="2">
        <v>75.88</v>
      </c>
      <c r="P1197" s="2">
        <v>54</v>
      </c>
      <c r="Q1197" s="2">
        <v>21.88</v>
      </c>
      <c r="R1197">
        <v>1</v>
      </c>
      <c r="S1197">
        <v>0</v>
      </c>
      <c r="T1197">
        <v>4</v>
      </c>
      <c r="U1197">
        <v>5</v>
      </c>
    </row>
    <row r="1198" spans="1:21" ht="16.5" x14ac:dyDescent="0.3">
      <c r="A1198" t="s">
        <v>1280</v>
      </c>
      <c r="B1198" s="1">
        <v>45491</v>
      </c>
      <c r="C1198">
        <v>2024</v>
      </c>
      <c r="D1198" t="s">
        <v>1187</v>
      </c>
      <c r="E1198" t="s">
        <v>1188</v>
      </c>
      <c r="F1198" t="s">
        <v>31</v>
      </c>
      <c r="G1198" t="s">
        <v>51</v>
      </c>
      <c r="H1198" t="s">
        <v>32</v>
      </c>
      <c r="I1198" t="s">
        <v>27</v>
      </c>
      <c r="J1198" t="s">
        <v>47</v>
      </c>
      <c r="K1198">
        <v>1</v>
      </c>
      <c r="L1198" s="2">
        <v>33.99</v>
      </c>
      <c r="M1198" s="3">
        <v>0.2</v>
      </c>
      <c r="N1198" t="s">
        <v>34</v>
      </c>
      <c r="O1198" s="2">
        <v>27.19</v>
      </c>
      <c r="P1198" s="2">
        <v>17.899999999999999</v>
      </c>
      <c r="Q1198" s="2">
        <v>9.2899999999999991</v>
      </c>
      <c r="R1198">
        <v>1</v>
      </c>
      <c r="S1198">
        <v>0</v>
      </c>
      <c r="T1198">
        <v>2</v>
      </c>
      <c r="U1198">
        <v>5</v>
      </c>
    </row>
    <row r="1199" spans="1:21" ht="16.5" x14ac:dyDescent="0.3">
      <c r="A1199" t="s">
        <v>1281</v>
      </c>
      <c r="B1199" s="1">
        <v>45491</v>
      </c>
      <c r="C1199">
        <v>2024</v>
      </c>
      <c r="D1199" t="s">
        <v>1187</v>
      </c>
      <c r="E1199" t="s">
        <v>1188</v>
      </c>
      <c r="F1199" t="s">
        <v>24</v>
      </c>
      <c r="G1199" t="s">
        <v>49</v>
      </c>
      <c r="H1199" t="s">
        <v>32</v>
      </c>
      <c r="I1199" t="s">
        <v>36</v>
      </c>
      <c r="J1199" t="s">
        <v>126</v>
      </c>
      <c r="K1199">
        <v>1</v>
      </c>
      <c r="L1199" s="2">
        <v>54.56</v>
      </c>
      <c r="M1199" s="3">
        <v>0.1</v>
      </c>
      <c r="N1199" t="s">
        <v>29</v>
      </c>
      <c r="O1199" s="2">
        <v>49.1</v>
      </c>
      <c r="P1199" s="2">
        <v>24.49</v>
      </c>
      <c r="Q1199" s="2">
        <v>24.61</v>
      </c>
      <c r="R1199">
        <v>1</v>
      </c>
      <c r="S1199">
        <v>0</v>
      </c>
      <c r="T1199">
        <v>4</v>
      </c>
      <c r="U1199">
        <v>5</v>
      </c>
    </row>
    <row r="1200" spans="1:21" ht="16.5" x14ac:dyDescent="0.3">
      <c r="A1200" t="s">
        <v>1282</v>
      </c>
      <c r="B1200" s="1">
        <v>45492</v>
      </c>
      <c r="C1200">
        <v>2024</v>
      </c>
      <c r="D1200" t="s">
        <v>1187</v>
      </c>
      <c r="E1200" t="s">
        <v>1188</v>
      </c>
      <c r="F1200" t="s">
        <v>24</v>
      </c>
      <c r="G1200" t="s">
        <v>25</v>
      </c>
      <c r="H1200" t="s">
        <v>32</v>
      </c>
      <c r="I1200" t="s">
        <v>42</v>
      </c>
      <c r="J1200" t="s">
        <v>54</v>
      </c>
      <c r="K1200">
        <v>1</v>
      </c>
      <c r="L1200" s="2">
        <v>148.05000000000001</v>
      </c>
      <c r="M1200" s="3">
        <v>0.1</v>
      </c>
      <c r="N1200" t="s">
        <v>29</v>
      </c>
      <c r="O1200" s="2">
        <v>133.24</v>
      </c>
      <c r="P1200" s="2">
        <v>100.4</v>
      </c>
      <c r="Q1200" s="2">
        <v>32.840000000000003</v>
      </c>
      <c r="R1200">
        <v>1</v>
      </c>
      <c r="S1200">
        <v>0</v>
      </c>
      <c r="T1200">
        <v>4</v>
      </c>
      <c r="U1200">
        <v>3</v>
      </c>
    </row>
    <row r="1201" spans="1:21" ht="16.5" x14ac:dyDescent="0.3">
      <c r="A1201" t="s">
        <v>1283</v>
      </c>
      <c r="B1201" s="1">
        <v>45492</v>
      </c>
      <c r="C1201">
        <v>2024</v>
      </c>
      <c r="D1201" t="s">
        <v>1187</v>
      </c>
      <c r="E1201" t="s">
        <v>1188</v>
      </c>
      <c r="F1201" t="s">
        <v>24</v>
      </c>
      <c r="G1201" t="s">
        <v>25</v>
      </c>
      <c r="H1201" t="s">
        <v>26</v>
      </c>
      <c r="I1201" t="s">
        <v>70</v>
      </c>
      <c r="J1201" t="s">
        <v>162</v>
      </c>
      <c r="K1201">
        <v>1</v>
      </c>
      <c r="L1201" s="2">
        <v>636.09</v>
      </c>
      <c r="M1201" s="3">
        <v>0.3</v>
      </c>
      <c r="N1201" t="s">
        <v>62</v>
      </c>
      <c r="O1201" s="2">
        <v>445.26</v>
      </c>
      <c r="P1201" s="2">
        <v>491.47</v>
      </c>
      <c r="Q1201" s="2">
        <v>-46.21</v>
      </c>
      <c r="R1201">
        <v>1</v>
      </c>
      <c r="S1201">
        <v>0</v>
      </c>
      <c r="T1201">
        <v>3</v>
      </c>
      <c r="U1201">
        <v>4</v>
      </c>
    </row>
    <row r="1202" spans="1:21" ht="16.5" x14ac:dyDescent="0.3">
      <c r="A1202" t="s">
        <v>1284</v>
      </c>
      <c r="B1202" s="1">
        <v>45492</v>
      </c>
      <c r="C1202">
        <v>2024</v>
      </c>
      <c r="D1202" t="s">
        <v>1187</v>
      </c>
      <c r="E1202" t="s">
        <v>1188</v>
      </c>
      <c r="F1202" t="s">
        <v>24</v>
      </c>
      <c r="G1202" t="s">
        <v>25</v>
      </c>
      <c r="H1202" t="s">
        <v>32</v>
      </c>
      <c r="I1202" t="s">
        <v>84</v>
      </c>
      <c r="J1202" t="s">
        <v>96</v>
      </c>
      <c r="K1202">
        <v>1</v>
      </c>
      <c r="L1202" s="2">
        <v>10.76</v>
      </c>
      <c r="M1202" s="3">
        <v>0</v>
      </c>
      <c r="N1202" t="s">
        <v>38</v>
      </c>
      <c r="O1202" s="2">
        <v>10.76</v>
      </c>
      <c r="P1202" s="2">
        <v>7.89</v>
      </c>
      <c r="Q1202" s="2">
        <v>2.87</v>
      </c>
      <c r="R1202">
        <v>1</v>
      </c>
      <c r="S1202">
        <v>0</v>
      </c>
      <c r="T1202">
        <v>4</v>
      </c>
      <c r="U1202">
        <v>5</v>
      </c>
    </row>
    <row r="1203" spans="1:21" ht="16.5" x14ac:dyDescent="0.3">
      <c r="A1203" t="s">
        <v>1285</v>
      </c>
      <c r="B1203" s="1">
        <v>45492</v>
      </c>
      <c r="C1203">
        <v>2024</v>
      </c>
      <c r="D1203" t="s">
        <v>1187</v>
      </c>
      <c r="E1203" t="s">
        <v>1188</v>
      </c>
      <c r="F1203" t="s">
        <v>31</v>
      </c>
      <c r="G1203" t="s">
        <v>51</v>
      </c>
      <c r="H1203" t="s">
        <v>32</v>
      </c>
      <c r="I1203" t="s">
        <v>70</v>
      </c>
      <c r="J1203" t="s">
        <v>162</v>
      </c>
      <c r="K1203">
        <v>3</v>
      </c>
      <c r="L1203" s="2">
        <v>636.09</v>
      </c>
      <c r="M1203" s="3">
        <v>0.05</v>
      </c>
      <c r="N1203" t="s">
        <v>29</v>
      </c>
      <c r="O1203" s="2">
        <v>1812.86</v>
      </c>
      <c r="P1203" s="2">
        <v>1622.86</v>
      </c>
      <c r="Q1203" s="2">
        <v>190</v>
      </c>
      <c r="R1203">
        <v>1</v>
      </c>
      <c r="S1203">
        <v>0</v>
      </c>
      <c r="T1203">
        <v>3</v>
      </c>
      <c r="U1203">
        <v>5</v>
      </c>
    </row>
    <row r="1204" spans="1:21" ht="16.5" x14ac:dyDescent="0.3">
      <c r="A1204" t="s">
        <v>1286</v>
      </c>
      <c r="B1204" s="1">
        <v>45493</v>
      </c>
      <c r="C1204">
        <v>2024</v>
      </c>
      <c r="D1204" t="s">
        <v>1187</v>
      </c>
      <c r="E1204" t="s">
        <v>1188</v>
      </c>
      <c r="F1204" t="s">
        <v>45</v>
      </c>
      <c r="G1204" t="s">
        <v>46</v>
      </c>
      <c r="H1204" t="s">
        <v>32</v>
      </c>
      <c r="I1204" t="s">
        <v>70</v>
      </c>
      <c r="J1204" t="s">
        <v>162</v>
      </c>
      <c r="K1204">
        <v>1</v>
      </c>
      <c r="L1204" s="2">
        <v>636.09</v>
      </c>
      <c r="M1204" s="3">
        <v>0.1</v>
      </c>
      <c r="N1204" t="s">
        <v>29</v>
      </c>
      <c r="O1204" s="2">
        <v>572.48</v>
      </c>
      <c r="P1204" s="2">
        <v>505.2</v>
      </c>
      <c r="Q1204" s="2">
        <v>67.28</v>
      </c>
      <c r="R1204">
        <v>1</v>
      </c>
      <c r="S1204">
        <v>0</v>
      </c>
      <c r="T1204">
        <v>7</v>
      </c>
      <c r="U1204">
        <v>4</v>
      </c>
    </row>
    <row r="1205" spans="1:21" ht="16.5" x14ac:dyDescent="0.3">
      <c r="A1205" t="s">
        <v>1287</v>
      </c>
      <c r="B1205" s="1">
        <v>45493</v>
      </c>
      <c r="C1205">
        <v>2024</v>
      </c>
      <c r="D1205" t="s">
        <v>1187</v>
      </c>
      <c r="E1205" t="s">
        <v>1188</v>
      </c>
      <c r="F1205" t="s">
        <v>31</v>
      </c>
      <c r="G1205" t="s">
        <v>25</v>
      </c>
      <c r="H1205" t="s">
        <v>32</v>
      </c>
      <c r="I1205" t="s">
        <v>70</v>
      </c>
      <c r="J1205" t="s">
        <v>71</v>
      </c>
      <c r="K1205">
        <v>1</v>
      </c>
      <c r="L1205" s="2">
        <v>588.41</v>
      </c>
      <c r="M1205" s="3">
        <v>0</v>
      </c>
      <c r="N1205" t="s">
        <v>38</v>
      </c>
      <c r="O1205" s="2">
        <v>588.41</v>
      </c>
      <c r="P1205" s="2">
        <v>469.18</v>
      </c>
      <c r="Q1205" s="2">
        <v>119.23</v>
      </c>
      <c r="R1205">
        <v>1</v>
      </c>
      <c r="S1205">
        <v>0</v>
      </c>
      <c r="T1205">
        <v>4</v>
      </c>
      <c r="U1205">
        <v>5</v>
      </c>
    </row>
    <row r="1206" spans="1:21" ht="16.5" x14ac:dyDescent="0.3">
      <c r="A1206" t="s">
        <v>1288</v>
      </c>
      <c r="B1206" s="1">
        <v>45493</v>
      </c>
      <c r="C1206">
        <v>2024</v>
      </c>
      <c r="D1206" t="s">
        <v>1187</v>
      </c>
      <c r="E1206" t="s">
        <v>1188</v>
      </c>
      <c r="F1206" t="s">
        <v>31</v>
      </c>
      <c r="G1206" t="s">
        <v>49</v>
      </c>
      <c r="H1206" t="s">
        <v>26</v>
      </c>
      <c r="I1206" t="s">
        <v>84</v>
      </c>
      <c r="J1206" t="s">
        <v>132</v>
      </c>
      <c r="K1206">
        <v>1</v>
      </c>
      <c r="L1206" s="2">
        <v>48.86</v>
      </c>
      <c r="M1206" s="3">
        <v>0.15</v>
      </c>
      <c r="N1206" t="s">
        <v>34</v>
      </c>
      <c r="O1206" s="2">
        <v>41.53</v>
      </c>
      <c r="P1206" s="2">
        <v>35.200000000000003</v>
      </c>
      <c r="Q1206" s="2">
        <v>6.33</v>
      </c>
      <c r="R1206">
        <v>1</v>
      </c>
      <c r="S1206">
        <v>0</v>
      </c>
      <c r="T1206">
        <v>4</v>
      </c>
      <c r="U1206">
        <v>4</v>
      </c>
    </row>
    <row r="1207" spans="1:21" ht="16.5" x14ac:dyDescent="0.3">
      <c r="A1207" t="s">
        <v>1289</v>
      </c>
      <c r="B1207" s="1">
        <v>45493</v>
      </c>
      <c r="C1207">
        <v>2024</v>
      </c>
      <c r="D1207" t="s">
        <v>1187</v>
      </c>
      <c r="E1207" t="s">
        <v>1188</v>
      </c>
      <c r="F1207" t="s">
        <v>24</v>
      </c>
      <c r="G1207" t="s">
        <v>51</v>
      </c>
      <c r="H1207" t="s">
        <v>32</v>
      </c>
      <c r="I1207" t="s">
        <v>42</v>
      </c>
      <c r="J1207" t="s">
        <v>54</v>
      </c>
      <c r="K1207">
        <v>2</v>
      </c>
      <c r="L1207" s="2">
        <v>148.05000000000001</v>
      </c>
      <c r="M1207" s="3">
        <v>0.05</v>
      </c>
      <c r="N1207" t="s">
        <v>29</v>
      </c>
      <c r="O1207" s="2">
        <v>281.3</v>
      </c>
      <c r="P1207" s="2">
        <v>197.49</v>
      </c>
      <c r="Q1207" s="2">
        <v>83.81</v>
      </c>
      <c r="R1207">
        <v>1</v>
      </c>
      <c r="S1207">
        <v>0</v>
      </c>
      <c r="T1207">
        <v>3</v>
      </c>
      <c r="U1207">
        <v>4</v>
      </c>
    </row>
    <row r="1208" spans="1:21" ht="16.5" x14ac:dyDescent="0.3">
      <c r="A1208" t="s">
        <v>1290</v>
      </c>
      <c r="B1208" s="1">
        <v>45493</v>
      </c>
      <c r="C1208">
        <v>2024</v>
      </c>
      <c r="D1208" t="s">
        <v>1187</v>
      </c>
      <c r="E1208" t="s">
        <v>1188</v>
      </c>
      <c r="F1208" t="s">
        <v>24</v>
      </c>
      <c r="G1208" t="s">
        <v>51</v>
      </c>
      <c r="H1208" t="s">
        <v>26</v>
      </c>
      <c r="I1208" t="s">
        <v>70</v>
      </c>
      <c r="J1208" t="s">
        <v>129</v>
      </c>
      <c r="K1208">
        <v>3</v>
      </c>
      <c r="L1208" s="2">
        <v>177.65</v>
      </c>
      <c r="M1208" s="3">
        <v>0.05</v>
      </c>
      <c r="N1208" t="s">
        <v>29</v>
      </c>
      <c r="O1208" s="2">
        <v>506.3</v>
      </c>
      <c r="P1208" s="2">
        <v>420.43</v>
      </c>
      <c r="Q1208" s="2">
        <v>85.87</v>
      </c>
      <c r="R1208">
        <v>1</v>
      </c>
      <c r="S1208">
        <v>0</v>
      </c>
      <c r="T1208">
        <v>2</v>
      </c>
      <c r="U1208">
        <v>4</v>
      </c>
    </row>
    <row r="1209" spans="1:21" ht="16.5" x14ac:dyDescent="0.3">
      <c r="A1209" t="s">
        <v>1291</v>
      </c>
      <c r="B1209" s="1">
        <v>45494</v>
      </c>
      <c r="C1209">
        <v>2024</v>
      </c>
      <c r="D1209" t="s">
        <v>1187</v>
      </c>
      <c r="E1209" t="s">
        <v>1188</v>
      </c>
      <c r="F1209" t="s">
        <v>24</v>
      </c>
      <c r="G1209" t="s">
        <v>51</v>
      </c>
      <c r="H1209" t="s">
        <v>32</v>
      </c>
      <c r="I1209" t="s">
        <v>36</v>
      </c>
      <c r="J1209" t="s">
        <v>37</v>
      </c>
      <c r="K1209">
        <v>1</v>
      </c>
      <c r="L1209" s="2">
        <v>33.18</v>
      </c>
      <c r="M1209" s="3">
        <v>0.1</v>
      </c>
      <c r="N1209" t="s">
        <v>29</v>
      </c>
      <c r="O1209" s="2">
        <v>29.86</v>
      </c>
      <c r="P1209" s="2">
        <v>15.99</v>
      </c>
      <c r="Q1209" s="2">
        <v>13.87</v>
      </c>
      <c r="R1209">
        <v>1</v>
      </c>
      <c r="S1209">
        <v>0</v>
      </c>
      <c r="T1209">
        <v>2</v>
      </c>
      <c r="U1209">
        <v>4</v>
      </c>
    </row>
    <row r="1210" spans="1:21" ht="16.5" x14ac:dyDescent="0.3">
      <c r="A1210" t="s">
        <v>1292</v>
      </c>
      <c r="B1210" s="1">
        <v>45494</v>
      </c>
      <c r="C1210">
        <v>2024</v>
      </c>
      <c r="D1210" t="s">
        <v>1187</v>
      </c>
      <c r="E1210" t="s">
        <v>1188</v>
      </c>
      <c r="F1210" t="s">
        <v>24</v>
      </c>
      <c r="G1210" t="s">
        <v>49</v>
      </c>
      <c r="H1210" t="s">
        <v>32</v>
      </c>
      <c r="I1210" t="s">
        <v>36</v>
      </c>
      <c r="J1210" t="s">
        <v>37</v>
      </c>
      <c r="K1210">
        <v>1</v>
      </c>
      <c r="L1210" s="2">
        <v>33.18</v>
      </c>
      <c r="M1210" s="3">
        <v>0</v>
      </c>
      <c r="N1210" t="s">
        <v>38</v>
      </c>
      <c r="O1210" s="2">
        <v>33.18</v>
      </c>
      <c r="P1210" s="2">
        <v>15.72</v>
      </c>
      <c r="Q1210" s="2">
        <v>17.46</v>
      </c>
      <c r="R1210">
        <v>1</v>
      </c>
      <c r="S1210">
        <v>0</v>
      </c>
      <c r="T1210">
        <v>5</v>
      </c>
      <c r="U1210">
        <v>4</v>
      </c>
    </row>
    <row r="1211" spans="1:21" ht="16.5" x14ac:dyDescent="0.3">
      <c r="A1211" t="s">
        <v>1293</v>
      </c>
      <c r="B1211" s="1">
        <v>45494</v>
      </c>
      <c r="C1211">
        <v>2024</v>
      </c>
      <c r="D1211" t="s">
        <v>1187</v>
      </c>
      <c r="E1211" t="s">
        <v>1188</v>
      </c>
      <c r="F1211" t="s">
        <v>45</v>
      </c>
      <c r="G1211" t="s">
        <v>25</v>
      </c>
      <c r="H1211" t="s">
        <v>32</v>
      </c>
      <c r="I1211" t="s">
        <v>27</v>
      </c>
      <c r="J1211" t="s">
        <v>33</v>
      </c>
      <c r="K1211">
        <v>1</v>
      </c>
      <c r="L1211" s="2">
        <v>78.510000000000005</v>
      </c>
      <c r="M1211" s="3">
        <v>0</v>
      </c>
      <c r="N1211" t="s">
        <v>38</v>
      </c>
      <c r="O1211" s="2">
        <v>78.510000000000005</v>
      </c>
      <c r="P1211" s="2">
        <v>43.44</v>
      </c>
      <c r="Q1211" s="2">
        <v>35.07</v>
      </c>
      <c r="R1211">
        <v>1</v>
      </c>
      <c r="S1211">
        <v>1</v>
      </c>
      <c r="T1211">
        <v>3</v>
      </c>
      <c r="U1211">
        <v>4</v>
      </c>
    </row>
    <row r="1212" spans="1:21" ht="16.5" x14ac:dyDescent="0.3">
      <c r="A1212" t="s">
        <v>1294</v>
      </c>
      <c r="B1212" s="1">
        <v>45494</v>
      </c>
      <c r="C1212">
        <v>2024</v>
      </c>
      <c r="D1212" t="s">
        <v>1187</v>
      </c>
      <c r="E1212" t="s">
        <v>1188</v>
      </c>
      <c r="F1212" t="s">
        <v>24</v>
      </c>
      <c r="G1212" t="s">
        <v>49</v>
      </c>
      <c r="H1212" t="s">
        <v>32</v>
      </c>
      <c r="I1212" t="s">
        <v>36</v>
      </c>
      <c r="J1212" t="s">
        <v>115</v>
      </c>
      <c r="K1212">
        <v>1</v>
      </c>
      <c r="L1212" s="2">
        <v>33.479999999999997</v>
      </c>
      <c r="M1212" s="3">
        <v>0</v>
      </c>
      <c r="N1212" t="s">
        <v>38</v>
      </c>
      <c r="O1212" s="2">
        <v>33.479999999999997</v>
      </c>
      <c r="P1212" s="2">
        <v>15.75</v>
      </c>
      <c r="Q1212" s="2">
        <v>17.73</v>
      </c>
      <c r="R1212">
        <v>1</v>
      </c>
      <c r="S1212">
        <v>0</v>
      </c>
      <c r="T1212">
        <v>5</v>
      </c>
      <c r="U1212">
        <v>3</v>
      </c>
    </row>
    <row r="1213" spans="1:21" ht="16.5" x14ac:dyDescent="0.3">
      <c r="A1213" t="s">
        <v>1295</v>
      </c>
      <c r="B1213" s="1">
        <v>45494</v>
      </c>
      <c r="C1213">
        <v>2024</v>
      </c>
      <c r="D1213" t="s">
        <v>1187</v>
      </c>
      <c r="E1213" t="s">
        <v>1188</v>
      </c>
      <c r="F1213" t="s">
        <v>45</v>
      </c>
      <c r="G1213" t="s">
        <v>65</v>
      </c>
      <c r="H1213" t="s">
        <v>26</v>
      </c>
      <c r="I1213" t="s">
        <v>42</v>
      </c>
      <c r="J1213" t="s">
        <v>43</v>
      </c>
      <c r="K1213">
        <v>1</v>
      </c>
      <c r="L1213" s="2">
        <v>154.66</v>
      </c>
      <c r="M1213" s="3">
        <v>0.05</v>
      </c>
      <c r="N1213" t="s">
        <v>29</v>
      </c>
      <c r="O1213" s="2">
        <v>146.93</v>
      </c>
      <c r="P1213" s="2">
        <v>105.9</v>
      </c>
      <c r="Q1213" s="2">
        <v>41.03</v>
      </c>
      <c r="R1213">
        <v>1</v>
      </c>
      <c r="S1213">
        <v>0</v>
      </c>
      <c r="T1213">
        <v>5</v>
      </c>
      <c r="U1213">
        <v>4</v>
      </c>
    </row>
    <row r="1214" spans="1:21" ht="16.5" x14ac:dyDescent="0.3">
      <c r="A1214" t="s">
        <v>1296</v>
      </c>
      <c r="B1214" s="1">
        <v>45494</v>
      </c>
      <c r="C1214">
        <v>2024</v>
      </c>
      <c r="D1214" t="s">
        <v>1187</v>
      </c>
      <c r="E1214" t="s">
        <v>1188</v>
      </c>
      <c r="F1214" t="s">
        <v>31</v>
      </c>
      <c r="G1214" t="s">
        <v>51</v>
      </c>
      <c r="H1214" t="s">
        <v>32</v>
      </c>
      <c r="I1214" t="s">
        <v>27</v>
      </c>
      <c r="J1214" t="s">
        <v>60</v>
      </c>
      <c r="K1214">
        <v>1</v>
      </c>
      <c r="L1214" s="2">
        <v>94.85</v>
      </c>
      <c r="M1214" s="3">
        <v>0.05</v>
      </c>
      <c r="N1214" t="s">
        <v>29</v>
      </c>
      <c r="O1214" s="2">
        <v>90.11</v>
      </c>
      <c r="P1214" s="2">
        <v>52.37</v>
      </c>
      <c r="Q1214" s="2">
        <v>37.74</v>
      </c>
      <c r="R1214">
        <v>1</v>
      </c>
      <c r="S1214">
        <v>0</v>
      </c>
      <c r="T1214">
        <v>2</v>
      </c>
      <c r="U1214">
        <v>5</v>
      </c>
    </row>
    <row r="1215" spans="1:21" ht="16.5" x14ac:dyDescent="0.3">
      <c r="A1215" t="s">
        <v>1297</v>
      </c>
      <c r="B1215" s="1">
        <v>45495</v>
      </c>
      <c r="C1215">
        <v>2024</v>
      </c>
      <c r="D1215" t="s">
        <v>1187</v>
      </c>
      <c r="E1215" t="s">
        <v>1188</v>
      </c>
      <c r="F1215" t="s">
        <v>24</v>
      </c>
      <c r="G1215" t="s">
        <v>65</v>
      </c>
      <c r="H1215" t="s">
        <v>32</v>
      </c>
      <c r="I1215" t="s">
        <v>84</v>
      </c>
      <c r="J1215" t="s">
        <v>85</v>
      </c>
      <c r="K1215">
        <v>2</v>
      </c>
      <c r="L1215" s="2">
        <v>57.92</v>
      </c>
      <c r="M1215" s="3">
        <v>0.05</v>
      </c>
      <c r="N1215" t="s">
        <v>29</v>
      </c>
      <c r="O1215" s="2">
        <v>110.05</v>
      </c>
      <c r="P1215" s="2">
        <v>84.18</v>
      </c>
      <c r="Q1215" s="2">
        <v>25.87</v>
      </c>
      <c r="R1215">
        <v>1</v>
      </c>
      <c r="S1215">
        <v>0</v>
      </c>
      <c r="T1215">
        <v>6</v>
      </c>
      <c r="U1215">
        <v>3</v>
      </c>
    </row>
    <row r="1216" spans="1:21" ht="16.5" x14ac:dyDescent="0.3">
      <c r="A1216" t="s">
        <v>1298</v>
      </c>
      <c r="B1216" s="1">
        <v>45495</v>
      </c>
      <c r="C1216">
        <v>2024</v>
      </c>
      <c r="D1216" t="s">
        <v>1187</v>
      </c>
      <c r="E1216" t="s">
        <v>1188</v>
      </c>
      <c r="F1216" t="s">
        <v>24</v>
      </c>
      <c r="G1216" t="s">
        <v>49</v>
      </c>
      <c r="H1216" t="s">
        <v>32</v>
      </c>
      <c r="I1216" t="s">
        <v>36</v>
      </c>
      <c r="J1216" t="s">
        <v>37</v>
      </c>
      <c r="K1216">
        <v>1</v>
      </c>
      <c r="L1216" s="2">
        <v>33.18</v>
      </c>
      <c r="M1216" s="3">
        <v>0.2</v>
      </c>
      <c r="N1216" t="s">
        <v>34</v>
      </c>
      <c r="O1216" s="2">
        <v>26.54</v>
      </c>
      <c r="P1216" s="2">
        <v>15.34</v>
      </c>
      <c r="Q1216" s="2">
        <v>11.2</v>
      </c>
      <c r="R1216">
        <v>1</v>
      </c>
      <c r="S1216">
        <v>0</v>
      </c>
      <c r="T1216">
        <v>3</v>
      </c>
      <c r="U1216">
        <v>5</v>
      </c>
    </row>
    <row r="1217" spans="1:21" ht="16.5" x14ac:dyDescent="0.3">
      <c r="A1217" t="s">
        <v>1299</v>
      </c>
      <c r="B1217" s="1">
        <v>45495</v>
      </c>
      <c r="C1217">
        <v>2024</v>
      </c>
      <c r="D1217" t="s">
        <v>1187</v>
      </c>
      <c r="E1217" t="s">
        <v>1188</v>
      </c>
      <c r="F1217" t="s">
        <v>24</v>
      </c>
      <c r="G1217" t="s">
        <v>25</v>
      </c>
      <c r="H1217" t="s">
        <v>32</v>
      </c>
      <c r="I1217" t="s">
        <v>70</v>
      </c>
      <c r="J1217" t="s">
        <v>252</v>
      </c>
      <c r="K1217">
        <v>2</v>
      </c>
      <c r="L1217" s="2">
        <v>216.08</v>
      </c>
      <c r="M1217" s="3">
        <v>0.05</v>
      </c>
      <c r="N1217" t="s">
        <v>29</v>
      </c>
      <c r="O1217" s="2">
        <v>410.55</v>
      </c>
      <c r="P1217" s="2">
        <v>348.43</v>
      </c>
      <c r="Q1217" s="2">
        <v>62.12</v>
      </c>
      <c r="R1217">
        <v>1</v>
      </c>
      <c r="S1217">
        <v>0</v>
      </c>
      <c r="T1217">
        <v>5</v>
      </c>
      <c r="U1217">
        <v>5</v>
      </c>
    </row>
    <row r="1218" spans="1:21" ht="16.5" x14ac:dyDescent="0.3">
      <c r="A1218" t="s">
        <v>1300</v>
      </c>
      <c r="B1218" s="1">
        <v>45496</v>
      </c>
      <c r="C1218">
        <v>2024</v>
      </c>
      <c r="D1218" t="s">
        <v>1187</v>
      </c>
      <c r="E1218" t="s">
        <v>1188</v>
      </c>
      <c r="F1218" t="s">
        <v>24</v>
      </c>
      <c r="G1218" t="s">
        <v>51</v>
      </c>
      <c r="H1218" t="s">
        <v>26</v>
      </c>
      <c r="I1218" t="s">
        <v>36</v>
      </c>
      <c r="J1218" t="s">
        <v>115</v>
      </c>
      <c r="K1218">
        <v>1</v>
      </c>
      <c r="L1218" s="2">
        <v>33.479999999999997</v>
      </c>
      <c r="M1218" s="3">
        <v>0</v>
      </c>
      <c r="N1218" t="s">
        <v>38</v>
      </c>
      <c r="O1218" s="2">
        <v>33.479999999999997</v>
      </c>
      <c r="P1218" s="2">
        <v>16.27</v>
      </c>
      <c r="Q1218" s="2">
        <v>17.21</v>
      </c>
      <c r="R1218">
        <v>1</v>
      </c>
      <c r="S1218">
        <v>0</v>
      </c>
      <c r="T1218">
        <v>4</v>
      </c>
      <c r="U1218">
        <v>5</v>
      </c>
    </row>
    <row r="1219" spans="1:21" ht="16.5" x14ac:dyDescent="0.3">
      <c r="A1219" t="s">
        <v>1301</v>
      </c>
      <c r="B1219" s="1">
        <v>45496</v>
      </c>
      <c r="C1219">
        <v>2024</v>
      </c>
      <c r="D1219" t="s">
        <v>1187</v>
      </c>
      <c r="E1219" t="s">
        <v>1188</v>
      </c>
      <c r="F1219" t="s">
        <v>31</v>
      </c>
      <c r="G1219" t="s">
        <v>49</v>
      </c>
      <c r="H1219" t="s">
        <v>26</v>
      </c>
      <c r="I1219" t="s">
        <v>36</v>
      </c>
      <c r="J1219" t="s">
        <v>56</v>
      </c>
      <c r="K1219">
        <v>1</v>
      </c>
      <c r="L1219" s="2">
        <v>74.3</v>
      </c>
      <c r="M1219" s="3">
        <v>0.2</v>
      </c>
      <c r="N1219" t="s">
        <v>34</v>
      </c>
      <c r="O1219" s="2">
        <v>59.44</v>
      </c>
      <c r="P1219" s="2">
        <v>36.729999999999997</v>
      </c>
      <c r="Q1219" s="2">
        <v>22.71</v>
      </c>
      <c r="R1219">
        <v>1</v>
      </c>
      <c r="S1219">
        <v>0</v>
      </c>
      <c r="T1219">
        <v>4</v>
      </c>
      <c r="U1219">
        <v>3</v>
      </c>
    </row>
    <row r="1220" spans="1:21" ht="16.5" x14ac:dyDescent="0.3">
      <c r="A1220" t="s">
        <v>1302</v>
      </c>
      <c r="B1220" s="1">
        <v>45496</v>
      </c>
      <c r="C1220">
        <v>2024</v>
      </c>
      <c r="D1220" t="s">
        <v>1187</v>
      </c>
      <c r="E1220" t="s">
        <v>1188</v>
      </c>
      <c r="F1220" t="s">
        <v>24</v>
      </c>
      <c r="G1220" t="s">
        <v>25</v>
      </c>
      <c r="H1220" t="s">
        <v>32</v>
      </c>
      <c r="I1220" t="s">
        <v>27</v>
      </c>
      <c r="J1220" t="s">
        <v>60</v>
      </c>
      <c r="K1220">
        <v>1</v>
      </c>
      <c r="L1220" s="2">
        <v>94.85</v>
      </c>
      <c r="M1220" s="3">
        <v>0.2</v>
      </c>
      <c r="N1220" t="s">
        <v>34</v>
      </c>
      <c r="O1220" s="2">
        <v>75.88</v>
      </c>
      <c r="P1220" s="2">
        <v>50.14</v>
      </c>
      <c r="Q1220" s="2">
        <v>25.74</v>
      </c>
      <c r="R1220">
        <v>1</v>
      </c>
      <c r="S1220">
        <v>0</v>
      </c>
      <c r="T1220">
        <v>8</v>
      </c>
      <c r="U1220">
        <v>3</v>
      </c>
    </row>
    <row r="1221" spans="1:21" ht="16.5" x14ac:dyDescent="0.3">
      <c r="A1221" t="s">
        <v>1303</v>
      </c>
      <c r="B1221" s="1">
        <v>45496</v>
      </c>
      <c r="C1221">
        <v>2024</v>
      </c>
      <c r="D1221" t="s">
        <v>1187</v>
      </c>
      <c r="E1221" t="s">
        <v>1188</v>
      </c>
      <c r="F1221" t="s">
        <v>31</v>
      </c>
      <c r="G1221" t="s">
        <v>25</v>
      </c>
      <c r="H1221" t="s">
        <v>26</v>
      </c>
      <c r="I1221" t="s">
        <v>27</v>
      </c>
      <c r="J1221" t="s">
        <v>33</v>
      </c>
      <c r="K1221">
        <v>1</v>
      </c>
      <c r="L1221" s="2">
        <v>78.510000000000005</v>
      </c>
      <c r="M1221" s="3">
        <v>0</v>
      </c>
      <c r="N1221" t="s">
        <v>38</v>
      </c>
      <c r="O1221" s="2">
        <v>78.510000000000005</v>
      </c>
      <c r="P1221" s="2">
        <v>42.45</v>
      </c>
      <c r="Q1221" s="2">
        <v>36.06</v>
      </c>
      <c r="R1221">
        <v>1</v>
      </c>
      <c r="S1221">
        <v>1</v>
      </c>
      <c r="T1221">
        <v>3</v>
      </c>
      <c r="U1221">
        <v>3</v>
      </c>
    </row>
    <row r="1222" spans="1:21" ht="16.5" x14ac:dyDescent="0.3">
      <c r="A1222" t="s">
        <v>1304</v>
      </c>
      <c r="B1222" s="1">
        <v>45496</v>
      </c>
      <c r="C1222">
        <v>2024</v>
      </c>
      <c r="D1222" t="s">
        <v>1187</v>
      </c>
      <c r="E1222" t="s">
        <v>1188</v>
      </c>
      <c r="F1222" t="s">
        <v>45</v>
      </c>
      <c r="G1222" t="s">
        <v>25</v>
      </c>
      <c r="H1222" t="s">
        <v>32</v>
      </c>
      <c r="I1222" t="s">
        <v>42</v>
      </c>
      <c r="J1222" t="s">
        <v>89</v>
      </c>
      <c r="K1222">
        <v>1</v>
      </c>
      <c r="L1222" s="2">
        <v>68.349999999999994</v>
      </c>
      <c r="M1222" s="3">
        <v>0</v>
      </c>
      <c r="N1222" t="s">
        <v>38</v>
      </c>
      <c r="O1222" s="2">
        <v>68.349999999999994</v>
      </c>
      <c r="P1222" s="2">
        <v>44.33</v>
      </c>
      <c r="Q1222" s="2">
        <v>24.02</v>
      </c>
      <c r="R1222">
        <v>1</v>
      </c>
      <c r="S1222">
        <v>0</v>
      </c>
      <c r="T1222">
        <v>3</v>
      </c>
      <c r="U1222">
        <v>5</v>
      </c>
    </row>
    <row r="1223" spans="1:21" ht="16.5" x14ac:dyDescent="0.3">
      <c r="A1223" t="s">
        <v>1305</v>
      </c>
      <c r="B1223" s="1">
        <v>45496</v>
      </c>
      <c r="C1223">
        <v>2024</v>
      </c>
      <c r="D1223" t="s">
        <v>1187</v>
      </c>
      <c r="E1223" t="s">
        <v>1188</v>
      </c>
      <c r="F1223" t="s">
        <v>31</v>
      </c>
      <c r="G1223" t="s">
        <v>49</v>
      </c>
      <c r="H1223" t="s">
        <v>26</v>
      </c>
      <c r="I1223" t="s">
        <v>42</v>
      </c>
      <c r="J1223" t="s">
        <v>76</v>
      </c>
      <c r="K1223">
        <v>3</v>
      </c>
      <c r="L1223" s="2">
        <v>90.75</v>
      </c>
      <c r="M1223" s="3">
        <v>0.3</v>
      </c>
      <c r="N1223" t="s">
        <v>62</v>
      </c>
      <c r="O1223" s="2">
        <v>190.58</v>
      </c>
      <c r="P1223" s="2">
        <v>174</v>
      </c>
      <c r="Q1223" s="2">
        <v>16.579999999999998</v>
      </c>
      <c r="R1223">
        <v>1</v>
      </c>
      <c r="S1223">
        <v>0</v>
      </c>
      <c r="T1223">
        <v>3</v>
      </c>
      <c r="U1223">
        <v>4</v>
      </c>
    </row>
    <row r="1224" spans="1:21" ht="16.5" x14ac:dyDescent="0.3">
      <c r="A1224" t="s">
        <v>1306</v>
      </c>
      <c r="B1224" s="1">
        <v>45497</v>
      </c>
      <c r="C1224">
        <v>2024</v>
      </c>
      <c r="D1224" t="s">
        <v>1187</v>
      </c>
      <c r="E1224" t="s">
        <v>1188</v>
      </c>
      <c r="F1224" t="s">
        <v>31</v>
      </c>
      <c r="G1224" t="s">
        <v>25</v>
      </c>
      <c r="H1224" t="s">
        <v>32</v>
      </c>
      <c r="I1224" t="s">
        <v>70</v>
      </c>
      <c r="J1224" t="s">
        <v>252</v>
      </c>
      <c r="K1224">
        <v>1</v>
      </c>
      <c r="L1224" s="2">
        <v>216.08</v>
      </c>
      <c r="M1224" s="3">
        <v>0.1</v>
      </c>
      <c r="N1224" t="s">
        <v>29</v>
      </c>
      <c r="O1224" s="2">
        <v>194.47</v>
      </c>
      <c r="P1224" s="2">
        <v>172.54</v>
      </c>
      <c r="Q1224" s="2">
        <v>21.93</v>
      </c>
      <c r="R1224">
        <v>1</v>
      </c>
      <c r="S1224">
        <v>0</v>
      </c>
      <c r="T1224">
        <v>5</v>
      </c>
      <c r="U1224">
        <v>4</v>
      </c>
    </row>
    <row r="1225" spans="1:21" ht="16.5" x14ac:dyDescent="0.3">
      <c r="A1225" t="s">
        <v>1307</v>
      </c>
      <c r="B1225" s="1">
        <v>45497</v>
      </c>
      <c r="C1225">
        <v>2024</v>
      </c>
      <c r="D1225" t="s">
        <v>1187</v>
      </c>
      <c r="E1225" t="s">
        <v>1188</v>
      </c>
      <c r="F1225" t="s">
        <v>24</v>
      </c>
      <c r="G1225" t="s">
        <v>46</v>
      </c>
      <c r="H1225" t="s">
        <v>26</v>
      </c>
      <c r="I1225" t="s">
        <v>36</v>
      </c>
      <c r="J1225" t="s">
        <v>56</v>
      </c>
      <c r="K1225">
        <v>1</v>
      </c>
      <c r="L1225" s="2">
        <v>74.3</v>
      </c>
      <c r="M1225" s="3">
        <v>0.15</v>
      </c>
      <c r="N1225" t="s">
        <v>34</v>
      </c>
      <c r="O1225" s="2">
        <v>63.15</v>
      </c>
      <c r="P1225" s="2">
        <v>34.630000000000003</v>
      </c>
      <c r="Q1225" s="2">
        <v>28.52</v>
      </c>
      <c r="R1225">
        <v>1</v>
      </c>
      <c r="S1225">
        <v>1</v>
      </c>
      <c r="T1225">
        <v>6</v>
      </c>
      <c r="U1225">
        <v>2</v>
      </c>
    </row>
    <row r="1226" spans="1:21" ht="16.5" x14ac:dyDescent="0.3">
      <c r="A1226" t="s">
        <v>1308</v>
      </c>
      <c r="B1226" s="1">
        <v>45497</v>
      </c>
      <c r="C1226">
        <v>2024</v>
      </c>
      <c r="D1226" t="s">
        <v>1187</v>
      </c>
      <c r="E1226" t="s">
        <v>1188</v>
      </c>
      <c r="F1226" t="s">
        <v>31</v>
      </c>
      <c r="G1226" t="s">
        <v>51</v>
      </c>
      <c r="H1226" t="s">
        <v>26</v>
      </c>
      <c r="I1226" t="s">
        <v>42</v>
      </c>
      <c r="J1226" t="s">
        <v>98</v>
      </c>
      <c r="K1226">
        <v>1</v>
      </c>
      <c r="L1226" s="2">
        <v>117.63</v>
      </c>
      <c r="M1226" s="3">
        <v>0.2</v>
      </c>
      <c r="N1226" t="s">
        <v>34</v>
      </c>
      <c r="O1226" s="2">
        <v>94.1</v>
      </c>
      <c r="P1226" s="2">
        <v>79.16</v>
      </c>
      <c r="Q1226" s="2">
        <v>14.94</v>
      </c>
      <c r="R1226">
        <v>1</v>
      </c>
      <c r="S1226">
        <v>0</v>
      </c>
      <c r="T1226">
        <v>2</v>
      </c>
      <c r="U1226">
        <v>5</v>
      </c>
    </row>
    <row r="1227" spans="1:21" ht="16.5" x14ac:dyDescent="0.3">
      <c r="A1227" t="s">
        <v>1309</v>
      </c>
      <c r="B1227" s="1">
        <v>45498</v>
      </c>
      <c r="C1227">
        <v>2024</v>
      </c>
      <c r="D1227" t="s">
        <v>1187</v>
      </c>
      <c r="E1227" t="s">
        <v>1188</v>
      </c>
      <c r="F1227" t="s">
        <v>24</v>
      </c>
      <c r="G1227" t="s">
        <v>49</v>
      </c>
      <c r="H1227" t="s">
        <v>32</v>
      </c>
      <c r="I1227" t="s">
        <v>84</v>
      </c>
      <c r="J1227" t="s">
        <v>85</v>
      </c>
      <c r="K1227">
        <v>1</v>
      </c>
      <c r="L1227" s="2">
        <v>57.92</v>
      </c>
      <c r="M1227" s="3">
        <v>0.05</v>
      </c>
      <c r="N1227" t="s">
        <v>29</v>
      </c>
      <c r="O1227" s="2">
        <v>55.02</v>
      </c>
      <c r="P1227" s="2">
        <v>42.83</v>
      </c>
      <c r="Q1227" s="2">
        <v>12.19</v>
      </c>
      <c r="R1227">
        <v>1</v>
      </c>
      <c r="S1227">
        <v>0</v>
      </c>
      <c r="T1227">
        <v>4</v>
      </c>
      <c r="U1227">
        <v>4</v>
      </c>
    </row>
    <row r="1228" spans="1:21" ht="16.5" x14ac:dyDescent="0.3">
      <c r="A1228" t="s">
        <v>1310</v>
      </c>
      <c r="B1228" s="1">
        <v>45498</v>
      </c>
      <c r="C1228">
        <v>2024</v>
      </c>
      <c r="D1228" t="s">
        <v>1187</v>
      </c>
      <c r="E1228" t="s">
        <v>1188</v>
      </c>
      <c r="F1228" t="s">
        <v>24</v>
      </c>
      <c r="G1228" t="s">
        <v>51</v>
      </c>
      <c r="H1228" t="s">
        <v>32</v>
      </c>
      <c r="I1228" t="s">
        <v>27</v>
      </c>
      <c r="J1228" t="s">
        <v>60</v>
      </c>
      <c r="K1228">
        <v>1</v>
      </c>
      <c r="L1228" s="2">
        <v>94.85</v>
      </c>
      <c r="M1228" s="3">
        <v>0</v>
      </c>
      <c r="N1228" t="s">
        <v>38</v>
      </c>
      <c r="O1228" s="2">
        <v>94.85</v>
      </c>
      <c r="P1228" s="2">
        <v>52.64</v>
      </c>
      <c r="Q1228" s="2">
        <v>42.21</v>
      </c>
      <c r="R1228">
        <v>1</v>
      </c>
      <c r="S1228">
        <v>0</v>
      </c>
      <c r="T1228">
        <v>3</v>
      </c>
      <c r="U1228">
        <v>5</v>
      </c>
    </row>
    <row r="1229" spans="1:21" ht="16.5" x14ac:dyDescent="0.3">
      <c r="A1229" t="s">
        <v>1311</v>
      </c>
      <c r="B1229" s="1">
        <v>45498</v>
      </c>
      <c r="C1229">
        <v>2024</v>
      </c>
      <c r="D1229" t="s">
        <v>1187</v>
      </c>
      <c r="E1229" t="s">
        <v>1188</v>
      </c>
      <c r="F1229" t="s">
        <v>24</v>
      </c>
      <c r="G1229" t="s">
        <v>65</v>
      </c>
      <c r="H1229" t="s">
        <v>26</v>
      </c>
      <c r="I1229" t="s">
        <v>27</v>
      </c>
      <c r="J1229" t="s">
        <v>28</v>
      </c>
      <c r="K1229">
        <v>2</v>
      </c>
      <c r="L1229" s="2">
        <v>138.5</v>
      </c>
      <c r="M1229" s="3">
        <v>0</v>
      </c>
      <c r="N1229" t="s">
        <v>38</v>
      </c>
      <c r="O1229" s="2">
        <v>277</v>
      </c>
      <c r="P1229" s="2">
        <v>151.68</v>
      </c>
      <c r="Q1229" s="2">
        <v>125.32</v>
      </c>
      <c r="R1229">
        <v>1</v>
      </c>
      <c r="S1229">
        <v>0</v>
      </c>
      <c r="T1229">
        <v>6</v>
      </c>
      <c r="U1229">
        <v>5</v>
      </c>
    </row>
    <row r="1230" spans="1:21" ht="16.5" x14ac:dyDescent="0.3">
      <c r="A1230" t="s">
        <v>1312</v>
      </c>
      <c r="B1230" s="1">
        <v>45498</v>
      </c>
      <c r="C1230">
        <v>2024</v>
      </c>
      <c r="D1230" t="s">
        <v>1187</v>
      </c>
      <c r="E1230" t="s">
        <v>1188</v>
      </c>
      <c r="F1230" t="s">
        <v>24</v>
      </c>
      <c r="G1230" t="s">
        <v>46</v>
      </c>
      <c r="H1230" t="s">
        <v>26</v>
      </c>
      <c r="I1230" t="s">
        <v>27</v>
      </c>
      <c r="J1230" t="s">
        <v>110</v>
      </c>
      <c r="K1230">
        <v>1</v>
      </c>
      <c r="L1230" s="2">
        <v>19.41</v>
      </c>
      <c r="M1230" s="3">
        <v>0.3</v>
      </c>
      <c r="N1230" t="s">
        <v>62</v>
      </c>
      <c r="O1230" s="2">
        <v>13.59</v>
      </c>
      <c r="P1230" s="2">
        <v>10.24</v>
      </c>
      <c r="Q1230" s="2">
        <v>3.35</v>
      </c>
      <c r="R1230">
        <v>1</v>
      </c>
      <c r="S1230">
        <v>0</v>
      </c>
      <c r="T1230">
        <v>5</v>
      </c>
      <c r="U1230">
        <v>4</v>
      </c>
    </row>
    <row r="1231" spans="1:21" ht="16.5" x14ac:dyDescent="0.3">
      <c r="A1231" t="s">
        <v>1313</v>
      </c>
      <c r="B1231" s="1">
        <v>45498</v>
      </c>
      <c r="C1231">
        <v>2024</v>
      </c>
      <c r="D1231" t="s">
        <v>1187</v>
      </c>
      <c r="E1231" t="s">
        <v>1188</v>
      </c>
      <c r="F1231" t="s">
        <v>24</v>
      </c>
      <c r="G1231" t="s">
        <v>25</v>
      </c>
      <c r="H1231" t="s">
        <v>26</v>
      </c>
      <c r="I1231" t="s">
        <v>70</v>
      </c>
      <c r="J1231" t="s">
        <v>252</v>
      </c>
      <c r="K1231">
        <v>1</v>
      </c>
      <c r="L1231" s="2">
        <v>216.08</v>
      </c>
      <c r="M1231" s="3">
        <v>0.15</v>
      </c>
      <c r="N1231" t="s">
        <v>34</v>
      </c>
      <c r="O1231" s="2">
        <v>183.67</v>
      </c>
      <c r="P1231" s="2">
        <v>177.28</v>
      </c>
      <c r="Q1231" s="2">
        <v>6.39</v>
      </c>
      <c r="R1231">
        <v>1</v>
      </c>
      <c r="S1231">
        <v>0</v>
      </c>
      <c r="T1231">
        <v>3</v>
      </c>
      <c r="U1231">
        <v>5</v>
      </c>
    </row>
    <row r="1232" spans="1:21" ht="16.5" x14ac:dyDescent="0.3">
      <c r="A1232" t="s">
        <v>1314</v>
      </c>
      <c r="B1232" s="1">
        <v>45498</v>
      </c>
      <c r="C1232">
        <v>2024</v>
      </c>
      <c r="D1232" t="s">
        <v>1187</v>
      </c>
      <c r="E1232" t="s">
        <v>1188</v>
      </c>
      <c r="F1232" t="s">
        <v>45</v>
      </c>
      <c r="G1232" t="s">
        <v>25</v>
      </c>
      <c r="H1232" t="s">
        <v>26</v>
      </c>
      <c r="I1232" t="s">
        <v>27</v>
      </c>
      <c r="J1232" t="s">
        <v>47</v>
      </c>
      <c r="K1232">
        <v>1</v>
      </c>
      <c r="L1232" s="2">
        <v>33.99</v>
      </c>
      <c r="M1232" s="3">
        <v>0</v>
      </c>
      <c r="N1232" t="s">
        <v>38</v>
      </c>
      <c r="O1232" s="2">
        <v>33.99</v>
      </c>
      <c r="P1232" s="2">
        <v>17.920000000000002</v>
      </c>
      <c r="Q1232" s="2">
        <v>16.07</v>
      </c>
      <c r="R1232">
        <v>1</v>
      </c>
      <c r="S1232">
        <v>0</v>
      </c>
      <c r="T1232">
        <v>4</v>
      </c>
      <c r="U1232">
        <v>4</v>
      </c>
    </row>
    <row r="1233" spans="1:21" ht="16.5" x14ac:dyDescent="0.3">
      <c r="A1233" t="s">
        <v>1315</v>
      </c>
      <c r="B1233" s="1">
        <v>45498</v>
      </c>
      <c r="C1233">
        <v>2024</v>
      </c>
      <c r="D1233" t="s">
        <v>1187</v>
      </c>
      <c r="E1233" t="s">
        <v>1188</v>
      </c>
      <c r="F1233" t="s">
        <v>31</v>
      </c>
      <c r="G1233" t="s">
        <v>51</v>
      </c>
      <c r="H1233" t="s">
        <v>32</v>
      </c>
      <c r="I1233" t="s">
        <v>70</v>
      </c>
      <c r="J1233" t="s">
        <v>71</v>
      </c>
      <c r="K1233">
        <v>1</v>
      </c>
      <c r="L1233" s="2">
        <v>588.41</v>
      </c>
      <c r="M1233" s="3">
        <v>0.25</v>
      </c>
      <c r="N1233" t="s">
        <v>62</v>
      </c>
      <c r="O1233" s="2">
        <v>441.31</v>
      </c>
      <c r="P1233" s="2">
        <v>489.52</v>
      </c>
      <c r="Q1233" s="2">
        <v>-48.21</v>
      </c>
      <c r="R1233">
        <v>1</v>
      </c>
      <c r="S1233">
        <v>0</v>
      </c>
      <c r="T1233">
        <v>3</v>
      </c>
      <c r="U1233">
        <v>5</v>
      </c>
    </row>
    <row r="1234" spans="1:21" ht="16.5" x14ac:dyDescent="0.3">
      <c r="A1234" t="s">
        <v>1316</v>
      </c>
      <c r="B1234" s="1">
        <v>45498</v>
      </c>
      <c r="C1234">
        <v>2024</v>
      </c>
      <c r="D1234" t="s">
        <v>1187</v>
      </c>
      <c r="E1234" t="s">
        <v>1188</v>
      </c>
      <c r="F1234" t="s">
        <v>31</v>
      </c>
      <c r="G1234" t="s">
        <v>49</v>
      </c>
      <c r="H1234" t="s">
        <v>26</v>
      </c>
      <c r="I1234" t="s">
        <v>84</v>
      </c>
      <c r="J1234" t="s">
        <v>223</v>
      </c>
      <c r="K1234">
        <v>2</v>
      </c>
      <c r="L1234" s="2">
        <v>16.97</v>
      </c>
      <c r="M1234" s="3">
        <v>0</v>
      </c>
      <c r="N1234" t="s">
        <v>38</v>
      </c>
      <c r="O1234" s="2">
        <v>33.94</v>
      </c>
      <c r="P1234" s="2">
        <v>25.4</v>
      </c>
      <c r="Q1234" s="2">
        <v>8.5399999999999991</v>
      </c>
      <c r="R1234">
        <v>1</v>
      </c>
      <c r="S1234">
        <v>0</v>
      </c>
      <c r="T1234">
        <v>4</v>
      </c>
      <c r="U1234">
        <v>4</v>
      </c>
    </row>
    <row r="1235" spans="1:21" ht="16.5" x14ac:dyDescent="0.3">
      <c r="A1235" t="s">
        <v>1317</v>
      </c>
      <c r="B1235" s="1">
        <v>45498</v>
      </c>
      <c r="C1235">
        <v>2024</v>
      </c>
      <c r="D1235" t="s">
        <v>1187</v>
      </c>
      <c r="E1235" t="s">
        <v>1188</v>
      </c>
      <c r="F1235" t="s">
        <v>45</v>
      </c>
      <c r="G1235" t="s">
        <v>51</v>
      </c>
      <c r="H1235" t="s">
        <v>26</v>
      </c>
      <c r="I1235" t="s">
        <v>84</v>
      </c>
      <c r="J1235" t="s">
        <v>85</v>
      </c>
      <c r="K1235">
        <v>2</v>
      </c>
      <c r="L1235" s="2">
        <v>57.92</v>
      </c>
      <c r="M1235" s="3">
        <v>0.15</v>
      </c>
      <c r="N1235" t="s">
        <v>34</v>
      </c>
      <c r="O1235" s="2">
        <v>98.46</v>
      </c>
      <c r="P1235" s="2">
        <v>85.78</v>
      </c>
      <c r="Q1235" s="2">
        <v>12.68</v>
      </c>
      <c r="R1235">
        <v>1</v>
      </c>
      <c r="S1235">
        <v>0</v>
      </c>
      <c r="T1235">
        <v>2</v>
      </c>
      <c r="U1235">
        <v>5</v>
      </c>
    </row>
    <row r="1236" spans="1:21" ht="16.5" x14ac:dyDescent="0.3">
      <c r="A1236" t="s">
        <v>1318</v>
      </c>
      <c r="B1236" s="1">
        <v>45499</v>
      </c>
      <c r="C1236">
        <v>2024</v>
      </c>
      <c r="D1236" t="s">
        <v>1187</v>
      </c>
      <c r="E1236" t="s">
        <v>1188</v>
      </c>
      <c r="F1236" t="s">
        <v>31</v>
      </c>
      <c r="G1236" t="s">
        <v>49</v>
      </c>
      <c r="H1236" t="s">
        <v>26</v>
      </c>
      <c r="I1236" t="s">
        <v>67</v>
      </c>
      <c r="J1236" t="s">
        <v>68</v>
      </c>
      <c r="K1236">
        <v>3</v>
      </c>
      <c r="L1236" s="2">
        <v>74.459999999999994</v>
      </c>
      <c r="M1236" s="3">
        <v>0</v>
      </c>
      <c r="N1236" t="s">
        <v>38</v>
      </c>
      <c r="O1236" s="2">
        <v>223.38</v>
      </c>
      <c r="P1236" s="2">
        <v>152.63</v>
      </c>
      <c r="Q1236" s="2">
        <v>70.75</v>
      </c>
      <c r="R1236">
        <v>1</v>
      </c>
      <c r="S1236">
        <v>0</v>
      </c>
      <c r="T1236">
        <v>3</v>
      </c>
      <c r="U1236">
        <v>4</v>
      </c>
    </row>
    <row r="1237" spans="1:21" ht="16.5" x14ac:dyDescent="0.3">
      <c r="A1237" t="s">
        <v>1319</v>
      </c>
      <c r="B1237" s="1">
        <v>45499</v>
      </c>
      <c r="C1237">
        <v>2024</v>
      </c>
      <c r="D1237" t="s">
        <v>1187</v>
      </c>
      <c r="E1237" t="s">
        <v>1188</v>
      </c>
      <c r="F1237" t="s">
        <v>31</v>
      </c>
      <c r="G1237" t="s">
        <v>49</v>
      </c>
      <c r="H1237" t="s">
        <v>26</v>
      </c>
      <c r="I1237" t="s">
        <v>36</v>
      </c>
      <c r="J1237" t="s">
        <v>115</v>
      </c>
      <c r="K1237">
        <v>1</v>
      </c>
      <c r="L1237" s="2">
        <v>33.479999999999997</v>
      </c>
      <c r="M1237" s="3">
        <v>0.05</v>
      </c>
      <c r="N1237" t="s">
        <v>29</v>
      </c>
      <c r="O1237" s="2">
        <v>31.81</v>
      </c>
      <c r="P1237" s="2">
        <v>15.61</v>
      </c>
      <c r="Q1237" s="2">
        <v>16.2</v>
      </c>
      <c r="R1237">
        <v>1</v>
      </c>
      <c r="S1237">
        <v>1</v>
      </c>
      <c r="T1237">
        <v>5</v>
      </c>
      <c r="U1237">
        <v>3</v>
      </c>
    </row>
    <row r="1238" spans="1:21" ht="16.5" x14ac:dyDescent="0.3">
      <c r="A1238" t="s">
        <v>1320</v>
      </c>
      <c r="B1238" s="1">
        <v>45499</v>
      </c>
      <c r="C1238">
        <v>2024</v>
      </c>
      <c r="D1238" t="s">
        <v>1187</v>
      </c>
      <c r="E1238" t="s">
        <v>1188</v>
      </c>
      <c r="F1238" t="s">
        <v>24</v>
      </c>
      <c r="G1238" t="s">
        <v>49</v>
      </c>
      <c r="H1238" t="s">
        <v>26</v>
      </c>
      <c r="I1238" t="s">
        <v>27</v>
      </c>
      <c r="J1238" t="s">
        <v>40</v>
      </c>
      <c r="K1238">
        <v>1</v>
      </c>
      <c r="L1238" s="2">
        <v>104.94</v>
      </c>
      <c r="M1238" s="3">
        <v>0.1</v>
      </c>
      <c r="N1238" t="s">
        <v>29</v>
      </c>
      <c r="O1238" s="2">
        <v>94.45</v>
      </c>
      <c r="P1238" s="2">
        <v>56.16</v>
      </c>
      <c r="Q1238" s="2">
        <v>38.29</v>
      </c>
      <c r="R1238">
        <v>1</v>
      </c>
      <c r="S1238">
        <v>0</v>
      </c>
      <c r="T1238">
        <v>5</v>
      </c>
      <c r="U1238">
        <v>5</v>
      </c>
    </row>
    <row r="1239" spans="1:21" ht="16.5" x14ac:dyDescent="0.3">
      <c r="A1239" t="s">
        <v>1321</v>
      </c>
      <c r="B1239" s="1">
        <v>45499</v>
      </c>
      <c r="C1239">
        <v>2024</v>
      </c>
      <c r="D1239" t="s">
        <v>1187</v>
      </c>
      <c r="E1239" t="s">
        <v>1188</v>
      </c>
      <c r="F1239" t="s">
        <v>24</v>
      </c>
      <c r="G1239" t="s">
        <v>49</v>
      </c>
      <c r="H1239" t="s">
        <v>26</v>
      </c>
      <c r="I1239" t="s">
        <v>70</v>
      </c>
      <c r="J1239" t="s">
        <v>87</v>
      </c>
      <c r="K1239">
        <v>2</v>
      </c>
      <c r="L1239" s="2">
        <v>490.3</v>
      </c>
      <c r="M1239" s="3">
        <v>0.15</v>
      </c>
      <c r="N1239" t="s">
        <v>34</v>
      </c>
      <c r="O1239" s="2">
        <v>833.51</v>
      </c>
      <c r="P1239" s="2">
        <v>756.84</v>
      </c>
      <c r="Q1239" s="2">
        <v>76.67</v>
      </c>
      <c r="R1239">
        <v>1</v>
      </c>
      <c r="S1239">
        <v>0</v>
      </c>
      <c r="T1239">
        <v>5</v>
      </c>
      <c r="U1239">
        <v>5</v>
      </c>
    </row>
    <row r="1240" spans="1:21" ht="16.5" x14ac:dyDescent="0.3">
      <c r="A1240" t="s">
        <v>1322</v>
      </c>
      <c r="B1240" s="1">
        <v>45499</v>
      </c>
      <c r="C1240">
        <v>2024</v>
      </c>
      <c r="D1240" t="s">
        <v>1187</v>
      </c>
      <c r="E1240" t="s">
        <v>1188</v>
      </c>
      <c r="F1240" t="s">
        <v>24</v>
      </c>
      <c r="G1240" t="s">
        <v>25</v>
      </c>
      <c r="H1240" t="s">
        <v>32</v>
      </c>
      <c r="I1240" t="s">
        <v>67</v>
      </c>
      <c r="J1240" t="s">
        <v>68</v>
      </c>
      <c r="K1240">
        <v>1</v>
      </c>
      <c r="L1240" s="2">
        <v>74.459999999999994</v>
      </c>
      <c r="M1240" s="3">
        <v>0.05</v>
      </c>
      <c r="N1240" t="s">
        <v>29</v>
      </c>
      <c r="O1240" s="2">
        <v>70.739999999999995</v>
      </c>
      <c r="P1240" s="2">
        <v>50.42</v>
      </c>
      <c r="Q1240" s="2">
        <v>20.32</v>
      </c>
      <c r="R1240">
        <v>1</v>
      </c>
      <c r="S1240">
        <v>0</v>
      </c>
      <c r="T1240">
        <v>3</v>
      </c>
      <c r="U1240">
        <v>4</v>
      </c>
    </row>
    <row r="1241" spans="1:21" ht="16.5" x14ac:dyDescent="0.3">
      <c r="A1241" t="s">
        <v>1323</v>
      </c>
      <c r="B1241" s="1">
        <v>45499</v>
      </c>
      <c r="C1241">
        <v>2024</v>
      </c>
      <c r="D1241" t="s">
        <v>1187</v>
      </c>
      <c r="E1241" t="s">
        <v>1188</v>
      </c>
      <c r="F1241" t="s">
        <v>31</v>
      </c>
      <c r="G1241" t="s">
        <v>49</v>
      </c>
      <c r="H1241" t="s">
        <v>32</v>
      </c>
      <c r="I1241" t="s">
        <v>70</v>
      </c>
      <c r="J1241" t="s">
        <v>162</v>
      </c>
      <c r="K1241">
        <v>2</v>
      </c>
      <c r="L1241" s="2">
        <v>636.09</v>
      </c>
      <c r="M1241" s="3">
        <v>0.05</v>
      </c>
      <c r="N1241" t="s">
        <v>29</v>
      </c>
      <c r="O1241" s="2">
        <v>1208.57</v>
      </c>
      <c r="P1241" s="2">
        <v>1041.17</v>
      </c>
      <c r="Q1241" s="2">
        <v>167.4</v>
      </c>
      <c r="R1241">
        <v>1</v>
      </c>
      <c r="S1241">
        <v>0</v>
      </c>
      <c r="T1241">
        <v>4</v>
      </c>
      <c r="U1241">
        <v>4</v>
      </c>
    </row>
    <row r="1242" spans="1:21" ht="16.5" x14ac:dyDescent="0.3">
      <c r="A1242" t="s">
        <v>1324</v>
      </c>
      <c r="B1242" s="1">
        <v>45499</v>
      </c>
      <c r="C1242">
        <v>2024</v>
      </c>
      <c r="D1242" t="s">
        <v>1187</v>
      </c>
      <c r="E1242" t="s">
        <v>1188</v>
      </c>
      <c r="F1242" t="s">
        <v>31</v>
      </c>
      <c r="G1242" t="s">
        <v>46</v>
      </c>
      <c r="H1242" t="s">
        <v>32</v>
      </c>
      <c r="I1242" t="s">
        <v>67</v>
      </c>
      <c r="J1242" t="s">
        <v>103</v>
      </c>
      <c r="K1242">
        <v>1</v>
      </c>
      <c r="L1242" s="2">
        <v>83.06</v>
      </c>
      <c r="M1242" s="3">
        <v>0</v>
      </c>
      <c r="N1242" t="s">
        <v>38</v>
      </c>
      <c r="O1242" s="2">
        <v>83.06</v>
      </c>
      <c r="P1242" s="2">
        <v>56.15</v>
      </c>
      <c r="Q1242" s="2">
        <v>26.91</v>
      </c>
      <c r="R1242">
        <v>1</v>
      </c>
      <c r="S1242">
        <v>0</v>
      </c>
      <c r="T1242">
        <v>6</v>
      </c>
      <c r="U1242">
        <v>3</v>
      </c>
    </row>
    <row r="1243" spans="1:21" ht="16.5" x14ac:dyDescent="0.3">
      <c r="A1243" t="s">
        <v>1325</v>
      </c>
      <c r="B1243" s="1">
        <v>45499</v>
      </c>
      <c r="C1243">
        <v>2024</v>
      </c>
      <c r="D1243" t="s">
        <v>1187</v>
      </c>
      <c r="E1243" t="s">
        <v>1188</v>
      </c>
      <c r="F1243" t="s">
        <v>31</v>
      </c>
      <c r="G1243" t="s">
        <v>51</v>
      </c>
      <c r="H1243" t="s">
        <v>32</v>
      </c>
      <c r="I1243" t="s">
        <v>27</v>
      </c>
      <c r="J1243" t="s">
        <v>60</v>
      </c>
      <c r="K1243">
        <v>1</v>
      </c>
      <c r="L1243" s="2">
        <v>94.85</v>
      </c>
      <c r="M1243" s="3">
        <v>0.2</v>
      </c>
      <c r="N1243" t="s">
        <v>34</v>
      </c>
      <c r="O1243" s="2">
        <v>75.88</v>
      </c>
      <c r="P1243" s="2">
        <v>50.89</v>
      </c>
      <c r="Q1243" s="2">
        <v>24.99</v>
      </c>
      <c r="R1243">
        <v>1</v>
      </c>
      <c r="S1243">
        <v>0</v>
      </c>
      <c r="T1243">
        <v>5</v>
      </c>
      <c r="U1243">
        <v>5</v>
      </c>
    </row>
    <row r="1244" spans="1:21" ht="16.5" x14ac:dyDescent="0.3">
      <c r="A1244" t="s">
        <v>1326</v>
      </c>
      <c r="B1244" s="1">
        <v>45499</v>
      </c>
      <c r="C1244">
        <v>2024</v>
      </c>
      <c r="D1244" t="s">
        <v>1187</v>
      </c>
      <c r="E1244" t="s">
        <v>1188</v>
      </c>
      <c r="F1244" t="s">
        <v>24</v>
      </c>
      <c r="G1244" t="s">
        <v>25</v>
      </c>
      <c r="H1244" t="s">
        <v>32</v>
      </c>
      <c r="I1244" t="s">
        <v>67</v>
      </c>
      <c r="J1244" t="s">
        <v>68</v>
      </c>
      <c r="K1244">
        <v>2</v>
      </c>
      <c r="L1244" s="2">
        <v>74.459999999999994</v>
      </c>
      <c r="M1244" s="3">
        <v>0.15</v>
      </c>
      <c r="N1244" t="s">
        <v>34</v>
      </c>
      <c r="O1244" s="2">
        <v>126.58</v>
      </c>
      <c r="P1244" s="2">
        <v>98.09</v>
      </c>
      <c r="Q1244" s="2">
        <v>28.49</v>
      </c>
      <c r="R1244">
        <v>1</v>
      </c>
      <c r="S1244">
        <v>0</v>
      </c>
      <c r="T1244">
        <v>4</v>
      </c>
      <c r="U1244">
        <v>4</v>
      </c>
    </row>
    <row r="1245" spans="1:21" ht="16.5" x14ac:dyDescent="0.3">
      <c r="A1245" t="s">
        <v>1327</v>
      </c>
      <c r="B1245" s="1">
        <v>45500</v>
      </c>
      <c r="C1245">
        <v>2024</v>
      </c>
      <c r="D1245" t="s">
        <v>1187</v>
      </c>
      <c r="E1245" t="s">
        <v>1188</v>
      </c>
      <c r="F1245" t="s">
        <v>45</v>
      </c>
      <c r="G1245" t="s">
        <v>25</v>
      </c>
      <c r="H1245" t="s">
        <v>26</v>
      </c>
      <c r="I1245" t="s">
        <v>42</v>
      </c>
      <c r="J1245" t="s">
        <v>98</v>
      </c>
      <c r="K1245">
        <v>3</v>
      </c>
      <c r="L1245" s="2">
        <v>117.63</v>
      </c>
      <c r="M1245" s="3">
        <v>0.15</v>
      </c>
      <c r="N1245" t="s">
        <v>34</v>
      </c>
      <c r="O1245" s="2">
        <v>299.95999999999998</v>
      </c>
      <c r="P1245" s="2">
        <v>235.44</v>
      </c>
      <c r="Q1245" s="2">
        <v>64.52</v>
      </c>
      <c r="R1245">
        <v>1</v>
      </c>
      <c r="S1245">
        <v>0</v>
      </c>
      <c r="T1245">
        <v>5</v>
      </c>
      <c r="U1245">
        <v>4</v>
      </c>
    </row>
    <row r="1246" spans="1:21" ht="16.5" x14ac:dyDescent="0.3">
      <c r="A1246" t="s">
        <v>1328</v>
      </c>
      <c r="B1246" s="1">
        <v>45500</v>
      </c>
      <c r="C1246">
        <v>2024</v>
      </c>
      <c r="D1246" t="s">
        <v>1187</v>
      </c>
      <c r="E1246" t="s">
        <v>1188</v>
      </c>
      <c r="F1246" t="s">
        <v>24</v>
      </c>
      <c r="G1246" t="s">
        <v>25</v>
      </c>
      <c r="H1246" t="s">
        <v>26</v>
      </c>
      <c r="I1246" t="s">
        <v>42</v>
      </c>
      <c r="J1246" t="s">
        <v>54</v>
      </c>
      <c r="K1246">
        <v>1</v>
      </c>
      <c r="L1246" s="2">
        <v>148.05000000000001</v>
      </c>
      <c r="M1246" s="3">
        <v>0.05</v>
      </c>
      <c r="N1246" t="s">
        <v>29</v>
      </c>
      <c r="O1246" s="2">
        <v>140.65</v>
      </c>
      <c r="P1246" s="2">
        <v>99.61</v>
      </c>
      <c r="Q1246" s="2">
        <v>41.04</v>
      </c>
      <c r="R1246">
        <v>1</v>
      </c>
      <c r="S1246">
        <v>0</v>
      </c>
      <c r="T1246">
        <v>5</v>
      </c>
      <c r="U1246">
        <v>4</v>
      </c>
    </row>
    <row r="1247" spans="1:21" ht="16.5" x14ac:dyDescent="0.3">
      <c r="A1247" t="s">
        <v>1329</v>
      </c>
      <c r="B1247" s="1">
        <v>45500</v>
      </c>
      <c r="C1247">
        <v>2024</v>
      </c>
      <c r="D1247" t="s">
        <v>1187</v>
      </c>
      <c r="E1247" t="s">
        <v>1188</v>
      </c>
      <c r="F1247" t="s">
        <v>24</v>
      </c>
      <c r="G1247" t="s">
        <v>65</v>
      </c>
      <c r="H1247" t="s">
        <v>26</v>
      </c>
      <c r="I1247" t="s">
        <v>70</v>
      </c>
      <c r="J1247" t="s">
        <v>71</v>
      </c>
      <c r="K1247">
        <v>3</v>
      </c>
      <c r="L1247" s="2">
        <v>588.41</v>
      </c>
      <c r="M1247" s="3">
        <v>0.05</v>
      </c>
      <c r="N1247" t="s">
        <v>29</v>
      </c>
      <c r="O1247" s="2">
        <v>1676.97</v>
      </c>
      <c r="P1247" s="2">
        <v>1482.12</v>
      </c>
      <c r="Q1247" s="2">
        <v>194.85</v>
      </c>
      <c r="R1247">
        <v>1</v>
      </c>
      <c r="S1247">
        <v>0</v>
      </c>
      <c r="T1247">
        <v>5</v>
      </c>
      <c r="U1247">
        <v>5</v>
      </c>
    </row>
    <row r="1248" spans="1:21" ht="16.5" x14ac:dyDescent="0.3">
      <c r="A1248" t="s">
        <v>1330</v>
      </c>
      <c r="B1248" s="1">
        <v>45500</v>
      </c>
      <c r="C1248">
        <v>2024</v>
      </c>
      <c r="D1248" t="s">
        <v>1187</v>
      </c>
      <c r="E1248" t="s">
        <v>1188</v>
      </c>
      <c r="F1248" t="s">
        <v>31</v>
      </c>
      <c r="G1248" t="s">
        <v>49</v>
      </c>
      <c r="H1248" t="s">
        <v>32</v>
      </c>
      <c r="I1248" t="s">
        <v>42</v>
      </c>
      <c r="J1248" t="s">
        <v>98</v>
      </c>
      <c r="K1248">
        <v>1</v>
      </c>
      <c r="L1248" s="2">
        <v>117.63</v>
      </c>
      <c r="M1248" s="3">
        <v>0</v>
      </c>
      <c r="N1248" t="s">
        <v>38</v>
      </c>
      <c r="O1248" s="2">
        <v>117.63</v>
      </c>
      <c r="P1248" s="2">
        <v>78.61</v>
      </c>
      <c r="Q1248" s="2">
        <v>39.020000000000003</v>
      </c>
      <c r="R1248">
        <v>1</v>
      </c>
      <c r="S1248">
        <v>0</v>
      </c>
      <c r="T1248">
        <v>4</v>
      </c>
      <c r="U1248">
        <v>5</v>
      </c>
    </row>
    <row r="1249" spans="1:21" ht="16.5" x14ac:dyDescent="0.3">
      <c r="A1249" t="s">
        <v>1331</v>
      </c>
      <c r="B1249" s="1">
        <v>45500</v>
      </c>
      <c r="C1249">
        <v>2024</v>
      </c>
      <c r="D1249" t="s">
        <v>1187</v>
      </c>
      <c r="E1249" t="s">
        <v>1188</v>
      </c>
      <c r="F1249" t="s">
        <v>24</v>
      </c>
      <c r="G1249" t="s">
        <v>49</v>
      </c>
      <c r="H1249" t="s">
        <v>32</v>
      </c>
      <c r="I1249" t="s">
        <v>27</v>
      </c>
      <c r="J1249" t="s">
        <v>110</v>
      </c>
      <c r="K1249">
        <v>1</v>
      </c>
      <c r="L1249" s="2">
        <v>19.41</v>
      </c>
      <c r="M1249" s="3">
        <v>0.2</v>
      </c>
      <c r="N1249" t="s">
        <v>34</v>
      </c>
      <c r="O1249" s="2">
        <v>15.53</v>
      </c>
      <c r="P1249" s="2">
        <v>10.26</v>
      </c>
      <c r="Q1249" s="2">
        <v>5.27</v>
      </c>
      <c r="R1249">
        <v>1</v>
      </c>
      <c r="S1249">
        <v>0</v>
      </c>
      <c r="T1249">
        <v>5</v>
      </c>
      <c r="U1249">
        <v>4</v>
      </c>
    </row>
    <row r="1250" spans="1:21" ht="16.5" x14ac:dyDescent="0.3">
      <c r="A1250" t="s">
        <v>1332</v>
      </c>
      <c r="B1250" s="1">
        <v>45500</v>
      </c>
      <c r="C1250">
        <v>2024</v>
      </c>
      <c r="D1250" t="s">
        <v>1187</v>
      </c>
      <c r="E1250" t="s">
        <v>1188</v>
      </c>
      <c r="F1250" t="s">
        <v>24</v>
      </c>
      <c r="G1250" t="s">
        <v>25</v>
      </c>
      <c r="H1250" t="s">
        <v>26</v>
      </c>
      <c r="I1250" t="s">
        <v>70</v>
      </c>
      <c r="J1250" t="s">
        <v>71</v>
      </c>
      <c r="K1250">
        <v>1</v>
      </c>
      <c r="L1250" s="2">
        <v>588.41</v>
      </c>
      <c r="M1250" s="3">
        <v>0</v>
      </c>
      <c r="N1250" t="s">
        <v>38</v>
      </c>
      <c r="O1250" s="2">
        <v>588.41</v>
      </c>
      <c r="P1250" s="2">
        <v>450.42</v>
      </c>
      <c r="Q1250" s="2">
        <v>137.99</v>
      </c>
      <c r="R1250">
        <v>1</v>
      </c>
      <c r="S1250">
        <v>0</v>
      </c>
      <c r="T1250">
        <v>4</v>
      </c>
      <c r="U1250">
        <v>5</v>
      </c>
    </row>
    <row r="1251" spans="1:21" ht="16.5" x14ac:dyDescent="0.3">
      <c r="A1251" t="s">
        <v>1333</v>
      </c>
      <c r="B1251" s="1">
        <v>45501</v>
      </c>
      <c r="C1251">
        <v>2024</v>
      </c>
      <c r="D1251" t="s">
        <v>1187</v>
      </c>
      <c r="E1251" t="s">
        <v>1188</v>
      </c>
      <c r="F1251" t="s">
        <v>31</v>
      </c>
      <c r="G1251" t="s">
        <v>25</v>
      </c>
      <c r="H1251" t="s">
        <v>32</v>
      </c>
      <c r="I1251" t="s">
        <v>27</v>
      </c>
      <c r="J1251" t="s">
        <v>47</v>
      </c>
      <c r="K1251">
        <v>1</v>
      </c>
      <c r="L1251" s="2">
        <v>33.99</v>
      </c>
      <c r="M1251" s="3">
        <v>0.05</v>
      </c>
      <c r="N1251" t="s">
        <v>29</v>
      </c>
      <c r="O1251" s="2">
        <v>32.29</v>
      </c>
      <c r="P1251" s="2">
        <v>17.739999999999998</v>
      </c>
      <c r="Q1251" s="2">
        <v>14.55</v>
      </c>
      <c r="R1251">
        <v>1</v>
      </c>
      <c r="S1251">
        <v>1</v>
      </c>
      <c r="T1251">
        <v>3</v>
      </c>
      <c r="U1251">
        <v>3</v>
      </c>
    </row>
    <row r="1252" spans="1:21" ht="16.5" x14ac:dyDescent="0.3">
      <c r="A1252" t="s">
        <v>1334</v>
      </c>
      <c r="B1252" s="1">
        <v>45501</v>
      </c>
      <c r="C1252">
        <v>2024</v>
      </c>
      <c r="D1252" t="s">
        <v>1187</v>
      </c>
      <c r="E1252" t="s">
        <v>1188</v>
      </c>
      <c r="F1252" t="s">
        <v>45</v>
      </c>
      <c r="G1252" t="s">
        <v>25</v>
      </c>
      <c r="H1252" t="s">
        <v>32</v>
      </c>
      <c r="I1252" t="s">
        <v>42</v>
      </c>
      <c r="J1252" t="s">
        <v>76</v>
      </c>
      <c r="K1252">
        <v>1</v>
      </c>
      <c r="L1252" s="2">
        <v>90.75</v>
      </c>
      <c r="M1252" s="3">
        <v>0.1</v>
      </c>
      <c r="N1252" t="s">
        <v>29</v>
      </c>
      <c r="O1252" s="2">
        <v>81.680000000000007</v>
      </c>
      <c r="P1252" s="2">
        <v>60.07</v>
      </c>
      <c r="Q1252" s="2">
        <v>21.61</v>
      </c>
      <c r="R1252">
        <v>1</v>
      </c>
      <c r="S1252">
        <v>0</v>
      </c>
      <c r="T1252">
        <v>6</v>
      </c>
      <c r="U1252">
        <v>3</v>
      </c>
    </row>
    <row r="1253" spans="1:21" ht="16.5" x14ac:dyDescent="0.3">
      <c r="A1253" t="s">
        <v>1335</v>
      </c>
      <c r="B1253" s="1">
        <v>45501</v>
      </c>
      <c r="C1253">
        <v>2024</v>
      </c>
      <c r="D1253" t="s">
        <v>1187</v>
      </c>
      <c r="E1253" t="s">
        <v>1188</v>
      </c>
      <c r="F1253" t="s">
        <v>45</v>
      </c>
      <c r="G1253" t="s">
        <v>51</v>
      </c>
      <c r="H1253" t="s">
        <v>32</v>
      </c>
      <c r="I1253" t="s">
        <v>27</v>
      </c>
      <c r="J1253" t="s">
        <v>40</v>
      </c>
      <c r="K1253">
        <v>3</v>
      </c>
      <c r="L1253" s="2">
        <v>104.94</v>
      </c>
      <c r="M1253" s="3">
        <v>0.05</v>
      </c>
      <c r="N1253" t="s">
        <v>29</v>
      </c>
      <c r="O1253" s="2">
        <v>299.08</v>
      </c>
      <c r="P1253" s="2">
        <v>172.81</v>
      </c>
      <c r="Q1253" s="2">
        <v>126.27</v>
      </c>
      <c r="R1253">
        <v>1</v>
      </c>
      <c r="S1253">
        <v>0</v>
      </c>
      <c r="T1253">
        <v>6</v>
      </c>
      <c r="U1253">
        <v>5</v>
      </c>
    </row>
    <row r="1254" spans="1:21" ht="16.5" x14ac:dyDescent="0.3">
      <c r="A1254" t="s">
        <v>1336</v>
      </c>
      <c r="B1254" s="1">
        <v>45501</v>
      </c>
      <c r="C1254">
        <v>2024</v>
      </c>
      <c r="D1254" t="s">
        <v>1187</v>
      </c>
      <c r="E1254" t="s">
        <v>1188</v>
      </c>
      <c r="F1254" t="s">
        <v>24</v>
      </c>
      <c r="G1254" t="s">
        <v>25</v>
      </c>
      <c r="H1254" t="s">
        <v>26</v>
      </c>
      <c r="I1254" t="s">
        <v>27</v>
      </c>
      <c r="J1254" t="s">
        <v>33</v>
      </c>
      <c r="K1254">
        <v>1</v>
      </c>
      <c r="L1254" s="2">
        <v>78.510000000000005</v>
      </c>
      <c r="M1254" s="3">
        <v>0.05</v>
      </c>
      <c r="N1254" t="s">
        <v>29</v>
      </c>
      <c r="O1254" s="2">
        <v>74.58</v>
      </c>
      <c r="P1254" s="2">
        <v>41.68</v>
      </c>
      <c r="Q1254" s="2">
        <v>32.9</v>
      </c>
      <c r="R1254">
        <v>1</v>
      </c>
      <c r="S1254">
        <v>0</v>
      </c>
      <c r="T1254">
        <v>5</v>
      </c>
      <c r="U1254">
        <v>4</v>
      </c>
    </row>
    <row r="1255" spans="1:21" ht="16.5" x14ac:dyDescent="0.3">
      <c r="A1255" t="s">
        <v>1337</v>
      </c>
      <c r="B1255" s="1">
        <v>45501</v>
      </c>
      <c r="C1255">
        <v>2024</v>
      </c>
      <c r="D1255" t="s">
        <v>1187</v>
      </c>
      <c r="E1255" t="s">
        <v>1188</v>
      </c>
      <c r="F1255" t="s">
        <v>24</v>
      </c>
      <c r="G1255" t="s">
        <v>46</v>
      </c>
      <c r="H1255" t="s">
        <v>26</v>
      </c>
      <c r="I1255" t="s">
        <v>36</v>
      </c>
      <c r="J1255" t="s">
        <v>52</v>
      </c>
      <c r="K1255">
        <v>1</v>
      </c>
      <c r="L1255" s="2">
        <v>92.54</v>
      </c>
      <c r="M1255" s="3">
        <v>0</v>
      </c>
      <c r="N1255" t="s">
        <v>38</v>
      </c>
      <c r="O1255" s="2">
        <v>92.54</v>
      </c>
      <c r="P1255" s="2">
        <v>43.1</v>
      </c>
      <c r="Q1255" s="2">
        <v>49.44</v>
      </c>
      <c r="R1255">
        <v>1</v>
      </c>
      <c r="S1255">
        <v>0</v>
      </c>
      <c r="T1255">
        <v>7</v>
      </c>
      <c r="U1255">
        <v>4</v>
      </c>
    </row>
    <row r="1256" spans="1:21" ht="16.5" x14ac:dyDescent="0.3">
      <c r="A1256" t="s">
        <v>1338</v>
      </c>
      <c r="B1256" s="1">
        <v>45501</v>
      </c>
      <c r="C1256">
        <v>2024</v>
      </c>
      <c r="D1256" t="s">
        <v>1187</v>
      </c>
      <c r="E1256" t="s">
        <v>1188</v>
      </c>
      <c r="F1256" t="s">
        <v>31</v>
      </c>
      <c r="G1256" t="s">
        <v>65</v>
      </c>
      <c r="H1256" t="s">
        <v>32</v>
      </c>
      <c r="I1256" t="s">
        <v>27</v>
      </c>
      <c r="J1256" t="s">
        <v>28</v>
      </c>
      <c r="K1256">
        <v>3</v>
      </c>
      <c r="L1256" s="2">
        <v>138.5</v>
      </c>
      <c r="M1256" s="3">
        <v>0.05</v>
      </c>
      <c r="N1256" t="s">
        <v>29</v>
      </c>
      <c r="O1256" s="2">
        <v>394.72</v>
      </c>
      <c r="P1256" s="2">
        <v>234.7</v>
      </c>
      <c r="Q1256" s="2">
        <v>160.02000000000001</v>
      </c>
      <c r="R1256">
        <v>1</v>
      </c>
      <c r="S1256">
        <v>0</v>
      </c>
      <c r="T1256">
        <v>5</v>
      </c>
      <c r="U1256">
        <v>4</v>
      </c>
    </row>
    <row r="1257" spans="1:21" ht="16.5" x14ac:dyDescent="0.3">
      <c r="A1257" t="s">
        <v>1339</v>
      </c>
      <c r="B1257" s="1">
        <v>45501</v>
      </c>
      <c r="C1257">
        <v>2024</v>
      </c>
      <c r="D1257" t="s">
        <v>1187</v>
      </c>
      <c r="E1257" t="s">
        <v>1188</v>
      </c>
      <c r="F1257" t="s">
        <v>31</v>
      </c>
      <c r="G1257" t="s">
        <v>51</v>
      </c>
      <c r="H1257" t="s">
        <v>32</v>
      </c>
      <c r="I1257" t="s">
        <v>84</v>
      </c>
      <c r="J1257" t="s">
        <v>106</v>
      </c>
      <c r="K1257">
        <v>4</v>
      </c>
      <c r="L1257" s="2">
        <v>45.28</v>
      </c>
      <c r="M1257" s="3">
        <v>0</v>
      </c>
      <c r="N1257" t="s">
        <v>38</v>
      </c>
      <c r="O1257" s="2">
        <v>181.12</v>
      </c>
      <c r="P1257" s="2">
        <v>133.47999999999999</v>
      </c>
      <c r="Q1257" s="2">
        <v>47.64</v>
      </c>
      <c r="R1257">
        <v>1</v>
      </c>
      <c r="S1257">
        <v>0</v>
      </c>
      <c r="T1257">
        <v>5</v>
      </c>
      <c r="U1257">
        <v>4</v>
      </c>
    </row>
    <row r="1258" spans="1:21" ht="16.5" x14ac:dyDescent="0.3">
      <c r="A1258" t="s">
        <v>1340</v>
      </c>
      <c r="B1258" s="1">
        <v>45502</v>
      </c>
      <c r="C1258">
        <v>2024</v>
      </c>
      <c r="D1258" t="s">
        <v>1187</v>
      </c>
      <c r="E1258" t="s">
        <v>1188</v>
      </c>
      <c r="F1258" t="s">
        <v>24</v>
      </c>
      <c r="G1258" t="s">
        <v>51</v>
      </c>
      <c r="H1258" t="s">
        <v>32</v>
      </c>
      <c r="I1258" t="s">
        <v>42</v>
      </c>
      <c r="J1258" t="s">
        <v>54</v>
      </c>
      <c r="K1258">
        <v>1</v>
      </c>
      <c r="L1258" s="2">
        <v>148.05000000000001</v>
      </c>
      <c r="M1258" s="3">
        <v>0.05</v>
      </c>
      <c r="N1258" t="s">
        <v>29</v>
      </c>
      <c r="O1258" s="2">
        <v>140.65</v>
      </c>
      <c r="P1258" s="2">
        <v>99.72</v>
      </c>
      <c r="Q1258" s="2">
        <v>40.93</v>
      </c>
      <c r="R1258">
        <v>1</v>
      </c>
      <c r="S1258">
        <v>0</v>
      </c>
      <c r="T1258">
        <v>2</v>
      </c>
      <c r="U1258">
        <v>4</v>
      </c>
    </row>
    <row r="1259" spans="1:21" ht="16.5" x14ac:dyDescent="0.3">
      <c r="A1259" t="s">
        <v>1341</v>
      </c>
      <c r="B1259" s="1">
        <v>45502</v>
      </c>
      <c r="C1259">
        <v>2024</v>
      </c>
      <c r="D1259" t="s">
        <v>1187</v>
      </c>
      <c r="E1259" t="s">
        <v>1188</v>
      </c>
      <c r="F1259" t="s">
        <v>24</v>
      </c>
      <c r="G1259" t="s">
        <v>25</v>
      </c>
      <c r="H1259" t="s">
        <v>32</v>
      </c>
      <c r="I1259" t="s">
        <v>27</v>
      </c>
      <c r="J1259" t="s">
        <v>110</v>
      </c>
      <c r="K1259">
        <v>2</v>
      </c>
      <c r="L1259" s="2">
        <v>19.41</v>
      </c>
      <c r="M1259" s="3">
        <v>0.2</v>
      </c>
      <c r="N1259" t="s">
        <v>34</v>
      </c>
      <c r="O1259" s="2">
        <v>31.06</v>
      </c>
      <c r="P1259" s="2">
        <v>20.43</v>
      </c>
      <c r="Q1259" s="2">
        <v>10.63</v>
      </c>
      <c r="R1259">
        <v>1</v>
      </c>
      <c r="S1259">
        <v>0</v>
      </c>
      <c r="T1259">
        <v>5</v>
      </c>
      <c r="U1259">
        <v>5</v>
      </c>
    </row>
    <row r="1260" spans="1:21" ht="16.5" x14ac:dyDescent="0.3">
      <c r="A1260" t="s">
        <v>1342</v>
      </c>
      <c r="B1260" s="1">
        <v>45502</v>
      </c>
      <c r="C1260">
        <v>2024</v>
      </c>
      <c r="D1260" t="s">
        <v>1187</v>
      </c>
      <c r="E1260" t="s">
        <v>1188</v>
      </c>
      <c r="F1260" t="s">
        <v>45</v>
      </c>
      <c r="G1260" t="s">
        <v>25</v>
      </c>
      <c r="H1260" t="s">
        <v>26</v>
      </c>
      <c r="I1260" t="s">
        <v>67</v>
      </c>
      <c r="J1260" t="s">
        <v>103</v>
      </c>
      <c r="K1260">
        <v>1</v>
      </c>
      <c r="L1260" s="2">
        <v>83.06</v>
      </c>
      <c r="M1260" s="3">
        <v>0.05</v>
      </c>
      <c r="N1260" t="s">
        <v>29</v>
      </c>
      <c r="O1260" s="2">
        <v>78.91</v>
      </c>
      <c r="P1260" s="2">
        <v>54.25</v>
      </c>
      <c r="Q1260" s="2">
        <v>24.66</v>
      </c>
      <c r="R1260">
        <v>1</v>
      </c>
      <c r="S1260">
        <v>0</v>
      </c>
      <c r="T1260">
        <v>4</v>
      </c>
      <c r="U1260">
        <v>5</v>
      </c>
    </row>
    <row r="1261" spans="1:21" ht="16.5" x14ac:dyDescent="0.3">
      <c r="A1261" t="s">
        <v>1343</v>
      </c>
      <c r="B1261" s="1">
        <v>45502</v>
      </c>
      <c r="C1261">
        <v>2024</v>
      </c>
      <c r="D1261" t="s">
        <v>1187</v>
      </c>
      <c r="E1261" t="s">
        <v>1188</v>
      </c>
      <c r="F1261" t="s">
        <v>24</v>
      </c>
      <c r="G1261" t="s">
        <v>25</v>
      </c>
      <c r="H1261" t="s">
        <v>32</v>
      </c>
      <c r="I1261" t="s">
        <v>70</v>
      </c>
      <c r="J1261" t="s">
        <v>82</v>
      </c>
      <c r="K1261">
        <v>1</v>
      </c>
      <c r="L1261" s="2">
        <v>508.8</v>
      </c>
      <c r="M1261" s="3">
        <v>0</v>
      </c>
      <c r="N1261" t="s">
        <v>38</v>
      </c>
      <c r="O1261" s="2">
        <v>508.8</v>
      </c>
      <c r="P1261" s="2">
        <v>396.08</v>
      </c>
      <c r="Q1261" s="2">
        <v>112.72</v>
      </c>
      <c r="R1261">
        <v>1</v>
      </c>
      <c r="S1261">
        <v>0</v>
      </c>
      <c r="T1261">
        <v>3</v>
      </c>
      <c r="U1261">
        <v>5</v>
      </c>
    </row>
    <row r="1262" spans="1:21" ht="16.5" x14ac:dyDescent="0.3">
      <c r="A1262" t="s">
        <v>1344</v>
      </c>
      <c r="B1262" s="1">
        <v>45502</v>
      </c>
      <c r="C1262">
        <v>2024</v>
      </c>
      <c r="D1262" t="s">
        <v>1187</v>
      </c>
      <c r="E1262" t="s">
        <v>1188</v>
      </c>
      <c r="F1262" t="s">
        <v>24</v>
      </c>
      <c r="G1262" t="s">
        <v>49</v>
      </c>
      <c r="H1262" t="s">
        <v>32</v>
      </c>
      <c r="I1262" t="s">
        <v>42</v>
      </c>
      <c r="J1262" t="s">
        <v>58</v>
      </c>
      <c r="K1262">
        <v>2</v>
      </c>
      <c r="L1262" s="2">
        <v>233.81</v>
      </c>
      <c r="M1262" s="3">
        <v>0.1</v>
      </c>
      <c r="N1262" t="s">
        <v>29</v>
      </c>
      <c r="O1262" s="2">
        <v>420.86</v>
      </c>
      <c r="P1262" s="2">
        <v>296.60000000000002</v>
      </c>
      <c r="Q1262" s="2">
        <v>124.26</v>
      </c>
      <c r="R1262">
        <v>1</v>
      </c>
      <c r="S1262">
        <v>0</v>
      </c>
      <c r="T1262">
        <v>4</v>
      </c>
      <c r="U1262">
        <v>5</v>
      </c>
    </row>
    <row r="1263" spans="1:21" ht="16.5" x14ac:dyDescent="0.3">
      <c r="A1263" t="s">
        <v>1345</v>
      </c>
      <c r="B1263" s="1">
        <v>45502</v>
      </c>
      <c r="C1263">
        <v>2024</v>
      </c>
      <c r="D1263" t="s">
        <v>1187</v>
      </c>
      <c r="E1263" t="s">
        <v>1188</v>
      </c>
      <c r="F1263" t="s">
        <v>31</v>
      </c>
      <c r="G1263" t="s">
        <v>51</v>
      </c>
      <c r="H1263" t="s">
        <v>32</v>
      </c>
      <c r="I1263" t="s">
        <v>27</v>
      </c>
      <c r="J1263" t="s">
        <v>28</v>
      </c>
      <c r="K1263">
        <v>1</v>
      </c>
      <c r="L1263" s="2">
        <v>138.5</v>
      </c>
      <c r="M1263" s="3">
        <v>0</v>
      </c>
      <c r="N1263" t="s">
        <v>38</v>
      </c>
      <c r="O1263" s="2">
        <v>138.5</v>
      </c>
      <c r="P1263" s="2">
        <v>75.09</v>
      </c>
      <c r="Q1263" s="2">
        <v>63.41</v>
      </c>
      <c r="R1263">
        <v>1</v>
      </c>
      <c r="S1263">
        <v>0</v>
      </c>
      <c r="T1263">
        <v>3</v>
      </c>
      <c r="U1263">
        <v>5</v>
      </c>
    </row>
    <row r="1264" spans="1:21" ht="16.5" x14ac:dyDescent="0.3">
      <c r="A1264" t="s">
        <v>1346</v>
      </c>
      <c r="B1264" s="1">
        <v>45503</v>
      </c>
      <c r="C1264">
        <v>2024</v>
      </c>
      <c r="D1264" t="s">
        <v>1187</v>
      </c>
      <c r="E1264" t="s">
        <v>1188</v>
      </c>
      <c r="F1264" t="s">
        <v>24</v>
      </c>
      <c r="G1264" t="s">
        <v>51</v>
      </c>
      <c r="H1264" t="s">
        <v>26</v>
      </c>
      <c r="I1264" t="s">
        <v>27</v>
      </c>
      <c r="J1264" t="s">
        <v>33</v>
      </c>
      <c r="K1264">
        <v>1</v>
      </c>
      <c r="L1264" s="2">
        <v>78.510000000000005</v>
      </c>
      <c r="M1264" s="3">
        <v>0.1</v>
      </c>
      <c r="N1264" t="s">
        <v>29</v>
      </c>
      <c r="O1264" s="2">
        <v>70.66</v>
      </c>
      <c r="P1264" s="2">
        <v>42.05</v>
      </c>
      <c r="Q1264" s="2">
        <v>28.61</v>
      </c>
      <c r="R1264">
        <v>1</v>
      </c>
      <c r="S1264">
        <v>0</v>
      </c>
      <c r="T1264">
        <v>2</v>
      </c>
      <c r="U1264">
        <v>4</v>
      </c>
    </row>
    <row r="1265" spans="1:21" ht="16.5" x14ac:dyDescent="0.3">
      <c r="A1265" t="s">
        <v>1347</v>
      </c>
      <c r="B1265" s="1">
        <v>45503</v>
      </c>
      <c r="C1265">
        <v>2024</v>
      </c>
      <c r="D1265" t="s">
        <v>1187</v>
      </c>
      <c r="E1265" t="s">
        <v>1188</v>
      </c>
      <c r="F1265" t="s">
        <v>24</v>
      </c>
      <c r="G1265" t="s">
        <v>65</v>
      </c>
      <c r="H1265" t="s">
        <v>32</v>
      </c>
      <c r="I1265" t="s">
        <v>42</v>
      </c>
      <c r="J1265" t="s">
        <v>43</v>
      </c>
      <c r="K1265">
        <v>1</v>
      </c>
      <c r="L1265" s="2">
        <v>154.66</v>
      </c>
      <c r="M1265" s="3">
        <v>0.3</v>
      </c>
      <c r="N1265" t="s">
        <v>62</v>
      </c>
      <c r="O1265" s="2">
        <v>108.26</v>
      </c>
      <c r="P1265" s="2">
        <v>99.75</v>
      </c>
      <c r="Q1265" s="2">
        <v>8.51</v>
      </c>
      <c r="R1265">
        <v>1</v>
      </c>
      <c r="S1265">
        <v>0</v>
      </c>
      <c r="T1265">
        <v>5</v>
      </c>
      <c r="U1265">
        <v>4</v>
      </c>
    </row>
    <row r="1266" spans="1:21" ht="16.5" x14ac:dyDescent="0.3">
      <c r="A1266" t="s">
        <v>1348</v>
      </c>
      <c r="B1266" s="1">
        <v>45503</v>
      </c>
      <c r="C1266">
        <v>2024</v>
      </c>
      <c r="D1266" t="s">
        <v>1187</v>
      </c>
      <c r="E1266" t="s">
        <v>1188</v>
      </c>
      <c r="F1266" t="s">
        <v>24</v>
      </c>
      <c r="G1266" t="s">
        <v>25</v>
      </c>
      <c r="H1266" t="s">
        <v>32</v>
      </c>
      <c r="I1266" t="s">
        <v>27</v>
      </c>
      <c r="J1266" t="s">
        <v>110</v>
      </c>
      <c r="K1266">
        <v>1</v>
      </c>
      <c r="L1266" s="2">
        <v>19.41</v>
      </c>
      <c r="M1266" s="3">
        <v>0.05</v>
      </c>
      <c r="N1266" t="s">
        <v>29</v>
      </c>
      <c r="O1266" s="2">
        <v>18.440000000000001</v>
      </c>
      <c r="P1266" s="2">
        <v>10.72</v>
      </c>
      <c r="Q1266" s="2">
        <v>7.72</v>
      </c>
      <c r="R1266">
        <v>1</v>
      </c>
      <c r="S1266">
        <v>0</v>
      </c>
      <c r="T1266">
        <v>3</v>
      </c>
      <c r="U1266">
        <v>5</v>
      </c>
    </row>
    <row r="1267" spans="1:21" ht="16.5" x14ac:dyDescent="0.3">
      <c r="A1267" t="s">
        <v>1349</v>
      </c>
      <c r="B1267" s="1">
        <v>45503</v>
      </c>
      <c r="C1267">
        <v>2024</v>
      </c>
      <c r="D1267" t="s">
        <v>1187</v>
      </c>
      <c r="E1267" t="s">
        <v>1188</v>
      </c>
      <c r="F1267" t="s">
        <v>45</v>
      </c>
      <c r="G1267" t="s">
        <v>51</v>
      </c>
      <c r="H1267" t="s">
        <v>26</v>
      </c>
      <c r="I1267" t="s">
        <v>70</v>
      </c>
      <c r="J1267" t="s">
        <v>162</v>
      </c>
      <c r="K1267">
        <v>1</v>
      </c>
      <c r="L1267" s="2">
        <v>636.09</v>
      </c>
      <c r="M1267" s="3">
        <v>0</v>
      </c>
      <c r="N1267" t="s">
        <v>38</v>
      </c>
      <c r="O1267" s="2">
        <v>636.09</v>
      </c>
      <c r="P1267" s="2">
        <v>520.87</v>
      </c>
      <c r="Q1267" s="2">
        <v>115.22</v>
      </c>
      <c r="R1267">
        <v>1</v>
      </c>
      <c r="S1267">
        <v>0</v>
      </c>
      <c r="T1267">
        <v>2</v>
      </c>
      <c r="U1267">
        <v>5</v>
      </c>
    </row>
    <row r="1268" spans="1:21" ht="16.5" x14ac:dyDescent="0.3">
      <c r="A1268" t="s">
        <v>1350</v>
      </c>
      <c r="B1268" s="1">
        <v>45503</v>
      </c>
      <c r="C1268">
        <v>2024</v>
      </c>
      <c r="D1268" t="s">
        <v>1187</v>
      </c>
      <c r="E1268" t="s">
        <v>1188</v>
      </c>
      <c r="F1268" t="s">
        <v>45</v>
      </c>
      <c r="G1268" t="s">
        <v>51</v>
      </c>
      <c r="H1268" t="s">
        <v>32</v>
      </c>
      <c r="I1268" t="s">
        <v>70</v>
      </c>
      <c r="J1268" t="s">
        <v>252</v>
      </c>
      <c r="K1268">
        <v>2</v>
      </c>
      <c r="L1268" s="2">
        <v>216.08</v>
      </c>
      <c r="M1268" s="3">
        <v>0.25</v>
      </c>
      <c r="N1268" t="s">
        <v>62</v>
      </c>
      <c r="O1268" s="2">
        <v>324.12</v>
      </c>
      <c r="P1268" s="2">
        <v>355.35</v>
      </c>
      <c r="Q1268" s="2">
        <v>-31.23</v>
      </c>
      <c r="R1268">
        <v>1</v>
      </c>
      <c r="S1268">
        <v>0</v>
      </c>
      <c r="T1268">
        <v>3</v>
      </c>
      <c r="U1268">
        <v>3</v>
      </c>
    </row>
    <row r="1269" spans="1:21" ht="16.5" x14ac:dyDescent="0.3">
      <c r="A1269" t="s">
        <v>1351</v>
      </c>
      <c r="B1269" s="1">
        <v>45504</v>
      </c>
      <c r="C1269">
        <v>2024</v>
      </c>
      <c r="D1269" t="s">
        <v>1187</v>
      </c>
      <c r="E1269" t="s">
        <v>1188</v>
      </c>
      <c r="F1269" t="s">
        <v>31</v>
      </c>
      <c r="G1269" t="s">
        <v>51</v>
      </c>
      <c r="H1269" t="s">
        <v>26</v>
      </c>
      <c r="I1269" t="s">
        <v>67</v>
      </c>
      <c r="J1269" t="s">
        <v>174</v>
      </c>
      <c r="K1269">
        <v>2</v>
      </c>
      <c r="L1269" s="2">
        <v>137.05000000000001</v>
      </c>
      <c r="M1269" s="3">
        <v>0</v>
      </c>
      <c r="N1269" t="s">
        <v>38</v>
      </c>
      <c r="O1269" s="2">
        <v>274.10000000000002</v>
      </c>
      <c r="P1269" s="2">
        <v>184.7</v>
      </c>
      <c r="Q1269" s="2">
        <v>89.4</v>
      </c>
      <c r="R1269">
        <v>1</v>
      </c>
      <c r="S1269">
        <v>0</v>
      </c>
      <c r="T1269">
        <v>2</v>
      </c>
      <c r="U1269">
        <v>4</v>
      </c>
    </row>
    <row r="1270" spans="1:21" ht="16.5" x14ac:dyDescent="0.3">
      <c r="A1270" t="s">
        <v>1352</v>
      </c>
      <c r="B1270" s="1">
        <v>45504</v>
      </c>
      <c r="C1270">
        <v>2024</v>
      </c>
      <c r="D1270" t="s">
        <v>1187</v>
      </c>
      <c r="E1270" t="s">
        <v>1188</v>
      </c>
      <c r="F1270" t="s">
        <v>24</v>
      </c>
      <c r="G1270" t="s">
        <v>46</v>
      </c>
      <c r="H1270" t="s">
        <v>32</v>
      </c>
      <c r="I1270" t="s">
        <v>70</v>
      </c>
      <c r="J1270" t="s">
        <v>87</v>
      </c>
      <c r="K1270">
        <v>1</v>
      </c>
      <c r="L1270" s="2">
        <v>490.3</v>
      </c>
      <c r="M1270" s="3">
        <v>0.1</v>
      </c>
      <c r="N1270" t="s">
        <v>29</v>
      </c>
      <c r="O1270" s="2">
        <v>441.27</v>
      </c>
      <c r="P1270" s="2">
        <v>395.97</v>
      </c>
      <c r="Q1270" s="2">
        <v>45.3</v>
      </c>
      <c r="R1270">
        <v>1</v>
      </c>
      <c r="S1270">
        <v>0</v>
      </c>
      <c r="T1270">
        <v>5</v>
      </c>
      <c r="U1270">
        <v>4</v>
      </c>
    </row>
    <row r="1271" spans="1:21" ht="16.5" x14ac:dyDescent="0.3">
      <c r="A1271" t="s">
        <v>1353</v>
      </c>
      <c r="B1271" s="1">
        <v>45504</v>
      </c>
      <c r="C1271">
        <v>2024</v>
      </c>
      <c r="D1271" t="s">
        <v>1187</v>
      </c>
      <c r="E1271" t="s">
        <v>1188</v>
      </c>
      <c r="F1271" t="s">
        <v>31</v>
      </c>
      <c r="G1271" t="s">
        <v>51</v>
      </c>
      <c r="H1271" t="s">
        <v>26</v>
      </c>
      <c r="I1271" t="s">
        <v>27</v>
      </c>
      <c r="J1271" t="s">
        <v>33</v>
      </c>
      <c r="K1271">
        <v>1</v>
      </c>
      <c r="L1271" s="2">
        <v>78.510000000000005</v>
      </c>
      <c r="M1271" s="3">
        <v>0.05</v>
      </c>
      <c r="N1271" t="s">
        <v>29</v>
      </c>
      <c r="O1271" s="2">
        <v>74.58</v>
      </c>
      <c r="P1271" s="2">
        <v>43.84</v>
      </c>
      <c r="Q1271" s="2">
        <v>30.74</v>
      </c>
      <c r="R1271">
        <v>1</v>
      </c>
      <c r="S1271">
        <v>1</v>
      </c>
      <c r="T1271">
        <v>2</v>
      </c>
      <c r="U1271">
        <v>3</v>
      </c>
    </row>
    <row r="1272" spans="1:21" ht="16.5" x14ac:dyDescent="0.3">
      <c r="A1272" t="s">
        <v>1354</v>
      </c>
      <c r="B1272" s="1">
        <v>45504</v>
      </c>
      <c r="C1272">
        <v>2024</v>
      </c>
      <c r="D1272" t="s">
        <v>1187</v>
      </c>
      <c r="E1272" t="s">
        <v>1188</v>
      </c>
      <c r="F1272" t="s">
        <v>24</v>
      </c>
      <c r="G1272" t="s">
        <v>49</v>
      </c>
      <c r="H1272" t="s">
        <v>26</v>
      </c>
      <c r="I1272" t="s">
        <v>27</v>
      </c>
      <c r="J1272" t="s">
        <v>110</v>
      </c>
      <c r="K1272">
        <v>2</v>
      </c>
      <c r="L1272" s="2">
        <v>19.41</v>
      </c>
      <c r="M1272" s="3">
        <v>0.1</v>
      </c>
      <c r="N1272" t="s">
        <v>29</v>
      </c>
      <c r="O1272" s="2">
        <v>34.94</v>
      </c>
      <c r="P1272" s="2">
        <v>20.98</v>
      </c>
      <c r="Q1272" s="2">
        <v>13.96</v>
      </c>
      <c r="R1272">
        <v>1</v>
      </c>
      <c r="S1272">
        <v>0</v>
      </c>
      <c r="T1272">
        <v>3</v>
      </c>
      <c r="U1272">
        <v>5</v>
      </c>
    </row>
    <row r="1273" spans="1:21" ht="16.5" x14ac:dyDescent="0.3">
      <c r="A1273" t="s">
        <v>1355</v>
      </c>
      <c r="B1273" s="1">
        <v>45505</v>
      </c>
      <c r="C1273">
        <v>2024</v>
      </c>
      <c r="D1273" t="s">
        <v>1187</v>
      </c>
      <c r="E1273" t="s">
        <v>1356</v>
      </c>
      <c r="F1273" t="s">
        <v>45</v>
      </c>
      <c r="G1273" t="s">
        <v>25</v>
      </c>
      <c r="H1273" t="s">
        <v>32</v>
      </c>
      <c r="I1273" t="s">
        <v>70</v>
      </c>
      <c r="J1273" t="s">
        <v>129</v>
      </c>
      <c r="K1273">
        <v>1</v>
      </c>
      <c r="L1273" s="2">
        <v>177.65</v>
      </c>
      <c r="M1273" s="3">
        <v>0.25</v>
      </c>
      <c r="N1273" t="s">
        <v>62</v>
      </c>
      <c r="O1273" s="2">
        <v>133.24</v>
      </c>
      <c r="P1273" s="2">
        <v>147.16</v>
      </c>
      <c r="Q1273" s="2">
        <v>-13.92</v>
      </c>
      <c r="R1273">
        <v>1</v>
      </c>
      <c r="S1273">
        <v>0</v>
      </c>
      <c r="T1273">
        <v>3</v>
      </c>
      <c r="U1273">
        <v>5</v>
      </c>
    </row>
    <row r="1274" spans="1:21" ht="16.5" x14ac:dyDescent="0.3">
      <c r="A1274" t="s">
        <v>1357</v>
      </c>
      <c r="B1274" s="1">
        <v>45505</v>
      </c>
      <c r="C1274">
        <v>2024</v>
      </c>
      <c r="D1274" t="s">
        <v>1187</v>
      </c>
      <c r="E1274" t="s">
        <v>1356</v>
      </c>
      <c r="F1274" t="s">
        <v>31</v>
      </c>
      <c r="G1274" t="s">
        <v>25</v>
      </c>
      <c r="H1274" t="s">
        <v>32</v>
      </c>
      <c r="I1274" t="s">
        <v>36</v>
      </c>
      <c r="J1274" t="s">
        <v>52</v>
      </c>
      <c r="K1274">
        <v>1</v>
      </c>
      <c r="L1274" s="2">
        <v>92.54</v>
      </c>
      <c r="M1274" s="3">
        <v>0.05</v>
      </c>
      <c r="N1274" t="s">
        <v>29</v>
      </c>
      <c r="O1274" s="2">
        <v>87.91</v>
      </c>
      <c r="P1274" s="2">
        <v>44.28</v>
      </c>
      <c r="Q1274" s="2">
        <v>43.63</v>
      </c>
      <c r="R1274">
        <v>1</v>
      </c>
      <c r="S1274">
        <v>0</v>
      </c>
      <c r="T1274">
        <v>3</v>
      </c>
      <c r="U1274">
        <v>5</v>
      </c>
    </row>
    <row r="1275" spans="1:21" ht="16.5" x14ac:dyDescent="0.3">
      <c r="A1275" t="s">
        <v>1358</v>
      </c>
      <c r="B1275" s="1">
        <v>45505</v>
      </c>
      <c r="C1275">
        <v>2024</v>
      </c>
      <c r="D1275" t="s">
        <v>1187</v>
      </c>
      <c r="E1275" t="s">
        <v>1356</v>
      </c>
      <c r="F1275" t="s">
        <v>24</v>
      </c>
      <c r="G1275" t="s">
        <v>25</v>
      </c>
      <c r="H1275" t="s">
        <v>32</v>
      </c>
      <c r="I1275" t="s">
        <v>42</v>
      </c>
      <c r="J1275" t="s">
        <v>58</v>
      </c>
      <c r="K1275">
        <v>2</v>
      </c>
      <c r="L1275" s="2">
        <v>233.81</v>
      </c>
      <c r="M1275" s="3">
        <v>0.2</v>
      </c>
      <c r="N1275" t="s">
        <v>34</v>
      </c>
      <c r="O1275" s="2">
        <v>374.1</v>
      </c>
      <c r="P1275" s="2">
        <v>322.57</v>
      </c>
      <c r="Q1275" s="2">
        <v>51.53</v>
      </c>
      <c r="R1275">
        <v>1</v>
      </c>
      <c r="S1275">
        <v>0</v>
      </c>
      <c r="T1275">
        <v>4</v>
      </c>
      <c r="U1275">
        <v>4</v>
      </c>
    </row>
    <row r="1276" spans="1:21" ht="16.5" x14ac:dyDescent="0.3">
      <c r="A1276" t="s">
        <v>1359</v>
      </c>
      <c r="B1276" s="1">
        <v>45505</v>
      </c>
      <c r="C1276">
        <v>2024</v>
      </c>
      <c r="D1276" t="s">
        <v>1187</v>
      </c>
      <c r="E1276" t="s">
        <v>1356</v>
      </c>
      <c r="F1276" t="s">
        <v>45</v>
      </c>
      <c r="G1276" t="s">
        <v>65</v>
      </c>
      <c r="H1276" t="s">
        <v>32</v>
      </c>
      <c r="I1276" t="s">
        <v>27</v>
      </c>
      <c r="J1276" t="s">
        <v>40</v>
      </c>
      <c r="K1276">
        <v>2</v>
      </c>
      <c r="L1276" s="2">
        <v>104.94</v>
      </c>
      <c r="M1276" s="3">
        <v>0.1</v>
      </c>
      <c r="N1276" t="s">
        <v>29</v>
      </c>
      <c r="O1276" s="2">
        <v>188.89</v>
      </c>
      <c r="P1276" s="2">
        <v>114.13</v>
      </c>
      <c r="Q1276" s="2">
        <v>74.760000000000005</v>
      </c>
      <c r="R1276">
        <v>1</v>
      </c>
      <c r="S1276">
        <v>0</v>
      </c>
      <c r="T1276">
        <v>5</v>
      </c>
      <c r="U1276">
        <v>4</v>
      </c>
    </row>
    <row r="1277" spans="1:21" ht="16.5" x14ac:dyDescent="0.3">
      <c r="A1277" t="s">
        <v>1360</v>
      </c>
      <c r="B1277" s="1">
        <v>45505</v>
      </c>
      <c r="C1277">
        <v>2024</v>
      </c>
      <c r="D1277" t="s">
        <v>1187</v>
      </c>
      <c r="E1277" t="s">
        <v>1356</v>
      </c>
      <c r="F1277" t="s">
        <v>31</v>
      </c>
      <c r="G1277" t="s">
        <v>25</v>
      </c>
      <c r="H1277" t="s">
        <v>32</v>
      </c>
      <c r="I1277" t="s">
        <v>36</v>
      </c>
      <c r="J1277" t="s">
        <v>115</v>
      </c>
      <c r="K1277">
        <v>1</v>
      </c>
      <c r="L1277" s="2">
        <v>33.479999999999997</v>
      </c>
      <c r="M1277" s="3">
        <v>0</v>
      </c>
      <c r="N1277" t="s">
        <v>38</v>
      </c>
      <c r="O1277" s="2">
        <v>33.479999999999997</v>
      </c>
      <c r="P1277" s="2">
        <v>16.079999999999998</v>
      </c>
      <c r="Q1277" s="2">
        <v>17.399999999999999</v>
      </c>
      <c r="R1277">
        <v>1</v>
      </c>
      <c r="S1277">
        <v>0</v>
      </c>
      <c r="T1277">
        <v>4</v>
      </c>
      <c r="U1277">
        <v>5</v>
      </c>
    </row>
    <row r="1278" spans="1:21" ht="16.5" x14ac:dyDescent="0.3">
      <c r="A1278" t="s">
        <v>1361</v>
      </c>
      <c r="B1278" s="1">
        <v>45505</v>
      </c>
      <c r="C1278">
        <v>2024</v>
      </c>
      <c r="D1278" t="s">
        <v>1187</v>
      </c>
      <c r="E1278" t="s">
        <v>1356</v>
      </c>
      <c r="F1278" t="s">
        <v>31</v>
      </c>
      <c r="G1278" t="s">
        <v>25</v>
      </c>
      <c r="H1278" t="s">
        <v>26</v>
      </c>
      <c r="I1278" t="s">
        <v>67</v>
      </c>
      <c r="J1278" t="s">
        <v>174</v>
      </c>
      <c r="K1278">
        <v>2</v>
      </c>
      <c r="L1278" s="2">
        <v>137.05000000000001</v>
      </c>
      <c r="M1278" s="3">
        <v>0.05</v>
      </c>
      <c r="N1278" t="s">
        <v>29</v>
      </c>
      <c r="O1278" s="2">
        <v>260.39999999999998</v>
      </c>
      <c r="P1278" s="2">
        <v>176.83</v>
      </c>
      <c r="Q1278" s="2">
        <v>83.57</v>
      </c>
      <c r="R1278">
        <v>1</v>
      </c>
      <c r="S1278">
        <v>0</v>
      </c>
      <c r="T1278">
        <v>3</v>
      </c>
      <c r="U1278">
        <v>4</v>
      </c>
    </row>
    <row r="1279" spans="1:21" ht="16.5" x14ac:dyDescent="0.3">
      <c r="A1279" t="s">
        <v>1362</v>
      </c>
      <c r="B1279" s="1">
        <v>45506</v>
      </c>
      <c r="C1279">
        <v>2024</v>
      </c>
      <c r="D1279" t="s">
        <v>1187</v>
      </c>
      <c r="E1279" t="s">
        <v>1356</v>
      </c>
      <c r="F1279" t="s">
        <v>45</v>
      </c>
      <c r="G1279" t="s">
        <v>49</v>
      </c>
      <c r="H1279" t="s">
        <v>32</v>
      </c>
      <c r="I1279" t="s">
        <v>84</v>
      </c>
      <c r="J1279" t="s">
        <v>85</v>
      </c>
      <c r="K1279">
        <v>1</v>
      </c>
      <c r="L1279" s="2">
        <v>57.92</v>
      </c>
      <c r="M1279" s="3">
        <v>0.25</v>
      </c>
      <c r="N1279" t="s">
        <v>62</v>
      </c>
      <c r="O1279" s="2">
        <v>43.44</v>
      </c>
      <c r="P1279" s="2">
        <v>41.19</v>
      </c>
      <c r="Q1279" s="2">
        <v>2.25</v>
      </c>
      <c r="R1279">
        <v>1</v>
      </c>
      <c r="S1279">
        <v>0</v>
      </c>
      <c r="T1279">
        <v>5</v>
      </c>
      <c r="U1279">
        <v>4</v>
      </c>
    </row>
    <row r="1280" spans="1:21" ht="16.5" x14ac:dyDescent="0.3">
      <c r="A1280" t="s">
        <v>1363</v>
      </c>
      <c r="B1280" s="1">
        <v>45506</v>
      </c>
      <c r="C1280">
        <v>2024</v>
      </c>
      <c r="D1280" t="s">
        <v>1187</v>
      </c>
      <c r="E1280" t="s">
        <v>1356</v>
      </c>
      <c r="F1280" t="s">
        <v>31</v>
      </c>
      <c r="G1280" t="s">
        <v>46</v>
      </c>
      <c r="H1280" t="s">
        <v>32</v>
      </c>
      <c r="I1280" t="s">
        <v>42</v>
      </c>
      <c r="J1280" t="s">
        <v>54</v>
      </c>
      <c r="K1280">
        <v>1</v>
      </c>
      <c r="L1280" s="2">
        <v>148.05000000000001</v>
      </c>
      <c r="M1280" s="3">
        <v>0.1</v>
      </c>
      <c r="N1280" t="s">
        <v>29</v>
      </c>
      <c r="O1280" s="2">
        <v>133.24</v>
      </c>
      <c r="P1280" s="2">
        <v>96.76</v>
      </c>
      <c r="Q1280" s="2">
        <v>36.479999999999997</v>
      </c>
      <c r="R1280">
        <v>1</v>
      </c>
      <c r="S1280">
        <v>0</v>
      </c>
      <c r="T1280">
        <v>6</v>
      </c>
      <c r="U1280">
        <v>4</v>
      </c>
    </row>
    <row r="1281" spans="1:21" ht="16.5" x14ac:dyDescent="0.3">
      <c r="A1281" t="s">
        <v>1364</v>
      </c>
      <c r="B1281" s="1">
        <v>45506</v>
      </c>
      <c r="C1281">
        <v>2024</v>
      </c>
      <c r="D1281" t="s">
        <v>1187</v>
      </c>
      <c r="E1281" t="s">
        <v>1356</v>
      </c>
      <c r="F1281" t="s">
        <v>45</v>
      </c>
      <c r="G1281" t="s">
        <v>51</v>
      </c>
      <c r="H1281" t="s">
        <v>26</v>
      </c>
      <c r="I1281" t="s">
        <v>84</v>
      </c>
      <c r="J1281" t="s">
        <v>132</v>
      </c>
      <c r="K1281">
        <v>2</v>
      </c>
      <c r="L1281" s="2">
        <v>48.86</v>
      </c>
      <c r="M1281" s="3">
        <v>0.1</v>
      </c>
      <c r="N1281" t="s">
        <v>29</v>
      </c>
      <c r="O1281" s="2">
        <v>87.95</v>
      </c>
      <c r="P1281" s="2">
        <v>70.180000000000007</v>
      </c>
      <c r="Q1281" s="2">
        <v>17.77</v>
      </c>
      <c r="R1281">
        <v>1</v>
      </c>
      <c r="S1281">
        <v>0</v>
      </c>
      <c r="T1281">
        <v>2</v>
      </c>
      <c r="U1281">
        <v>5</v>
      </c>
    </row>
    <row r="1282" spans="1:21" ht="16.5" x14ac:dyDescent="0.3">
      <c r="A1282" t="s">
        <v>1365</v>
      </c>
      <c r="B1282" s="1">
        <v>45506</v>
      </c>
      <c r="C1282">
        <v>2024</v>
      </c>
      <c r="D1282" t="s">
        <v>1187</v>
      </c>
      <c r="E1282" t="s">
        <v>1356</v>
      </c>
      <c r="F1282" t="s">
        <v>45</v>
      </c>
      <c r="G1282" t="s">
        <v>51</v>
      </c>
      <c r="H1282" t="s">
        <v>26</v>
      </c>
      <c r="I1282" t="s">
        <v>84</v>
      </c>
      <c r="J1282" t="s">
        <v>223</v>
      </c>
      <c r="K1282">
        <v>1</v>
      </c>
      <c r="L1282" s="2">
        <v>16.97</v>
      </c>
      <c r="M1282" s="3">
        <v>0</v>
      </c>
      <c r="N1282" t="s">
        <v>38</v>
      </c>
      <c r="O1282" s="2">
        <v>16.97</v>
      </c>
      <c r="P1282" s="2">
        <v>12.27</v>
      </c>
      <c r="Q1282" s="2">
        <v>4.7</v>
      </c>
      <c r="R1282">
        <v>1</v>
      </c>
      <c r="S1282">
        <v>1</v>
      </c>
      <c r="T1282">
        <v>2</v>
      </c>
      <c r="U1282">
        <v>2</v>
      </c>
    </row>
    <row r="1283" spans="1:21" ht="16.5" x14ac:dyDescent="0.3">
      <c r="A1283" t="s">
        <v>1366</v>
      </c>
      <c r="B1283" s="1">
        <v>45506</v>
      </c>
      <c r="C1283">
        <v>2024</v>
      </c>
      <c r="D1283" t="s">
        <v>1187</v>
      </c>
      <c r="E1283" t="s">
        <v>1356</v>
      </c>
      <c r="F1283" t="s">
        <v>24</v>
      </c>
      <c r="G1283" t="s">
        <v>51</v>
      </c>
      <c r="H1283" t="s">
        <v>32</v>
      </c>
      <c r="I1283" t="s">
        <v>67</v>
      </c>
      <c r="J1283" t="s">
        <v>174</v>
      </c>
      <c r="K1283">
        <v>1</v>
      </c>
      <c r="L1283" s="2">
        <v>137.05000000000001</v>
      </c>
      <c r="M1283" s="3">
        <v>0.05</v>
      </c>
      <c r="N1283" t="s">
        <v>29</v>
      </c>
      <c r="O1283" s="2">
        <v>130.19999999999999</v>
      </c>
      <c r="P1283" s="2">
        <v>92.76</v>
      </c>
      <c r="Q1283" s="2">
        <v>37.44</v>
      </c>
      <c r="R1283">
        <v>1</v>
      </c>
      <c r="S1283">
        <v>1</v>
      </c>
      <c r="T1283">
        <v>2</v>
      </c>
      <c r="U1283">
        <v>3</v>
      </c>
    </row>
    <row r="1284" spans="1:21" ht="16.5" x14ac:dyDescent="0.3">
      <c r="A1284" t="s">
        <v>1367</v>
      </c>
      <c r="B1284" s="1">
        <v>45506</v>
      </c>
      <c r="C1284">
        <v>2024</v>
      </c>
      <c r="D1284" t="s">
        <v>1187</v>
      </c>
      <c r="E1284" t="s">
        <v>1356</v>
      </c>
      <c r="F1284" t="s">
        <v>24</v>
      </c>
      <c r="G1284" t="s">
        <v>51</v>
      </c>
      <c r="H1284" t="s">
        <v>32</v>
      </c>
      <c r="I1284" t="s">
        <v>27</v>
      </c>
      <c r="J1284" t="s">
        <v>47</v>
      </c>
      <c r="K1284">
        <v>1</v>
      </c>
      <c r="L1284" s="2">
        <v>33.99</v>
      </c>
      <c r="M1284" s="3">
        <v>0</v>
      </c>
      <c r="N1284" t="s">
        <v>38</v>
      </c>
      <c r="O1284" s="2">
        <v>33.99</v>
      </c>
      <c r="P1284" s="2">
        <v>18.420000000000002</v>
      </c>
      <c r="Q1284" s="2">
        <v>15.57</v>
      </c>
      <c r="R1284">
        <v>1</v>
      </c>
      <c r="S1284">
        <v>1</v>
      </c>
      <c r="T1284">
        <v>2</v>
      </c>
      <c r="U1284">
        <v>3</v>
      </c>
    </row>
    <row r="1285" spans="1:21" ht="16.5" x14ac:dyDescent="0.3">
      <c r="A1285" t="s">
        <v>1368</v>
      </c>
      <c r="B1285" s="1">
        <v>45506</v>
      </c>
      <c r="C1285">
        <v>2024</v>
      </c>
      <c r="D1285" t="s">
        <v>1187</v>
      </c>
      <c r="E1285" t="s">
        <v>1356</v>
      </c>
      <c r="F1285" t="s">
        <v>31</v>
      </c>
      <c r="G1285" t="s">
        <v>49</v>
      </c>
      <c r="H1285" t="s">
        <v>32</v>
      </c>
      <c r="I1285" t="s">
        <v>27</v>
      </c>
      <c r="J1285" t="s">
        <v>28</v>
      </c>
      <c r="K1285">
        <v>1</v>
      </c>
      <c r="L1285" s="2">
        <v>138.5</v>
      </c>
      <c r="M1285" s="3">
        <v>0</v>
      </c>
      <c r="N1285" t="s">
        <v>38</v>
      </c>
      <c r="O1285" s="2">
        <v>138.5</v>
      </c>
      <c r="P1285" s="2">
        <v>76.8</v>
      </c>
      <c r="Q1285" s="2">
        <v>61.7</v>
      </c>
      <c r="R1285">
        <v>1</v>
      </c>
      <c r="S1285">
        <v>1</v>
      </c>
      <c r="T1285">
        <v>4</v>
      </c>
      <c r="U1285">
        <v>3</v>
      </c>
    </row>
    <row r="1286" spans="1:21" ht="16.5" x14ac:dyDescent="0.3">
      <c r="A1286" t="s">
        <v>1369</v>
      </c>
      <c r="B1286" s="1">
        <v>45506</v>
      </c>
      <c r="C1286">
        <v>2024</v>
      </c>
      <c r="D1286" t="s">
        <v>1187</v>
      </c>
      <c r="E1286" t="s">
        <v>1356</v>
      </c>
      <c r="F1286" t="s">
        <v>24</v>
      </c>
      <c r="G1286" t="s">
        <v>25</v>
      </c>
      <c r="H1286" t="s">
        <v>32</v>
      </c>
      <c r="I1286" t="s">
        <v>27</v>
      </c>
      <c r="J1286" t="s">
        <v>33</v>
      </c>
      <c r="K1286">
        <v>1</v>
      </c>
      <c r="L1286" s="2">
        <v>78.510000000000005</v>
      </c>
      <c r="M1286" s="3">
        <v>0.05</v>
      </c>
      <c r="N1286" t="s">
        <v>29</v>
      </c>
      <c r="O1286" s="2">
        <v>74.58</v>
      </c>
      <c r="P1286" s="2">
        <v>40.4</v>
      </c>
      <c r="Q1286" s="2">
        <v>34.18</v>
      </c>
      <c r="R1286">
        <v>1</v>
      </c>
      <c r="S1286">
        <v>1</v>
      </c>
      <c r="T1286">
        <v>4</v>
      </c>
      <c r="U1286">
        <v>2</v>
      </c>
    </row>
    <row r="1287" spans="1:21" ht="16.5" x14ac:dyDescent="0.3">
      <c r="A1287" t="s">
        <v>1370</v>
      </c>
      <c r="B1287" s="1">
        <v>45506</v>
      </c>
      <c r="C1287">
        <v>2024</v>
      </c>
      <c r="D1287" t="s">
        <v>1187</v>
      </c>
      <c r="E1287" t="s">
        <v>1356</v>
      </c>
      <c r="F1287" t="s">
        <v>45</v>
      </c>
      <c r="G1287" t="s">
        <v>25</v>
      </c>
      <c r="H1287" t="s">
        <v>26</v>
      </c>
      <c r="I1287" t="s">
        <v>36</v>
      </c>
      <c r="J1287" t="s">
        <v>52</v>
      </c>
      <c r="K1287">
        <v>4</v>
      </c>
      <c r="L1287" s="2">
        <v>92.54</v>
      </c>
      <c r="M1287" s="3">
        <v>0.05</v>
      </c>
      <c r="N1287" t="s">
        <v>29</v>
      </c>
      <c r="O1287" s="2">
        <v>351.65</v>
      </c>
      <c r="P1287" s="2">
        <v>174.42</v>
      </c>
      <c r="Q1287" s="2">
        <v>177.23</v>
      </c>
      <c r="R1287">
        <v>1</v>
      </c>
      <c r="S1287">
        <v>0</v>
      </c>
      <c r="T1287">
        <v>3</v>
      </c>
      <c r="U1287">
        <v>4</v>
      </c>
    </row>
    <row r="1288" spans="1:21" ht="16.5" x14ac:dyDescent="0.3">
      <c r="A1288" t="s">
        <v>1371</v>
      </c>
      <c r="B1288" s="1">
        <v>45506</v>
      </c>
      <c r="C1288">
        <v>2024</v>
      </c>
      <c r="D1288" t="s">
        <v>1187</v>
      </c>
      <c r="E1288" t="s">
        <v>1356</v>
      </c>
      <c r="F1288" t="s">
        <v>31</v>
      </c>
      <c r="G1288" t="s">
        <v>25</v>
      </c>
      <c r="H1288" t="s">
        <v>32</v>
      </c>
      <c r="I1288" t="s">
        <v>36</v>
      </c>
      <c r="J1288" t="s">
        <v>56</v>
      </c>
      <c r="K1288">
        <v>1</v>
      </c>
      <c r="L1288" s="2">
        <v>74.3</v>
      </c>
      <c r="M1288" s="3">
        <v>0.1</v>
      </c>
      <c r="N1288" t="s">
        <v>29</v>
      </c>
      <c r="O1288" s="2">
        <v>66.87</v>
      </c>
      <c r="P1288" s="2">
        <v>33.97</v>
      </c>
      <c r="Q1288" s="2">
        <v>32.9</v>
      </c>
      <c r="R1288">
        <v>1</v>
      </c>
      <c r="S1288">
        <v>0</v>
      </c>
      <c r="T1288">
        <v>3</v>
      </c>
      <c r="U1288">
        <v>5</v>
      </c>
    </row>
    <row r="1289" spans="1:21" ht="16.5" x14ac:dyDescent="0.3">
      <c r="A1289" t="s">
        <v>1372</v>
      </c>
      <c r="B1289" s="1">
        <v>45507</v>
      </c>
      <c r="C1289">
        <v>2024</v>
      </c>
      <c r="D1289" t="s">
        <v>1187</v>
      </c>
      <c r="E1289" t="s">
        <v>1356</v>
      </c>
      <c r="F1289" t="s">
        <v>24</v>
      </c>
      <c r="G1289" t="s">
        <v>25</v>
      </c>
      <c r="H1289" t="s">
        <v>32</v>
      </c>
      <c r="I1289" t="s">
        <v>67</v>
      </c>
      <c r="J1289" t="s">
        <v>68</v>
      </c>
      <c r="K1289">
        <v>1</v>
      </c>
      <c r="L1289" s="2">
        <v>74.459999999999994</v>
      </c>
      <c r="M1289" s="3">
        <v>0.25</v>
      </c>
      <c r="N1289" t="s">
        <v>62</v>
      </c>
      <c r="O1289" s="2">
        <v>55.84</v>
      </c>
      <c r="P1289" s="2">
        <v>50.22</v>
      </c>
      <c r="Q1289" s="2">
        <v>5.62</v>
      </c>
      <c r="R1289">
        <v>1</v>
      </c>
      <c r="S1289">
        <v>0</v>
      </c>
      <c r="T1289">
        <v>3</v>
      </c>
      <c r="U1289">
        <v>4</v>
      </c>
    </row>
    <row r="1290" spans="1:21" ht="16.5" x14ac:dyDescent="0.3">
      <c r="A1290" t="s">
        <v>1373</v>
      </c>
      <c r="B1290" s="1">
        <v>45507</v>
      </c>
      <c r="C1290">
        <v>2024</v>
      </c>
      <c r="D1290" t="s">
        <v>1187</v>
      </c>
      <c r="E1290" t="s">
        <v>1356</v>
      </c>
      <c r="F1290" t="s">
        <v>24</v>
      </c>
      <c r="G1290" t="s">
        <v>49</v>
      </c>
      <c r="H1290" t="s">
        <v>32</v>
      </c>
      <c r="I1290" t="s">
        <v>42</v>
      </c>
      <c r="J1290" t="s">
        <v>98</v>
      </c>
      <c r="K1290">
        <v>2</v>
      </c>
      <c r="L1290" s="2">
        <v>117.63</v>
      </c>
      <c r="M1290" s="3">
        <v>0.1</v>
      </c>
      <c r="N1290" t="s">
        <v>29</v>
      </c>
      <c r="O1290" s="2">
        <v>211.73</v>
      </c>
      <c r="P1290" s="2">
        <v>152.97</v>
      </c>
      <c r="Q1290" s="2">
        <v>58.76</v>
      </c>
      <c r="R1290">
        <v>1</v>
      </c>
      <c r="S1290">
        <v>0</v>
      </c>
      <c r="T1290">
        <v>5</v>
      </c>
      <c r="U1290">
        <v>4</v>
      </c>
    </row>
    <row r="1291" spans="1:21" ht="16.5" x14ac:dyDescent="0.3">
      <c r="A1291" t="s">
        <v>1374</v>
      </c>
      <c r="B1291" s="1">
        <v>45507</v>
      </c>
      <c r="C1291">
        <v>2024</v>
      </c>
      <c r="D1291" t="s">
        <v>1187</v>
      </c>
      <c r="E1291" t="s">
        <v>1356</v>
      </c>
      <c r="F1291" t="s">
        <v>45</v>
      </c>
      <c r="G1291" t="s">
        <v>25</v>
      </c>
      <c r="H1291" t="s">
        <v>26</v>
      </c>
      <c r="I1291" t="s">
        <v>27</v>
      </c>
      <c r="J1291" t="s">
        <v>28</v>
      </c>
      <c r="K1291">
        <v>1</v>
      </c>
      <c r="L1291" s="2">
        <v>138.5</v>
      </c>
      <c r="M1291" s="3">
        <v>0.15</v>
      </c>
      <c r="N1291" t="s">
        <v>34</v>
      </c>
      <c r="O1291" s="2">
        <v>117.72</v>
      </c>
      <c r="P1291" s="2">
        <v>72.59</v>
      </c>
      <c r="Q1291" s="2">
        <v>45.13</v>
      </c>
      <c r="R1291">
        <v>1</v>
      </c>
      <c r="S1291">
        <v>0</v>
      </c>
      <c r="T1291">
        <v>3</v>
      </c>
      <c r="U1291">
        <v>4</v>
      </c>
    </row>
    <row r="1292" spans="1:21" ht="16.5" x14ac:dyDescent="0.3">
      <c r="A1292" t="s">
        <v>1375</v>
      </c>
      <c r="B1292" s="1">
        <v>45507</v>
      </c>
      <c r="C1292">
        <v>2024</v>
      </c>
      <c r="D1292" t="s">
        <v>1187</v>
      </c>
      <c r="E1292" t="s">
        <v>1356</v>
      </c>
      <c r="F1292" t="s">
        <v>45</v>
      </c>
      <c r="G1292" t="s">
        <v>49</v>
      </c>
      <c r="H1292" t="s">
        <v>26</v>
      </c>
      <c r="I1292" t="s">
        <v>84</v>
      </c>
      <c r="J1292" t="s">
        <v>96</v>
      </c>
      <c r="K1292">
        <v>1</v>
      </c>
      <c r="L1292" s="2">
        <v>10.76</v>
      </c>
      <c r="M1292" s="3">
        <v>0.15</v>
      </c>
      <c r="N1292" t="s">
        <v>34</v>
      </c>
      <c r="O1292" s="2">
        <v>9.15</v>
      </c>
      <c r="P1292" s="2">
        <v>7.67</v>
      </c>
      <c r="Q1292" s="2">
        <v>1.48</v>
      </c>
      <c r="R1292">
        <v>1</v>
      </c>
      <c r="S1292">
        <v>0</v>
      </c>
      <c r="T1292">
        <v>4</v>
      </c>
      <c r="U1292">
        <v>5</v>
      </c>
    </row>
    <row r="1293" spans="1:21" ht="16.5" x14ac:dyDescent="0.3">
      <c r="A1293" t="s">
        <v>1376</v>
      </c>
      <c r="B1293" s="1">
        <v>45507</v>
      </c>
      <c r="C1293">
        <v>2024</v>
      </c>
      <c r="D1293" t="s">
        <v>1187</v>
      </c>
      <c r="E1293" t="s">
        <v>1356</v>
      </c>
      <c r="F1293" t="s">
        <v>24</v>
      </c>
      <c r="G1293" t="s">
        <v>51</v>
      </c>
      <c r="H1293" t="s">
        <v>32</v>
      </c>
      <c r="I1293" t="s">
        <v>42</v>
      </c>
      <c r="J1293" t="s">
        <v>98</v>
      </c>
      <c r="K1293">
        <v>1</v>
      </c>
      <c r="L1293" s="2">
        <v>117.63</v>
      </c>
      <c r="M1293" s="3">
        <v>0.1</v>
      </c>
      <c r="N1293" t="s">
        <v>29</v>
      </c>
      <c r="O1293" s="2">
        <v>105.87</v>
      </c>
      <c r="P1293" s="2">
        <v>74.84</v>
      </c>
      <c r="Q1293" s="2">
        <v>31.03</v>
      </c>
      <c r="R1293">
        <v>1</v>
      </c>
      <c r="S1293">
        <v>0</v>
      </c>
      <c r="T1293">
        <v>3</v>
      </c>
      <c r="U1293">
        <v>5</v>
      </c>
    </row>
    <row r="1294" spans="1:21" ht="16.5" x14ac:dyDescent="0.3">
      <c r="A1294" t="s">
        <v>1377</v>
      </c>
      <c r="B1294" s="1">
        <v>45507</v>
      </c>
      <c r="C1294">
        <v>2024</v>
      </c>
      <c r="D1294" t="s">
        <v>1187</v>
      </c>
      <c r="E1294" t="s">
        <v>1356</v>
      </c>
      <c r="F1294" t="s">
        <v>24</v>
      </c>
      <c r="G1294" t="s">
        <v>46</v>
      </c>
      <c r="H1294" t="s">
        <v>32</v>
      </c>
      <c r="I1294" t="s">
        <v>42</v>
      </c>
      <c r="J1294" t="s">
        <v>76</v>
      </c>
      <c r="K1294">
        <v>1</v>
      </c>
      <c r="L1294" s="2">
        <v>90.75</v>
      </c>
      <c r="M1294" s="3">
        <v>0</v>
      </c>
      <c r="N1294" t="s">
        <v>38</v>
      </c>
      <c r="O1294" s="2">
        <v>90.75</v>
      </c>
      <c r="P1294" s="2">
        <v>61.15</v>
      </c>
      <c r="Q1294" s="2">
        <v>29.6</v>
      </c>
      <c r="R1294">
        <v>1</v>
      </c>
      <c r="S1294">
        <v>0</v>
      </c>
      <c r="T1294">
        <v>6</v>
      </c>
      <c r="U1294">
        <v>3</v>
      </c>
    </row>
    <row r="1295" spans="1:21" ht="16.5" x14ac:dyDescent="0.3">
      <c r="A1295" t="s">
        <v>1378</v>
      </c>
      <c r="B1295" s="1">
        <v>45507</v>
      </c>
      <c r="C1295">
        <v>2024</v>
      </c>
      <c r="D1295" t="s">
        <v>1187</v>
      </c>
      <c r="E1295" t="s">
        <v>1356</v>
      </c>
      <c r="F1295" t="s">
        <v>45</v>
      </c>
      <c r="G1295" t="s">
        <v>51</v>
      </c>
      <c r="H1295" t="s">
        <v>26</v>
      </c>
      <c r="I1295" t="s">
        <v>70</v>
      </c>
      <c r="J1295" t="s">
        <v>162</v>
      </c>
      <c r="K1295">
        <v>1</v>
      </c>
      <c r="L1295" s="2">
        <v>636.09</v>
      </c>
      <c r="M1295" s="3">
        <v>0</v>
      </c>
      <c r="N1295" t="s">
        <v>38</v>
      </c>
      <c r="O1295" s="2">
        <v>636.09</v>
      </c>
      <c r="P1295" s="2">
        <v>511.49</v>
      </c>
      <c r="Q1295" s="2">
        <v>124.6</v>
      </c>
      <c r="R1295">
        <v>1</v>
      </c>
      <c r="S1295">
        <v>1</v>
      </c>
      <c r="T1295">
        <v>3</v>
      </c>
      <c r="U1295">
        <v>3</v>
      </c>
    </row>
    <row r="1296" spans="1:21" ht="16.5" x14ac:dyDescent="0.3">
      <c r="A1296" t="s">
        <v>1379</v>
      </c>
      <c r="B1296" s="1">
        <v>45508</v>
      </c>
      <c r="C1296">
        <v>2024</v>
      </c>
      <c r="D1296" t="s">
        <v>1187</v>
      </c>
      <c r="E1296" t="s">
        <v>1356</v>
      </c>
      <c r="F1296" t="s">
        <v>24</v>
      </c>
      <c r="G1296" t="s">
        <v>65</v>
      </c>
      <c r="H1296" t="s">
        <v>32</v>
      </c>
      <c r="I1296" t="s">
        <v>36</v>
      </c>
      <c r="J1296" t="s">
        <v>115</v>
      </c>
      <c r="K1296">
        <v>1</v>
      </c>
      <c r="L1296" s="2">
        <v>33.479999999999997</v>
      </c>
      <c r="M1296" s="3">
        <v>0</v>
      </c>
      <c r="N1296" t="s">
        <v>38</v>
      </c>
      <c r="O1296" s="2">
        <v>33.479999999999997</v>
      </c>
      <c r="P1296" s="2">
        <v>16.28</v>
      </c>
      <c r="Q1296" s="2">
        <v>17.2</v>
      </c>
      <c r="R1296">
        <v>1</v>
      </c>
      <c r="S1296">
        <v>0</v>
      </c>
      <c r="T1296">
        <v>5</v>
      </c>
      <c r="U1296">
        <v>4</v>
      </c>
    </row>
    <row r="1297" spans="1:21" ht="16.5" x14ac:dyDescent="0.3">
      <c r="A1297" t="s">
        <v>1380</v>
      </c>
      <c r="B1297" s="1">
        <v>45508</v>
      </c>
      <c r="C1297">
        <v>2024</v>
      </c>
      <c r="D1297" t="s">
        <v>1187</v>
      </c>
      <c r="E1297" t="s">
        <v>1356</v>
      </c>
      <c r="F1297" t="s">
        <v>24</v>
      </c>
      <c r="G1297" t="s">
        <v>46</v>
      </c>
      <c r="H1297" t="s">
        <v>32</v>
      </c>
      <c r="I1297" t="s">
        <v>27</v>
      </c>
      <c r="J1297" t="s">
        <v>60</v>
      </c>
      <c r="K1297">
        <v>1</v>
      </c>
      <c r="L1297" s="2">
        <v>94.85</v>
      </c>
      <c r="M1297" s="3">
        <v>0.15</v>
      </c>
      <c r="N1297" t="s">
        <v>34</v>
      </c>
      <c r="O1297" s="2">
        <v>80.62</v>
      </c>
      <c r="P1297" s="2">
        <v>52.54</v>
      </c>
      <c r="Q1297" s="2">
        <v>28.08</v>
      </c>
      <c r="R1297">
        <v>1</v>
      </c>
      <c r="S1297">
        <v>1</v>
      </c>
      <c r="T1297">
        <v>5</v>
      </c>
      <c r="U1297">
        <v>3</v>
      </c>
    </row>
    <row r="1298" spans="1:21" ht="16.5" x14ac:dyDescent="0.3">
      <c r="A1298" t="s">
        <v>1381</v>
      </c>
      <c r="B1298" s="1">
        <v>45508</v>
      </c>
      <c r="C1298">
        <v>2024</v>
      </c>
      <c r="D1298" t="s">
        <v>1187</v>
      </c>
      <c r="E1298" t="s">
        <v>1356</v>
      </c>
      <c r="F1298" t="s">
        <v>31</v>
      </c>
      <c r="G1298" t="s">
        <v>49</v>
      </c>
      <c r="H1298" t="s">
        <v>26</v>
      </c>
      <c r="I1298" t="s">
        <v>36</v>
      </c>
      <c r="J1298" t="s">
        <v>37</v>
      </c>
      <c r="K1298">
        <v>1</v>
      </c>
      <c r="L1298" s="2">
        <v>33.18</v>
      </c>
      <c r="M1298" s="3">
        <v>0.05</v>
      </c>
      <c r="N1298" t="s">
        <v>29</v>
      </c>
      <c r="O1298" s="2">
        <v>31.52</v>
      </c>
      <c r="P1298" s="2">
        <v>15.36</v>
      </c>
      <c r="Q1298" s="2">
        <v>16.16</v>
      </c>
      <c r="R1298">
        <v>1</v>
      </c>
      <c r="S1298">
        <v>0</v>
      </c>
      <c r="T1298">
        <v>3</v>
      </c>
      <c r="U1298">
        <v>5</v>
      </c>
    </row>
    <row r="1299" spans="1:21" ht="16.5" x14ac:dyDescent="0.3">
      <c r="A1299" t="s">
        <v>1382</v>
      </c>
      <c r="B1299" s="1">
        <v>45508</v>
      </c>
      <c r="C1299">
        <v>2024</v>
      </c>
      <c r="D1299" t="s">
        <v>1187</v>
      </c>
      <c r="E1299" t="s">
        <v>1356</v>
      </c>
      <c r="F1299" t="s">
        <v>24</v>
      </c>
      <c r="G1299" t="s">
        <v>25</v>
      </c>
      <c r="H1299" t="s">
        <v>26</v>
      </c>
      <c r="I1299" t="s">
        <v>70</v>
      </c>
      <c r="J1299" t="s">
        <v>82</v>
      </c>
      <c r="K1299">
        <v>1</v>
      </c>
      <c r="L1299" s="2">
        <v>508.8</v>
      </c>
      <c r="M1299" s="3">
        <v>0.1</v>
      </c>
      <c r="N1299" t="s">
        <v>29</v>
      </c>
      <c r="O1299" s="2">
        <v>457.92</v>
      </c>
      <c r="P1299" s="2">
        <v>395.04</v>
      </c>
      <c r="Q1299" s="2">
        <v>62.88</v>
      </c>
      <c r="R1299">
        <v>1</v>
      </c>
      <c r="S1299">
        <v>0</v>
      </c>
      <c r="T1299">
        <v>4</v>
      </c>
      <c r="U1299">
        <v>5</v>
      </c>
    </row>
    <row r="1300" spans="1:21" ht="16.5" x14ac:dyDescent="0.3">
      <c r="A1300" t="s">
        <v>1383</v>
      </c>
      <c r="B1300" s="1">
        <v>45508</v>
      </c>
      <c r="C1300">
        <v>2024</v>
      </c>
      <c r="D1300" t="s">
        <v>1187</v>
      </c>
      <c r="E1300" t="s">
        <v>1356</v>
      </c>
      <c r="F1300" t="s">
        <v>24</v>
      </c>
      <c r="G1300" t="s">
        <v>51</v>
      </c>
      <c r="H1300" t="s">
        <v>32</v>
      </c>
      <c r="I1300" t="s">
        <v>67</v>
      </c>
      <c r="J1300" t="s">
        <v>78</v>
      </c>
      <c r="K1300">
        <v>2</v>
      </c>
      <c r="L1300" s="2">
        <v>85.42</v>
      </c>
      <c r="M1300" s="3">
        <v>0.15</v>
      </c>
      <c r="N1300" t="s">
        <v>34</v>
      </c>
      <c r="O1300" s="2">
        <v>145.21</v>
      </c>
      <c r="P1300" s="2">
        <v>117.95</v>
      </c>
      <c r="Q1300" s="2">
        <v>27.26</v>
      </c>
      <c r="R1300">
        <v>1</v>
      </c>
      <c r="S1300">
        <v>1</v>
      </c>
      <c r="T1300">
        <v>2</v>
      </c>
      <c r="U1300">
        <v>4</v>
      </c>
    </row>
    <row r="1301" spans="1:21" ht="16.5" x14ac:dyDescent="0.3">
      <c r="A1301" t="s">
        <v>1384</v>
      </c>
      <c r="B1301" s="1">
        <v>45508</v>
      </c>
      <c r="C1301">
        <v>2024</v>
      </c>
      <c r="D1301" t="s">
        <v>1187</v>
      </c>
      <c r="E1301" t="s">
        <v>1356</v>
      </c>
      <c r="F1301" t="s">
        <v>24</v>
      </c>
      <c r="G1301" t="s">
        <v>51</v>
      </c>
      <c r="H1301" t="s">
        <v>32</v>
      </c>
      <c r="I1301" t="s">
        <v>36</v>
      </c>
      <c r="J1301" t="s">
        <v>56</v>
      </c>
      <c r="K1301">
        <v>1</v>
      </c>
      <c r="L1301" s="2">
        <v>74.3</v>
      </c>
      <c r="M1301" s="3">
        <v>0.05</v>
      </c>
      <c r="N1301" t="s">
        <v>29</v>
      </c>
      <c r="O1301" s="2">
        <v>70.58</v>
      </c>
      <c r="P1301" s="2">
        <v>37.53</v>
      </c>
      <c r="Q1301" s="2">
        <v>33.049999999999997</v>
      </c>
      <c r="R1301">
        <v>1</v>
      </c>
      <c r="S1301">
        <v>0</v>
      </c>
      <c r="T1301">
        <v>3</v>
      </c>
      <c r="U1301">
        <v>3</v>
      </c>
    </row>
    <row r="1302" spans="1:21" ht="16.5" x14ac:dyDescent="0.3">
      <c r="A1302" t="s">
        <v>1385</v>
      </c>
      <c r="B1302" s="1">
        <v>45509</v>
      </c>
      <c r="C1302">
        <v>2024</v>
      </c>
      <c r="D1302" t="s">
        <v>1187</v>
      </c>
      <c r="E1302" t="s">
        <v>1356</v>
      </c>
      <c r="F1302" t="s">
        <v>31</v>
      </c>
      <c r="G1302" t="s">
        <v>51</v>
      </c>
      <c r="H1302" t="s">
        <v>32</v>
      </c>
      <c r="I1302" t="s">
        <v>70</v>
      </c>
      <c r="J1302" t="s">
        <v>162</v>
      </c>
      <c r="K1302">
        <v>1</v>
      </c>
      <c r="L1302" s="2">
        <v>636.09</v>
      </c>
      <c r="M1302" s="3">
        <v>0.15</v>
      </c>
      <c r="N1302" t="s">
        <v>34</v>
      </c>
      <c r="O1302" s="2">
        <v>540.67999999999995</v>
      </c>
      <c r="P1302" s="2">
        <v>509.05</v>
      </c>
      <c r="Q1302" s="2">
        <v>31.63</v>
      </c>
      <c r="R1302">
        <v>1</v>
      </c>
      <c r="S1302">
        <v>0</v>
      </c>
      <c r="T1302">
        <v>5</v>
      </c>
      <c r="U1302">
        <v>3</v>
      </c>
    </row>
    <row r="1303" spans="1:21" ht="16.5" x14ac:dyDescent="0.3">
      <c r="A1303" t="s">
        <v>1386</v>
      </c>
      <c r="B1303" s="1">
        <v>45509</v>
      </c>
      <c r="C1303">
        <v>2024</v>
      </c>
      <c r="D1303" t="s">
        <v>1187</v>
      </c>
      <c r="E1303" t="s">
        <v>1356</v>
      </c>
      <c r="F1303" t="s">
        <v>24</v>
      </c>
      <c r="G1303" t="s">
        <v>51</v>
      </c>
      <c r="H1303" t="s">
        <v>26</v>
      </c>
      <c r="I1303" t="s">
        <v>27</v>
      </c>
      <c r="J1303" t="s">
        <v>110</v>
      </c>
      <c r="K1303">
        <v>1</v>
      </c>
      <c r="L1303" s="2">
        <v>19.41</v>
      </c>
      <c r="M1303" s="3">
        <v>0.15</v>
      </c>
      <c r="N1303" t="s">
        <v>34</v>
      </c>
      <c r="O1303" s="2">
        <v>16.5</v>
      </c>
      <c r="P1303" s="2">
        <v>10.79</v>
      </c>
      <c r="Q1303" s="2">
        <v>5.71</v>
      </c>
      <c r="R1303">
        <v>1</v>
      </c>
      <c r="S1303">
        <v>0</v>
      </c>
      <c r="T1303">
        <v>3</v>
      </c>
      <c r="U1303">
        <v>5</v>
      </c>
    </row>
    <row r="1304" spans="1:21" ht="16.5" x14ac:dyDescent="0.3">
      <c r="A1304" t="s">
        <v>1387</v>
      </c>
      <c r="B1304" s="1">
        <v>45509</v>
      </c>
      <c r="C1304">
        <v>2024</v>
      </c>
      <c r="D1304" t="s">
        <v>1187</v>
      </c>
      <c r="E1304" t="s">
        <v>1356</v>
      </c>
      <c r="F1304" t="s">
        <v>24</v>
      </c>
      <c r="G1304" t="s">
        <v>65</v>
      </c>
      <c r="H1304" t="s">
        <v>26</v>
      </c>
      <c r="I1304" t="s">
        <v>36</v>
      </c>
      <c r="J1304" t="s">
        <v>56</v>
      </c>
      <c r="K1304">
        <v>2</v>
      </c>
      <c r="L1304" s="2">
        <v>74.3</v>
      </c>
      <c r="M1304" s="3">
        <v>0.15</v>
      </c>
      <c r="N1304" t="s">
        <v>34</v>
      </c>
      <c r="O1304" s="2">
        <v>126.31</v>
      </c>
      <c r="P1304" s="2">
        <v>70.87</v>
      </c>
      <c r="Q1304" s="2">
        <v>55.44</v>
      </c>
      <c r="R1304">
        <v>1</v>
      </c>
      <c r="S1304">
        <v>0</v>
      </c>
      <c r="T1304">
        <v>5</v>
      </c>
      <c r="U1304">
        <v>4</v>
      </c>
    </row>
    <row r="1305" spans="1:21" ht="16.5" x14ac:dyDescent="0.3">
      <c r="A1305" t="s">
        <v>1388</v>
      </c>
      <c r="B1305" s="1">
        <v>45509</v>
      </c>
      <c r="C1305">
        <v>2024</v>
      </c>
      <c r="D1305" t="s">
        <v>1187</v>
      </c>
      <c r="E1305" t="s">
        <v>1356</v>
      </c>
      <c r="F1305" t="s">
        <v>31</v>
      </c>
      <c r="G1305" t="s">
        <v>25</v>
      </c>
      <c r="H1305" t="s">
        <v>32</v>
      </c>
      <c r="I1305" t="s">
        <v>70</v>
      </c>
      <c r="J1305" t="s">
        <v>252</v>
      </c>
      <c r="K1305">
        <v>2</v>
      </c>
      <c r="L1305" s="2">
        <v>216.08</v>
      </c>
      <c r="M1305" s="3">
        <v>0</v>
      </c>
      <c r="N1305" t="s">
        <v>38</v>
      </c>
      <c r="O1305" s="2">
        <v>432.16</v>
      </c>
      <c r="P1305" s="2">
        <v>357.46</v>
      </c>
      <c r="Q1305" s="2">
        <v>74.7</v>
      </c>
      <c r="R1305">
        <v>1</v>
      </c>
      <c r="S1305">
        <v>0</v>
      </c>
      <c r="T1305">
        <v>3</v>
      </c>
      <c r="U1305">
        <v>5</v>
      </c>
    </row>
    <row r="1306" spans="1:21" ht="16.5" x14ac:dyDescent="0.3">
      <c r="A1306" t="s">
        <v>1389</v>
      </c>
      <c r="B1306" s="1">
        <v>45509</v>
      </c>
      <c r="C1306">
        <v>2024</v>
      </c>
      <c r="D1306" t="s">
        <v>1187</v>
      </c>
      <c r="E1306" t="s">
        <v>1356</v>
      </c>
      <c r="F1306" t="s">
        <v>24</v>
      </c>
      <c r="G1306" t="s">
        <v>25</v>
      </c>
      <c r="H1306" t="s">
        <v>32</v>
      </c>
      <c r="I1306" t="s">
        <v>70</v>
      </c>
      <c r="J1306" t="s">
        <v>252</v>
      </c>
      <c r="K1306">
        <v>1</v>
      </c>
      <c r="L1306" s="2">
        <v>216.08</v>
      </c>
      <c r="M1306" s="3">
        <v>0.1</v>
      </c>
      <c r="N1306" t="s">
        <v>29</v>
      </c>
      <c r="O1306" s="2">
        <v>194.47</v>
      </c>
      <c r="P1306" s="2">
        <v>172.62</v>
      </c>
      <c r="Q1306" s="2">
        <v>21.85</v>
      </c>
      <c r="R1306">
        <v>1</v>
      </c>
      <c r="S1306">
        <v>0</v>
      </c>
      <c r="T1306">
        <v>3</v>
      </c>
      <c r="U1306">
        <v>3</v>
      </c>
    </row>
    <row r="1307" spans="1:21" ht="16.5" x14ac:dyDescent="0.3">
      <c r="A1307" t="s">
        <v>1390</v>
      </c>
      <c r="B1307" s="1">
        <v>45509</v>
      </c>
      <c r="C1307">
        <v>2024</v>
      </c>
      <c r="D1307" t="s">
        <v>1187</v>
      </c>
      <c r="E1307" t="s">
        <v>1356</v>
      </c>
      <c r="F1307" t="s">
        <v>45</v>
      </c>
      <c r="G1307" t="s">
        <v>51</v>
      </c>
      <c r="H1307" t="s">
        <v>32</v>
      </c>
      <c r="I1307" t="s">
        <v>36</v>
      </c>
      <c r="J1307" t="s">
        <v>37</v>
      </c>
      <c r="K1307">
        <v>1</v>
      </c>
      <c r="L1307" s="2">
        <v>33.18</v>
      </c>
      <c r="M1307" s="3">
        <v>0.1</v>
      </c>
      <c r="N1307" t="s">
        <v>29</v>
      </c>
      <c r="O1307" s="2">
        <v>29.86</v>
      </c>
      <c r="P1307" s="2">
        <v>15.36</v>
      </c>
      <c r="Q1307" s="2">
        <v>14.5</v>
      </c>
      <c r="R1307">
        <v>1</v>
      </c>
      <c r="S1307">
        <v>0</v>
      </c>
      <c r="T1307">
        <v>4</v>
      </c>
      <c r="U1307">
        <v>4</v>
      </c>
    </row>
    <row r="1308" spans="1:21" ht="16.5" x14ac:dyDescent="0.3">
      <c r="A1308" t="s">
        <v>1391</v>
      </c>
      <c r="B1308" s="1">
        <v>45509</v>
      </c>
      <c r="C1308">
        <v>2024</v>
      </c>
      <c r="D1308" t="s">
        <v>1187</v>
      </c>
      <c r="E1308" t="s">
        <v>1356</v>
      </c>
      <c r="F1308" t="s">
        <v>45</v>
      </c>
      <c r="G1308" t="s">
        <v>51</v>
      </c>
      <c r="H1308" t="s">
        <v>26</v>
      </c>
      <c r="I1308" t="s">
        <v>70</v>
      </c>
      <c r="J1308" t="s">
        <v>71</v>
      </c>
      <c r="K1308">
        <v>2</v>
      </c>
      <c r="L1308" s="2">
        <v>588.41</v>
      </c>
      <c r="M1308" s="3">
        <v>0.05</v>
      </c>
      <c r="N1308" t="s">
        <v>29</v>
      </c>
      <c r="O1308" s="2">
        <v>1117.98</v>
      </c>
      <c r="P1308" s="2">
        <v>927.82</v>
      </c>
      <c r="Q1308" s="2">
        <v>190.16</v>
      </c>
      <c r="R1308">
        <v>1</v>
      </c>
      <c r="S1308">
        <v>0</v>
      </c>
      <c r="T1308">
        <v>4</v>
      </c>
      <c r="U1308">
        <v>5</v>
      </c>
    </row>
    <row r="1309" spans="1:21" ht="16.5" x14ac:dyDescent="0.3">
      <c r="A1309" t="s">
        <v>1392</v>
      </c>
      <c r="B1309" s="1">
        <v>45510</v>
      </c>
      <c r="C1309">
        <v>2024</v>
      </c>
      <c r="D1309" t="s">
        <v>1187</v>
      </c>
      <c r="E1309" t="s">
        <v>1356</v>
      </c>
      <c r="F1309" t="s">
        <v>24</v>
      </c>
      <c r="G1309" t="s">
        <v>51</v>
      </c>
      <c r="H1309" t="s">
        <v>26</v>
      </c>
      <c r="I1309" t="s">
        <v>70</v>
      </c>
      <c r="J1309" t="s">
        <v>129</v>
      </c>
      <c r="K1309">
        <v>1</v>
      </c>
      <c r="L1309" s="2">
        <v>177.65</v>
      </c>
      <c r="M1309" s="3">
        <v>0.1</v>
      </c>
      <c r="N1309" t="s">
        <v>29</v>
      </c>
      <c r="O1309" s="2">
        <v>159.88999999999999</v>
      </c>
      <c r="P1309" s="2">
        <v>137.93</v>
      </c>
      <c r="Q1309" s="2">
        <v>21.96</v>
      </c>
      <c r="R1309">
        <v>1</v>
      </c>
      <c r="S1309">
        <v>0</v>
      </c>
      <c r="T1309">
        <v>3</v>
      </c>
      <c r="U1309">
        <v>5</v>
      </c>
    </row>
    <row r="1310" spans="1:21" ht="16.5" x14ac:dyDescent="0.3">
      <c r="A1310" t="s">
        <v>1393</v>
      </c>
      <c r="B1310" s="1">
        <v>45510</v>
      </c>
      <c r="C1310">
        <v>2024</v>
      </c>
      <c r="D1310" t="s">
        <v>1187</v>
      </c>
      <c r="E1310" t="s">
        <v>1356</v>
      </c>
      <c r="F1310" t="s">
        <v>45</v>
      </c>
      <c r="G1310" t="s">
        <v>49</v>
      </c>
      <c r="H1310" t="s">
        <v>32</v>
      </c>
      <c r="I1310" t="s">
        <v>27</v>
      </c>
      <c r="J1310" t="s">
        <v>28</v>
      </c>
      <c r="K1310">
        <v>2</v>
      </c>
      <c r="L1310" s="2">
        <v>138.5</v>
      </c>
      <c r="M1310" s="3">
        <v>0.25</v>
      </c>
      <c r="N1310" t="s">
        <v>62</v>
      </c>
      <c r="O1310" s="2">
        <v>207.75</v>
      </c>
      <c r="P1310" s="2">
        <v>146.87</v>
      </c>
      <c r="Q1310" s="2">
        <v>60.88</v>
      </c>
      <c r="R1310">
        <v>1</v>
      </c>
      <c r="S1310">
        <v>1</v>
      </c>
      <c r="T1310">
        <v>6</v>
      </c>
      <c r="U1310">
        <v>1</v>
      </c>
    </row>
    <row r="1311" spans="1:21" ht="16.5" x14ac:dyDescent="0.3">
      <c r="A1311" t="s">
        <v>1394</v>
      </c>
      <c r="B1311" s="1">
        <v>45510</v>
      </c>
      <c r="C1311">
        <v>2024</v>
      </c>
      <c r="D1311" t="s">
        <v>1187</v>
      </c>
      <c r="E1311" t="s">
        <v>1356</v>
      </c>
      <c r="F1311" t="s">
        <v>31</v>
      </c>
      <c r="G1311" t="s">
        <v>51</v>
      </c>
      <c r="H1311" t="s">
        <v>26</v>
      </c>
      <c r="I1311" t="s">
        <v>27</v>
      </c>
      <c r="J1311" t="s">
        <v>33</v>
      </c>
      <c r="K1311">
        <v>1</v>
      </c>
      <c r="L1311" s="2">
        <v>78.510000000000005</v>
      </c>
      <c r="M1311" s="3">
        <v>0</v>
      </c>
      <c r="N1311" t="s">
        <v>38</v>
      </c>
      <c r="O1311" s="2">
        <v>78.510000000000005</v>
      </c>
      <c r="P1311" s="2">
        <v>44.26</v>
      </c>
      <c r="Q1311" s="2">
        <v>34.25</v>
      </c>
      <c r="R1311">
        <v>1</v>
      </c>
      <c r="S1311">
        <v>0</v>
      </c>
      <c r="T1311">
        <v>2</v>
      </c>
      <c r="U1311">
        <v>5</v>
      </c>
    </row>
    <row r="1312" spans="1:21" ht="16.5" x14ac:dyDescent="0.3">
      <c r="A1312" t="s">
        <v>1395</v>
      </c>
      <c r="B1312" s="1">
        <v>45510</v>
      </c>
      <c r="C1312">
        <v>2024</v>
      </c>
      <c r="D1312" t="s">
        <v>1187</v>
      </c>
      <c r="E1312" t="s">
        <v>1356</v>
      </c>
      <c r="F1312" t="s">
        <v>45</v>
      </c>
      <c r="G1312" t="s">
        <v>25</v>
      </c>
      <c r="H1312" t="s">
        <v>26</v>
      </c>
      <c r="I1312" t="s">
        <v>70</v>
      </c>
      <c r="J1312" t="s">
        <v>71</v>
      </c>
      <c r="K1312">
        <v>1</v>
      </c>
      <c r="L1312" s="2">
        <v>588.41</v>
      </c>
      <c r="M1312" s="3">
        <v>0</v>
      </c>
      <c r="N1312" t="s">
        <v>38</v>
      </c>
      <c r="O1312" s="2">
        <v>588.41</v>
      </c>
      <c r="P1312" s="2">
        <v>478.43</v>
      </c>
      <c r="Q1312" s="2">
        <v>109.98</v>
      </c>
      <c r="R1312">
        <v>1</v>
      </c>
      <c r="S1312">
        <v>0</v>
      </c>
      <c r="T1312">
        <v>4</v>
      </c>
      <c r="U1312">
        <v>5</v>
      </c>
    </row>
    <row r="1313" spans="1:21" ht="16.5" x14ac:dyDescent="0.3">
      <c r="A1313" t="s">
        <v>1396</v>
      </c>
      <c r="B1313" s="1">
        <v>45510</v>
      </c>
      <c r="C1313">
        <v>2024</v>
      </c>
      <c r="D1313" t="s">
        <v>1187</v>
      </c>
      <c r="E1313" t="s">
        <v>1356</v>
      </c>
      <c r="F1313" t="s">
        <v>31</v>
      </c>
      <c r="G1313" t="s">
        <v>51</v>
      </c>
      <c r="H1313" t="s">
        <v>32</v>
      </c>
      <c r="I1313" t="s">
        <v>70</v>
      </c>
      <c r="J1313" t="s">
        <v>129</v>
      </c>
      <c r="K1313">
        <v>2</v>
      </c>
      <c r="L1313" s="2">
        <v>177.65</v>
      </c>
      <c r="M1313" s="3">
        <v>0.1</v>
      </c>
      <c r="N1313" t="s">
        <v>29</v>
      </c>
      <c r="O1313" s="2">
        <v>319.77</v>
      </c>
      <c r="P1313" s="2">
        <v>297.06</v>
      </c>
      <c r="Q1313" s="2">
        <v>22.71</v>
      </c>
      <c r="R1313">
        <v>1</v>
      </c>
      <c r="S1313">
        <v>0</v>
      </c>
      <c r="T1313">
        <v>2</v>
      </c>
      <c r="U1313">
        <v>5</v>
      </c>
    </row>
    <row r="1314" spans="1:21" ht="16.5" x14ac:dyDescent="0.3">
      <c r="A1314" t="s">
        <v>1397</v>
      </c>
      <c r="B1314" s="1">
        <v>45510</v>
      </c>
      <c r="C1314">
        <v>2024</v>
      </c>
      <c r="D1314" t="s">
        <v>1187</v>
      </c>
      <c r="E1314" t="s">
        <v>1356</v>
      </c>
      <c r="F1314" t="s">
        <v>24</v>
      </c>
      <c r="G1314" t="s">
        <v>25</v>
      </c>
      <c r="H1314" t="s">
        <v>32</v>
      </c>
      <c r="I1314" t="s">
        <v>70</v>
      </c>
      <c r="J1314" t="s">
        <v>252</v>
      </c>
      <c r="K1314">
        <v>1</v>
      </c>
      <c r="L1314" s="2">
        <v>216.08</v>
      </c>
      <c r="M1314" s="3">
        <v>0.05</v>
      </c>
      <c r="N1314" t="s">
        <v>29</v>
      </c>
      <c r="O1314" s="2">
        <v>205.28</v>
      </c>
      <c r="P1314" s="2">
        <v>172.96</v>
      </c>
      <c r="Q1314" s="2">
        <v>32.32</v>
      </c>
      <c r="R1314">
        <v>1</v>
      </c>
      <c r="S1314">
        <v>0</v>
      </c>
      <c r="T1314">
        <v>6</v>
      </c>
      <c r="U1314">
        <v>3</v>
      </c>
    </row>
    <row r="1315" spans="1:21" ht="16.5" x14ac:dyDescent="0.3">
      <c r="A1315" t="s">
        <v>1398</v>
      </c>
      <c r="B1315" s="1">
        <v>45510</v>
      </c>
      <c r="C1315">
        <v>2024</v>
      </c>
      <c r="D1315" t="s">
        <v>1187</v>
      </c>
      <c r="E1315" t="s">
        <v>1356</v>
      </c>
      <c r="F1315" t="s">
        <v>45</v>
      </c>
      <c r="G1315" t="s">
        <v>51</v>
      </c>
      <c r="H1315" t="s">
        <v>32</v>
      </c>
      <c r="I1315" t="s">
        <v>27</v>
      </c>
      <c r="J1315" t="s">
        <v>110</v>
      </c>
      <c r="K1315">
        <v>1</v>
      </c>
      <c r="L1315" s="2">
        <v>19.41</v>
      </c>
      <c r="M1315" s="3">
        <v>0.2</v>
      </c>
      <c r="N1315" t="s">
        <v>34</v>
      </c>
      <c r="O1315" s="2">
        <v>15.53</v>
      </c>
      <c r="P1315" s="2">
        <v>10.01</v>
      </c>
      <c r="Q1315" s="2">
        <v>5.52</v>
      </c>
      <c r="R1315">
        <v>1</v>
      </c>
      <c r="S1315">
        <v>0</v>
      </c>
      <c r="T1315">
        <v>3</v>
      </c>
      <c r="U1315">
        <v>4</v>
      </c>
    </row>
    <row r="1316" spans="1:21" ht="16.5" x14ac:dyDescent="0.3">
      <c r="A1316" t="s">
        <v>1399</v>
      </c>
      <c r="B1316" s="1">
        <v>45511</v>
      </c>
      <c r="C1316">
        <v>2024</v>
      </c>
      <c r="D1316" t="s">
        <v>1187</v>
      </c>
      <c r="E1316" t="s">
        <v>1356</v>
      </c>
      <c r="F1316" t="s">
        <v>45</v>
      </c>
      <c r="G1316" t="s">
        <v>25</v>
      </c>
      <c r="H1316" t="s">
        <v>26</v>
      </c>
      <c r="I1316" t="s">
        <v>42</v>
      </c>
      <c r="J1316" t="s">
        <v>76</v>
      </c>
      <c r="K1316">
        <v>1</v>
      </c>
      <c r="L1316" s="2">
        <v>90.75</v>
      </c>
      <c r="M1316" s="3">
        <v>0.1</v>
      </c>
      <c r="N1316" t="s">
        <v>29</v>
      </c>
      <c r="O1316" s="2">
        <v>81.680000000000007</v>
      </c>
      <c r="P1316" s="2">
        <v>59.2</v>
      </c>
      <c r="Q1316" s="2">
        <v>22.48</v>
      </c>
      <c r="R1316">
        <v>1</v>
      </c>
      <c r="S1316">
        <v>0</v>
      </c>
      <c r="T1316">
        <v>3</v>
      </c>
      <c r="U1316">
        <v>4</v>
      </c>
    </row>
    <row r="1317" spans="1:21" ht="16.5" x14ac:dyDescent="0.3">
      <c r="A1317" t="s">
        <v>1400</v>
      </c>
      <c r="B1317" s="1">
        <v>45511</v>
      </c>
      <c r="C1317">
        <v>2024</v>
      </c>
      <c r="D1317" t="s">
        <v>1187</v>
      </c>
      <c r="E1317" t="s">
        <v>1356</v>
      </c>
      <c r="F1317" t="s">
        <v>45</v>
      </c>
      <c r="G1317" t="s">
        <v>49</v>
      </c>
      <c r="H1317" t="s">
        <v>32</v>
      </c>
      <c r="I1317" t="s">
        <v>67</v>
      </c>
      <c r="J1317" t="s">
        <v>103</v>
      </c>
      <c r="K1317">
        <v>1</v>
      </c>
      <c r="L1317" s="2">
        <v>83.06</v>
      </c>
      <c r="M1317" s="3">
        <v>0.05</v>
      </c>
      <c r="N1317" t="s">
        <v>29</v>
      </c>
      <c r="O1317" s="2">
        <v>78.91</v>
      </c>
      <c r="P1317" s="2">
        <v>55.5</v>
      </c>
      <c r="Q1317" s="2">
        <v>23.41</v>
      </c>
      <c r="R1317">
        <v>1</v>
      </c>
      <c r="S1317">
        <v>0</v>
      </c>
      <c r="T1317">
        <v>3</v>
      </c>
      <c r="U1317">
        <v>4</v>
      </c>
    </row>
    <row r="1318" spans="1:21" ht="16.5" x14ac:dyDescent="0.3">
      <c r="A1318" t="s">
        <v>1401</v>
      </c>
      <c r="B1318" s="1">
        <v>45512</v>
      </c>
      <c r="C1318">
        <v>2024</v>
      </c>
      <c r="D1318" t="s">
        <v>1187</v>
      </c>
      <c r="E1318" t="s">
        <v>1356</v>
      </c>
      <c r="F1318" t="s">
        <v>24</v>
      </c>
      <c r="G1318" t="s">
        <v>51</v>
      </c>
      <c r="H1318" t="s">
        <v>32</v>
      </c>
      <c r="I1318" t="s">
        <v>70</v>
      </c>
      <c r="J1318" t="s">
        <v>252</v>
      </c>
      <c r="K1318">
        <v>1</v>
      </c>
      <c r="L1318" s="2">
        <v>216.08</v>
      </c>
      <c r="M1318" s="3">
        <v>0</v>
      </c>
      <c r="N1318" t="s">
        <v>38</v>
      </c>
      <c r="O1318" s="2">
        <v>216.08</v>
      </c>
      <c r="P1318" s="2">
        <v>171.39</v>
      </c>
      <c r="Q1318" s="2">
        <v>44.69</v>
      </c>
      <c r="R1318">
        <v>1</v>
      </c>
      <c r="S1318">
        <v>0</v>
      </c>
      <c r="T1318">
        <v>3</v>
      </c>
      <c r="U1318">
        <v>4</v>
      </c>
    </row>
    <row r="1319" spans="1:21" ht="16.5" x14ac:dyDescent="0.3">
      <c r="A1319" t="s">
        <v>1402</v>
      </c>
      <c r="B1319" s="1">
        <v>45512</v>
      </c>
      <c r="C1319">
        <v>2024</v>
      </c>
      <c r="D1319" t="s">
        <v>1187</v>
      </c>
      <c r="E1319" t="s">
        <v>1356</v>
      </c>
      <c r="F1319" t="s">
        <v>45</v>
      </c>
      <c r="G1319" t="s">
        <v>51</v>
      </c>
      <c r="H1319" t="s">
        <v>26</v>
      </c>
      <c r="I1319" t="s">
        <v>27</v>
      </c>
      <c r="J1319" t="s">
        <v>60</v>
      </c>
      <c r="K1319">
        <v>2</v>
      </c>
      <c r="L1319" s="2">
        <v>94.85</v>
      </c>
      <c r="M1319" s="3">
        <v>0</v>
      </c>
      <c r="N1319" t="s">
        <v>38</v>
      </c>
      <c r="O1319" s="2">
        <v>189.7</v>
      </c>
      <c r="P1319" s="2">
        <v>98.85</v>
      </c>
      <c r="Q1319" s="2">
        <v>90.85</v>
      </c>
      <c r="R1319">
        <v>1</v>
      </c>
      <c r="S1319">
        <v>0</v>
      </c>
      <c r="T1319">
        <v>5</v>
      </c>
      <c r="U1319">
        <v>3</v>
      </c>
    </row>
    <row r="1320" spans="1:21" ht="16.5" x14ac:dyDescent="0.3">
      <c r="A1320" t="s">
        <v>1403</v>
      </c>
      <c r="B1320" s="1">
        <v>45512</v>
      </c>
      <c r="C1320">
        <v>2024</v>
      </c>
      <c r="D1320" t="s">
        <v>1187</v>
      </c>
      <c r="E1320" t="s">
        <v>1356</v>
      </c>
      <c r="F1320" t="s">
        <v>24</v>
      </c>
      <c r="G1320" t="s">
        <v>51</v>
      </c>
      <c r="H1320" t="s">
        <v>32</v>
      </c>
      <c r="I1320" t="s">
        <v>70</v>
      </c>
      <c r="J1320" t="s">
        <v>162</v>
      </c>
      <c r="K1320">
        <v>1</v>
      </c>
      <c r="L1320" s="2">
        <v>636.09</v>
      </c>
      <c r="M1320" s="3">
        <v>0</v>
      </c>
      <c r="N1320" t="s">
        <v>38</v>
      </c>
      <c r="O1320" s="2">
        <v>636.09</v>
      </c>
      <c r="P1320" s="2">
        <v>500.09</v>
      </c>
      <c r="Q1320" s="2">
        <v>136</v>
      </c>
      <c r="R1320">
        <v>1</v>
      </c>
      <c r="S1320">
        <v>0</v>
      </c>
      <c r="T1320">
        <v>2</v>
      </c>
      <c r="U1320">
        <v>4</v>
      </c>
    </row>
    <row r="1321" spans="1:21" ht="16.5" x14ac:dyDescent="0.3">
      <c r="A1321" t="s">
        <v>1404</v>
      </c>
      <c r="B1321" s="1">
        <v>45512</v>
      </c>
      <c r="C1321">
        <v>2024</v>
      </c>
      <c r="D1321" t="s">
        <v>1187</v>
      </c>
      <c r="E1321" t="s">
        <v>1356</v>
      </c>
      <c r="F1321" t="s">
        <v>45</v>
      </c>
      <c r="G1321" t="s">
        <v>46</v>
      </c>
      <c r="H1321" t="s">
        <v>26</v>
      </c>
      <c r="I1321" t="s">
        <v>70</v>
      </c>
      <c r="J1321" t="s">
        <v>252</v>
      </c>
      <c r="K1321">
        <v>1</v>
      </c>
      <c r="L1321" s="2">
        <v>216.08</v>
      </c>
      <c r="M1321" s="3">
        <v>0.05</v>
      </c>
      <c r="N1321" t="s">
        <v>29</v>
      </c>
      <c r="O1321" s="2">
        <v>205.28</v>
      </c>
      <c r="P1321" s="2">
        <v>172.19</v>
      </c>
      <c r="Q1321" s="2">
        <v>33.090000000000003</v>
      </c>
      <c r="R1321">
        <v>1</v>
      </c>
      <c r="S1321">
        <v>0</v>
      </c>
      <c r="T1321">
        <v>7</v>
      </c>
      <c r="U1321">
        <v>4</v>
      </c>
    </row>
    <row r="1322" spans="1:21" ht="16.5" x14ac:dyDescent="0.3">
      <c r="A1322" t="s">
        <v>1405</v>
      </c>
      <c r="B1322" s="1">
        <v>45512</v>
      </c>
      <c r="C1322">
        <v>2024</v>
      </c>
      <c r="D1322" t="s">
        <v>1187</v>
      </c>
      <c r="E1322" t="s">
        <v>1356</v>
      </c>
      <c r="F1322" t="s">
        <v>24</v>
      </c>
      <c r="G1322" t="s">
        <v>46</v>
      </c>
      <c r="H1322" t="s">
        <v>32</v>
      </c>
      <c r="I1322" t="s">
        <v>27</v>
      </c>
      <c r="J1322" t="s">
        <v>28</v>
      </c>
      <c r="K1322">
        <v>2</v>
      </c>
      <c r="L1322" s="2">
        <v>138.5</v>
      </c>
      <c r="M1322" s="3">
        <v>0.15</v>
      </c>
      <c r="N1322" t="s">
        <v>34</v>
      </c>
      <c r="O1322" s="2">
        <v>235.45</v>
      </c>
      <c r="P1322" s="2">
        <v>142.47</v>
      </c>
      <c r="Q1322" s="2">
        <v>92.98</v>
      </c>
      <c r="R1322">
        <v>1</v>
      </c>
      <c r="S1322">
        <v>0</v>
      </c>
      <c r="T1322">
        <v>7</v>
      </c>
      <c r="U1322">
        <v>3</v>
      </c>
    </row>
    <row r="1323" spans="1:21" ht="16.5" x14ac:dyDescent="0.3">
      <c r="A1323" t="s">
        <v>1406</v>
      </c>
      <c r="B1323" s="1">
        <v>45513</v>
      </c>
      <c r="C1323">
        <v>2024</v>
      </c>
      <c r="D1323" t="s">
        <v>1187</v>
      </c>
      <c r="E1323" t="s">
        <v>1356</v>
      </c>
      <c r="F1323" t="s">
        <v>31</v>
      </c>
      <c r="G1323" t="s">
        <v>51</v>
      </c>
      <c r="H1323" t="s">
        <v>26</v>
      </c>
      <c r="I1323" t="s">
        <v>27</v>
      </c>
      <c r="J1323" t="s">
        <v>40</v>
      </c>
      <c r="K1323">
        <v>1</v>
      </c>
      <c r="L1323" s="2">
        <v>104.94</v>
      </c>
      <c r="M1323" s="3">
        <v>0.15</v>
      </c>
      <c r="N1323" t="s">
        <v>34</v>
      </c>
      <c r="O1323" s="2">
        <v>89.2</v>
      </c>
      <c r="P1323" s="2">
        <v>58.85</v>
      </c>
      <c r="Q1323" s="2">
        <v>30.35</v>
      </c>
      <c r="R1323">
        <v>1</v>
      </c>
      <c r="S1323">
        <v>0</v>
      </c>
      <c r="T1323">
        <v>3</v>
      </c>
      <c r="U1323">
        <v>4</v>
      </c>
    </row>
    <row r="1324" spans="1:21" ht="16.5" x14ac:dyDescent="0.3">
      <c r="A1324" t="s">
        <v>1407</v>
      </c>
      <c r="B1324" s="1">
        <v>45513</v>
      </c>
      <c r="C1324">
        <v>2024</v>
      </c>
      <c r="D1324" t="s">
        <v>1187</v>
      </c>
      <c r="E1324" t="s">
        <v>1356</v>
      </c>
      <c r="F1324" t="s">
        <v>24</v>
      </c>
      <c r="G1324" t="s">
        <v>46</v>
      </c>
      <c r="H1324" t="s">
        <v>32</v>
      </c>
      <c r="I1324" t="s">
        <v>67</v>
      </c>
      <c r="J1324" t="s">
        <v>78</v>
      </c>
      <c r="K1324">
        <v>2</v>
      </c>
      <c r="L1324" s="2">
        <v>85.42</v>
      </c>
      <c r="M1324" s="3">
        <v>0.2</v>
      </c>
      <c r="N1324" t="s">
        <v>34</v>
      </c>
      <c r="O1324" s="2">
        <v>136.66999999999999</v>
      </c>
      <c r="P1324" s="2">
        <v>111.07</v>
      </c>
      <c r="Q1324" s="2">
        <v>25.6</v>
      </c>
      <c r="R1324">
        <v>1</v>
      </c>
      <c r="S1324">
        <v>0</v>
      </c>
      <c r="T1324">
        <v>6</v>
      </c>
      <c r="U1324">
        <v>4</v>
      </c>
    </row>
    <row r="1325" spans="1:21" ht="16.5" x14ac:dyDescent="0.3">
      <c r="A1325" t="s">
        <v>1408</v>
      </c>
      <c r="B1325" s="1">
        <v>45513</v>
      </c>
      <c r="C1325">
        <v>2024</v>
      </c>
      <c r="D1325" t="s">
        <v>1187</v>
      </c>
      <c r="E1325" t="s">
        <v>1356</v>
      </c>
      <c r="F1325" t="s">
        <v>45</v>
      </c>
      <c r="G1325" t="s">
        <v>65</v>
      </c>
      <c r="H1325" t="s">
        <v>26</v>
      </c>
      <c r="I1325" t="s">
        <v>27</v>
      </c>
      <c r="J1325" t="s">
        <v>60</v>
      </c>
      <c r="K1325">
        <v>2</v>
      </c>
      <c r="L1325" s="2">
        <v>94.85</v>
      </c>
      <c r="M1325" s="3">
        <v>0.15</v>
      </c>
      <c r="N1325" t="s">
        <v>34</v>
      </c>
      <c r="O1325" s="2">
        <v>161.24</v>
      </c>
      <c r="P1325" s="2">
        <v>106.15</v>
      </c>
      <c r="Q1325" s="2">
        <v>55.09</v>
      </c>
      <c r="R1325">
        <v>1</v>
      </c>
      <c r="S1325">
        <v>1</v>
      </c>
      <c r="T1325">
        <v>6</v>
      </c>
      <c r="U1325">
        <v>2</v>
      </c>
    </row>
    <row r="1326" spans="1:21" ht="16.5" x14ac:dyDescent="0.3">
      <c r="A1326" t="s">
        <v>1409</v>
      </c>
      <c r="B1326" s="1">
        <v>45513</v>
      </c>
      <c r="C1326">
        <v>2024</v>
      </c>
      <c r="D1326" t="s">
        <v>1187</v>
      </c>
      <c r="E1326" t="s">
        <v>1356</v>
      </c>
      <c r="F1326" t="s">
        <v>24</v>
      </c>
      <c r="G1326" t="s">
        <v>51</v>
      </c>
      <c r="H1326" t="s">
        <v>26</v>
      </c>
      <c r="I1326" t="s">
        <v>70</v>
      </c>
      <c r="J1326" t="s">
        <v>82</v>
      </c>
      <c r="K1326">
        <v>1</v>
      </c>
      <c r="L1326" s="2">
        <v>508.8</v>
      </c>
      <c r="M1326" s="3">
        <v>0.3</v>
      </c>
      <c r="N1326" t="s">
        <v>62</v>
      </c>
      <c r="O1326" s="2">
        <v>356.16</v>
      </c>
      <c r="P1326" s="2">
        <v>413.09</v>
      </c>
      <c r="Q1326" s="2">
        <v>-56.93</v>
      </c>
      <c r="R1326">
        <v>1</v>
      </c>
      <c r="S1326">
        <v>0</v>
      </c>
      <c r="T1326">
        <v>3</v>
      </c>
      <c r="U1326">
        <v>4</v>
      </c>
    </row>
    <row r="1327" spans="1:21" ht="16.5" x14ac:dyDescent="0.3">
      <c r="A1327" t="s">
        <v>1410</v>
      </c>
      <c r="B1327" s="1">
        <v>45514</v>
      </c>
      <c r="C1327">
        <v>2024</v>
      </c>
      <c r="D1327" t="s">
        <v>1187</v>
      </c>
      <c r="E1327" t="s">
        <v>1356</v>
      </c>
      <c r="F1327" t="s">
        <v>31</v>
      </c>
      <c r="G1327" t="s">
        <v>65</v>
      </c>
      <c r="H1327" t="s">
        <v>26</v>
      </c>
      <c r="I1327" t="s">
        <v>84</v>
      </c>
      <c r="J1327" t="s">
        <v>106</v>
      </c>
      <c r="K1327">
        <v>2</v>
      </c>
      <c r="L1327" s="2">
        <v>45.28</v>
      </c>
      <c r="M1327" s="3">
        <v>0</v>
      </c>
      <c r="N1327" t="s">
        <v>38</v>
      </c>
      <c r="O1327" s="2">
        <v>90.56</v>
      </c>
      <c r="P1327" s="2">
        <v>64.69</v>
      </c>
      <c r="Q1327" s="2">
        <v>25.87</v>
      </c>
      <c r="R1327">
        <v>1</v>
      </c>
      <c r="S1327">
        <v>0</v>
      </c>
      <c r="T1327">
        <v>5</v>
      </c>
      <c r="U1327">
        <v>4</v>
      </c>
    </row>
    <row r="1328" spans="1:21" ht="16.5" x14ac:dyDescent="0.3">
      <c r="A1328" t="s">
        <v>1411</v>
      </c>
      <c r="B1328" s="1">
        <v>45514</v>
      </c>
      <c r="C1328">
        <v>2024</v>
      </c>
      <c r="D1328" t="s">
        <v>1187</v>
      </c>
      <c r="E1328" t="s">
        <v>1356</v>
      </c>
      <c r="F1328" t="s">
        <v>45</v>
      </c>
      <c r="G1328" t="s">
        <v>51</v>
      </c>
      <c r="H1328" t="s">
        <v>32</v>
      </c>
      <c r="I1328" t="s">
        <v>42</v>
      </c>
      <c r="J1328" t="s">
        <v>43</v>
      </c>
      <c r="K1328">
        <v>1</v>
      </c>
      <c r="L1328" s="2">
        <v>154.66</v>
      </c>
      <c r="M1328" s="3">
        <v>0.1</v>
      </c>
      <c r="N1328" t="s">
        <v>29</v>
      </c>
      <c r="O1328" s="2">
        <v>139.19</v>
      </c>
      <c r="P1328" s="2">
        <v>96.74</v>
      </c>
      <c r="Q1328" s="2">
        <v>42.45</v>
      </c>
      <c r="R1328">
        <v>1</v>
      </c>
      <c r="S1328">
        <v>0</v>
      </c>
      <c r="T1328">
        <v>6</v>
      </c>
      <c r="U1328">
        <v>4</v>
      </c>
    </row>
    <row r="1329" spans="1:21" ht="16.5" x14ac:dyDescent="0.3">
      <c r="A1329" t="s">
        <v>1412</v>
      </c>
      <c r="B1329" s="1">
        <v>45514</v>
      </c>
      <c r="C1329">
        <v>2024</v>
      </c>
      <c r="D1329" t="s">
        <v>1187</v>
      </c>
      <c r="E1329" t="s">
        <v>1356</v>
      </c>
      <c r="F1329" t="s">
        <v>31</v>
      </c>
      <c r="G1329" t="s">
        <v>49</v>
      </c>
      <c r="H1329" t="s">
        <v>26</v>
      </c>
      <c r="I1329" t="s">
        <v>42</v>
      </c>
      <c r="J1329" t="s">
        <v>54</v>
      </c>
      <c r="K1329">
        <v>1</v>
      </c>
      <c r="L1329" s="2">
        <v>148.05000000000001</v>
      </c>
      <c r="M1329" s="3">
        <v>0.1</v>
      </c>
      <c r="N1329" t="s">
        <v>29</v>
      </c>
      <c r="O1329" s="2">
        <v>133.24</v>
      </c>
      <c r="P1329" s="2">
        <v>97.82</v>
      </c>
      <c r="Q1329" s="2">
        <v>35.42</v>
      </c>
      <c r="R1329">
        <v>1</v>
      </c>
      <c r="S1329">
        <v>0</v>
      </c>
      <c r="T1329">
        <v>3</v>
      </c>
      <c r="U1329">
        <v>5</v>
      </c>
    </row>
    <row r="1330" spans="1:21" ht="16.5" x14ac:dyDescent="0.3">
      <c r="A1330" t="s">
        <v>1413</v>
      </c>
      <c r="B1330" s="1">
        <v>45514</v>
      </c>
      <c r="C1330">
        <v>2024</v>
      </c>
      <c r="D1330" t="s">
        <v>1187</v>
      </c>
      <c r="E1330" t="s">
        <v>1356</v>
      </c>
      <c r="F1330" t="s">
        <v>31</v>
      </c>
      <c r="G1330" t="s">
        <v>51</v>
      </c>
      <c r="H1330" t="s">
        <v>26</v>
      </c>
      <c r="I1330" t="s">
        <v>27</v>
      </c>
      <c r="J1330" t="s">
        <v>110</v>
      </c>
      <c r="K1330">
        <v>2</v>
      </c>
      <c r="L1330" s="2">
        <v>19.41</v>
      </c>
      <c r="M1330" s="3">
        <v>0.2</v>
      </c>
      <c r="N1330" t="s">
        <v>34</v>
      </c>
      <c r="O1330" s="2">
        <v>31.06</v>
      </c>
      <c r="P1330" s="2">
        <v>20.88</v>
      </c>
      <c r="Q1330" s="2">
        <v>10.18</v>
      </c>
      <c r="R1330">
        <v>1</v>
      </c>
      <c r="S1330">
        <v>0</v>
      </c>
      <c r="T1330">
        <v>4</v>
      </c>
      <c r="U1330">
        <v>4</v>
      </c>
    </row>
    <row r="1331" spans="1:21" ht="16.5" x14ac:dyDescent="0.3">
      <c r="A1331" t="s">
        <v>1414</v>
      </c>
      <c r="B1331" s="1">
        <v>45514</v>
      </c>
      <c r="C1331">
        <v>2024</v>
      </c>
      <c r="D1331" t="s">
        <v>1187</v>
      </c>
      <c r="E1331" t="s">
        <v>1356</v>
      </c>
      <c r="F1331" t="s">
        <v>24</v>
      </c>
      <c r="G1331" t="s">
        <v>49</v>
      </c>
      <c r="H1331" t="s">
        <v>26</v>
      </c>
      <c r="I1331" t="s">
        <v>27</v>
      </c>
      <c r="J1331" t="s">
        <v>28</v>
      </c>
      <c r="K1331">
        <v>1</v>
      </c>
      <c r="L1331" s="2">
        <v>138.5</v>
      </c>
      <c r="M1331" s="3">
        <v>0</v>
      </c>
      <c r="N1331" t="s">
        <v>38</v>
      </c>
      <c r="O1331" s="2">
        <v>138.5</v>
      </c>
      <c r="P1331" s="2">
        <v>78.489999999999995</v>
      </c>
      <c r="Q1331" s="2">
        <v>60.01</v>
      </c>
      <c r="R1331">
        <v>1</v>
      </c>
      <c r="S1331">
        <v>0</v>
      </c>
      <c r="T1331">
        <v>5</v>
      </c>
      <c r="U1331">
        <v>4</v>
      </c>
    </row>
    <row r="1332" spans="1:21" ht="16.5" x14ac:dyDescent="0.3">
      <c r="A1332" t="s">
        <v>1415</v>
      </c>
      <c r="B1332" s="1">
        <v>45515</v>
      </c>
      <c r="C1332">
        <v>2024</v>
      </c>
      <c r="D1332" t="s">
        <v>1187</v>
      </c>
      <c r="E1332" t="s">
        <v>1356</v>
      </c>
      <c r="F1332" t="s">
        <v>31</v>
      </c>
      <c r="G1332" t="s">
        <v>49</v>
      </c>
      <c r="H1332" t="s">
        <v>26</v>
      </c>
      <c r="I1332" t="s">
        <v>70</v>
      </c>
      <c r="J1332" t="s">
        <v>71</v>
      </c>
      <c r="K1332">
        <v>2</v>
      </c>
      <c r="L1332" s="2">
        <v>588.41</v>
      </c>
      <c r="M1332" s="3">
        <v>0.25</v>
      </c>
      <c r="N1332" t="s">
        <v>62</v>
      </c>
      <c r="O1332" s="2">
        <v>882.62</v>
      </c>
      <c r="P1332" s="2">
        <v>939.79</v>
      </c>
      <c r="Q1332" s="2">
        <v>-57.17</v>
      </c>
      <c r="R1332">
        <v>1</v>
      </c>
      <c r="S1332">
        <v>0</v>
      </c>
      <c r="T1332">
        <v>5</v>
      </c>
      <c r="U1332">
        <v>5</v>
      </c>
    </row>
    <row r="1333" spans="1:21" ht="16.5" x14ac:dyDescent="0.3">
      <c r="A1333" t="s">
        <v>1416</v>
      </c>
      <c r="B1333" s="1">
        <v>45515</v>
      </c>
      <c r="C1333">
        <v>2024</v>
      </c>
      <c r="D1333" t="s">
        <v>1187</v>
      </c>
      <c r="E1333" t="s">
        <v>1356</v>
      </c>
      <c r="F1333" t="s">
        <v>24</v>
      </c>
      <c r="G1333" t="s">
        <v>51</v>
      </c>
      <c r="H1333" t="s">
        <v>26</v>
      </c>
      <c r="I1333" t="s">
        <v>67</v>
      </c>
      <c r="J1333" t="s">
        <v>93</v>
      </c>
      <c r="K1333">
        <v>1</v>
      </c>
      <c r="L1333" s="2">
        <v>198.42</v>
      </c>
      <c r="M1333" s="3">
        <v>0</v>
      </c>
      <c r="N1333" t="s">
        <v>38</v>
      </c>
      <c r="O1333" s="2">
        <v>198.42</v>
      </c>
      <c r="P1333" s="2">
        <v>136.25</v>
      </c>
      <c r="Q1333" s="2">
        <v>62.17</v>
      </c>
      <c r="R1333">
        <v>1</v>
      </c>
      <c r="S1333">
        <v>0</v>
      </c>
      <c r="T1333">
        <v>3</v>
      </c>
      <c r="U1333">
        <v>5</v>
      </c>
    </row>
    <row r="1334" spans="1:21" ht="16.5" x14ac:dyDescent="0.3">
      <c r="A1334" t="s">
        <v>1417</v>
      </c>
      <c r="B1334" s="1">
        <v>45515</v>
      </c>
      <c r="C1334">
        <v>2024</v>
      </c>
      <c r="D1334" t="s">
        <v>1187</v>
      </c>
      <c r="E1334" t="s">
        <v>1356</v>
      </c>
      <c r="F1334" t="s">
        <v>24</v>
      </c>
      <c r="G1334" t="s">
        <v>49</v>
      </c>
      <c r="H1334" t="s">
        <v>26</v>
      </c>
      <c r="I1334" t="s">
        <v>70</v>
      </c>
      <c r="J1334" t="s">
        <v>82</v>
      </c>
      <c r="K1334">
        <v>1</v>
      </c>
      <c r="L1334" s="2">
        <v>508.8</v>
      </c>
      <c r="M1334" s="3">
        <v>0.1</v>
      </c>
      <c r="N1334" t="s">
        <v>29</v>
      </c>
      <c r="O1334" s="2">
        <v>457.92</v>
      </c>
      <c r="P1334" s="2">
        <v>412.68</v>
      </c>
      <c r="Q1334" s="2">
        <v>45.24</v>
      </c>
      <c r="R1334">
        <v>1</v>
      </c>
      <c r="S1334">
        <v>0</v>
      </c>
      <c r="T1334">
        <v>3</v>
      </c>
      <c r="U1334">
        <v>4</v>
      </c>
    </row>
    <row r="1335" spans="1:21" ht="16.5" x14ac:dyDescent="0.3">
      <c r="A1335" t="s">
        <v>1418</v>
      </c>
      <c r="B1335" s="1">
        <v>45515</v>
      </c>
      <c r="C1335">
        <v>2024</v>
      </c>
      <c r="D1335" t="s">
        <v>1187</v>
      </c>
      <c r="E1335" t="s">
        <v>1356</v>
      </c>
      <c r="F1335" t="s">
        <v>24</v>
      </c>
      <c r="G1335" t="s">
        <v>46</v>
      </c>
      <c r="H1335" t="s">
        <v>26</v>
      </c>
      <c r="I1335" t="s">
        <v>42</v>
      </c>
      <c r="J1335" t="s">
        <v>98</v>
      </c>
      <c r="K1335">
        <v>1</v>
      </c>
      <c r="L1335" s="2">
        <v>117.63</v>
      </c>
      <c r="M1335" s="3">
        <v>0.05</v>
      </c>
      <c r="N1335" t="s">
        <v>29</v>
      </c>
      <c r="O1335" s="2">
        <v>111.75</v>
      </c>
      <c r="P1335" s="2">
        <v>77.8</v>
      </c>
      <c r="Q1335" s="2">
        <v>33.950000000000003</v>
      </c>
      <c r="R1335">
        <v>1</v>
      </c>
      <c r="S1335">
        <v>0</v>
      </c>
      <c r="T1335">
        <v>7</v>
      </c>
      <c r="U1335">
        <v>3</v>
      </c>
    </row>
    <row r="1336" spans="1:21" ht="16.5" x14ac:dyDescent="0.3">
      <c r="A1336" t="s">
        <v>1419</v>
      </c>
      <c r="B1336" s="1">
        <v>45515</v>
      </c>
      <c r="C1336">
        <v>2024</v>
      </c>
      <c r="D1336" t="s">
        <v>1187</v>
      </c>
      <c r="E1336" t="s">
        <v>1356</v>
      </c>
      <c r="F1336" t="s">
        <v>31</v>
      </c>
      <c r="G1336" t="s">
        <v>51</v>
      </c>
      <c r="H1336" t="s">
        <v>26</v>
      </c>
      <c r="I1336" t="s">
        <v>67</v>
      </c>
      <c r="J1336" t="s">
        <v>174</v>
      </c>
      <c r="K1336">
        <v>1</v>
      </c>
      <c r="L1336" s="2">
        <v>137.05000000000001</v>
      </c>
      <c r="M1336" s="3">
        <v>0</v>
      </c>
      <c r="N1336" t="s">
        <v>38</v>
      </c>
      <c r="O1336" s="2">
        <v>137.05000000000001</v>
      </c>
      <c r="P1336" s="2">
        <v>94.96</v>
      </c>
      <c r="Q1336" s="2">
        <v>42.09</v>
      </c>
      <c r="R1336">
        <v>1</v>
      </c>
      <c r="S1336">
        <v>0</v>
      </c>
      <c r="T1336">
        <v>3</v>
      </c>
      <c r="U1336">
        <v>5</v>
      </c>
    </row>
    <row r="1337" spans="1:21" ht="16.5" x14ac:dyDescent="0.3">
      <c r="A1337" t="s">
        <v>1420</v>
      </c>
      <c r="B1337" s="1">
        <v>45515</v>
      </c>
      <c r="C1337">
        <v>2024</v>
      </c>
      <c r="D1337" t="s">
        <v>1187</v>
      </c>
      <c r="E1337" t="s">
        <v>1356</v>
      </c>
      <c r="F1337" t="s">
        <v>31</v>
      </c>
      <c r="G1337" t="s">
        <v>49</v>
      </c>
      <c r="H1337" t="s">
        <v>26</v>
      </c>
      <c r="I1337" t="s">
        <v>67</v>
      </c>
      <c r="J1337" t="s">
        <v>103</v>
      </c>
      <c r="K1337">
        <v>2</v>
      </c>
      <c r="L1337" s="2">
        <v>83.06</v>
      </c>
      <c r="M1337" s="3">
        <v>0.15</v>
      </c>
      <c r="N1337" t="s">
        <v>34</v>
      </c>
      <c r="O1337" s="2">
        <v>141.19999999999999</v>
      </c>
      <c r="P1337" s="2">
        <v>110.66</v>
      </c>
      <c r="Q1337" s="2">
        <v>30.54</v>
      </c>
      <c r="R1337">
        <v>1</v>
      </c>
      <c r="S1337">
        <v>0</v>
      </c>
      <c r="T1337">
        <v>3</v>
      </c>
      <c r="U1337">
        <v>4</v>
      </c>
    </row>
    <row r="1338" spans="1:21" ht="16.5" x14ac:dyDescent="0.3">
      <c r="A1338" t="s">
        <v>1421</v>
      </c>
      <c r="B1338" s="1">
        <v>45516</v>
      </c>
      <c r="C1338">
        <v>2024</v>
      </c>
      <c r="D1338" t="s">
        <v>1187</v>
      </c>
      <c r="E1338" t="s">
        <v>1356</v>
      </c>
      <c r="F1338" t="s">
        <v>31</v>
      </c>
      <c r="G1338" t="s">
        <v>49</v>
      </c>
      <c r="H1338" t="s">
        <v>32</v>
      </c>
      <c r="I1338" t="s">
        <v>84</v>
      </c>
      <c r="J1338" t="s">
        <v>223</v>
      </c>
      <c r="K1338">
        <v>2</v>
      </c>
      <c r="L1338" s="2">
        <v>16.97</v>
      </c>
      <c r="M1338" s="3">
        <v>0.2</v>
      </c>
      <c r="N1338" t="s">
        <v>34</v>
      </c>
      <c r="O1338" s="2">
        <v>27.15</v>
      </c>
      <c r="P1338" s="2">
        <v>23.02</v>
      </c>
      <c r="Q1338" s="2">
        <v>4.13</v>
      </c>
      <c r="R1338">
        <v>1</v>
      </c>
      <c r="S1338">
        <v>0</v>
      </c>
      <c r="T1338">
        <v>4</v>
      </c>
      <c r="U1338">
        <v>5</v>
      </c>
    </row>
    <row r="1339" spans="1:21" ht="16.5" x14ac:dyDescent="0.3">
      <c r="A1339" t="s">
        <v>1422</v>
      </c>
      <c r="B1339" s="1">
        <v>45516</v>
      </c>
      <c r="C1339">
        <v>2024</v>
      </c>
      <c r="D1339" t="s">
        <v>1187</v>
      </c>
      <c r="E1339" t="s">
        <v>1356</v>
      </c>
      <c r="F1339" t="s">
        <v>24</v>
      </c>
      <c r="G1339" t="s">
        <v>25</v>
      </c>
      <c r="H1339" t="s">
        <v>32</v>
      </c>
      <c r="I1339" t="s">
        <v>67</v>
      </c>
      <c r="J1339" t="s">
        <v>93</v>
      </c>
      <c r="K1339">
        <v>2</v>
      </c>
      <c r="L1339" s="2">
        <v>198.42</v>
      </c>
      <c r="M1339" s="3">
        <v>0</v>
      </c>
      <c r="N1339" t="s">
        <v>38</v>
      </c>
      <c r="O1339" s="2">
        <v>396.84</v>
      </c>
      <c r="P1339" s="2">
        <v>253.55</v>
      </c>
      <c r="Q1339" s="2">
        <v>143.29</v>
      </c>
      <c r="R1339">
        <v>1</v>
      </c>
      <c r="S1339">
        <v>0</v>
      </c>
      <c r="T1339">
        <v>4</v>
      </c>
      <c r="U1339">
        <v>4</v>
      </c>
    </row>
    <row r="1340" spans="1:21" ht="16.5" x14ac:dyDescent="0.3">
      <c r="A1340" t="s">
        <v>1423</v>
      </c>
      <c r="B1340" s="1">
        <v>45516</v>
      </c>
      <c r="C1340">
        <v>2024</v>
      </c>
      <c r="D1340" t="s">
        <v>1187</v>
      </c>
      <c r="E1340" t="s">
        <v>1356</v>
      </c>
      <c r="F1340" t="s">
        <v>31</v>
      </c>
      <c r="G1340" t="s">
        <v>51</v>
      </c>
      <c r="H1340" t="s">
        <v>32</v>
      </c>
      <c r="I1340" t="s">
        <v>27</v>
      </c>
      <c r="J1340" t="s">
        <v>110</v>
      </c>
      <c r="K1340">
        <v>1</v>
      </c>
      <c r="L1340" s="2">
        <v>19.41</v>
      </c>
      <c r="M1340" s="3">
        <v>0</v>
      </c>
      <c r="N1340" t="s">
        <v>38</v>
      </c>
      <c r="O1340" s="2">
        <v>19.41</v>
      </c>
      <c r="P1340" s="2">
        <v>10.42</v>
      </c>
      <c r="Q1340" s="2">
        <v>8.99</v>
      </c>
      <c r="R1340">
        <v>1</v>
      </c>
      <c r="S1340">
        <v>0</v>
      </c>
      <c r="T1340">
        <v>4</v>
      </c>
      <c r="U1340">
        <v>4</v>
      </c>
    </row>
    <row r="1341" spans="1:21" ht="16.5" x14ac:dyDescent="0.3">
      <c r="A1341" t="s">
        <v>1424</v>
      </c>
      <c r="B1341" s="1">
        <v>45516</v>
      </c>
      <c r="C1341">
        <v>2024</v>
      </c>
      <c r="D1341" t="s">
        <v>1187</v>
      </c>
      <c r="E1341" t="s">
        <v>1356</v>
      </c>
      <c r="F1341" t="s">
        <v>31</v>
      </c>
      <c r="G1341" t="s">
        <v>51</v>
      </c>
      <c r="H1341" t="s">
        <v>26</v>
      </c>
      <c r="I1341" t="s">
        <v>27</v>
      </c>
      <c r="J1341" t="s">
        <v>33</v>
      </c>
      <c r="K1341">
        <v>1</v>
      </c>
      <c r="L1341" s="2">
        <v>78.510000000000005</v>
      </c>
      <c r="M1341" s="3">
        <v>0.1</v>
      </c>
      <c r="N1341" t="s">
        <v>29</v>
      </c>
      <c r="O1341" s="2">
        <v>70.66</v>
      </c>
      <c r="P1341" s="2">
        <v>39.22</v>
      </c>
      <c r="Q1341" s="2">
        <v>31.44</v>
      </c>
      <c r="R1341">
        <v>1</v>
      </c>
      <c r="S1341">
        <v>0</v>
      </c>
      <c r="T1341">
        <v>3</v>
      </c>
      <c r="U1341">
        <v>4</v>
      </c>
    </row>
    <row r="1342" spans="1:21" ht="16.5" x14ac:dyDescent="0.3">
      <c r="A1342" t="s">
        <v>1425</v>
      </c>
      <c r="B1342" s="1">
        <v>45516</v>
      </c>
      <c r="C1342">
        <v>2024</v>
      </c>
      <c r="D1342" t="s">
        <v>1187</v>
      </c>
      <c r="E1342" t="s">
        <v>1356</v>
      </c>
      <c r="F1342" t="s">
        <v>24</v>
      </c>
      <c r="G1342" t="s">
        <v>25</v>
      </c>
      <c r="H1342" t="s">
        <v>26</v>
      </c>
      <c r="I1342" t="s">
        <v>42</v>
      </c>
      <c r="J1342" t="s">
        <v>89</v>
      </c>
      <c r="K1342">
        <v>1</v>
      </c>
      <c r="L1342" s="2">
        <v>68.349999999999994</v>
      </c>
      <c r="M1342" s="3">
        <v>0.25</v>
      </c>
      <c r="N1342" t="s">
        <v>62</v>
      </c>
      <c r="O1342" s="2">
        <v>51.26</v>
      </c>
      <c r="P1342" s="2">
        <v>46.22</v>
      </c>
      <c r="Q1342" s="2">
        <v>5.04</v>
      </c>
      <c r="R1342">
        <v>1</v>
      </c>
      <c r="S1342">
        <v>0</v>
      </c>
      <c r="T1342">
        <v>4</v>
      </c>
      <c r="U1342">
        <v>4</v>
      </c>
    </row>
    <row r="1343" spans="1:21" ht="16.5" x14ac:dyDescent="0.3">
      <c r="A1343" t="s">
        <v>1426</v>
      </c>
      <c r="B1343" s="1">
        <v>45516</v>
      </c>
      <c r="C1343">
        <v>2024</v>
      </c>
      <c r="D1343" t="s">
        <v>1187</v>
      </c>
      <c r="E1343" t="s">
        <v>1356</v>
      </c>
      <c r="F1343" t="s">
        <v>31</v>
      </c>
      <c r="G1343" t="s">
        <v>46</v>
      </c>
      <c r="H1343" t="s">
        <v>26</v>
      </c>
      <c r="I1343" t="s">
        <v>84</v>
      </c>
      <c r="J1343" t="s">
        <v>96</v>
      </c>
      <c r="K1343">
        <v>1</v>
      </c>
      <c r="L1343" s="2">
        <v>10.76</v>
      </c>
      <c r="M1343" s="3">
        <v>0.1</v>
      </c>
      <c r="N1343" t="s">
        <v>29</v>
      </c>
      <c r="O1343" s="2">
        <v>9.68</v>
      </c>
      <c r="P1343" s="2">
        <v>7.9</v>
      </c>
      <c r="Q1343" s="2">
        <v>1.78</v>
      </c>
      <c r="R1343">
        <v>1</v>
      </c>
      <c r="S1343">
        <v>0</v>
      </c>
      <c r="T1343">
        <v>7</v>
      </c>
      <c r="U1343">
        <v>4</v>
      </c>
    </row>
    <row r="1344" spans="1:21" ht="16.5" x14ac:dyDescent="0.3">
      <c r="A1344" t="s">
        <v>1427</v>
      </c>
      <c r="B1344" s="1">
        <v>45516</v>
      </c>
      <c r="C1344">
        <v>2024</v>
      </c>
      <c r="D1344" t="s">
        <v>1187</v>
      </c>
      <c r="E1344" t="s">
        <v>1356</v>
      </c>
      <c r="F1344" t="s">
        <v>24</v>
      </c>
      <c r="G1344" t="s">
        <v>51</v>
      </c>
      <c r="H1344" t="s">
        <v>32</v>
      </c>
      <c r="I1344" t="s">
        <v>70</v>
      </c>
      <c r="J1344" t="s">
        <v>129</v>
      </c>
      <c r="K1344">
        <v>1</v>
      </c>
      <c r="L1344" s="2">
        <v>177.65</v>
      </c>
      <c r="M1344" s="3">
        <v>0</v>
      </c>
      <c r="N1344" t="s">
        <v>38</v>
      </c>
      <c r="O1344" s="2">
        <v>177.65</v>
      </c>
      <c r="P1344" s="2">
        <v>136.93</v>
      </c>
      <c r="Q1344" s="2">
        <v>40.72</v>
      </c>
      <c r="R1344">
        <v>1</v>
      </c>
      <c r="S1344">
        <v>0</v>
      </c>
      <c r="T1344">
        <v>3</v>
      </c>
      <c r="U1344">
        <v>4</v>
      </c>
    </row>
    <row r="1345" spans="1:21" ht="16.5" x14ac:dyDescent="0.3">
      <c r="A1345" t="s">
        <v>1428</v>
      </c>
      <c r="B1345" s="1">
        <v>45516</v>
      </c>
      <c r="C1345">
        <v>2024</v>
      </c>
      <c r="D1345" t="s">
        <v>1187</v>
      </c>
      <c r="E1345" t="s">
        <v>1356</v>
      </c>
      <c r="F1345" t="s">
        <v>31</v>
      </c>
      <c r="G1345" t="s">
        <v>51</v>
      </c>
      <c r="H1345" t="s">
        <v>32</v>
      </c>
      <c r="I1345" t="s">
        <v>27</v>
      </c>
      <c r="J1345" t="s">
        <v>40</v>
      </c>
      <c r="K1345">
        <v>1</v>
      </c>
      <c r="L1345" s="2">
        <v>104.94</v>
      </c>
      <c r="M1345" s="3">
        <v>0</v>
      </c>
      <c r="N1345" t="s">
        <v>38</v>
      </c>
      <c r="O1345" s="2">
        <v>104.94</v>
      </c>
      <c r="P1345" s="2">
        <v>54.19</v>
      </c>
      <c r="Q1345" s="2">
        <v>50.75</v>
      </c>
      <c r="R1345">
        <v>1</v>
      </c>
      <c r="S1345">
        <v>1</v>
      </c>
      <c r="T1345">
        <v>2</v>
      </c>
      <c r="U1345">
        <v>3</v>
      </c>
    </row>
    <row r="1346" spans="1:21" ht="16.5" x14ac:dyDescent="0.3">
      <c r="A1346" t="s">
        <v>1429</v>
      </c>
      <c r="B1346" s="1">
        <v>45516</v>
      </c>
      <c r="C1346">
        <v>2024</v>
      </c>
      <c r="D1346" t="s">
        <v>1187</v>
      </c>
      <c r="E1346" t="s">
        <v>1356</v>
      </c>
      <c r="F1346" t="s">
        <v>31</v>
      </c>
      <c r="G1346" t="s">
        <v>51</v>
      </c>
      <c r="H1346" t="s">
        <v>26</v>
      </c>
      <c r="I1346" t="s">
        <v>27</v>
      </c>
      <c r="J1346" t="s">
        <v>33</v>
      </c>
      <c r="K1346">
        <v>1</v>
      </c>
      <c r="L1346" s="2">
        <v>78.510000000000005</v>
      </c>
      <c r="M1346" s="3">
        <v>0.1</v>
      </c>
      <c r="N1346" t="s">
        <v>29</v>
      </c>
      <c r="O1346" s="2">
        <v>70.66</v>
      </c>
      <c r="P1346" s="2">
        <v>44.01</v>
      </c>
      <c r="Q1346" s="2">
        <v>26.65</v>
      </c>
      <c r="R1346">
        <v>1</v>
      </c>
      <c r="S1346">
        <v>0</v>
      </c>
      <c r="T1346">
        <v>2</v>
      </c>
      <c r="U1346">
        <v>5</v>
      </c>
    </row>
    <row r="1347" spans="1:21" ht="16.5" x14ac:dyDescent="0.3">
      <c r="A1347" t="s">
        <v>1430</v>
      </c>
      <c r="B1347" s="1">
        <v>45516</v>
      </c>
      <c r="C1347">
        <v>2024</v>
      </c>
      <c r="D1347" t="s">
        <v>1187</v>
      </c>
      <c r="E1347" t="s">
        <v>1356</v>
      </c>
      <c r="F1347" t="s">
        <v>31</v>
      </c>
      <c r="G1347" t="s">
        <v>25</v>
      </c>
      <c r="H1347" t="s">
        <v>26</v>
      </c>
      <c r="I1347" t="s">
        <v>42</v>
      </c>
      <c r="J1347" t="s">
        <v>98</v>
      </c>
      <c r="K1347">
        <v>1</v>
      </c>
      <c r="L1347" s="2">
        <v>117.63</v>
      </c>
      <c r="M1347" s="3">
        <v>0.1</v>
      </c>
      <c r="N1347" t="s">
        <v>29</v>
      </c>
      <c r="O1347" s="2">
        <v>105.87</v>
      </c>
      <c r="P1347" s="2">
        <v>73.650000000000006</v>
      </c>
      <c r="Q1347" s="2">
        <v>32.22</v>
      </c>
      <c r="R1347">
        <v>1</v>
      </c>
      <c r="S1347">
        <v>0</v>
      </c>
      <c r="T1347">
        <v>4</v>
      </c>
      <c r="U1347">
        <v>5</v>
      </c>
    </row>
    <row r="1348" spans="1:21" ht="16.5" x14ac:dyDescent="0.3">
      <c r="A1348" t="s">
        <v>1431</v>
      </c>
      <c r="B1348" s="1">
        <v>45516</v>
      </c>
      <c r="C1348">
        <v>2024</v>
      </c>
      <c r="D1348" t="s">
        <v>1187</v>
      </c>
      <c r="E1348" t="s">
        <v>1356</v>
      </c>
      <c r="F1348" t="s">
        <v>31</v>
      </c>
      <c r="G1348" t="s">
        <v>25</v>
      </c>
      <c r="H1348" t="s">
        <v>26</v>
      </c>
      <c r="I1348" t="s">
        <v>27</v>
      </c>
      <c r="J1348" t="s">
        <v>110</v>
      </c>
      <c r="K1348">
        <v>1</v>
      </c>
      <c r="L1348" s="2">
        <v>19.41</v>
      </c>
      <c r="M1348" s="3">
        <v>0.15</v>
      </c>
      <c r="N1348" t="s">
        <v>34</v>
      </c>
      <c r="O1348" s="2">
        <v>16.5</v>
      </c>
      <c r="P1348" s="2">
        <v>10.19</v>
      </c>
      <c r="Q1348" s="2">
        <v>6.31</v>
      </c>
      <c r="R1348">
        <v>1</v>
      </c>
      <c r="S1348">
        <v>1</v>
      </c>
      <c r="T1348">
        <v>5</v>
      </c>
      <c r="U1348">
        <v>3</v>
      </c>
    </row>
    <row r="1349" spans="1:21" ht="16.5" x14ac:dyDescent="0.3">
      <c r="A1349" t="s">
        <v>1432</v>
      </c>
      <c r="B1349" s="1">
        <v>45516</v>
      </c>
      <c r="C1349">
        <v>2024</v>
      </c>
      <c r="D1349" t="s">
        <v>1187</v>
      </c>
      <c r="E1349" t="s">
        <v>1356</v>
      </c>
      <c r="F1349" t="s">
        <v>24</v>
      </c>
      <c r="G1349" t="s">
        <v>51</v>
      </c>
      <c r="H1349" t="s">
        <v>32</v>
      </c>
      <c r="I1349" t="s">
        <v>67</v>
      </c>
      <c r="J1349" t="s">
        <v>68</v>
      </c>
      <c r="K1349">
        <v>2</v>
      </c>
      <c r="L1349" s="2">
        <v>74.459999999999994</v>
      </c>
      <c r="M1349" s="3">
        <v>0.25</v>
      </c>
      <c r="N1349" t="s">
        <v>62</v>
      </c>
      <c r="O1349" s="2">
        <v>111.69</v>
      </c>
      <c r="P1349" s="2">
        <v>98.69</v>
      </c>
      <c r="Q1349" s="2">
        <v>13</v>
      </c>
      <c r="R1349">
        <v>1</v>
      </c>
      <c r="S1349">
        <v>0</v>
      </c>
      <c r="T1349">
        <v>4</v>
      </c>
      <c r="U1349">
        <v>5</v>
      </c>
    </row>
    <row r="1350" spans="1:21" ht="16.5" x14ac:dyDescent="0.3">
      <c r="A1350" t="s">
        <v>1433</v>
      </c>
      <c r="B1350" s="1">
        <v>45517</v>
      </c>
      <c r="C1350">
        <v>2024</v>
      </c>
      <c r="D1350" t="s">
        <v>1187</v>
      </c>
      <c r="E1350" t="s">
        <v>1356</v>
      </c>
      <c r="F1350" t="s">
        <v>31</v>
      </c>
      <c r="G1350" t="s">
        <v>51</v>
      </c>
      <c r="H1350" t="s">
        <v>26</v>
      </c>
      <c r="I1350" t="s">
        <v>84</v>
      </c>
      <c r="J1350" t="s">
        <v>96</v>
      </c>
      <c r="K1350">
        <v>1</v>
      </c>
      <c r="L1350" s="2">
        <v>10.76</v>
      </c>
      <c r="M1350" s="3">
        <v>0.15</v>
      </c>
      <c r="N1350" t="s">
        <v>34</v>
      </c>
      <c r="O1350" s="2">
        <v>9.15</v>
      </c>
      <c r="P1350" s="2">
        <v>7.62</v>
      </c>
      <c r="Q1350" s="2">
        <v>1.53</v>
      </c>
      <c r="R1350">
        <v>1</v>
      </c>
      <c r="S1350">
        <v>0</v>
      </c>
      <c r="T1350">
        <v>3</v>
      </c>
      <c r="U1350">
        <v>4</v>
      </c>
    </row>
    <row r="1351" spans="1:21" ht="16.5" x14ac:dyDescent="0.3">
      <c r="A1351" t="s">
        <v>1434</v>
      </c>
      <c r="B1351" s="1">
        <v>45517</v>
      </c>
      <c r="C1351">
        <v>2024</v>
      </c>
      <c r="D1351" t="s">
        <v>1187</v>
      </c>
      <c r="E1351" t="s">
        <v>1356</v>
      </c>
      <c r="F1351" t="s">
        <v>45</v>
      </c>
      <c r="G1351" t="s">
        <v>25</v>
      </c>
      <c r="H1351" t="s">
        <v>26</v>
      </c>
      <c r="I1351" t="s">
        <v>67</v>
      </c>
      <c r="J1351" t="s">
        <v>174</v>
      </c>
      <c r="K1351">
        <v>1</v>
      </c>
      <c r="L1351" s="2">
        <v>137.05000000000001</v>
      </c>
      <c r="M1351" s="3">
        <v>0</v>
      </c>
      <c r="N1351" t="s">
        <v>38</v>
      </c>
      <c r="O1351" s="2">
        <v>137.05000000000001</v>
      </c>
      <c r="P1351" s="2">
        <v>88.42</v>
      </c>
      <c r="Q1351" s="2">
        <v>48.63</v>
      </c>
      <c r="R1351">
        <v>1</v>
      </c>
      <c r="S1351">
        <v>0</v>
      </c>
      <c r="T1351">
        <v>4</v>
      </c>
      <c r="U1351">
        <v>4</v>
      </c>
    </row>
    <row r="1352" spans="1:21" ht="16.5" x14ac:dyDescent="0.3">
      <c r="A1352" t="s">
        <v>1435</v>
      </c>
      <c r="B1352" s="1">
        <v>45517</v>
      </c>
      <c r="C1352">
        <v>2024</v>
      </c>
      <c r="D1352" t="s">
        <v>1187</v>
      </c>
      <c r="E1352" t="s">
        <v>1356</v>
      </c>
      <c r="F1352" t="s">
        <v>31</v>
      </c>
      <c r="G1352" t="s">
        <v>46</v>
      </c>
      <c r="H1352" t="s">
        <v>32</v>
      </c>
      <c r="I1352" t="s">
        <v>42</v>
      </c>
      <c r="J1352" t="s">
        <v>76</v>
      </c>
      <c r="K1352">
        <v>1</v>
      </c>
      <c r="L1352" s="2">
        <v>90.75</v>
      </c>
      <c r="M1352" s="3">
        <v>0.05</v>
      </c>
      <c r="N1352" t="s">
        <v>29</v>
      </c>
      <c r="O1352" s="2">
        <v>86.21</v>
      </c>
      <c r="P1352" s="2">
        <v>60.91</v>
      </c>
      <c r="Q1352" s="2">
        <v>25.3</v>
      </c>
      <c r="R1352">
        <v>1</v>
      </c>
      <c r="S1352">
        <v>0</v>
      </c>
      <c r="T1352">
        <v>6</v>
      </c>
      <c r="U1352">
        <v>4</v>
      </c>
    </row>
    <row r="1353" spans="1:21" ht="16.5" x14ac:dyDescent="0.3">
      <c r="A1353" t="s">
        <v>1436</v>
      </c>
      <c r="B1353" s="1">
        <v>45517</v>
      </c>
      <c r="C1353">
        <v>2024</v>
      </c>
      <c r="D1353" t="s">
        <v>1187</v>
      </c>
      <c r="E1353" t="s">
        <v>1356</v>
      </c>
      <c r="F1353" t="s">
        <v>24</v>
      </c>
      <c r="G1353" t="s">
        <v>46</v>
      </c>
      <c r="H1353" t="s">
        <v>32</v>
      </c>
      <c r="I1353" t="s">
        <v>27</v>
      </c>
      <c r="J1353" t="s">
        <v>33</v>
      </c>
      <c r="K1353">
        <v>1</v>
      </c>
      <c r="L1353" s="2">
        <v>78.510000000000005</v>
      </c>
      <c r="M1353" s="3">
        <v>0.15</v>
      </c>
      <c r="N1353" t="s">
        <v>34</v>
      </c>
      <c r="O1353" s="2">
        <v>66.73</v>
      </c>
      <c r="P1353" s="2">
        <v>41.49</v>
      </c>
      <c r="Q1353" s="2">
        <v>25.24</v>
      </c>
      <c r="R1353">
        <v>1</v>
      </c>
      <c r="S1353">
        <v>1</v>
      </c>
      <c r="T1353">
        <v>6</v>
      </c>
      <c r="U1353">
        <v>2</v>
      </c>
    </row>
    <row r="1354" spans="1:21" ht="16.5" x14ac:dyDescent="0.3">
      <c r="A1354" t="s">
        <v>1437</v>
      </c>
      <c r="B1354" s="1">
        <v>45517</v>
      </c>
      <c r="C1354">
        <v>2024</v>
      </c>
      <c r="D1354" t="s">
        <v>1187</v>
      </c>
      <c r="E1354" t="s">
        <v>1356</v>
      </c>
      <c r="F1354" t="s">
        <v>24</v>
      </c>
      <c r="G1354" t="s">
        <v>51</v>
      </c>
      <c r="H1354" t="s">
        <v>32</v>
      </c>
      <c r="I1354" t="s">
        <v>84</v>
      </c>
      <c r="J1354" t="s">
        <v>132</v>
      </c>
      <c r="K1354">
        <v>1</v>
      </c>
      <c r="L1354" s="2">
        <v>48.86</v>
      </c>
      <c r="M1354" s="3">
        <v>0.05</v>
      </c>
      <c r="N1354" t="s">
        <v>29</v>
      </c>
      <c r="O1354" s="2">
        <v>46.42</v>
      </c>
      <c r="P1354" s="2">
        <v>34.630000000000003</v>
      </c>
      <c r="Q1354" s="2">
        <v>11.79</v>
      </c>
      <c r="R1354">
        <v>1</v>
      </c>
      <c r="S1354">
        <v>1</v>
      </c>
      <c r="T1354">
        <v>3</v>
      </c>
      <c r="U1354">
        <v>3</v>
      </c>
    </row>
    <row r="1355" spans="1:21" ht="16.5" x14ac:dyDescent="0.3">
      <c r="A1355" t="s">
        <v>1438</v>
      </c>
      <c r="B1355" s="1">
        <v>45517</v>
      </c>
      <c r="C1355">
        <v>2024</v>
      </c>
      <c r="D1355" t="s">
        <v>1187</v>
      </c>
      <c r="E1355" t="s">
        <v>1356</v>
      </c>
      <c r="F1355" t="s">
        <v>45</v>
      </c>
      <c r="G1355" t="s">
        <v>51</v>
      </c>
      <c r="H1355" t="s">
        <v>32</v>
      </c>
      <c r="I1355" t="s">
        <v>67</v>
      </c>
      <c r="J1355" t="s">
        <v>103</v>
      </c>
      <c r="K1355">
        <v>1</v>
      </c>
      <c r="L1355" s="2">
        <v>83.06</v>
      </c>
      <c r="M1355" s="3">
        <v>0.05</v>
      </c>
      <c r="N1355" t="s">
        <v>29</v>
      </c>
      <c r="O1355" s="2">
        <v>78.91</v>
      </c>
      <c r="P1355" s="2">
        <v>54.81</v>
      </c>
      <c r="Q1355" s="2">
        <v>24.1</v>
      </c>
      <c r="R1355">
        <v>1</v>
      </c>
      <c r="S1355">
        <v>0</v>
      </c>
      <c r="T1355">
        <v>3</v>
      </c>
      <c r="U1355">
        <v>4</v>
      </c>
    </row>
    <row r="1356" spans="1:21" ht="16.5" x14ac:dyDescent="0.3">
      <c r="A1356" t="s">
        <v>1439</v>
      </c>
      <c r="B1356" s="1">
        <v>45518</v>
      </c>
      <c r="C1356">
        <v>2024</v>
      </c>
      <c r="D1356" t="s">
        <v>1187</v>
      </c>
      <c r="E1356" t="s">
        <v>1356</v>
      </c>
      <c r="F1356" t="s">
        <v>31</v>
      </c>
      <c r="G1356" t="s">
        <v>49</v>
      </c>
      <c r="H1356" t="s">
        <v>32</v>
      </c>
      <c r="I1356" t="s">
        <v>67</v>
      </c>
      <c r="J1356" t="s">
        <v>93</v>
      </c>
      <c r="K1356">
        <v>2</v>
      </c>
      <c r="L1356" s="2">
        <v>198.42</v>
      </c>
      <c r="M1356" s="3">
        <v>0.2</v>
      </c>
      <c r="N1356" t="s">
        <v>34</v>
      </c>
      <c r="O1356" s="2">
        <v>317.47000000000003</v>
      </c>
      <c r="P1356" s="2">
        <v>268.72000000000003</v>
      </c>
      <c r="Q1356" s="2">
        <v>48.75</v>
      </c>
      <c r="R1356">
        <v>1</v>
      </c>
      <c r="S1356">
        <v>1</v>
      </c>
      <c r="T1356">
        <v>3</v>
      </c>
      <c r="U1356">
        <v>3</v>
      </c>
    </row>
    <row r="1357" spans="1:21" ht="16.5" x14ac:dyDescent="0.3">
      <c r="A1357" t="s">
        <v>1440</v>
      </c>
      <c r="B1357" s="1">
        <v>45518</v>
      </c>
      <c r="C1357">
        <v>2024</v>
      </c>
      <c r="D1357" t="s">
        <v>1187</v>
      </c>
      <c r="E1357" t="s">
        <v>1356</v>
      </c>
      <c r="F1357" t="s">
        <v>45</v>
      </c>
      <c r="G1357" t="s">
        <v>25</v>
      </c>
      <c r="H1357" t="s">
        <v>32</v>
      </c>
      <c r="I1357" t="s">
        <v>67</v>
      </c>
      <c r="J1357" t="s">
        <v>68</v>
      </c>
      <c r="K1357">
        <v>1</v>
      </c>
      <c r="L1357" s="2">
        <v>74.459999999999994</v>
      </c>
      <c r="M1357" s="3">
        <v>0.15</v>
      </c>
      <c r="N1357" t="s">
        <v>34</v>
      </c>
      <c r="O1357" s="2">
        <v>63.29</v>
      </c>
      <c r="P1357" s="2">
        <v>48.65</v>
      </c>
      <c r="Q1357" s="2">
        <v>14.64</v>
      </c>
      <c r="R1357">
        <v>1</v>
      </c>
      <c r="S1357">
        <v>0</v>
      </c>
      <c r="T1357">
        <v>4</v>
      </c>
      <c r="U1357">
        <v>4</v>
      </c>
    </row>
    <row r="1358" spans="1:21" ht="16.5" x14ac:dyDescent="0.3">
      <c r="A1358" t="s">
        <v>1441</v>
      </c>
      <c r="B1358" s="1">
        <v>45518</v>
      </c>
      <c r="C1358">
        <v>2024</v>
      </c>
      <c r="D1358" t="s">
        <v>1187</v>
      </c>
      <c r="E1358" t="s">
        <v>1356</v>
      </c>
      <c r="F1358" t="s">
        <v>31</v>
      </c>
      <c r="G1358" t="s">
        <v>25</v>
      </c>
      <c r="H1358" t="s">
        <v>32</v>
      </c>
      <c r="I1358" t="s">
        <v>36</v>
      </c>
      <c r="J1358" t="s">
        <v>37</v>
      </c>
      <c r="K1358">
        <v>1</v>
      </c>
      <c r="L1358" s="2">
        <v>33.18</v>
      </c>
      <c r="M1358" s="3">
        <v>0.05</v>
      </c>
      <c r="N1358" t="s">
        <v>29</v>
      </c>
      <c r="O1358" s="2">
        <v>31.52</v>
      </c>
      <c r="P1358" s="2">
        <v>15.42</v>
      </c>
      <c r="Q1358" s="2">
        <v>16.100000000000001</v>
      </c>
      <c r="R1358">
        <v>1</v>
      </c>
      <c r="S1358">
        <v>0</v>
      </c>
      <c r="T1358">
        <v>5</v>
      </c>
      <c r="U1358">
        <v>3</v>
      </c>
    </row>
    <row r="1359" spans="1:21" ht="16.5" x14ac:dyDescent="0.3">
      <c r="A1359" t="s">
        <v>1442</v>
      </c>
      <c r="B1359" s="1">
        <v>45518</v>
      </c>
      <c r="C1359">
        <v>2024</v>
      </c>
      <c r="D1359" t="s">
        <v>1187</v>
      </c>
      <c r="E1359" t="s">
        <v>1356</v>
      </c>
      <c r="F1359" t="s">
        <v>31</v>
      </c>
      <c r="G1359" t="s">
        <v>25</v>
      </c>
      <c r="H1359" t="s">
        <v>32</v>
      </c>
      <c r="I1359" t="s">
        <v>84</v>
      </c>
      <c r="J1359" t="s">
        <v>96</v>
      </c>
      <c r="K1359">
        <v>1</v>
      </c>
      <c r="L1359" s="2">
        <v>10.76</v>
      </c>
      <c r="M1359" s="3">
        <v>0.2</v>
      </c>
      <c r="N1359" t="s">
        <v>34</v>
      </c>
      <c r="O1359" s="2">
        <v>8.61</v>
      </c>
      <c r="P1359" s="2">
        <v>7.78</v>
      </c>
      <c r="Q1359" s="2">
        <v>0.83</v>
      </c>
      <c r="R1359">
        <v>1</v>
      </c>
      <c r="S1359">
        <v>0</v>
      </c>
      <c r="T1359">
        <v>5</v>
      </c>
      <c r="U1359">
        <v>3</v>
      </c>
    </row>
    <row r="1360" spans="1:21" ht="16.5" x14ac:dyDescent="0.3">
      <c r="A1360" t="s">
        <v>1443</v>
      </c>
      <c r="B1360" s="1">
        <v>45518</v>
      </c>
      <c r="C1360">
        <v>2024</v>
      </c>
      <c r="D1360" t="s">
        <v>1187</v>
      </c>
      <c r="E1360" t="s">
        <v>1356</v>
      </c>
      <c r="F1360" t="s">
        <v>45</v>
      </c>
      <c r="G1360" t="s">
        <v>51</v>
      </c>
      <c r="H1360" t="s">
        <v>32</v>
      </c>
      <c r="I1360" t="s">
        <v>84</v>
      </c>
      <c r="J1360" t="s">
        <v>96</v>
      </c>
      <c r="K1360">
        <v>2</v>
      </c>
      <c r="L1360" s="2">
        <v>10.76</v>
      </c>
      <c r="M1360" s="3">
        <v>0</v>
      </c>
      <c r="N1360" t="s">
        <v>38</v>
      </c>
      <c r="O1360" s="2">
        <v>21.52</v>
      </c>
      <c r="P1360" s="2">
        <v>15.8</v>
      </c>
      <c r="Q1360" s="2">
        <v>5.72</v>
      </c>
      <c r="R1360">
        <v>1</v>
      </c>
      <c r="S1360">
        <v>0</v>
      </c>
      <c r="T1360">
        <v>5</v>
      </c>
      <c r="U1360">
        <v>5</v>
      </c>
    </row>
    <row r="1361" spans="1:21" ht="16.5" x14ac:dyDescent="0.3">
      <c r="A1361" t="s">
        <v>1444</v>
      </c>
      <c r="B1361" s="1">
        <v>45519</v>
      </c>
      <c r="C1361">
        <v>2024</v>
      </c>
      <c r="D1361" t="s">
        <v>1187</v>
      </c>
      <c r="E1361" t="s">
        <v>1356</v>
      </c>
      <c r="F1361" t="s">
        <v>31</v>
      </c>
      <c r="G1361" t="s">
        <v>51</v>
      </c>
      <c r="H1361" t="s">
        <v>32</v>
      </c>
      <c r="I1361" t="s">
        <v>70</v>
      </c>
      <c r="J1361" t="s">
        <v>129</v>
      </c>
      <c r="K1361">
        <v>1</v>
      </c>
      <c r="L1361" s="2">
        <v>177.65</v>
      </c>
      <c r="M1361" s="3">
        <v>0.15</v>
      </c>
      <c r="N1361" t="s">
        <v>34</v>
      </c>
      <c r="O1361" s="2">
        <v>151</v>
      </c>
      <c r="P1361" s="2">
        <v>141.82</v>
      </c>
      <c r="Q1361" s="2">
        <v>9.18</v>
      </c>
      <c r="R1361">
        <v>1</v>
      </c>
      <c r="S1361">
        <v>0</v>
      </c>
      <c r="T1361">
        <v>3</v>
      </c>
      <c r="U1361">
        <v>5</v>
      </c>
    </row>
    <row r="1362" spans="1:21" ht="16.5" x14ac:dyDescent="0.3">
      <c r="A1362" t="s">
        <v>1445</v>
      </c>
      <c r="B1362" s="1">
        <v>45519</v>
      </c>
      <c r="C1362">
        <v>2024</v>
      </c>
      <c r="D1362" t="s">
        <v>1187</v>
      </c>
      <c r="E1362" t="s">
        <v>1356</v>
      </c>
      <c r="F1362" t="s">
        <v>45</v>
      </c>
      <c r="G1362" t="s">
        <v>51</v>
      </c>
      <c r="H1362" t="s">
        <v>32</v>
      </c>
      <c r="I1362" t="s">
        <v>27</v>
      </c>
      <c r="J1362" t="s">
        <v>110</v>
      </c>
      <c r="K1362">
        <v>1</v>
      </c>
      <c r="L1362" s="2">
        <v>19.41</v>
      </c>
      <c r="M1362" s="3">
        <v>0.25</v>
      </c>
      <c r="N1362" t="s">
        <v>62</v>
      </c>
      <c r="O1362" s="2">
        <v>14.56</v>
      </c>
      <c r="P1362" s="2">
        <v>10.39</v>
      </c>
      <c r="Q1362" s="2">
        <v>4.17</v>
      </c>
      <c r="R1362">
        <v>1</v>
      </c>
      <c r="S1362">
        <v>0</v>
      </c>
      <c r="T1362">
        <v>4</v>
      </c>
      <c r="U1362">
        <v>4</v>
      </c>
    </row>
    <row r="1363" spans="1:21" ht="16.5" x14ac:dyDescent="0.3">
      <c r="A1363" t="s">
        <v>1446</v>
      </c>
      <c r="B1363" s="1">
        <v>45519</v>
      </c>
      <c r="C1363">
        <v>2024</v>
      </c>
      <c r="D1363" t="s">
        <v>1187</v>
      </c>
      <c r="E1363" t="s">
        <v>1356</v>
      </c>
      <c r="F1363" t="s">
        <v>45</v>
      </c>
      <c r="G1363" t="s">
        <v>49</v>
      </c>
      <c r="H1363" t="s">
        <v>26</v>
      </c>
      <c r="I1363" t="s">
        <v>84</v>
      </c>
      <c r="J1363" t="s">
        <v>106</v>
      </c>
      <c r="K1363">
        <v>1</v>
      </c>
      <c r="L1363" s="2">
        <v>45.28</v>
      </c>
      <c r="M1363" s="3">
        <v>0.1</v>
      </c>
      <c r="N1363" t="s">
        <v>29</v>
      </c>
      <c r="O1363" s="2">
        <v>40.75</v>
      </c>
      <c r="P1363" s="2">
        <v>32.659999999999997</v>
      </c>
      <c r="Q1363" s="2">
        <v>8.09</v>
      </c>
      <c r="R1363">
        <v>1</v>
      </c>
      <c r="S1363">
        <v>0</v>
      </c>
      <c r="T1363">
        <v>3</v>
      </c>
      <c r="U1363">
        <v>5</v>
      </c>
    </row>
    <row r="1364" spans="1:21" ht="16.5" x14ac:dyDescent="0.3">
      <c r="A1364" t="s">
        <v>1447</v>
      </c>
      <c r="B1364" s="1">
        <v>45519</v>
      </c>
      <c r="C1364">
        <v>2024</v>
      </c>
      <c r="D1364" t="s">
        <v>1187</v>
      </c>
      <c r="E1364" t="s">
        <v>1356</v>
      </c>
      <c r="F1364" t="s">
        <v>24</v>
      </c>
      <c r="G1364" t="s">
        <v>25</v>
      </c>
      <c r="H1364" t="s">
        <v>32</v>
      </c>
      <c r="I1364" t="s">
        <v>27</v>
      </c>
      <c r="J1364" t="s">
        <v>28</v>
      </c>
      <c r="K1364">
        <v>2</v>
      </c>
      <c r="L1364" s="2">
        <v>138.5</v>
      </c>
      <c r="M1364" s="3">
        <v>0.05</v>
      </c>
      <c r="N1364" t="s">
        <v>29</v>
      </c>
      <c r="O1364" s="2">
        <v>263.14999999999998</v>
      </c>
      <c r="P1364" s="2">
        <v>154.62</v>
      </c>
      <c r="Q1364" s="2">
        <v>108.53</v>
      </c>
      <c r="R1364">
        <v>1</v>
      </c>
      <c r="S1364">
        <v>0</v>
      </c>
      <c r="T1364">
        <v>4</v>
      </c>
      <c r="U1364">
        <v>5</v>
      </c>
    </row>
    <row r="1365" spans="1:21" ht="16.5" x14ac:dyDescent="0.3">
      <c r="A1365" t="s">
        <v>1448</v>
      </c>
      <c r="B1365" s="1">
        <v>45519</v>
      </c>
      <c r="C1365">
        <v>2024</v>
      </c>
      <c r="D1365" t="s">
        <v>1187</v>
      </c>
      <c r="E1365" t="s">
        <v>1356</v>
      </c>
      <c r="F1365" t="s">
        <v>31</v>
      </c>
      <c r="G1365" t="s">
        <v>51</v>
      </c>
      <c r="H1365" t="s">
        <v>26</v>
      </c>
      <c r="I1365" t="s">
        <v>36</v>
      </c>
      <c r="J1365" t="s">
        <v>56</v>
      </c>
      <c r="K1365">
        <v>1</v>
      </c>
      <c r="L1365" s="2">
        <v>74.3</v>
      </c>
      <c r="M1365" s="3">
        <v>0.05</v>
      </c>
      <c r="N1365" t="s">
        <v>29</v>
      </c>
      <c r="O1365" s="2">
        <v>70.58</v>
      </c>
      <c r="P1365" s="2">
        <v>36.450000000000003</v>
      </c>
      <c r="Q1365" s="2">
        <v>34.130000000000003</v>
      </c>
      <c r="R1365">
        <v>1</v>
      </c>
      <c r="S1365">
        <v>0</v>
      </c>
      <c r="T1365">
        <v>5</v>
      </c>
      <c r="U1365">
        <v>5</v>
      </c>
    </row>
    <row r="1366" spans="1:21" ht="16.5" x14ac:dyDescent="0.3">
      <c r="A1366" t="s">
        <v>1449</v>
      </c>
      <c r="B1366" s="1">
        <v>45520</v>
      </c>
      <c r="C1366">
        <v>2024</v>
      </c>
      <c r="D1366" t="s">
        <v>1187</v>
      </c>
      <c r="E1366" t="s">
        <v>1356</v>
      </c>
      <c r="F1366" t="s">
        <v>31</v>
      </c>
      <c r="G1366" t="s">
        <v>49</v>
      </c>
      <c r="H1366" t="s">
        <v>26</v>
      </c>
      <c r="I1366" t="s">
        <v>67</v>
      </c>
      <c r="J1366" t="s">
        <v>78</v>
      </c>
      <c r="K1366">
        <v>1</v>
      </c>
      <c r="L1366" s="2">
        <v>85.42</v>
      </c>
      <c r="M1366" s="3">
        <v>0</v>
      </c>
      <c r="N1366" t="s">
        <v>38</v>
      </c>
      <c r="O1366" s="2">
        <v>85.42</v>
      </c>
      <c r="P1366" s="2">
        <v>57.38</v>
      </c>
      <c r="Q1366" s="2">
        <v>28.04</v>
      </c>
      <c r="R1366">
        <v>1</v>
      </c>
      <c r="S1366">
        <v>0</v>
      </c>
      <c r="T1366">
        <v>3</v>
      </c>
      <c r="U1366">
        <v>4</v>
      </c>
    </row>
    <row r="1367" spans="1:21" ht="16.5" x14ac:dyDescent="0.3">
      <c r="A1367" t="s">
        <v>1450</v>
      </c>
      <c r="B1367" s="1">
        <v>45520</v>
      </c>
      <c r="C1367">
        <v>2024</v>
      </c>
      <c r="D1367" t="s">
        <v>1187</v>
      </c>
      <c r="E1367" t="s">
        <v>1356</v>
      </c>
      <c r="F1367" t="s">
        <v>24</v>
      </c>
      <c r="G1367" t="s">
        <v>51</v>
      </c>
      <c r="H1367" t="s">
        <v>32</v>
      </c>
      <c r="I1367" t="s">
        <v>27</v>
      </c>
      <c r="J1367" t="s">
        <v>40</v>
      </c>
      <c r="K1367">
        <v>1</v>
      </c>
      <c r="L1367" s="2">
        <v>104.94</v>
      </c>
      <c r="M1367" s="3">
        <v>0.05</v>
      </c>
      <c r="N1367" t="s">
        <v>29</v>
      </c>
      <c r="O1367" s="2">
        <v>99.69</v>
      </c>
      <c r="P1367" s="2">
        <v>59.39</v>
      </c>
      <c r="Q1367" s="2">
        <v>40.299999999999997</v>
      </c>
      <c r="R1367">
        <v>1</v>
      </c>
      <c r="S1367">
        <v>0</v>
      </c>
      <c r="T1367">
        <v>3</v>
      </c>
      <c r="U1367">
        <v>4</v>
      </c>
    </row>
    <row r="1368" spans="1:21" ht="16.5" x14ac:dyDescent="0.3">
      <c r="A1368" t="s">
        <v>1451</v>
      </c>
      <c r="B1368" s="1">
        <v>45520</v>
      </c>
      <c r="C1368">
        <v>2024</v>
      </c>
      <c r="D1368" t="s">
        <v>1187</v>
      </c>
      <c r="E1368" t="s">
        <v>1356</v>
      </c>
      <c r="F1368" t="s">
        <v>24</v>
      </c>
      <c r="G1368" t="s">
        <v>49</v>
      </c>
      <c r="H1368" t="s">
        <v>26</v>
      </c>
      <c r="I1368" t="s">
        <v>36</v>
      </c>
      <c r="J1368" t="s">
        <v>37</v>
      </c>
      <c r="K1368">
        <v>1</v>
      </c>
      <c r="L1368" s="2">
        <v>33.18</v>
      </c>
      <c r="M1368" s="3">
        <v>0</v>
      </c>
      <c r="N1368" t="s">
        <v>38</v>
      </c>
      <c r="O1368" s="2">
        <v>33.18</v>
      </c>
      <c r="P1368" s="2">
        <v>16.54</v>
      </c>
      <c r="Q1368" s="2">
        <v>16.64</v>
      </c>
      <c r="R1368">
        <v>1</v>
      </c>
      <c r="S1368">
        <v>0</v>
      </c>
      <c r="T1368">
        <v>3</v>
      </c>
      <c r="U1368">
        <v>5</v>
      </c>
    </row>
    <row r="1369" spans="1:21" ht="16.5" x14ac:dyDescent="0.3">
      <c r="A1369" t="s">
        <v>1452</v>
      </c>
      <c r="B1369" s="1">
        <v>45520</v>
      </c>
      <c r="C1369">
        <v>2024</v>
      </c>
      <c r="D1369" t="s">
        <v>1187</v>
      </c>
      <c r="E1369" t="s">
        <v>1356</v>
      </c>
      <c r="F1369" t="s">
        <v>24</v>
      </c>
      <c r="G1369" t="s">
        <v>49</v>
      </c>
      <c r="H1369" t="s">
        <v>26</v>
      </c>
      <c r="I1369" t="s">
        <v>84</v>
      </c>
      <c r="J1369" t="s">
        <v>223</v>
      </c>
      <c r="K1369">
        <v>1</v>
      </c>
      <c r="L1369" s="2">
        <v>16.97</v>
      </c>
      <c r="M1369" s="3">
        <v>0.05</v>
      </c>
      <c r="N1369" t="s">
        <v>29</v>
      </c>
      <c r="O1369" s="2">
        <v>16.12</v>
      </c>
      <c r="P1369" s="2">
        <v>11.82</v>
      </c>
      <c r="Q1369" s="2">
        <v>4.3</v>
      </c>
      <c r="R1369">
        <v>1</v>
      </c>
      <c r="S1369">
        <v>1</v>
      </c>
      <c r="T1369">
        <v>3</v>
      </c>
      <c r="U1369">
        <v>4</v>
      </c>
    </row>
    <row r="1370" spans="1:21" ht="16.5" x14ac:dyDescent="0.3">
      <c r="A1370" t="s">
        <v>1453</v>
      </c>
      <c r="B1370" s="1">
        <v>45521</v>
      </c>
      <c r="C1370">
        <v>2024</v>
      </c>
      <c r="D1370" t="s">
        <v>1187</v>
      </c>
      <c r="E1370" t="s">
        <v>1356</v>
      </c>
      <c r="F1370" t="s">
        <v>45</v>
      </c>
      <c r="G1370" t="s">
        <v>25</v>
      </c>
      <c r="H1370" t="s">
        <v>32</v>
      </c>
      <c r="I1370" t="s">
        <v>84</v>
      </c>
      <c r="J1370" t="s">
        <v>132</v>
      </c>
      <c r="K1370">
        <v>2</v>
      </c>
      <c r="L1370" s="2">
        <v>48.86</v>
      </c>
      <c r="M1370" s="3">
        <v>0.25</v>
      </c>
      <c r="N1370" t="s">
        <v>62</v>
      </c>
      <c r="O1370" s="2">
        <v>73.290000000000006</v>
      </c>
      <c r="P1370" s="2">
        <v>67.92</v>
      </c>
      <c r="Q1370" s="2">
        <v>5.37</v>
      </c>
      <c r="R1370">
        <v>1</v>
      </c>
      <c r="S1370">
        <v>0</v>
      </c>
      <c r="T1370">
        <v>3</v>
      </c>
      <c r="U1370">
        <v>4</v>
      </c>
    </row>
    <row r="1371" spans="1:21" ht="16.5" x14ac:dyDescent="0.3">
      <c r="A1371" t="s">
        <v>1454</v>
      </c>
      <c r="B1371" s="1">
        <v>45521</v>
      </c>
      <c r="C1371">
        <v>2024</v>
      </c>
      <c r="D1371" t="s">
        <v>1187</v>
      </c>
      <c r="E1371" t="s">
        <v>1356</v>
      </c>
      <c r="F1371" t="s">
        <v>45</v>
      </c>
      <c r="G1371" t="s">
        <v>51</v>
      </c>
      <c r="H1371" t="s">
        <v>32</v>
      </c>
      <c r="I1371" t="s">
        <v>36</v>
      </c>
      <c r="J1371" t="s">
        <v>56</v>
      </c>
      <c r="K1371">
        <v>1</v>
      </c>
      <c r="L1371" s="2">
        <v>74.3</v>
      </c>
      <c r="M1371" s="3">
        <v>0.05</v>
      </c>
      <c r="N1371" t="s">
        <v>29</v>
      </c>
      <c r="O1371" s="2">
        <v>70.58</v>
      </c>
      <c r="P1371" s="2">
        <v>35.47</v>
      </c>
      <c r="Q1371" s="2">
        <v>35.11</v>
      </c>
      <c r="R1371">
        <v>1</v>
      </c>
      <c r="S1371">
        <v>0</v>
      </c>
      <c r="T1371">
        <v>5</v>
      </c>
      <c r="U1371">
        <v>4</v>
      </c>
    </row>
    <row r="1372" spans="1:21" ht="16.5" x14ac:dyDescent="0.3">
      <c r="A1372" t="s">
        <v>1455</v>
      </c>
      <c r="B1372" s="1">
        <v>45521</v>
      </c>
      <c r="C1372">
        <v>2024</v>
      </c>
      <c r="D1372" t="s">
        <v>1187</v>
      </c>
      <c r="E1372" t="s">
        <v>1356</v>
      </c>
      <c r="F1372" t="s">
        <v>24</v>
      </c>
      <c r="G1372" t="s">
        <v>51</v>
      </c>
      <c r="H1372" t="s">
        <v>32</v>
      </c>
      <c r="I1372" t="s">
        <v>84</v>
      </c>
      <c r="J1372" t="s">
        <v>85</v>
      </c>
      <c r="K1372">
        <v>1</v>
      </c>
      <c r="L1372" s="2">
        <v>57.92</v>
      </c>
      <c r="M1372" s="3">
        <v>0.2</v>
      </c>
      <c r="N1372" t="s">
        <v>34</v>
      </c>
      <c r="O1372" s="2">
        <v>46.34</v>
      </c>
      <c r="P1372" s="2">
        <v>41.14</v>
      </c>
      <c r="Q1372" s="2">
        <v>5.2</v>
      </c>
      <c r="R1372">
        <v>1</v>
      </c>
      <c r="S1372">
        <v>0</v>
      </c>
      <c r="T1372">
        <v>3</v>
      </c>
      <c r="U1372">
        <v>4</v>
      </c>
    </row>
    <row r="1373" spans="1:21" ht="16.5" x14ac:dyDescent="0.3">
      <c r="A1373" t="s">
        <v>1456</v>
      </c>
      <c r="B1373" s="1">
        <v>45521</v>
      </c>
      <c r="C1373">
        <v>2024</v>
      </c>
      <c r="D1373" t="s">
        <v>1187</v>
      </c>
      <c r="E1373" t="s">
        <v>1356</v>
      </c>
      <c r="F1373" t="s">
        <v>24</v>
      </c>
      <c r="G1373" t="s">
        <v>51</v>
      </c>
      <c r="H1373" t="s">
        <v>32</v>
      </c>
      <c r="I1373" t="s">
        <v>36</v>
      </c>
      <c r="J1373" t="s">
        <v>56</v>
      </c>
      <c r="K1373">
        <v>4</v>
      </c>
      <c r="L1373" s="2">
        <v>74.3</v>
      </c>
      <c r="M1373" s="3">
        <v>0</v>
      </c>
      <c r="N1373" t="s">
        <v>38</v>
      </c>
      <c r="O1373" s="2">
        <v>297.2</v>
      </c>
      <c r="P1373" s="2">
        <v>138.94</v>
      </c>
      <c r="Q1373" s="2">
        <v>158.26</v>
      </c>
      <c r="R1373">
        <v>1</v>
      </c>
      <c r="S1373">
        <v>0</v>
      </c>
      <c r="T1373">
        <v>2</v>
      </c>
      <c r="U1373">
        <v>5</v>
      </c>
    </row>
    <row r="1374" spans="1:21" ht="16.5" x14ac:dyDescent="0.3">
      <c r="A1374" t="s">
        <v>1457</v>
      </c>
      <c r="B1374" s="1">
        <v>45521</v>
      </c>
      <c r="C1374">
        <v>2024</v>
      </c>
      <c r="D1374" t="s">
        <v>1187</v>
      </c>
      <c r="E1374" t="s">
        <v>1356</v>
      </c>
      <c r="F1374" t="s">
        <v>24</v>
      </c>
      <c r="G1374" t="s">
        <v>49</v>
      </c>
      <c r="H1374" t="s">
        <v>32</v>
      </c>
      <c r="I1374" t="s">
        <v>36</v>
      </c>
      <c r="J1374" t="s">
        <v>37</v>
      </c>
      <c r="K1374">
        <v>1</v>
      </c>
      <c r="L1374" s="2">
        <v>33.18</v>
      </c>
      <c r="M1374" s="3">
        <v>0.15</v>
      </c>
      <c r="N1374" t="s">
        <v>34</v>
      </c>
      <c r="O1374" s="2">
        <v>28.2</v>
      </c>
      <c r="P1374" s="2">
        <v>15.72</v>
      </c>
      <c r="Q1374" s="2">
        <v>12.48</v>
      </c>
      <c r="R1374">
        <v>1</v>
      </c>
      <c r="S1374">
        <v>0</v>
      </c>
      <c r="T1374">
        <v>3</v>
      </c>
      <c r="U1374">
        <v>5</v>
      </c>
    </row>
    <row r="1375" spans="1:21" ht="16.5" x14ac:dyDescent="0.3">
      <c r="A1375" t="s">
        <v>1458</v>
      </c>
      <c r="B1375" s="1">
        <v>45521</v>
      </c>
      <c r="C1375">
        <v>2024</v>
      </c>
      <c r="D1375" t="s">
        <v>1187</v>
      </c>
      <c r="E1375" t="s">
        <v>1356</v>
      </c>
      <c r="F1375" t="s">
        <v>45</v>
      </c>
      <c r="G1375" t="s">
        <v>49</v>
      </c>
      <c r="H1375" t="s">
        <v>26</v>
      </c>
      <c r="I1375" t="s">
        <v>36</v>
      </c>
      <c r="J1375" t="s">
        <v>37</v>
      </c>
      <c r="K1375">
        <v>1</v>
      </c>
      <c r="L1375" s="2">
        <v>33.18</v>
      </c>
      <c r="M1375" s="3">
        <v>0.3</v>
      </c>
      <c r="N1375" t="s">
        <v>62</v>
      </c>
      <c r="O1375" s="2">
        <v>23.23</v>
      </c>
      <c r="P1375" s="2">
        <v>15.39</v>
      </c>
      <c r="Q1375" s="2">
        <v>7.84</v>
      </c>
      <c r="R1375">
        <v>1</v>
      </c>
      <c r="S1375">
        <v>0</v>
      </c>
      <c r="T1375">
        <v>4</v>
      </c>
      <c r="U1375">
        <v>3</v>
      </c>
    </row>
    <row r="1376" spans="1:21" ht="16.5" x14ac:dyDescent="0.3">
      <c r="A1376" t="s">
        <v>1459</v>
      </c>
      <c r="B1376" s="1">
        <v>45521</v>
      </c>
      <c r="C1376">
        <v>2024</v>
      </c>
      <c r="D1376" t="s">
        <v>1187</v>
      </c>
      <c r="E1376" t="s">
        <v>1356</v>
      </c>
      <c r="F1376" t="s">
        <v>31</v>
      </c>
      <c r="G1376" t="s">
        <v>46</v>
      </c>
      <c r="H1376" t="s">
        <v>26</v>
      </c>
      <c r="I1376" t="s">
        <v>27</v>
      </c>
      <c r="J1376" t="s">
        <v>47</v>
      </c>
      <c r="K1376">
        <v>1</v>
      </c>
      <c r="L1376" s="2">
        <v>33.99</v>
      </c>
      <c r="M1376" s="3">
        <v>0</v>
      </c>
      <c r="N1376" t="s">
        <v>38</v>
      </c>
      <c r="O1376" s="2">
        <v>33.99</v>
      </c>
      <c r="P1376" s="2">
        <v>18.420000000000002</v>
      </c>
      <c r="Q1376" s="2">
        <v>15.57</v>
      </c>
      <c r="R1376">
        <v>1</v>
      </c>
      <c r="S1376">
        <v>0</v>
      </c>
      <c r="T1376">
        <v>6</v>
      </c>
      <c r="U1376">
        <v>4</v>
      </c>
    </row>
    <row r="1377" spans="1:21" ht="16.5" x14ac:dyDescent="0.3">
      <c r="A1377" t="s">
        <v>1460</v>
      </c>
      <c r="B1377" s="1">
        <v>45521</v>
      </c>
      <c r="C1377">
        <v>2024</v>
      </c>
      <c r="D1377" t="s">
        <v>1187</v>
      </c>
      <c r="E1377" t="s">
        <v>1356</v>
      </c>
      <c r="F1377" t="s">
        <v>45</v>
      </c>
      <c r="G1377" t="s">
        <v>49</v>
      </c>
      <c r="H1377" t="s">
        <v>32</v>
      </c>
      <c r="I1377" t="s">
        <v>70</v>
      </c>
      <c r="J1377" t="s">
        <v>129</v>
      </c>
      <c r="K1377">
        <v>1</v>
      </c>
      <c r="L1377" s="2">
        <v>177.65</v>
      </c>
      <c r="M1377" s="3">
        <v>0.2</v>
      </c>
      <c r="N1377" t="s">
        <v>34</v>
      </c>
      <c r="O1377" s="2">
        <v>142.12</v>
      </c>
      <c r="P1377" s="2">
        <v>141.97</v>
      </c>
      <c r="Q1377" s="2">
        <v>0.15</v>
      </c>
      <c r="R1377">
        <v>1</v>
      </c>
      <c r="S1377">
        <v>0</v>
      </c>
      <c r="T1377">
        <v>5</v>
      </c>
      <c r="U1377">
        <v>5</v>
      </c>
    </row>
    <row r="1378" spans="1:21" ht="16.5" x14ac:dyDescent="0.3">
      <c r="A1378" t="s">
        <v>1461</v>
      </c>
      <c r="B1378" s="1">
        <v>45521</v>
      </c>
      <c r="C1378">
        <v>2024</v>
      </c>
      <c r="D1378" t="s">
        <v>1187</v>
      </c>
      <c r="E1378" t="s">
        <v>1356</v>
      </c>
      <c r="F1378" t="s">
        <v>24</v>
      </c>
      <c r="G1378" t="s">
        <v>49</v>
      </c>
      <c r="H1378" t="s">
        <v>32</v>
      </c>
      <c r="I1378" t="s">
        <v>67</v>
      </c>
      <c r="J1378" t="s">
        <v>174</v>
      </c>
      <c r="K1378">
        <v>1</v>
      </c>
      <c r="L1378" s="2">
        <v>137.05000000000001</v>
      </c>
      <c r="M1378" s="3">
        <v>0</v>
      </c>
      <c r="N1378" t="s">
        <v>38</v>
      </c>
      <c r="O1378" s="2">
        <v>137.05000000000001</v>
      </c>
      <c r="P1378" s="2">
        <v>94.24</v>
      </c>
      <c r="Q1378" s="2">
        <v>42.81</v>
      </c>
      <c r="R1378">
        <v>1</v>
      </c>
      <c r="S1378">
        <v>0</v>
      </c>
      <c r="T1378">
        <v>4</v>
      </c>
      <c r="U1378">
        <v>4</v>
      </c>
    </row>
    <row r="1379" spans="1:21" ht="16.5" x14ac:dyDescent="0.3">
      <c r="A1379" t="s">
        <v>1462</v>
      </c>
      <c r="B1379" s="1">
        <v>45521</v>
      </c>
      <c r="C1379">
        <v>2024</v>
      </c>
      <c r="D1379" t="s">
        <v>1187</v>
      </c>
      <c r="E1379" t="s">
        <v>1356</v>
      </c>
      <c r="F1379" t="s">
        <v>31</v>
      </c>
      <c r="G1379" t="s">
        <v>51</v>
      </c>
      <c r="H1379" t="s">
        <v>26</v>
      </c>
      <c r="I1379" t="s">
        <v>42</v>
      </c>
      <c r="J1379" t="s">
        <v>54</v>
      </c>
      <c r="K1379">
        <v>1</v>
      </c>
      <c r="L1379" s="2">
        <v>148.05000000000001</v>
      </c>
      <c r="M1379" s="3">
        <v>0</v>
      </c>
      <c r="N1379" t="s">
        <v>38</v>
      </c>
      <c r="O1379" s="2">
        <v>148.05000000000001</v>
      </c>
      <c r="P1379" s="2">
        <v>97.65</v>
      </c>
      <c r="Q1379" s="2">
        <v>50.4</v>
      </c>
      <c r="R1379">
        <v>1</v>
      </c>
      <c r="S1379">
        <v>0</v>
      </c>
      <c r="T1379">
        <v>2</v>
      </c>
      <c r="U1379">
        <v>5</v>
      </c>
    </row>
    <row r="1380" spans="1:21" ht="16.5" x14ac:dyDescent="0.3">
      <c r="A1380" t="s">
        <v>1463</v>
      </c>
      <c r="B1380" s="1">
        <v>45521</v>
      </c>
      <c r="C1380">
        <v>2024</v>
      </c>
      <c r="D1380" t="s">
        <v>1187</v>
      </c>
      <c r="E1380" t="s">
        <v>1356</v>
      </c>
      <c r="F1380" t="s">
        <v>45</v>
      </c>
      <c r="G1380" t="s">
        <v>49</v>
      </c>
      <c r="H1380" t="s">
        <v>32</v>
      </c>
      <c r="I1380" t="s">
        <v>70</v>
      </c>
      <c r="J1380" t="s">
        <v>162</v>
      </c>
      <c r="K1380">
        <v>1</v>
      </c>
      <c r="L1380" s="2">
        <v>636.09</v>
      </c>
      <c r="M1380" s="3">
        <v>0.05</v>
      </c>
      <c r="N1380" t="s">
        <v>29</v>
      </c>
      <c r="O1380" s="2">
        <v>604.29</v>
      </c>
      <c r="P1380" s="2">
        <v>525.66999999999996</v>
      </c>
      <c r="Q1380" s="2">
        <v>78.62</v>
      </c>
      <c r="R1380">
        <v>1</v>
      </c>
      <c r="S1380">
        <v>0</v>
      </c>
      <c r="T1380">
        <v>4</v>
      </c>
      <c r="U1380">
        <v>4</v>
      </c>
    </row>
    <row r="1381" spans="1:21" ht="16.5" x14ac:dyDescent="0.3">
      <c r="A1381" t="s">
        <v>1464</v>
      </c>
      <c r="B1381" s="1">
        <v>45522</v>
      </c>
      <c r="C1381">
        <v>2024</v>
      </c>
      <c r="D1381" t="s">
        <v>1187</v>
      </c>
      <c r="E1381" t="s">
        <v>1356</v>
      </c>
      <c r="F1381" t="s">
        <v>24</v>
      </c>
      <c r="G1381" t="s">
        <v>25</v>
      </c>
      <c r="H1381" t="s">
        <v>26</v>
      </c>
      <c r="I1381" t="s">
        <v>70</v>
      </c>
      <c r="J1381" t="s">
        <v>87</v>
      </c>
      <c r="K1381">
        <v>1</v>
      </c>
      <c r="L1381" s="2">
        <v>490.3</v>
      </c>
      <c r="M1381" s="3">
        <v>0.05</v>
      </c>
      <c r="N1381" t="s">
        <v>29</v>
      </c>
      <c r="O1381" s="2">
        <v>465.78</v>
      </c>
      <c r="P1381" s="2">
        <v>395.68</v>
      </c>
      <c r="Q1381" s="2">
        <v>70.099999999999994</v>
      </c>
      <c r="R1381">
        <v>1</v>
      </c>
      <c r="S1381">
        <v>0</v>
      </c>
      <c r="T1381">
        <v>4</v>
      </c>
      <c r="U1381">
        <v>5</v>
      </c>
    </row>
    <row r="1382" spans="1:21" ht="16.5" x14ac:dyDescent="0.3">
      <c r="A1382" t="s">
        <v>1465</v>
      </c>
      <c r="B1382" s="1">
        <v>45522</v>
      </c>
      <c r="C1382">
        <v>2024</v>
      </c>
      <c r="D1382" t="s">
        <v>1187</v>
      </c>
      <c r="E1382" t="s">
        <v>1356</v>
      </c>
      <c r="F1382" t="s">
        <v>24</v>
      </c>
      <c r="G1382" t="s">
        <v>49</v>
      </c>
      <c r="H1382" t="s">
        <v>32</v>
      </c>
      <c r="I1382" t="s">
        <v>42</v>
      </c>
      <c r="J1382" t="s">
        <v>98</v>
      </c>
      <c r="K1382">
        <v>1</v>
      </c>
      <c r="L1382" s="2">
        <v>117.63</v>
      </c>
      <c r="M1382" s="3">
        <v>0.1</v>
      </c>
      <c r="N1382" t="s">
        <v>29</v>
      </c>
      <c r="O1382" s="2">
        <v>105.87</v>
      </c>
      <c r="P1382" s="2">
        <v>78.83</v>
      </c>
      <c r="Q1382" s="2">
        <v>27.04</v>
      </c>
      <c r="R1382">
        <v>1</v>
      </c>
      <c r="S1382">
        <v>0</v>
      </c>
      <c r="T1382">
        <v>3</v>
      </c>
      <c r="U1382">
        <v>3</v>
      </c>
    </row>
    <row r="1383" spans="1:21" ht="16.5" x14ac:dyDescent="0.3">
      <c r="A1383" t="s">
        <v>1466</v>
      </c>
      <c r="B1383" s="1">
        <v>45522</v>
      </c>
      <c r="C1383">
        <v>2024</v>
      </c>
      <c r="D1383" t="s">
        <v>1187</v>
      </c>
      <c r="E1383" t="s">
        <v>1356</v>
      </c>
      <c r="F1383" t="s">
        <v>24</v>
      </c>
      <c r="G1383" t="s">
        <v>51</v>
      </c>
      <c r="H1383" t="s">
        <v>26</v>
      </c>
      <c r="I1383" t="s">
        <v>42</v>
      </c>
      <c r="J1383" t="s">
        <v>43</v>
      </c>
      <c r="K1383">
        <v>4</v>
      </c>
      <c r="L1383" s="2">
        <v>154.66</v>
      </c>
      <c r="M1383" s="3">
        <v>0.05</v>
      </c>
      <c r="N1383" t="s">
        <v>29</v>
      </c>
      <c r="O1383" s="2">
        <v>587.71</v>
      </c>
      <c r="P1383" s="2">
        <v>423.32</v>
      </c>
      <c r="Q1383" s="2">
        <v>164.39</v>
      </c>
      <c r="R1383">
        <v>1</v>
      </c>
      <c r="S1383">
        <v>0</v>
      </c>
      <c r="T1383">
        <v>4</v>
      </c>
      <c r="U1383">
        <v>4</v>
      </c>
    </row>
    <row r="1384" spans="1:21" ht="16.5" x14ac:dyDescent="0.3">
      <c r="A1384" t="s">
        <v>1467</v>
      </c>
      <c r="B1384" s="1">
        <v>45522</v>
      </c>
      <c r="C1384">
        <v>2024</v>
      </c>
      <c r="D1384" t="s">
        <v>1187</v>
      </c>
      <c r="E1384" t="s">
        <v>1356</v>
      </c>
      <c r="F1384" t="s">
        <v>24</v>
      </c>
      <c r="G1384" t="s">
        <v>25</v>
      </c>
      <c r="H1384" t="s">
        <v>26</v>
      </c>
      <c r="I1384" t="s">
        <v>67</v>
      </c>
      <c r="J1384" t="s">
        <v>78</v>
      </c>
      <c r="K1384">
        <v>2</v>
      </c>
      <c r="L1384" s="2">
        <v>85.42</v>
      </c>
      <c r="M1384" s="3">
        <v>0.05</v>
      </c>
      <c r="N1384" t="s">
        <v>29</v>
      </c>
      <c r="O1384" s="2">
        <v>162.30000000000001</v>
      </c>
      <c r="P1384" s="2">
        <v>113.04</v>
      </c>
      <c r="Q1384" s="2">
        <v>49.26</v>
      </c>
      <c r="R1384">
        <v>1</v>
      </c>
      <c r="S1384">
        <v>0</v>
      </c>
      <c r="T1384">
        <v>4</v>
      </c>
      <c r="U1384">
        <v>5</v>
      </c>
    </row>
    <row r="1385" spans="1:21" ht="16.5" x14ac:dyDescent="0.3">
      <c r="A1385" t="s">
        <v>1468</v>
      </c>
      <c r="B1385" s="1">
        <v>45522</v>
      </c>
      <c r="C1385">
        <v>2024</v>
      </c>
      <c r="D1385" t="s">
        <v>1187</v>
      </c>
      <c r="E1385" t="s">
        <v>1356</v>
      </c>
      <c r="F1385" t="s">
        <v>24</v>
      </c>
      <c r="G1385" t="s">
        <v>51</v>
      </c>
      <c r="H1385" t="s">
        <v>32</v>
      </c>
      <c r="I1385" t="s">
        <v>84</v>
      </c>
      <c r="J1385" t="s">
        <v>96</v>
      </c>
      <c r="K1385">
        <v>1</v>
      </c>
      <c r="L1385" s="2">
        <v>10.76</v>
      </c>
      <c r="M1385" s="3">
        <v>0</v>
      </c>
      <c r="N1385" t="s">
        <v>38</v>
      </c>
      <c r="O1385" s="2">
        <v>10.76</v>
      </c>
      <c r="P1385" s="2">
        <v>7.94</v>
      </c>
      <c r="Q1385" s="2">
        <v>2.82</v>
      </c>
      <c r="R1385">
        <v>1</v>
      </c>
      <c r="S1385">
        <v>0</v>
      </c>
      <c r="T1385">
        <v>6</v>
      </c>
      <c r="U1385">
        <v>3</v>
      </c>
    </row>
    <row r="1386" spans="1:21" ht="16.5" x14ac:dyDescent="0.3">
      <c r="A1386" t="s">
        <v>1469</v>
      </c>
      <c r="B1386" s="1">
        <v>45522</v>
      </c>
      <c r="C1386">
        <v>2024</v>
      </c>
      <c r="D1386" t="s">
        <v>1187</v>
      </c>
      <c r="E1386" t="s">
        <v>1356</v>
      </c>
      <c r="F1386" t="s">
        <v>31</v>
      </c>
      <c r="G1386" t="s">
        <v>65</v>
      </c>
      <c r="H1386" t="s">
        <v>32</v>
      </c>
      <c r="I1386" t="s">
        <v>27</v>
      </c>
      <c r="J1386" t="s">
        <v>40</v>
      </c>
      <c r="K1386">
        <v>1</v>
      </c>
      <c r="L1386" s="2">
        <v>104.94</v>
      </c>
      <c r="M1386" s="3">
        <v>0</v>
      </c>
      <c r="N1386" t="s">
        <v>38</v>
      </c>
      <c r="O1386" s="2">
        <v>104.94</v>
      </c>
      <c r="P1386" s="2">
        <v>55.88</v>
      </c>
      <c r="Q1386" s="2">
        <v>49.06</v>
      </c>
      <c r="R1386">
        <v>1</v>
      </c>
      <c r="S1386">
        <v>0</v>
      </c>
      <c r="T1386">
        <v>5</v>
      </c>
      <c r="U1386">
        <v>5</v>
      </c>
    </row>
    <row r="1387" spans="1:21" ht="16.5" x14ac:dyDescent="0.3">
      <c r="A1387" t="s">
        <v>1470</v>
      </c>
      <c r="B1387" s="1">
        <v>45522</v>
      </c>
      <c r="C1387">
        <v>2024</v>
      </c>
      <c r="D1387" t="s">
        <v>1187</v>
      </c>
      <c r="E1387" t="s">
        <v>1356</v>
      </c>
      <c r="F1387" t="s">
        <v>24</v>
      </c>
      <c r="G1387" t="s">
        <v>49</v>
      </c>
      <c r="H1387" t="s">
        <v>26</v>
      </c>
      <c r="I1387" t="s">
        <v>70</v>
      </c>
      <c r="J1387" t="s">
        <v>87</v>
      </c>
      <c r="K1387">
        <v>1</v>
      </c>
      <c r="L1387" s="2">
        <v>490.3</v>
      </c>
      <c r="M1387" s="3">
        <v>0.25</v>
      </c>
      <c r="N1387" t="s">
        <v>62</v>
      </c>
      <c r="O1387" s="2">
        <v>367.72</v>
      </c>
      <c r="P1387" s="2">
        <v>398.76</v>
      </c>
      <c r="Q1387" s="2">
        <v>-31.04</v>
      </c>
      <c r="R1387">
        <v>1</v>
      </c>
      <c r="S1387">
        <v>0</v>
      </c>
      <c r="T1387">
        <v>5</v>
      </c>
      <c r="U1387">
        <v>5</v>
      </c>
    </row>
    <row r="1388" spans="1:21" ht="16.5" x14ac:dyDescent="0.3">
      <c r="A1388" t="s">
        <v>1471</v>
      </c>
      <c r="B1388" s="1">
        <v>45522</v>
      </c>
      <c r="C1388">
        <v>2024</v>
      </c>
      <c r="D1388" t="s">
        <v>1187</v>
      </c>
      <c r="E1388" t="s">
        <v>1356</v>
      </c>
      <c r="F1388" t="s">
        <v>24</v>
      </c>
      <c r="G1388" t="s">
        <v>51</v>
      </c>
      <c r="H1388" t="s">
        <v>26</v>
      </c>
      <c r="I1388" t="s">
        <v>36</v>
      </c>
      <c r="J1388" t="s">
        <v>56</v>
      </c>
      <c r="K1388">
        <v>2</v>
      </c>
      <c r="L1388" s="2">
        <v>74.3</v>
      </c>
      <c r="M1388" s="3">
        <v>0.15</v>
      </c>
      <c r="N1388" t="s">
        <v>34</v>
      </c>
      <c r="O1388" s="2">
        <v>126.31</v>
      </c>
      <c r="P1388" s="2">
        <v>72.760000000000005</v>
      </c>
      <c r="Q1388" s="2">
        <v>53.55</v>
      </c>
      <c r="R1388">
        <v>1</v>
      </c>
      <c r="S1388">
        <v>0</v>
      </c>
      <c r="T1388">
        <v>5</v>
      </c>
      <c r="U1388">
        <v>4</v>
      </c>
    </row>
    <row r="1389" spans="1:21" ht="16.5" x14ac:dyDescent="0.3">
      <c r="A1389" t="s">
        <v>1472</v>
      </c>
      <c r="B1389" s="1">
        <v>45523</v>
      </c>
      <c r="C1389">
        <v>2024</v>
      </c>
      <c r="D1389" t="s">
        <v>1187</v>
      </c>
      <c r="E1389" t="s">
        <v>1356</v>
      </c>
      <c r="F1389" t="s">
        <v>31</v>
      </c>
      <c r="G1389" t="s">
        <v>49</v>
      </c>
      <c r="H1389" t="s">
        <v>32</v>
      </c>
      <c r="I1389" t="s">
        <v>36</v>
      </c>
      <c r="J1389" t="s">
        <v>52</v>
      </c>
      <c r="K1389">
        <v>3</v>
      </c>
      <c r="L1389" s="2">
        <v>92.54</v>
      </c>
      <c r="M1389" s="3">
        <v>0</v>
      </c>
      <c r="N1389" t="s">
        <v>38</v>
      </c>
      <c r="O1389" s="2">
        <v>277.62</v>
      </c>
      <c r="P1389" s="2">
        <v>128.03</v>
      </c>
      <c r="Q1389" s="2">
        <v>149.59</v>
      </c>
      <c r="R1389">
        <v>1</v>
      </c>
      <c r="S1389">
        <v>0</v>
      </c>
      <c r="T1389">
        <v>8</v>
      </c>
      <c r="U1389">
        <v>4</v>
      </c>
    </row>
    <row r="1390" spans="1:21" ht="16.5" x14ac:dyDescent="0.3">
      <c r="A1390" t="s">
        <v>1473</v>
      </c>
      <c r="B1390" s="1">
        <v>45523</v>
      </c>
      <c r="C1390">
        <v>2024</v>
      </c>
      <c r="D1390" t="s">
        <v>1187</v>
      </c>
      <c r="E1390" t="s">
        <v>1356</v>
      </c>
      <c r="F1390" t="s">
        <v>31</v>
      </c>
      <c r="G1390" t="s">
        <v>51</v>
      </c>
      <c r="H1390" t="s">
        <v>26</v>
      </c>
      <c r="I1390" t="s">
        <v>42</v>
      </c>
      <c r="J1390" t="s">
        <v>43</v>
      </c>
      <c r="K1390">
        <v>1</v>
      </c>
      <c r="L1390" s="2">
        <v>154.66</v>
      </c>
      <c r="M1390" s="3">
        <v>0.1</v>
      </c>
      <c r="N1390" t="s">
        <v>29</v>
      </c>
      <c r="O1390" s="2">
        <v>139.19</v>
      </c>
      <c r="P1390" s="2">
        <v>96.99</v>
      </c>
      <c r="Q1390" s="2">
        <v>42.2</v>
      </c>
      <c r="R1390">
        <v>1</v>
      </c>
      <c r="S1390">
        <v>0</v>
      </c>
      <c r="T1390">
        <v>3</v>
      </c>
      <c r="U1390">
        <v>5</v>
      </c>
    </row>
    <row r="1391" spans="1:21" ht="16.5" x14ac:dyDescent="0.3">
      <c r="A1391" t="s">
        <v>1474</v>
      </c>
      <c r="B1391" s="1">
        <v>45524</v>
      </c>
      <c r="C1391">
        <v>2024</v>
      </c>
      <c r="D1391" t="s">
        <v>1187</v>
      </c>
      <c r="E1391" t="s">
        <v>1356</v>
      </c>
      <c r="F1391" t="s">
        <v>24</v>
      </c>
      <c r="G1391" t="s">
        <v>51</v>
      </c>
      <c r="H1391" t="s">
        <v>26</v>
      </c>
      <c r="I1391" t="s">
        <v>70</v>
      </c>
      <c r="J1391" t="s">
        <v>252</v>
      </c>
      <c r="K1391">
        <v>1</v>
      </c>
      <c r="L1391" s="2">
        <v>216.08</v>
      </c>
      <c r="M1391" s="3">
        <v>0</v>
      </c>
      <c r="N1391" t="s">
        <v>38</v>
      </c>
      <c r="O1391" s="2">
        <v>216.08</v>
      </c>
      <c r="P1391" s="2">
        <v>173.69</v>
      </c>
      <c r="Q1391" s="2">
        <v>42.39</v>
      </c>
      <c r="R1391">
        <v>1</v>
      </c>
      <c r="S1391">
        <v>0</v>
      </c>
      <c r="T1391">
        <v>3</v>
      </c>
      <c r="U1391">
        <v>4</v>
      </c>
    </row>
    <row r="1392" spans="1:21" ht="16.5" x14ac:dyDescent="0.3">
      <c r="A1392" t="s">
        <v>1475</v>
      </c>
      <c r="B1392" s="1">
        <v>45524</v>
      </c>
      <c r="C1392">
        <v>2024</v>
      </c>
      <c r="D1392" t="s">
        <v>1187</v>
      </c>
      <c r="E1392" t="s">
        <v>1356</v>
      </c>
      <c r="F1392" t="s">
        <v>45</v>
      </c>
      <c r="G1392" t="s">
        <v>49</v>
      </c>
      <c r="H1392" t="s">
        <v>26</v>
      </c>
      <c r="I1392" t="s">
        <v>27</v>
      </c>
      <c r="J1392" t="s">
        <v>110</v>
      </c>
      <c r="K1392">
        <v>1</v>
      </c>
      <c r="L1392" s="2">
        <v>19.41</v>
      </c>
      <c r="M1392" s="3">
        <v>0.1</v>
      </c>
      <c r="N1392" t="s">
        <v>29</v>
      </c>
      <c r="O1392" s="2">
        <v>17.47</v>
      </c>
      <c r="P1392" s="2">
        <v>10.25</v>
      </c>
      <c r="Q1392" s="2">
        <v>7.22</v>
      </c>
      <c r="R1392">
        <v>1</v>
      </c>
      <c r="S1392">
        <v>0</v>
      </c>
      <c r="T1392">
        <v>3</v>
      </c>
      <c r="U1392">
        <v>4</v>
      </c>
    </row>
    <row r="1393" spans="1:21" ht="16.5" x14ac:dyDescent="0.3">
      <c r="A1393" t="s">
        <v>1476</v>
      </c>
      <c r="B1393" s="1">
        <v>45524</v>
      </c>
      <c r="C1393">
        <v>2024</v>
      </c>
      <c r="D1393" t="s">
        <v>1187</v>
      </c>
      <c r="E1393" t="s">
        <v>1356</v>
      </c>
      <c r="F1393" t="s">
        <v>24</v>
      </c>
      <c r="G1393" t="s">
        <v>65</v>
      </c>
      <c r="H1393" t="s">
        <v>32</v>
      </c>
      <c r="I1393" t="s">
        <v>27</v>
      </c>
      <c r="J1393" t="s">
        <v>60</v>
      </c>
      <c r="K1393">
        <v>1</v>
      </c>
      <c r="L1393" s="2">
        <v>94.85</v>
      </c>
      <c r="M1393" s="3">
        <v>0.15</v>
      </c>
      <c r="N1393" t="s">
        <v>34</v>
      </c>
      <c r="O1393" s="2">
        <v>80.62</v>
      </c>
      <c r="P1393" s="2">
        <v>50.14</v>
      </c>
      <c r="Q1393" s="2">
        <v>30.48</v>
      </c>
      <c r="R1393">
        <v>1</v>
      </c>
      <c r="S1393">
        <v>0</v>
      </c>
      <c r="T1393">
        <v>6</v>
      </c>
      <c r="U1393">
        <v>3</v>
      </c>
    </row>
    <row r="1394" spans="1:21" ht="16.5" x14ac:dyDescent="0.3">
      <c r="A1394" t="s">
        <v>1477</v>
      </c>
      <c r="B1394" s="1">
        <v>45524</v>
      </c>
      <c r="C1394">
        <v>2024</v>
      </c>
      <c r="D1394" t="s">
        <v>1187</v>
      </c>
      <c r="E1394" t="s">
        <v>1356</v>
      </c>
      <c r="F1394" t="s">
        <v>24</v>
      </c>
      <c r="G1394" t="s">
        <v>51</v>
      </c>
      <c r="H1394" t="s">
        <v>32</v>
      </c>
      <c r="I1394" t="s">
        <v>70</v>
      </c>
      <c r="J1394" t="s">
        <v>87</v>
      </c>
      <c r="K1394">
        <v>2</v>
      </c>
      <c r="L1394" s="2">
        <v>490.3</v>
      </c>
      <c r="M1394" s="3">
        <v>0</v>
      </c>
      <c r="N1394" t="s">
        <v>38</v>
      </c>
      <c r="O1394" s="2">
        <v>980.6</v>
      </c>
      <c r="P1394" s="2">
        <v>824.19</v>
      </c>
      <c r="Q1394" s="2">
        <v>156.41</v>
      </c>
      <c r="R1394">
        <v>1</v>
      </c>
      <c r="S1394">
        <v>0</v>
      </c>
      <c r="T1394">
        <v>3</v>
      </c>
      <c r="U1394">
        <v>4</v>
      </c>
    </row>
    <row r="1395" spans="1:21" ht="16.5" x14ac:dyDescent="0.3">
      <c r="A1395" t="s">
        <v>1478</v>
      </c>
      <c r="B1395" s="1">
        <v>45524</v>
      </c>
      <c r="C1395">
        <v>2024</v>
      </c>
      <c r="D1395" t="s">
        <v>1187</v>
      </c>
      <c r="E1395" t="s">
        <v>1356</v>
      </c>
      <c r="F1395" t="s">
        <v>31</v>
      </c>
      <c r="G1395" t="s">
        <v>65</v>
      </c>
      <c r="H1395" t="s">
        <v>32</v>
      </c>
      <c r="I1395" t="s">
        <v>42</v>
      </c>
      <c r="J1395" t="s">
        <v>54</v>
      </c>
      <c r="K1395">
        <v>1</v>
      </c>
      <c r="L1395" s="2">
        <v>148.05000000000001</v>
      </c>
      <c r="M1395" s="3">
        <v>0.05</v>
      </c>
      <c r="N1395" t="s">
        <v>29</v>
      </c>
      <c r="O1395" s="2">
        <v>140.65</v>
      </c>
      <c r="P1395" s="2">
        <v>97.08</v>
      </c>
      <c r="Q1395" s="2">
        <v>43.57</v>
      </c>
      <c r="R1395">
        <v>1</v>
      </c>
      <c r="S1395">
        <v>0</v>
      </c>
      <c r="T1395">
        <v>7</v>
      </c>
      <c r="U1395">
        <v>5</v>
      </c>
    </row>
    <row r="1396" spans="1:21" ht="16.5" x14ac:dyDescent="0.3">
      <c r="A1396" t="s">
        <v>1479</v>
      </c>
      <c r="B1396" s="1">
        <v>45524</v>
      </c>
      <c r="C1396">
        <v>2024</v>
      </c>
      <c r="D1396" t="s">
        <v>1187</v>
      </c>
      <c r="E1396" t="s">
        <v>1356</v>
      </c>
      <c r="F1396" t="s">
        <v>24</v>
      </c>
      <c r="G1396" t="s">
        <v>51</v>
      </c>
      <c r="H1396" t="s">
        <v>32</v>
      </c>
      <c r="I1396" t="s">
        <v>84</v>
      </c>
      <c r="J1396" t="s">
        <v>85</v>
      </c>
      <c r="K1396">
        <v>2</v>
      </c>
      <c r="L1396" s="2">
        <v>57.92</v>
      </c>
      <c r="M1396" s="3">
        <v>0.05</v>
      </c>
      <c r="N1396" t="s">
        <v>29</v>
      </c>
      <c r="O1396" s="2">
        <v>110.05</v>
      </c>
      <c r="P1396" s="2">
        <v>83.67</v>
      </c>
      <c r="Q1396" s="2">
        <v>26.38</v>
      </c>
      <c r="R1396">
        <v>1</v>
      </c>
      <c r="S1396">
        <v>0</v>
      </c>
      <c r="T1396">
        <v>3</v>
      </c>
      <c r="U1396">
        <v>5</v>
      </c>
    </row>
    <row r="1397" spans="1:21" ht="16.5" x14ac:dyDescent="0.3">
      <c r="A1397" t="s">
        <v>1480</v>
      </c>
      <c r="B1397" s="1">
        <v>45525</v>
      </c>
      <c r="C1397">
        <v>2024</v>
      </c>
      <c r="D1397" t="s">
        <v>1187</v>
      </c>
      <c r="E1397" t="s">
        <v>1356</v>
      </c>
      <c r="F1397" t="s">
        <v>31</v>
      </c>
      <c r="G1397" t="s">
        <v>49</v>
      </c>
      <c r="H1397" t="s">
        <v>32</v>
      </c>
      <c r="I1397" t="s">
        <v>70</v>
      </c>
      <c r="J1397" t="s">
        <v>162</v>
      </c>
      <c r="K1397">
        <v>1</v>
      </c>
      <c r="L1397" s="2">
        <v>636.09</v>
      </c>
      <c r="M1397" s="3">
        <v>0.15</v>
      </c>
      <c r="N1397" t="s">
        <v>34</v>
      </c>
      <c r="O1397" s="2">
        <v>540.67999999999995</v>
      </c>
      <c r="P1397" s="2">
        <v>503.23</v>
      </c>
      <c r="Q1397" s="2">
        <v>37.450000000000003</v>
      </c>
      <c r="R1397">
        <v>1</v>
      </c>
      <c r="S1397">
        <v>0</v>
      </c>
      <c r="T1397">
        <v>3</v>
      </c>
      <c r="U1397">
        <v>3</v>
      </c>
    </row>
    <row r="1398" spans="1:21" ht="16.5" x14ac:dyDescent="0.3">
      <c r="A1398" t="s">
        <v>1481</v>
      </c>
      <c r="B1398" s="1">
        <v>45525</v>
      </c>
      <c r="C1398">
        <v>2024</v>
      </c>
      <c r="D1398" t="s">
        <v>1187</v>
      </c>
      <c r="E1398" t="s">
        <v>1356</v>
      </c>
      <c r="F1398" t="s">
        <v>24</v>
      </c>
      <c r="G1398" t="s">
        <v>25</v>
      </c>
      <c r="H1398" t="s">
        <v>26</v>
      </c>
      <c r="I1398" t="s">
        <v>84</v>
      </c>
      <c r="J1398" t="s">
        <v>96</v>
      </c>
      <c r="K1398">
        <v>1</v>
      </c>
      <c r="L1398" s="2">
        <v>10.76</v>
      </c>
      <c r="M1398" s="3">
        <v>0</v>
      </c>
      <c r="N1398" t="s">
        <v>38</v>
      </c>
      <c r="O1398" s="2">
        <v>10.76</v>
      </c>
      <c r="P1398" s="2">
        <v>7.81</v>
      </c>
      <c r="Q1398" s="2">
        <v>2.95</v>
      </c>
      <c r="R1398">
        <v>1</v>
      </c>
      <c r="S1398">
        <v>0</v>
      </c>
      <c r="T1398">
        <v>4</v>
      </c>
      <c r="U1398">
        <v>5</v>
      </c>
    </row>
    <row r="1399" spans="1:21" ht="16.5" x14ac:dyDescent="0.3">
      <c r="A1399" t="s">
        <v>1482</v>
      </c>
      <c r="B1399" s="1">
        <v>45525</v>
      </c>
      <c r="C1399">
        <v>2024</v>
      </c>
      <c r="D1399" t="s">
        <v>1187</v>
      </c>
      <c r="E1399" t="s">
        <v>1356</v>
      </c>
      <c r="F1399" t="s">
        <v>45</v>
      </c>
      <c r="G1399" t="s">
        <v>51</v>
      </c>
      <c r="H1399" t="s">
        <v>26</v>
      </c>
      <c r="I1399" t="s">
        <v>27</v>
      </c>
      <c r="J1399" t="s">
        <v>28</v>
      </c>
      <c r="K1399">
        <v>2</v>
      </c>
      <c r="L1399" s="2">
        <v>138.5</v>
      </c>
      <c r="M1399" s="3">
        <v>0</v>
      </c>
      <c r="N1399" t="s">
        <v>38</v>
      </c>
      <c r="O1399" s="2">
        <v>277</v>
      </c>
      <c r="P1399" s="2">
        <v>149.24</v>
      </c>
      <c r="Q1399" s="2">
        <v>127.76</v>
      </c>
      <c r="R1399">
        <v>1</v>
      </c>
      <c r="S1399">
        <v>0</v>
      </c>
      <c r="T1399">
        <v>4</v>
      </c>
      <c r="U1399">
        <v>4</v>
      </c>
    </row>
    <row r="1400" spans="1:21" ht="16.5" x14ac:dyDescent="0.3">
      <c r="A1400" t="s">
        <v>1483</v>
      </c>
      <c r="B1400" s="1">
        <v>45525</v>
      </c>
      <c r="C1400">
        <v>2024</v>
      </c>
      <c r="D1400" t="s">
        <v>1187</v>
      </c>
      <c r="E1400" t="s">
        <v>1356</v>
      </c>
      <c r="F1400" t="s">
        <v>24</v>
      </c>
      <c r="G1400" t="s">
        <v>46</v>
      </c>
      <c r="H1400" t="s">
        <v>32</v>
      </c>
      <c r="I1400" t="s">
        <v>27</v>
      </c>
      <c r="J1400" t="s">
        <v>60</v>
      </c>
      <c r="K1400">
        <v>1</v>
      </c>
      <c r="L1400" s="2">
        <v>94.85</v>
      </c>
      <c r="M1400" s="3">
        <v>0</v>
      </c>
      <c r="N1400" t="s">
        <v>38</v>
      </c>
      <c r="O1400" s="2">
        <v>94.85</v>
      </c>
      <c r="P1400" s="2">
        <v>49.78</v>
      </c>
      <c r="Q1400" s="2">
        <v>45.07</v>
      </c>
      <c r="R1400">
        <v>1</v>
      </c>
      <c r="S1400">
        <v>1</v>
      </c>
      <c r="T1400">
        <v>5</v>
      </c>
      <c r="U1400">
        <v>3</v>
      </c>
    </row>
    <row r="1401" spans="1:21" ht="16.5" x14ac:dyDescent="0.3">
      <c r="A1401" t="s">
        <v>1484</v>
      </c>
      <c r="B1401" s="1">
        <v>45525</v>
      </c>
      <c r="C1401">
        <v>2024</v>
      </c>
      <c r="D1401" t="s">
        <v>1187</v>
      </c>
      <c r="E1401" t="s">
        <v>1356</v>
      </c>
      <c r="F1401" t="s">
        <v>24</v>
      </c>
      <c r="G1401" t="s">
        <v>65</v>
      </c>
      <c r="H1401" t="s">
        <v>26</v>
      </c>
      <c r="I1401" t="s">
        <v>42</v>
      </c>
      <c r="J1401" t="s">
        <v>98</v>
      </c>
      <c r="K1401">
        <v>2</v>
      </c>
      <c r="L1401" s="2">
        <v>117.63</v>
      </c>
      <c r="M1401" s="3">
        <v>0.3</v>
      </c>
      <c r="N1401" t="s">
        <v>62</v>
      </c>
      <c r="O1401" s="2">
        <v>164.68</v>
      </c>
      <c r="P1401" s="2">
        <v>161.87</v>
      </c>
      <c r="Q1401" s="2">
        <v>2.81</v>
      </c>
      <c r="R1401">
        <v>1</v>
      </c>
      <c r="S1401">
        <v>1</v>
      </c>
      <c r="T1401">
        <v>6</v>
      </c>
      <c r="U1401">
        <v>4</v>
      </c>
    </row>
    <row r="1402" spans="1:21" ht="16.5" x14ac:dyDescent="0.3">
      <c r="A1402" t="s">
        <v>1485</v>
      </c>
      <c r="B1402" s="1">
        <v>45525</v>
      </c>
      <c r="C1402">
        <v>2024</v>
      </c>
      <c r="D1402" t="s">
        <v>1187</v>
      </c>
      <c r="E1402" t="s">
        <v>1356</v>
      </c>
      <c r="F1402" t="s">
        <v>24</v>
      </c>
      <c r="G1402" t="s">
        <v>65</v>
      </c>
      <c r="H1402" t="s">
        <v>26</v>
      </c>
      <c r="I1402" t="s">
        <v>84</v>
      </c>
      <c r="J1402" t="s">
        <v>96</v>
      </c>
      <c r="K1402">
        <v>1</v>
      </c>
      <c r="L1402" s="2">
        <v>10.76</v>
      </c>
      <c r="M1402" s="3">
        <v>0.1</v>
      </c>
      <c r="N1402" t="s">
        <v>29</v>
      </c>
      <c r="O1402" s="2">
        <v>9.68</v>
      </c>
      <c r="P1402" s="2">
        <v>7.97</v>
      </c>
      <c r="Q1402" s="2">
        <v>1.71</v>
      </c>
      <c r="R1402">
        <v>1</v>
      </c>
      <c r="S1402">
        <v>0</v>
      </c>
      <c r="T1402">
        <v>5</v>
      </c>
      <c r="U1402">
        <v>4</v>
      </c>
    </row>
    <row r="1403" spans="1:21" ht="16.5" x14ac:dyDescent="0.3">
      <c r="A1403" t="s">
        <v>1486</v>
      </c>
      <c r="B1403" s="1">
        <v>45526</v>
      </c>
      <c r="C1403">
        <v>2024</v>
      </c>
      <c r="D1403" t="s">
        <v>1187</v>
      </c>
      <c r="E1403" t="s">
        <v>1356</v>
      </c>
      <c r="F1403" t="s">
        <v>24</v>
      </c>
      <c r="G1403" t="s">
        <v>25</v>
      </c>
      <c r="H1403" t="s">
        <v>32</v>
      </c>
      <c r="I1403" t="s">
        <v>27</v>
      </c>
      <c r="J1403" t="s">
        <v>33</v>
      </c>
      <c r="K1403">
        <v>1</v>
      </c>
      <c r="L1403" s="2">
        <v>78.510000000000005</v>
      </c>
      <c r="M1403" s="3">
        <v>0</v>
      </c>
      <c r="N1403" t="s">
        <v>38</v>
      </c>
      <c r="O1403" s="2">
        <v>78.510000000000005</v>
      </c>
      <c r="P1403" s="2">
        <v>41.91</v>
      </c>
      <c r="Q1403" s="2">
        <v>36.6</v>
      </c>
      <c r="R1403">
        <v>1</v>
      </c>
      <c r="S1403">
        <v>1</v>
      </c>
      <c r="T1403">
        <v>4</v>
      </c>
      <c r="U1403">
        <v>2</v>
      </c>
    </row>
    <row r="1404" spans="1:21" ht="16.5" x14ac:dyDescent="0.3">
      <c r="A1404" t="s">
        <v>1487</v>
      </c>
      <c r="B1404" s="1">
        <v>45526</v>
      </c>
      <c r="C1404">
        <v>2024</v>
      </c>
      <c r="D1404" t="s">
        <v>1187</v>
      </c>
      <c r="E1404" t="s">
        <v>1356</v>
      </c>
      <c r="F1404" t="s">
        <v>24</v>
      </c>
      <c r="G1404" t="s">
        <v>51</v>
      </c>
      <c r="H1404" t="s">
        <v>26</v>
      </c>
      <c r="I1404" t="s">
        <v>42</v>
      </c>
      <c r="J1404" t="s">
        <v>76</v>
      </c>
      <c r="K1404">
        <v>2</v>
      </c>
      <c r="L1404" s="2">
        <v>90.75</v>
      </c>
      <c r="M1404" s="3">
        <v>0</v>
      </c>
      <c r="N1404" t="s">
        <v>38</v>
      </c>
      <c r="O1404" s="2">
        <v>181.5</v>
      </c>
      <c r="P1404" s="2">
        <v>117.38</v>
      </c>
      <c r="Q1404" s="2">
        <v>64.12</v>
      </c>
      <c r="R1404">
        <v>1</v>
      </c>
      <c r="S1404">
        <v>0</v>
      </c>
      <c r="T1404">
        <v>4</v>
      </c>
      <c r="U1404">
        <v>3</v>
      </c>
    </row>
    <row r="1405" spans="1:21" ht="16.5" x14ac:dyDescent="0.3">
      <c r="A1405" t="s">
        <v>1488</v>
      </c>
      <c r="B1405" s="1">
        <v>45526</v>
      </c>
      <c r="C1405">
        <v>2024</v>
      </c>
      <c r="D1405" t="s">
        <v>1187</v>
      </c>
      <c r="E1405" t="s">
        <v>1356</v>
      </c>
      <c r="F1405" t="s">
        <v>24</v>
      </c>
      <c r="G1405" t="s">
        <v>51</v>
      </c>
      <c r="H1405" t="s">
        <v>32</v>
      </c>
      <c r="I1405" t="s">
        <v>70</v>
      </c>
      <c r="J1405" t="s">
        <v>82</v>
      </c>
      <c r="K1405">
        <v>4</v>
      </c>
      <c r="L1405" s="2">
        <v>508.8</v>
      </c>
      <c r="M1405" s="3">
        <v>0.15</v>
      </c>
      <c r="N1405" t="s">
        <v>34</v>
      </c>
      <c r="O1405" s="2">
        <v>1729.92</v>
      </c>
      <c r="P1405" s="2">
        <v>1643.77</v>
      </c>
      <c r="Q1405" s="2">
        <v>86.15</v>
      </c>
      <c r="R1405">
        <v>1</v>
      </c>
      <c r="S1405">
        <v>0</v>
      </c>
      <c r="T1405">
        <v>3</v>
      </c>
      <c r="U1405">
        <v>4</v>
      </c>
    </row>
    <row r="1406" spans="1:21" ht="16.5" x14ac:dyDescent="0.3">
      <c r="A1406" t="s">
        <v>1489</v>
      </c>
      <c r="B1406" s="1">
        <v>45526</v>
      </c>
      <c r="C1406">
        <v>2024</v>
      </c>
      <c r="D1406" t="s">
        <v>1187</v>
      </c>
      <c r="E1406" t="s">
        <v>1356</v>
      </c>
      <c r="F1406" t="s">
        <v>45</v>
      </c>
      <c r="G1406" t="s">
        <v>25</v>
      </c>
      <c r="H1406" t="s">
        <v>32</v>
      </c>
      <c r="I1406" t="s">
        <v>67</v>
      </c>
      <c r="J1406" t="s">
        <v>68</v>
      </c>
      <c r="K1406">
        <v>1</v>
      </c>
      <c r="L1406" s="2">
        <v>74.459999999999994</v>
      </c>
      <c r="M1406" s="3">
        <v>0.15</v>
      </c>
      <c r="N1406" t="s">
        <v>34</v>
      </c>
      <c r="O1406" s="2">
        <v>63.29</v>
      </c>
      <c r="P1406" s="2">
        <v>48.24</v>
      </c>
      <c r="Q1406" s="2">
        <v>15.05</v>
      </c>
      <c r="R1406">
        <v>1</v>
      </c>
      <c r="S1406">
        <v>0</v>
      </c>
      <c r="T1406">
        <v>4</v>
      </c>
      <c r="U1406">
        <v>5</v>
      </c>
    </row>
    <row r="1407" spans="1:21" ht="16.5" x14ac:dyDescent="0.3">
      <c r="A1407" t="s">
        <v>1490</v>
      </c>
      <c r="B1407" s="1">
        <v>45527</v>
      </c>
      <c r="C1407">
        <v>2024</v>
      </c>
      <c r="D1407" t="s">
        <v>1187</v>
      </c>
      <c r="E1407" t="s">
        <v>1356</v>
      </c>
      <c r="F1407" t="s">
        <v>31</v>
      </c>
      <c r="G1407" t="s">
        <v>49</v>
      </c>
      <c r="H1407" t="s">
        <v>32</v>
      </c>
      <c r="I1407" t="s">
        <v>27</v>
      </c>
      <c r="J1407" t="s">
        <v>60</v>
      </c>
      <c r="K1407">
        <v>3</v>
      </c>
      <c r="L1407" s="2">
        <v>94.85</v>
      </c>
      <c r="M1407" s="3">
        <v>0.25</v>
      </c>
      <c r="N1407" t="s">
        <v>62</v>
      </c>
      <c r="O1407" s="2">
        <v>213.41</v>
      </c>
      <c r="P1407" s="2">
        <v>161.13999999999999</v>
      </c>
      <c r="Q1407" s="2">
        <v>52.27</v>
      </c>
      <c r="R1407">
        <v>1</v>
      </c>
      <c r="S1407">
        <v>0</v>
      </c>
      <c r="T1407">
        <v>6</v>
      </c>
      <c r="U1407">
        <v>4</v>
      </c>
    </row>
    <row r="1408" spans="1:21" ht="16.5" x14ac:dyDescent="0.3">
      <c r="A1408" t="s">
        <v>1491</v>
      </c>
      <c r="B1408" s="1">
        <v>45527</v>
      </c>
      <c r="C1408">
        <v>2024</v>
      </c>
      <c r="D1408" t="s">
        <v>1187</v>
      </c>
      <c r="E1408" t="s">
        <v>1356</v>
      </c>
      <c r="F1408" t="s">
        <v>45</v>
      </c>
      <c r="G1408" t="s">
        <v>46</v>
      </c>
      <c r="H1408" t="s">
        <v>32</v>
      </c>
      <c r="I1408" t="s">
        <v>42</v>
      </c>
      <c r="J1408" t="s">
        <v>58</v>
      </c>
      <c r="K1408">
        <v>1</v>
      </c>
      <c r="L1408" s="2">
        <v>233.81</v>
      </c>
      <c r="M1408" s="3">
        <v>0</v>
      </c>
      <c r="N1408" t="s">
        <v>38</v>
      </c>
      <c r="O1408" s="2">
        <v>233.81</v>
      </c>
      <c r="P1408" s="2">
        <v>157.75</v>
      </c>
      <c r="Q1408" s="2">
        <v>76.06</v>
      </c>
      <c r="R1408">
        <v>1</v>
      </c>
      <c r="S1408">
        <v>1</v>
      </c>
      <c r="T1408">
        <v>6</v>
      </c>
      <c r="U1408">
        <v>3</v>
      </c>
    </row>
    <row r="1409" spans="1:21" ht="16.5" x14ac:dyDescent="0.3">
      <c r="A1409" t="s">
        <v>1492</v>
      </c>
      <c r="B1409" s="1">
        <v>45527</v>
      </c>
      <c r="C1409">
        <v>2024</v>
      </c>
      <c r="D1409" t="s">
        <v>1187</v>
      </c>
      <c r="E1409" t="s">
        <v>1356</v>
      </c>
      <c r="F1409" t="s">
        <v>24</v>
      </c>
      <c r="G1409" t="s">
        <v>25</v>
      </c>
      <c r="H1409" t="s">
        <v>32</v>
      </c>
      <c r="I1409" t="s">
        <v>27</v>
      </c>
      <c r="J1409" t="s">
        <v>60</v>
      </c>
      <c r="K1409">
        <v>1</v>
      </c>
      <c r="L1409" s="2">
        <v>94.85</v>
      </c>
      <c r="M1409" s="3">
        <v>0.2</v>
      </c>
      <c r="N1409" t="s">
        <v>34</v>
      </c>
      <c r="O1409" s="2">
        <v>75.88</v>
      </c>
      <c r="P1409" s="2">
        <v>49.68</v>
      </c>
      <c r="Q1409" s="2">
        <v>26.2</v>
      </c>
      <c r="R1409">
        <v>1</v>
      </c>
      <c r="S1409">
        <v>0</v>
      </c>
      <c r="T1409">
        <v>3</v>
      </c>
      <c r="U1409">
        <v>5</v>
      </c>
    </row>
    <row r="1410" spans="1:21" ht="16.5" x14ac:dyDescent="0.3">
      <c r="A1410" t="s">
        <v>1493</v>
      </c>
      <c r="B1410" s="1">
        <v>45527</v>
      </c>
      <c r="C1410">
        <v>2024</v>
      </c>
      <c r="D1410" t="s">
        <v>1187</v>
      </c>
      <c r="E1410" t="s">
        <v>1356</v>
      </c>
      <c r="F1410" t="s">
        <v>24</v>
      </c>
      <c r="G1410" t="s">
        <v>51</v>
      </c>
      <c r="H1410" t="s">
        <v>32</v>
      </c>
      <c r="I1410" t="s">
        <v>42</v>
      </c>
      <c r="J1410" t="s">
        <v>89</v>
      </c>
      <c r="K1410">
        <v>2</v>
      </c>
      <c r="L1410" s="2">
        <v>68.349999999999994</v>
      </c>
      <c r="M1410" s="3">
        <v>0.1</v>
      </c>
      <c r="N1410" t="s">
        <v>29</v>
      </c>
      <c r="O1410" s="2">
        <v>123.03</v>
      </c>
      <c r="P1410" s="2">
        <v>91.9</v>
      </c>
      <c r="Q1410" s="2">
        <v>31.13</v>
      </c>
      <c r="R1410">
        <v>1</v>
      </c>
      <c r="S1410">
        <v>0</v>
      </c>
      <c r="T1410">
        <v>3</v>
      </c>
      <c r="U1410">
        <v>5</v>
      </c>
    </row>
    <row r="1411" spans="1:21" ht="16.5" x14ac:dyDescent="0.3">
      <c r="A1411" t="s">
        <v>1494</v>
      </c>
      <c r="B1411" s="1">
        <v>45527</v>
      </c>
      <c r="C1411">
        <v>2024</v>
      </c>
      <c r="D1411" t="s">
        <v>1187</v>
      </c>
      <c r="E1411" t="s">
        <v>1356</v>
      </c>
      <c r="F1411" t="s">
        <v>24</v>
      </c>
      <c r="G1411" t="s">
        <v>25</v>
      </c>
      <c r="H1411" t="s">
        <v>32</v>
      </c>
      <c r="I1411" t="s">
        <v>70</v>
      </c>
      <c r="J1411" t="s">
        <v>82</v>
      </c>
      <c r="K1411">
        <v>2</v>
      </c>
      <c r="L1411" s="2">
        <v>508.8</v>
      </c>
      <c r="M1411" s="3">
        <v>0.05</v>
      </c>
      <c r="N1411" t="s">
        <v>29</v>
      </c>
      <c r="O1411" s="2">
        <v>966.72</v>
      </c>
      <c r="P1411" s="2">
        <v>805.48</v>
      </c>
      <c r="Q1411" s="2">
        <v>161.24</v>
      </c>
      <c r="R1411">
        <v>1</v>
      </c>
      <c r="S1411">
        <v>0</v>
      </c>
      <c r="T1411">
        <v>3</v>
      </c>
      <c r="U1411">
        <v>4</v>
      </c>
    </row>
    <row r="1412" spans="1:21" ht="16.5" x14ac:dyDescent="0.3">
      <c r="A1412" t="s">
        <v>1495</v>
      </c>
      <c r="B1412" s="1">
        <v>45527</v>
      </c>
      <c r="C1412">
        <v>2024</v>
      </c>
      <c r="D1412" t="s">
        <v>1187</v>
      </c>
      <c r="E1412" t="s">
        <v>1356</v>
      </c>
      <c r="F1412" t="s">
        <v>45</v>
      </c>
      <c r="G1412" t="s">
        <v>65</v>
      </c>
      <c r="H1412" t="s">
        <v>32</v>
      </c>
      <c r="I1412" t="s">
        <v>70</v>
      </c>
      <c r="J1412" t="s">
        <v>252</v>
      </c>
      <c r="K1412">
        <v>1</v>
      </c>
      <c r="L1412" s="2">
        <v>216.08</v>
      </c>
      <c r="M1412" s="3">
        <v>0.25</v>
      </c>
      <c r="N1412" t="s">
        <v>62</v>
      </c>
      <c r="O1412" s="2">
        <v>162.06</v>
      </c>
      <c r="P1412" s="2">
        <v>170.39</v>
      </c>
      <c r="Q1412" s="2">
        <v>-8.33</v>
      </c>
      <c r="R1412">
        <v>1</v>
      </c>
      <c r="S1412">
        <v>0</v>
      </c>
      <c r="T1412">
        <v>6</v>
      </c>
      <c r="U1412">
        <v>4</v>
      </c>
    </row>
    <row r="1413" spans="1:21" ht="16.5" x14ac:dyDescent="0.3">
      <c r="A1413" t="s">
        <v>1496</v>
      </c>
      <c r="B1413" s="1">
        <v>45527</v>
      </c>
      <c r="C1413">
        <v>2024</v>
      </c>
      <c r="D1413" t="s">
        <v>1187</v>
      </c>
      <c r="E1413" t="s">
        <v>1356</v>
      </c>
      <c r="F1413" t="s">
        <v>45</v>
      </c>
      <c r="G1413" t="s">
        <v>51</v>
      </c>
      <c r="H1413" t="s">
        <v>32</v>
      </c>
      <c r="I1413" t="s">
        <v>42</v>
      </c>
      <c r="J1413" t="s">
        <v>54</v>
      </c>
      <c r="K1413">
        <v>1</v>
      </c>
      <c r="L1413" s="2">
        <v>148.05000000000001</v>
      </c>
      <c r="M1413" s="3">
        <v>0.1</v>
      </c>
      <c r="N1413" t="s">
        <v>29</v>
      </c>
      <c r="O1413" s="2">
        <v>133.24</v>
      </c>
      <c r="P1413" s="2">
        <v>98.61</v>
      </c>
      <c r="Q1413" s="2">
        <v>34.630000000000003</v>
      </c>
      <c r="R1413">
        <v>1</v>
      </c>
      <c r="S1413">
        <v>0</v>
      </c>
      <c r="T1413">
        <v>4</v>
      </c>
      <c r="U1413">
        <v>3</v>
      </c>
    </row>
    <row r="1414" spans="1:21" ht="16.5" x14ac:dyDescent="0.3">
      <c r="A1414" t="s">
        <v>1497</v>
      </c>
      <c r="B1414" s="1">
        <v>45528</v>
      </c>
      <c r="C1414">
        <v>2024</v>
      </c>
      <c r="D1414" t="s">
        <v>1187</v>
      </c>
      <c r="E1414" t="s">
        <v>1356</v>
      </c>
      <c r="F1414" t="s">
        <v>31</v>
      </c>
      <c r="G1414" t="s">
        <v>49</v>
      </c>
      <c r="H1414" t="s">
        <v>32</v>
      </c>
      <c r="I1414" t="s">
        <v>27</v>
      </c>
      <c r="J1414" t="s">
        <v>33</v>
      </c>
      <c r="K1414">
        <v>1</v>
      </c>
      <c r="L1414" s="2">
        <v>78.510000000000005</v>
      </c>
      <c r="M1414" s="3">
        <v>0</v>
      </c>
      <c r="N1414" t="s">
        <v>38</v>
      </c>
      <c r="O1414" s="2">
        <v>78.510000000000005</v>
      </c>
      <c r="P1414" s="2">
        <v>43.2</v>
      </c>
      <c r="Q1414" s="2">
        <v>35.31</v>
      </c>
      <c r="R1414">
        <v>1</v>
      </c>
      <c r="S1414">
        <v>0</v>
      </c>
      <c r="T1414">
        <v>5</v>
      </c>
      <c r="U1414">
        <v>4</v>
      </c>
    </row>
    <row r="1415" spans="1:21" ht="16.5" x14ac:dyDescent="0.3">
      <c r="A1415" t="s">
        <v>1498</v>
      </c>
      <c r="B1415" s="1">
        <v>45528</v>
      </c>
      <c r="C1415">
        <v>2024</v>
      </c>
      <c r="D1415" t="s">
        <v>1187</v>
      </c>
      <c r="E1415" t="s">
        <v>1356</v>
      </c>
      <c r="F1415" t="s">
        <v>24</v>
      </c>
      <c r="G1415" t="s">
        <v>51</v>
      </c>
      <c r="H1415" t="s">
        <v>32</v>
      </c>
      <c r="I1415" t="s">
        <v>70</v>
      </c>
      <c r="J1415" t="s">
        <v>129</v>
      </c>
      <c r="K1415">
        <v>2</v>
      </c>
      <c r="L1415" s="2">
        <v>177.65</v>
      </c>
      <c r="M1415" s="3">
        <v>0</v>
      </c>
      <c r="N1415" t="s">
        <v>38</v>
      </c>
      <c r="O1415" s="2">
        <v>355.3</v>
      </c>
      <c r="P1415" s="2">
        <v>282.98</v>
      </c>
      <c r="Q1415" s="2">
        <v>72.319999999999993</v>
      </c>
      <c r="R1415">
        <v>1</v>
      </c>
      <c r="S1415">
        <v>1</v>
      </c>
      <c r="T1415">
        <v>3</v>
      </c>
      <c r="U1415">
        <v>3</v>
      </c>
    </row>
    <row r="1416" spans="1:21" ht="16.5" x14ac:dyDescent="0.3">
      <c r="A1416" t="s">
        <v>1499</v>
      </c>
      <c r="B1416" s="1">
        <v>45528</v>
      </c>
      <c r="C1416">
        <v>2024</v>
      </c>
      <c r="D1416" t="s">
        <v>1187</v>
      </c>
      <c r="E1416" t="s">
        <v>1356</v>
      </c>
      <c r="F1416" t="s">
        <v>24</v>
      </c>
      <c r="G1416" t="s">
        <v>51</v>
      </c>
      <c r="H1416" t="s">
        <v>32</v>
      </c>
      <c r="I1416" t="s">
        <v>27</v>
      </c>
      <c r="J1416" t="s">
        <v>40</v>
      </c>
      <c r="K1416">
        <v>1</v>
      </c>
      <c r="L1416" s="2">
        <v>104.94</v>
      </c>
      <c r="M1416" s="3">
        <v>0</v>
      </c>
      <c r="N1416" t="s">
        <v>38</v>
      </c>
      <c r="O1416" s="2">
        <v>104.94</v>
      </c>
      <c r="P1416" s="2">
        <v>54.28</v>
      </c>
      <c r="Q1416" s="2">
        <v>50.66</v>
      </c>
      <c r="R1416">
        <v>1</v>
      </c>
      <c r="S1416">
        <v>0</v>
      </c>
      <c r="T1416">
        <v>2</v>
      </c>
      <c r="U1416">
        <v>5</v>
      </c>
    </row>
    <row r="1417" spans="1:21" ht="16.5" x14ac:dyDescent="0.3">
      <c r="A1417" t="s">
        <v>1500</v>
      </c>
      <c r="B1417" s="1">
        <v>45528</v>
      </c>
      <c r="C1417">
        <v>2024</v>
      </c>
      <c r="D1417" t="s">
        <v>1187</v>
      </c>
      <c r="E1417" t="s">
        <v>1356</v>
      </c>
      <c r="F1417" t="s">
        <v>31</v>
      </c>
      <c r="G1417" t="s">
        <v>51</v>
      </c>
      <c r="H1417" t="s">
        <v>32</v>
      </c>
      <c r="I1417" t="s">
        <v>27</v>
      </c>
      <c r="J1417" t="s">
        <v>110</v>
      </c>
      <c r="K1417">
        <v>1</v>
      </c>
      <c r="L1417" s="2">
        <v>19.41</v>
      </c>
      <c r="M1417" s="3">
        <v>0</v>
      </c>
      <c r="N1417" t="s">
        <v>38</v>
      </c>
      <c r="O1417" s="2">
        <v>19.41</v>
      </c>
      <c r="P1417" s="2">
        <v>10.36</v>
      </c>
      <c r="Q1417" s="2">
        <v>9.0500000000000007</v>
      </c>
      <c r="R1417">
        <v>1</v>
      </c>
      <c r="S1417">
        <v>0</v>
      </c>
      <c r="T1417">
        <v>2</v>
      </c>
      <c r="U1417">
        <v>4</v>
      </c>
    </row>
    <row r="1418" spans="1:21" ht="16.5" x14ac:dyDescent="0.3">
      <c r="A1418" t="s">
        <v>1501</v>
      </c>
      <c r="B1418" s="1">
        <v>45529</v>
      </c>
      <c r="C1418">
        <v>2024</v>
      </c>
      <c r="D1418" t="s">
        <v>1187</v>
      </c>
      <c r="E1418" t="s">
        <v>1356</v>
      </c>
      <c r="F1418" t="s">
        <v>31</v>
      </c>
      <c r="G1418" t="s">
        <v>51</v>
      </c>
      <c r="H1418" t="s">
        <v>32</v>
      </c>
      <c r="I1418" t="s">
        <v>36</v>
      </c>
      <c r="J1418" t="s">
        <v>56</v>
      </c>
      <c r="K1418">
        <v>1</v>
      </c>
      <c r="L1418" s="2">
        <v>74.3</v>
      </c>
      <c r="M1418" s="3">
        <v>0.05</v>
      </c>
      <c r="N1418" t="s">
        <v>29</v>
      </c>
      <c r="O1418" s="2">
        <v>70.58</v>
      </c>
      <c r="P1418" s="2">
        <v>37.590000000000003</v>
      </c>
      <c r="Q1418" s="2">
        <v>32.99</v>
      </c>
      <c r="R1418">
        <v>1</v>
      </c>
      <c r="S1418">
        <v>0</v>
      </c>
      <c r="T1418">
        <v>4</v>
      </c>
      <c r="U1418">
        <v>5</v>
      </c>
    </row>
    <row r="1419" spans="1:21" ht="16.5" x14ac:dyDescent="0.3">
      <c r="A1419" t="s">
        <v>1502</v>
      </c>
      <c r="B1419" s="1">
        <v>45529</v>
      </c>
      <c r="C1419">
        <v>2024</v>
      </c>
      <c r="D1419" t="s">
        <v>1187</v>
      </c>
      <c r="E1419" t="s">
        <v>1356</v>
      </c>
      <c r="F1419" t="s">
        <v>31</v>
      </c>
      <c r="G1419" t="s">
        <v>51</v>
      </c>
      <c r="H1419" t="s">
        <v>26</v>
      </c>
      <c r="I1419" t="s">
        <v>42</v>
      </c>
      <c r="J1419" t="s">
        <v>98</v>
      </c>
      <c r="K1419">
        <v>1</v>
      </c>
      <c r="L1419" s="2">
        <v>117.63</v>
      </c>
      <c r="M1419" s="3">
        <v>0.1</v>
      </c>
      <c r="N1419" t="s">
        <v>29</v>
      </c>
      <c r="O1419" s="2">
        <v>105.87</v>
      </c>
      <c r="P1419" s="2">
        <v>82.55</v>
      </c>
      <c r="Q1419" s="2">
        <v>23.32</v>
      </c>
      <c r="R1419">
        <v>1</v>
      </c>
      <c r="S1419">
        <v>0</v>
      </c>
      <c r="T1419">
        <v>3</v>
      </c>
      <c r="U1419">
        <v>4</v>
      </c>
    </row>
    <row r="1420" spans="1:21" ht="16.5" x14ac:dyDescent="0.3">
      <c r="A1420" t="s">
        <v>1503</v>
      </c>
      <c r="B1420" s="1">
        <v>45529</v>
      </c>
      <c r="C1420">
        <v>2024</v>
      </c>
      <c r="D1420" t="s">
        <v>1187</v>
      </c>
      <c r="E1420" t="s">
        <v>1356</v>
      </c>
      <c r="F1420" t="s">
        <v>24</v>
      </c>
      <c r="G1420" t="s">
        <v>49</v>
      </c>
      <c r="H1420" t="s">
        <v>26</v>
      </c>
      <c r="I1420" t="s">
        <v>27</v>
      </c>
      <c r="J1420" t="s">
        <v>60</v>
      </c>
      <c r="K1420">
        <v>1</v>
      </c>
      <c r="L1420" s="2">
        <v>94.85</v>
      </c>
      <c r="M1420" s="3">
        <v>0.1</v>
      </c>
      <c r="N1420" t="s">
        <v>29</v>
      </c>
      <c r="O1420" s="2">
        <v>85.36</v>
      </c>
      <c r="P1420" s="2">
        <v>49.55</v>
      </c>
      <c r="Q1420" s="2">
        <v>35.81</v>
      </c>
      <c r="R1420">
        <v>1</v>
      </c>
      <c r="S1420">
        <v>0</v>
      </c>
      <c r="T1420">
        <v>3</v>
      </c>
      <c r="U1420">
        <v>3</v>
      </c>
    </row>
    <row r="1421" spans="1:21" ht="16.5" x14ac:dyDescent="0.3">
      <c r="A1421" t="s">
        <v>1504</v>
      </c>
      <c r="B1421" s="1">
        <v>45529</v>
      </c>
      <c r="C1421">
        <v>2024</v>
      </c>
      <c r="D1421" t="s">
        <v>1187</v>
      </c>
      <c r="E1421" t="s">
        <v>1356</v>
      </c>
      <c r="F1421" t="s">
        <v>45</v>
      </c>
      <c r="G1421" t="s">
        <v>25</v>
      </c>
      <c r="H1421" t="s">
        <v>26</v>
      </c>
      <c r="I1421" t="s">
        <v>36</v>
      </c>
      <c r="J1421" t="s">
        <v>115</v>
      </c>
      <c r="K1421">
        <v>1</v>
      </c>
      <c r="L1421" s="2">
        <v>33.479999999999997</v>
      </c>
      <c r="M1421" s="3">
        <v>0.05</v>
      </c>
      <c r="N1421" t="s">
        <v>29</v>
      </c>
      <c r="O1421" s="2">
        <v>31.81</v>
      </c>
      <c r="P1421" s="2">
        <v>16.489999999999998</v>
      </c>
      <c r="Q1421" s="2">
        <v>15.32</v>
      </c>
      <c r="R1421">
        <v>1</v>
      </c>
      <c r="S1421">
        <v>0</v>
      </c>
      <c r="T1421">
        <v>4</v>
      </c>
      <c r="U1421">
        <v>5</v>
      </c>
    </row>
    <row r="1422" spans="1:21" ht="16.5" x14ac:dyDescent="0.3">
      <c r="A1422" t="s">
        <v>1505</v>
      </c>
      <c r="B1422" s="1">
        <v>45530</v>
      </c>
      <c r="C1422">
        <v>2024</v>
      </c>
      <c r="D1422" t="s">
        <v>1187</v>
      </c>
      <c r="E1422" t="s">
        <v>1356</v>
      </c>
      <c r="F1422" t="s">
        <v>24</v>
      </c>
      <c r="G1422" t="s">
        <v>49</v>
      </c>
      <c r="H1422" t="s">
        <v>32</v>
      </c>
      <c r="I1422" t="s">
        <v>36</v>
      </c>
      <c r="J1422" t="s">
        <v>126</v>
      </c>
      <c r="K1422">
        <v>1</v>
      </c>
      <c r="L1422" s="2">
        <v>54.56</v>
      </c>
      <c r="M1422" s="3">
        <v>0</v>
      </c>
      <c r="N1422" t="s">
        <v>38</v>
      </c>
      <c r="O1422" s="2">
        <v>54.56</v>
      </c>
      <c r="P1422" s="2">
        <v>25.92</v>
      </c>
      <c r="Q1422" s="2">
        <v>28.64</v>
      </c>
      <c r="R1422">
        <v>1</v>
      </c>
      <c r="S1422">
        <v>0</v>
      </c>
      <c r="T1422">
        <v>4</v>
      </c>
      <c r="U1422">
        <v>4</v>
      </c>
    </row>
    <row r="1423" spans="1:21" ht="16.5" x14ac:dyDescent="0.3">
      <c r="A1423" t="s">
        <v>1506</v>
      </c>
      <c r="B1423" s="1">
        <v>45530</v>
      </c>
      <c r="C1423">
        <v>2024</v>
      </c>
      <c r="D1423" t="s">
        <v>1187</v>
      </c>
      <c r="E1423" t="s">
        <v>1356</v>
      </c>
      <c r="F1423" t="s">
        <v>24</v>
      </c>
      <c r="G1423" t="s">
        <v>51</v>
      </c>
      <c r="H1423" t="s">
        <v>26</v>
      </c>
      <c r="I1423" t="s">
        <v>27</v>
      </c>
      <c r="J1423" t="s">
        <v>110</v>
      </c>
      <c r="K1423">
        <v>1</v>
      </c>
      <c r="L1423" s="2">
        <v>19.41</v>
      </c>
      <c r="M1423" s="3">
        <v>0.1</v>
      </c>
      <c r="N1423" t="s">
        <v>29</v>
      </c>
      <c r="O1423" s="2">
        <v>17.47</v>
      </c>
      <c r="P1423" s="2">
        <v>10.79</v>
      </c>
      <c r="Q1423" s="2">
        <v>6.68</v>
      </c>
      <c r="R1423">
        <v>1</v>
      </c>
      <c r="S1423">
        <v>0</v>
      </c>
      <c r="T1423">
        <v>3</v>
      </c>
      <c r="U1423">
        <v>5</v>
      </c>
    </row>
    <row r="1424" spans="1:21" ht="16.5" x14ac:dyDescent="0.3">
      <c r="A1424" t="s">
        <v>1507</v>
      </c>
      <c r="B1424" s="1">
        <v>45530</v>
      </c>
      <c r="C1424">
        <v>2024</v>
      </c>
      <c r="D1424" t="s">
        <v>1187</v>
      </c>
      <c r="E1424" t="s">
        <v>1356</v>
      </c>
      <c r="F1424" t="s">
        <v>24</v>
      </c>
      <c r="G1424" t="s">
        <v>51</v>
      </c>
      <c r="H1424" t="s">
        <v>32</v>
      </c>
      <c r="I1424" t="s">
        <v>27</v>
      </c>
      <c r="J1424" t="s">
        <v>60</v>
      </c>
      <c r="K1424">
        <v>1</v>
      </c>
      <c r="L1424" s="2">
        <v>94.85</v>
      </c>
      <c r="M1424" s="3">
        <v>0</v>
      </c>
      <c r="N1424" t="s">
        <v>38</v>
      </c>
      <c r="O1424" s="2">
        <v>94.85</v>
      </c>
      <c r="P1424" s="2">
        <v>50.78</v>
      </c>
      <c r="Q1424" s="2">
        <v>44.07</v>
      </c>
      <c r="R1424">
        <v>1</v>
      </c>
      <c r="S1424">
        <v>0</v>
      </c>
      <c r="T1424">
        <v>4</v>
      </c>
      <c r="U1424">
        <v>5</v>
      </c>
    </row>
    <row r="1425" spans="1:21" ht="16.5" x14ac:dyDescent="0.3">
      <c r="A1425" t="s">
        <v>1508</v>
      </c>
      <c r="B1425" s="1">
        <v>45530</v>
      </c>
      <c r="C1425">
        <v>2024</v>
      </c>
      <c r="D1425" t="s">
        <v>1187</v>
      </c>
      <c r="E1425" t="s">
        <v>1356</v>
      </c>
      <c r="F1425" t="s">
        <v>24</v>
      </c>
      <c r="G1425" t="s">
        <v>49</v>
      </c>
      <c r="H1425" t="s">
        <v>26</v>
      </c>
      <c r="I1425" t="s">
        <v>67</v>
      </c>
      <c r="J1425" t="s">
        <v>93</v>
      </c>
      <c r="K1425">
        <v>2</v>
      </c>
      <c r="L1425" s="2">
        <v>198.42</v>
      </c>
      <c r="M1425" s="3">
        <v>0.1</v>
      </c>
      <c r="N1425" t="s">
        <v>29</v>
      </c>
      <c r="O1425" s="2">
        <v>357.16</v>
      </c>
      <c r="P1425" s="2">
        <v>250.66</v>
      </c>
      <c r="Q1425" s="2">
        <v>106.5</v>
      </c>
      <c r="R1425">
        <v>1</v>
      </c>
      <c r="S1425">
        <v>0</v>
      </c>
      <c r="T1425">
        <v>3</v>
      </c>
      <c r="U1425">
        <v>5</v>
      </c>
    </row>
    <row r="1426" spans="1:21" ht="16.5" x14ac:dyDescent="0.3">
      <c r="A1426" t="s">
        <v>1509</v>
      </c>
      <c r="B1426" s="1">
        <v>45530</v>
      </c>
      <c r="C1426">
        <v>2024</v>
      </c>
      <c r="D1426" t="s">
        <v>1187</v>
      </c>
      <c r="E1426" t="s">
        <v>1356</v>
      </c>
      <c r="F1426" t="s">
        <v>24</v>
      </c>
      <c r="G1426" t="s">
        <v>51</v>
      </c>
      <c r="H1426" t="s">
        <v>26</v>
      </c>
      <c r="I1426" t="s">
        <v>70</v>
      </c>
      <c r="J1426" t="s">
        <v>129</v>
      </c>
      <c r="K1426">
        <v>1</v>
      </c>
      <c r="L1426" s="2">
        <v>177.65</v>
      </c>
      <c r="M1426" s="3">
        <v>0.2</v>
      </c>
      <c r="N1426" t="s">
        <v>34</v>
      </c>
      <c r="O1426" s="2">
        <v>142.12</v>
      </c>
      <c r="P1426" s="2">
        <v>133.96</v>
      </c>
      <c r="Q1426" s="2">
        <v>8.16</v>
      </c>
      <c r="R1426">
        <v>1</v>
      </c>
      <c r="S1426">
        <v>0</v>
      </c>
      <c r="T1426">
        <v>4</v>
      </c>
      <c r="U1426">
        <v>4</v>
      </c>
    </row>
    <row r="1427" spans="1:21" ht="16.5" x14ac:dyDescent="0.3">
      <c r="A1427" t="s">
        <v>1510</v>
      </c>
      <c r="B1427" s="1">
        <v>45530</v>
      </c>
      <c r="C1427">
        <v>2024</v>
      </c>
      <c r="D1427" t="s">
        <v>1187</v>
      </c>
      <c r="E1427" t="s">
        <v>1356</v>
      </c>
      <c r="F1427" t="s">
        <v>24</v>
      </c>
      <c r="G1427" t="s">
        <v>51</v>
      </c>
      <c r="H1427" t="s">
        <v>26</v>
      </c>
      <c r="I1427" t="s">
        <v>84</v>
      </c>
      <c r="J1427" t="s">
        <v>85</v>
      </c>
      <c r="K1427">
        <v>1</v>
      </c>
      <c r="L1427" s="2">
        <v>57.92</v>
      </c>
      <c r="M1427" s="3">
        <v>0.2</v>
      </c>
      <c r="N1427" t="s">
        <v>34</v>
      </c>
      <c r="O1427" s="2">
        <v>46.34</v>
      </c>
      <c r="P1427" s="2">
        <v>39.72</v>
      </c>
      <c r="Q1427" s="2">
        <v>6.62</v>
      </c>
      <c r="R1427">
        <v>1</v>
      </c>
      <c r="S1427">
        <v>0</v>
      </c>
      <c r="T1427">
        <v>5</v>
      </c>
      <c r="U1427">
        <v>4</v>
      </c>
    </row>
    <row r="1428" spans="1:21" ht="16.5" x14ac:dyDescent="0.3">
      <c r="A1428" t="s">
        <v>1511</v>
      </c>
      <c r="B1428" s="1">
        <v>45531</v>
      </c>
      <c r="C1428">
        <v>2024</v>
      </c>
      <c r="D1428" t="s">
        <v>1187</v>
      </c>
      <c r="E1428" t="s">
        <v>1356</v>
      </c>
      <c r="F1428" t="s">
        <v>31</v>
      </c>
      <c r="G1428" t="s">
        <v>65</v>
      </c>
      <c r="H1428" t="s">
        <v>32</v>
      </c>
      <c r="I1428" t="s">
        <v>70</v>
      </c>
      <c r="J1428" t="s">
        <v>82</v>
      </c>
      <c r="K1428">
        <v>1</v>
      </c>
      <c r="L1428" s="2">
        <v>508.8</v>
      </c>
      <c r="M1428" s="3">
        <v>0.05</v>
      </c>
      <c r="N1428" t="s">
        <v>29</v>
      </c>
      <c r="O1428" s="2">
        <v>483.36</v>
      </c>
      <c r="P1428" s="2">
        <v>438</v>
      </c>
      <c r="Q1428" s="2">
        <v>45.36</v>
      </c>
      <c r="R1428">
        <v>1</v>
      </c>
      <c r="S1428">
        <v>0</v>
      </c>
      <c r="T1428">
        <v>6</v>
      </c>
      <c r="U1428">
        <v>4</v>
      </c>
    </row>
    <row r="1429" spans="1:21" ht="16.5" x14ac:dyDescent="0.3">
      <c r="A1429" t="s">
        <v>1512</v>
      </c>
      <c r="B1429" s="1">
        <v>45531</v>
      </c>
      <c r="C1429">
        <v>2024</v>
      </c>
      <c r="D1429" t="s">
        <v>1187</v>
      </c>
      <c r="E1429" t="s">
        <v>1356</v>
      </c>
      <c r="F1429" t="s">
        <v>31</v>
      </c>
      <c r="G1429" t="s">
        <v>51</v>
      </c>
      <c r="H1429" t="s">
        <v>26</v>
      </c>
      <c r="I1429" t="s">
        <v>27</v>
      </c>
      <c r="J1429" t="s">
        <v>40</v>
      </c>
      <c r="K1429">
        <v>1</v>
      </c>
      <c r="L1429" s="2">
        <v>104.94</v>
      </c>
      <c r="M1429" s="3">
        <v>0.15</v>
      </c>
      <c r="N1429" t="s">
        <v>34</v>
      </c>
      <c r="O1429" s="2">
        <v>89.2</v>
      </c>
      <c r="P1429" s="2">
        <v>56.27</v>
      </c>
      <c r="Q1429" s="2">
        <v>32.93</v>
      </c>
      <c r="R1429">
        <v>1</v>
      </c>
      <c r="S1429">
        <v>0</v>
      </c>
      <c r="T1429">
        <v>6</v>
      </c>
      <c r="U1429">
        <v>5</v>
      </c>
    </row>
    <row r="1430" spans="1:21" ht="16.5" x14ac:dyDescent="0.3">
      <c r="A1430" t="s">
        <v>1513</v>
      </c>
      <c r="B1430" s="1">
        <v>45531</v>
      </c>
      <c r="C1430">
        <v>2024</v>
      </c>
      <c r="D1430" t="s">
        <v>1187</v>
      </c>
      <c r="E1430" t="s">
        <v>1356</v>
      </c>
      <c r="F1430" t="s">
        <v>24</v>
      </c>
      <c r="G1430" t="s">
        <v>49</v>
      </c>
      <c r="H1430" t="s">
        <v>32</v>
      </c>
      <c r="I1430" t="s">
        <v>67</v>
      </c>
      <c r="J1430" t="s">
        <v>78</v>
      </c>
      <c r="K1430">
        <v>1</v>
      </c>
      <c r="L1430" s="2">
        <v>85.42</v>
      </c>
      <c r="M1430" s="3">
        <v>0.1</v>
      </c>
      <c r="N1430" t="s">
        <v>29</v>
      </c>
      <c r="O1430" s="2">
        <v>76.88</v>
      </c>
      <c r="P1430" s="2">
        <v>56.26</v>
      </c>
      <c r="Q1430" s="2">
        <v>20.62</v>
      </c>
      <c r="R1430">
        <v>1</v>
      </c>
      <c r="S1430">
        <v>0</v>
      </c>
      <c r="T1430">
        <v>3</v>
      </c>
      <c r="U1430">
        <v>5</v>
      </c>
    </row>
    <row r="1431" spans="1:21" ht="16.5" x14ac:dyDescent="0.3">
      <c r="A1431" t="s">
        <v>1514</v>
      </c>
      <c r="B1431" s="1">
        <v>45531</v>
      </c>
      <c r="C1431">
        <v>2024</v>
      </c>
      <c r="D1431" t="s">
        <v>1187</v>
      </c>
      <c r="E1431" t="s">
        <v>1356</v>
      </c>
      <c r="F1431" t="s">
        <v>45</v>
      </c>
      <c r="G1431" t="s">
        <v>25</v>
      </c>
      <c r="H1431" t="s">
        <v>26</v>
      </c>
      <c r="I1431" t="s">
        <v>67</v>
      </c>
      <c r="J1431" t="s">
        <v>174</v>
      </c>
      <c r="K1431">
        <v>1</v>
      </c>
      <c r="L1431" s="2">
        <v>137.05000000000001</v>
      </c>
      <c r="M1431" s="3">
        <v>0</v>
      </c>
      <c r="N1431" t="s">
        <v>38</v>
      </c>
      <c r="O1431" s="2">
        <v>137.05000000000001</v>
      </c>
      <c r="P1431" s="2">
        <v>94.28</v>
      </c>
      <c r="Q1431" s="2">
        <v>42.77</v>
      </c>
      <c r="R1431">
        <v>1</v>
      </c>
      <c r="S1431">
        <v>0</v>
      </c>
      <c r="T1431">
        <v>4</v>
      </c>
      <c r="U1431">
        <v>4</v>
      </c>
    </row>
    <row r="1432" spans="1:21" ht="16.5" x14ac:dyDescent="0.3">
      <c r="A1432" t="s">
        <v>1515</v>
      </c>
      <c r="B1432" s="1">
        <v>45531</v>
      </c>
      <c r="C1432">
        <v>2024</v>
      </c>
      <c r="D1432" t="s">
        <v>1187</v>
      </c>
      <c r="E1432" t="s">
        <v>1356</v>
      </c>
      <c r="F1432" t="s">
        <v>24</v>
      </c>
      <c r="G1432" t="s">
        <v>46</v>
      </c>
      <c r="H1432" t="s">
        <v>32</v>
      </c>
      <c r="I1432" t="s">
        <v>84</v>
      </c>
      <c r="J1432" t="s">
        <v>132</v>
      </c>
      <c r="K1432">
        <v>1</v>
      </c>
      <c r="L1432" s="2">
        <v>48.86</v>
      </c>
      <c r="M1432" s="3">
        <v>0</v>
      </c>
      <c r="N1432" t="s">
        <v>38</v>
      </c>
      <c r="O1432" s="2">
        <v>48.86</v>
      </c>
      <c r="P1432" s="2">
        <v>34.92</v>
      </c>
      <c r="Q1432" s="2">
        <v>13.94</v>
      </c>
      <c r="R1432">
        <v>1</v>
      </c>
      <c r="S1432">
        <v>0</v>
      </c>
      <c r="T1432">
        <v>5</v>
      </c>
      <c r="U1432">
        <v>4</v>
      </c>
    </row>
    <row r="1433" spans="1:21" ht="16.5" x14ac:dyDescent="0.3">
      <c r="A1433" t="s">
        <v>1516</v>
      </c>
      <c r="B1433" s="1">
        <v>45531</v>
      </c>
      <c r="C1433">
        <v>2024</v>
      </c>
      <c r="D1433" t="s">
        <v>1187</v>
      </c>
      <c r="E1433" t="s">
        <v>1356</v>
      </c>
      <c r="F1433" t="s">
        <v>24</v>
      </c>
      <c r="G1433" t="s">
        <v>49</v>
      </c>
      <c r="H1433" t="s">
        <v>26</v>
      </c>
      <c r="I1433" t="s">
        <v>27</v>
      </c>
      <c r="J1433" t="s">
        <v>28</v>
      </c>
      <c r="K1433">
        <v>1</v>
      </c>
      <c r="L1433" s="2">
        <v>138.5</v>
      </c>
      <c r="M1433" s="3">
        <v>0</v>
      </c>
      <c r="N1433" t="s">
        <v>38</v>
      </c>
      <c r="O1433" s="2">
        <v>138.5</v>
      </c>
      <c r="P1433" s="2">
        <v>78.180000000000007</v>
      </c>
      <c r="Q1433" s="2">
        <v>60.32</v>
      </c>
      <c r="R1433">
        <v>1</v>
      </c>
      <c r="S1433">
        <v>0</v>
      </c>
      <c r="T1433">
        <v>6</v>
      </c>
      <c r="U1433">
        <v>4</v>
      </c>
    </row>
    <row r="1434" spans="1:21" ht="16.5" x14ac:dyDescent="0.3">
      <c r="A1434" t="s">
        <v>1517</v>
      </c>
      <c r="B1434" s="1">
        <v>45531</v>
      </c>
      <c r="C1434">
        <v>2024</v>
      </c>
      <c r="D1434" t="s">
        <v>1187</v>
      </c>
      <c r="E1434" t="s">
        <v>1356</v>
      </c>
      <c r="F1434" t="s">
        <v>31</v>
      </c>
      <c r="G1434" t="s">
        <v>49</v>
      </c>
      <c r="H1434" t="s">
        <v>32</v>
      </c>
      <c r="I1434" t="s">
        <v>67</v>
      </c>
      <c r="J1434" t="s">
        <v>68</v>
      </c>
      <c r="K1434">
        <v>1</v>
      </c>
      <c r="L1434" s="2">
        <v>74.459999999999994</v>
      </c>
      <c r="M1434" s="3">
        <v>0.05</v>
      </c>
      <c r="N1434" t="s">
        <v>29</v>
      </c>
      <c r="O1434" s="2">
        <v>70.739999999999995</v>
      </c>
      <c r="P1434" s="2">
        <v>48.65</v>
      </c>
      <c r="Q1434" s="2">
        <v>22.09</v>
      </c>
      <c r="R1434">
        <v>1</v>
      </c>
      <c r="S1434">
        <v>0</v>
      </c>
      <c r="T1434">
        <v>3</v>
      </c>
      <c r="U1434">
        <v>5</v>
      </c>
    </row>
    <row r="1435" spans="1:21" ht="16.5" x14ac:dyDescent="0.3">
      <c r="A1435" t="s">
        <v>1518</v>
      </c>
      <c r="B1435" s="1">
        <v>45531</v>
      </c>
      <c r="C1435">
        <v>2024</v>
      </c>
      <c r="D1435" t="s">
        <v>1187</v>
      </c>
      <c r="E1435" t="s">
        <v>1356</v>
      </c>
      <c r="F1435" t="s">
        <v>45</v>
      </c>
      <c r="G1435" t="s">
        <v>49</v>
      </c>
      <c r="H1435" t="s">
        <v>26</v>
      </c>
      <c r="I1435" t="s">
        <v>70</v>
      </c>
      <c r="J1435" t="s">
        <v>82</v>
      </c>
      <c r="K1435">
        <v>1</v>
      </c>
      <c r="L1435" s="2">
        <v>508.8</v>
      </c>
      <c r="M1435" s="3">
        <v>0.2</v>
      </c>
      <c r="N1435" t="s">
        <v>34</v>
      </c>
      <c r="O1435" s="2">
        <v>407.04</v>
      </c>
      <c r="P1435" s="2">
        <v>403.9</v>
      </c>
      <c r="Q1435" s="2">
        <v>3.14</v>
      </c>
      <c r="R1435">
        <v>1</v>
      </c>
      <c r="S1435">
        <v>0</v>
      </c>
      <c r="T1435">
        <v>4</v>
      </c>
      <c r="U1435">
        <v>5</v>
      </c>
    </row>
    <row r="1436" spans="1:21" ht="16.5" x14ac:dyDescent="0.3">
      <c r="A1436" t="s">
        <v>1519</v>
      </c>
      <c r="B1436" s="1">
        <v>45531</v>
      </c>
      <c r="C1436">
        <v>2024</v>
      </c>
      <c r="D1436" t="s">
        <v>1187</v>
      </c>
      <c r="E1436" t="s">
        <v>1356</v>
      </c>
      <c r="F1436" t="s">
        <v>45</v>
      </c>
      <c r="G1436" t="s">
        <v>25</v>
      </c>
      <c r="H1436" t="s">
        <v>32</v>
      </c>
      <c r="I1436" t="s">
        <v>27</v>
      </c>
      <c r="J1436" t="s">
        <v>110</v>
      </c>
      <c r="K1436">
        <v>1</v>
      </c>
      <c r="L1436" s="2">
        <v>19.41</v>
      </c>
      <c r="M1436" s="3">
        <v>0.1</v>
      </c>
      <c r="N1436" t="s">
        <v>29</v>
      </c>
      <c r="O1436" s="2">
        <v>17.47</v>
      </c>
      <c r="P1436" s="2">
        <v>10.49</v>
      </c>
      <c r="Q1436" s="2">
        <v>6.98</v>
      </c>
      <c r="R1436">
        <v>1</v>
      </c>
      <c r="S1436">
        <v>0</v>
      </c>
      <c r="T1436">
        <v>3</v>
      </c>
      <c r="U1436">
        <v>4</v>
      </c>
    </row>
    <row r="1437" spans="1:21" ht="16.5" x14ac:dyDescent="0.3">
      <c r="A1437" t="s">
        <v>1520</v>
      </c>
      <c r="B1437" s="1">
        <v>45532</v>
      </c>
      <c r="C1437">
        <v>2024</v>
      </c>
      <c r="D1437" t="s">
        <v>1187</v>
      </c>
      <c r="E1437" t="s">
        <v>1356</v>
      </c>
      <c r="F1437" t="s">
        <v>24</v>
      </c>
      <c r="G1437" t="s">
        <v>51</v>
      </c>
      <c r="H1437" t="s">
        <v>32</v>
      </c>
      <c r="I1437" t="s">
        <v>70</v>
      </c>
      <c r="J1437" t="s">
        <v>87</v>
      </c>
      <c r="K1437">
        <v>2</v>
      </c>
      <c r="L1437" s="2">
        <v>490.3</v>
      </c>
      <c r="M1437" s="3">
        <v>0.05</v>
      </c>
      <c r="N1437" t="s">
        <v>29</v>
      </c>
      <c r="O1437" s="2">
        <v>931.57</v>
      </c>
      <c r="P1437" s="2">
        <v>730.3</v>
      </c>
      <c r="Q1437" s="2">
        <v>201.27</v>
      </c>
      <c r="R1437">
        <v>1</v>
      </c>
      <c r="S1437">
        <v>0</v>
      </c>
      <c r="T1437">
        <v>4</v>
      </c>
      <c r="U1437">
        <v>5</v>
      </c>
    </row>
    <row r="1438" spans="1:21" ht="16.5" x14ac:dyDescent="0.3">
      <c r="A1438" t="s">
        <v>1521</v>
      </c>
      <c r="B1438" s="1">
        <v>45532</v>
      </c>
      <c r="C1438">
        <v>2024</v>
      </c>
      <c r="D1438" t="s">
        <v>1187</v>
      </c>
      <c r="E1438" t="s">
        <v>1356</v>
      </c>
      <c r="F1438" t="s">
        <v>31</v>
      </c>
      <c r="G1438" t="s">
        <v>49</v>
      </c>
      <c r="H1438" t="s">
        <v>32</v>
      </c>
      <c r="I1438" t="s">
        <v>27</v>
      </c>
      <c r="J1438" t="s">
        <v>40</v>
      </c>
      <c r="K1438">
        <v>1</v>
      </c>
      <c r="L1438" s="2">
        <v>104.94</v>
      </c>
      <c r="M1438" s="3">
        <v>0</v>
      </c>
      <c r="N1438" t="s">
        <v>38</v>
      </c>
      <c r="O1438" s="2">
        <v>104.94</v>
      </c>
      <c r="P1438" s="2">
        <v>59.58</v>
      </c>
      <c r="Q1438" s="2">
        <v>45.36</v>
      </c>
      <c r="R1438">
        <v>1</v>
      </c>
      <c r="S1438">
        <v>0</v>
      </c>
      <c r="T1438">
        <v>5</v>
      </c>
      <c r="U1438">
        <v>4</v>
      </c>
    </row>
    <row r="1439" spans="1:21" ht="16.5" x14ac:dyDescent="0.3">
      <c r="A1439" t="s">
        <v>1522</v>
      </c>
      <c r="B1439" s="1">
        <v>45532</v>
      </c>
      <c r="C1439">
        <v>2024</v>
      </c>
      <c r="D1439" t="s">
        <v>1187</v>
      </c>
      <c r="E1439" t="s">
        <v>1356</v>
      </c>
      <c r="F1439" t="s">
        <v>24</v>
      </c>
      <c r="G1439" t="s">
        <v>46</v>
      </c>
      <c r="H1439" t="s">
        <v>32</v>
      </c>
      <c r="I1439" t="s">
        <v>42</v>
      </c>
      <c r="J1439" t="s">
        <v>76</v>
      </c>
      <c r="K1439">
        <v>2</v>
      </c>
      <c r="L1439" s="2">
        <v>90.75</v>
      </c>
      <c r="M1439" s="3">
        <v>0</v>
      </c>
      <c r="N1439" t="s">
        <v>38</v>
      </c>
      <c r="O1439" s="2">
        <v>181.5</v>
      </c>
      <c r="P1439" s="2">
        <v>118.92</v>
      </c>
      <c r="Q1439" s="2">
        <v>62.58</v>
      </c>
      <c r="R1439">
        <v>1</v>
      </c>
      <c r="S1439">
        <v>0</v>
      </c>
      <c r="T1439">
        <v>5</v>
      </c>
      <c r="U1439">
        <v>5</v>
      </c>
    </row>
    <row r="1440" spans="1:21" ht="16.5" x14ac:dyDescent="0.3">
      <c r="A1440" t="s">
        <v>1523</v>
      </c>
      <c r="B1440" s="1">
        <v>45532</v>
      </c>
      <c r="C1440">
        <v>2024</v>
      </c>
      <c r="D1440" t="s">
        <v>1187</v>
      </c>
      <c r="E1440" t="s">
        <v>1356</v>
      </c>
      <c r="F1440" t="s">
        <v>31</v>
      </c>
      <c r="G1440" t="s">
        <v>51</v>
      </c>
      <c r="H1440" t="s">
        <v>26</v>
      </c>
      <c r="I1440" t="s">
        <v>67</v>
      </c>
      <c r="J1440" t="s">
        <v>103</v>
      </c>
      <c r="K1440">
        <v>1</v>
      </c>
      <c r="L1440" s="2">
        <v>83.06</v>
      </c>
      <c r="M1440" s="3">
        <v>0.05</v>
      </c>
      <c r="N1440" t="s">
        <v>29</v>
      </c>
      <c r="O1440" s="2">
        <v>78.91</v>
      </c>
      <c r="P1440" s="2">
        <v>55.13</v>
      </c>
      <c r="Q1440" s="2">
        <v>23.78</v>
      </c>
      <c r="R1440">
        <v>1</v>
      </c>
      <c r="S1440">
        <v>0</v>
      </c>
      <c r="T1440">
        <v>4</v>
      </c>
      <c r="U1440">
        <v>5</v>
      </c>
    </row>
    <row r="1441" spans="1:21" ht="16.5" x14ac:dyDescent="0.3">
      <c r="A1441" t="s">
        <v>1524</v>
      </c>
      <c r="B1441" s="1">
        <v>45533</v>
      </c>
      <c r="C1441">
        <v>2024</v>
      </c>
      <c r="D1441" t="s">
        <v>1187</v>
      </c>
      <c r="E1441" t="s">
        <v>1356</v>
      </c>
      <c r="F1441" t="s">
        <v>45</v>
      </c>
      <c r="G1441" t="s">
        <v>46</v>
      </c>
      <c r="H1441" t="s">
        <v>26</v>
      </c>
      <c r="I1441" t="s">
        <v>70</v>
      </c>
      <c r="J1441" t="s">
        <v>87</v>
      </c>
      <c r="K1441">
        <v>2</v>
      </c>
      <c r="L1441" s="2">
        <v>490.3</v>
      </c>
      <c r="M1441" s="3">
        <v>0</v>
      </c>
      <c r="N1441" t="s">
        <v>38</v>
      </c>
      <c r="O1441" s="2">
        <v>980.6</v>
      </c>
      <c r="P1441" s="2">
        <v>791.64</v>
      </c>
      <c r="Q1441" s="2">
        <v>188.96</v>
      </c>
      <c r="R1441">
        <v>1</v>
      </c>
      <c r="S1441">
        <v>0</v>
      </c>
      <c r="T1441">
        <v>7</v>
      </c>
      <c r="U1441">
        <v>4</v>
      </c>
    </row>
    <row r="1442" spans="1:21" ht="16.5" x14ac:dyDescent="0.3">
      <c r="A1442" t="s">
        <v>1525</v>
      </c>
      <c r="B1442" s="1">
        <v>45533</v>
      </c>
      <c r="C1442">
        <v>2024</v>
      </c>
      <c r="D1442" t="s">
        <v>1187</v>
      </c>
      <c r="E1442" t="s">
        <v>1356</v>
      </c>
      <c r="F1442" t="s">
        <v>31</v>
      </c>
      <c r="G1442" t="s">
        <v>25</v>
      </c>
      <c r="H1442" t="s">
        <v>32</v>
      </c>
      <c r="I1442" t="s">
        <v>42</v>
      </c>
      <c r="J1442" t="s">
        <v>54</v>
      </c>
      <c r="K1442">
        <v>2</v>
      </c>
      <c r="L1442" s="2">
        <v>148.05000000000001</v>
      </c>
      <c r="M1442" s="3">
        <v>0</v>
      </c>
      <c r="N1442" t="s">
        <v>38</v>
      </c>
      <c r="O1442" s="2">
        <v>296.10000000000002</v>
      </c>
      <c r="P1442" s="2">
        <v>199.05</v>
      </c>
      <c r="Q1442" s="2">
        <v>97.05</v>
      </c>
      <c r="R1442">
        <v>1</v>
      </c>
      <c r="S1442">
        <v>1</v>
      </c>
      <c r="T1442">
        <v>4</v>
      </c>
      <c r="U1442">
        <v>3</v>
      </c>
    </row>
    <row r="1443" spans="1:21" ht="16.5" x14ac:dyDescent="0.3">
      <c r="A1443" t="s">
        <v>1526</v>
      </c>
      <c r="B1443" s="1">
        <v>45533</v>
      </c>
      <c r="C1443">
        <v>2024</v>
      </c>
      <c r="D1443" t="s">
        <v>1187</v>
      </c>
      <c r="E1443" t="s">
        <v>1356</v>
      </c>
      <c r="F1443" t="s">
        <v>45</v>
      </c>
      <c r="G1443" t="s">
        <v>51</v>
      </c>
      <c r="H1443" t="s">
        <v>32</v>
      </c>
      <c r="I1443" t="s">
        <v>36</v>
      </c>
      <c r="J1443" t="s">
        <v>115</v>
      </c>
      <c r="K1443">
        <v>1</v>
      </c>
      <c r="L1443" s="2">
        <v>33.479999999999997</v>
      </c>
      <c r="M1443" s="3">
        <v>0</v>
      </c>
      <c r="N1443" t="s">
        <v>38</v>
      </c>
      <c r="O1443" s="2">
        <v>33.479999999999997</v>
      </c>
      <c r="P1443" s="2">
        <v>16.489999999999998</v>
      </c>
      <c r="Q1443" s="2">
        <v>16.989999999999998</v>
      </c>
      <c r="R1443">
        <v>1</v>
      </c>
      <c r="S1443">
        <v>0</v>
      </c>
      <c r="T1443">
        <v>2</v>
      </c>
      <c r="U1443">
        <v>4</v>
      </c>
    </row>
    <row r="1444" spans="1:21" ht="16.5" x14ac:dyDescent="0.3">
      <c r="A1444" t="s">
        <v>1527</v>
      </c>
      <c r="B1444" s="1">
        <v>45533</v>
      </c>
      <c r="C1444">
        <v>2024</v>
      </c>
      <c r="D1444" t="s">
        <v>1187</v>
      </c>
      <c r="E1444" t="s">
        <v>1356</v>
      </c>
      <c r="F1444" t="s">
        <v>31</v>
      </c>
      <c r="G1444" t="s">
        <v>49</v>
      </c>
      <c r="H1444" t="s">
        <v>26</v>
      </c>
      <c r="I1444" t="s">
        <v>70</v>
      </c>
      <c r="J1444" t="s">
        <v>87</v>
      </c>
      <c r="K1444">
        <v>1</v>
      </c>
      <c r="L1444" s="2">
        <v>490.3</v>
      </c>
      <c r="M1444" s="3">
        <v>0.1</v>
      </c>
      <c r="N1444" t="s">
        <v>29</v>
      </c>
      <c r="O1444" s="2">
        <v>441.27</v>
      </c>
      <c r="P1444" s="2">
        <v>381.42</v>
      </c>
      <c r="Q1444" s="2">
        <v>59.85</v>
      </c>
      <c r="R1444">
        <v>1</v>
      </c>
      <c r="S1444">
        <v>0</v>
      </c>
      <c r="T1444">
        <v>3</v>
      </c>
      <c r="U1444">
        <v>5</v>
      </c>
    </row>
    <row r="1445" spans="1:21" ht="16.5" x14ac:dyDescent="0.3">
      <c r="A1445" t="s">
        <v>1528</v>
      </c>
      <c r="B1445" s="1">
        <v>45533</v>
      </c>
      <c r="C1445">
        <v>2024</v>
      </c>
      <c r="D1445" t="s">
        <v>1187</v>
      </c>
      <c r="E1445" t="s">
        <v>1356</v>
      </c>
      <c r="F1445" t="s">
        <v>31</v>
      </c>
      <c r="G1445" t="s">
        <v>51</v>
      </c>
      <c r="H1445" t="s">
        <v>32</v>
      </c>
      <c r="I1445" t="s">
        <v>84</v>
      </c>
      <c r="J1445" t="s">
        <v>96</v>
      </c>
      <c r="K1445">
        <v>1</v>
      </c>
      <c r="L1445" s="2">
        <v>10.76</v>
      </c>
      <c r="M1445" s="3">
        <v>0.1</v>
      </c>
      <c r="N1445" t="s">
        <v>29</v>
      </c>
      <c r="O1445" s="2">
        <v>9.68</v>
      </c>
      <c r="P1445" s="2">
        <v>7.72</v>
      </c>
      <c r="Q1445" s="2">
        <v>1.96</v>
      </c>
      <c r="R1445">
        <v>1</v>
      </c>
      <c r="S1445">
        <v>0</v>
      </c>
      <c r="T1445">
        <v>3</v>
      </c>
      <c r="U1445">
        <v>5</v>
      </c>
    </row>
    <row r="1446" spans="1:21" ht="16.5" x14ac:dyDescent="0.3">
      <c r="A1446" t="s">
        <v>1529</v>
      </c>
      <c r="B1446" s="1">
        <v>45533</v>
      </c>
      <c r="C1446">
        <v>2024</v>
      </c>
      <c r="D1446" t="s">
        <v>1187</v>
      </c>
      <c r="E1446" t="s">
        <v>1356</v>
      </c>
      <c r="F1446" t="s">
        <v>45</v>
      </c>
      <c r="G1446" t="s">
        <v>51</v>
      </c>
      <c r="H1446" t="s">
        <v>32</v>
      </c>
      <c r="I1446" t="s">
        <v>67</v>
      </c>
      <c r="J1446" t="s">
        <v>174</v>
      </c>
      <c r="K1446">
        <v>1</v>
      </c>
      <c r="L1446" s="2">
        <v>137.05000000000001</v>
      </c>
      <c r="M1446" s="3">
        <v>0.1</v>
      </c>
      <c r="N1446" t="s">
        <v>29</v>
      </c>
      <c r="O1446" s="2">
        <v>123.35</v>
      </c>
      <c r="P1446" s="2">
        <v>93.78</v>
      </c>
      <c r="Q1446" s="2">
        <v>29.57</v>
      </c>
      <c r="R1446">
        <v>1</v>
      </c>
      <c r="S1446">
        <v>0</v>
      </c>
      <c r="T1446">
        <v>5</v>
      </c>
      <c r="U1446">
        <v>5</v>
      </c>
    </row>
    <row r="1447" spans="1:21" ht="16.5" x14ac:dyDescent="0.3">
      <c r="A1447" t="s">
        <v>1530</v>
      </c>
      <c r="B1447" s="1">
        <v>45533</v>
      </c>
      <c r="C1447">
        <v>2024</v>
      </c>
      <c r="D1447" t="s">
        <v>1187</v>
      </c>
      <c r="E1447" t="s">
        <v>1356</v>
      </c>
      <c r="F1447" t="s">
        <v>24</v>
      </c>
      <c r="G1447" t="s">
        <v>46</v>
      </c>
      <c r="H1447" t="s">
        <v>32</v>
      </c>
      <c r="I1447" t="s">
        <v>84</v>
      </c>
      <c r="J1447" t="s">
        <v>85</v>
      </c>
      <c r="K1447">
        <v>1</v>
      </c>
      <c r="L1447" s="2">
        <v>57.92</v>
      </c>
      <c r="M1447" s="3">
        <v>0.25</v>
      </c>
      <c r="N1447" t="s">
        <v>62</v>
      </c>
      <c r="O1447" s="2">
        <v>43.44</v>
      </c>
      <c r="P1447" s="2">
        <v>41.51</v>
      </c>
      <c r="Q1447" s="2">
        <v>1.93</v>
      </c>
      <c r="R1447">
        <v>1</v>
      </c>
      <c r="S1447">
        <v>0</v>
      </c>
      <c r="T1447">
        <v>5</v>
      </c>
      <c r="U1447">
        <v>4</v>
      </c>
    </row>
    <row r="1448" spans="1:21" ht="16.5" x14ac:dyDescent="0.3">
      <c r="A1448" t="s">
        <v>1531</v>
      </c>
      <c r="B1448" s="1">
        <v>45534</v>
      </c>
      <c r="C1448">
        <v>2024</v>
      </c>
      <c r="D1448" t="s">
        <v>1187</v>
      </c>
      <c r="E1448" t="s">
        <v>1356</v>
      </c>
      <c r="F1448" t="s">
        <v>24</v>
      </c>
      <c r="G1448" t="s">
        <v>25</v>
      </c>
      <c r="H1448" t="s">
        <v>26</v>
      </c>
      <c r="I1448" t="s">
        <v>84</v>
      </c>
      <c r="J1448" t="s">
        <v>96</v>
      </c>
      <c r="K1448">
        <v>3</v>
      </c>
      <c r="L1448" s="2">
        <v>10.76</v>
      </c>
      <c r="M1448" s="3">
        <v>0</v>
      </c>
      <c r="N1448" t="s">
        <v>38</v>
      </c>
      <c r="O1448" s="2">
        <v>32.28</v>
      </c>
      <c r="P1448" s="2">
        <v>23.14</v>
      </c>
      <c r="Q1448" s="2">
        <v>9.14</v>
      </c>
      <c r="R1448">
        <v>1</v>
      </c>
      <c r="S1448">
        <v>0</v>
      </c>
      <c r="T1448">
        <v>3</v>
      </c>
      <c r="U1448">
        <v>4</v>
      </c>
    </row>
    <row r="1449" spans="1:21" ht="16.5" x14ac:dyDescent="0.3">
      <c r="A1449" t="s">
        <v>1532</v>
      </c>
      <c r="B1449" s="1">
        <v>45534</v>
      </c>
      <c r="C1449">
        <v>2024</v>
      </c>
      <c r="D1449" t="s">
        <v>1187</v>
      </c>
      <c r="E1449" t="s">
        <v>1356</v>
      </c>
      <c r="F1449" t="s">
        <v>31</v>
      </c>
      <c r="G1449" t="s">
        <v>65</v>
      </c>
      <c r="H1449" t="s">
        <v>32</v>
      </c>
      <c r="I1449" t="s">
        <v>27</v>
      </c>
      <c r="J1449" t="s">
        <v>40</v>
      </c>
      <c r="K1449">
        <v>3</v>
      </c>
      <c r="L1449" s="2">
        <v>104.94</v>
      </c>
      <c r="M1449" s="3">
        <v>0.05</v>
      </c>
      <c r="N1449" t="s">
        <v>29</v>
      </c>
      <c r="O1449" s="2">
        <v>299.08</v>
      </c>
      <c r="P1449" s="2">
        <v>165.78</v>
      </c>
      <c r="Q1449" s="2">
        <v>133.30000000000001</v>
      </c>
      <c r="R1449">
        <v>1</v>
      </c>
      <c r="S1449">
        <v>0</v>
      </c>
      <c r="T1449">
        <v>6</v>
      </c>
      <c r="U1449">
        <v>3</v>
      </c>
    </row>
    <row r="1450" spans="1:21" ht="16.5" x14ac:dyDescent="0.3">
      <c r="A1450" t="s">
        <v>1533</v>
      </c>
      <c r="B1450" s="1">
        <v>45534</v>
      </c>
      <c r="C1450">
        <v>2024</v>
      </c>
      <c r="D1450" t="s">
        <v>1187</v>
      </c>
      <c r="E1450" t="s">
        <v>1356</v>
      </c>
      <c r="F1450" t="s">
        <v>24</v>
      </c>
      <c r="G1450" t="s">
        <v>25</v>
      </c>
      <c r="H1450" t="s">
        <v>26</v>
      </c>
      <c r="I1450" t="s">
        <v>27</v>
      </c>
      <c r="J1450" t="s">
        <v>47</v>
      </c>
      <c r="K1450">
        <v>4</v>
      </c>
      <c r="L1450" s="2">
        <v>33.99</v>
      </c>
      <c r="M1450" s="3">
        <v>0.15</v>
      </c>
      <c r="N1450" t="s">
        <v>34</v>
      </c>
      <c r="O1450" s="2">
        <v>115.57</v>
      </c>
      <c r="P1450" s="2">
        <v>70.599999999999994</v>
      </c>
      <c r="Q1450" s="2">
        <v>44.97</v>
      </c>
      <c r="R1450">
        <v>1</v>
      </c>
      <c r="S1450">
        <v>1</v>
      </c>
      <c r="T1450">
        <v>5</v>
      </c>
      <c r="U1450">
        <v>3</v>
      </c>
    </row>
    <row r="1451" spans="1:21" ht="16.5" x14ac:dyDescent="0.3">
      <c r="A1451" t="s">
        <v>1534</v>
      </c>
      <c r="B1451" s="1">
        <v>45534</v>
      </c>
      <c r="C1451">
        <v>2024</v>
      </c>
      <c r="D1451" t="s">
        <v>1187</v>
      </c>
      <c r="E1451" t="s">
        <v>1356</v>
      </c>
      <c r="F1451" t="s">
        <v>24</v>
      </c>
      <c r="G1451" t="s">
        <v>51</v>
      </c>
      <c r="H1451" t="s">
        <v>32</v>
      </c>
      <c r="I1451" t="s">
        <v>70</v>
      </c>
      <c r="J1451" t="s">
        <v>252</v>
      </c>
      <c r="K1451">
        <v>1</v>
      </c>
      <c r="L1451" s="2">
        <v>216.08</v>
      </c>
      <c r="M1451" s="3">
        <v>0.25</v>
      </c>
      <c r="N1451" t="s">
        <v>62</v>
      </c>
      <c r="O1451" s="2">
        <v>162.06</v>
      </c>
      <c r="P1451" s="2">
        <v>181.35</v>
      </c>
      <c r="Q1451" s="2">
        <v>-19.29</v>
      </c>
      <c r="R1451">
        <v>1</v>
      </c>
      <c r="S1451">
        <v>0</v>
      </c>
      <c r="T1451">
        <v>4</v>
      </c>
      <c r="U1451">
        <v>5</v>
      </c>
    </row>
    <row r="1452" spans="1:21" ht="16.5" x14ac:dyDescent="0.3">
      <c r="A1452" t="s">
        <v>1535</v>
      </c>
      <c r="B1452" s="1">
        <v>45534</v>
      </c>
      <c r="C1452">
        <v>2024</v>
      </c>
      <c r="D1452" t="s">
        <v>1187</v>
      </c>
      <c r="E1452" t="s">
        <v>1356</v>
      </c>
      <c r="F1452" t="s">
        <v>24</v>
      </c>
      <c r="G1452" t="s">
        <v>51</v>
      </c>
      <c r="H1452" t="s">
        <v>32</v>
      </c>
      <c r="I1452" t="s">
        <v>27</v>
      </c>
      <c r="J1452" t="s">
        <v>28</v>
      </c>
      <c r="K1452">
        <v>1</v>
      </c>
      <c r="L1452" s="2">
        <v>138.5</v>
      </c>
      <c r="M1452" s="3">
        <v>0</v>
      </c>
      <c r="N1452" t="s">
        <v>38</v>
      </c>
      <c r="O1452" s="2">
        <v>138.5</v>
      </c>
      <c r="P1452" s="2">
        <v>73.78</v>
      </c>
      <c r="Q1452" s="2">
        <v>64.72</v>
      </c>
      <c r="R1452">
        <v>1</v>
      </c>
      <c r="S1452">
        <v>0</v>
      </c>
      <c r="T1452">
        <v>2</v>
      </c>
      <c r="U1452">
        <v>5</v>
      </c>
    </row>
    <row r="1453" spans="1:21" ht="16.5" x14ac:dyDescent="0.3">
      <c r="A1453" t="s">
        <v>1536</v>
      </c>
      <c r="B1453" s="1">
        <v>45534</v>
      </c>
      <c r="C1453">
        <v>2024</v>
      </c>
      <c r="D1453" t="s">
        <v>1187</v>
      </c>
      <c r="E1453" t="s">
        <v>1356</v>
      </c>
      <c r="F1453" t="s">
        <v>31</v>
      </c>
      <c r="G1453" t="s">
        <v>25</v>
      </c>
      <c r="H1453" t="s">
        <v>26</v>
      </c>
      <c r="I1453" t="s">
        <v>42</v>
      </c>
      <c r="J1453" t="s">
        <v>58</v>
      </c>
      <c r="K1453">
        <v>1</v>
      </c>
      <c r="L1453" s="2">
        <v>233.81</v>
      </c>
      <c r="M1453" s="3">
        <v>0.05</v>
      </c>
      <c r="N1453" t="s">
        <v>29</v>
      </c>
      <c r="O1453" s="2">
        <v>222.12</v>
      </c>
      <c r="P1453" s="2">
        <v>157.15</v>
      </c>
      <c r="Q1453" s="2">
        <v>64.97</v>
      </c>
      <c r="R1453">
        <v>1</v>
      </c>
      <c r="S1453">
        <v>0</v>
      </c>
      <c r="T1453">
        <v>3</v>
      </c>
      <c r="U1453">
        <v>5</v>
      </c>
    </row>
    <row r="1454" spans="1:21" ht="16.5" x14ac:dyDescent="0.3">
      <c r="A1454" t="s">
        <v>1537</v>
      </c>
      <c r="B1454" s="1">
        <v>45534</v>
      </c>
      <c r="C1454">
        <v>2024</v>
      </c>
      <c r="D1454" t="s">
        <v>1187</v>
      </c>
      <c r="E1454" t="s">
        <v>1356</v>
      </c>
      <c r="F1454" t="s">
        <v>31</v>
      </c>
      <c r="G1454" t="s">
        <v>49</v>
      </c>
      <c r="H1454" t="s">
        <v>26</v>
      </c>
      <c r="I1454" t="s">
        <v>70</v>
      </c>
      <c r="J1454" t="s">
        <v>71</v>
      </c>
      <c r="K1454">
        <v>1</v>
      </c>
      <c r="L1454" s="2">
        <v>588.41</v>
      </c>
      <c r="M1454" s="3">
        <v>0.1</v>
      </c>
      <c r="N1454" t="s">
        <v>29</v>
      </c>
      <c r="O1454" s="2">
        <v>529.57000000000005</v>
      </c>
      <c r="P1454" s="2">
        <v>457.72</v>
      </c>
      <c r="Q1454" s="2">
        <v>71.849999999999994</v>
      </c>
      <c r="R1454">
        <v>1</v>
      </c>
      <c r="S1454">
        <v>0</v>
      </c>
      <c r="T1454">
        <v>3</v>
      </c>
      <c r="U1454">
        <v>4</v>
      </c>
    </row>
    <row r="1455" spans="1:21" ht="16.5" x14ac:dyDescent="0.3">
      <c r="A1455" t="s">
        <v>1538</v>
      </c>
      <c r="B1455" s="1">
        <v>45534</v>
      </c>
      <c r="C1455">
        <v>2024</v>
      </c>
      <c r="D1455" t="s">
        <v>1187</v>
      </c>
      <c r="E1455" t="s">
        <v>1356</v>
      </c>
      <c r="F1455" t="s">
        <v>31</v>
      </c>
      <c r="G1455" t="s">
        <v>25</v>
      </c>
      <c r="H1455" t="s">
        <v>32</v>
      </c>
      <c r="I1455" t="s">
        <v>84</v>
      </c>
      <c r="J1455" t="s">
        <v>106</v>
      </c>
      <c r="K1455">
        <v>2</v>
      </c>
      <c r="L1455" s="2">
        <v>45.28</v>
      </c>
      <c r="M1455" s="3">
        <v>0.05</v>
      </c>
      <c r="N1455" t="s">
        <v>29</v>
      </c>
      <c r="O1455" s="2">
        <v>86.03</v>
      </c>
      <c r="P1455" s="2">
        <v>62.9</v>
      </c>
      <c r="Q1455" s="2">
        <v>23.13</v>
      </c>
      <c r="R1455">
        <v>1</v>
      </c>
      <c r="S1455">
        <v>1</v>
      </c>
      <c r="T1455">
        <v>3</v>
      </c>
      <c r="U1455">
        <v>4</v>
      </c>
    </row>
    <row r="1456" spans="1:21" ht="16.5" x14ac:dyDescent="0.3">
      <c r="A1456" t="s">
        <v>1539</v>
      </c>
      <c r="B1456" s="1">
        <v>45535</v>
      </c>
      <c r="C1456">
        <v>2024</v>
      </c>
      <c r="D1456" t="s">
        <v>1187</v>
      </c>
      <c r="E1456" t="s">
        <v>1356</v>
      </c>
      <c r="F1456" t="s">
        <v>24</v>
      </c>
      <c r="G1456" t="s">
        <v>25</v>
      </c>
      <c r="H1456" t="s">
        <v>26</v>
      </c>
      <c r="I1456" t="s">
        <v>42</v>
      </c>
      <c r="J1456" t="s">
        <v>89</v>
      </c>
      <c r="K1456">
        <v>1</v>
      </c>
      <c r="L1456" s="2">
        <v>68.349999999999994</v>
      </c>
      <c r="M1456" s="3">
        <v>0</v>
      </c>
      <c r="N1456" t="s">
        <v>38</v>
      </c>
      <c r="O1456" s="2">
        <v>68.349999999999994</v>
      </c>
      <c r="P1456" s="2">
        <v>45.45</v>
      </c>
      <c r="Q1456" s="2">
        <v>22.9</v>
      </c>
      <c r="R1456">
        <v>1</v>
      </c>
      <c r="S1456">
        <v>0</v>
      </c>
      <c r="T1456">
        <v>5</v>
      </c>
      <c r="U1456">
        <v>5</v>
      </c>
    </row>
    <row r="1457" spans="1:21" ht="16.5" x14ac:dyDescent="0.3">
      <c r="A1457" t="s">
        <v>1540</v>
      </c>
      <c r="B1457" s="1">
        <v>45535</v>
      </c>
      <c r="C1457">
        <v>2024</v>
      </c>
      <c r="D1457" t="s">
        <v>1187</v>
      </c>
      <c r="E1457" t="s">
        <v>1356</v>
      </c>
      <c r="F1457" t="s">
        <v>24</v>
      </c>
      <c r="G1457" t="s">
        <v>51</v>
      </c>
      <c r="H1457" t="s">
        <v>32</v>
      </c>
      <c r="I1457" t="s">
        <v>42</v>
      </c>
      <c r="J1457" t="s">
        <v>58</v>
      </c>
      <c r="K1457">
        <v>1</v>
      </c>
      <c r="L1457" s="2">
        <v>233.81</v>
      </c>
      <c r="M1457" s="3">
        <v>0</v>
      </c>
      <c r="N1457" t="s">
        <v>38</v>
      </c>
      <c r="O1457" s="2">
        <v>233.81</v>
      </c>
      <c r="P1457" s="2">
        <v>145.53</v>
      </c>
      <c r="Q1457" s="2">
        <v>88.28</v>
      </c>
      <c r="R1457">
        <v>1</v>
      </c>
      <c r="S1457">
        <v>0</v>
      </c>
      <c r="T1457">
        <v>3</v>
      </c>
      <c r="U1457">
        <v>5</v>
      </c>
    </row>
    <row r="1458" spans="1:21" ht="16.5" x14ac:dyDescent="0.3">
      <c r="A1458" t="s">
        <v>1541</v>
      </c>
      <c r="B1458" s="1">
        <v>45535</v>
      </c>
      <c r="C1458">
        <v>2024</v>
      </c>
      <c r="D1458" t="s">
        <v>1187</v>
      </c>
      <c r="E1458" t="s">
        <v>1356</v>
      </c>
      <c r="F1458" t="s">
        <v>24</v>
      </c>
      <c r="G1458" t="s">
        <v>51</v>
      </c>
      <c r="H1458" t="s">
        <v>26</v>
      </c>
      <c r="I1458" t="s">
        <v>84</v>
      </c>
      <c r="J1458" t="s">
        <v>132</v>
      </c>
      <c r="K1458">
        <v>2</v>
      </c>
      <c r="L1458" s="2">
        <v>48.86</v>
      </c>
      <c r="M1458" s="3">
        <v>0</v>
      </c>
      <c r="N1458" t="s">
        <v>38</v>
      </c>
      <c r="O1458" s="2">
        <v>97.72</v>
      </c>
      <c r="P1458" s="2">
        <v>65.69</v>
      </c>
      <c r="Q1458" s="2">
        <v>32.03</v>
      </c>
      <c r="R1458">
        <v>1</v>
      </c>
      <c r="S1458">
        <v>0</v>
      </c>
      <c r="T1458">
        <v>4</v>
      </c>
      <c r="U1458">
        <v>4</v>
      </c>
    </row>
    <row r="1459" spans="1:21" ht="16.5" x14ac:dyDescent="0.3">
      <c r="A1459" t="s">
        <v>1542</v>
      </c>
      <c r="B1459" s="1">
        <v>45536</v>
      </c>
      <c r="C1459">
        <v>2024</v>
      </c>
      <c r="D1459" t="s">
        <v>1187</v>
      </c>
      <c r="E1459" t="s">
        <v>1543</v>
      </c>
      <c r="F1459" t="s">
        <v>24</v>
      </c>
      <c r="G1459" t="s">
        <v>51</v>
      </c>
      <c r="H1459" t="s">
        <v>26</v>
      </c>
      <c r="I1459" t="s">
        <v>67</v>
      </c>
      <c r="J1459" t="s">
        <v>78</v>
      </c>
      <c r="K1459">
        <v>1</v>
      </c>
      <c r="L1459" s="2">
        <v>85.42</v>
      </c>
      <c r="M1459" s="3">
        <v>0</v>
      </c>
      <c r="N1459" t="s">
        <v>38</v>
      </c>
      <c r="O1459" s="2">
        <v>85.42</v>
      </c>
      <c r="P1459" s="2">
        <v>58.21</v>
      </c>
      <c r="Q1459" s="2">
        <v>27.21</v>
      </c>
      <c r="R1459">
        <v>1</v>
      </c>
      <c r="S1459">
        <v>0</v>
      </c>
      <c r="T1459">
        <v>3</v>
      </c>
      <c r="U1459">
        <v>5</v>
      </c>
    </row>
    <row r="1460" spans="1:21" ht="16.5" x14ac:dyDescent="0.3">
      <c r="A1460" t="s">
        <v>1544</v>
      </c>
      <c r="B1460" s="1">
        <v>45536</v>
      </c>
      <c r="C1460">
        <v>2024</v>
      </c>
      <c r="D1460" t="s">
        <v>1187</v>
      </c>
      <c r="E1460" t="s">
        <v>1543</v>
      </c>
      <c r="F1460" t="s">
        <v>31</v>
      </c>
      <c r="G1460" t="s">
        <v>51</v>
      </c>
      <c r="H1460" t="s">
        <v>26</v>
      </c>
      <c r="I1460" t="s">
        <v>84</v>
      </c>
      <c r="J1460" t="s">
        <v>106</v>
      </c>
      <c r="K1460">
        <v>1</v>
      </c>
      <c r="L1460" s="2">
        <v>45.28</v>
      </c>
      <c r="M1460" s="3">
        <v>0.1</v>
      </c>
      <c r="N1460" t="s">
        <v>29</v>
      </c>
      <c r="O1460" s="2">
        <v>40.75</v>
      </c>
      <c r="P1460" s="2">
        <v>32.43</v>
      </c>
      <c r="Q1460" s="2">
        <v>8.32</v>
      </c>
      <c r="R1460">
        <v>1</v>
      </c>
      <c r="S1460">
        <v>0</v>
      </c>
      <c r="T1460">
        <v>2</v>
      </c>
      <c r="U1460">
        <v>5</v>
      </c>
    </row>
    <row r="1461" spans="1:21" ht="16.5" x14ac:dyDescent="0.3">
      <c r="A1461" t="s">
        <v>1545</v>
      </c>
      <c r="B1461" s="1">
        <v>45536</v>
      </c>
      <c r="C1461">
        <v>2024</v>
      </c>
      <c r="D1461" t="s">
        <v>1187</v>
      </c>
      <c r="E1461" t="s">
        <v>1543</v>
      </c>
      <c r="F1461" t="s">
        <v>24</v>
      </c>
      <c r="G1461" t="s">
        <v>51</v>
      </c>
      <c r="H1461" t="s">
        <v>26</v>
      </c>
      <c r="I1461" t="s">
        <v>70</v>
      </c>
      <c r="J1461" t="s">
        <v>82</v>
      </c>
      <c r="K1461">
        <v>2</v>
      </c>
      <c r="L1461" s="2">
        <v>508.8</v>
      </c>
      <c r="M1461" s="3">
        <v>0.1</v>
      </c>
      <c r="N1461" t="s">
        <v>29</v>
      </c>
      <c r="O1461" s="2">
        <v>915.84</v>
      </c>
      <c r="P1461" s="2">
        <v>861.24</v>
      </c>
      <c r="Q1461" s="2">
        <v>54.6</v>
      </c>
      <c r="R1461">
        <v>1</v>
      </c>
      <c r="S1461">
        <v>0</v>
      </c>
      <c r="T1461">
        <v>2</v>
      </c>
      <c r="U1461">
        <v>4</v>
      </c>
    </row>
    <row r="1462" spans="1:21" ht="16.5" x14ac:dyDescent="0.3">
      <c r="A1462" t="s">
        <v>1546</v>
      </c>
      <c r="B1462" s="1">
        <v>45537</v>
      </c>
      <c r="C1462">
        <v>2024</v>
      </c>
      <c r="D1462" t="s">
        <v>1187</v>
      </c>
      <c r="E1462" t="s">
        <v>1543</v>
      </c>
      <c r="F1462" t="s">
        <v>24</v>
      </c>
      <c r="G1462" t="s">
        <v>25</v>
      </c>
      <c r="H1462" t="s">
        <v>26</v>
      </c>
      <c r="I1462" t="s">
        <v>42</v>
      </c>
      <c r="J1462" t="s">
        <v>98</v>
      </c>
      <c r="K1462">
        <v>1</v>
      </c>
      <c r="L1462" s="2">
        <v>117.63</v>
      </c>
      <c r="M1462" s="3">
        <v>0</v>
      </c>
      <c r="N1462" t="s">
        <v>38</v>
      </c>
      <c r="O1462" s="2">
        <v>117.63</v>
      </c>
      <c r="P1462" s="2">
        <v>77.599999999999994</v>
      </c>
      <c r="Q1462" s="2">
        <v>40.03</v>
      </c>
      <c r="R1462">
        <v>1</v>
      </c>
      <c r="S1462">
        <v>0</v>
      </c>
      <c r="T1462">
        <v>5</v>
      </c>
      <c r="U1462">
        <v>4</v>
      </c>
    </row>
    <row r="1463" spans="1:21" ht="16.5" x14ac:dyDescent="0.3">
      <c r="A1463" t="s">
        <v>1547</v>
      </c>
      <c r="B1463" s="1">
        <v>45537</v>
      </c>
      <c r="C1463">
        <v>2024</v>
      </c>
      <c r="D1463" t="s">
        <v>1187</v>
      </c>
      <c r="E1463" t="s">
        <v>1543</v>
      </c>
      <c r="F1463" t="s">
        <v>45</v>
      </c>
      <c r="G1463" t="s">
        <v>49</v>
      </c>
      <c r="H1463" t="s">
        <v>32</v>
      </c>
      <c r="I1463" t="s">
        <v>70</v>
      </c>
      <c r="J1463" t="s">
        <v>162</v>
      </c>
      <c r="K1463">
        <v>2</v>
      </c>
      <c r="L1463" s="2">
        <v>636.09</v>
      </c>
      <c r="M1463" s="3">
        <v>0.1</v>
      </c>
      <c r="N1463" t="s">
        <v>29</v>
      </c>
      <c r="O1463" s="2">
        <v>1144.96</v>
      </c>
      <c r="P1463" s="2">
        <v>987.25</v>
      </c>
      <c r="Q1463" s="2">
        <v>157.71</v>
      </c>
      <c r="R1463">
        <v>1</v>
      </c>
      <c r="S1463">
        <v>0</v>
      </c>
      <c r="T1463">
        <v>3</v>
      </c>
      <c r="U1463">
        <v>5</v>
      </c>
    </row>
    <row r="1464" spans="1:21" ht="16.5" x14ac:dyDescent="0.3">
      <c r="A1464" t="s">
        <v>1548</v>
      </c>
      <c r="B1464" s="1">
        <v>45537</v>
      </c>
      <c r="C1464">
        <v>2024</v>
      </c>
      <c r="D1464" t="s">
        <v>1187</v>
      </c>
      <c r="E1464" t="s">
        <v>1543</v>
      </c>
      <c r="F1464" t="s">
        <v>31</v>
      </c>
      <c r="G1464" t="s">
        <v>25</v>
      </c>
      <c r="H1464" t="s">
        <v>32</v>
      </c>
      <c r="I1464" t="s">
        <v>70</v>
      </c>
      <c r="J1464" t="s">
        <v>162</v>
      </c>
      <c r="K1464">
        <v>1</v>
      </c>
      <c r="L1464" s="2">
        <v>636.09</v>
      </c>
      <c r="M1464" s="3">
        <v>0.2</v>
      </c>
      <c r="N1464" t="s">
        <v>34</v>
      </c>
      <c r="O1464" s="2">
        <v>508.87</v>
      </c>
      <c r="P1464" s="2">
        <v>515.79</v>
      </c>
      <c r="Q1464" s="2">
        <v>-6.92</v>
      </c>
      <c r="R1464">
        <v>1</v>
      </c>
      <c r="S1464">
        <v>0</v>
      </c>
      <c r="T1464">
        <v>3</v>
      </c>
      <c r="U1464">
        <v>5</v>
      </c>
    </row>
    <row r="1465" spans="1:21" ht="16.5" x14ac:dyDescent="0.3">
      <c r="A1465" t="s">
        <v>1549</v>
      </c>
      <c r="B1465" s="1">
        <v>45537</v>
      </c>
      <c r="C1465">
        <v>2024</v>
      </c>
      <c r="D1465" t="s">
        <v>1187</v>
      </c>
      <c r="E1465" t="s">
        <v>1543</v>
      </c>
      <c r="F1465" t="s">
        <v>24</v>
      </c>
      <c r="G1465" t="s">
        <v>51</v>
      </c>
      <c r="H1465" t="s">
        <v>32</v>
      </c>
      <c r="I1465" t="s">
        <v>27</v>
      </c>
      <c r="J1465" t="s">
        <v>28</v>
      </c>
      <c r="K1465">
        <v>1</v>
      </c>
      <c r="L1465" s="2">
        <v>138.5</v>
      </c>
      <c r="M1465" s="3">
        <v>0.1</v>
      </c>
      <c r="N1465" t="s">
        <v>29</v>
      </c>
      <c r="O1465" s="2">
        <v>124.65</v>
      </c>
      <c r="P1465" s="2">
        <v>77.86</v>
      </c>
      <c r="Q1465" s="2">
        <v>46.79</v>
      </c>
      <c r="R1465">
        <v>1</v>
      </c>
      <c r="S1465">
        <v>0</v>
      </c>
      <c r="T1465">
        <v>2</v>
      </c>
      <c r="U1465">
        <v>4</v>
      </c>
    </row>
    <row r="1466" spans="1:21" ht="16.5" x14ac:dyDescent="0.3">
      <c r="A1466" t="s">
        <v>1550</v>
      </c>
      <c r="B1466" s="1">
        <v>45537</v>
      </c>
      <c r="C1466">
        <v>2024</v>
      </c>
      <c r="D1466" t="s">
        <v>1187</v>
      </c>
      <c r="E1466" t="s">
        <v>1543</v>
      </c>
      <c r="F1466" t="s">
        <v>24</v>
      </c>
      <c r="G1466" t="s">
        <v>25</v>
      </c>
      <c r="H1466" t="s">
        <v>32</v>
      </c>
      <c r="I1466" t="s">
        <v>42</v>
      </c>
      <c r="J1466" t="s">
        <v>98</v>
      </c>
      <c r="K1466">
        <v>3</v>
      </c>
      <c r="L1466" s="2">
        <v>117.63</v>
      </c>
      <c r="M1466" s="3">
        <v>0.2</v>
      </c>
      <c r="N1466" t="s">
        <v>34</v>
      </c>
      <c r="O1466" s="2">
        <v>282.31</v>
      </c>
      <c r="P1466" s="2">
        <v>235.45</v>
      </c>
      <c r="Q1466" s="2">
        <v>46.86</v>
      </c>
      <c r="R1466">
        <v>1</v>
      </c>
      <c r="S1466">
        <v>0</v>
      </c>
      <c r="T1466">
        <v>7</v>
      </c>
      <c r="U1466">
        <v>3</v>
      </c>
    </row>
    <row r="1467" spans="1:21" ht="16.5" x14ac:dyDescent="0.3">
      <c r="A1467" t="s">
        <v>1551</v>
      </c>
      <c r="B1467" s="1">
        <v>45537</v>
      </c>
      <c r="C1467">
        <v>2024</v>
      </c>
      <c r="D1467" t="s">
        <v>1187</v>
      </c>
      <c r="E1467" t="s">
        <v>1543</v>
      </c>
      <c r="F1467" t="s">
        <v>31</v>
      </c>
      <c r="G1467" t="s">
        <v>65</v>
      </c>
      <c r="H1467" t="s">
        <v>26</v>
      </c>
      <c r="I1467" t="s">
        <v>67</v>
      </c>
      <c r="J1467" t="s">
        <v>68</v>
      </c>
      <c r="K1467">
        <v>1</v>
      </c>
      <c r="L1467" s="2">
        <v>74.459999999999994</v>
      </c>
      <c r="M1467" s="3">
        <v>0.3</v>
      </c>
      <c r="N1467" t="s">
        <v>62</v>
      </c>
      <c r="O1467" s="2">
        <v>52.12</v>
      </c>
      <c r="P1467" s="2">
        <v>49.23</v>
      </c>
      <c r="Q1467" s="2">
        <v>2.89</v>
      </c>
      <c r="R1467">
        <v>1</v>
      </c>
      <c r="S1467">
        <v>0</v>
      </c>
      <c r="T1467">
        <v>5</v>
      </c>
      <c r="U1467">
        <v>4</v>
      </c>
    </row>
    <row r="1468" spans="1:21" ht="16.5" x14ac:dyDescent="0.3">
      <c r="A1468" t="s">
        <v>1552</v>
      </c>
      <c r="B1468" s="1">
        <v>45538</v>
      </c>
      <c r="C1468">
        <v>2024</v>
      </c>
      <c r="D1468" t="s">
        <v>1187</v>
      </c>
      <c r="E1468" t="s">
        <v>1543</v>
      </c>
      <c r="F1468" t="s">
        <v>24</v>
      </c>
      <c r="G1468" t="s">
        <v>25</v>
      </c>
      <c r="H1468" t="s">
        <v>32</v>
      </c>
      <c r="I1468" t="s">
        <v>70</v>
      </c>
      <c r="J1468" t="s">
        <v>87</v>
      </c>
      <c r="K1468">
        <v>2</v>
      </c>
      <c r="L1468" s="2">
        <v>490.3</v>
      </c>
      <c r="M1468" s="3">
        <v>0.05</v>
      </c>
      <c r="N1468" t="s">
        <v>29</v>
      </c>
      <c r="O1468" s="2">
        <v>931.57</v>
      </c>
      <c r="P1468" s="2">
        <v>801.68</v>
      </c>
      <c r="Q1468" s="2">
        <v>129.88999999999999</v>
      </c>
      <c r="R1468">
        <v>1</v>
      </c>
      <c r="S1468">
        <v>0</v>
      </c>
      <c r="T1468">
        <v>3</v>
      </c>
      <c r="U1468">
        <v>5</v>
      </c>
    </row>
    <row r="1469" spans="1:21" ht="16.5" x14ac:dyDescent="0.3">
      <c r="A1469" t="s">
        <v>1553</v>
      </c>
      <c r="B1469" s="1">
        <v>45538</v>
      </c>
      <c r="C1469">
        <v>2024</v>
      </c>
      <c r="D1469" t="s">
        <v>1187</v>
      </c>
      <c r="E1469" t="s">
        <v>1543</v>
      </c>
      <c r="F1469" t="s">
        <v>24</v>
      </c>
      <c r="G1469" t="s">
        <v>46</v>
      </c>
      <c r="H1469" t="s">
        <v>26</v>
      </c>
      <c r="I1469" t="s">
        <v>84</v>
      </c>
      <c r="J1469" t="s">
        <v>132</v>
      </c>
      <c r="K1469">
        <v>1</v>
      </c>
      <c r="L1469" s="2">
        <v>48.86</v>
      </c>
      <c r="M1469" s="3">
        <v>0.1</v>
      </c>
      <c r="N1469" t="s">
        <v>29</v>
      </c>
      <c r="O1469" s="2">
        <v>43.97</v>
      </c>
      <c r="P1469" s="2">
        <v>34.46</v>
      </c>
      <c r="Q1469" s="2">
        <v>9.51</v>
      </c>
      <c r="R1469">
        <v>1</v>
      </c>
      <c r="S1469">
        <v>0</v>
      </c>
      <c r="T1469">
        <v>8</v>
      </c>
      <c r="U1469">
        <v>4</v>
      </c>
    </row>
    <row r="1470" spans="1:21" ht="16.5" x14ac:dyDescent="0.3">
      <c r="A1470" t="s">
        <v>1554</v>
      </c>
      <c r="B1470" s="1">
        <v>45538</v>
      </c>
      <c r="C1470">
        <v>2024</v>
      </c>
      <c r="D1470" t="s">
        <v>1187</v>
      </c>
      <c r="E1470" t="s">
        <v>1543</v>
      </c>
      <c r="F1470" t="s">
        <v>24</v>
      </c>
      <c r="G1470" t="s">
        <v>25</v>
      </c>
      <c r="H1470" t="s">
        <v>32</v>
      </c>
      <c r="I1470" t="s">
        <v>27</v>
      </c>
      <c r="J1470" t="s">
        <v>60</v>
      </c>
      <c r="K1470">
        <v>3</v>
      </c>
      <c r="L1470" s="2">
        <v>94.85</v>
      </c>
      <c r="M1470" s="3">
        <v>0.1</v>
      </c>
      <c r="N1470" t="s">
        <v>29</v>
      </c>
      <c r="O1470" s="2">
        <v>256.08999999999997</v>
      </c>
      <c r="P1470" s="2">
        <v>153.97</v>
      </c>
      <c r="Q1470" s="2">
        <v>102.12</v>
      </c>
      <c r="R1470">
        <v>1</v>
      </c>
      <c r="S1470">
        <v>0</v>
      </c>
      <c r="T1470">
        <v>3</v>
      </c>
      <c r="U1470">
        <v>5</v>
      </c>
    </row>
    <row r="1471" spans="1:21" ht="16.5" x14ac:dyDescent="0.3">
      <c r="A1471" t="s">
        <v>1555</v>
      </c>
      <c r="B1471" s="1">
        <v>45538</v>
      </c>
      <c r="C1471">
        <v>2024</v>
      </c>
      <c r="D1471" t="s">
        <v>1187</v>
      </c>
      <c r="E1471" t="s">
        <v>1543</v>
      </c>
      <c r="F1471" t="s">
        <v>24</v>
      </c>
      <c r="G1471" t="s">
        <v>49</v>
      </c>
      <c r="H1471" t="s">
        <v>26</v>
      </c>
      <c r="I1471" t="s">
        <v>67</v>
      </c>
      <c r="J1471" t="s">
        <v>174</v>
      </c>
      <c r="K1471">
        <v>4</v>
      </c>
      <c r="L1471" s="2">
        <v>137.05000000000001</v>
      </c>
      <c r="M1471" s="3">
        <v>0</v>
      </c>
      <c r="N1471" t="s">
        <v>38</v>
      </c>
      <c r="O1471" s="2">
        <v>548.20000000000005</v>
      </c>
      <c r="P1471" s="2">
        <v>364.5</v>
      </c>
      <c r="Q1471" s="2">
        <v>183.7</v>
      </c>
      <c r="R1471">
        <v>1</v>
      </c>
      <c r="S1471">
        <v>0</v>
      </c>
      <c r="T1471">
        <v>3</v>
      </c>
      <c r="U1471">
        <v>5</v>
      </c>
    </row>
    <row r="1472" spans="1:21" ht="16.5" x14ac:dyDescent="0.3">
      <c r="A1472" t="s">
        <v>1556</v>
      </c>
      <c r="B1472" s="1">
        <v>45538</v>
      </c>
      <c r="C1472">
        <v>2024</v>
      </c>
      <c r="D1472" t="s">
        <v>1187</v>
      </c>
      <c r="E1472" t="s">
        <v>1543</v>
      </c>
      <c r="F1472" t="s">
        <v>24</v>
      </c>
      <c r="G1472" t="s">
        <v>25</v>
      </c>
      <c r="H1472" t="s">
        <v>32</v>
      </c>
      <c r="I1472" t="s">
        <v>67</v>
      </c>
      <c r="J1472" t="s">
        <v>68</v>
      </c>
      <c r="K1472">
        <v>1</v>
      </c>
      <c r="L1472" s="2">
        <v>74.459999999999994</v>
      </c>
      <c r="M1472" s="3">
        <v>0.1</v>
      </c>
      <c r="N1472" t="s">
        <v>29</v>
      </c>
      <c r="O1472" s="2">
        <v>67.010000000000005</v>
      </c>
      <c r="P1472" s="2">
        <v>51.4</v>
      </c>
      <c r="Q1472" s="2">
        <v>15.61</v>
      </c>
      <c r="R1472">
        <v>1</v>
      </c>
      <c r="S1472">
        <v>0</v>
      </c>
      <c r="T1472">
        <v>4</v>
      </c>
      <c r="U1472">
        <v>4</v>
      </c>
    </row>
    <row r="1473" spans="1:21" ht="16.5" x14ac:dyDescent="0.3">
      <c r="A1473" t="s">
        <v>1557</v>
      </c>
      <c r="B1473" s="1">
        <v>45538</v>
      </c>
      <c r="C1473">
        <v>2024</v>
      </c>
      <c r="D1473" t="s">
        <v>1187</v>
      </c>
      <c r="E1473" t="s">
        <v>1543</v>
      </c>
      <c r="F1473" t="s">
        <v>45</v>
      </c>
      <c r="G1473" t="s">
        <v>25</v>
      </c>
      <c r="H1473" t="s">
        <v>32</v>
      </c>
      <c r="I1473" t="s">
        <v>36</v>
      </c>
      <c r="J1473" t="s">
        <v>115</v>
      </c>
      <c r="K1473">
        <v>1</v>
      </c>
      <c r="L1473" s="2">
        <v>33.479999999999997</v>
      </c>
      <c r="M1473" s="3">
        <v>0.1</v>
      </c>
      <c r="N1473" t="s">
        <v>29</v>
      </c>
      <c r="O1473" s="2">
        <v>30.13</v>
      </c>
      <c r="P1473" s="2">
        <v>16.13</v>
      </c>
      <c r="Q1473" s="2">
        <v>14</v>
      </c>
      <c r="R1473">
        <v>1</v>
      </c>
      <c r="S1473">
        <v>0</v>
      </c>
      <c r="T1473">
        <v>3</v>
      </c>
      <c r="U1473">
        <v>5</v>
      </c>
    </row>
    <row r="1474" spans="1:21" ht="16.5" x14ac:dyDescent="0.3">
      <c r="A1474" t="s">
        <v>1558</v>
      </c>
      <c r="B1474" s="1">
        <v>45538</v>
      </c>
      <c r="C1474">
        <v>2024</v>
      </c>
      <c r="D1474" t="s">
        <v>1187</v>
      </c>
      <c r="E1474" t="s">
        <v>1543</v>
      </c>
      <c r="F1474" t="s">
        <v>31</v>
      </c>
      <c r="G1474" t="s">
        <v>46</v>
      </c>
      <c r="H1474" t="s">
        <v>32</v>
      </c>
      <c r="I1474" t="s">
        <v>27</v>
      </c>
      <c r="J1474" t="s">
        <v>110</v>
      </c>
      <c r="K1474">
        <v>1</v>
      </c>
      <c r="L1474" s="2">
        <v>19.41</v>
      </c>
      <c r="M1474" s="3">
        <v>0</v>
      </c>
      <c r="N1474" t="s">
        <v>38</v>
      </c>
      <c r="O1474" s="2">
        <v>19.41</v>
      </c>
      <c r="P1474" s="2">
        <v>9.82</v>
      </c>
      <c r="Q1474" s="2">
        <v>9.59</v>
      </c>
      <c r="R1474">
        <v>1</v>
      </c>
      <c r="S1474">
        <v>0</v>
      </c>
      <c r="T1474">
        <v>5</v>
      </c>
      <c r="U1474">
        <v>5</v>
      </c>
    </row>
    <row r="1475" spans="1:21" ht="16.5" x14ac:dyDescent="0.3">
      <c r="A1475" t="s">
        <v>1559</v>
      </c>
      <c r="B1475" s="1">
        <v>45539</v>
      </c>
      <c r="C1475">
        <v>2024</v>
      </c>
      <c r="D1475" t="s">
        <v>1187</v>
      </c>
      <c r="E1475" t="s">
        <v>1543</v>
      </c>
      <c r="F1475" t="s">
        <v>45</v>
      </c>
      <c r="G1475" t="s">
        <v>25</v>
      </c>
      <c r="H1475" t="s">
        <v>26</v>
      </c>
      <c r="I1475" t="s">
        <v>70</v>
      </c>
      <c r="J1475" t="s">
        <v>82</v>
      </c>
      <c r="K1475">
        <v>2</v>
      </c>
      <c r="L1475" s="2">
        <v>508.8</v>
      </c>
      <c r="M1475" s="3">
        <v>0.05</v>
      </c>
      <c r="N1475" t="s">
        <v>29</v>
      </c>
      <c r="O1475" s="2">
        <v>966.72</v>
      </c>
      <c r="P1475" s="2">
        <v>803.07</v>
      </c>
      <c r="Q1475" s="2">
        <v>163.65</v>
      </c>
      <c r="R1475">
        <v>1</v>
      </c>
      <c r="S1475">
        <v>0</v>
      </c>
      <c r="T1475">
        <v>5</v>
      </c>
      <c r="U1475">
        <v>5</v>
      </c>
    </row>
    <row r="1476" spans="1:21" ht="16.5" x14ac:dyDescent="0.3">
      <c r="A1476" t="s">
        <v>1560</v>
      </c>
      <c r="B1476" s="1">
        <v>45539</v>
      </c>
      <c r="C1476">
        <v>2024</v>
      </c>
      <c r="D1476" t="s">
        <v>1187</v>
      </c>
      <c r="E1476" t="s">
        <v>1543</v>
      </c>
      <c r="F1476" t="s">
        <v>24</v>
      </c>
      <c r="G1476" t="s">
        <v>46</v>
      </c>
      <c r="H1476" t="s">
        <v>26</v>
      </c>
      <c r="I1476" t="s">
        <v>84</v>
      </c>
      <c r="J1476" t="s">
        <v>223</v>
      </c>
      <c r="K1476">
        <v>2</v>
      </c>
      <c r="L1476" s="2">
        <v>16.97</v>
      </c>
      <c r="M1476" s="3">
        <v>0</v>
      </c>
      <c r="N1476" t="s">
        <v>38</v>
      </c>
      <c r="O1476" s="2">
        <v>33.94</v>
      </c>
      <c r="P1476" s="2">
        <v>23.47</v>
      </c>
      <c r="Q1476" s="2">
        <v>10.47</v>
      </c>
      <c r="R1476">
        <v>1</v>
      </c>
      <c r="S1476">
        <v>0</v>
      </c>
      <c r="T1476">
        <v>6</v>
      </c>
      <c r="U1476">
        <v>4</v>
      </c>
    </row>
    <row r="1477" spans="1:21" ht="16.5" x14ac:dyDescent="0.3">
      <c r="A1477" t="s">
        <v>1561</v>
      </c>
      <c r="B1477" s="1">
        <v>45539</v>
      </c>
      <c r="C1477">
        <v>2024</v>
      </c>
      <c r="D1477" t="s">
        <v>1187</v>
      </c>
      <c r="E1477" t="s">
        <v>1543</v>
      </c>
      <c r="F1477" t="s">
        <v>45</v>
      </c>
      <c r="G1477" t="s">
        <v>49</v>
      </c>
      <c r="H1477" t="s">
        <v>32</v>
      </c>
      <c r="I1477" t="s">
        <v>36</v>
      </c>
      <c r="J1477" t="s">
        <v>115</v>
      </c>
      <c r="K1477">
        <v>1</v>
      </c>
      <c r="L1477" s="2">
        <v>33.479999999999997</v>
      </c>
      <c r="M1477" s="3">
        <v>0.15</v>
      </c>
      <c r="N1477" t="s">
        <v>34</v>
      </c>
      <c r="O1477" s="2">
        <v>28.46</v>
      </c>
      <c r="P1477" s="2">
        <v>16.57</v>
      </c>
      <c r="Q1477" s="2">
        <v>11.89</v>
      </c>
      <c r="R1477">
        <v>1</v>
      </c>
      <c r="S1477">
        <v>0</v>
      </c>
      <c r="T1477">
        <v>3</v>
      </c>
      <c r="U1477">
        <v>5</v>
      </c>
    </row>
    <row r="1478" spans="1:21" ht="16.5" x14ac:dyDescent="0.3">
      <c r="A1478" t="s">
        <v>1562</v>
      </c>
      <c r="B1478" s="1">
        <v>45539</v>
      </c>
      <c r="C1478">
        <v>2024</v>
      </c>
      <c r="D1478" t="s">
        <v>1187</v>
      </c>
      <c r="E1478" t="s">
        <v>1543</v>
      </c>
      <c r="F1478" t="s">
        <v>45</v>
      </c>
      <c r="G1478" t="s">
        <v>49</v>
      </c>
      <c r="H1478" t="s">
        <v>32</v>
      </c>
      <c r="I1478" t="s">
        <v>67</v>
      </c>
      <c r="J1478" t="s">
        <v>174</v>
      </c>
      <c r="K1478">
        <v>1</v>
      </c>
      <c r="L1478" s="2">
        <v>137.05000000000001</v>
      </c>
      <c r="M1478" s="3">
        <v>0</v>
      </c>
      <c r="N1478" t="s">
        <v>38</v>
      </c>
      <c r="O1478" s="2">
        <v>137.05000000000001</v>
      </c>
      <c r="P1478" s="2">
        <v>90.3</v>
      </c>
      <c r="Q1478" s="2">
        <v>46.75</v>
      </c>
      <c r="R1478">
        <v>1</v>
      </c>
      <c r="S1478">
        <v>0</v>
      </c>
      <c r="T1478">
        <v>4</v>
      </c>
      <c r="U1478">
        <v>5</v>
      </c>
    </row>
    <row r="1479" spans="1:21" ht="16.5" x14ac:dyDescent="0.3">
      <c r="A1479" t="s">
        <v>1563</v>
      </c>
      <c r="B1479" s="1">
        <v>45539</v>
      </c>
      <c r="C1479">
        <v>2024</v>
      </c>
      <c r="D1479" t="s">
        <v>1187</v>
      </c>
      <c r="E1479" t="s">
        <v>1543</v>
      </c>
      <c r="F1479" t="s">
        <v>31</v>
      </c>
      <c r="G1479" t="s">
        <v>49</v>
      </c>
      <c r="H1479" t="s">
        <v>26</v>
      </c>
      <c r="I1479" t="s">
        <v>42</v>
      </c>
      <c r="J1479" t="s">
        <v>98</v>
      </c>
      <c r="K1479">
        <v>1</v>
      </c>
      <c r="L1479" s="2">
        <v>117.63</v>
      </c>
      <c r="M1479" s="3">
        <v>0</v>
      </c>
      <c r="N1479" t="s">
        <v>38</v>
      </c>
      <c r="O1479" s="2">
        <v>117.63</v>
      </c>
      <c r="P1479" s="2">
        <v>80.3</v>
      </c>
      <c r="Q1479" s="2">
        <v>37.33</v>
      </c>
      <c r="R1479">
        <v>1</v>
      </c>
      <c r="S1479">
        <v>0</v>
      </c>
      <c r="T1479">
        <v>5</v>
      </c>
      <c r="U1479">
        <v>3</v>
      </c>
    </row>
    <row r="1480" spans="1:21" ht="16.5" x14ac:dyDescent="0.3">
      <c r="A1480" t="s">
        <v>1564</v>
      </c>
      <c r="B1480" s="1">
        <v>45539</v>
      </c>
      <c r="C1480">
        <v>2024</v>
      </c>
      <c r="D1480" t="s">
        <v>1187</v>
      </c>
      <c r="E1480" t="s">
        <v>1543</v>
      </c>
      <c r="F1480" t="s">
        <v>31</v>
      </c>
      <c r="G1480" t="s">
        <v>51</v>
      </c>
      <c r="H1480" t="s">
        <v>32</v>
      </c>
      <c r="I1480" t="s">
        <v>42</v>
      </c>
      <c r="J1480" t="s">
        <v>58</v>
      </c>
      <c r="K1480">
        <v>1</v>
      </c>
      <c r="L1480" s="2">
        <v>233.81</v>
      </c>
      <c r="M1480" s="3">
        <v>0.15</v>
      </c>
      <c r="N1480" t="s">
        <v>34</v>
      </c>
      <c r="O1480" s="2">
        <v>198.74</v>
      </c>
      <c r="P1480" s="2">
        <v>153.79</v>
      </c>
      <c r="Q1480" s="2">
        <v>44.95</v>
      </c>
      <c r="R1480">
        <v>1</v>
      </c>
      <c r="S1480">
        <v>0</v>
      </c>
      <c r="T1480">
        <v>3</v>
      </c>
      <c r="U1480">
        <v>4</v>
      </c>
    </row>
    <row r="1481" spans="1:21" ht="16.5" x14ac:dyDescent="0.3">
      <c r="A1481" t="s">
        <v>1565</v>
      </c>
      <c r="B1481" s="1">
        <v>45539</v>
      </c>
      <c r="C1481">
        <v>2024</v>
      </c>
      <c r="D1481" t="s">
        <v>1187</v>
      </c>
      <c r="E1481" t="s">
        <v>1543</v>
      </c>
      <c r="F1481" t="s">
        <v>24</v>
      </c>
      <c r="G1481" t="s">
        <v>25</v>
      </c>
      <c r="H1481" t="s">
        <v>26</v>
      </c>
      <c r="I1481" t="s">
        <v>27</v>
      </c>
      <c r="J1481" t="s">
        <v>40</v>
      </c>
      <c r="K1481">
        <v>1</v>
      </c>
      <c r="L1481" s="2">
        <v>104.94</v>
      </c>
      <c r="M1481" s="3">
        <v>0</v>
      </c>
      <c r="N1481" t="s">
        <v>38</v>
      </c>
      <c r="O1481" s="2">
        <v>104.94</v>
      </c>
      <c r="P1481" s="2">
        <v>55.53</v>
      </c>
      <c r="Q1481" s="2">
        <v>49.41</v>
      </c>
      <c r="R1481">
        <v>1</v>
      </c>
      <c r="S1481">
        <v>0</v>
      </c>
      <c r="T1481">
        <v>4</v>
      </c>
      <c r="U1481">
        <v>4</v>
      </c>
    </row>
    <row r="1482" spans="1:21" ht="16.5" x14ac:dyDescent="0.3">
      <c r="A1482" t="s">
        <v>1566</v>
      </c>
      <c r="B1482" s="1">
        <v>45540</v>
      </c>
      <c r="C1482">
        <v>2024</v>
      </c>
      <c r="D1482" t="s">
        <v>1187</v>
      </c>
      <c r="E1482" t="s">
        <v>1543</v>
      </c>
      <c r="F1482" t="s">
        <v>31</v>
      </c>
      <c r="G1482" t="s">
        <v>25</v>
      </c>
      <c r="H1482" t="s">
        <v>32</v>
      </c>
      <c r="I1482" t="s">
        <v>84</v>
      </c>
      <c r="J1482" t="s">
        <v>106</v>
      </c>
      <c r="K1482">
        <v>1</v>
      </c>
      <c r="L1482" s="2">
        <v>45.28</v>
      </c>
      <c r="M1482" s="3">
        <v>0.2</v>
      </c>
      <c r="N1482" t="s">
        <v>34</v>
      </c>
      <c r="O1482" s="2">
        <v>36.22</v>
      </c>
      <c r="P1482" s="2">
        <v>32.53</v>
      </c>
      <c r="Q1482" s="2">
        <v>3.69</v>
      </c>
      <c r="R1482">
        <v>1</v>
      </c>
      <c r="S1482">
        <v>0</v>
      </c>
      <c r="T1482">
        <v>3</v>
      </c>
      <c r="U1482">
        <v>4</v>
      </c>
    </row>
    <row r="1483" spans="1:21" ht="16.5" x14ac:dyDescent="0.3">
      <c r="A1483" t="s">
        <v>1567</v>
      </c>
      <c r="B1483" s="1">
        <v>45540</v>
      </c>
      <c r="C1483">
        <v>2024</v>
      </c>
      <c r="D1483" t="s">
        <v>1187</v>
      </c>
      <c r="E1483" t="s">
        <v>1543</v>
      </c>
      <c r="F1483" t="s">
        <v>31</v>
      </c>
      <c r="G1483" t="s">
        <v>25</v>
      </c>
      <c r="H1483" t="s">
        <v>26</v>
      </c>
      <c r="I1483" t="s">
        <v>36</v>
      </c>
      <c r="J1483" t="s">
        <v>126</v>
      </c>
      <c r="K1483">
        <v>1</v>
      </c>
      <c r="L1483" s="2">
        <v>54.56</v>
      </c>
      <c r="M1483" s="3">
        <v>0</v>
      </c>
      <c r="N1483" t="s">
        <v>38</v>
      </c>
      <c r="O1483" s="2">
        <v>54.56</v>
      </c>
      <c r="P1483" s="2">
        <v>25.78</v>
      </c>
      <c r="Q1483" s="2">
        <v>28.78</v>
      </c>
      <c r="R1483">
        <v>1</v>
      </c>
      <c r="S1483">
        <v>0</v>
      </c>
      <c r="T1483">
        <v>6</v>
      </c>
      <c r="U1483">
        <v>3</v>
      </c>
    </row>
    <row r="1484" spans="1:21" ht="16.5" x14ac:dyDescent="0.3">
      <c r="A1484" t="s">
        <v>1568</v>
      </c>
      <c r="B1484" s="1">
        <v>45540</v>
      </c>
      <c r="C1484">
        <v>2024</v>
      </c>
      <c r="D1484" t="s">
        <v>1187</v>
      </c>
      <c r="E1484" t="s">
        <v>1543</v>
      </c>
      <c r="F1484" t="s">
        <v>24</v>
      </c>
      <c r="G1484" t="s">
        <v>25</v>
      </c>
      <c r="H1484" t="s">
        <v>26</v>
      </c>
      <c r="I1484" t="s">
        <v>70</v>
      </c>
      <c r="J1484" t="s">
        <v>252</v>
      </c>
      <c r="K1484">
        <v>1</v>
      </c>
      <c r="L1484" s="2">
        <v>216.08</v>
      </c>
      <c r="M1484" s="3">
        <v>0.2</v>
      </c>
      <c r="N1484" t="s">
        <v>34</v>
      </c>
      <c r="O1484" s="2">
        <v>172.86</v>
      </c>
      <c r="P1484" s="2">
        <v>172.54</v>
      </c>
      <c r="Q1484" s="2">
        <v>0.32</v>
      </c>
      <c r="R1484">
        <v>1</v>
      </c>
      <c r="S1484">
        <v>0</v>
      </c>
      <c r="T1484">
        <v>5</v>
      </c>
      <c r="U1484">
        <v>5</v>
      </c>
    </row>
    <row r="1485" spans="1:21" ht="16.5" x14ac:dyDescent="0.3">
      <c r="A1485" t="s">
        <v>1569</v>
      </c>
      <c r="B1485" s="1">
        <v>45540</v>
      </c>
      <c r="C1485">
        <v>2024</v>
      </c>
      <c r="D1485" t="s">
        <v>1187</v>
      </c>
      <c r="E1485" t="s">
        <v>1543</v>
      </c>
      <c r="F1485" t="s">
        <v>45</v>
      </c>
      <c r="G1485" t="s">
        <v>25</v>
      </c>
      <c r="H1485" t="s">
        <v>32</v>
      </c>
      <c r="I1485" t="s">
        <v>84</v>
      </c>
      <c r="J1485" t="s">
        <v>85</v>
      </c>
      <c r="K1485">
        <v>1</v>
      </c>
      <c r="L1485" s="2">
        <v>57.92</v>
      </c>
      <c r="M1485" s="3">
        <v>0.2</v>
      </c>
      <c r="N1485" t="s">
        <v>34</v>
      </c>
      <c r="O1485" s="2">
        <v>46.34</v>
      </c>
      <c r="P1485" s="2">
        <v>42.53</v>
      </c>
      <c r="Q1485" s="2">
        <v>3.81</v>
      </c>
      <c r="R1485">
        <v>1</v>
      </c>
      <c r="S1485">
        <v>0</v>
      </c>
      <c r="T1485">
        <v>4</v>
      </c>
      <c r="U1485">
        <v>4</v>
      </c>
    </row>
    <row r="1486" spans="1:21" ht="16.5" x14ac:dyDescent="0.3">
      <c r="A1486" t="s">
        <v>1570</v>
      </c>
      <c r="B1486" s="1">
        <v>45540</v>
      </c>
      <c r="C1486">
        <v>2024</v>
      </c>
      <c r="D1486" t="s">
        <v>1187</v>
      </c>
      <c r="E1486" t="s">
        <v>1543</v>
      </c>
      <c r="F1486" t="s">
        <v>31</v>
      </c>
      <c r="G1486" t="s">
        <v>25</v>
      </c>
      <c r="H1486" t="s">
        <v>26</v>
      </c>
      <c r="I1486" t="s">
        <v>84</v>
      </c>
      <c r="J1486" t="s">
        <v>132</v>
      </c>
      <c r="K1486">
        <v>2</v>
      </c>
      <c r="L1486" s="2">
        <v>48.86</v>
      </c>
      <c r="M1486" s="3">
        <v>0.05</v>
      </c>
      <c r="N1486" t="s">
        <v>29</v>
      </c>
      <c r="O1486" s="2">
        <v>92.83</v>
      </c>
      <c r="P1486" s="2">
        <v>70.38</v>
      </c>
      <c r="Q1486" s="2">
        <v>22.45</v>
      </c>
      <c r="R1486">
        <v>1</v>
      </c>
      <c r="S1486">
        <v>0</v>
      </c>
      <c r="T1486">
        <v>4</v>
      </c>
      <c r="U1486">
        <v>3</v>
      </c>
    </row>
    <row r="1487" spans="1:21" ht="16.5" x14ac:dyDescent="0.3">
      <c r="A1487" t="s">
        <v>1571</v>
      </c>
      <c r="B1487" s="1">
        <v>45541</v>
      </c>
      <c r="C1487">
        <v>2024</v>
      </c>
      <c r="D1487" t="s">
        <v>1187</v>
      </c>
      <c r="E1487" t="s">
        <v>1543</v>
      </c>
      <c r="F1487" t="s">
        <v>31</v>
      </c>
      <c r="G1487" t="s">
        <v>25</v>
      </c>
      <c r="H1487" t="s">
        <v>32</v>
      </c>
      <c r="I1487" t="s">
        <v>84</v>
      </c>
      <c r="J1487" t="s">
        <v>132</v>
      </c>
      <c r="K1487">
        <v>1</v>
      </c>
      <c r="L1487" s="2">
        <v>48.86</v>
      </c>
      <c r="M1487" s="3">
        <v>0.05</v>
      </c>
      <c r="N1487" t="s">
        <v>29</v>
      </c>
      <c r="O1487" s="2">
        <v>46.42</v>
      </c>
      <c r="P1487" s="2">
        <v>34.78</v>
      </c>
      <c r="Q1487" s="2">
        <v>11.64</v>
      </c>
      <c r="R1487">
        <v>1</v>
      </c>
      <c r="S1487">
        <v>0</v>
      </c>
      <c r="T1487">
        <v>3</v>
      </c>
      <c r="U1487">
        <v>4</v>
      </c>
    </row>
    <row r="1488" spans="1:21" ht="16.5" x14ac:dyDescent="0.3">
      <c r="A1488" t="s">
        <v>1572</v>
      </c>
      <c r="B1488" s="1">
        <v>45541</v>
      </c>
      <c r="C1488">
        <v>2024</v>
      </c>
      <c r="D1488" t="s">
        <v>1187</v>
      </c>
      <c r="E1488" t="s">
        <v>1543</v>
      </c>
      <c r="F1488" t="s">
        <v>31</v>
      </c>
      <c r="G1488" t="s">
        <v>46</v>
      </c>
      <c r="H1488" t="s">
        <v>26</v>
      </c>
      <c r="I1488" t="s">
        <v>27</v>
      </c>
      <c r="J1488" t="s">
        <v>33</v>
      </c>
      <c r="K1488">
        <v>4</v>
      </c>
      <c r="L1488" s="2">
        <v>78.510000000000005</v>
      </c>
      <c r="M1488" s="3">
        <v>0.1</v>
      </c>
      <c r="N1488" t="s">
        <v>29</v>
      </c>
      <c r="O1488" s="2">
        <v>282.64</v>
      </c>
      <c r="P1488" s="2">
        <v>162.19999999999999</v>
      </c>
      <c r="Q1488" s="2">
        <v>120.44</v>
      </c>
      <c r="R1488">
        <v>1</v>
      </c>
      <c r="S1488">
        <v>0</v>
      </c>
      <c r="T1488">
        <v>5</v>
      </c>
      <c r="U1488">
        <v>4</v>
      </c>
    </row>
    <row r="1489" spans="1:21" ht="16.5" x14ac:dyDescent="0.3">
      <c r="A1489" t="s">
        <v>1573</v>
      </c>
      <c r="B1489" s="1">
        <v>45541</v>
      </c>
      <c r="C1489">
        <v>2024</v>
      </c>
      <c r="D1489" t="s">
        <v>1187</v>
      </c>
      <c r="E1489" t="s">
        <v>1543</v>
      </c>
      <c r="F1489" t="s">
        <v>45</v>
      </c>
      <c r="G1489" t="s">
        <v>49</v>
      </c>
      <c r="H1489" t="s">
        <v>32</v>
      </c>
      <c r="I1489" t="s">
        <v>36</v>
      </c>
      <c r="J1489" t="s">
        <v>126</v>
      </c>
      <c r="K1489">
        <v>1</v>
      </c>
      <c r="L1489" s="2">
        <v>54.56</v>
      </c>
      <c r="M1489" s="3">
        <v>0.05</v>
      </c>
      <c r="N1489" t="s">
        <v>29</v>
      </c>
      <c r="O1489" s="2">
        <v>51.83</v>
      </c>
      <c r="P1489" s="2">
        <v>27.43</v>
      </c>
      <c r="Q1489" s="2">
        <v>24.4</v>
      </c>
      <c r="R1489">
        <v>1</v>
      </c>
      <c r="S1489">
        <v>0</v>
      </c>
      <c r="T1489">
        <v>5</v>
      </c>
      <c r="U1489">
        <v>4</v>
      </c>
    </row>
    <row r="1490" spans="1:21" ht="16.5" x14ac:dyDescent="0.3">
      <c r="A1490" t="s">
        <v>1574</v>
      </c>
      <c r="B1490" s="1">
        <v>45541</v>
      </c>
      <c r="C1490">
        <v>2024</v>
      </c>
      <c r="D1490" t="s">
        <v>1187</v>
      </c>
      <c r="E1490" t="s">
        <v>1543</v>
      </c>
      <c r="F1490" t="s">
        <v>31</v>
      </c>
      <c r="G1490" t="s">
        <v>49</v>
      </c>
      <c r="H1490" t="s">
        <v>32</v>
      </c>
      <c r="I1490" t="s">
        <v>27</v>
      </c>
      <c r="J1490" t="s">
        <v>33</v>
      </c>
      <c r="K1490">
        <v>2</v>
      </c>
      <c r="L1490" s="2">
        <v>78.510000000000005</v>
      </c>
      <c r="M1490" s="3">
        <v>0.1</v>
      </c>
      <c r="N1490" t="s">
        <v>29</v>
      </c>
      <c r="O1490" s="2">
        <v>141.32</v>
      </c>
      <c r="P1490" s="2">
        <v>86.64</v>
      </c>
      <c r="Q1490" s="2">
        <v>54.68</v>
      </c>
      <c r="R1490">
        <v>1</v>
      </c>
      <c r="S1490">
        <v>0</v>
      </c>
      <c r="T1490">
        <v>3</v>
      </c>
      <c r="U1490">
        <v>5</v>
      </c>
    </row>
    <row r="1491" spans="1:21" ht="16.5" x14ac:dyDescent="0.3">
      <c r="A1491" t="s">
        <v>1575</v>
      </c>
      <c r="B1491" s="1">
        <v>45541</v>
      </c>
      <c r="C1491">
        <v>2024</v>
      </c>
      <c r="D1491" t="s">
        <v>1187</v>
      </c>
      <c r="E1491" t="s">
        <v>1543</v>
      </c>
      <c r="F1491" t="s">
        <v>31</v>
      </c>
      <c r="G1491" t="s">
        <v>25</v>
      </c>
      <c r="H1491" t="s">
        <v>26</v>
      </c>
      <c r="I1491" t="s">
        <v>84</v>
      </c>
      <c r="J1491" t="s">
        <v>106</v>
      </c>
      <c r="K1491">
        <v>3</v>
      </c>
      <c r="L1491" s="2">
        <v>45.28</v>
      </c>
      <c r="M1491" s="3">
        <v>0.05</v>
      </c>
      <c r="N1491" t="s">
        <v>29</v>
      </c>
      <c r="O1491" s="2">
        <v>129.05000000000001</v>
      </c>
      <c r="P1491" s="2">
        <v>95.8</v>
      </c>
      <c r="Q1491" s="2">
        <v>33.25</v>
      </c>
      <c r="R1491">
        <v>1</v>
      </c>
      <c r="S1491">
        <v>0</v>
      </c>
      <c r="T1491">
        <v>4</v>
      </c>
      <c r="U1491">
        <v>5</v>
      </c>
    </row>
    <row r="1492" spans="1:21" ht="16.5" x14ac:dyDescent="0.3">
      <c r="A1492" t="s">
        <v>1576</v>
      </c>
      <c r="B1492" s="1">
        <v>45541</v>
      </c>
      <c r="C1492">
        <v>2024</v>
      </c>
      <c r="D1492" t="s">
        <v>1187</v>
      </c>
      <c r="E1492" t="s">
        <v>1543</v>
      </c>
      <c r="F1492" t="s">
        <v>24</v>
      </c>
      <c r="G1492" t="s">
        <v>49</v>
      </c>
      <c r="H1492" t="s">
        <v>32</v>
      </c>
      <c r="I1492" t="s">
        <v>36</v>
      </c>
      <c r="J1492" t="s">
        <v>115</v>
      </c>
      <c r="K1492">
        <v>2</v>
      </c>
      <c r="L1492" s="2">
        <v>33.479999999999997</v>
      </c>
      <c r="M1492" s="3">
        <v>0</v>
      </c>
      <c r="N1492" t="s">
        <v>38</v>
      </c>
      <c r="O1492" s="2">
        <v>66.959999999999994</v>
      </c>
      <c r="P1492" s="2">
        <v>31.96</v>
      </c>
      <c r="Q1492" s="2">
        <v>35</v>
      </c>
      <c r="R1492">
        <v>1</v>
      </c>
      <c r="S1492">
        <v>0</v>
      </c>
      <c r="T1492">
        <v>4</v>
      </c>
      <c r="U1492">
        <v>4</v>
      </c>
    </row>
    <row r="1493" spans="1:21" ht="16.5" x14ac:dyDescent="0.3">
      <c r="A1493" t="s">
        <v>1577</v>
      </c>
      <c r="B1493" s="1">
        <v>45541</v>
      </c>
      <c r="C1493">
        <v>2024</v>
      </c>
      <c r="D1493" t="s">
        <v>1187</v>
      </c>
      <c r="E1493" t="s">
        <v>1543</v>
      </c>
      <c r="F1493" t="s">
        <v>24</v>
      </c>
      <c r="G1493" t="s">
        <v>25</v>
      </c>
      <c r="H1493" t="s">
        <v>32</v>
      </c>
      <c r="I1493" t="s">
        <v>84</v>
      </c>
      <c r="J1493" t="s">
        <v>223</v>
      </c>
      <c r="K1493">
        <v>4</v>
      </c>
      <c r="L1493" s="2">
        <v>16.97</v>
      </c>
      <c r="M1493" s="3">
        <v>0.25</v>
      </c>
      <c r="N1493" t="s">
        <v>62</v>
      </c>
      <c r="O1493" s="2">
        <v>50.91</v>
      </c>
      <c r="P1493" s="2">
        <v>47.73</v>
      </c>
      <c r="Q1493" s="2">
        <v>3.18</v>
      </c>
      <c r="R1493">
        <v>1</v>
      </c>
      <c r="S1493">
        <v>0</v>
      </c>
      <c r="T1493">
        <v>5</v>
      </c>
      <c r="U1493">
        <v>5</v>
      </c>
    </row>
    <row r="1494" spans="1:21" ht="16.5" x14ac:dyDescent="0.3">
      <c r="A1494" t="s">
        <v>1578</v>
      </c>
      <c r="B1494" s="1">
        <v>45542</v>
      </c>
      <c r="C1494">
        <v>2024</v>
      </c>
      <c r="D1494" t="s">
        <v>1187</v>
      </c>
      <c r="E1494" t="s">
        <v>1543</v>
      </c>
      <c r="F1494" t="s">
        <v>45</v>
      </c>
      <c r="G1494" t="s">
        <v>51</v>
      </c>
      <c r="H1494" t="s">
        <v>32</v>
      </c>
      <c r="I1494" t="s">
        <v>27</v>
      </c>
      <c r="J1494" t="s">
        <v>60</v>
      </c>
      <c r="K1494">
        <v>1</v>
      </c>
      <c r="L1494" s="2">
        <v>94.85</v>
      </c>
      <c r="M1494" s="3">
        <v>0.25</v>
      </c>
      <c r="N1494" t="s">
        <v>62</v>
      </c>
      <c r="O1494" s="2">
        <v>71.14</v>
      </c>
      <c r="P1494" s="2">
        <v>50.32</v>
      </c>
      <c r="Q1494" s="2">
        <v>20.82</v>
      </c>
      <c r="R1494">
        <v>1</v>
      </c>
      <c r="S1494">
        <v>0</v>
      </c>
      <c r="T1494">
        <v>2</v>
      </c>
      <c r="U1494">
        <v>4</v>
      </c>
    </row>
    <row r="1495" spans="1:21" ht="16.5" x14ac:dyDescent="0.3">
      <c r="A1495" t="s">
        <v>1579</v>
      </c>
      <c r="B1495" s="1">
        <v>45542</v>
      </c>
      <c r="C1495">
        <v>2024</v>
      </c>
      <c r="D1495" t="s">
        <v>1187</v>
      </c>
      <c r="E1495" t="s">
        <v>1543</v>
      </c>
      <c r="F1495" t="s">
        <v>31</v>
      </c>
      <c r="G1495" t="s">
        <v>51</v>
      </c>
      <c r="H1495" t="s">
        <v>26</v>
      </c>
      <c r="I1495" t="s">
        <v>27</v>
      </c>
      <c r="J1495" t="s">
        <v>33</v>
      </c>
      <c r="K1495">
        <v>3</v>
      </c>
      <c r="L1495" s="2">
        <v>78.510000000000005</v>
      </c>
      <c r="M1495" s="3">
        <v>0</v>
      </c>
      <c r="N1495" t="s">
        <v>38</v>
      </c>
      <c r="O1495" s="2">
        <v>235.53</v>
      </c>
      <c r="P1495" s="2">
        <v>120.26</v>
      </c>
      <c r="Q1495" s="2">
        <v>115.27</v>
      </c>
      <c r="R1495">
        <v>1</v>
      </c>
      <c r="S1495">
        <v>0</v>
      </c>
      <c r="T1495">
        <v>2</v>
      </c>
      <c r="U1495">
        <v>4</v>
      </c>
    </row>
    <row r="1496" spans="1:21" ht="16.5" x14ac:dyDescent="0.3">
      <c r="A1496" t="s">
        <v>1580</v>
      </c>
      <c r="B1496" s="1">
        <v>45542</v>
      </c>
      <c r="C1496">
        <v>2024</v>
      </c>
      <c r="D1496" t="s">
        <v>1187</v>
      </c>
      <c r="E1496" t="s">
        <v>1543</v>
      </c>
      <c r="F1496" t="s">
        <v>24</v>
      </c>
      <c r="G1496" t="s">
        <v>51</v>
      </c>
      <c r="H1496" t="s">
        <v>26</v>
      </c>
      <c r="I1496" t="s">
        <v>70</v>
      </c>
      <c r="J1496" t="s">
        <v>82</v>
      </c>
      <c r="K1496">
        <v>4</v>
      </c>
      <c r="L1496" s="2">
        <v>508.8</v>
      </c>
      <c r="M1496" s="3">
        <v>0</v>
      </c>
      <c r="N1496" t="s">
        <v>38</v>
      </c>
      <c r="O1496" s="2">
        <v>2035.2</v>
      </c>
      <c r="P1496" s="2">
        <v>1647.49</v>
      </c>
      <c r="Q1496" s="2">
        <v>387.71</v>
      </c>
      <c r="R1496">
        <v>1</v>
      </c>
      <c r="S1496">
        <v>0</v>
      </c>
      <c r="T1496">
        <v>4</v>
      </c>
      <c r="U1496">
        <v>4</v>
      </c>
    </row>
    <row r="1497" spans="1:21" ht="16.5" x14ac:dyDescent="0.3">
      <c r="A1497" t="s">
        <v>1581</v>
      </c>
      <c r="B1497" s="1">
        <v>45542</v>
      </c>
      <c r="C1497">
        <v>2024</v>
      </c>
      <c r="D1497" t="s">
        <v>1187</v>
      </c>
      <c r="E1497" t="s">
        <v>1543</v>
      </c>
      <c r="F1497" t="s">
        <v>45</v>
      </c>
      <c r="G1497" t="s">
        <v>51</v>
      </c>
      <c r="H1497" t="s">
        <v>32</v>
      </c>
      <c r="I1497" t="s">
        <v>27</v>
      </c>
      <c r="J1497" t="s">
        <v>33</v>
      </c>
      <c r="K1497">
        <v>1</v>
      </c>
      <c r="L1497" s="2">
        <v>78.510000000000005</v>
      </c>
      <c r="M1497" s="3">
        <v>0</v>
      </c>
      <c r="N1497" t="s">
        <v>38</v>
      </c>
      <c r="O1497" s="2">
        <v>78.510000000000005</v>
      </c>
      <c r="P1497" s="2">
        <v>41.64</v>
      </c>
      <c r="Q1497" s="2">
        <v>36.869999999999997</v>
      </c>
      <c r="R1497">
        <v>1</v>
      </c>
      <c r="S1497">
        <v>0</v>
      </c>
      <c r="T1497">
        <v>3</v>
      </c>
      <c r="U1497">
        <v>5</v>
      </c>
    </row>
    <row r="1498" spans="1:21" ht="16.5" x14ac:dyDescent="0.3">
      <c r="A1498" t="s">
        <v>1582</v>
      </c>
      <c r="B1498" s="1">
        <v>45543</v>
      </c>
      <c r="C1498">
        <v>2024</v>
      </c>
      <c r="D1498" t="s">
        <v>1187</v>
      </c>
      <c r="E1498" t="s">
        <v>1543</v>
      </c>
      <c r="F1498" t="s">
        <v>24</v>
      </c>
      <c r="G1498" t="s">
        <v>65</v>
      </c>
      <c r="H1498" t="s">
        <v>32</v>
      </c>
      <c r="I1498" t="s">
        <v>27</v>
      </c>
      <c r="J1498" t="s">
        <v>47</v>
      </c>
      <c r="K1498">
        <v>1</v>
      </c>
      <c r="L1498" s="2">
        <v>33.99</v>
      </c>
      <c r="M1498" s="3">
        <v>0</v>
      </c>
      <c r="N1498" t="s">
        <v>38</v>
      </c>
      <c r="O1498" s="2">
        <v>33.99</v>
      </c>
      <c r="P1498" s="2">
        <v>18.38</v>
      </c>
      <c r="Q1498" s="2">
        <v>15.61</v>
      </c>
      <c r="R1498">
        <v>1</v>
      </c>
      <c r="S1498">
        <v>0</v>
      </c>
      <c r="T1498">
        <v>7</v>
      </c>
      <c r="U1498">
        <v>3</v>
      </c>
    </row>
    <row r="1499" spans="1:21" ht="16.5" x14ac:dyDescent="0.3">
      <c r="A1499" t="s">
        <v>1583</v>
      </c>
      <c r="B1499" s="1">
        <v>45543</v>
      </c>
      <c r="C1499">
        <v>2024</v>
      </c>
      <c r="D1499" t="s">
        <v>1187</v>
      </c>
      <c r="E1499" t="s">
        <v>1543</v>
      </c>
      <c r="F1499" t="s">
        <v>31</v>
      </c>
      <c r="G1499" t="s">
        <v>51</v>
      </c>
      <c r="H1499" t="s">
        <v>26</v>
      </c>
      <c r="I1499" t="s">
        <v>27</v>
      </c>
      <c r="J1499" t="s">
        <v>47</v>
      </c>
      <c r="K1499">
        <v>3</v>
      </c>
      <c r="L1499" s="2">
        <v>33.99</v>
      </c>
      <c r="M1499" s="3">
        <v>0.05</v>
      </c>
      <c r="N1499" t="s">
        <v>29</v>
      </c>
      <c r="O1499" s="2">
        <v>96.87</v>
      </c>
      <c r="P1499" s="2">
        <v>52.42</v>
      </c>
      <c r="Q1499" s="2">
        <v>44.45</v>
      </c>
      <c r="R1499">
        <v>1</v>
      </c>
      <c r="S1499">
        <v>0</v>
      </c>
      <c r="T1499">
        <v>3</v>
      </c>
      <c r="U1499">
        <v>4</v>
      </c>
    </row>
    <row r="1500" spans="1:21" ht="16.5" x14ac:dyDescent="0.3">
      <c r="A1500" t="s">
        <v>1584</v>
      </c>
      <c r="B1500" s="1">
        <v>45543</v>
      </c>
      <c r="C1500">
        <v>2024</v>
      </c>
      <c r="D1500" t="s">
        <v>1187</v>
      </c>
      <c r="E1500" t="s">
        <v>1543</v>
      </c>
      <c r="F1500" t="s">
        <v>31</v>
      </c>
      <c r="G1500" t="s">
        <v>49</v>
      </c>
      <c r="H1500" t="s">
        <v>32</v>
      </c>
      <c r="I1500" t="s">
        <v>27</v>
      </c>
      <c r="J1500" t="s">
        <v>28</v>
      </c>
      <c r="K1500">
        <v>1</v>
      </c>
      <c r="L1500" s="2">
        <v>138.5</v>
      </c>
      <c r="M1500" s="3">
        <v>0.15</v>
      </c>
      <c r="N1500" t="s">
        <v>34</v>
      </c>
      <c r="O1500" s="2">
        <v>117.72</v>
      </c>
      <c r="P1500" s="2">
        <v>72.62</v>
      </c>
      <c r="Q1500" s="2">
        <v>45.1</v>
      </c>
      <c r="R1500">
        <v>1</v>
      </c>
      <c r="S1500">
        <v>0</v>
      </c>
      <c r="T1500">
        <v>3</v>
      </c>
      <c r="U1500">
        <v>5</v>
      </c>
    </row>
    <row r="1501" spans="1:21" ht="16.5" x14ac:dyDescent="0.3">
      <c r="A1501" t="s">
        <v>1585</v>
      </c>
      <c r="B1501" s="1">
        <v>45543</v>
      </c>
      <c r="C1501">
        <v>2024</v>
      </c>
      <c r="D1501" t="s">
        <v>1187</v>
      </c>
      <c r="E1501" t="s">
        <v>1543</v>
      </c>
      <c r="F1501" t="s">
        <v>45</v>
      </c>
      <c r="G1501" t="s">
        <v>49</v>
      </c>
      <c r="H1501" t="s">
        <v>26</v>
      </c>
      <c r="I1501" t="s">
        <v>70</v>
      </c>
      <c r="J1501" t="s">
        <v>82</v>
      </c>
      <c r="K1501">
        <v>1</v>
      </c>
      <c r="L1501" s="2">
        <v>508.8</v>
      </c>
      <c r="M1501" s="3">
        <v>0.15</v>
      </c>
      <c r="N1501" t="s">
        <v>34</v>
      </c>
      <c r="O1501" s="2">
        <v>432.48</v>
      </c>
      <c r="P1501" s="2">
        <v>416.11</v>
      </c>
      <c r="Q1501" s="2">
        <v>16.37</v>
      </c>
      <c r="R1501">
        <v>1</v>
      </c>
      <c r="S1501">
        <v>0</v>
      </c>
      <c r="T1501">
        <v>5</v>
      </c>
      <c r="U1501">
        <v>4</v>
      </c>
    </row>
    <row r="1502" spans="1:21" ht="16.5" x14ac:dyDescent="0.3">
      <c r="A1502" t="s">
        <v>1586</v>
      </c>
      <c r="B1502" s="1">
        <v>45543</v>
      </c>
      <c r="C1502">
        <v>2024</v>
      </c>
      <c r="D1502" t="s">
        <v>1187</v>
      </c>
      <c r="E1502" t="s">
        <v>1543</v>
      </c>
      <c r="F1502" t="s">
        <v>24</v>
      </c>
      <c r="G1502" t="s">
        <v>51</v>
      </c>
      <c r="H1502" t="s">
        <v>32</v>
      </c>
      <c r="I1502" t="s">
        <v>70</v>
      </c>
      <c r="J1502" t="s">
        <v>129</v>
      </c>
      <c r="K1502">
        <v>1</v>
      </c>
      <c r="L1502" s="2">
        <v>177.65</v>
      </c>
      <c r="M1502" s="3">
        <v>0</v>
      </c>
      <c r="N1502" t="s">
        <v>38</v>
      </c>
      <c r="O1502" s="2">
        <v>177.65</v>
      </c>
      <c r="P1502" s="2">
        <v>142.18</v>
      </c>
      <c r="Q1502" s="2">
        <v>35.47</v>
      </c>
      <c r="R1502">
        <v>1</v>
      </c>
      <c r="S1502">
        <v>0</v>
      </c>
      <c r="T1502">
        <v>2</v>
      </c>
      <c r="U1502">
        <v>4</v>
      </c>
    </row>
    <row r="1503" spans="1:21" ht="16.5" x14ac:dyDescent="0.3">
      <c r="A1503" t="s">
        <v>1587</v>
      </c>
      <c r="B1503" s="1">
        <v>45543</v>
      </c>
      <c r="C1503">
        <v>2024</v>
      </c>
      <c r="D1503" t="s">
        <v>1187</v>
      </c>
      <c r="E1503" t="s">
        <v>1543</v>
      </c>
      <c r="F1503" t="s">
        <v>31</v>
      </c>
      <c r="G1503" t="s">
        <v>25</v>
      </c>
      <c r="H1503" t="s">
        <v>32</v>
      </c>
      <c r="I1503" t="s">
        <v>36</v>
      </c>
      <c r="J1503" t="s">
        <v>115</v>
      </c>
      <c r="K1503">
        <v>1</v>
      </c>
      <c r="L1503" s="2">
        <v>33.479999999999997</v>
      </c>
      <c r="M1503" s="3">
        <v>0.3</v>
      </c>
      <c r="N1503" t="s">
        <v>62</v>
      </c>
      <c r="O1503" s="2">
        <v>23.44</v>
      </c>
      <c r="P1503" s="2">
        <v>16.84</v>
      </c>
      <c r="Q1503" s="2">
        <v>6.6</v>
      </c>
      <c r="R1503">
        <v>1</v>
      </c>
      <c r="S1503">
        <v>0</v>
      </c>
      <c r="T1503">
        <v>4</v>
      </c>
      <c r="U1503">
        <v>4</v>
      </c>
    </row>
    <row r="1504" spans="1:21" ht="16.5" x14ac:dyDescent="0.3">
      <c r="A1504" t="s">
        <v>1588</v>
      </c>
      <c r="B1504" s="1">
        <v>45543</v>
      </c>
      <c r="C1504">
        <v>2024</v>
      </c>
      <c r="D1504" t="s">
        <v>1187</v>
      </c>
      <c r="E1504" t="s">
        <v>1543</v>
      </c>
      <c r="F1504" t="s">
        <v>45</v>
      </c>
      <c r="G1504" t="s">
        <v>49</v>
      </c>
      <c r="H1504" t="s">
        <v>32</v>
      </c>
      <c r="I1504" t="s">
        <v>70</v>
      </c>
      <c r="J1504" t="s">
        <v>162</v>
      </c>
      <c r="K1504">
        <v>2</v>
      </c>
      <c r="L1504" s="2">
        <v>636.09</v>
      </c>
      <c r="M1504" s="3">
        <v>0</v>
      </c>
      <c r="N1504" t="s">
        <v>38</v>
      </c>
      <c r="O1504" s="2">
        <v>1272.18</v>
      </c>
      <c r="P1504" s="2">
        <v>992.91</v>
      </c>
      <c r="Q1504" s="2">
        <v>279.27</v>
      </c>
      <c r="R1504">
        <v>1</v>
      </c>
      <c r="S1504">
        <v>0</v>
      </c>
      <c r="T1504">
        <v>3</v>
      </c>
      <c r="U1504">
        <v>5</v>
      </c>
    </row>
    <row r="1505" spans="1:21" ht="16.5" x14ac:dyDescent="0.3">
      <c r="A1505" t="s">
        <v>1589</v>
      </c>
      <c r="B1505" s="1">
        <v>45543</v>
      </c>
      <c r="C1505">
        <v>2024</v>
      </c>
      <c r="D1505" t="s">
        <v>1187</v>
      </c>
      <c r="E1505" t="s">
        <v>1543</v>
      </c>
      <c r="F1505" t="s">
        <v>24</v>
      </c>
      <c r="G1505" t="s">
        <v>49</v>
      </c>
      <c r="H1505" t="s">
        <v>26</v>
      </c>
      <c r="I1505" t="s">
        <v>27</v>
      </c>
      <c r="J1505" t="s">
        <v>40</v>
      </c>
      <c r="K1505">
        <v>3</v>
      </c>
      <c r="L1505" s="2">
        <v>104.94</v>
      </c>
      <c r="M1505" s="3">
        <v>0.1</v>
      </c>
      <c r="N1505" t="s">
        <v>29</v>
      </c>
      <c r="O1505" s="2">
        <v>283.33999999999997</v>
      </c>
      <c r="P1505" s="2">
        <v>177.96</v>
      </c>
      <c r="Q1505" s="2">
        <v>105.38</v>
      </c>
      <c r="R1505">
        <v>1</v>
      </c>
      <c r="S1505">
        <v>0</v>
      </c>
      <c r="T1505">
        <v>4</v>
      </c>
      <c r="U1505">
        <v>4</v>
      </c>
    </row>
    <row r="1506" spans="1:21" ht="16.5" x14ac:dyDescent="0.3">
      <c r="A1506" t="s">
        <v>1590</v>
      </c>
      <c r="B1506" s="1">
        <v>45543</v>
      </c>
      <c r="C1506">
        <v>2024</v>
      </c>
      <c r="D1506" t="s">
        <v>1187</v>
      </c>
      <c r="E1506" t="s">
        <v>1543</v>
      </c>
      <c r="F1506" t="s">
        <v>24</v>
      </c>
      <c r="G1506" t="s">
        <v>49</v>
      </c>
      <c r="H1506" t="s">
        <v>32</v>
      </c>
      <c r="I1506" t="s">
        <v>67</v>
      </c>
      <c r="J1506" t="s">
        <v>174</v>
      </c>
      <c r="K1506">
        <v>1</v>
      </c>
      <c r="L1506" s="2">
        <v>137.05000000000001</v>
      </c>
      <c r="M1506" s="3">
        <v>0.1</v>
      </c>
      <c r="N1506" t="s">
        <v>29</v>
      </c>
      <c r="O1506" s="2">
        <v>123.35</v>
      </c>
      <c r="P1506" s="2">
        <v>94.34</v>
      </c>
      <c r="Q1506" s="2">
        <v>29.01</v>
      </c>
      <c r="R1506">
        <v>1</v>
      </c>
      <c r="S1506">
        <v>0</v>
      </c>
      <c r="T1506">
        <v>4</v>
      </c>
      <c r="U1506">
        <v>5</v>
      </c>
    </row>
    <row r="1507" spans="1:21" ht="16.5" x14ac:dyDescent="0.3">
      <c r="A1507" t="s">
        <v>1591</v>
      </c>
      <c r="B1507" s="1">
        <v>45544</v>
      </c>
      <c r="C1507">
        <v>2024</v>
      </c>
      <c r="D1507" t="s">
        <v>1187</v>
      </c>
      <c r="E1507" t="s">
        <v>1543</v>
      </c>
      <c r="F1507" t="s">
        <v>24</v>
      </c>
      <c r="G1507" t="s">
        <v>65</v>
      </c>
      <c r="H1507" t="s">
        <v>26</v>
      </c>
      <c r="I1507" t="s">
        <v>27</v>
      </c>
      <c r="J1507" t="s">
        <v>60</v>
      </c>
      <c r="K1507">
        <v>2</v>
      </c>
      <c r="L1507" s="2">
        <v>94.85</v>
      </c>
      <c r="M1507" s="3">
        <v>0.15</v>
      </c>
      <c r="N1507" t="s">
        <v>34</v>
      </c>
      <c r="O1507" s="2">
        <v>161.24</v>
      </c>
      <c r="P1507" s="2">
        <v>104.87</v>
      </c>
      <c r="Q1507" s="2">
        <v>56.37</v>
      </c>
      <c r="R1507">
        <v>1</v>
      </c>
      <c r="S1507">
        <v>0</v>
      </c>
      <c r="T1507">
        <v>8</v>
      </c>
      <c r="U1507">
        <v>4</v>
      </c>
    </row>
    <row r="1508" spans="1:21" ht="16.5" x14ac:dyDescent="0.3">
      <c r="A1508" t="s">
        <v>1592</v>
      </c>
      <c r="B1508" s="1">
        <v>45544</v>
      </c>
      <c r="C1508">
        <v>2024</v>
      </c>
      <c r="D1508" t="s">
        <v>1187</v>
      </c>
      <c r="E1508" t="s">
        <v>1543</v>
      </c>
      <c r="F1508" t="s">
        <v>31</v>
      </c>
      <c r="G1508" t="s">
        <v>25</v>
      </c>
      <c r="H1508" t="s">
        <v>32</v>
      </c>
      <c r="I1508" t="s">
        <v>67</v>
      </c>
      <c r="J1508" t="s">
        <v>103</v>
      </c>
      <c r="K1508">
        <v>1</v>
      </c>
      <c r="L1508" s="2">
        <v>83.06</v>
      </c>
      <c r="M1508" s="3">
        <v>0.05</v>
      </c>
      <c r="N1508" t="s">
        <v>29</v>
      </c>
      <c r="O1508" s="2">
        <v>78.91</v>
      </c>
      <c r="P1508" s="2">
        <v>58.16</v>
      </c>
      <c r="Q1508" s="2">
        <v>20.75</v>
      </c>
      <c r="R1508">
        <v>1</v>
      </c>
      <c r="S1508">
        <v>0</v>
      </c>
      <c r="T1508">
        <v>3</v>
      </c>
      <c r="U1508">
        <v>3</v>
      </c>
    </row>
    <row r="1509" spans="1:21" ht="16.5" x14ac:dyDescent="0.3">
      <c r="A1509" t="s">
        <v>1593</v>
      </c>
      <c r="B1509" s="1">
        <v>45544</v>
      </c>
      <c r="C1509">
        <v>2024</v>
      </c>
      <c r="D1509" t="s">
        <v>1187</v>
      </c>
      <c r="E1509" t="s">
        <v>1543</v>
      </c>
      <c r="F1509" t="s">
        <v>24</v>
      </c>
      <c r="G1509" t="s">
        <v>49</v>
      </c>
      <c r="H1509" t="s">
        <v>32</v>
      </c>
      <c r="I1509" t="s">
        <v>70</v>
      </c>
      <c r="J1509" t="s">
        <v>82</v>
      </c>
      <c r="K1509">
        <v>1</v>
      </c>
      <c r="L1509" s="2">
        <v>508.8</v>
      </c>
      <c r="M1509" s="3">
        <v>0.3</v>
      </c>
      <c r="N1509" t="s">
        <v>62</v>
      </c>
      <c r="O1509" s="2">
        <v>356.16</v>
      </c>
      <c r="P1509" s="2">
        <v>405.04</v>
      </c>
      <c r="Q1509" s="2">
        <v>-48.88</v>
      </c>
      <c r="R1509">
        <v>1</v>
      </c>
      <c r="S1509">
        <v>0</v>
      </c>
      <c r="T1509">
        <v>3</v>
      </c>
      <c r="U1509">
        <v>4</v>
      </c>
    </row>
    <row r="1510" spans="1:21" ht="16.5" x14ac:dyDescent="0.3">
      <c r="A1510" t="s">
        <v>1594</v>
      </c>
      <c r="B1510" s="1">
        <v>45544</v>
      </c>
      <c r="C1510">
        <v>2024</v>
      </c>
      <c r="D1510" t="s">
        <v>1187</v>
      </c>
      <c r="E1510" t="s">
        <v>1543</v>
      </c>
      <c r="F1510" t="s">
        <v>24</v>
      </c>
      <c r="G1510" t="s">
        <v>51</v>
      </c>
      <c r="H1510" t="s">
        <v>26</v>
      </c>
      <c r="I1510" t="s">
        <v>42</v>
      </c>
      <c r="J1510" t="s">
        <v>58</v>
      </c>
      <c r="K1510">
        <v>1</v>
      </c>
      <c r="L1510" s="2">
        <v>233.81</v>
      </c>
      <c r="M1510" s="3">
        <v>0.1</v>
      </c>
      <c r="N1510" t="s">
        <v>29</v>
      </c>
      <c r="O1510" s="2">
        <v>210.43</v>
      </c>
      <c r="P1510" s="2">
        <v>147.69999999999999</v>
      </c>
      <c r="Q1510" s="2">
        <v>62.73</v>
      </c>
      <c r="R1510">
        <v>1</v>
      </c>
      <c r="S1510">
        <v>0</v>
      </c>
      <c r="T1510">
        <v>3</v>
      </c>
      <c r="U1510">
        <v>4</v>
      </c>
    </row>
    <row r="1511" spans="1:21" ht="16.5" x14ac:dyDescent="0.3">
      <c r="A1511" t="s">
        <v>1595</v>
      </c>
      <c r="B1511" s="1">
        <v>45544</v>
      </c>
      <c r="C1511">
        <v>2024</v>
      </c>
      <c r="D1511" t="s">
        <v>1187</v>
      </c>
      <c r="E1511" t="s">
        <v>1543</v>
      </c>
      <c r="F1511" t="s">
        <v>24</v>
      </c>
      <c r="G1511" t="s">
        <v>51</v>
      </c>
      <c r="H1511" t="s">
        <v>32</v>
      </c>
      <c r="I1511" t="s">
        <v>27</v>
      </c>
      <c r="J1511" t="s">
        <v>60</v>
      </c>
      <c r="K1511">
        <v>1</v>
      </c>
      <c r="L1511" s="2">
        <v>94.85</v>
      </c>
      <c r="M1511" s="3">
        <v>0.15</v>
      </c>
      <c r="N1511" t="s">
        <v>34</v>
      </c>
      <c r="O1511" s="2">
        <v>80.62</v>
      </c>
      <c r="P1511" s="2">
        <v>50.05</v>
      </c>
      <c r="Q1511" s="2">
        <v>30.57</v>
      </c>
      <c r="R1511">
        <v>1</v>
      </c>
      <c r="S1511">
        <v>0</v>
      </c>
      <c r="T1511">
        <v>4</v>
      </c>
      <c r="U1511">
        <v>5</v>
      </c>
    </row>
    <row r="1512" spans="1:21" ht="16.5" x14ac:dyDescent="0.3">
      <c r="A1512" t="s">
        <v>1596</v>
      </c>
      <c r="B1512" s="1">
        <v>45545</v>
      </c>
      <c r="C1512">
        <v>2024</v>
      </c>
      <c r="D1512" t="s">
        <v>1187</v>
      </c>
      <c r="E1512" t="s">
        <v>1543</v>
      </c>
      <c r="F1512" t="s">
        <v>45</v>
      </c>
      <c r="G1512" t="s">
        <v>49</v>
      </c>
      <c r="H1512" t="s">
        <v>32</v>
      </c>
      <c r="I1512" t="s">
        <v>27</v>
      </c>
      <c r="J1512" t="s">
        <v>60</v>
      </c>
      <c r="K1512">
        <v>1</v>
      </c>
      <c r="L1512" s="2">
        <v>94.85</v>
      </c>
      <c r="M1512" s="3">
        <v>0.25</v>
      </c>
      <c r="N1512" t="s">
        <v>62</v>
      </c>
      <c r="O1512" s="2">
        <v>71.14</v>
      </c>
      <c r="P1512" s="2">
        <v>50.16</v>
      </c>
      <c r="Q1512" s="2">
        <v>20.98</v>
      </c>
      <c r="R1512">
        <v>1</v>
      </c>
      <c r="S1512">
        <v>0</v>
      </c>
      <c r="T1512">
        <v>5</v>
      </c>
      <c r="U1512">
        <v>4</v>
      </c>
    </row>
    <row r="1513" spans="1:21" ht="16.5" x14ac:dyDescent="0.3">
      <c r="A1513" t="s">
        <v>1597</v>
      </c>
      <c r="B1513" s="1">
        <v>45546</v>
      </c>
      <c r="C1513">
        <v>2024</v>
      </c>
      <c r="D1513" t="s">
        <v>1187</v>
      </c>
      <c r="E1513" t="s">
        <v>1543</v>
      </c>
      <c r="F1513" t="s">
        <v>24</v>
      </c>
      <c r="G1513" t="s">
        <v>49</v>
      </c>
      <c r="H1513" t="s">
        <v>32</v>
      </c>
      <c r="I1513" t="s">
        <v>27</v>
      </c>
      <c r="J1513" t="s">
        <v>47</v>
      </c>
      <c r="K1513">
        <v>1</v>
      </c>
      <c r="L1513" s="2">
        <v>33.99</v>
      </c>
      <c r="M1513" s="3">
        <v>0.25</v>
      </c>
      <c r="N1513" t="s">
        <v>62</v>
      </c>
      <c r="O1513" s="2">
        <v>25.49</v>
      </c>
      <c r="P1513" s="2">
        <v>18.190000000000001</v>
      </c>
      <c r="Q1513" s="2">
        <v>7.3</v>
      </c>
      <c r="R1513">
        <v>1</v>
      </c>
      <c r="S1513">
        <v>0</v>
      </c>
      <c r="T1513">
        <v>4</v>
      </c>
      <c r="U1513">
        <v>4</v>
      </c>
    </row>
    <row r="1514" spans="1:21" ht="16.5" x14ac:dyDescent="0.3">
      <c r="A1514" t="s">
        <v>1598</v>
      </c>
      <c r="B1514" s="1">
        <v>45546</v>
      </c>
      <c r="C1514">
        <v>2024</v>
      </c>
      <c r="D1514" t="s">
        <v>1187</v>
      </c>
      <c r="E1514" t="s">
        <v>1543</v>
      </c>
      <c r="F1514" t="s">
        <v>45</v>
      </c>
      <c r="G1514" t="s">
        <v>51</v>
      </c>
      <c r="H1514" t="s">
        <v>26</v>
      </c>
      <c r="I1514" t="s">
        <v>84</v>
      </c>
      <c r="J1514" t="s">
        <v>96</v>
      </c>
      <c r="K1514">
        <v>4</v>
      </c>
      <c r="L1514" s="2">
        <v>10.76</v>
      </c>
      <c r="M1514" s="3">
        <v>0.25</v>
      </c>
      <c r="N1514" t="s">
        <v>62</v>
      </c>
      <c r="O1514" s="2">
        <v>32.28</v>
      </c>
      <c r="P1514" s="2">
        <v>29.94</v>
      </c>
      <c r="Q1514" s="2">
        <v>2.34</v>
      </c>
      <c r="R1514">
        <v>1</v>
      </c>
      <c r="S1514">
        <v>0</v>
      </c>
      <c r="T1514">
        <v>2</v>
      </c>
      <c r="U1514">
        <v>4</v>
      </c>
    </row>
    <row r="1515" spans="1:21" ht="16.5" x14ac:dyDescent="0.3">
      <c r="A1515" t="s">
        <v>1599</v>
      </c>
      <c r="B1515" s="1">
        <v>45546</v>
      </c>
      <c r="C1515">
        <v>2024</v>
      </c>
      <c r="D1515" t="s">
        <v>1187</v>
      </c>
      <c r="E1515" t="s">
        <v>1543</v>
      </c>
      <c r="F1515" t="s">
        <v>45</v>
      </c>
      <c r="G1515" t="s">
        <v>46</v>
      </c>
      <c r="H1515" t="s">
        <v>32</v>
      </c>
      <c r="I1515" t="s">
        <v>84</v>
      </c>
      <c r="J1515" t="s">
        <v>106</v>
      </c>
      <c r="K1515">
        <v>2</v>
      </c>
      <c r="L1515" s="2">
        <v>45.28</v>
      </c>
      <c r="M1515" s="3">
        <v>0</v>
      </c>
      <c r="N1515" t="s">
        <v>38</v>
      </c>
      <c r="O1515" s="2">
        <v>90.56</v>
      </c>
      <c r="P1515" s="2">
        <v>64.209999999999994</v>
      </c>
      <c r="Q1515" s="2">
        <v>26.35</v>
      </c>
      <c r="R1515">
        <v>1</v>
      </c>
      <c r="S1515">
        <v>0</v>
      </c>
      <c r="T1515">
        <v>10</v>
      </c>
      <c r="U1515">
        <v>4</v>
      </c>
    </row>
    <row r="1516" spans="1:21" ht="16.5" x14ac:dyDescent="0.3">
      <c r="A1516" t="s">
        <v>1600</v>
      </c>
      <c r="B1516" s="1">
        <v>45546</v>
      </c>
      <c r="C1516">
        <v>2024</v>
      </c>
      <c r="D1516" t="s">
        <v>1187</v>
      </c>
      <c r="E1516" t="s">
        <v>1543</v>
      </c>
      <c r="F1516" t="s">
        <v>31</v>
      </c>
      <c r="G1516" t="s">
        <v>49</v>
      </c>
      <c r="H1516" t="s">
        <v>26</v>
      </c>
      <c r="I1516" t="s">
        <v>36</v>
      </c>
      <c r="J1516" t="s">
        <v>126</v>
      </c>
      <c r="K1516">
        <v>1</v>
      </c>
      <c r="L1516" s="2">
        <v>54.56</v>
      </c>
      <c r="M1516" s="3">
        <v>0</v>
      </c>
      <c r="N1516" t="s">
        <v>38</v>
      </c>
      <c r="O1516" s="2">
        <v>54.56</v>
      </c>
      <c r="P1516" s="2">
        <v>26.74</v>
      </c>
      <c r="Q1516" s="2">
        <v>27.82</v>
      </c>
      <c r="R1516">
        <v>1</v>
      </c>
      <c r="S1516">
        <v>0</v>
      </c>
      <c r="T1516">
        <v>3</v>
      </c>
      <c r="U1516">
        <v>4</v>
      </c>
    </row>
    <row r="1517" spans="1:21" ht="16.5" x14ac:dyDescent="0.3">
      <c r="A1517" t="s">
        <v>1601</v>
      </c>
      <c r="B1517" s="1">
        <v>45546</v>
      </c>
      <c r="C1517">
        <v>2024</v>
      </c>
      <c r="D1517" t="s">
        <v>1187</v>
      </c>
      <c r="E1517" t="s">
        <v>1543</v>
      </c>
      <c r="F1517" t="s">
        <v>45</v>
      </c>
      <c r="G1517" t="s">
        <v>51</v>
      </c>
      <c r="H1517" t="s">
        <v>32</v>
      </c>
      <c r="I1517" t="s">
        <v>27</v>
      </c>
      <c r="J1517" t="s">
        <v>47</v>
      </c>
      <c r="K1517">
        <v>1</v>
      </c>
      <c r="L1517" s="2">
        <v>33.99</v>
      </c>
      <c r="M1517" s="3">
        <v>0.25</v>
      </c>
      <c r="N1517" t="s">
        <v>62</v>
      </c>
      <c r="O1517" s="2">
        <v>25.49</v>
      </c>
      <c r="P1517" s="2">
        <v>18.190000000000001</v>
      </c>
      <c r="Q1517" s="2">
        <v>7.3</v>
      </c>
      <c r="R1517">
        <v>1</v>
      </c>
      <c r="S1517">
        <v>0</v>
      </c>
      <c r="T1517">
        <v>3</v>
      </c>
      <c r="U1517">
        <v>4</v>
      </c>
    </row>
    <row r="1518" spans="1:21" ht="16.5" x14ac:dyDescent="0.3">
      <c r="A1518" t="s">
        <v>1602</v>
      </c>
      <c r="B1518" s="1">
        <v>45547</v>
      </c>
      <c r="C1518">
        <v>2024</v>
      </c>
      <c r="D1518" t="s">
        <v>1187</v>
      </c>
      <c r="E1518" t="s">
        <v>1543</v>
      </c>
      <c r="F1518" t="s">
        <v>24</v>
      </c>
      <c r="G1518" t="s">
        <v>49</v>
      </c>
      <c r="H1518" t="s">
        <v>32</v>
      </c>
      <c r="I1518" t="s">
        <v>42</v>
      </c>
      <c r="J1518" t="s">
        <v>76</v>
      </c>
      <c r="K1518">
        <v>2</v>
      </c>
      <c r="L1518" s="2">
        <v>90.75</v>
      </c>
      <c r="M1518" s="3">
        <v>0.05</v>
      </c>
      <c r="N1518" t="s">
        <v>29</v>
      </c>
      <c r="O1518" s="2">
        <v>172.42</v>
      </c>
      <c r="P1518" s="2">
        <v>126.57</v>
      </c>
      <c r="Q1518" s="2">
        <v>45.85</v>
      </c>
      <c r="R1518">
        <v>1</v>
      </c>
      <c r="S1518">
        <v>0</v>
      </c>
      <c r="T1518">
        <v>3</v>
      </c>
      <c r="U1518">
        <v>4</v>
      </c>
    </row>
    <row r="1519" spans="1:21" ht="16.5" x14ac:dyDescent="0.3">
      <c r="A1519" t="s">
        <v>1603</v>
      </c>
      <c r="B1519" s="1">
        <v>45547</v>
      </c>
      <c r="C1519">
        <v>2024</v>
      </c>
      <c r="D1519" t="s">
        <v>1187</v>
      </c>
      <c r="E1519" t="s">
        <v>1543</v>
      </c>
      <c r="F1519" t="s">
        <v>45</v>
      </c>
      <c r="G1519" t="s">
        <v>49</v>
      </c>
      <c r="H1519" t="s">
        <v>26</v>
      </c>
      <c r="I1519" t="s">
        <v>70</v>
      </c>
      <c r="J1519" t="s">
        <v>82</v>
      </c>
      <c r="K1519">
        <v>1</v>
      </c>
      <c r="L1519" s="2">
        <v>508.8</v>
      </c>
      <c r="M1519" s="3">
        <v>0</v>
      </c>
      <c r="N1519" t="s">
        <v>38</v>
      </c>
      <c r="O1519" s="2">
        <v>508.8</v>
      </c>
      <c r="P1519" s="2">
        <v>398.67</v>
      </c>
      <c r="Q1519" s="2">
        <v>110.13</v>
      </c>
      <c r="R1519">
        <v>1</v>
      </c>
      <c r="S1519">
        <v>0</v>
      </c>
      <c r="T1519">
        <v>5</v>
      </c>
      <c r="U1519">
        <v>5</v>
      </c>
    </row>
    <row r="1520" spans="1:21" ht="16.5" x14ac:dyDescent="0.3">
      <c r="A1520" t="s">
        <v>1604</v>
      </c>
      <c r="B1520" s="1">
        <v>45547</v>
      </c>
      <c r="C1520">
        <v>2024</v>
      </c>
      <c r="D1520" t="s">
        <v>1187</v>
      </c>
      <c r="E1520" t="s">
        <v>1543</v>
      </c>
      <c r="F1520" t="s">
        <v>31</v>
      </c>
      <c r="G1520" t="s">
        <v>25</v>
      </c>
      <c r="H1520" t="s">
        <v>32</v>
      </c>
      <c r="I1520" t="s">
        <v>27</v>
      </c>
      <c r="J1520" t="s">
        <v>47</v>
      </c>
      <c r="K1520">
        <v>2</v>
      </c>
      <c r="L1520" s="2">
        <v>33.99</v>
      </c>
      <c r="M1520" s="3">
        <v>0</v>
      </c>
      <c r="N1520" t="s">
        <v>38</v>
      </c>
      <c r="O1520" s="2">
        <v>67.98</v>
      </c>
      <c r="P1520" s="2">
        <v>36.409999999999997</v>
      </c>
      <c r="Q1520" s="2">
        <v>31.57</v>
      </c>
      <c r="R1520">
        <v>1</v>
      </c>
      <c r="S1520">
        <v>0</v>
      </c>
      <c r="T1520">
        <v>5</v>
      </c>
      <c r="U1520">
        <v>5</v>
      </c>
    </row>
    <row r="1521" spans="1:21" ht="16.5" x14ac:dyDescent="0.3">
      <c r="A1521" t="s">
        <v>1605</v>
      </c>
      <c r="B1521" s="1">
        <v>45547</v>
      </c>
      <c r="C1521">
        <v>2024</v>
      </c>
      <c r="D1521" t="s">
        <v>1187</v>
      </c>
      <c r="E1521" t="s">
        <v>1543</v>
      </c>
      <c r="F1521" t="s">
        <v>31</v>
      </c>
      <c r="G1521" t="s">
        <v>25</v>
      </c>
      <c r="H1521" t="s">
        <v>26</v>
      </c>
      <c r="I1521" t="s">
        <v>84</v>
      </c>
      <c r="J1521" t="s">
        <v>223</v>
      </c>
      <c r="K1521">
        <v>2</v>
      </c>
      <c r="L1521" s="2">
        <v>16.97</v>
      </c>
      <c r="M1521" s="3">
        <v>0</v>
      </c>
      <c r="N1521" t="s">
        <v>38</v>
      </c>
      <c r="O1521" s="2">
        <v>33.94</v>
      </c>
      <c r="P1521" s="2">
        <v>22.68</v>
      </c>
      <c r="Q1521" s="2">
        <v>11.26</v>
      </c>
      <c r="R1521">
        <v>1</v>
      </c>
      <c r="S1521">
        <v>0</v>
      </c>
      <c r="T1521">
        <v>4</v>
      </c>
      <c r="U1521">
        <v>5</v>
      </c>
    </row>
    <row r="1522" spans="1:21" ht="16.5" x14ac:dyDescent="0.3">
      <c r="A1522" t="s">
        <v>1606</v>
      </c>
      <c r="B1522" s="1">
        <v>45548</v>
      </c>
      <c r="C1522">
        <v>2024</v>
      </c>
      <c r="D1522" t="s">
        <v>1187</v>
      </c>
      <c r="E1522" t="s">
        <v>1543</v>
      </c>
      <c r="F1522" t="s">
        <v>31</v>
      </c>
      <c r="G1522" t="s">
        <v>46</v>
      </c>
      <c r="H1522" t="s">
        <v>32</v>
      </c>
      <c r="I1522" t="s">
        <v>42</v>
      </c>
      <c r="J1522" t="s">
        <v>76</v>
      </c>
      <c r="K1522">
        <v>1</v>
      </c>
      <c r="L1522" s="2">
        <v>90.75</v>
      </c>
      <c r="M1522" s="3">
        <v>0.05</v>
      </c>
      <c r="N1522" t="s">
        <v>29</v>
      </c>
      <c r="O1522" s="2">
        <v>86.21</v>
      </c>
      <c r="P1522" s="2">
        <v>60.96</v>
      </c>
      <c r="Q1522" s="2">
        <v>25.25</v>
      </c>
      <c r="R1522">
        <v>1</v>
      </c>
      <c r="S1522">
        <v>0</v>
      </c>
      <c r="T1522">
        <v>6</v>
      </c>
      <c r="U1522">
        <v>4</v>
      </c>
    </row>
    <row r="1523" spans="1:21" ht="16.5" x14ac:dyDescent="0.3">
      <c r="A1523" t="s">
        <v>1607</v>
      </c>
      <c r="B1523" s="1">
        <v>45548</v>
      </c>
      <c r="C1523">
        <v>2024</v>
      </c>
      <c r="D1523" t="s">
        <v>1187</v>
      </c>
      <c r="E1523" t="s">
        <v>1543</v>
      </c>
      <c r="F1523" t="s">
        <v>45</v>
      </c>
      <c r="G1523" t="s">
        <v>49</v>
      </c>
      <c r="H1523" t="s">
        <v>26</v>
      </c>
      <c r="I1523" t="s">
        <v>42</v>
      </c>
      <c r="J1523" t="s">
        <v>89</v>
      </c>
      <c r="K1523">
        <v>2</v>
      </c>
      <c r="L1523" s="2">
        <v>68.349999999999994</v>
      </c>
      <c r="M1523" s="3">
        <v>0</v>
      </c>
      <c r="N1523" t="s">
        <v>38</v>
      </c>
      <c r="O1523" s="2">
        <v>136.69999999999999</v>
      </c>
      <c r="P1523" s="2">
        <v>89.09</v>
      </c>
      <c r="Q1523" s="2">
        <v>47.61</v>
      </c>
      <c r="R1523">
        <v>1</v>
      </c>
      <c r="S1523">
        <v>0</v>
      </c>
      <c r="T1523">
        <v>6</v>
      </c>
      <c r="U1523">
        <v>4</v>
      </c>
    </row>
    <row r="1524" spans="1:21" ht="16.5" x14ac:dyDescent="0.3">
      <c r="A1524" t="s">
        <v>1608</v>
      </c>
      <c r="B1524" s="1">
        <v>45548</v>
      </c>
      <c r="C1524">
        <v>2024</v>
      </c>
      <c r="D1524" t="s">
        <v>1187</v>
      </c>
      <c r="E1524" t="s">
        <v>1543</v>
      </c>
      <c r="F1524" t="s">
        <v>24</v>
      </c>
      <c r="G1524" t="s">
        <v>46</v>
      </c>
      <c r="H1524" t="s">
        <v>26</v>
      </c>
      <c r="I1524" t="s">
        <v>67</v>
      </c>
      <c r="J1524" t="s">
        <v>103</v>
      </c>
      <c r="K1524">
        <v>2</v>
      </c>
      <c r="L1524" s="2">
        <v>83.06</v>
      </c>
      <c r="M1524" s="3">
        <v>0.1</v>
      </c>
      <c r="N1524" t="s">
        <v>29</v>
      </c>
      <c r="O1524" s="2">
        <v>149.51</v>
      </c>
      <c r="P1524" s="2">
        <v>113.16</v>
      </c>
      <c r="Q1524" s="2">
        <v>36.35</v>
      </c>
      <c r="R1524">
        <v>1</v>
      </c>
      <c r="S1524">
        <v>0</v>
      </c>
      <c r="T1524">
        <v>6</v>
      </c>
      <c r="U1524">
        <v>4</v>
      </c>
    </row>
    <row r="1525" spans="1:21" ht="16.5" x14ac:dyDescent="0.3">
      <c r="A1525" t="s">
        <v>1609</v>
      </c>
      <c r="B1525" s="1">
        <v>45548</v>
      </c>
      <c r="C1525">
        <v>2024</v>
      </c>
      <c r="D1525" t="s">
        <v>1187</v>
      </c>
      <c r="E1525" t="s">
        <v>1543</v>
      </c>
      <c r="F1525" t="s">
        <v>31</v>
      </c>
      <c r="G1525" t="s">
        <v>65</v>
      </c>
      <c r="H1525" t="s">
        <v>32</v>
      </c>
      <c r="I1525" t="s">
        <v>27</v>
      </c>
      <c r="J1525" t="s">
        <v>28</v>
      </c>
      <c r="K1525">
        <v>1</v>
      </c>
      <c r="L1525" s="2">
        <v>138.5</v>
      </c>
      <c r="M1525" s="3">
        <v>0.05</v>
      </c>
      <c r="N1525" t="s">
        <v>29</v>
      </c>
      <c r="O1525" s="2">
        <v>131.57</v>
      </c>
      <c r="P1525" s="2">
        <v>75.38</v>
      </c>
      <c r="Q1525" s="2">
        <v>56.19</v>
      </c>
      <c r="R1525">
        <v>1</v>
      </c>
      <c r="S1525">
        <v>1</v>
      </c>
      <c r="T1525">
        <v>7</v>
      </c>
      <c r="U1525">
        <v>3</v>
      </c>
    </row>
    <row r="1526" spans="1:21" ht="16.5" x14ac:dyDescent="0.3">
      <c r="A1526" t="s">
        <v>1610</v>
      </c>
      <c r="B1526" s="1">
        <v>45548</v>
      </c>
      <c r="C1526">
        <v>2024</v>
      </c>
      <c r="D1526" t="s">
        <v>1187</v>
      </c>
      <c r="E1526" t="s">
        <v>1543</v>
      </c>
      <c r="F1526" t="s">
        <v>31</v>
      </c>
      <c r="G1526" t="s">
        <v>25</v>
      </c>
      <c r="H1526" t="s">
        <v>26</v>
      </c>
      <c r="I1526" t="s">
        <v>42</v>
      </c>
      <c r="J1526" t="s">
        <v>76</v>
      </c>
      <c r="K1526">
        <v>1</v>
      </c>
      <c r="L1526" s="2">
        <v>90.75</v>
      </c>
      <c r="M1526" s="3">
        <v>0.25</v>
      </c>
      <c r="N1526" t="s">
        <v>62</v>
      </c>
      <c r="O1526" s="2">
        <v>68.06</v>
      </c>
      <c r="P1526" s="2">
        <v>57.08</v>
      </c>
      <c r="Q1526" s="2">
        <v>10.98</v>
      </c>
      <c r="R1526">
        <v>1</v>
      </c>
      <c r="S1526">
        <v>0</v>
      </c>
      <c r="T1526">
        <v>5</v>
      </c>
      <c r="U1526">
        <v>4</v>
      </c>
    </row>
    <row r="1527" spans="1:21" ht="16.5" x14ac:dyDescent="0.3">
      <c r="A1527" t="s">
        <v>1611</v>
      </c>
      <c r="B1527" s="1">
        <v>45548</v>
      </c>
      <c r="C1527">
        <v>2024</v>
      </c>
      <c r="D1527" t="s">
        <v>1187</v>
      </c>
      <c r="E1527" t="s">
        <v>1543</v>
      </c>
      <c r="F1527" t="s">
        <v>24</v>
      </c>
      <c r="G1527" t="s">
        <v>49</v>
      </c>
      <c r="H1527" t="s">
        <v>32</v>
      </c>
      <c r="I1527" t="s">
        <v>67</v>
      </c>
      <c r="J1527" t="s">
        <v>78</v>
      </c>
      <c r="K1527">
        <v>2</v>
      </c>
      <c r="L1527" s="2">
        <v>85.42</v>
      </c>
      <c r="M1527" s="3">
        <v>0</v>
      </c>
      <c r="N1527" t="s">
        <v>38</v>
      </c>
      <c r="O1527" s="2">
        <v>170.84</v>
      </c>
      <c r="P1527" s="2">
        <v>118.56</v>
      </c>
      <c r="Q1527" s="2">
        <v>52.28</v>
      </c>
      <c r="R1527">
        <v>1</v>
      </c>
      <c r="S1527">
        <v>0</v>
      </c>
      <c r="T1527">
        <v>3</v>
      </c>
      <c r="U1527">
        <v>4</v>
      </c>
    </row>
    <row r="1528" spans="1:21" ht="16.5" x14ac:dyDescent="0.3">
      <c r="A1528" t="s">
        <v>1612</v>
      </c>
      <c r="B1528" s="1">
        <v>45548</v>
      </c>
      <c r="C1528">
        <v>2024</v>
      </c>
      <c r="D1528" t="s">
        <v>1187</v>
      </c>
      <c r="E1528" t="s">
        <v>1543</v>
      </c>
      <c r="F1528" t="s">
        <v>24</v>
      </c>
      <c r="G1528" t="s">
        <v>49</v>
      </c>
      <c r="H1528" t="s">
        <v>32</v>
      </c>
      <c r="I1528" t="s">
        <v>27</v>
      </c>
      <c r="J1528" t="s">
        <v>33</v>
      </c>
      <c r="K1528">
        <v>1</v>
      </c>
      <c r="L1528" s="2">
        <v>78.510000000000005</v>
      </c>
      <c r="M1528" s="3">
        <v>0.1</v>
      </c>
      <c r="N1528" t="s">
        <v>29</v>
      </c>
      <c r="O1528" s="2">
        <v>70.66</v>
      </c>
      <c r="P1528" s="2">
        <v>41.92</v>
      </c>
      <c r="Q1528" s="2">
        <v>28.74</v>
      </c>
      <c r="R1528">
        <v>1</v>
      </c>
      <c r="S1528">
        <v>0</v>
      </c>
      <c r="T1528">
        <v>3</v>
      </c>
      <c r="U1528">
        <v>5</v>
      </c>
    </row>
    <row r="1529" spans="1:21" ht="16.5" x14ac:dyDescent="0.3">
      <c r="A1529" t="s">
        <v>1613</v>
      </c>
      <c r="B1529" s="1">
        <v>45548</v>
      </c>
      <c r="C1529">
        <v>2024</v>
      </c>
      <c r="D1529" t="s">
        <v>1187</v>
      </c>
      <c r="E1529" t="s">
        <v>1543</v>
      </c>
      <c r="F1529" t="s">
        <v>24</v>
      </c>
      <c r="G1529" t="s">
        <v>25</v>
      </c>
      <c r="H1529" t="s">
        <v>26</v>
      </c>
      <c r="I1529" t="s">
        <v>27</v>
      </c>
      <c r="J1529" t="s">
        <v>47</v>
      </c>
      <c r="K1529">
        <v>1</v>
      </c>
      <c r="L1529" s="2">
        <v>33.99</v>
      </c>
      <c r="M1529" s="3">
        <v>0.1</v>
      </c>
      <c r="N1529" t="s">
        <v>29</v>
      </c>
      <c r="O1529" s="2">
        <v>30.59</v>
      </c>
      <c r="P1529" s="2">
        <v>17.95</v>
      </c>
      <c r="Q1529" s="2">
        <v>12.64</v>
      </c>
      <c r="R1529">
        <v>1</v>
      </c>
      <c r="S1529">
        <v>0</v>
      </c>
      <c r="T1529">
        <v>3</v>
      </c>
      <c r="U1529">
        <v>4</v>
      </c>
    </row>
    <row r="1530" spans="1:21" ht="16.5" x14ac:dyDescent="0.3">
      <c r="A1530" t="s">
        <v>1614</v>
      </c>
      <c r="B1530" s="1">
        <v>45549</v>
      </c>
      <c r="C1530">
        <v>2024</v>
      </c>
      <c r="D1530" t="s">
        <v>1187</v>
      </c>
      <c r="E1530" t="s">
        <v>1543</v>
      </c>
      <c r="F1530" t="s">
        <v>24</v>
      </c>
      <c r="G1530" t="s">
        <v>49</v>
      </c>
      <c r="H1530" t="s">
        <v>32</v>
      </c>
      <c r="I1530" t="s">
        <v>67</v>
      </c>
      <c r="J1530" t="s">
        <v>68</v>
      </c>
      <c r="K1530">
        <v>2</v>
      </c>
      <c r="L1530" s="2">
        <v>74.459999999999994</v>
      </c>
      <c r="M1530" s="3">
        <v>0</v>
      </c>
      <c r="N1530" t="s">
        <v>38</v>
      </c>
      <c r="O1530" s="2">
        <v>148.91999999999999</v>
      </c>
      <c r="P1530" s="2">
        <v>98.71</v>
      </c>
      <c r="Q1530" s="2">
        <v>50.21</v>
      </c>
      <c r="R1530">
        <v>1</v>
      </c>
      <c r="S1530">
        <v>0</v>
      </c>
      <c r="T1530">
        <v>3</v>
      </c>
      <c r="U1530">
        <v>4</v>
      </c>
    </row>
    <row r="1531" spans="1:21" ht="16.5" x14ac:dyDescent="0.3">
      <c r="A1531" t="s">
        <v>1615</v>
      </c>
      <c r="B1531" s="1">
        <v>45549</v>
      </c>
      <c r="C1531">
        <v>2024</v>
      </c>
      <c r="D1531" t="s">
        <v>1187</v>
      </c>
      <c r="E1531" t="s">
        <v>1543</v>
      </c>
      <c r="F1531" t="s">
        <v>45</v>
      </c>
      <c r="G1531" t="s">
        <v>65</v>
      </c>
      <c r="H1531" t="s">
        <v>26</v>
      </c>
      <c r="I1531" t="s">
        <v>70</v>
      </c>
      <c r="J1531" t="s">
        <v>129</v>
      </c>
      <c r="K1531">
        <v>2</v>
      </c>
      <c r="L1531" s="2">
        <v>177.65</v>
      </c>
      <c r="M1531" s="3">
        <v>0</v>
      </c>
      <c r="N1531" t="s">
        <v>38</v>
      </c>
      <c r="O1531" s="2">
        <v>355.3</v>
      </c>
      <c r="P1531" s="2">
        <v>288.52999999999997</v>
      </c>
      <c r="Q1531" s="2">
        <v>66.77</v>
      </c>
      <c r="R1531">
        <v>1</v>
      </c>
      <c r="S1531">
        <v>0</v>
      </c>
      <c r="T1531">
        <v>5</v>
      </c>
      <c r="U1531">
        <v>5</v>
      </c>
    </row>
    <row r="1532" spans="1:21" ht="16.5" x14ac:dyDescent="0.3">
      <c r="A1532" t="s">
        <v>1616</v>
      </c>
      <c r="B1532" s="1">
        <v>45549</v>
      </c>
      <c r="C1532">
        <v>2024</v>
      </c>
      <c r="D1532" t="s">
        <v>1187</v>
      </c>
      <c r="E1532" t="s">
        <v>1543</v>
      </c>
      <c r="F1532" t="s">
        <v>31</v>
      </c>
      <c r="G1532" t="s">
        <v>51</v>
      </c>
      <c r="H1532" t="s">
        <v>32</v>
      </c>
      <c r="I1532" t="s">
        <v>67</v>
      </c>
      <c r="J1532" t="s">
        <v>68</v>
      </c>
      <c r="K1532">
        <v>4</v>
      </c>
      <c r="L1532" s="2">
        <v>74.459999999999994</v>
      </c>
      <c r="M1532" s="3">
        <v>0.1</v>
      </c>
      <c r="N1532" t="s">
        <v>29</v>
      </c>
      <c r="O1532" s="2">
        <v>268.06</v>
      </c>
      <c r="P1532" s="2">
        <v>197.21</v>
      </c>
      <c r="Q1532" s="2">
        <v>70.849999999999994</v>
      </c>
      <c r="R1532">
        <v>1</v>
      </c>
      <c r="S1532">
        <v>0</v>
      </c>
      <c r="T1532">
        <v>2</v>
      </c>
      <c r="U1532">
        <v>5</v>
      </c>
    </row>
    <row r="1533" spans="1:21" ht="16.5" x14ac:dyDescent="0.3">
      <c r="A1533" t="s">
        <v>1617</v>
      </c>
      <c r="B1533" s="1">
        <v>45549</v>
      </c>
      <c r="C1533">
        <v>2024</v>
      </c>
      <c r="D1533" t="s">
        <v>1187</v>
      </c>
      <c r="E1533" t="s">
        <v>1543</v>
      </c>
      <c r="F1533" t="s">
        <v>31</v>
      </c>
      <c r="G1533" t="s">
        <v>51</v>
      </c>
      <c r="H1533" t="s">
        <v>32</v>
      </c>
      <c r="I1533" t="s">
        <v>36</v>
      </c>
      <c r="J1533" t="s">
        <v>126</v>
      </c>
      <c r="K1533">
        <v>1</v>
      </c>
      <c r="L1533" s="2">
        <v>54.56</v>
      </c>
      <c r="M1533" s="3">
        <v>0.05</v>
      </c>
      <c r="N1533" t="s">
        <v>29</v>
      </c>
      <c r="O1533" s="2">
        <v>51.83</v>
      </c>
      <c r="P1533" s="2">
        <v>27.3</v>
      </c>
      <c r="Q1533" s="2">
        <v>24.53</v>
      </c>
      <c r="R1533">
        <v>1</v>
      </c>
      <c r="S1533">
        <v>0</v>
      </c>
      <c r="T1533">
        <v>3</v>
      </c>
      <c r="U1533">
        <v>4</v>
      </c>
    </row>
    <row r="1534" spans="1:21" ht="16.5" x14ac:dyDescent="0.3">
      <c r="A1534" t="s">
        <v>1618</v>
      </c>
      <c r="B1534" s="1">
        <v>45549</v>
      </c>
      <c r="C1534">
        <v>2024</v>
      </c>
      <c r="D1534" t="s">
        <v>1187</v>
      </c>
      <c r="E1534" t="s">
        <v>1543</v>
      </c>
      <c r="F1534" t="s">
        <v>24</v>
      </c>
      <c r="G1534" t="s">
        <v>49</v>
      </c>
      <c r="H1534" t="s">
        <v>26</v>
      </c>
      <c r="I1534" t="s">
        <v>42</v>
      </c>
      <c r="J1534" t="s">
        <v>54</v>
      </c>
      <c r="K1534">
        <v>4</v>
      </c>
      <c r="L1534" s="2">
        <v>148.05000000000001</v>
      </c>
      <c r="M1534" s="3">
        <v>0.25</v>
      </c>
      <c r="N1534" t="s">
        <v>62</v>
      </c>
      <c r="O1534" s="2">
        <v>444.15</v>
      </c>
      <c r="P1534" s="2">
        <v>377.28</v>
      </c>
      <c r="Q1534" s="2">
        <v>66.87</v>
      </c>
      <c r="R1534">
        <v>1</v>
      </c>
      <c r="S1534">
        <v>0</v>
      </c>
      <c r="T1534">
        <v>5</v>
      </c>
      <c r="U1534">
        <v>5</v>
      </c>
    </row>
    <row r="1535" spans="1:21" ht="16.5" x14ac:dyDescent="0.3">
      <c r="A1535" t="s">
        <v>1619</v>
      </c>
      <c r="B1535" s="1">
        <v>45549</v>
      </c>
      <c r="C1535">
        <v>2024</v>
      </c>
      <c r="D1535" t="s">
        <v>1187</v>
      </c>
      <c r="E1535" t="s">
        <v>1543</v>
      </c>
      <c r="F1535" t="s">
        <v>24</v>
      </c>
      <c r="G1535" t="s">
        <v>51</v>
      </c>
      <c r="H1535" t="s">
        <v>32</v>
      </c>
      <c r="I1535" t="s">
        <v>70</v>
      </c>
      <c r="J1535" t="s">
        <v>129</v>
      </c>
      <c r="K1535">
        <v>1</v>
      </c>
      <c r="L1535" s="2">
        <v>177.65</v>
      </c>
      <c r="M1535" s="3">
        <v>0.3</v>
      </c>
      <c r="N1535" t="s">
        <v>62</v>
      </c>
      <c r="O1535" s="2">
        <v>124.35</v>
      </c>
      <c r="P1535" s="2">
        <v>145.44</v>
      </c>
      <c r="Q1535" s="2">
        <v>-21.09</v>
      </c>
      <c r="R1535">
        <v>1</v>
      </c>
      <c r="S1535">
        <v>0</v>
      </c>
      <c r="T1535">
        <v>3</v>
      </c>
      <c r="U1535">
        <v>5</v>
      </c>
    </row>
    <row r="1536" spans="1:21" ht="16.5" x14ac:dyDescent="0.3">
      <c r="A1536" t="s">
        <v>1620</v>
      </c>
      <c r="B1536" s="1">
        <v>45549</v>
      </c>
      <c r="C1536">
        <v>2024</v>
      </c>
      <c r="D1536" t="s">
        <v>1187</v>
      </c>
      <c r="E1536" t="s">
        <v>1543</v>
      </c>
      <c r="F1536" t="s">
        <v>24</v>
      </c>
      <c r="G1536" t="s">
        <v>65</v>
      </c>
      <c r="H1536" t="s">
        <v>32</v>
      </c>
      <c r="I1536" t="s">
        <v>67</v>
      </c>
      <c r="J1536" t="s">
        <v>78</v>
      </c>
      <c r="K1536">
        <v>1</v>
      </c>
      <c r="L1536" s="2">
        <v>85.42</v>
      </c>
      <c r="M1536" s="3">
        <v>0.05</v>
      </c>
      <c r="N1536" t="s">
        <v>29</v>
      </c>
      <c r="O1536" s="2">
        <v>81.150000000000006</v>
      </c>
      <c r="P1536" s="2">
        <v>58.07</v>
      </c>
      <c r="Q1536" s="2">
        <v>23.08</v>
      </c>
      <c r="R1536">
        <v>1</v>
      </c>
      <c r="S1536">
        <v>0</v>
      </c>
      <c r="T1536">
        <v>6</v>
      </c>
      <c r="U1536">
        <v>4</v>
      </c>
    </row>
    <row r="1537" spans="1:21" ht="16.5" x14ac:dyDescent="0.3">
      <c r="A1537" t="s">
        <v>1621</v>
      </c>
      <c r="B1537" s="1">
        <v>45549</v>
      </c>
      <c r="C1537">
        <v>2024</v>
      </c>
      <c r="D1537" t="s">
        <v>1187</v>
      </c>
      <c r="E1537" t="s">
        <v>1543</v>
      </c>
      <c r="F1537" t="s">
        <v>31</v>
      </c>
      <c r="G1537" t="s">
        <v>49</v>
      </c>
      <c r="H1537" t="s">
        <v>32</v>
      </c>
      <c r="I1537" t="s">
        <v>70</v>
      </c>
      <c r="J1537" t="s">
        <v>87</v>
      </c>
      <c r="K1537">
        <v>2</v>
      </c>
      <c r="L1537" s="2">
        <v>490.3</v>
      </c>
      <c r="M1537" s="3">
        <v>0</v>
      </c>
      <c r="N1537" t="s">
        <v>38</v>
      </c>
      <c r="O1537" s="2">
        <v>980.6</v>
      </c>
      <c r="P1537" s="2">
        <v>812.32</v>
      </c>
      <c r="Q1537" s="2">
        <v>168.28</v>
      </c>
      <c r="R1537">
        <v>1</v>
      </c>
      <c r="S1537">
        <v>0</v>
      </c>
      <c r="T1537">
        <v>3</v>
      </c>
      <c r="U1537">
        <v>5</v>
      </c>
    </row>
    <row r="1538" spans="1:21" ht="16.5" x14ac:dyDescent="0.3">
      <c r="A1538" t="s">
        <v>1622</v>
      </c>
      <c r="B1538" s="1">
        <v>45549</v>
      </c>
      <c r="C1538">
        <v>2024</v>
      </c>
      <c r="D1538" t="s">
        <v>1187</v>
      </c>
      <c r="E1538" t="s">
        <v>1543</v>
      </c>
      <c r="F1538" t="s">
        <v>24</v>
      </c>
      <c r="G1538" t="s">
        <v>49</v>
      </c>
      <c r="H1538" t="s">
        <v>32</v>
      </c>
      <c r="I1538" t="s">
        <v>27</v>
      </c>
      <c r="J1538" t="s">
        <v>110</v>
      </c>
      <c r="K1538">
        <v>1</v>
      </c>
      <c r="L1538" s="2">
        <v>19.41</v>
      </c>
      <c r="M1538" s="3">
        <v>0</v>
      </c>
      <c r="N1538" t="s">
        <v>38</v>
      </c>
      <c r="O1538" s="2">
        <v>19.41</v>
      </c>
      <c r="P1538" s="2">
        <v>10.59</v>
      </c>
      <c r="Q1538" s="2">
        <v>8.82</v>
      </c>
      <c r="R1538">
        <v>1</v>
      </c>
      <c r="S1538">
        <v>0</v>
      </c>
      <c r="T1538">
        <v>5</v>
      </c>
      <c r="U1538">
        <v>4</v>
      </c>
    </row>
    <row r="1539" spans="1:21" ht="16.5" x14ac:dyDescent="0.3">
      <c r="A1539" t="s">
        <v>1623</v>
      </c>
      <c r="B1539" s="1">
        <v>45549</v>
      </c>
      <c r="C1539">
        <v>2024</v>
      </c>
      <c r="D1539" t="s">
        <v>1187</v>
      </c>
      <c r="E1539" t="s">
        <v>1543</v>
      </c>
      <c r="F1539" t="s">
        <v>24</v>
      </c>
      <c r="G1539" t="s">
        <v>25</v>
      </c>
      <c r="H1539" t="s">
        <v>32</v>
      </c>
      <c r="I1539" t="s">
        <v>27</v>
      </c>
      <c r="J1539" t="s">
        <v>28</v>
      </c>
      <c r="K1539">
        <v>1</v>
      </c>
      <c r="L1539" s="2">
        <v>138.5</v>
      </c>
      <c r="M1539" s="3">
        <v>0</v>
      </c>
      <c r="N1539" t="s">
        <v>38</v>
      </c>
      <c r="O1539" s="2">
        <v>138.5</v>
      </c>
      <c r="P1539" s="2">
        <v>73.39</v>
      </c>
      <c r="Q1539" s="2">
        <v>65.11</v>
      </c>
      <c r="R1539">
        <v>1</v>
      </c>
      <c r="S1539">
        <v>0</v>
      </c>
      <c r="T1539">
        <v>4</v>
      </c>
      <c r="U1539">
        <v>4</v>
      </c>
    </row>
    <row r="1540" spans="1:21" ht="16.5" x14ac:dyDescent="0.3">
      <c r="A1540" t="s">
        <v>1624</v>
      </c>
      <c r="B1540" s="1">
        <v>45550</v>
      </c>
      <c r="C1540">
        <v>2024</v>
      </c>
      <c r="D1540" t="s">
        <v>1187</v>
      </c>
      <c r="E1540" t="s">
        <v>1543</v>
      </c>
      <c r="F1540" t="s">
        <v>24</v>
      </c>
      <c r="G1540" t="s">
        <v>49</v>
      </c>
      <c r="H1540" t="s">
        <v>32</v>
      </c>
      <c r="I1540" t="s">
        <v>67</v>
      </c>
      <c r="J1540" t="s">
        <v>93</v>
      </c>
      <c r="K1540">
        <v>1</v>
      </c>
      <c r="L1540" s="2">
        <v>198.42</v>
      </c>
      <c r="M1540" s="3">
        <v>0</v>
      </c>
      <c r="N1540" t="s">
        <v>38</v>
      </c>
      <c r="O1540" s="2">
        <v>198.42</v>
      </c>
      <c r="P1540" s="2">
        <v>137.59</v>
      </c>
      <c r="Q1540" s="2">
        <v>60.83</v>
      </c>
      <c r="R1540">
        <v>1</v>
      </c>
      <c r="S1540">
        <v>0</v>
      </c>
      <c r="T1540">
        <v>5</v>
      </c>
      <c r="U1540">
        <v>4</v>
      </c>
    </row>
    <row r="1541" spans="1:21" ht="16.5" x14ac:dyDescent="0.3">
      <c r="A1541" t="s">
        <v>1625</v>
      </c>
      <c r="B1541" s="1">
        <v>45550</v>
      </c>
      <c r="C1541">
        <v>2024</v>
      </c>
      <c r="D1541" t="s">
        <v>1187</v>
      </c>
      <c r="E1541" t="s">
        <v>1543</v>
      </c>
      <c r="F1541" t="s">
        <v>31</v>
      </c>
      <c r="G1541" t="s">
        <v>25</v>
      </c>
      <c r="H1541" t="s">
        <v>26</v>
      </c>
      <c r="I1541" t="s">
        <v>27</v>
      </c>
      <c r="J1541" t="s">
        <v>47</v>
      </c>
      <c r="K1541">
        <v>2</v>
      </c>
      <c r="L1541" s="2">
        <v>33.99</v>
      </c>
      <c r="M1541" s="3">
        <v>0</v>
      </c>
      <c r="N1541" t="s">
        <v>38</v>
      </c>
      <c r="O1541" s="2">
        <v>67.98</v>
      </c>
      <c r="P1541" s="2">
        <v>36.43</v>
      </c>
      <c r="Q1541" s="2">
        <v>31.55</v>
      </c>
      <c r="R1541">
        <v>1</v>
      </c>
      <c r="S1541">
        <v>0</v>
      </c>
      <c r="T1541">
        <v>5</v>
      </c>
      <c r="U1541">
        <v>4</v>
      </c>
    </row>
    <row r="1542" spans="1:21" ht="16.5" x14ac:dyDescent="0.3">
      <c r="A1542" t="s">
        <v>1626</v>
      </c>
      <c r="B1542" s="1">
        <v>45550</v>
      </c>
      <c r="C1542">
        <v>2024</v>
      </c>
      <c r="D1542" t="s">
        <v>1187</v>
      </c>
      <c r="E1542" t="s">
        <v>1543</v>
      </c>
      <c r="F1542" t="s">
        <v>45</v>
      </c>
      <c r="G1542" t="s">
        <v>25</v>
      </c>
      <c r="H1542" t="s">
        <v>32</v>
      </c>
      <c r="I1542" t="s">
        <v>27</v>
      </c>
      <c r="J1542" t="s">
        <v>28</v>
      </c>
      <c r="K1542">
        <v>2</v>
      </c>
      <c r="L1542" s="2">
        <v>138.5</v>
      </c>
      <c r="M1542" s="3">
        <v>0.15</v>
      </c>
      <c r="N1542" t="s">
        <v>34</v>
      </c>
      <c r="O1542" s="2">
        <v>235.45</v>
      </c>
      <c r="P1542" s="2">
        <v>148.13</v>
      </c>
      <c r="Q1542" s="2">
        <v>87.32</v>
      </c>
      <c r="R1542">
        <v>1</v>
      </c>
      <c r="S1542">
        <v>0</v>
      </c>
      <c r="T1542">
        <v>3</v>
      </c>
      <c r="U1542">
        <v>5</v>
      </c>
    </row>
    <row r="1543" spans="1:21" ht="16.5" x14ac:dyDescent="0.3">
      <c r="A1543" t="s">
        <v>1627</v>
      </c>
      <c r="B1543" s="1">
        <v>45550</v>
      </c>
      <c r="C1543">
        <v>2024</v>
      </c>
      <c r="D1543" t="s">
        <v>1187</v>
      </c>
      <c r="E1543" t="s">
        <v>1543</v>
      </c>
      <c r="F1543" t="s">
        <v>24</v>
      </c>
      <c r="G1543" t="s">
        <v>49</v>
      </c>
      <c r="H1543" t="s">
        <v>26</v>
      </c>
      <c r="I1543" t="s">
        <v>67</v>
      </c>
      <c r="J1543" t="s">
        <v>78</v>
      </c>
      <c r="K1543">
        <v>2</v>
      </c>
      <c r="L1543" s="2">
        <v>85.42</v>
      </c>
      <c r="M1543" s="3">
        <v>0</v>
      </c>
      <c r="N1543" t="s">
        <v>38</v>
      </c>
      <c r="O1543" s="2">
        <v>170.84</v>
      </c>
      <c r="P1543" s="2">
        <v>112.33</v>
      </c>
      <c r="Q1543" s="2">
        <v>58.51</v>
      </c>
      <c r="R1543">
        <v>1</v>
      </c>
      <c r="S1543">
        <v>0</v>
      </c>
      <c r="T1543">
        <v>3</v>
      </c>
      <c r="U1543">
        <v>4</v>
      </c>
    </row>
    <row r="1544" spans="1:21" ht="16.5" x14ac:dyDescent="0.3">
      <c r="A1544" t="s">
        <v>1628</v>
      </c>
      <c r="B1544" s="1">
        <v>45550</v>
      </c>
      <c r="C1544">
        <v>2024</v>
      </c>
      <c r="D1544" t="s">
        <v>1187</v>
      </c>
      <c r="E1544" t="s">
        <v>1543</v>
      </c>
      <c r="F1544" t="s">
        <v>24</v>
      </c>
      <c r="G1544" t="s">
        <v>46</v>
      </c>
      <c r="H1544" t="s">
        <v>32</v>
      </c>
      <c r="I1544" t="s">
        <v>42</v>
      </c>
      <c r="J1544" t="s">
        <v>76</v>
      </c>
      <c r="K1544">
        <v>1</v>
      </c>
      <c r="L1544" s="2">
        <v>90.75</v>
      </c>
      <c r="M1544" s="3">
        <v>0</v>
      </c>
      <c r="N1544" t="s">
        <v>38</v>
      </c>
      <c r="O1544" s="2">
        <v>90.75</v>
      </c>
      <c r="P1544" s="2">
        <v>59.93</v>
      </c>
      <c r="Q1544" s="2">
        <v>30.82</v>
      </c>
      <c r="R1544">
        <v>1</v>
      </c>
      <c r="S1544">
        <v>0</v>
      </c>
      <c r="T1544">
        <v>5</v>
      </c>
      <c r="U1544">
        <v>4</v>
      </c>
    </row>
    <row r="1545" spans="1:21" ht="16.5" x14ac:dyDescent="0.3">
      <c r="A1545" t="s">
        <v>1629</v>
      </c>
      <c r="B1545" s="1">
        <v>45550</v>
      </c>
      <c r="C1545">
        <v>2024</v>
      </c>
      <c r="D1545" t="s">
        <v>1187</v>
      </c>
      <c r="E1545" t="s">
        <v>1543</v>
      </c>
      <c r="F1545" t="s">
        <v>24</v>
      </c>
      <c r="G1545" t="s">
        <v>51</v>
      </c>
      <c r="H1545" t="s">
        <v>26</v>
      </c>
      <c r="I1545" t="s">
        <v>36</v>
      </c>
      <c r="J1545" t="s">
        <v>52</v>
      </c>
      <c r="K1545">
        <v>1</v>
      </c>
      <c r="L1545" s="2">
        <v>92.54</v>
      </c>
      <c r="M1545" s="3">
        <v>0.1</v>
      </c>
      <c r="N1545" t="s">
        <v>29</v>
      </c>
      <c r="O1545" s="2">
        <v>83.29</v>
      </c>
      <c r="P1545" s="2">
        <v>43.2</v>
      </c>
      <c r="Q1545" s="2">
        <v>40.090000000000003</v>
      </c>
      <c r="R1545">
        <v>1</v>
      </c>
      <c r="S1545">
        <v>0</v>
      </c>
      <c r="T1545">
        <v>3</v>
      </c>
      <c r="U1545">
        <v>4</v>
      </c>
    </row>
    <row r="1546" spans="1:21" ht="16.5" x14ac:dyDescent="0.3">
      <c r="A1546" t="s">
        <v>1630</v>
      </c>
      <c r="B1546" s="1">
        <v>45551</v>
      </c>
      <c r="C1546">
        <v>2024</v>
      </c>
      <c r="D1546" t="s">
        <v>1187</v>
      </c>
      <c r="E1546" t="s">
        <v>1543</v>
      </c>
      <c r="F1546" t="s">
        <v>31</v>
      </c>
      <c r="G1546" t="s">
        <v>51</v>
      </c>
      <c r="H1546" t="s">
        <v>32</v>
      </c>
      <c r="I1546" t="s">
        <v>27</v>
      </c>
      <c r="J1546" t="s">
        <v>40</v>
      </c>
      <c r="K1546">
        <v>1</v>
      </c>
      <c r="L1546" s="2">
        <v>104.94</v>
      </c>
      <c r="M1546" s="3">
        <v>0</v>
      </c>
      <c r="N1546" t="s">
        <v>38</v>
      </c>
      <c r="O1546" s="2">
        <v>104.94</v>
      </c>
      <c r="P1546" s="2">
        <v>55.11</v>
      </c>
      <c r="Q1546" s="2">
        <v>49.83</v>
      </c>
      <c r="R1546">
        <v>1</v>
      </c>
      <c r="S1546">
        <v>0</v>
      </c>
      <c r="T1546">
        <v>2</v>
      </c>
      <c r="U1546">
        <v>4</v>
      </c>
    </row>
    <row r="1547" spans="1:21" ht="16.5" x14ac:dyDescent="0.3">
      <c r="A1547" t="s">
        <v>1631</v>
      </c>
      <c r="B1547" s="1">
        <v>45551</v>
      </c>
      <c r="C1547">
        <v>2024</v>
      </c>
      <c r="D1547" t="s">
        <v>1187</v>
      </c>
      <c r="E1547" t="s">
        <v>1543</v>
      </c>
      <c r="F1547" t="s">
        <v>45</v>
      </c>
      <c r="G1547" t="s">
        <v>51</v>
      </c>
      <c r="H1547" t="s">
        <v>32</v>
      </c>
      <c r="I1547" t="s">
        <v>70</v>
      </c>
      <c r="J1547" t="s">
        <v>71</v>
      </c>
      <c r="K1547">
        <v>4</v>
      </c>
      <c r="L1547" s="2">
        <v>588.41</v>
      </c>
      <c r="M1547" s="3">
        <v>0</v>
      </c>
      <c r="N1547" t="s">
        <v>38</v>
      </c>
      <c r="O1547" s="2">
        <v>2353.64</v>
      </c>
      <c r="P1547" s="2">
        <v>1909.06</v>
      </c>
      <c r="Q1547" s="2">
        <v>444.58</v>
      </c>
      <c r="R1547">
        <v>1</v>
      </c>
      <c r="S1547">
        <v>0</v>
      </c>
      <c r="T1547">
        <v>3</v>
      </c>
      <c r="U1547">
        <v>5</v>
      </c>
    </row>
    <row r="1548" spans="1:21" ht="16.5" x14ac:dyDescent="0.3">
      <c r="A1548" t="s">
        <v>1632</v>
      </c>
      <c r="B1548" s="1">
        <v>45551</v>
      </c>
      <c r="C1548">
        <v>2024</v>
      </c>
      <c r="D1548" t="s">
        <v>1187</v>
      </c>
      <c r="E1548" t="s">
        <v>1543</v>
      </c>
      <c r="F1548" t="s">
        <v>24</v>
      </c>
      <c r="G1548" t="s">
        <v>49</v>
      </c>
      <c r="H1548" t="s">
        <v>26</v>
      </c>
      <c r="I1548" t="s">
        <v>42</v>
      </c>
      <c r="J1548" t="s">
        <v>89</v>
      </c>
      <c r="K1548">
        <v>2</v>
      </c>
      <c r="L1548" s="2">
        <v>68.349999999999994</v>
      </c>
      <c r="M1548" s="3">
        <v>0</v>
      </c>
      <c r="N1548" t="s">
        <v>38</v>
      </c>
      <c r="O1548" s="2">
        <v>136.69999999999999</v>
      </c>
      <c r="P1548" s="2">
        <v>93.08</v>
      </c>
      <c r="Q1548" s="2">
        <v>43.62</v>
      </c>
      <c r="R1548">
        <v>1</v>
      </c>
      <c r="S1548">
        <v>0</v>
      </c>
      <c r="T1548">
        <v>6</v>
      </c>
      <c r="U1548">
        <v>5</v>
      </c>
    </row>
    <row r="1549" spans="1:21" ht="16.5" x14ac:dyDescent="0.3">
      <c r="A1549" t="s">
        <v>1633</v>
      </c>
      <c r="B1549" s="1">
        <v>45551</v>
      </c>
      <c r="C1549">
        <v>2024</v>
      </c>
      <c r="D1549" t="s">
        <v>1187</v>
      </c>
      <c r="E1549" t="s">
        <v>1543</v>
      </c>
      <c r="F1549" t="s">
        <v>31</v>
      </c>
      <c r="G1549" t="s">
        <v>46</v>
      </c>
      <c r="H1549" t="s">
        <v>32</v>
      </c>
      <c r="I1549" t="s">
        <v>27</v>
      </c>
      <c r="J1549" t="s">
        <v>110</v>
      </c>
      <c r="K1549">
        <v>2</v>
      </c>
      <c r="L1549" s="2">
        <v>19.41</v>
      </c>
      <c r="M1549" s="3">
        <v>0.05</v>
      </c>
      <c r="N1549" t="s">
        <v>29</v>
      </c>
      <c r="O1549" s="2">
        <v>36.880000000000003</v>
      </c>
      <c r="P1549" s="2">
        <v>21.25</v>
      </c>
      <c r="Q1549" s="2">
        <v>15.63</v>
      </c>
      <c r="R1549">
        <v>1</v>
      </c>
      <c r="S1549">
        <v>0</v>
      </c>
      <c r="T1549">
        <v>6</v>
      </c>
      <c r="U1549">
        <v>3</v>
      </c>
    </row>
    <row r="1550" spans="1:21" ht="16.5" x14ac:dyDescent="0.3">
      <c r="A1550" t="s">
        <v>1634</v>
      </c>
      <c r="B1550" s="1">
        <v>45551</v>
      </c>
      <c r="C1550">
        <v>2024</v>
      </c>
      <c r="D1550" t="s">
        <v>1187</v>
      </c>
      <c r="E1550" t="s">
        <v>1543</v>
      </c>
      <c r="F1550" t="s">
        <v>31</v>
      </c>
      <c r="G1550" t="s">
        <v>49</v>
      </c>
      <c r="H1550" t="s">
        <v>32</v>
      </c>
      <c r="I1550" t="s">
        <v>42</v>
      </c>
      <c r="J1550" t="s">
        <v>76</v>
      </c>
      <c r="K1550">
        <v>1</v>
      </c>
      <c r="L1550" s="2">
        <v>90.75</v>
      </c>
      <c r="M1550" s="3">
        <v>0</v>
      </c>
      <c r="N1550" t="s">
        <v>38</v>
      </c>
      <c r="O1550" s="2">
        <v>90.75</v>
      </c>
      <c r="P1550" s="2">
        <v>58.96</v>
      </c>
      <c r="Q1550" s="2">
        <v>31.79</v>
      </c>
      <c r="R1550">
        <v>1</v>
      </c>
      <c r="S1550">
        <v>0</v>
      </c>
      <c r="T1550">
        <v>6</v>
      </c>
      <c r="U1550">
        <v>4</v>
      </c>
    </row>
    <row r="1551" spans="1:21" ht="16.5" x14ac:dyDescent="0.3">
      <c r="A1551" t="s">
        <v>1635</v>
      </c>
      <c r="B1551" s="1">
        <v>45551</v>
      </c>
      <c r="C1551">
        <v>2024</v>
      </c>
      <c r="D1551" t="s">
        <v>1187</v>
      </c>
      <c r="E1551" t="s">
        <v>1543</v>
      </c>
      <c r="F1551" t="s">
        <v>31</v>
      </c>
      <c r="G1551" t="s">
        <v>51</v>
      </c>
      <c r="H1551" t="s">
        <v>32</v>
      </c>
      <c r="I1551" t="s">
        <v>70</v>
      </c>
      <c r="J1551" t="s">
        <v>87</v>
      </c>
      <c r="K1551">
        <v>1</v>
      </c>
      <c r="L1551" s="2">
        <v>490.3</v>
      </c>
      <c r="M1551" s="3">
        <v>0.25</v>
      </c>
      <c r="N1551" t="s">
        <v>62</v>
      </c>
      <c r="O1551" s="2">
        <v>367.72</v>
      </c>
      <c r="P1551" s="2">
        <v>397.56</v>
      </c>
      <c r="Q1551" s="2">
        <v>-29.84</v>
      </c>
      <c r="R1551">
        <v>1</v>
      </c>
      <c r="S1551">
        <v>0</v>
      </c>
      <c r="T1551">
        <v>2</v>
      </c>
      <c r="U1551">
        <v>5</v>
      </c>
    </row>
    <row r="1552" spans="1:21" ht="16.5" x14ac:dyDescent="0.3">
      <c r="A1552" t="s">
        <v>1636</v>
      </c>
      <c r="B1552" s="1">
        <v>45552</v>
      </c>
      <c r="C1552">
        <v>2024</v>
      </c>
      <c r="D1552" t="s">
        <v>1187</v>
      </c>
      <c r="E1552" t="s">
        <v>1543</v>
      </c>
      <c r="F1552" t="s">
        <v>24</v>
      </c>
      <c r="G1552" t="s">
        <v>49</v>
      </c>
      <c r="H1552" t="s">
        <v>26</v>
      </c>
      <c r="I1552" t="s">
        <v>70</v>
      </c>
      <c r="J1552" t="s">
        <v>71</v>
      </c>
      <c r="K1552">
        <v>2</v>
      </c>
      <c r="L1552" s="2">
        <v>588.41</v>
      </c>
      <c r="M1552" s="3">
        <v>0</v>
      </c>
      <c r="N1552" t="s">
        <v>38</v>
      </c>
      <c r="O1552" s="2">
        <v>1176.82</v>
      </c>
      <c r="P1552" s="2">
        <v>947.02</v>
      </c>
      <c r="Q1552" s="2">
        <v>229.8</v>
      </c>
      <c r="R1552">
        <v>1</v>
      </c>
      <c r="S1552">
        <v>1</v>
      </c>
      <c r="T1552">
        <v>4</v>
      </c>
      <c r="U1552">
        <v>4</v>
      </c>
    </row>
    <row r="1553" spans="1:21" ht="16.5" x14ac:dyDescent="0.3">
      <c r="A1553" t="s">
        <v>1637</v>
      </c>
      <c r="B1553" s="1">
        <v>45552</v>
      </c>
      <c r="C1553">
        <v>2024</v>
      </c>
      <c r="D1553" t="s">
        <v>1187</v>
      </c>
      <c r="E1553" t="s">
        <v>1543</v>
      </c>
      <c r="F1553" t="s">
        <v>31</v>
      </c>
      <c r="G1553" t="s">
        <v>49</v>
      </c>
      <c r="H1553" t="s">
        <v>32</v>
      </c>
      <c r="I1553" t="s">
        <v>27</v>
      </c>
      <c r="J1553" t="s">
        <v>47</v>
      </c>
      <c r="K1553">
        <v>2</v>
      </c>
      <c r="L1553" s="2">
        <v>33.99</v>
      </c>
      <c r="M1553" s="3">
        <v>0.15</v>
      </c>
      <c r="N1553" t="s">
        <v>34</v>
      </c>
      <c r="O1553" s="2">
        <v>57.78</v>
      </c>
      <c r="P1553" s="2">
        <v>37.270000000000003</v>
      </c>
      <c r="Q1553" s="2">
        <v>20.51</v>
      </c>
      <c r="R1553">
        <v>1</v>
      </c>
      <c r="S1553">
        <v>0</v>
      </c>
      <c r="T1553">
        <v>5</v>
      </c>
      <c r="U1553">
        <v>4</v>
      </c>
    </row>
    <row r="1554" spans="1:21" ht="16.5" x14ac:dyDescent="0.3">
      <c r="A1554" t="s">
        <v>1638</v>
      </c>
      <c r="B1554" s="1">
        <v>45552</v>
      </c>
      <c r="C1554">
        <v>2024</v>
      </c>
      <c r="D1554" t="s">
        <v>1187</v>
      </c>
      <c r="E1554" t="s">
        <v>1543</v>
      </c>
      <c r="F1554" t="s">
        <v>24</v>
      </c>
      <c r="G1554" t="s">
        <v>51</v>
      </c>
      <c r="H1554" t="s">
        <v>32</v>
      </c>
      <c r="I1554" t="s">
        <v>27</v>
      </c>
      <c r="J1554" t="s">
        <v>28</v>
      </c>
      <c r="K1554">
        <v>1</v>
      </c>
      <c r="L1554" s="2">
        <v>138.5</v>
      </c>
      <c r="M1554" s="3">
        <v>0.1</v>
      </c>
      <c r="N1554" t="s">
        <v>29</v>
      </c>
      <c r="O1554" s="2">
        <v>124.65</v>
      </c>
      <c r="P1554" s="2">
        <v>74.27</v>
      </c>
      <c r="Q1554" s="2">
        <v>50.38</v>
      </c>
      <c r="R1554">
        <v>1</v>
      </c>
      <c r="S1554">
        <v>1</v>
      </c>
      <c r="T1554">
        <v>5</v>
      </c>
      <c r="U1554">
        <v>2</v>
      </c>
    </row>
    <row r="1555" spans="1:21" ht="16.5" x14ac:dyDescent="0.3">
      <c r="A1555" t="s">
        <v>1639</v>
      </c>
      <c r="B1555" s="1">
        <v>45552</v>
      </c>
      <c r="C1555">
        <v>2024</v>
      </c>
      <c r="D1555" t="s">
        <v>1187</v>
      </c>
      <c r="E1555" t="s">
        <v>1543</v>
      </c>
      <c r="F1555" t="s">
        <v>31</v>
      </c>
      <c r="G1555" t="s">
        <v>51</v>
      </c>
      <c r="H1555" t="s">
        <v>32</v>
      </c>
      <c r="I1555" t="s">
        <v>27</v>
      </c>
      <c r="J1555" t="s">
        <v>47</v>
      </c>
      <c r="K1555">
        <v>1</v>
      </c>
      <c r="L1555" s="2">
        <v>33.99</v>
      </c>
      <c r="M1555" s="3">
        <v>0</v>
      </c>
      <c r="N1555" t="s">
        <v>38</v>
      </c>
      <c r="O1555" s="2">
        <v>33.99</v>
      </c>
      <c r="P1555" s="2">
        <v>17.89</v>
      </c>
      <c r="Q1555" s="2">
        <v>16.100000000000001</v>
      </c>
      <c r="R1555">
        <v>1</v>
      </c>
      <c r="S1555">
        <v>0</v>
      </c>
      <c r="T1555">
        <v>3</v>
      </c>
      <c r="U1555">
        <v>5</v>
      </c>
    </row>
    <row r="1556" spans="1:21" ht="16.5" x14ac:dyDescent="0.3">
      <c r="A1556" t="s">
        <v>1640</v>
      </c>
      <c r="B1556" s="1">
        <v>45552</v>
      </c>
      <c r="C1556">
        <v>2024</v>
      </c>
      <c r="D1556" t="s">
        <v>1187</v>
      </c>
      <c r="E1556" t="s">
        <v>1543</v>
      </c>
      <c r="F1556" t="s">
        <v>24</v>
      </c>
      <c r="G1556" t="s">
        <v>51</v>
      </c>
      <c r="H1556" t="s">
        <v>26</v>
      </c>
      <c r="I1556" t="s">
        <v>36</v>
      </c>
      <c r="J1556" t="s">
        <v>52</v>
      </c>
      <c r="K1556">
        <v>3</v>
      </c>
      <c r="L1556" s="2">
        <v>92.54</v>
      </c>
      <c r="M1556" s="3">
        <v>0</v>
      </c>
      <c r="N1556" t="s">
        <v>38</v>
      </c>
      <c r="O1556" s="2">
        <v>277.62</v>
      </c>
      <c r="P1556" s="2">
        <v>131.54</v>
      </c>
      <c r="Q1556" s="2">
        <v>146.08000000000001</v>
      </c>
      <c r="R1556">
        <v>1</v>
      </c>
      <c r="S1556">
        <v>0</v>
      </c>
      <c r="T1556">
        <v>2</v>
      </c>
      <c r="U1556">
        <v>3</v>
      </c>
    </row>
    <row r="1557" spans="1:21" ht="16.5" x14ac:dyDescent="0.3">
      <c r="A1557" t="s">
        <v>1641</v>
      </c>
      <c r="B1557" s="1">
        <v>45552</v>
      </c>
      <c r="C1557">
        <v>2024</v>
      </c>
      <c r="D1557" t="s">
        <v>1187</v>
      </c>
      <c r="E1557" t="s">
        <v>1543</v>
      </c>
      <c r="F1557" t="s">
        <v>24</v>
      </c>
      <c r="G1557" t="s">
        <v>51</v>
      </c>
      <c r="H1557" t="s">
        <v>26</v>
      </c>
      <c r="I1557" t="s">
        <v>27</v>
      </c>
      <c r="J1557" t="s">
        <v>33</v>
      </c>
      <c r="K1557">
        <v>1</v>
      </c>
      <c r="L1557" s="2">
        <v>78.510000000000005</v>
      </c>
      <c r="M1557" s="3">
        <v>0.1</v>
      </c>
      <c r="N1557" t="s">
        <v>29</v>
      </c>
      <c r="O1557" s="2">
        <v>70.66</v>
      </c>
      <c r="P1557" s="2">
        <v>44.41</v>
      </c>
      <c r="Q1557" s="2">
        <v>26.25</v>
      </c>
      <c r="R1557">
        <v>1</v>
      </c>
      <c r="S1557">
        <v>1</v>
      </c>
      <c r="T1557">
        <v>3</v>
      </c>
      <c r="U1557">
        <v>4</v>
      </c>
    </row>
    <row r="1558" spans="1:21" ht="16.5" x14ac:dyDescent="0.3">
      <c r="A1558" t="s">
        <v>1642</v>
      </c>
      <c r="B1558" s="1">
        <v>45552</v>
      </c>
      <c r="C1558">
        <v>2024</v>
      </c>
      <c r="D1558" t="s">
        <v>1187</v>
      </c>
      <c r="E1558" t="s">
        <v>1543</v>
      </c>
      <c r="F1558" t="s">
        <v>24</v>
      </c>
      <c r="G1558" t="s">
        <v>65</v>
      </c>
      <c r="H1558" t="s">
        <v>32</v>
      </c>
      <c r="I1558" t="s">
        <v>27</v>
      </c>
      <c r="J1558" t="s">
        <v>110</v>
      </c>
      <c r="K1558">
        <v>1</v>
      </c>
      <c r="L1558" s="2">
        <v>19.41</v>
      </c>
      <c r="M1558" s="3">
        <v>0.1</v>
      </c>
      <c r="N1558" t="s">
        <v>29</v>
      </c>
      <c r="O1558" s="2">
        <v>17.47</v>
      </c>
      <c r="P1558" s="2">
        <v>10.77</v>
      </c>
      <c r="Q1558" s="2">
        <v>6.7</v>
      </c>
      <c r="R1558">
        <v>1</v>
      </c>
      <c r="S1558">
        <v>0</v>
      </c>
      <c r="T1558">
        <v>6</v>
      </c>
      <c r="U1558">
        <v>4</v>
      </c>
    </row>
    <row r="1559" spans="1:21" ht="16.5" x14ac:dyDescent="0.3">
      <c r="A1559" t="s">
        <v>1643</v>
      </c>
      <c r="B1559" s="1">
        <v>45552</v>
      </c>
      <c r="C1559">
        <v>2024</v>
      </c>
      <c r="D1559" t="s">
        <v>1187</v>
      </c>
      <c r="E1559" t="s">
        <v>1543</v>
      </c>
      <c r="F1559" t="s">
        <v>24</v>
      </c>
      <c r="G1559" t="s">
        <v>65</v>
      </c>
      <c r="H1559" t="s">
        <v>32</v>
      </c>
      <c r="I1559" t="s">
        <v>42</v>
      </c>
      <c r="J1559" t="s">
        <v>54</v>
      </c>
      <c r="K1559">
        <v>1</v>
      </c>
      <c r="L1559" s="2">
        <v>148.05000000000001</v>
      </c>
      <c r="M1559" s="3">
        <v>0</v>
      </c>
      <c r="N1559" t="s">
        <v>38</v>
      </c>
      <c r="O1559" s="2">
        <v>148.05000000000001</v>
      </c>
      <c r="P1559" s="2">
        <v>101.25</v>
      </c>
      <c r="Q1559" s="2">
        <v>46.8</v>
      </c>
      <c r="R1559">
        <v>1</v>
      </c>
      <c r="S1559">
        <v>0</v>
      </c>
      <c r="T1559">
        <v>7</v>
      </c>
      <c r="U1559">
        <v>3</v>
      </c>
    </row>
    <row r="1560" spans="1:21" ht="16.5" x14ac:dyDescent="0.3">
      <c r="A1560" t="s">
        <v>1644</v>
      </c>
      <c r="B1560" s="1">
        <v>45552</v>
      </c>
      <c r="C1560">
        <v>2024</v>
      </c>
      <c r="D1560" t="s">
        <v>1187</v>
      </c>
      <c r="E1560" t="s">
        <v>1543</v>
      </c>
      <c r="F1560" t="s">
        <v>24</v>
      </c>
      <c r="G1560" t="s">
        <v>25</v>
      </c>
      <c r="H1560" t="s">
        <v>32</v>
      </c>
      <c r="I1560" t="s">
        <v>27</v>
      </c>
      <c r="J1560" t="s">
        <v>33</v>
      </c>
      <c r="K1560">
        <v>1</v>
      </c>
      <c r="L1560" s="2">
        <v>78.510000000000005</v>
      </c>
      <c r="M1560" s="3">
        <v>0</v>
      </c>
      <c r="N1560" t="s">
        <v>38</v>
      </c>
      <c r="O1560" s="2">
        <v>78.510000000000005</v>
      </c>
      <c r="P1560" s="2">
        <v>43.29</v>
      </c>
      <c r="Q1560" s="2">
        <v>35.22</v>
      </c>
      <c r="R1560">
        <v>1</v>
      </c>
      <c r="S1560">
        <v>0</v>
      </c>
      <c r="T1560">
        <v>3</v>
      </c>
      <c r="U1560">
        <v>5</v>
      </c>
    </row>
    <row r="1561" spans="1:21" ht="16.5" x14ac:dyDescent="0.3">
      <c r="A1561" t="s">
        <v>1645</v>
      </c>
      <c r="B1561" s="1">
        <v>45552</v>
      </c>
      <c r="C1561">
        <v>2024</v>
      </c>
      <c r="D1561" t="s">
        <v>1187</v>
      </c>
      <c r="E1561" t="s">
        <v>1543</v>
      </c>
      <c r="F1561" t="s">
        <v>45</v>
      </c>
      <c r="G1561" t="s">
        <v>25</v>
      </c>
      <c r="H1561" t="s">
        <v>32</v>
      </c>
      <c r="I1561" t="s">
        <v>27</v>
      </c>
      <c r="J1561" t="s">
        <v>47</v>
      </c>
      <c r="K1561">
        <v>2</v>
      </c>
      <c r="L1561" s="2">
        <v>33.99</v>
      </c>
      <c r="M1561" s="3">
        <v>0.05</v>
      </c>
      <c r="N1561" t="s">
        <v>29</v>
      </c>
      <c r="O1561" s="2">
        <v>64.58</v>
      </c>
      <c r="P1561" s="2">
        <v>36.97</v>
      </c>
      <c r="Q1561" s="2">
        <v>27.61</v>
      </c>
      <c r="R1561">
        <v>1</v>
      </c>
      <c r="S1561">
        <v>0</v>
      </c>
      <c r="T1561">
        <v>3</v>
      </c>
      <c r="U1561">
        <v>5</v>
      </c>
    </row>
    <row r="1562" spans="1:21" ht="16.5" x14ac:dyDescent="0.3">
      <c r="A1562" t="s">
        <v>1646</v>
      </c>
      <c r="B1562" s="1">
        <v>45552</v>
      </c>
      <c r="C1562">
        <v>2024</v>
      </c>
      <c r="D1562" t="s">
        <v>1187</v>
      </c>
      <c r="E1562" t="s">
        <v>1543</v>
      </c>
      <c r="F1562" t="s">
        <v>31</v>
      </c>
      <c r="G1562" t="s">
        <v>51</v>
      </c>
      <c r="H1562" t="s">
        <v>32</v>
      </c>
      <c r="I1562" t="s">
        <v>36</v>
      </c>
      <c r="J1562" t="s">
        <v>56</v>
      </c>
      <c r="K1562">
        <v>1</v>
      </c>
      <c r="L1562" s="2">
        <v>74.3</v>
      </c>
      <c r="M1562" s="3">
        <v>0.1</v>
      </c>
      <c r="N1562" t="s">
        <v>29</v>
      </c>
      <c r="O1562" s="2">
        <v>66.87</v>
      </c>
      <c r="P1562" s="2">
        <v>35.380000000000003</v>
      </c>
      <c r="Q1562" s="2">
        <v>31.49</v>
      </c>
      <c r="R1562">
        <v>1</v>
      </c>
      <c r="S1562">
        <v>0</v>
      </c>
      <c r="T1562">
        <v>3</v>
      </c>
      <c r="U1562">
        <v>5</v>
      </c>
    </row>
    <row r="1563" spans="1:21" ht="16.5" x14ac:dyDescent="0.3">
      <c r="A1563" t="s">
        <v>1647</v>
      </c>
      <c r="B1563" s="1">
        <v>45552</v>
      </c>
      <c r="C1563">
        <v>2024</v>
      </c>
      <c r="D1563" t="s">
        <v>1187</v>
      </c>
      <c r="E1563" t="s">
        <v>1543</v>
      </c>
      <c r="F1563" t="s">
        <v>24</v>
      </c>
      <c r="G1563" t="s">
        <v>51</v>
      </c>
      <c r="H1563" t="s">
        <v>26</v>
      </c>
      <c r="I1563" t="s">
        <v>27</v>
      </c>
      <c r="J1563" t="s">
        <v>110</v>
      </c>
      <c r="K1563">
        <v>1</v>
      </c>
      <c r="L1563" s="2">
        <v>19.41</v>
      </c>
      <c r="M1563" s="3">
        <v>0.25</v>
      </c>
      <c r="N1563" t="s">
        <v>62</v>
      </c>
      <c r="O1563" s="2">
        <v>14.56</v>
      </c>
      <c r="P1563" s="2">
        <v>11.05</v>
      </c>
      <c r="Q1563" s="2">
        <v>3.51</v>
      </c>
      <c r="R1563">
        <v>1</v>
      </c>
      <c r="S1563">
        <v>0</v>
      </c>
      <c r="T1563">
        <v>2</v>
      </c>
      <c r="U1563">
        <v>4</v>
      </c>
    </row>
    <row r="1564" spans="1:21" ht="16.5" x14ac:dyDescent="0.3">
      <c r="A1564" t="s">
        <v>1648</v>
      </c>
      <c r="B1564" s="1">
        <v>45553</v>
      </c>
      <c r="C1564">
        <v>2024</v>
      </c>
      <c r="D1564" t="s">
        <v>1187</v>
      </c>
      <c r="E1564" t="s">
        <v>1543</v>
      </c>
      <c r="F1564" t="s">
        <v>31</v>
      </c>
      <c r="G1564" t="s">
        <v>46</v>
      </c>
      <c r="H1564" t="s">
        <v>26</v>
      </c>
      <c r="I1564" t="s">
        <v>36</v>
      </c>
      <c r="J1564" t="s">
        <v>52</v>
      </c>
      <c r="K1564">
        <v>1</v>
      </c>
      <c r="L1564" s="2">
        <v>92.54</v>
      </c>
      <c r="M1564" s="3">
        <v>0.05</v>
      </c>
      <c r="N1564" t="s">
        <v>29</v>
      </c>
      <c r="O1564" s="2">
        <v>87.91</v>
      </c>
      <c r="P1564" s="2">
        <v>45.47</v>
      </c>
      <c r="Q1564" s="2">
        <v>42.44</v>
      </c>
      <c r="R1564">
        <v>1</v>
      </c>
      <c r="S1564">
        <v>0</v>
      </c>
      <c r="T1564">
        <v>7</v>
      </c>
      <c r="U1564">
        <v>3</v>
      </c>
    </row>
    <row r="1565" spans="1:21" ht="16.5" x14ac:dyDescent="0.3">
      <c r="A1565" t="s">
        <v>1649</v>
      </c>
      <c r="B1565" s="1">
        <v>45553</v>
      </c>
      <c r="C1565">
        <v>2024</v>
      </c>
      <c r="D1565" t="s">
        <v>1187</v>
      </c>
      <c r="E1565" t="s">
        <v>1543</v>
      </c>
      <c r="F1565" t="s">
        <v>31</v>
      </c>
      <c r="G1565" t="s">
        <v>25</v>
      </c>
      <c r="H1565" t="s">
        <v>32</v>
      </c>
      <c r="I1565" t="s">
        <v>70</v>
      </c>
      <c r="J1565" t="s">
        <v>87</v>
      </c>
      <c r="K1565">
        <v>2</v>
      </c>
      <c r="L1565" s="2">
        <v>490.3</v>
      </c>
      <c r="M1565" s="3">
        <v>0.2</v>
      </c>
      <c r="N1565" t="s">
        <v>34</v>
      </c>
      <c r="O1565" s="2">
        <v>784.48</v>
      </c>
      <c r="P1565" s="2">
        <v>752.74</v>
      </c>
      <c r="Q1565" s="2">
        <v>31.74</v>
      </c>
      <c r="R1565">
        <v>1</v>
      </c>
      <c r="S1565">
        <v>0</v>
      </c>
      <c r="T1565">
        <v>3</v>
      </c>
      <c r="U1565">
        <v>5</v>
      </c>
    </row>
    <row r="1566" spans="1:21" ht="16.5" x14ac:dyDescent="0.3">
      <c r="A1566" t="s">
        <v>1650</v>
      </c>
      <c r="B1566" s="1">
        <v>45553</v>
      </c>
      <c r="C1566">
        <v>2024</v>
      </c>
      <c r="D1566" t="s">
        <v>1187</v>
      </c>
      <c r="E1566" t="s">
        <v>1543</v>
      </c>
      <c r="F1566" t="s">
        <v>24</v>
      </c>
      <c r="G1566" t="s">
        <v>49</v>
      </c>
      <c r="H1566" t="s">
        <v>26</v>
      </c>
      <c r="I1566" t="s">
        <v>67</v>
      </c>
      <c r="J1566" t="s">
        <v>78</v>
      </c>
      <c r="K1566">
        <v>1</v>
      </c>
      <c r="L1566" s="2">
        <v>85.42</v>
      </c>
      <c r="M1566" s="3">
        <v>0</v>
      </c>
      <c r="N1566" t="s">
        <v>38</v>
      </c>
      <c r="O1566" s="2">
        <v>85.42</v>
      </c>
      <c r="P1566" s="2">
        <v>56.18</v>
      </c>
      <c r="Q1566" s="2">
        <v>29.24</v>
      </c>
      <c r="R1566">
        <v>1</v>
      </c>
      <c r="S1566">
        <v>0</v>
      </c>
      <c r="T1566">
        <v>5</v>
      </c>
      <c r="U1566">
        <v>4</v>
      </c>
    </row>
    <row r="1567" spans="1:21" ht="16.5" x14ac:dyDescent="0.3">
      <c r="A1567" t="s">
        <v>1651</v>
      </c>
      <c r="B1567" s="1">
        <v>45553</v>
      </c>
      <c r="C1567">
        <v>2024</v>
      </c>
      <c r="D1567" t="s">
        <v>1187</v>
      </c>
      <c r="E1567" t="s">
        <v>1543</v>
      </c>
      <c r="F1567" t="s">
        <v>24</v>
      </c>
      <c r="G1567" t="s">
        <v>51</v>
      </c>
      <c r="H1567" t="s">
        <v>32</v>
      </c>
      <c r="I1567" t="s">
        <v>27</v>
      </c>
      <c r="J1567" t="s">
        <v>47</v>
      </c>
      <c r="K1567">
        <v>4</v>
      </c>
      <c r="L1567" s="2">
        <v>33.99</v>
      </c>
      <c r="M1567" s="3">
        <v>0.3</v>
      </c>
      <c r="N1567" t="s">
        <v>62</v>
      </c>
      <c r="O1567" s="2">
        <v>95.17</v>
      </c>
      <c r="P1567" s="2">
        <v>70.62</v>
      </c>
      <c r="Q1567" s="2">
        <v>24.55</v>
      </c>
      <c r="R1567">
        <v>1</v>
      </c>
      <c r="S1567">
        <v>0</v>
      </c>
      <c r="T1567">
        <v>3</v>
      </c>
      <c r="U1567">
        <v>4</v>
      </c>
    </row>
    <row r="1568" spans="1:21" ht="16.5" x14ac:dyDescent="0.3">
      <c r="A1568" t="s">
        <v>1652</v>
      </c>
      <c r="B1568" s="1">
        <v>45553</v>
      </c>
      <c r="C1568">
        <v>2024</v>
      </c>
      <c r="D1568" t="s">
        <v>1187</v>
      </c>
      <c r="E1568" t="s">
        <v>1543</v>
      </c>
      <c r="F1568" t="s">
        <v>45</v>
      </c>
      <c r="G1568" t="s">
        <v>25</v>
      </c>
      <c r="H1568" t="s">
        <v>26</v>
      </c>
      <c r="I1568" t="s">
        <v>70</v>
      </c>
      <c r="J1568" t="s">
        <v>129</v>
      </c>
      <c r="K1568">
        <v>1</v>
      </c>
      <c r="L1568" s="2">
        <v>177.65</v>
      </c>
      <c r="M1568" s="3">
        <v>0</v>
      </c>
      <c r="N1568" t="s">
        <v>38</v>
      </c>
      <c r="O1568" s="2">
        <v>177.65</v>
      </c>
      <c r="P1568" s="2">
        <v>137.16</v>
      </c>
      <c r="Q1568" s="2">
        <v>40.49</v>
      </c>
      <c r="R1568">
        <v>1</v>
      </c>
      <c r="S1568">
        <v>0</v>
      </c>
      <c r="T1568">
        <v>4</v>
      </c>
      <c r="U1568">
        <v>5</v>
      </c>
    </row>
    <row r="1569" spans="1:21" ht="16.5" x14ac:dyDescent="0.3">
      <c r="A1569" t="s">
        <v>1653</v>
      </c>
      <c r="B1569" s="1">
        <v>45554</v>
      </c>
      <c r="C1569">
        <v>2024</v>
      </c>
      <c r="D1569" t="s">
        <v>1187</v>
      </c>
      <c r="E1569" t="s">
        <v>1543</v>
      </c>
      <c r="F1569" t="s">
        <v>24</v>
      </c>
      <c r="G1569" t="s">
        <v>51</v>
      </c>
      <c r="H1569" t="s">
        <v>32</v>
      </c>
      <c r="I1569" t="s">
        <v>70</v>
      </c>
      <c r="J1569" t="s">
        <v>82</v>
      </c>
      <c r="K1569">
        <v>1</v>
      </c>
      <c r="L1569" s="2">
        <v>508.8</v>
      </c>
      <c r="M1569" s="3">
        <v>0</v>
      </c>
      <c r="N1569" t="s">
        <v>38</v>
      </c>
      <c r="O1569" s="2">
        <v>508.8</v>
      </c>
      <c r="P1569" s="2">
        <v>412.61</v>
      </c>
      <c r="Q1569" s="2">
        <v>96.19</v>
      </c>
      <c r="R1569">
        <v>1</v>
      </c>
      <c r="S1569">
        <v>0</v>
      </c>
      <c r="T1569">
        <v>3</v>
      </c>
      <c r="U1569">
        <v>5</v>
      </c>
    </row>
    <row r="1570" spans="1:21" ht="16.5" x14ac:dyDescent="0.3">
      <c r="A1570" t="s">
        <v>1654</v>
      </c>
      <c r="B1570" s="1">
        <v>45554</v>
      </c>
      <c r="C1570">
        <v>2024</v>
      </c>
      <c r="D1570" t="s">
        <v>1187</v>
      </c>
      <c r="E1570" t="s">
        <v>1543</v>
      </c>
      <c r="F1570" t="s">
        <v>24</v>
      </c>
      <c r="G1570" t="s">
        <v>25</v>
      </c>
      <c r="H1570" t="s">
        <v>32</v>
      </c>
      <c r="I1570" t="s">
        <v>36</v>
      </c>
      <c r="J1570" t="s">
        <v>115</v>
      </c>
      <c r="K1570">
        <v>2</v>
      </c>
      <c r="L1570" s="2">
        <v>33.479999999999997</v>
      </c>
      <c r="M1570" s="3">
        <v>0.1</v>
      </c>
      <c r="N1570" t="s">
        <v>29</v>
      </c>
      <c r="O1570" s="2">
        <v>60.26</v>
      </c>
      <c r="P1570" s="2">
        <v>31.12</v>
      </c>
      <c r="Q1570" s="2">
        <v>29.14</v>
      </c>
      <c r="R1570">
        <v>1</v>
      </c>
      <c r="S1570">
        <v>0</v>
      </c>
      <c r="T1570">
        <v>3</v>
      </c>
      <c r="U1570">
        <v>5</v>
      </c>
    </row>
    <row r="1571" spans="1:21" ht="16.5" x14ac:dyDescent="0.3">
      <c r="A1571" t="s">
        <v>1655</v>
      </c>
      <c r="B1571" s="1">
        <v>45554</v>
      </c>
      <c r="C1571">
        <v>2024</v>
      </c>
      <c r="D1571" t="s">
        <v>1187</v>
      </c>
      <c r="E1571" t="s">
        <v>1543</v>
      </c>
      <c r="F1571" t="s">
        <v>24</v>
      </c>
      <c r="G1571" t="s">
        <v>25</v>
      </c>
      <c r="H1571" t="s">
        <v>32</v>
      </c>
      <c r="I1571" t="s">
        <v>70</v>
      </c>
      <c r="J1571" t="s">
        <v>71</v>
      </c>
      <c r="K1571">
        <v>1</v>
      </c>
      <c r="L1571" s="2">
        <v>588.41</v>
      </c>
      <c r="M1571" s="3">
        <v>0.15</v>
      </c>
      <c r="N1571" t="s">
        <v>34</v>
      </c>
      <c r="O1571" s="2">
        <v>500.15</v>
      </c>
      <c r="P1571" s="2">
        <v>501.43</v>
      </c>
      <c r="Q1571" s="2">
        <v>-1.28</v>
      </c>
      <c r="R1571">
        <v>1</v>
      </c>
      <c r="S1571">
        <v>0</v>
      </c>
      <c r="T1571">
        <v>4</v>
      </c>
      <c r="U1571">
        <v>4</v>
      </c>
    </row>
    <row r="1572" spans="1:21" ht="16.5" x14ac:dyDescent="0.3">
      <c r="A1572" t="s">
        <v>1656</v>
      </c>
      <c r="B1572" s="1">
        <v>45554</v>
      </c>
      <c r="C1572">
        <v>2024</v>
      </c>
      <c r="D1572" t="s">
        <v>1187</v>
      </c>
      <c r="E1572" t="s">
        <v>1543</v>
      </c>
      <c r="F1572" t="s">
        <v>31</v>
      </c>
      <c r="G1572" t="s">
        <v>46</v>
      </c>
      <c r="H1572" t="s">
        <v>26</v>
      </c>
      <c r="I1572" t="s">
        <v>42</v>
      </c>
      <c r="J1572" t="s">
        <v>43</v>
      </c>
      <c r="K1572">
        <v>2</v>
      </c>
      <c r="L1572" s="2">
        <v>154.66</v>
      </c>
      <c r="M1572" s="3">
        <v>0</v>
      </c>
      <c r="N1572" t="s">
        <v>38</v>
      </c>
      <c r="O1572" s="2">
        <v>309.32</v>
      </c>
      <c r="P1572" s="2">
        <v>211.84</v>
      </c>
      <c r="Q1572" s="2">
        <v>97.48</v>
      </c>
      <c r="R1572">
        <v>1</v>
      </c>
      <c r="S1572">
        <v>0</v>
      </c>
      <c r="T1572">
        <v>5</v>
      </c>
      <c r="U1572">
        <v>4</v>
      </c>
    </row>
    <row r="1573" spans="1:21" ht="16.5" x14ac:dyDescent="0.3">
      <c r="A1573" t="s">
        <v>1657</v>
      </c>
      <c r="B1573" s="1">
        <v>45555</v>
      </c>
      <c r="C1573">
        <v>2024</v>
      </c>
      <c r="D1573" t="s">
        <v>1187</v>
      </c>
      <c r="E1573" t="s">
        <v>1543</v>
      </c>
      <c r="F1573" t="s">
        <v>24</v>
      </c>
      <c r="G1573" t="s">
        <v>25</v>
      </c>
      <c r="H1573" t="s">
        <v>32</v>
      </c>
      <c r="I1573" t="s">
        <v>42</v>
      </c>
      <c r="J1573" t="s">
        <v>58</v>
      </c>
      <c r="K1573">
        <v>1</v>
      </c>
      <c r="L1573" s="2">
        <v>233.81</v>
      </c>
      <c r="M1573" s="3">
        <v>0.2</v>
      </c>
      <c r="N1573" t="s">
        <v>34</v>
      </c>
      <c r="O1573" s="2">
        <v>187.05</v>
      </c>
      <c r="P1573" s="2">
        <v>145.38</v>
      </c>
      <c r="Q1573" s="2">
        <v>41.67</v>
      </c>
      <c r="R1573">
        <v>1</v>
      </c>
      <c r="S1573">
        <v>0</v>
      </c>
      <c r="T1573">
        <v>3</v>
      </c>
      <c r="U1573">
        <v>4</v>
      </c>
    </row>
    <row r="1574" spans="1:21" ht="16.5" x14ac:dyDescent="0.3">
      <c r="A1574" t="s">
        <v>1658</v>
      </c>
      <c r="B1574" s="1">
        <v>45555</v>
      </c>
      <c r="C1574">
        <v>2024</v>
      </c>
      <c r="D1574" t="s">
        <v>1187</v>
      </c>
      <c r="E1574" t="s">
        <v>1543</v>
      </c>
      <c r="F1574" t="s">
        <v>31</v>
      </c>
      <c r="G1574" t="s">
        <v>51</v>
      </c>
      <c r="H1574" t="s">
        <v>32</v>
      </c>
      <c r="I1574" t="s">
        <v>67</v>
      </c>
      <c r="J1574" t="s">
        <v>174</v>
      </c>
      <c r="K1574">
        <v>1</v>
      </c>
      <c r="L1574" s="2">
        <v>137.05000000000001</v>
      </c>
      <c r="M1574" s="3">
        <v>0.1</v>
      </c>
      <c r="N1574" t="s">
        <v>29</v>
      </c>
      <c r="O1574" s="2">
        <v>123.35</v>
      </c>
      <c r="P1574" s="2">
        <v>90.17</v>
      </c>
      <c r="Q1574" s="2">
        <v>33.18</v>
      </c>
      <c r="R1574">
        <v>1</v>
      </c>
      <c r="S1574">
        <v>0</v>
      </c>
      <c r="T1574">
        <v>2</v>
      </c>
      <c r="U1574">
        <v>4</v>
      </c>
    </row>
    <row r="1575" spans="1:21" ht="16.5" x14ac:dyDescent="0.3">
      <c r="A1575" t="s">
        <v>1659</v>
      </c>
      <c r="B1575" s="1">
        <v>45555</v>
      </c>
      <c r="C1575">
        <v>2024</v>
      </c>
      <c r="D1575" t="s">
        <v>1187</v>
      </c>
      <c r="E1575" t="s">
        <v>1543</v>
      </c>
      <c r="F1575" t="s">
        <v>24</v>
      </c>
      <c r="G1575" t="s">
        <v>49</v>
      </c>
      <c r="H1575" t="s">
        <v>32</v>
      </c>
      <c r="I1575" t="s">
        <v>27</v>
      </c>
      <c r="J1575" t="s">
        <v>47</v>
      </c>
      <c r="K1575">
        <v>4</v>
      </c>
      <c r="L1575" s="2">
        <v>33.99</v>
      </c>
      <c r="M1575" s="3">
        <v>0</v>
      </c>
      <c r="N1575" t="s">
        <v>38</v>
      </c>
      <c r="O1575" s="2">
        <v>135.96</v>
      </c>
      <c r="P1575" s="2">
        <v>74.13</v>
      </c>
      <c r="Q1575" s="2">
        <v>61.83</v>
      </c>
      <c r="R1575">
        <v>1</v>
      </c>
      <c r="S1575">
        <v>0</v>
      </c>
      <c r="T1575">
        <v>3</v>
      </c>
      <c r="U1575">
        <v>5</v>
      </c>
    </row>
    <row r="1576" spans="1:21" ht="16.5" x14ac:dyDescent="0.3">
      <c r="A1576" t="s">
        <v>1660</v>
      </c>
      <c r="B1576" s="1">
        <v>45555</v>
      </c>
      <c r="C1576">
        <v>2024</v>
      </c>
      <c r="D1576" t="s">
        <v>1187</v>
      </c>
      <c r="E1576" t="s">
        <v>1543</v>
      </c>
      <c r="F1576" t="s">
        <v>45</v>
      </c>
      <c r="G1576" t="s">
        <v>49</v>
      </c>
      <c r="H1576" t="s">
        <v>32</v>
      </c>
      <c r="I1576" t="s">
        <v>84</v>
      </c>
      <c r="J1576" t="s">
        <v>132</v>
      </c>
      <c r="K1576">
        <v>1</v>
      </c>
      <c r="L1576" s="2">
        <v>48.86</v>
      </c>
      <c r="M1576" s="3">
        <v>0.15</v>
      </c>
      <c r="N1576" t="s">
        <v>34</v>
      </c>
      <c r="O1576" s="2">
        <v>41.53</v>
      </c>
      <c r="P1576" s="2">
        <v>34.380000000000003</v>
      </c>
      <c r="Q1576" s="2">
        <v>7.15</v>
      </c>
      <c r="R1576">
        <v>1</v>
      </c>
      <c r="S1576">
        <v>0</v>
      </c>
      <c r="T1576">
        <v>5</v>
      </c>
      <c r="U1576">
        <v>5</v>
      </c>
    </row>
    <row r="1577" spans="1:21" ht="16.5" x14ac:dyDescent="0.3">
      <c r="A1577" t="s">
        <v>1661</v>
      </c>
      <c r="B1577" s="1">
        <v>45555</v>
      </c>
      <c r="C1577">
        <v>2024</v>
      </c>
      <c r="D1577" t="s">
        <v>1187</v>
      </c>
      <c r="E1577" t="s">
        <v>1543</v>
      </c>
      <c r="F1577" t="s">
        <v>45</v>
      </c>
      <c r="G1577" t="s">
        <v>49</v>
      </c>
      <c r="H1577" t="s">
        <v>26</v>
      </c>
      <c r="I1577" t="s">
        <v>36</v>
      </c>
      <c r="J1577" t="s">
        <v>52</v>
      </c>
      <c r="K1577">
        <v>1</v>
      </c>
      <c r="L1577" s="2">
        <v>92.54</v>
      </c>
      <c r="M1577" s="3">
        <v>0</v>
      </c>
      <c r="N1577" t="s">
        <v>38</v>
      </c>
      <c r="O1577" s="2">
        <v>92.54</v>
      </c>
      <c r="P1577" s="2">
        <v>44</v>
      </c>
      <c r="Q1577" s="2">
        <v>48.54</v>
      </c>
      <c r="R1577">
        <v>1</v>
      </c>
      <c r="S1577">
        <v>0</v>
      </c>
      <c r="T1577">
        <v>4</v>
      </c>
      <c r="U1577">
        <v>5</v>
      </c>
    </row>
    <row r="1578" spans="1:21" ht="16.5" x14ac:dyDescent="0.3">
      <c r="A1578" t="s">
        <v>1662</v>
      </c>
      <c r="B1578" s="1">
        <v>45555</v>
      </c>
      <c r="C1578">
        <v>2024</v>
      </c>
      <c r="D1578" t="s">
        <v>1187</v>
      </c>
      <c r="E1578" t="s">
        <v>1543</v>
      </c>
      <c r="F1578" t="s">
        <v>24</v>
      </c>
      <c r="G1578" t="s">
        <v>25</v>
      </c>
      <c r="H1578" t="s">
        <v>26</v>
      </c>
      <c r="I1578" t="s">
        <v>42</v>
      </c>
      <c r="J1578" t="s">
        <v>98</v>
      </c>
      <c r="K1578">
        <v>2</v>
      </c>
      <c r="L1578" s="2">
        <v>117.63</v>
      </c>
      <c r="M1578" s="3">
        <v>0.1</v>
      </c>
      <c r="N1578" t="s">
        <v>29</v>
      </c>
      <c r="O1578" s="2">
        <v>211.73</v>
      </c>
      <c r="P1578" s="2">
        <v>155.76</v>
      </c>
      <c r="Q1578" s="2">
        <v>55.97</v>
      </c>
      <c r="R1578">
        <v>1</v>
      </c>
      <c r="S1578">
        <v>0</v>
      </c>
      <c r="T1578">
        <v>3</v>
      </c>
      <c r="U1578">
        <v>4</v>
      </c>
    </row>
    <row r="1579" spans="1:21" ht="16.5" x14ac:dyDescent="0.3">
      <c r="A1579" t="s">
        <v>1663</v>
      </c>
      <c r="B1579" s="1">
        <v>45555</v>
      </c>
      <c r="C1579">
        <v>2024</v>
      </c>
      <c r="D1579" t="s">
        <v>1187</v>
      </c>
      <c r="E1579" t="s">
        <v>1543</v>
      </c>
      <c r="F1579" t="s">
        <v>24</v>
      </c>
      <c r="G1579" t="s">
        <v>51</v>
      </c>
      <c r="H1579" t="s">
        <v>32</v>
      </c>
      <c r="I1579" t="s">
        <v>36</v>
      </c>
      <c r="J1579" t="s">
        <v>115</v>
      </c>
      <c r="K1579">
        <v>2</v>
      </c>
      <c r="L1579" s="2">
        <v>33.479999999999997</v>
      </c>
      <c r="M1579" s="3">
        <v>0.1</v>
      </c>
      <c r="N1579" t="s">
        <v>29</v>
      </c>
      <c r="O1579" s="2">
        <v>60.26</v>
      </c>
      <c r="P1579" s="2">
        <v>32.950000000000003</v>
      </c>
      <c r="Q1579" s="2">
        <v>27.31</v>
      </c>
      <c r="R1579">
        <v>1</v>
      </c>
      <c r="S1579">
        <v>0</v>
      </c>
      <c r="T1579">
        <v>2</v>
      </c>
      <c r="U1579">
        <v>4</v>
      </c>
    </row>
    <row r="1580" spans="1:21" ht="16.5" x14ac:dyDescent="0.3">
      <c r="A1580" t="s">
        <v>1664</v>
      </c>
      <c r="B1580" s="1">
        <v>45555</v>
      </c>
      <c r="C1580">
        <v>2024</v>
      </c>
      <c r="D1580" t="s">
        <v>1187</v>
      </c>
      <c r="E1580" t="s">
        <v>1543</v>
      </c>
      <c r="F1580" t="s">
        <v>24</v>
      </c>
      <c r="G1580" t="s">
        <v>51</v>
      </c>
      <c r="H1580" t="s">
        <v>32</v>
      </c>
      <c r="I1580" t="s">
        <v>27</v>
      </c>
      <c r="J1580" t="s">
        <v>47</v>
      </c>
      <c r="K1580">
        <v>1</v>
      </c>
      <c r="L1580" s="2">
        <v>33.99</v>
      </c>
      <c r="M1580" s="3">
        <v>0.1</v>
      </c>
      <c r="N1580" t="s">
        <v>29</v>
      </c>
      <c r="O1580" s="2">
        <v>30.59</v>
      </c>
      <c r="P1580" s="2">
        <v>17.87</v>
      </c>
      <c r="Q1580" s="2">
        <v>12.72</v>
      </c>
      <c r="R1580">
        <v>1</v>
      </c>
      <c r="S1580">
        <v>0</v>
      </c>
      <c r="T1580">
        <v>4</v>
      </c>
      <c r="U1580">
        <v>4</v>
      </c>
    </row>
    <row r="1581" spans="1:21" ht="16.5" x14ac:dyDescent="0.3">
      <c r="A1581" t="s">
        <v>1665</v>
      </c>
      <c r="B1581" s="1">
        <v>45555</v>
      </c>
      <c r="C1581">
        <v>2024</v>
      </c>
      <c r="D1581" t="s">
        <v>1187</v>
      </c>
      <c r="E1581" t="s">
        <v>1543</v>
      </c>
      <c r="F1581" t="s">
        <v>24</v>
      </c>
      <c r="G1581" t="s">
        <v>25</v>
      </c>
      <c r="H1581" t="s">
        <v>26</v>
      </c>
      <c r="I1581" t="s">
        <v>36</v>
      </c>
      <c r="J1581" t="s">
        <v>56</v>
      </c>
      <c r="K1581">
        <v>3</v>
      </c>
      <c r="L1581" s="2">
        <v>74.3</v>
      </c>
      <c r="M1581" s="3">
        <v>0.05</v>
      </c>
      <c r="N1581" t="s">
        <v>29</v>
      </c>
      <c r="O1581" s="2">
        <v>211.75</v>
      </c>
      <c r="P1581" s="2">
        <v>106.42</v>
      </c>
      <c r="Q1581" s="2">
        <v>105.33</v>
      </c>
      <c r="R1581">
        <v>1</v>
      </c>
      <c r="S1581">
        <v>0</v>
      </c>
      <c r="T1581">
        <v>5</v>
      </c>
      <c r="U1581">
        <v>5</v>
      </c>
    </row>
    <row r="1582" spans="1:21" ht="16.5" x14ac:dyDescent="0.3">
      <c r="A1582" t="s">
        <v>1666</v>
      </c>
      <c r="B1582" s="1">
        <v>45555</v>
      </c>
      <c r="C1582">
        <v>2024</v>
      </c>
      <c r="D1582" t="s">
        <v>1187</v>
      </c>
      <c r="E1582" t="s">
        <v>1543</v>
      </c>
      <c r="F1582" t="s">
        <v>24</v>
      </c>
      <c r="G1582" t="s">
        <v>65</v>
      </c>
      <c r="H1582" t="s">
        <v>32</v>
      </c>
      <c r="I1582" t="s">
        <v>42</v>
      </c>
      <c r="J1582" t="s">
        <v>98</v>
      </c>
      <c r="K1582">
        <v>1</v>
      </c>
      <c r="L1582" s="2">
        <v>117.63</v>
      </c>
      <c r="M1582" s="3">
        <v>0.15</v>
      </c>
      <c r="N1582" t="s">
        <v>34</v>
      </c>
      <c r="O1582" s="2">
        <v>99.99</v>
      </c>
      <c r="P1582" s="2">
        <v>78.61</v>
      </c>
      <c r="Q1582" s="2">
        <v>21.38</v>
      </c>
      <c r="R1582">
        <v>1</v>
      </c>
      <c r="S1582">
        <v>0</v>
      </c>
      <c r="T1582">
        <v>6</v>
      </c>
      <c r="U1582">
        <v>4</v>
      </c>
    </row>
    <row r="1583" spans="1:21" ht="16.5" x14ac:dyDescent="0.3">
      <c r="A1583" t="s">
        <v>1667</v>
      </c>
      <c r="B1583" s="1">
        <v>45555</v>
      </c>
      <c r="C1583">
        <v>2024</v>
      </c>
      <c r="D1583" t="s">
        <v>1187</v>
      </c>
      <c r="E1583" t="s">
        <v>1543</v>
      </c>
      <c r="F1583" t="s">
        <v>45</v>
      </c>
      <c r="G1583" t="s">
        <v>25</v>
      </c>
      <c r="H1583" t="s">
        <v>32</v>
      </c>
      <c r="I1583" t="s">
        <v>70</v>
      </c>
      <c r="J1583" t="s">
        <v>252</v>
      </c>
      <c r="K1583">
        <v>3</v>
      </c>
      <c r="L1583" s="2">
        <v>216.08</v>
      </c>
      <c r="M1583" s="3">
        <v>0.05</v>
      </c>
      <c r="N1583" t="s">
        <v>29</v>
      </c>
      <c r="O1583" s="2">
        <v>615.83000000000004</v>
      </c>
      <c r="P1583" s="2">
        <v>519.46</v>
      </c>
      <c r="Q1583" s="2">
        <v>96.37</v>
      </c>
      <c r="R1583">
        <v>1</v>
      </c>
      <c r="S1583">
        <v>0</v>
      </c>
      <c r="T1583">
        <v>4</v>
      </c>
      <c r="U1583">
        <v>4</v>
      </c>
    </row>
    <row r="1584" spans="1:21" ht="16.5" x14ac:dyDescent="0.3">
      <c r="A1584" t="s">
        <v>1668</v>
      </c>
      <c r="B1584" s="1">
        <v>45555</v>
      </c>
      <c r="C1584">
        <v>2024</v>
      </c>
      <c r="D1584" t="s">
        <v>1187</v>
      </c>
      <c r="E1584" t="s">
        <v>1543</v>
      </c>
      <c r="F1584" t="s">
        <v>45</v>
      </c>
      <c r="G1584" t="s">
        <v>49</v>
      </c>
      <c r="H1584" t="s">
        <v>26</v>
      </c>
      <c r="I1584" t="s">
        <v>70</v>
      </c>
      <c r="J1584" t="s">
        <v>71</v>
      </c>
      <c r="K1584">
        <v>1</v>
      </c>
      <c r="L1584" s="2">
        <v>588.41</v>
      </c>
      <c r="M1584" s="3">
        <v>0.1</v>
      </c>
      <c r="N1584" t="s">
        <v>29</v>
      </c>
      <c r="O1584" s="2">
        <v>529.57000000000005</v>
      </c>
      <c r="P1584" s="2">
        <v>452.43</v>
      </c>
      <c r="Q1584" s="2">
        <v>77.14</v>
      </c>
      <c r="R1584">
        <v>1</v>
      </c>
      <c r="S1584">
        <v>1</v>
      </c>
      <c r="T1584">
        <v>5</v>
      </c>
      <c r="U1584">
        <v>3</v>
      </c>
    </row>
    <row r="1585" spans="1:21" ht="16.5" x14ac:dyDescent="0.3">
      <c r="A1585" t="s">
        <v>1669</v>
      </c>
      <c r="B1585" s="1">
        <v>45556</v>
      </c>
      <c r="C1585">
        <v>2024</v>
      </c>
      <c r="D1585" t="s">
        <v>1187</v>
      </c>
      <c r="E1585" t="s">
        <v>1543</v>
      </c>
      <c r="F1585" t="s">
        <v>31</v>
      </c>
      <c r="G1585" t="s">
        <v>25</v>
      </c>
      <c r="H1585" t="s">
        <v>26</v>
      </c>
      <c r="I1585" t="s">
        <v>70</v>
      </c>
      <c r="J1585" t="s">
        <v>71</v>
      </c>
      <c r="K1585">
        <v>1</v>
      </c>
      <c r="L1585" s="2">
        <v>588.41</v>
      </c>
      <c r="M1585" s="3">
        <v>0.15</v>
      </c>
      <c r="N1585" t="s">
        <v>34</v>
      </c>
      <c r="O1585" s="2">
        <v>500.15</v>
      </c>
      <c r="P1585" s="2">
        <v>451.18</v>
      </c>
      <c r="Q1585" s="2">
        <v>48.97</v>
      </c>
      <c r="R1585">
        <v>1</v>
      </c>
      <c r="S1585">
        <v>0</v>
      </c>
      <c r="T1585">
        <v>3</v>
      </c>
      <c r="U1585">
        <v>5</v>
      </c>
    </row>
    <row r="1586" spans="1:21" ht="16.5" x14ac:dyDescent="0.3">
      <c r="A1586" t="s">
        <v>1670</v>
      </c>
      <c r="B1586" s="1">
        <v>45556</v>
      </c>
      <c r="C1586">
        <v>2024</v>
      </c>
      <c r="D1586" t="s">
        <v>1187</v>
      </c>
      <c r="E1586" t="s">
        <v>1543</v>
      </c>
      <c r="F1586" t="s">
        <v>45</v>
      </c>
      <c r="G1586" t="s">
        <v>65</v>
      </c>
      <c r="H1586" t="s">
        <v>32</v>
      </c>
      <c r="I1586" t="s">
        <v>42</v>
      </c>
      <c r="J1586" t="s">
        <v>54</v>
      </c>
      <c r="K1586">
        <v>1</v>
      </c>
      <c r="L1586" s="2">
        <v>148.05000000000001</v>
      </c>
      <c r="M1586" s="3">
        <v>0.1</v>
      </c>
      <c r="N1586" t="s">
        <v>29</v>
      </c>
      <c r="O1586" s="2">
        <v>133.24</v>
      </c>
      <c r="P1586" s="2">
        <v>95.39</v>
      </c>
      <c r="Q1586" s="2">
        <v>37.85</v>
      </c>
      <c r="R1586">
        <v>1</v>
      </c>
      <c r="S1586">
        <v>0</v>
      </c>
      <c r="T1586">
        <v>6</v>
      </c>
      <c r="U1586">
        <v>4</v>
      </c>
    </row>
    <row r="1587" spans="1:21" ht="16.5" x14ac:dyDescent="0.3">
      <c r="A1587" t="s">
        <v>1671</v>
      </c>
      <c r="B1587" s="1">
        <v>45556</v>
      </c>
      <c r="C1587">
        <v>2024</v>
      </c>
      <c r="D1587" t="s">
        <v>1187</v>
      </c>
      <c r="E1587" t="s">
        <v>1543</v>
      </c>
      <c r="F1587" t="s">
        <v>24</v>
      </c>
      <c r="G1587" t="s">
        <v>65</v>
      </c>
      <c r="H1587" t="s">
        <v>32</v>
      </c>
      <c r="I1587" t="s">
        <v>42</v>
      </c>
      <c r="J1587" t="s">
        <v>43</v>
      </c>
      <c r="K1587">
        <v>1</v>
      </c>
      <c r="L1587" s="2">
        <v>154.66</v>
      </c>
      <c r="M1587" s="3">
        <v>0</v>
      </c>
      <c r="N1587" t="s">
        <v>38</v>
      </c>
      <c r="O1587" s="2">
        <v>154.66</v>
      </c>
      <c r="P1587" s="2">
        <v>102.71</v>
      </c>
      <c r="Q1587" s="2">
        <v>51.95</v>
      </c>
      <c r="R1587">
        <v>1</v>
      </c>
      <c r="S1587">
        <v>0</v>
      </c>
      <c r="T1587">
        <v>9</v>
      </c>
      <c r="U1587">
        <v>3</v>
      </c>
    </row>
    <row r="1588" spans="1:21" ht="16.5" x14ac:dyDescent="0.3">
      <c r="A1588" t="s">
        <v>1672</v>
      </c>
      <c r="B1588" s="1">
        <v>45556</v>
      </c>
      <c r="C1588">
        <v>2024</v>
      </c>
      <c r="D1588" t="s">
        <v>1187</v>
      </c>
      <c r="E1588" t="s">
        <v>1543</v>
      </c>
      <c r="F1588" t="s">
        <v>45</v>
      </c>
      <c r="G1588" t="s">
        <v>51</v>
      </c>
      <c r="H1588" t="s">
        <v>32</v>
      </c>
      <c r="I1588" t="s">
        <v>36</v>
      </c>
      <c r="J1588" t="s">
        <v>56</v>
      </c>
      <c r="K1588">
        <v>2</v>
      </c>
      <c r="L1588" s="2">
        <v>74.3</v>
      </c>
      <c r="M1588" s="3">
        <v>0.2</v>
      </c>
      <c r="N1588" t="s">
        <v>34</v>
      </c>
      <c r="O1588" s="2">
        <v>118.88</v>
      </c>
      <c r="P1588" s="2">
        <v>67.05</v>
      </c>
      <c r="Q1588" s="2">
        <v>51.83</v>
      </c>
      <c r="R1588">
        <v>1</v>
      </c>
      <c r="S1588">
        <v>0</v>
      </c>
      <c r="T1588">
        <v>3</v>
      </c>
      <c r="U1588">
        <v>4</v>
      </c>
    </row>
    <row r="1589" spans="1:21" ht="16.5" x14ac:dyDescent="0.3">
      <c r="A1589" t="s">
        <v>1673</v>
      </c>
      <c r="B1589" s="1">
        <v>45556</v>
      </c>
      <c r="C1589">
        <v>2024</v>
      </c>
      <c r="D1589" t="s">
        <v>1187</v>
      </c>
      <c r="E1589" t="s">
        <v>1543</v>
      </c>
      <c r="F1589" t="s">
        <v>31</v>
      </c>
      <c r="G1589" t="s">
        <v>25</v>
      </c>
      <c r="H1589" t="s">
        <v>26</v>
      </c>
      <c r="I1589" t="s">
        <v>70</v>
      </c>
      <c r="J1589" t="s">
        <v>162</v>
      </c>
      <c r="K1589">
        <v>1</v>
      </c>
      <c r="L1589" s="2">
        <v>636.09</v>
      </c>
      <c r="M1589" s="3">
        <v>0.1</v>
      </c>
      <c r="N1589" t="s">
        <v>29</v>
      </c>
      <c r="O1589" s="2">
        <v>572.48</v>
      </c>
      <c r="P1589" s="2">
        <v>535.47</v>
      </c>
      <c r="Q1589" s="2">
        <v>37.01</v>
      </c>
      <c r="R1589">
        <v>1</v>
      </c>
      <c r="S1589">
        <v>0</v>
      </c>
      <c r="T1589">
        <v>3</v>
      </c>
      <c r="U1589">
        <v>5</v>
      </c>
    </row>
    <row r="1590" spans="1:21" ht="16.5" x14ac:dyDescent="0.3">
      <c r="A1590" t="s">
        <v>1674</v>
      </c>
      <c r="B1590" s="1">
        <v>45556</v>
      </c>
      <c r="C1590">
        <v>2024</v>
      </c>
      <c r="D1590" t="s">
        <v>1187</v>
      </c>
      <c r="E1590" t="s">
        <v>1543</v>
      </c>
      <c r="F1590" t="s">
        <v>45</v>
      </c>
      <c r="G1590" t="s">
        <v>46</v>
      </c>
      <c r="H1590" t="s">
        <v>32</v>
      </c>
      <c r="I1590" t="s">
        <v>27</v>
      </c>
      <c r="J1590" t="s">
        <v>40</v>
      </c>
      <c r="K1590">
        <v>1</v>
      </c>
      <c r="L1590" s="2">
        <v>104.94</v>
      </c>
      <c r="M1590" s="3">
        <v>0</v>
      </c>
      <c r="N1590" t="s">
        <v>38</v>
      </c>
      <c r="O1590" s="2">
        <v>104.94</v>
      </c>
      <c r="P1590" s="2">
        <v>58</v>
      </c>
      <c r="Q1590" s="2">
        <v>46.94</v>
      </c>
      <c r="R1590">
        <v>1</v>
      </c>
      <c r="S1590">
        <v>0</v>
      </c>
      <c r="T1590">
        <v>6</v>
      </c>
      <c r="U1590">
        <v>4</v>
      </c>
    </row>
    <row r="1591" spans="1:21" ht="16.5" x14ac:dyDescent="0.3">
      <c r="A1591" t="s">
        <v>1675</v>
      </c>
      <c r="B1591" s="1">
        <v>45556</v>
      </c>
      <c r="C1591">
        <v>2024</v>
      </c>
      <c r="D1591" t="s">
        <v>1187</v>
      </c>
      <c r="E1591" t="s">
        <v>1543</v>
      </c>
      <c r="F1591" t="s">
        <v>24</v>
      </c>
      <c r="G1591" t="s">
        <v>46</v>
      </c>
      <c r="H1591" t="s">
        <v>32</v>
      </c>
      <c r="I1591" t="s">
        <v>84</v>
      </c>
      <c r="J1591" t="s">
        <v>132</v>
      </c>
      <c r="K1591">
        <v>1</v>
      </c>
      <c r="L1591" s="2">
        <v>48.86</v>
      </c>
      <c r="M1591" s="3">
        <v>0.05</v>
      </c>
      <c r="N1591" t="s">
        <v>29</v>
      </c>
      <c r="O1591" s="2">
        <v>46.42</v>
      </c>
      <c r="P1591" s="2">
        <v>33.729999999999997</v>
      </c>
      <c r="Q1591" s="2">
        <v>12.69</v>
      </c>
      <c r="R1591">
        <v>1</v>
      </c>
      <c r="S1591">
        <v>0</v>
      </c>
      <c r="T1591">
        <v>6</v>
      </c>
      <c r="U1591">
        <v>4</v>
      </c>
    </row>
    <row r="1592" spans="1:21" ht="16.5" x14ac:dyDescent="0.3">
      <c r="A1592" t="s">
        <v>1676</v>
      </c>
      <c r="B1592" s="1">
        <v>45556</v>
      </c>
      <c r="C1592">
        <v>2024</v>
      </c>
      <c r="D1592" t="s">
        <v>1187</v>
      </c>
      <c r="E1592" t="s">
        <v>1543</v>
      </c>
      <c r="F1592" t="s">
        <v>45</v>
      </c>
      <c r="G1592" t="s">
        <v>49</v>
      </c>
      <c r="H1592" t="s">
        <v>32</v>
      </c>
      <c r="I1592" t="s">
        <v>36</v>
      </c>
      <c r="J1592" t="s">
        <v>52</v>
      </c>
      <c r="K1592">
        <v>1</v>
      </c>
      <c r="L1592" s="2">
        <v>92.54</v>
      </c>
      <c r="M1592" s="3">
        <v>0.1</v>
      </c>
      <c r="N1592" t="s">
        <v>29</v>
      </c>
      <c r="O1592" s="2">
        <v>83.29</v>
      </c>
      <c r="P1592" s="2">
        <v>42.35</v>
      </c>
      <c r="Q1592" s="2">
        <v>40.94</v>
      </c>
      <c r="R1592">
        <v>1</v>
      </c>
      <c r="S1592">
        <v>0</v>
      </c>
      <c r="T1592">
        <v>4</v>
      </c>
      <c r="U1592">
        <v>5</v>
      </c>
    </row>
    <row r="1593" spans="1:21" ht="16.5" x14ac:dyDescent="0.3">
      <c r="A1593" t="s">
        <v>1677</v>
      </c>
      <c r="B1593" s="1">
        <v>45556</v>
      </c>
      <c r="C1593">
        <v>2024</v>
      </c>
      <c r="D1593" t="s">
        <v>1187</v>
      </c>
      <c r="E1593" t="s">
        <v>1543</v>
      </c>
      <c r="F1593" t="s">
        <v>24</v>
      </c>
      <c r="G1593" t="s">
        <v>49</v>
      </c>
      <c r="H1593" t="s">
        <v>26</v>
      </c>
      <c r="I1593" t="s">
        <v>67</v>
      </c>
      <c r="J1593" t="s">
        <v>103</v>
      </c>
      <c r="K1593">
        <v>1</v>
      </c>
      <c r="L1593" s="2">
        <v>83.06</v>
      </c>
      <c r="M1593" s="3">
        <v>0</v>
      </c>
      <c r="N1593" t="s">
        <v>38</v>
      </c>
      <c r="O1593" s="2">
        <v>83.06</v>
      </c>
      <c r="P1593" s="2">
        <v>56.49</v>
      </c>
      <c r="Q1593" s="2">
        <v>26.57</v>
      </c>
      <c r="R1593">
        <v>1</v>
      </c>
      <c r="S1593">
        <v>0</v>
      </c>
      <c r="T1593">
        <v>4</v>
      </c>
      <c r="U1593">
        <v>4</v>
      </c>
    </row>
    <row r="1594" spans="1:21" ht="16.5" x14ac:dyDescent="0.3">
      <c r="A1594" t="s">
        <v>1678</v>
      </c>
      <c r="B1594" s="1">
        <v>45556</v>
      </c>
      <c r="C1594">
        <v>2024</v>
      </c>
      <c r="D1594" t="s">
        <v>1187</v>
      </c>
      <c r="E1594" t="s">
        <v>1543</v>
      </c>
      <c r="F1594" t="s">
        <v>31</v>
      </c>
      <c r="G1594" t="s">
        <v>25</v>
      </c>
      <c r="H1594" t="s">
        <v>32</v>
      </c>
      <c r="I1594" t="s">
        <v>67</v>
      </c>
      <c r="J1594" t="s">
        <v>78</v>
      </c>
      <c r="K1594">
        <v>1</v>
      </c>
      <c r="L1594" s="2">
        <v>85.42</v>
      </c>
      <c r="M1594" s="3">
        <v>0.1</v>
      </c>
      <c r="N1594" t="s">
        <v>29</v>
      </c>
      <c r="O1594" s="2">
        <v>76.88</v>
      </c>
      <c r="P1594" s="2">
        <v>57.44</v>
      </c>
      <c r="Q1594" s="2">
        <v>19.440000000000001</v>
      </c>
      <c r="R1594">
        <v>1</v>
      </c>
      <c r="S1594">
        <v>0</v>
      </c>
      <c r="T1594">
        <v>4</v>
      </c>
      <c r="U1594">
        <v>5</v>
      </c>
    </row>
    <row r="1595" spans="1:21" ht="16.5" x14ac:dyDescent="0.3">
      <c r="A1595" t="s">
        <v>1679</v>
      </c>
      <c r="B1595" s="1">
        <v>45556</v>
      </c>
      <c r="C1595">
        <v>2024</v>
      </c>
      <c r="D1595" t="s">
        <v>1187</v>
      </c>
      <c r="E1595" t="s">
        <v>1543</v>
      </c>
      <c r="F1595" t="s">
        <v>31</v>
      </c>
      <c r="G1595" t="s">
        <v>25</v>
      </c>
      <c r="H1595" t="s">
        <v>32</v>
      </c>
      <c r="I1595" t="s">
        <v>27</v>
      </c>
      <c r="J1595" t="s">
        <v>47</v>
      </c>
      <c r="K1595">
        <v>1</v>
      </c>
      <c r="L1595" s="2">
        <v>33.99</v>
      </c>
      <c r="M1595" s="3">
        <v>0.15</v>
      </c>
      <c r="N1595" t="s">
        <v>34</v>
      </c>
      <c r="O1595" s="2">
        <v>28.89</v>
      </c>
      <c r="P1595" s="2">
        <v>17.989999999999998</v>
      </c>
      <c r="Q1595" s="2">
        <v>10.9</v>
      </c>
      <c r="R1595">
        <v>1</v>
      </c>
      <c r="S1595">
        <v>0</v>
      </c>
      <c r="T1595">
        <v>5</v>
      </c>
      <c r="U1595">
        <v>5</v>
      </c>
    </row>
    <row r="1596" spans="1:21" ht="16.5" x14ac:dyDescent="0.3">
      <c r="A1596" t="s">
        <v>1680</v>
      </c>
      <c r="B1596" s="1">
        <v>45557</v>
      </c>
      <c r="C1596">
        <v>2024</v>
      </c>
      <c r="D1596" t="s">
        <v>1187</v>
      </c>
      <c r="E1596" t="s">
        <v>1543</v>
      </c>
      <c r="F1596" t="s">
        <v>31</v>
      </c>
      <c r="G1596" t="s">
        <v>49</v>
      </c>
      <c r="H1596" t="s">
        <v>26</v>
      </c>
      <c r="I1596" t="s">
        <v>42</v>
      </c>
      <c r="J1596" t="s">
        <v>54</v>
      </c>
      <c r="K1596">
        <v>1</v>
      </c>
      <c r="L1596" s="2">
        <v>148.05000000000001</v>
      </c>
      <c r="M1596" s="3">
        <v>0</v>
      </c>
      <c r="N1596" t="s">
        <v>38</v>
      </c>
      <c r="O1596" s="2">
        <v>148.05000000000001</v>
      </c>
      <c r="P1596" s="2">
        <v>98.78</v>
      </c>
      <c r="Q1596" s="2">
        <v>49.27</v>
      </c>
      <c r="R1596">
        <v>1</v>
      </c>
      <c r="S1596">
        <v>1</v>
      </c>
      <c r="T1596">
        <v>4</v>
      </c>
      <c r="U1596">
        <v>4</v>
      </c>
    </row>
    <row r="1597" spans="1:21" ht="16.5" x14ac:dyDescent="0.3">
      <c r="A1597" t="s">
        <v>1681</v>
      </c>
      <c r="B1597" s="1">
        <v>45557</v>
      </c>
      <c r="C1597">
        <v>2024</v>
      </c>
      <c r="D1597" t="s">
        <v>1187</v>
      </c>
      <c r="E1597" t="s">
        <v>1543</v>
      </c>
      <c r="F1597" t="s">
        <v>24</v>
      </c>
      <c r="G1597" t="s">
        <v>25</v>
      </c>
      <c r="H1597" t="s">
        <v>26</v>
      </c>
      <c r="I1597" t="s">
        <v>42</v>
      </c>
      <c r="J1597" t="s">
        <v>43</v>
      </c>
      <c r="K1597">
        <v>3</v>
      </c>
      <c r="L1597" s="2">
        <v>154.66</v>
      </c>
      <c r="M1597" s="3">
        <v>0</v>
      </c>
      <c r="N1597" t="s">
        <v>38</v>
      </c>
      <c r="O1597" s="2">
        <v>463.98</v>
      </c>
      <c r="P1597" s="2">
        <v>310.68</v>
      </c>
      <c r="Q1597" s="2">
        <v>153.30000000000001</v>
      </c>
      <c r="R1597">
        <v>1</v>
      </c>
      <c r="S1597">
        <v>1</v>
      </c>
      <c r="T1597">
        <v>4</v>
      </c>
      <c r="U1597">
        <v>4</v>
      </c>
    </row>
    <row r="1598" spans="1:21" ht="16.5" x14ac:dyDescent="0.3">
      <c r="A1598" t="s">
        <v>1682</v>
      </c>
      <c r="B1598" s="1">
        <v>45557</v>
      </c>
      <c r="C1598">
        <v>2024</v>
      </c>
      <c r="D1598" t="s">
        <v>1187</v>
      </c>
      <c r="E1598" t="s">
        <v>1543</v>
      </c>
      <c r="F1598" t="s">
        <v>31</v>
      </c>
      <c r="G1598" t="s">
        <v>49</v>
      </c>
      <c r="H1598" t="s">
        <v>32</v>
      </c>
      <c r="I1598" t="s">
        <v>27</v>
      </c>
      <c r="J1598" t="s">
        <v>40</v>
      </c>
      <c r="K1598">
        <v>1</v>
      </c>
      <c r="L1598" s="2">
        <v>104.94</v>
      </c>
      <c r="M1598" s="3">
        <v>0.15</v>
      </c>
      <c r="N1598" t="s">
        <v>34</v>
      </c>
      <c r="O1598" s="2">
        <v>89.2</v>
      </c>
      <c r="P1598" s="2">
        <v>57.41</v>
      </c>
      <c r="Q1598" s="2">
        <v>31.79</v>
      </c>
      <c r="R1598">
        <v>1</v>
      </c>
      <c r="S1598">
        <v>0</v>
      </c>
      <c r="T1598">
        <v>3</v>
      </c>
      <c r="U1598">
        <v>4</v>
      </c>
    </row>
    <row r="1599" spans="1:21" ht="16.5" x14ac:dyDescent="0.3">
      <c r="A1599" t="s">
        <v>1683</v>
      </c>
      <c r="B1599" s="1">
        <v>45557</v>
      </c>
      <c r="C1599">
        <v>2024</v>
      </c>
      <c r="D1599" t="s">
        <v>1187</v>
      </c>
      <c r="E1599" t="s">
        <v>1543</v>
      </c>
      <c r="F1599" t="s">
        <v>45</v>
      </c>
      <c r="G1599" t="s">
        <v>25</v>
      </c>
      <c r="H1599" t="s">
        <v>32</v>
      </c>
      <c r="I1599" t="s">
        <v>84</v>
      </c>
      <c r="J1599" t="s">
        <v>132</v>
      </c>
      <c r="K1599">
        <v>1</v>
      </c>
      <c r="L1599" s="2">
        <v>48.86</v>
      </c>
      <c r="M1599" s="3">
        <v>0.1</v>
      </c>
      <c r="N1599" t="s">
        <v>29</v>
      </c>
      <c r="O1599" s="2">
        <v>43.97</v>
      </c>
      <c r="P1599" s="2">
        <v>37.450000000000003</v>
      </c>
      <c r="Q1599" s="2">
        <v>6.52</v>
      </c>
      <c r="R1599">
        <v>1</v>
      </c>
      <c r="S1599">
        <v>0</v>
      </c>
      <c r="T1599">
        <v>4</v>
      </c>
      <c r="U1599">
        <v>4</v>
      </c>
    </row>
    <row r="1600" spans="1:21" ht="16.5" x14ac:dyDescent="0.3">
      <c r="A1600" t="s">
        <v>1684</v>
      </c>
      <c r="B1600" s="1">
        <v>45557</v>
      </c>
      <c r="C1600">
        <v>2024</v>
      </c>
      <c r="D1600" t="s">
        <v>1187</v>
      </c>
      <c r="E1600" t="s">
        <v>1543</v>
      </c>
      <c r="F1600" t="s">
        <v>31</v>
      </c>
      <c r="G1600" t="s">
        <v>25</v>
      </c>
      <c r="H1600" t="s">
        <v>26</v>
      </c>
      <c r="I1600" t="s">
        <v>70</v>
      </c>
      <c r="J1600" t="s">
        <v>82</v>
      </c>
      <c r="K1600">
        <v>2</v>
      </c>
      <c r="L1600" s="2">
        <v>508.8</v>
      </c>
      <c r="M1600" s="3">
        <v>0</v>
      </c>
      <c r="N1600" t="s">
        <v>38</v>
      </c>
      <c r="O1600" s="2">
        <v>1017.6</v>
      </c>
      <c r="P1600" s="2">
        <v>834.03</v>
      </c>
      <c r="Q1600" s="2">
        <v>183.57</v>
      </c>
      <c r="R1600">
        <v>1</v>
      </c>
      <c r="S1600">
        <v>0</v>
      </c>
      <c r="T1600">
        <v>3</v>
      </c>
      <c r="U1600">
        <v>5</v>
      </c>
    </row>
    <row r="1601" spans="1:21" ht="16.5" x14ac:dyDescent="0.3">
      <c r="A1601" t="s">
        <v>1685</v>
      </c>
      <c r="B1601" s="1">
        <v>45558</v>
      </c>
      <c r="C1601">
        <v>2024</v>
      </c>
      <c r="D1601" t="s">
        <v>1187</v>
      </c>
      <c r="E1601" t="s">
        <v>1543</v>
      </c>
      <c r="F1601" t="s">
        <v>24</v>
      </c>
      <c r="G1601" t="s">
        <v>51</v>
      </c>
      <c r="H1601" t="s">
        <v>32</v>
      </c>
      <c r="I1601" t="s">
        <v>27</v>
      </c>
      <c r="J1601" t="s">
        <v>60</v>
      </c>
      <c r="K1601">
        <v>2</v>
      </c>
      <c r="L1601" s="2">
        <v>94.85</v>
      </c>
      <c r="M1601" s="3">
        <v>0.1</v>
      </c>
      <c r="N1601" t="s">
        <v>29</v>
      </c>
      <c r="O1601" s="2">
        <v>170.73</v>
      </c>
      <c r="P1601" s="2">
        <v>98.65</v>
      </c>
      <c r="Q1601" s="2">
        <v>72.08</v>
      </c>
      <c r="R1601">
        <v>1</v>
      </c>
      <c r="S1601">
        <v>0</v>
      </c>
      <c r="T1601">
        <v>3</v>
      </c>
      <c r="U1601">
        <v>5</v>
      </c>
    </row>
    <row r="1602" spans="1:21" ht="16.5" x14ac:dyDescent="0.3">
      <c r="A1602" t="s">
        <v>1686</v>
      </c>
      <c r="B1602" s="1">
        <v>45558</v>
      </c>
      <c r="C1602">
        <v>2024</v>
      </c>
      <c r="D1602" t="s">
        <v>1187</v>
      </c>
      <c r="E1602" t="s">
        <v>1543</v>
      </c>
      <c r="F1602" t="s">
        <v>45</v>
      </c>
      <c r="G1602" t="s">
        <v>65</v>
      </c>
      <c r="H1602" t="s">
        <v>26</v>
      </c>
      <c r="I1602" t="s">
        <v>70</v>
      </c>
      <c r="J1602" t="s">
        <v>252</v>
      </c>
      <c r="K1602">
        <v>1</v>
      </c>
      <c r="L1602" s="2">
        <v>216.08</v>
      </c>
      <c r="M1602" s="3">
        <v>0.05</v>
      </c>
      <c r="N1602" t="s">
        <v>29</v>
      </c>
      <c r="O1602" s="2">
        <v>205.28</v>
      </c>
      <c r="P1602" s="2">
        <v>170.72</v>
      </c>
      <c r="Q1602" s="2">
        <v>34.56</v>
      </c>
      <c r="R1602">
        <v>1</v>
      </c>
      <c r="S1602">
        <v>0</v>
      </c>
      <c r="T1602">
        <v>6</v>
      </c>
      <c r="U1602">
        <v>3</v>
      </c>
    </row>
    <row r="1603" spans="1:21" ht="16.5" x14ac:dyDescent="0.3">
      <c r="A1603" t="s">
        <v>1687</v>
      </c>
      <c r="B1603" s="1">
        <v>45558</v>
      </c>
      <c r="C1603">
        <v>2024</v>
      </c>
      <c r="D1603" t="s">
        <v>1187</v>
      </c>
      <c r="E1603" t="s">
        <v>1543</v>
      </c>
      <c r="F1603" t="s">
        <v>24</v>
      </c>
      <c r="G1603" t="s">
        <v>51</v>
      </c>
      <c r="H1603" t="s">
        <v>32</v>
      </c>
      <c r="I1603" t="s">
        <v>27</v>
      </c>
      <c r="J1603" t="s">
        <v>60</v>
      </c>
      <c r="K1603">
        <v>1</v>
      </c>
      <c r="L1603" s="2">
        <v>94.85</v>
      </c>
      <c r="M1603" s="3">
        <v>0.1</v>
      </c>
      <c r="N1603" t="s">
        <v>29</v>
      </c>
      <c r="O1603" s="2">
        <v>85.36</v>
      </c>
      <c r="P1603" s="2">
        <v>49.54</v>
      </c>
      <c r="Q1603" s="2">
        <v>35.82</v>
      </c>
      <c r="R1603">
        <v>1</v>
      </c>
      <c r="S1603">
        <v>0</v>
      </c>
      <c r="T1603">
        <v>5</v>
      </c>
      <c r="U1603">
        <v>4</v>
      </c>
    </row>
    <row r="1604" spans="1:21" ht="16.5" x14ac:dyDescent="0.3">
      <c r="A1604" t="s">
        <v>1688</v>
      </c>
      <c r="B1604" s="1">
        <v>45558</v>
      </c>
      <c r="C1604">
        <v>2024</v>
      </c>
      <c r="D1604" t="s">
        <v>1187</v>
      </c>
      <c r="E1604" t="s">
        <v>1543</v>
      </c>
      <c r="F1604" t="s">
        <v>45</v>
      </c>
      <c r="G1604" t="s">
        <v>51</v>
      </c>
      <c r="H1604" t="s">
        <v>32</v>
      </c>
      <c r="I1604" t="s">
        <v>70</v>
      </c>
      <c r="J1604" t="s">
        <v>252</v>
      </c>
      <c r="K1604">
        <v>2</v>
      </c>
      <c r="L1604" s="2">
        <v>216.08</v>
      </c>
      <c r="M1604" s="3">
        <v>0</v>
      </c>
      <c r="N1604" t="s">
        <v>38</v>
      </c>
      <c r="O1604" s="2">
        <v>432.16</v>
      </c>
      <c r="P1604" s="2">
        <v>317.63</v>
      </c>
      <c r="Q1604" s="2">
        <v>114.53</v>
      </c>
      <c r="R1604">
        <v>1</v>
      </c>
      <c r="S1604">
        <v>0</v>
      </c>
      <c r="T1604">
        <v>3</v>
      </c>
      <c r="U1604">
        <v>4</v>
      </c>
    </row>
    <row r="1605" spans="1:21" ht="16.5" x14ac:dyDescent="0.3">
      <c r="A1605" t="s">
        <v>1689</v>
      </c>
      <c r="B1605" s="1">
        <v>45558</v>
      </c>
      <c r="C1605">
        <v>2024</v>
      </c>
      <c r="D1605" t="s">
        <v>1187</v>
      </c>
      <c r="E1605" t="s">
        <v>1543</v>
      </c>
      <c r="F1605" t="s">
        <v>24</v>
      </c>
      <c r="G1605" t="s">
        <v>49</v>
      </c>
      <c r="H1605" t="s">
        <v>32</v>
      </c>
      <c r="I1605" t="s">
        <v>27</v>
      </c>
      <c r="J1605" t="s">
        <v>47</v>
      </c>
      <c r="K1605">
        <v>1</v>
      </c>
      <c r="L1605" s="2">
        <v>33.99</v>
      </c>
      <c r="M1605" s="3">
        <v>0</v>
      </c>
      <c r="N1605" t="s">
        <v>38</v>
      </c>
      <c r="O1605" s="2">
        <v>33.99</v>
      </c>
      <c r="P1605" s="2">
        <v>17.420000000000002</v>
      </c>
      <c r="Q1605" s="2">
        <v>16.57</v>
      </c>
      <c r="R1605">
        <v>1</v>
      </c>
      <c r="S1605">
        <v>1</v>
      </c>
      <c r="T1605">
        <v>5</v>
      </c>
      <c r="U1605">
        <v>3</v>
      </c>
    </row>
    <row r="1606" spans="1:21" ht="16.5" x14ac:dyDescent="0.3">
      <c r="A1606" t="s">
        <v>1690</v>
      </c>
      <c r="B1606" s="1">
        <v>45558</v>
      </c>
      <c r="C1606">
        <v>2024</v>
      </c>
      <c r="D1606" t="s">
        <v>1187</v>
      </c>
      <c r="E1606" t="s">
        <v>1543</v>
      </c>
      <c r="F1606" t="s">
        <v>31</v>
      </c>
      <c r="G1606" t="s">
        <v>49</v>
      </c>
      <c r="H1606" t="s">
        <v>32</v>
      </c>
      <c r="I1606" t="s">
        <v>42</v>
      </c>
      <c r="J1606" t="s">
        <v>54</v>
      </c>
      <c r="K1606">
        <v>2</v>
      </c>
      <c r="L1606" s="2">
        <v>148.05000000000001</v>
      </c>
      <c r="M1606" s="3">
        <v>0.2</v>
      </c>
      <c r="N1606" t="s">
        <v>34</v>
      </c>
      <c r="O1606" s="2">
        <v>236.88</v>
      </c>
      <c r="P1606" s="2">
        <v>199.13</v>
      </c>
      <c r="Q1606" s="2">
        <v>37.75</v>
      </c>
      <c r="R1606">
        <v>1</v>
      </c>
      <c r="S1606">
        <v>1</v>
      </c>
      <c r="T1606">
        <v>3</v>
      </c>
      <c r="U1606">
        <v>2</v>
      </c>
    </row>
    <row r="1607" spans="1:21" ht="16.5" x14ac:dyDescent="0.3">
      <c r="A1607" t="s">
        <v>1691</v>
      </c>
      <c r="B1607" s="1">
        <v>45558</v>
      </c>
      <c r="C1607">
        <v>2024</v>
      </c>
      <c r="D1607" t="s">
        <v>1187</v>
      </c>
      <c r="E1607" t="s">
        <v>1543</v>
      </c>
      <c r="F1607" t="s">
        <v>45</v>
      </c>
      <c r="G1607" t="s">
        <v>51</v>
      </c>
      <c r="H1607" t="s">
        <v>32</v>
      </c>
      <c r="I1607" t="s">
        <v>42</v>
      </c>
      <c r="J1607" t="s">
        <v>89</v>
      </c>
      <c r="K1607">
        <v>1</v>
      </c>
      <c r="L1607" s="2">
        <v>68.349999999999994</v>
      </c>
      <c r="M1607" s="3">
        <v>0.1</v>
      </c>
      <c r="N1607" t="s">
        <v>29</v>
      </c>
      <c r="O1607" s="2">
        <v>61.51</v>
      </c>
      <c r="P1607" s="2">
        <v>44.3</v>
      </c>
      <c r="Q1607" s="2">
        <v>17.21</v>
      </c>
      <c r="R1607">
        <v>1</v>
      </c>
      <c r="S1607">
        <v>0</v>
      </c>
      <c r="T1607">
        <v>2</v>
      </c>
      <c r="U1607">
        <v>4</v>
      </c>
    </row>
    <row r="1608" spans="1:21" ht="16.5" x14ac:dyDescent="0.3">
      <c r="A1608" t="s">
        <v>1692</v>
      </c>
      <c r="B1608" s="1">
        <v>45559</v>
      </c>
      <c r="C1608">
        <v>2024</v>
      </c>
      <c r="D1608" t="s">
        <v>1187</v>
      </c>
      <c r="E1608" t="s">
        <v>1543</v>
      </c>
      <c r="F1608" t="s">
        <v>31</v>
      </c>
      <c r="G1608" t="s">
        <v>25</v>
      </c>
      <c r="H1608" t="s">
        <v>32</v>
      </c>
      <c r="I1608" t="s">
        <v>84</v>
      </c>
      <c r="J1608" t="s">
        <v>132</v>
      </c>
      <c r="K1608">
        <v>1</v>
      </c>
      <c r="L1608" s="2">
        <v>48.86</v>
      </c>
      <c r="M1608" s="3">
        <v>0.15</v>
      </c>
      <c r="N1608" t="s">
        <v>34</v>
      </c>
      <c r="O1608" s="2">
        <v>41.53</v>
      </c>
      <c r="P1608" s="2">
        <v>34.79</v>
      </c>
      <c r="Q1608" s="2">
        <v>6.74</v>
      </c>
      <c r="R1608">
        <v>1</v>
      </c>
      <c r="S1608">
        <v>0</v>
      </c>
      <c r="T1608">
        <v>3</v>
      </c>
      <c r="U1608">
        <v>5</v>
      </c>
    </row>
    <row r="1609" spans="1:21" ht="16.5" x14ac:dyDescent="0.3">
      <c r="A1609" t="s">
        <v>1693</v>
      </c>
      <c r="B1609" s="1">
        <v>45559</v>
      </c>
      <c r="C1609">
        <v>2024</v>
      </c>
      <c r="D1609" t="s">
        <v>1187</v>
      </c>
      <c r="E1609" t="s">
        <v>1543</v>
      </c>
      <c r="F1609" t="s">
        <v>31</v>
      </c>
      <c r="G1609" t="s">
        <v>49</v>
      </c>
      <c r="H1609" t="s">
        <v>32</v>
      </c>
      <c r="I1609" t="s">
        <v>27</v>
      </c>
      <c r="J1609" t="s">
        <v>33</v>
      </c>
      <c r="K1609">
        <v>1</v>
      </c>
      <c r="L1609" s="2">
        <v>78.510000000000005</v>
      </c>
      <c r="M1609" s="3">
        <v>0.15</v>
      </c>
      <c r="N1609" t="s">
        <v>34</v>
      </c>
      <c r="O1609" s="2">
        <v>66.73</v>
      </c>
      <c r="P1609" s="2">
        <v>43.68</v>
      </c>
      <c r="Q1609" s="2">
        <v>23.05</v>
      </c>
      <c r="R1609">
        <v>1</v>
      </c>
      <c r="S1609">
        <v>0</v>
      </c>
      <c r="T1609">
        <v>3</v>
      </c>
      <c r="U1609">
        <v>5</v>
      </c>
    </row>
    <row r="1610" spans="1:21" ht="16.5" x14ac:dyDescent="0.3">
      <c r="A1610" t="s">
        <v>1694</v>
      </c>
      <c r="B1610" s="1">
        <v>45559</v>
      </c>
      <c r="C1610">
        <v>2024</v>
      </c>
      <c r="D1610" t="s">
        <v>1187</v>
      </c>
      <c r="E1610" t="s">
        <v>1543</v>
      </c>
      <c r="F1610" t="s">
        <v>31</v>
      </c>
      <c r="G1610" t="s">
        <v>51</v>
      </c>
      <c r="H1610" t="s">
        <v>32</v>
      </c>
      <c r="I1610" t="s">
        <v>67</v>
      </c>
      <c r="J1610" t="s">
        <v>68</v>
      </c>
      <c r="K1610">
        <v>2</v>
      </c>
      <c r="L1610" s="2">
        <v>74.459999999999994</v>
      </c>
      <c r="M1610" s="3">
        <v>0.15</v>
      </c>
      <c r="N1610" t="s">
        <v>34</v>
      </c>
      <c r="O1610" s="2">
        <v>126.58</v>
      </c>
      <c r="P1610" s="2">
        <v>104.87</v>
      </c>
      <c r="Q1610" s="2">
        <v>21.71</v>
      </c>
      <c r="R1610">
        <v>1</v>
      </c>
      <c r="S1610">
        <v>0</v>
      </c>
      <c r="T1610">
        <v>2</v>
      </c>
      <c r="U1610">
        <v>4</v>
      </c>
    </row>
    <row r="1611" spans="1:21" ht="16.5" x14ac:dyDescent="0.3">
      <c r="A1611" t="s">
        <v>1695</v>
      </c>
      <c r="B1611" s="1">
        <v>45559</v>
      </c>
      <c r="C1611">
        <v>2024</v>
      </c>
      <c r="D1611" t="s">
        <v>1187</v>
      </c>
      <c r="E1611" t="s">
        <v>1543</v>
      </c>
      <c r="F1611" t="s">
        <v>45</v>
      </c>
      <c r="G1611" t="s">
        <v>49</v>
      </c>
      <c r="H1611" t="s">
        <v>32</v>
      </c>
      <c r="I1611" t="s">
        <v>67</v>
      </c>
      <c r="J1611" t="s">
        <v>68</v>
      </c>
      <c r="K1611">
        <v>1</v>
      </c>
      <c r="L1611" s="2">
        <v>74.459999999999994</v>
      </c>
      <c r="M1611" s="3">
        <v>0.2</v>
      </c>
      <c r="N1611" t="s">
        <v>34</v>
      </c>
      <c r="O1611" s="2">
        <v>59.57</v>
      </c>
      <c r="P1611" s="2">
        <v>47.97</v>
      </c>
      <c r="Q1611" s="2">
        <v>11.6</v>
      </c>
      <c r="R1611">
        <v>1</v>
      </c>
      <c r="S1611">
        <v>0</v>
      </c>
      <c r="T1611">
        <v>6</v>
      </c>
      <c r="U1611">
        <v>3</v>
      </c>
    </row>
    <row r="1612" spans="1:21" ht="16.5" x14ac:dyDescent="0.3">
      <c r="A1612" t="s">
        <v>1696</v>
      </c>
      <c r="B1612" s="1">
        <v>45559</v>
      </c>
      <c r="C1612">
        <v>2024</v>
      </c>
      <c r="D1612" t="s">
        <v>1187</v>
      </c>
      <c r="E1612" t="s">
        <v>1543</v>
      </c>
      <c r="F1612" t="s">
        <v>24</v>
      </c>
      <c r="G1612" t="s">
        <v>25</v>
      </c>
      <c r="H1612" t="s">
        <v>32</v>
      </c>
      <c r="I1612" t="s">
        <v>70</v>
      </c>
      <c r="J1612" t="s">
        <v>252</v>
      </c>
      <c r="K1612">
        <v>1</v>
      </c>
      <c r="L1612" s="2">
        <v>216.08</v>
      </c>
      <c r="M1612" s="3">
        <v>0.05</v>
      </c>
      <c r="N1612" t="s">
        <v>29</v>
      </c>
      <c r="O1612" s="2">
        <v>205.28</v>
      </c>
      <c r="P1612" s="2">
        <v>174.44</v>
      </c>
      <c r="Q1612" s="2">
        <v>30.84</v>
      </c>
      <c r="R1612">
        <v>1</v>
      </c>
      <c r="S1612">
        <v>0</v>
      </c>
      <c r="T1612">
        <v>4</v>
      </c>
      <c r="U1612">
        <v>4</v>
      </c>
    </row>
    <row r="1613" spans="1:21" ht="16.5" x14ac:dyDescent="0.3">
      <c r="A1613" t="s">
        <v>1697</v>
      </c>
      <c r="B1613" s="1">
        <v>45559</v>
      </c>
      <c r="C1613">
        <v>2024</v>
      </c>
      <c r="D1613" t="s">
        <v>1187</v>
      </c>
      <c r="E1613" t="s">
        <v>1543</v>
      </c>
      <c r="F1613" t="s">
        <v>24</v>
      </c>
      <c r="G1613" t="s">
        <v>25</v>
      </c>
      <c r="H1613" t="s">
        <v>26</v>
      </c>
      <c r="I1613" t="s">
        <v>70</v>
      </c>
      <c r="J1613" t="s">
        <v>71</v>
      </c>
      <c r="K1613">
        <v>1</v>
      </c>
      <c r="L1613" s="2">
        <v>588.41</v>
      </c>
      <c r="M1613" s="3">
        <v>0.2</v>
      </c>
      <c r="N1613" t="s">
        <v>34</v>
      </c>
      <c r="O1613" s="2">
        <v>470.73</v>
      </c>
      <c r="P1613" s="2">
        <v>487.2</v>
      </c>
      <c r="Q1613" s="2">
        <v>-16.47</v>
      </c>
      <c r="R1613">
        <v>1</v>
      </c>
      <c r="S1613">
        <v>0</v>
      </c>
      <c r="T1613">
        <v>6</v>
      </c>
      <c r="U1613">
        <v>3</v>
      </c>
    </row>
    <row r="1614" spans="1:21" ht="16.5" x14ac:dyDescent="0.3">
      <c r="A1614" t="s">
        <v>1698</v>
      </c>
      <c r="B1614" s="1">
        <v>45559</v>
      </c>
      <c r="C1614">
        <v>2024</v>
      </c>
      <c r="D1614" t="s">
        <v>1187</v>
      </c>
      <c r="E1614" t="s">
        <v>1543</v>
      </c>
      <c r="F1614" t="s">
        <v>24</v>
      </c>
      <c r="G1614" t="s">
        <v>25</v>
      </c>
      <c r="H1614" t="s">
        <v>26</v>
      </c>
      <c r="I1614" t="s">
        <v>67</v>
      </c>
      <c r="J1614" t="s">
        <v>93</v>
      </c>
      <c r="K1614">
        <v>3</v>
      </c>
      <c r="L1614" s="2">
        <v>198.42</v>
      </c>
      <c r="M1614" s="3">
        <v>0.25</v>
      </c>
      <c r="N1614" t="s">
        <v>62</v>
      </c>
      <c r="O1614" s="2">
        <v>446.44</v>
      </c>
      <c r="P1614" s="2">
        <v>431.54</v>
      </c>
      <c r="Q1614" s="2">
        <v>14.9</v>
      </c>
      <c r="R1614">
        <v>1</v>
      </c>
      <c r="S1614">
        <v>0</v>
      </c>
      <c r="T1614">
        <v>5</v>
      </c>
      <c r="U1614">
        <v>5</v>
      </c>
    </row>
    <row r="1615" spans="1:21" ht="16.5" x14ac:dyDescent="0.3">
      <c r="A1615" t="s">
        <v>1699</v>
      </c>
      <c r="B1615" s="1">
        <v>45559</v>
      </c>
      <c r="C1615">
        <v>2024</v>
      </c>
      <c r="D1615" t="s">
        <v>1187</v>
      </c>
      <c r="E1615" t="s">
        <v>1543</v>
      </c>
      <c r="F1615" t="s">
        <v>24</v>
      </c>
      <c r="G1615" t="s">
        <v>65</v>
      </c>
      <c r="H1615" t="s">
        <v>26</v>
      </c>
      <c r="I1615" t="s">
        <v>67</v>
      </c>
      <c r="J1615" t="s">
        <v>103</v>
      </c>
      <c r="K1615">
        <v>4</v>
      </c>
      <c r="L1615" s="2">
        <v>83.06</v>
      </c>
      <c r="M1615" s="3">
        <v>0</v>
      </c>
      <c r="N1615" t="s">
        <v>38</v>
      </c>
      <c r="O1615" s="2">
        <v>332.24</v>
      </c>
      <c r="P1615" s="2">
        <v>238.02</v>
      </c>
      <c r="Q1615" s="2">
        <v>94.22</v>
      </c>
      <c r="R1615">
        <v>1</v>
      </c>
      <c r="S1615">
        <v>1</v>
      </c>
      <c r="T1615">
        <v>6</v>
      </c>
      <c r="U1615">
        <v>4</v>
      </c>
    </row>
    <row r="1616" spans="1:21" ht="16.5" x14ac:dyDescent="0.3">
      <c r="A1616" t="s">
        <v>1700</v>
      </c>
      <c r="B1616" s="1">
        <v>45560</v>
      </c>
      <c r="C1616">
        <v>2024</v>
      </c>
      <c r="D1616" t="s">
        <v>1187</v>
      </c>
      <c r="E1616" t="s">
        <v>1543</v>
      </c>
      <c r="F1616" t="s">
        <v>24</v>
      </c>
      <c r="G1616" t="s">
        <v>49</v>
      </c>
      <c r="H1616" t="s">
        <v>26</v>
      </c>
      <c r="I1616" t="s">
        <v>70</v>
      </c>
      <c r="J1616" t="s">
        <v>82</v>
      </c>
      <c r="K1616">
        <v>2</v>
      </c>
      <c r="L1616" s="2">
        <v>508.8</v>
      </c>
      <c r="M1616" s="3">
        <v>0.05</v>
      </c>
      <c r="N1616" t="s">
        <v>29</v>
      </c>
      <c r="O1616" s="2">
        <v>966.72</v>
      </c>
      <c r="P1616" s="2">
        <v>830.94</v>
      </c>
      <c r="Q1616" s="2">
        <v>135.78</v>
      </c>
      <c r="R1616">
        <v>1</v>
      </c>
      <c r="S1616">
        <v>0</v>
      </c>
      <c r="T1616">
        <v>4</v>
      </c>
      <c r="U1616">
        <v>4</v>
      </c>
    </row>
    <row r="1617" spans="1:21" ht="16.5" x14ac:dyDescent="0.3">
      <c r="A1617" t="s">
        <v>1701</v>
      </c>
      <c r="B1617" s="1">
        <v>45560</v>
      </c>
      <c r="C1617">
        <v>2024</v>
      </c>
      <c r="D1617" t="s">
        <v>1187</v>
      </c>
      <c r="E1617" t="s">
        <v>1543</v>
      </c>
      <c r="F1617" t="s">
        <v>24</v>
      </c>
      <c r="G1617" t="s">
        <v>65</v>
      </c>
      <c r="H1617" t="s">
        <v>32</v>
      </c>
      <c r="I1617" t="s">
        <v>42</v>
      </c>
      <c r="J1617" t="s">
        <v>54</v>
      </c>
      <c r="K1617">
        <v>1</v>
      </c>
      <c r="L1617" s="2">
        <v>148.05000000000001</v>
      </c>
      <c r="M1617" s="3">
        <v>0</v>
      </c>
      <c r="N1617" t="s">
        <v>38</v>
      </c>
      <c r="O1617" s="2">
        <v>148.05000000000001</v>
      </c>
      <c r="P1617" s="2">
        <v>96.32</v>
      </c>
      <c r="Q1617" s="2">
        <v>51.73</v>
      </c>
      <c r="R1617">
        <v>1</v>
      </c>
      <c r="S1617">
        <v>0</v>
      </c>
      <c r="T1617">
        <v>5</v>
      </c>
      <c r="U1617">
        <v>5</v>
      </c>
    </row>
    <row r="1618" spans="1:21" ht="16.5" x14ac:dyDescent="0.3">
      <c r="A1618" t="s">
        <v>1702</v>
      </c>
      <c r="B1618" s="1">
        <v>45560</v>
      </c>
      <c r="C1618">
        <v>2024</v>
      </c>
      <c r="D1618" t="s">
        <v>1187</v>
      </c>
      <c r="E1618" t="s">
        <v>1543</v>
      </c>
      <c r="F1618" t="s">
        <v>24</v>
      </c>
      <c r="G1618" t="s">
        <v>49</v>
      </c>
      <c r="H1618" t="s">
        <v>32</v>
      </c>
      <c r="I1618" t="s">
        <v>42</v>
      </c>
      <c r="J1618" t="s">
        <v>43</v>
      </c>
      <c r="K1618">
        <v>2</v>
      </c>
      <c r="L1618" s="2">
        <v>154.66</v>
      </c>
      <c r="M1618" s="3">
        <v>0.1</v>
      </c>
      <c r="N1618" t="s">
        <v>29</v>
      </c>
      <c r="O1618" s="2">
        <v>278.39</v>
      </c>
      <c r="P1618" s="2">
        <v>199.96</v>
      </c>
      <c r="Q1618" s="2">
        <v>78.430000000000007</v>
      </c>
      <c r="R1618">
        <v>1</v>
      </c>
      <c r="S1618">
        <v>0</v>
      </c>
      <c r="T1618">
        <v>3</v>
      </c>
      <c r="U1618">
        <v>4</v>
      </c>
    </row>
    <row r="1619" spans="1:21" ht="16.5" x14ac:dyDescent="0.3">
      <c r="A1619" t="s">
        <v>1703</v>
      </c>
      <c r="B1619" s="1">
        <v>45560</v>
      </c>
      <c r="C1619">
        <v>2024</v>
      </c>
      <c r="D1619" t="s">
        <v>1187</v>
      </c>
      <c r="E1619" t="s">
        <v>1543</v>
      </c>
      <c r="F1619" t="s">
        <v>31</v>
      </c>
      <c r="G1619" t="s">
        <v>51</v>
      </c>
      <c r="H1619" t="s">
        <v>26</v>
      </c>
      <c r="I1619" t="s">
        <v>70</v>
      </c>
      <c r="J1619" t="s">
        <v>252</v>
      </c>
      <c r="K1619">
        <v>1</v>
      </c>
      <c r="L1619" s="2">
        <v>216.08</v>
      </c>
      <c r="M1619" s="3">
        <v>0.05</v>
      </c>
      <c r="N1619" t="s">
        <v>29</v>
      </c>
      <c r="O1619" s="2">
        <v>205.28</v>
      </c>
      <c r="P1619" s="2">
        <v>161.77000000000001</v>
      </c>
      <c r="Q1619" s="2">
        <v>43.51</v>
      </c>
      <c r="R1619">
        <v>1</v>
      </c>
      <c r="S1619">
        <v>0</v>
      </c>
      <c r="T1619">
        <v>2</v>
      </c>
      <c r="U1619">
        <v>5</v>
      </c>
    </row>
    <row r="1620" spans="1:21" ht="16.5" x14ac:dyDescent="0.3">
      <c r="A1620" t="s">
        <v>1704</v>
      </c>
      <c r="B1620" s="1">
        <v>45560</v>
      </c>
      <c r="C1620">
        <v>2024</v>
      </c>
      <c r="D1620" t="s">
        <v>1187</v>
      </c>
      <c r="E1620" t="s">
        <v>1543</v>
      </c>
      <c r="F1620" t="s">
        <v>24</v>
      </c>
      <c r="G1620" t="s">
        <v>51</v>
      </c>
      <c r="H1620" t="s">
        <v>32</v>
      </c>
      <c r="I1620" t="s">
        <v>70</v>
      </c>
      <c r="J1620" t="s">
        <v>129</v>
      </c>
      <c r="K1620">
        <v>1</v>
      </c>
      <c r="L1620" s="2">
        <v>177.65</v>
      </c>
      <c r="M1620" s="3">
        <v>0.05</v>
      </c>
      <c r="N1620" t="s">
        <v>29</v>
      </c>
      <c r="O1620" s="2">
        <v>168.77</v>
      </c>
      <c r="P1620" s="2">
        <v>146.16999999999999</v>
      </c>
      <c r="Q1620" s="2">
        <v>22.6</v>
      </c>
      <c r="R1620">
        <v>1</v>
      </c>
      <c r="S1620">
        <v>0</v>
      </c>
      <c r="T1620">
        <v>2</v>
      </c>
      <c r="U1620">
        <v>4</v>
      </c>
    </row>
    <row r="1621" spans="1:21" ht="16.5" x14ac:dyDescent="0.3">
      <c r="A1621" t="s">
        <v>1705</v>
      </c>
      <c r="B1621" s="1">
        <v>45560</v>
      </c>
      <c r="C1621">
        <v>2024</v>
      </c>
      <c r="D1621" t="s">
        <v>1187</v>
      </c>
      <c r="E1621" t="s">
        <v>1543</v>
      </c>
      <c r="F1621" t="s">
        <v>31</v>
      </c>
      <c r="G1621" t="s">
        <v>51</v>
      </c>
      <c r="H1621" t="s">
        <v>32</v>
      </c>
      <c r="I1621" t="s">
        <v>42</v>
      </c>
      <c r="J1621" t="s">
        <v>98</v>
      </c>
      <c r="K1621">
        <v>1</v>
      </c>
      <c r="L1621" s="2">
        <v>117.63</v>
      </c>
      <c r="M1621" s="3">
        <v>0.1</v>
      </c>
      <c r="N1621" t="s">
        <v>29</v>
      </c>
      <c r="O1621" s="2">
        <v>105.87</v>
      </c>
      <c r="P1621" s="2">
        <v>78.56</v>
      </c>
      <c r="Q1621" s="2">
        <v>27.31</v>
      </c>
      <c r="R1621">
        <v>1</v>
      </c>
      <c r="S1621">
        <v>0</v>
      </c>
      <c r="T1621">
        <v>2</v>
      </c>
      <c r="U1621">
        <v>5</v>
      </c>
    </row>
    <row r="1622" spans="1:21" ht="16.5" x14ac:dyDescent="0.3">
      <c r="A1622" t="s">
        <v>1706</v>
      </c>
      <c r="B1622" s="1">
        <v>45560</v>
      </c>
      <c r="C1622">
        <v>2024</v>
      </c>
      <c r="D1622" t="s">
        <v>1187</v>
      </c>
      <c r="E1622" t="s">
        <v>1543</v>
      </c>
      <c r="F1622" t="s">
        <v>24</v>
      </c>
      <c r="G1622" t="s">
        <v>25</v>
      </c>
      <c r="H1622" t="s">
        <v>26</v>
      </c>
      <c r="I1622" t="s">
        <v>67</v>
      </c>
      <c r="J1622" t="s">
        <v>103</v>
      </c>
      <c r="K1622">
        <v>1</v>
      </c>
      <c r="L1622" s="2">
        <v>83.06</v>
      </c>
      <c r="M1622" s="3">
        <v>0.05</v>
      </c>
      <c r="N1622" t="s">
        <v>29</v>
      </c>
      <c r="O1622" s="2">
        <v>78.91</v>
      </c>
      <c r="P1622" s="2">
        <v>55.87</v>
      </c>
      <c r="Q1622" s="2">
        <v>23.04</v>
      </c>
      <c r="R1622">
        <v>1</v>
      </c>
      <c r="S1622">
        <v>0</v>
      </c>
      <c r="T1622">
        <v>4</v>
      </c>
      <c r="U1622">
        <v>4</v>
      </c>
    </row>
    <row r="1623" spans="1:21" ht="16.5" x14ac:dyDescent="0.3">
      <c r="A1623" t="s">
        <v>1707</v>
      </c>
      <c r="B1623" s="1">
        <v>45560</v>
      </c>
      <c r="C1623">
        <v>2024</v>
      </c>
      <c r="D1623" t="s">
        <v>1187</v>
      </c>
      <c r="E1623" t="s">
        <v>1543</v>
      </c>
      <c r="F1623" t="s">
        <v>24</v>
      </c>
      <c r="G1623" t="s">
        <v>51</v>
      </c>
      <c r="H1623" t="s">
        <v>26</v>
      </c>
      <c r="I1623" t="s">
        <v>42</v>
      </c>
      <c r="J1623" t="s">
        <v>58</v>
      </c>
      <c r="K1623">
        <v>1</v>
      </c>
      <c r="L1623" s="2">
        <v>233.81</v>
      </c>
      <c r="M1623" s="3">
        <v>0</v>
      </c>
      <c r="N1623" t="s">
        <v>38</v>
      </c>
      <c r="O1623" s="2">
        <v>233.81</v>
      </c>
      <c r="P1623" s="2">
        <v>150.55000000000001</v>
      </c>
      <c r="Q1623" s="2">
        <v>83.26</v>
      </c>
      <c r="R1623">
        <v>1</v>
      </c>
      <c r="S1623">
        <v>0</v>
      </c>
      <c r="T1623">
        <v>3</v>
      </c>
      <c r="U1623">
        <v>4</v>
      </c>
    </row>
    <row r="1624" spans="1:21" ht="16.5" x14ac:dyDescent="0.3">
      <c r="A1624" t="s">
        <v>1708</v>
      </c>
      <c r="B1624" s="1">
        <v>45560</v>
      </c>
      <c r="C1624">
        <v>2024</v>
      </c>
      <c r="D1624" t="s">
        <v>1187</v>
      </c>
      <c r="E1624" t="s">
        <v>1543</v>
      </c>
      <c r="F1624" t="s">
        <v>24</v>
      </c>
      <c r="G1624" t="s">
        <v>25</v>
      </c>
      <c r="H1624" t="s">
        <v>26</v>
      </c>
      <c r="I1624" t="s">
        <v>27</v>
      </c>
      <c r="J1624" t="s">
        <v>40</v>
      </c>
      <c r="K1624">
        <v>1</v>
      </c>
      <c r="L1624" s="2">
        <v>104.94</v>
      </c>
      <c r="M1624" s="3">
        <v>0.05</v>
      </c>
      <c r="N1624" t="s">
        <v>29</v>
      </c>
      <c r="O1624" s="2">
        <v>99.69</v>
      </c>
      <c r="P1624" s="2">
        <v>56.54</v>
      </c>
      <c r="Q1624" s="2">
        <v>43.15</v>
      </c>
      <c r="R1624">
        <v>1</v>
      </c>
      <c r="S1624">
        <v>0</v>
      </c>
      <c r="T1624">
        <v>3</v>
      </c>
      <c r="U1624">
        <v>5</v>
      </c>
    </row>
    <row r="1625" spans="1:21" ht="16.5" x14ac:dyDescent="0.3">
      <c r="A1625" t="s">
        <v>1709</v>
      </c>
      <c r="B1625" s="1">
        <v>45560</v>
      </c>
      <c r="C1625">
        <v>2024</v>
      </c>
      <c r="D1625" t="s">
        <v>1187</v>
      </c>
      <c r="E1625" t="s">
        <v>1543</v>
      </c>
      <c r="F1625" t="s">
        <v>31</v>
      </c>
      <c r="G1625" t="s">
        <v>65</v>
      </c>
      <c r="H1625" t="s">
        <v>32</v>
      </c>
      <c r="I1625" t="s">
        <v>67</v>
      </c>
      <c r="J1625" t="s">
        <v>174</v>
      </c>
      <c r="K1625">
        <v>2</v>
      </c>
      <c r="L1625" s="2">
        <v>137.05000000000001</v>
      </c>
      <c r="M1625" s="3">
        <v>0.2</v>
      </c>
      <c r="N1625" t="s">
        <v>34</v>
      </c>
      <c r="O1625" s="2">
        <v>219.28</v>
      </c>
      <c r="P1625" s="2">
        <v>186.29</v>
      </c>
      <c r="Q1625" s="2">
        <v>32.99</v>
      </c>
      <c r="R1625">
        <v>1</v>
      </c>
      <c r="S1625">
        <v>0</v>
      </c>
      <c r="T1625">
        <v>8</v>
      </c>
      <c r="U1625">
        <v>5</v>
      </c>
    </row>
    <row r="1626" spans="1:21" ht="16.5" x14ac:dyDescent="0.3">
      <c r="A1626" t="s">
        <v>1710</v>
      </c>
      <c r="B1626" s="1">
        <v>45560</v>
      </c>
      <c r="C1626">
        <v>2024</v>
      </c>
      <c r="D1626" t="s">
        <v>1187</v>
      </c>
      <c r="E1626" t="s">
        <v>1543</v>
      </c>
      <c r="F1626" t="s">
        <v>31</v>
      </c>
      <c r="G1626" t="s">
        <v>25</v>
      </c>
      <c r="H1626" t="s">
        <v>32</v>
      </c>
      <c r="I1626" t="s">
        <v>84</v>
      </c>
      <c r="J1626" t="s">
        <v>85</v>
      </c>
      <c r="K1626">
        <v>2</v>
      </c>
      <c r="L1626" s="2">
        <v>57.92</v>
      </c>
      <c r="M1626" s="3">
        <v>0</v>
      </c>
      <c r="N1626" t="s">
        <v>38</v>
      </c>
      <c r="O1626" s="2">
        <v>115.84</v>
      </c>
      <c r="P1626" s="2">
        <v>78.75</v>
      </c>
      <c r="Q1626" s="2">
        <v>37.090000000000003</v>
      </c>
      <c r="R1626">
        <v>1</v>
      </c>
      <c r="S1626">
        <v>0</v>
      </c>
      <c r="T1626">
        <v>6</v>
      </c>
      <c r="U1626">
        <v>3</v>
      </c>
    </row>
    <row r="1627" spans="1:21" ht="16.5" x14ac:dyDescent="0.3">
      <c r="A1627" t="s">
        <v>1711</v>
      </c>
      <c r="B1627" s="1">
        <v>45561</v>
      </c>
      <c r="C1627">
        <v>2024</v>
      </c>
      <c r="D1627" t="s">
        <v>1187</v>
      </c>
      <c r="E1627" t="s">
        <v>1543</v>
      </c>
      <c r="F1627" t="s">
        <v>24</v>
      </c>
      <c r="G1627" t="s">
        <v>51</v>
      </c>
      <c r="H1627" t="s">
        <v>32</v>
      </c>
      <c r="I1627" t="s">
        <v>70</v>
      </c>
      <c r="J1627" t="s">
        <v>252</v>
      </c>
      <c r="K1627">
        <v>1</v>
      </c>
      <c r="L1627" s="2">
        <v>216.08</v>
      </c>
      <c r="M1627" s="3">
        <v>0</v>
      </c>
      <c r="N1627" t="s">
        <v>38</v>
      </c>
      <c r="O1627" s="2">
        <v>216.08</v>
      </c>
      <c r="P1627" s="2">
        <v>174.45</v>
      </c>
      <c r="Q1627" s="2">
        <v>41.63</v>
      </c>
      <c r="R1627">
        <v>1</v>
      </c>
      <c r="S1627">
        <v>0</v>
      </c>
      <c r="T1627">
        <v>2</v>
      </c>
      <c r="U1627">
        <v>4</v>
      </c>
    </row>
    <row r="1628" spans="1:21" ht="16.5" x14ac:dyDescent="0.3">
      <c r="A1628" t="s">
        <v>1712</v>
      </c>
      <c r="B1628" s="1">
        <v>45561</v>
      </c>
      <c r="C1628">
        <v>2024</v>
      </c>
      <c r="D1628" t="s">
        <v>1187</v>
      </c>
      <c r="E1628" t="s">
        <v>1543</v>
      </c>
      <c r="F1628" t="s">
        <v>45</v>
      </c>
      <c r="G1628" t="s">
        <v>51</v>
      </c>
      <c r="H1628" t="s">
        <v>32</v>
      </c>
      <c r="I1628" t="s">
        <v>27</v>
      </c>
      <c r="J1628" t="s">
        <v>110</v>
      </c>
      <c r="K1628">
        <v>1</v>
      </c>
      <c r="L1628" s="2">
        <v>19.41</v>
      </c>
      <c r="M1628" s="3">
        <v>0.05</v>
      </c>
      <c r="N1628" t="s">
        <v>29</v>
      </c>
      <c r="O1628" s="2">
        <v>18.440000000000001</v>
      </c>
      <c r="P1628" s="2">
        <v>10.47</v>
      </c>
      <c r="Q1628" s="2">
        <v>7.97</v>
      </c>
      <c r="R1628">
        <v>1</v>
      </c>
      <c r="S1628">
        <v>1</v>
      </c>
      <c r="T1628">
        <v>3</v>
      </c>
      <c r="U1628">
        <v>2</v>
      </c>
    </row>
    <row r="1629" spans="1:21" ht="16.5" x14ac:dyDescent="0.3">
      <c r="A1629" t="s">
        <v>1713</v>
      </c>
      <c r="B1629" s="1">
        <v>45561</v>
      </c>
      <c r="C1629">
        <v>2024</v>
      </c>
      <c r="D1629" t="s">
        <v>1187</v>
      </c>
      <c r="E1629" t="s">
        <v>1543</v>
      </c>
      <c r="F1629" t="s">
        <v>24</v>
      </c>
      <c r="G1629" t="s">
        <v>49</v>
      </c>
      <c r="H1629" t="s">
        <v>26</v>
      </c>
      <c r="I1629" t="s">
        <v>84</v>
      </c>
      <c r="J1629" t="s">
        <v>223</v>
      </c>
      <c r="K1629">
        <v>1</v>
      </c>
      <c r="L1629" s="2">
        <v>16.97</v>
      </c>
      <c r="M1629" s="3">
        <v>0.1</v>
      </c>
      <c r="N1629" t="s">
        <v>29</v>
      </c>
      <c r="O1629" s="2">
        <v>15.27</v>
      </c>
      <c r="P1629" s="2">
        <v>12.03</v>
      </c>
      <c r="Q1629" s="2">
        <v>3.24</v>
      </c>
      <c r="R1629">
        <v>1</v>
      </c>
      <c r="S1629">
        <v>0</v>
      </c>
      <c r="T1629">
        <v>4</v>
      </c>
      <c r="U1629">
        <v>4</v>
      </c>
    </row>
    <row r="1630" spans="1:21" ht="16.5" x14ac:dyDescent="0.3">
      <c r="A1630" t="s">
        <v>1714</v>
      </c>
      <c r="B1630" s="1">
        <v>45561</v>
      </c>
      <c r="C1630">
        <v>2024</v>
      </c>
      <c r="D1630" t="s">
        <v>1187</v>
      </c>
      <c r="E1630" t="s">
        <v>1543</v>
      </c>
      <c r="F1630" t="s">
        <v>24</v>
      </c>
      <c r="G1630" t="s">
        <v>25</v>
      </c>
      <c r="H1630" t="s">
        <v>26</v>
      </c>
      <c r="I1630" t="s">
        <v>27</v>
      </c>
      <c r="J1630" t="s">
        <v>28</v>
      </c>
      <c r="K1630">
        <v>2</v>
      </c>
      <c r="L1630" s="2">
        <v>138.5</v>
      </c>
      <c r="M1630" s="3">
        <v>0.05</v>
      </c>
      <c r="N1630" t="s">
        <v>29</v>
      </c>
      <c r="O1630" s="2">
        <v>263.14999999999998</v>
      </c>
      <c r="P1630" s="2">
        <v>144.28</v>
      </c>
      <c r="Q1630" s="2">
        <v>118.87</v>
      </c>
      <c r="R1630">
        <v>1</v>
      </c>
      <c r="S1630">
        <v>1</v>
      </c>
      <c r="T1630">
        <v>3</v>
      </c>
      <c r="U1630">
        <v>3</v>
      </c>
    </row>
    <row r="1631" spans="1:21" ht="16.5" x14ac:dyDescent="0.3">
      <c r="A1631" t="s">
        <v>1715</v>
      </c>
      <c r="B1631" s="1">
        <v>45561</v>
      </c>
      <c r="C1631">
        <v>2024</v>
      </c>
      <c r="D1631" t="s">
        <v>1187</v>
      </c>
      <c r="E1631" t="s">
        <v>1543</v>
      </c>
      <c r="F1631" t="s">
        <v>24</v>
      </c>
      <c r="G1631" t="s">
        <v>25</v>
      </c>
      <c r="H1631" t="s">
        <v>32</v>
      </c>
      <c r="I1631" t="s">
        <v>27</v>
      </c>
      <c r="J1631" t="s">
        <v>110</v>
      </c>
      <c r="K1631">
        <v>1</v>
      </c>
      <c r="L1631" s="2">
        <v>19.41</v>
      </c>
      <c r="M1631" s="3">
        <v>0</v>
      </c>
      <c r="N1631" t="s">
        <v>38</v>
      </c>
      <c r="O1631" s="2">
        <v>19.41</v>
      </c>
      <c r="P1631" s="2">
        <v>10.56</v>
      </c>
      <c r="Q1631" s="2">
        <v>8.85</v>
      </c>
      <c r="R1631">
        <v>1</v>
      </c>
      <c r="S1631">
        <v>0</v>
      </c>
      <c r="T1631">
        <v>3</v>
      </c>
      <c r="U1631">
        <v>4</v>
      </c>
    </row>
    <row r="1632" spans="1:21" ht="16.5" x14ac:dyDescent="0.3">
      <c r="A1632" t="s">
        <v>1716</v>
      </c>
      <c r="B1632" s="1">
        <v>45562</v>
      </c>
      <c r="C1632">
        <v>2024</v>
      </c>
      <c r="D1632" t="s">
        <v>1187</v>
      </c>
      <c r="E1632" t="s">
        <v>1543</v>
      </c>
      <c r="F1632" t="s">
        <v>24</v>
      </c>
      <c r="G1632" t="s">
        <v>49</v>
      </c>
      <c r="H1632" t="s">
        <v>26</v>
      </c>
      <c r="I1632" t="s">
        <v>70</v>
      </c>
      <c r="J1632" t="s">
        <v>252</v>
      </c>
      <c r="K1632">
        <v>1</v>
      </c>
      <c r="L1632" s="2">
        <v>216.08</v>
      </c>
      <c r="M1632" s="3">
        <v>0</v>
      </c>
      <c r="N1632" t="s">
        <v>38</v>
      </c>
      <c r="O1632" s="2">
        <v>216.08</v>
      </c>
      <c r="P1632" s="2">
        <v>173.7</v>
      </c>
      <c r="Q1632" s="2">
        <v>42.38</v>
      </c>
      <c r="R1632">
        <v>1</v>
      </c>
      <c r="S1632">
        <v>1</v>
      </c>
      <c r="T1632">
        <v>5</v>
      </c>
      <c r="U1632">
        <v>4</v>
      </c>
    </row>
    <row r="1633" spans="1:21" ht="16.5" x14ac:dyDescent="0.3">
      <c r="A1633" t="s">
        <v>1717</v>
      </c>
      <c r="B1633" s="1">
        <v>45562</v>
      </c>
      <c r="C1633">
        <v>2024</v>
      </c>
      <c r="D1633" t="s">
        <v>1187</v>
      </c>
      <c r="E1633" t="s">
        <v>1543</v>
      </c>
      <c r="F1633" t="s">
        <v>24</v>
      </c>
      <c r="G1633" t="s">
        <v>49</v>
      </c>
      <c r="H1633" t="s">
        <v>32</v>
      </c>
      <c r="I1633" t="s">
        <v>70</v>
      </c>
      <c r="J1633" t="s">
        <v>129</v>
      </c>
      <c r="K1633">
        <v>2</v>
      </c>
      <c r="L1633" s="2">
        <v>177.65</v>
      </c>
      <c r="M1633" s="3">
        <v>0.25</v>
      </c>
      <c r="N1633" t="s">
        <v>62</v>
      </c>
      <c r="O1633" s="2">
        <v>266.48</v>
      </c>
      <c r="P1633" s="2">
        <v>294.89999999999998</v>
      </c>
      <c r="Q1633" s="2">
        <v>-28.42</v>
      </c>
      <c r="R1633">
        <v>1</v>
      </c>
      <c r="S1633">
        <v>0</v>
      </c>
      <c r="T1633">
        <v>4</v>
      </c>
      <c r="U1633">
        <v>4</v>
      </c>
    </row>
    <row r="1634" spans="1:21" ht="16.5" x14ac:dyDescent="0.3">
      <c r="A1634" t="s">
        <v>1718</v>
      </c>
      <c r="B1634" s="1">
        <v>45562</v>
      </c>
      <c r="C1634">
        <v>2024</v>
      </c>
      <c r="D1634" t="s">
        <v>1187</v>
      </c>
      <c r="E1634" t="s">
        <v>1543</v>
      </c>
      <c r="F1634" t="s">
        <v>24</v>
      </c>
      <c r="G1634" t="s">
        <v>65</v>
      </c>
      <c r="H1634" t="s">
        <v>26</v>
      </c>
      <c r="I1634" t="s">
        <v>27</v>
      </c>
      <c r="J1634" t="s">
        <v>33</v>
      </c>
      <c r="K1634">
        <v>1</v>
      </c>
      <c r="L1634" s="2">
        <v>78.510000000000005</v>
      </c>
      <c r="M1634" s="3">
        <v>0.05</v>
      </c>
      <c r="N1634" t="s">
        <v>29</v>
      </c>
      <c r="O1634" s="2">
        <v>74.58</v>
      </c>
      <c r="P1634" s="2">
        <v>44.39</v>
      </c>
      <c r="Q1634" s="2">
        <v>30.19</v>
      </c>
      <c r="R1634">
        <v>1</v>
      </c>
      <c r="S1634">
        <v>1</v>
      </c>
      <c r="T1634">
        <v>8</v>
      </c>
      <c r="U1634">
        <v>1</v>
      </c>
    </row>
    <row r="1635" spans="1:21" ht="16.5" x14ac:dyDescent="0.3">
      <c r="A1635" t="s">
        <v>1719</v>
      </c>
      <c r="B1635" s="1">
        <v>45562</v>
      </c>
      <c r="C1635">
        <v>2024</v>
      </c>
      <c r="D1635" t="s">
        <v>1187</v>
      </c>
      <c r="E1635" t="s">
        <v>1543</v>
      </c>
      <c r="F1635" t="s">
        <v>24</v>
      </c>
      <c r="G1635" t="s">
        <v>25</v>
      </c>
      <c r="H1635" t="s">
        <v>32</v>
      </c>
      <c r="I1635" t="s">
        <v>84</v>
      </c>
      <c r="J1635" t="s">
        <v>132</v>
      </c>
      <c r="K1635">
        <v>1</v>
      </c>
      <c r="L1635" s="2">
        <v>48.86</v>
      </c>
      <c r="M1635" s="3">
        <v>0.05</v>
      </c>
      <c r="N1635" t="s">
        <v>29</v>
      </c>
      <c r="O1635" s="2">
        <v>46.42</v>
      </c>
      <c r="P1635" s="2">
        <v>35.67</v>
      </c>
      <c r="Q1635" s="2">
        <v>10.75</v>
      </c>
      <c r="R1635">
        <v>1</v>
      </c>
      <c r="S1635">
        <v>0</v>
      </c>
      <c r="T1635">
        <v>5</v>
      </c>
      <c r="U1635">
        <v>4</v>
      </c>
    </row>
    <row r="1636" spans="1:21" ht="16.5" x14ac:dyDescent="0.3">
      <c r="A1636" t="s">
        <v>1720</v>
      </c>
      <c r="B1636" s="1">
        <v>45562</v>
      </c>
      <c r="C1636">
        <v>2024</v>
      </c>
      <c r="D1636" t="s">
        <v>1187</v>
      </c>
      <c r="E1636" t="s">
        <v>1543</v>
      </c>
      <c r="F1636" t="s">
        <v>24</v>
      </c>
      <c r="G1636" t="s">
        <v>46</v>
      </c>
      <c r="H1636" t="s">
        <v>26</v>
      </c>
      <c r="I1636" t="s">
        <v>70</v>
      </c>
      <c r="J1636" t="s">
        <v>82</v>
      </c>
      <c r="K1636">
        <v>1</v>
      </c>
      <c r="L1636" s="2">
        <v>508.8</v>
      </c>
      <c r="M1636" s="3">
        <v>0</v>
      </c>
      <c r="N1636" t="s">
        <v>38</v>
      </c>
      <c r="O1636" s="2">
        <v>508.8</v>
      </c>
      <c r="P1636" s="2">
        <v>405.93</v>
      </c>
      <c r="Q1636" s="2">
        <v>102.87</v>
      </c>
      <c r="R1636">
        <v>1</v>
      </c>
      <c r="S1636">
        <v>0</v>
      </c>
      <c r="T1636">
        <v>5</v>
      </c>
      <c r="U1636">
        <v>5</v>
      </c>
    </row>
    <row r="1637" spans="1:21" ht="16.5" x14ac:dyDescent="0.3">
      <c r="A1637" t="s">
        <v>1721</v>
      </c>
      <c r="B1637" s="1">
        <v>45562</v>
      </c>
      <c r="C1637">
        <v>2024</v>
      </c>
      <c r="D1637" t="s">
        <v>1187</v>
      </c>
      <c r="E1637" t="s">
        <v>1543</v>
      </c>
      <c r="F1637" t="s">
        <v>31</v>
      </c>
      <c r="G1637" t="s">
        <v>49</v>
      </c>
      <c r="H1637" t="s">
        <v>32</v>
      </c>
      <c r="I1637" t="s">
        <v>67</v>
      </c>
      <c r="J1637" t="s">
        <v>78</v>
      </c>
      <c r="K1637">
        <v>2</v>
      </c>
      <c r="L1637" s="2">
        <v>85.42</v>
      </c>
      <c r="M1637" s="3">
        <v>0.1</v>
      </c>
      <c r="N1637" t="s">
        <v>29</v>
      </c>
      <c r="O1637" s="2">
        <v>153.76</v>
      </c>
      <c r="P1637" s="2">
        <v>112.22</v>
      </c>
      <c r="Q1637" s="2">
        <v>41.54</v>
      </c>
      <c r="R1637">
        <v>1</v>
      </c>
      <c r="S1637">
        <v>0</v>
      </c>
      <c r="T1637">
        <v>4</v>
      </c>
      <c r="U1637">
        <v>5</v>
      </c>
    </row>
    <row r="1638" spans="1:21" ht="16.5" x14ac:dyDescent="0.3">
      <c r="A1638" t="s">
        <v>1722</v>
      </c>
      <c r="B1638" s="1">
        <v>45563</v>
      </c>
      <c r="C1638">
        <v>2024</v>
      </c>
      <c r="D1638" t="s">
        <v>1187</v>
      </c>
      <c r="E1638" t="s">
        <v>1543</v>
      </c>
      <c r="F1638" t="s">
        <v>24</v>
      </c>
      <c r="G1638" t="s">
        <v>51</v>
      </c>
      <c r="H1638" t="s">
        <v>32</v>
      </c>
      <c r="I1638" t="s">
        <v>70</v>
      </c>
      <c r="J1638" t="s">
        <v>252</v>
      </c>
      <c r="K1638">
        <v>1</v>
      </c>
      <c r="L1638" s="2">
        <v>216.08</v>
      </c>
      <c r="M1638" s="3">
        <v>0.1</v>
      </c>
      <c r="N1638" t="s">
        <v>29</v>
      </c>
      <c r="O1638" s="2">
        <v>194.47</v>
      </c>
      <c r="P1638" s="2">
        <v>154.59</v>
      </c>
      <c r="Q1638" s="2">
        <v>39.880000000000003</v>
      </c>
      <c r="R1638">
        <v>1</v>
      </c>
      <c r="S1638">
        <v>0</v>
      </c>
      <c r="T1638">
        <v>2</v>
      </c>
      <c r="U1638">
        <v>4</v>
      </c>
    </row>
    <row r="1639" spans="1:21" ht="16.5" x14ac:dyDescent="0.3">
      <c r="A1639" t="s">
        <v>1723</v>
      </c>
      <c r="B1639" s="1">
        <v>45563</v>
      </c>
      <c r="C1639">
        <v>2024</v>
      </c>
      <c r="D1639" t="s">
        <v>1187</v>
      </c>
      <c r="E1639" t="s">
        <v>1543</v>
      </c>
      <c r="F1639" t="s">
        <v>24</v>
      </c>
      <c r="G1639" t="s">
        <v>51</v>
      </c>
      <c r="H1639" t="s">
        <v>26</v>
      </c>
      <c r="I1639" t="s">
        <v>42</v>
      </c>
      <c r="J1639" t="s">
        <v>54</v>
      </c>
      <c r="K1639">
        <v>1</v>
      </c>
      <c r="L1639" s="2">
        <v>148.05000000000001</v>
      </c>
      <c r="M1639" s="3">
        <v>0.15</v>
      </c>
      <c r="N1639" t="s">
        <v>34</v>
      </c>
      <c r="O1639" s="2">
        <v>125.84</v>
      </c>
      <c r="P1639" s="2">
        <v>98.3</v>
      </c>
      <c r="Q1639" s="2">
        <v>27.54</v>
      </c>
      <c r="R1639">
        <v>1</v>
      </c>
      <c r="S1639">
        <v>0</v>
      </c>
      <c r="T1639">
        <v>4</v>
      </c>
      <c r="U1639">
        <v>5</v>
      </c>
    </row>
    <row r="1640" spans="1:21" ht="16.5" x14ac:dyDescent="0.3">
      <c r="A1640" t="s">
        <v>1724</v>
      </c>
      <c r="B1640" s="1">
        <v>45563</v>
      </c>
      <c r="C1640">
        <v>2024</v>
      </c>
      <c r="D1640" t="s">
        <v>1187</v>
      </c>
      <c r="E1640" t="s">
        <v>1543</v>
      </c>
      <c r="F1640" t="s">
        <v>31</v>
      </c>
      <c r="G1640" t="s">
        <v>65</v>
      </c>
      <c r="H1640" t="s">
        <v>26</v>
      </c>
      <c r="I1640" t="s">
        <v>84</v>
      </c>
      <c r="J1640" t="s">
        <v>85</v>
      </c>
      <c r="K1640">
        <v>1</v>
      </c>
      <c r="L1640" s="2">
        <v>57.92</v>
      </c>
      <c r="M1640" s="3">
        <v>0.05</v>
      </c>
      <c r="N1640" t="s">
        <v>29</v>
      </c>
      <c r="O1640" s="2">
        <v>55.02</v>
      </c>
      <c r="P1640" s="2">
        <v>42.22</v>
      </c>
      <c r="Q1640" s="2">
        <v>12.8</v>
      </c>
      <c r="R1640">
        <v>1</v>
      </c>
      <c r="S1640">
        <v>0</v>
      </c>
      <c r="T1640">
        <v>6</v>
      </c>
      <c r="U1640">
        <v>3</v>
      </c>
    </row>
    <row r="1641" spans="1:21" ht="16.5" x14ac:dyDescent="0.3">
      <c r="A1641" t="s">
        <v>1725</v>
      </c>
      <c r="B1641" s="1">
        <v>45563</v>
      </c>
      <c r="C1641">
        <v>2024</v>
      </c>
      <c r="D1641" t="s">
        <v>1187</v>
      </c>
      <c r="E1641" t="s">
        <v>1543</v>
      </c>
      <c r="F1641" t="s">
        <v>45</v>
      </c>
      <c r="G1641" t="s">
        <v>25</v>
      </c>
      <c r="H1641" t="s">
        <v>32</v>
      </c>
      <c r="I1641" t="s">
        <v>36</v>
      </c>
      <c r="J1641" t="s">
        <v>37</v>
      </c>
      <c r="K1641">
        <v>2</v>
      </c>
      <c r="L1641" s="2">
        <v>33.18</v>
      </c>
      <c r="M1641" s="3">
        <v>0.25</v>
      </c>
      <c r="N1641" t="s">
        <v>62</v>
      </c>
      <c r="O1641" s="2">
        <v>49.77</v>
      </c>
      <c r="P1641" s="2">
        <v>32.130000000000003</v>
      </c>
      <c r="Q1641" s="2">
        <v>17.64</v>
      </c>
      <c r="R1641">
        <v>1</v>
      </c>
      <c r="S1641">
        <v>0</v>
      </c>
      <c r="T1641">
        <v>3</v>
      </c>
      <c r="U1641">
        <v>3</v>
      </c>
    </row>
    <row r="1642" spans="1:21" ht="16.5" x14ac:dyDescent="0.3">
      <c r="A1642" t="s">
        <v>1726</v>
      </c>
      <c r="B1642" s="1">
        <v>45563</v>
      </c>
      <c r="C1642">
        <v>2024</v>
      </c>
      <c r="D1642" t="s">
        <v>1187</v>
      </c>
      <c r="E1642" t="s">
        <v>1543</v>
      </c>
      <c r="F1642" t="s">
        <v>31</v>
      </c>
      <c r="G1642" t="s">
        <v>25</v>
      </c>
      <c r="H1642" t="s">
        <v>32</v>
      </c>
      <c r="I1642" t="s">
        <v>36</v>
      </c>
      <c r="J1642" t="s">
        <v>37</v>
      </c>
      <c r="K1642">
        <v>1</v>
      </c>
      <c r="L1642" s="2">
        <v>33.18</v>
      </c>
      <c r="M1642" s="3">
        <v>0</v>
      </c>
      <c r="N1642" t="s">
        <v>38</v>
      </c>
      <c r="O1642" s="2">
        <v>33.18</v>
      </c>
      <c r="P1642" s="2">
        <v>16.579999999999998</v>
      </c>
      <c r="Q1642" s="2">
        <v>16.600000000000001</v>
      </c>
      <c r="R1642">
        <v>1</v>
      </c>
      <c r="S1642">
        <v>0</v>
      </c>
      <c r="T1642">
        <v>4</v>
      </c>
      <c r="U1642">
        <v>4</v>
      </c>
    </row>
    <row r="1643" spans="1:21" ht="16.5" x14ac:dyDescent="0.3">
      <c r="A1643" t="s">
        <v>1727</v>
      </c>
      <c r="B1643" s="1">
        <v>45563</v>
      </c>
      <c r="C1643">
        <v>2024</v>
      </c>
      <c r="D1643" t="s">
        <v>1187</v>
      </c>
      <c r="E1643" t="s">
        <v>1543</v>
      </c>
      <c r="F1643" t="s">
        <v>24</v>
      </c>
      <c r="G1643" t="s">
        <v>51</v>
      </c>
      <c r="H1643" t="s">
        <v>32</v>
      </c>
      <c r="I1643" t="s">
        <v>70</v>
      </c>
      <c r="J1643" t="s">
        <v>252</v>
      </c>
      <c r="K1643">
        <v>1</v>
      </c>
      <c r="L1643" s="2">
        <v>216.08</v>
      </c>
      <c r="M1643" s="3">
        <v>0</v>
      </c>
      <c r="N1643" t="s">
        <v>38</v>
      </c>
      <c r="O1643" s="2">
        <v>216.08</v>
      </c>
      <c r="P1643" s="2">
        <v>173.69</v>
      </c>
      <c r="Q1643" s="2">
        <v>42.39</v>
      </c>
      <c r="R1643">
        <v>1</v>
      </c>
      <c r="S1643">
        <v>0</v>
      </c>
      <c r="T1643">
        <v>3</v>
      </c>
      <c r="U1643">
        <v>4</v>
      </c>
    </row>
    <row r="1644" spans="1:21" ht="16.5" x14ac:dyDescent="0.3">
      <c r="A1644" t="s">
        <v>1728</v>
      </c>
      <c r="B1644" s="1">
        <v>45563</v>
      </c>
      <c r="C1644">
        <v>2024</v>
      </c>
      <c r="D1644" t="s">
        <v>1187</v>
      </c>
      <c r="E1644" t="s">
        <v>1543</v>
      </c>
      <c r="F1644" t="s">
        <v>24</v>
      </c>
      <c r="G1644" t="s">
        <v>49</v>
      </c>
      <c r="H1644" t="s">
        <v>32</v>
      </c>
      <c r="I1644" t="s">
        <v>67</v>
      </c>
      <c r="J1644" t="s">
        <v>78</v>
      </c>
      <c r="K1644">
        <v>2</v>
      </c>
      <c r="L1644" s="2">
        <v>85.42</v>
      </c>
      <c r="M1644" s="3">
        <v>0</v>
      </c>
      <c r="N1644" t="s">
        <v>38</v>
      </c>
      <c r="O1644" s="2">
        <v>170.84</v>
      </c>
      <c r="P1644" s="2">
        <v>117.11</v>
      </c>
      <c r="Q1644" s="2">
        <v>53.73</v>
      </c>
      <c r="R1644">
        <v>1</v>
      </c>
      <c r="S1644">
        <v>0</v>
      </c>
      <c r="T1644">
        <v>5</v>
      </c>
      <c r="U1644">
        <v>4</v>
      </c>
    </row>
    <row r="1645" spans="1:21" ht="16.5" x14ac:dyDescent="0.3">
      <c r="A1645" t="s">
        <v>1729</v>
      </c>
      <c r="B1645" s="1">
        <v>45563</v>
      </c>
      <c r="C1645">
        <v>2024</v>
      </c>
      <c r="D1645" t="s">
        <v>1187</v>
      </c>
      <c r="E1645" t="s">
        <v>1543</v>
      </c>
      <c r="F1645" t="s">
        <v>24</v>
      </c>
      <c r="G1645" t="s">
        <v>49</v>
      </c>
      <c r="H1645" t="s">
        <v>32</v>
      </c>
      <c r="I1645" t="s">
        <v>27</v>
      </c>
      <c r="J1645" t="s">
        <v>28</v>
      </c>
      <c r="K1645">
        <v>2</v>
      </c>
      <c r="L1645" s="2">
        <v>138.5</v>
      </c>
      <c r="M1645" s="3">
        <v>0.05</v>
      </c>
      <c r="N1645" t="s">
        <v>29</v>
      </c>
      <c r="O1645" s="2">
        <v>263.14999999999998</v>
      </c>
      <c r="P1645" s="2">
        <v>153.38999999999999</v>
      </c>
      <c r="Q1645" s="2">
        <v>109.76</v>
      </c>
      <c r="R1645">
        <v>1</v>
      </c>
      <c r="S1645">
        <v>0</v>
      </c>
      <c r="T1645">
        <v>3</v>
      </c>
      <c r="U1645">
        <v>4</v>
      </c>
    </row>
    <row r="1646" spans="1:21" ht="16.5" x14ac:dyDescent="0.3">
      <c r="A1646" t="s">
        <v>1730</v>
      </c>
      <c r="B1646" s="1">
        <v>45564</v>
      </c>
      <c r="C1646">
        <v>2024</v>
      </c>
      <c r="D1646" t="s">
        <v>1187</v>
      </c>
      <c r="E1646" t="s">
        <v>1543</v>
      </c>
      <c r="F1646" t="s">
        <v>24</v>
      </c>
      <c r="G1646" t="s">
        <v>49</v>
      </c>
      <c r="H1646" t="s">
        <v>32</v>
      </c>
      <c r="I1646" t="s">
        <v>36</v>
      </c>
      <c r="J1646" t="s">
        <v>56</v>
      </c>
      <c r="K1646">
        <v>3</v>
      </c>
      <c r="L1646" s="2">
        <v>74.3</v>
      </c>
      <c r="M1646" s="3">
        <v>0.1</v>
      </c>
      <c r="N1646" t="s">
        <v>29</v>
      </c>
      <c r="O1646" s="2">
        <v>200.61</v>
      </c>
      <c r="P1646" s="2">
        <v>101.89</v>
      </c>
      <c r="Q1646" s="2">
        <v>98.72</v>
      </c>
      <c r="R1646">
        <v>1</v>
      </c>
      <c r="S1646">
        <v>0</v>
      </c>
      <c r="T1646">
        <v>5</v>
      </c>
      <c r="U1646">
        <v>5</v>
      </c>
    </row>
    <row r="1647" spans="1:21" ht="16.5" x14ac:dyDescent="0.3">
      <c r="A1647" t="s">
        <v>1731</v>
      </c>
      <c r="B1647" s="1">
        <v>45564</v>
      </c>
      <c r="C1647">
        <v>2024</v>
      </c>
      <c r="D1647" t="s">
        <v>1187</v>
      </c>
      <c r="E1647" t="s">
        <v>1543</v>
      </c>
      <c r="F1647" t="s">
        <v>45</v>
      </c>
      <c r="G1647" t="s">
        <v>25</v>
      </c>
      <c r="H1647" t="s">
        <v>26</v>
      </c>
      <c r="I1647" t="s">
        <v>36</v>
      </c>
      <c r="J1647" t="s">
        <v>126</v>
      </c>
      <c r="K1647">
        <v>1</v>
      </c>
      <c r="L1647" s="2">
        <v>54.56</v>
      </c>
      <c r="M1647" s="3">
        <v>0.05</v>
      </c>
      <c r="N1647" t="s">
        <v>29</v>
      </c>
      <c r="O1647" s="2">
        <v>51.83</v>
      </c>
      <c r="P1647" s="2">
        <v>26.84</v>
      </c>
      <c r="Q1647" s="2">
        <v>24.99</v>
      </c>
      <c r="R1647">
        <v>1</v>
      </c>
      <c r="S1647">
        <v>0</v>
      </c>
      <c r="T1647">
        <v>3</v>
      </c>
      <c r="U1647">
        <v>5</v>
      </c>
    </row>
    <row r="1648" spans="1:21" ht="16.5" x14ac:dyDescent="0.3">
      <c r="A1648" t="s">
        <v>1732</v>
      </c>
      <c r="B1648" s="1">
        <v>45564</v>
      </c>
      <c r="C1648">
        <v>2024</v>
      </c>
      <c r="D1648" t="s">
        <v>1187</v>
      </c>
      <c r="E1648" t="s">
        <v>1543</v>
      </c>
      <c r="F1648" t="s">
        <v>24</v>
      </c>
      <c r="G1648" t="s">
        <v>49</v>
      </c>
      <c r="H1648" t="s">
        <v>32</v>
      </c>
      <c r="I1648" t="s">
        <v>27</v>
      </c>
      <c r="J1648" t="s">
        <v>47</v>
      </c>
      <c r="K1648">
        <v>1</v>
      </c>
      <c r="L1648" s="2">
        <v>33.99</v>
      </c>
      <c r="M1648" s="3">
        <v>0</v>
      </c>
      <c r="N1648" t="s">
        <v>38</v>
      </c>
      <c r="O1648" s="2">
        <v>33.99</v>
      </c>
      <c r="P1648" s="2">
        <v>17.95</v>
      </c>
      <c r="Q1648" s="2">
        <v>16.04</v>
      </c>
      <c r="R1648">
        <v>1</v>
      </c>
      <c r="S1648">
        <v>0</v>
      </c>
      <c r="T1648">
        <v>5</v>
      </c>
      <c r="U1648">
        <v>5</v>
      </c>
    </row>
    <row r="1649" spans="1:21" ht="16.5" x14ac:dyDescent="0.3">
      <c r="A1649" t="s">
        <v>1733</v>
      </c>
      <c r="B1649" s="1">
        <v>45564</v>
      </c>
      <c r="C1649">
        <v>2024</v>
      </c>
      <c r="D1649" t="s">
        <v>1187</v>
      </c>
      <c r="E1649" t="s">
        <v>1543</v>
      </c>
      <c r="F1649" t="s">
        <v>24</v>
      </c>
      <c r="G1649" t="s">
        <v>51</v>
      </c>
      <c r="H1649" t="s">
        <v>32</v>
      </c>
      <c r="I1649" t="s">
        <v>84</v>
      </c>
      <c r="J1649" t="s">
        <v>106</v>
      </c>
      <c r="K1649">
        <v>2</v>
      </c>
      <c r="L1649" s="2">
        <v>45.28</v>
      </c>
      <c r="M1649" s="3">
        <v>0.25</v>
      </c>
      <c r="N1649" t="s">
        <v>62</v>
      </c>
      <c r="O1649" s="2">
        <v>67.92</v>
      </c>
      <c r="P1649" s="2">
        <v>64.739999999999995</v>
      </c>
      <c r="Q1649" s="2">
        <v>3.18</v>
      </c>
      <c r="R1649">
        <v>1</v>
      </c>
      <c r="S1649">
        <v>0</v>
      </c>
      <c r="T1649">
        <v>4</v>
      </c>
      <c r="U1649">
        <v>4</v>
      </c>
    </row>
    <row r="1650" spans="1:21" ht="16.5" x14ac:dyDescent="0.3">
      <c r="A1650" t="s">
        <v>1734</v>
      </c>
      <c r="B1650" s="1">
        <v>45565</v>
      </c>
      <c r="C1650">
        <v>2024</v>
      </c>
      <c r="D1650" t="s">
        <v>1187</v>
      </c>
      <c r="E1650" t="s">
        <v>1543</v>
      </c>
      <c r="F1650" t="s">
        <v>24</v>
      </c>
      <c r="G1650" t="s">
        <v>49</v>
      </c>
      <c r="H1650" t="s">
        <v>32</v>
      </c>
      <c r="I1650" t="s">
        <v>67</v>
      </c>
      <c r="J1650" t="s">
        <v>78</v>
      </c>
      <c r="K1650">
        <v>3</v>
      </c>
      <c r="L1650" s="2">
        <v>85.42</v>
      </c>
      <c r="M1650" s="3">
        <v>0</v>
      </c>
      <c r="N1650" t="s">
        <v>38</v>
      </c>
      <c r="O1650" s="2">
        <v>256.26</v>
      </c>
      <c r="P1650" s="2">
        <v>166.51</v>
      </c>
      <c r="Q1650" s="2">
        <v>89.75</v>
      </c>
      <c r="R1650">
        <v>1</v>
      </c>
      <c r="S1650">
        <v>0</v>
      </c>
      <c r="T1650">
        <v>3</v>
      </c>
      <c r="U1650">
        <v>4</v>
      </c>
    </row>
    <row r="1651" spans="1:21" ht="16.5" x14ac:dyDescent="0.3">
      <c r="A1651" t="s">
        <v>1735</v>
      </c>
      <c r="B1651" s="1">
        <v>45565</v>
      </c>
      <c r="C1651">
        <v>2024</v>
      </c>
      <c r="D1651" t="s">
        <v>1187</v>
      </c>
      <c r="E1651" t="s">
        <v>1543</v>
      </c>
      <c r="F1651" t="s">
        <v>24</v>
      </c>
      <c r="G1651" t="s">
        <v>65</v>
      </c>
      <c r="H1651" t="s">
        <v>32</v>
      </c>
      <c r="I1651" t="s">
        <v>70</v>
      </c>
      <c r="J1651" t="s">
        <v>252</v>
      </c>
      <c r="K1651">
        <v>1</v>
      </c>
      <c r="L1651" s="2">
        <v>216.08</v>
      </c>
      <c r="M1651" s="3">
        <v>0</v>
      </c>
      <c r="N1651" t="s">
        <v>38</v>
      </c>
      <c r="O1651" s="2">
        <v>216.08</v>
      </c>
      <c r="P1651" s="2">
        <v>177.76</v>
      </c>
      <c r="Q1651" s="2">
        <v>38.32</v>
      </c>
      <c r="R1651">
        <v>1</v>
      </c>
      <c r="S1651">
        <v>0</v>
      </c>
      <c r="T1651">
        <v>6</v>
      </c>
      <c r="U1651">
        <v>4</v>
      </c>
    </row>
    <row r="1652" spans="1:21" ht="16.5" x14ac:dyDescent="0.3">
      <c r="A1652" t="s">
        <v>1736</v>
      </c>
      <c r="B1652" s="1">
        <v>45565</v>
      </c>
      <c r="C1652">
        <v>2024</v>
      </c>
      <c r="D1652" t="s">
        <v>1187</v>
      </c>
      <c r="E1652" t="s">
        <v>1543</v>
      </c>
      <c r="F1652" t="s">
        <v>31</v>
      </c>
      <c r="G1652" t="s">
        <v>46</v>
      </c>
      <c r="H1652" t="s">
        <v>26</v>
      </c>
      <c r="I1652" t="s">
        <v>42</v>
      </c>
      <c r="J1652" t="s">
        <v>76</v>
      </c>
      <c r="K1652">
        <v>2</v>
      </c>
      <c r="L1652" s="2">
        <v>90.75</v>
      </c>
      <c r="M1652" s="3">
        <v>0</v>
      </c>
      <c r="N1652" t="s">
        <v>38</v>
      </c>
      <c r="O1652" s="2">
        <v>181.5</v>
      </c>
      <c r="P1652" s="2">
        <v>116.62</v>
      </c>
      <c r="Q1652" s="2">
        <v>64.88</v>
      </c>
      <c r="R1652">
        <v>1</v>
      </c>
      <c r="S1652">
        <v>0</v>
      </c>
      <c r="T1652">
        <v>6</v>
      </c>
      <c r="U1652">
        <v>3</v>
      </c>
    </row>
    <row r="1653" spans="1:21" ht="16.5" x14ac:dyDescent="0.3">
      <c r="A1653" t="s">
        <v>1737</v>
      </c>
      <c r="B1653" s="1">
        <v>45566</v>
      </c>
      <c r="C1653">
        <v>2024</v>
      </c>
      <c r="D1653" t="s">
        <v>1738</v>
      </c>
      <c r="E1653" t="s">
        <v>1739</v>
      </c>
      <c r="F1653" t="s">
        <v>45</v>
      </c>
      <c r="G1653" t="s">
        <v>25</v>
      </c>
      <c r="H1653" t="s">
        <v>32</v>
      </c>
      <c r="I1653" t="s">
        <v>27</v>
      </c>
      <c r="J1653" t="s">
        <v>60</v>
      </c>
      <c r="K1653">
        <v>1</v>
      </c>
      <c r="L1653" s="2">
        <v>94.85</v>
      </c>
      <c r="M1653" s="3">
        <v>0</v>
      </c>
      <c r="N1653" t="s">
        <v>38</v>
      </c>
      <c r="O1653" s="2">
        <v>94.85</v>
      </c>
      <c r="P1653" s="2">
        <v>52.12</v>
      </c>
      <c r="Q1653" s="2">
        <v>42.73</v>
      </c>
      <c r="R1653">
        <v>1</v>
      </c>
      <c r="S1653">
        <v>0</v>
      </c>
      <c r="T1653">
        <v>5</v>
      </c>
      <c r="U1653">
        <v>4</v>
      </c>
    </row>
    <row r="1654" spans="1:21" ht="16.5" x14ac:dyDescent="0.3">
      <c r="A1654" t="s">
        <v>1740</v>
      </c>
      <c r="B1654" s="1">
        <v>45567</v>
      </c>
      <c r="C1654">
        <v>2024</v>
      </c>
      <c r="D1654" t="s">
        <v>1738</v>
      </c>
      <c r="E1654" t="s">
        <v>1739</v>
      </c>
      <c r="F1654" t="s">
        <v>24</v>
      </c>
      <c r="G1654" t="s">
        <v>65</v>
      </c>
      <c r="H1654" t="s">
        <v>32</v>
      </c>
      <c r="I1654" t="s">
        <v>70</v>
      </c>
      <c r="J1654" t="s">
        <v>71</v>
      </c>
      <c r="K1654">
        <v>1</v>
      </c>
      <c r="L1654" s="2">
        <v>588.41</v>
      </c>
      <c r="M1654" s="3">
        <v>0.1</v>
      </c>
      <c r="N1654" t="s">
        <v>29</v>
      </c>
      <c r="O1654" s="2">
        <v>529.57000000000005</v>
      </c>
      <c r="P1654" s="2">
        <v>469.78</v>
      </c>
      <c r="Q1654" s="2">
        <v>59.79</v>
      </c>
      <c r="R1654">
        <v>1</v>
      </c>
      <c r="S1654">
        <v>0</v>
      </c>
      <c r="T1654">
        <v>6</v>
      </c>
      <c r="U1654">
        <v>4</v>
      </c>
    </row>
    <row r="1655" spans="1:21" ht="16.5" x14ac:dyDescent="0.3">
      <c r="A1655" t="s">
        <v>1741</v>
      </c>
      <c r="B1655" s="1">
        <v>45567</v>
      </c>
      <c r="C1655">
        <v>2024</v>
      </c>
      <c r="D1655" t="s">
        <v>1738</v>
      </c>
      <c r="E1655" t="s">
        <v>1739</v>
      </c>
      <c r="F1655" t="s">
        <v>24</v>
      </c>
      <c r="G1655" t="s">
        <v>49</v>
      </c>
      <c r="H1655" t="s">
        <v>32</v>
      </c>
      <c r="I1655" t="s">
        <v>70</v>
      </c>
      <c r="J1655" t="s">
        <v>162</v>
      </c>
      <c r="K1655">
        <v>1</v>
      </c>
      <c r="L1655" s="2">
        <v>636.09</v>
      </c>
      <c r="M1655" s="3">
        <v>0.15</v>
      </c>
      <c r="N1655" t="s">
        <v>34</v>
      </c>
      <c r="O1655" s="2">
        <v>540.67999999999995</v>
      </c>
      <c r="P1655" s="2">
        <v>511.57</v>
      </c>
      <c r="Q1655" s="2">
        <v>29.11</v>
      </c>
      <c r="R1655">
        <v>1</v>
      </c>
      <c r="S1655">
        <v>0</v>
      </c>
      <c r="T1655">
        <v>4</v>
      </c>
      <c r="U1655">
        <v>4</v>
      </c>
    </row>
    <row r="1656" spans="1:21" ht="16.5" x14ac:dyDescent="0.3">
      <c r="A1656" t="s">
        <v>1742</v>
      </c>
      <c r="B1656" s="1">
        <v>45567</v>
      </c>
      <c r="C1656">
        <v>2024</v>
      </c>
      <c r="D1656" t="s">
        <v>1738</v>
      </c>
      <c r="E1656" t="s">
        <v>1739</v>
      </c>
      <c r="F1656" t="s">
        <v>24</v>
      </c>
      <c r="G1656" t="s">
        <v>25</v>
      </c>
      <c r="H1656" t="s">
        <v>26</v>
      </c>
      <c r="I1656" t="s">
        <v>42</v>
      </c>
      <c r="J1656" t="s">
        <v>76</v>
      </c>
      <c r="K1656">
        <v>1</v>
      </c>
      <c r="L1656" s="2">
        <v>90.75</v>
      </c>
      <c r="M1656" s="3">
        <v>0</v>
      </c>
      <c r="N1656" t="s">
        <v>38</v>
      </c>
      <c r="O1656" s="2">
        <v>90.75</v>
      </c>
      <c r="P1656" s="2">
        <v>59.15</v>
      </c>
      <c r="Q1656" s="2">
        <v>31.6</v>
      </c>
      <c r="R1656">
        <v>1</v>
      </c>
      <c r="S1656">
        <v>0</v>
      </c>
      <c r="T1656">
        <v>3</v>
      </c>
      <c r="U1656">
        <v>5</v>
      </c>
    </row>
    <row r="1657" spans="1:21" ht="16.5" x14ac:dyDescent="0.3">
      <c r="A1657" t="s">
        <v>1743</v>
      </c>
      <c r="B1657" s="1">
        <v>45567</v>
      </c>
      <c r="C1657">
        <v>2024</v>
      </c>
      <c r="D1657" t="s">
        <v>1738</v>
      </c>
      <c r="E1657" t="s">
        <v>1739</v>
      </c>
      <c r="F1657" t="s">
        <v>45</v>
      </c>
      <c r="G1657" t="s">
        <v>49</v>
      </c>
      <c r="H1657" t="s">
        <v>26</v>
      </c>
      <c r="I1657" t="s">
        <v>36</v>
      </c>
      <c r="J1657" t="s">
        <v>126</v>
      </c>
      <c r="K1657">
        <v>1</v>
      </c>
      <c r="L1657" s="2">
        <v>54.56</v>
      </c>
      <c r="M1657" s="3">
        <v>0</v>
      </c>
      <c r="N1657" t="s">
        <v>38</v>
      </c>
      <c r="O1657" s="2">
        <v>54.56</v>
      </c>
      <c r="P1657" s="2">
        <v>26.5</v>
      </c>
      <c r="Q1657" s="2">
        <v>28.06</v>
      </c>
      <c r="R1657">
        <v>1</v>
      </c>
      <c r="S1657">
        <v>0</v>
      </c>
      <c r="T1657">
        <v>3</v>
      </c>
      <c r="U1657">
        <v>4</v>
      </c>
    </row>
    <row r="1658" spans="1:21" ht="16.5" x14ac:dyDescent="0.3">
      <c r="A1658" t="s">
        <v>1744</v>
      </c>
      <c r="B1658" s="1">
        <v>45567</v>
      </c>
      <c r="C1658">
        <v>2024</v>
      </c>
      <c r="D1658" t="s">
        <v>1738</v>
      </c>
      <c r="E1658" t="s">
        <v>1739</v>
      </c>
      <c r="F1658" t="s">
        <v>24</v>
      </c>
      <c r="G1658" t="s">
        <v>49</v>
      </c>
      <c r="H1658" t="s">
        <v>32</v>
      </c>
      <c r="I1658" t="s">
        <v>42</v>
      </c>
      <c r="J1658" t="s">
        <v>54</v>
      </c>
      <c r="K1658">
        <v>2</v>
      </c>
      <c r="L1658" s="2">
        <v>148.05000000000001</v>
      </c>
      <c r="M1658" s="3">
        <v>0</v>
      </c>
      <c r="N1658" t="s">
        <v>38</v>
      </c>
      <c r="O1658" s="2">
        <v>296.10000000000002</v>
      </c>
      <c r="P1658" s="2">
        <v>202.3</v>
      </c>
      <c r="Q1658" s="2">
        <v>93.8</v>
      </c>
      <c r="R1658">
        <v>1</v>
      </c>
      <c r="S1658">
        <v>1</v>
      </c>
      <c r="T1658">
        <v>4</v>
      </c>
      <c r="U1658">
        <v>3</v>
      </c>
    </row>
    <row r="1659" spans="1:21" ht="16.5" x14ac:dyDescent="0.3">
      <c r="A1659" t="s">
        <v>1745</v>
      </c>
      <c r="B1659" s="1">
        <v>45567</v>
      </c>
      <c r="C1659">
        <v>2024</v>
      </c>
      <c r="D1659" t="s">
        <v>1738</v>
      </c>
      <c r="E1659" t="s">
        <v>1739</v>
      </c>
      <c r="F1659" t="s">
        <v>24</v>
      </c>
      <c r="G1659" t="s">
        <v>49</v>
      </c>
      <c r="H1659" t="s">
        <v>32</v>
      </c>
      <c r="I1659" t="s">
        <v>27</v>
      </c>
      <c r="J1659" t="s">
        <v>47</v>
      </c>
      <c r="K1659">
        <v>1</v>
      </c>
      <c r="L1659" s="2">
        <v>33.99</v>
      </c>
      <c r="M1659" s="3">
        <v>0.1</v>
      </c>
      <c r="N1659" t="s">
        <v>29</v>
      </c>
      <c r="O1659" s="2">
        <v>30.59</v>
      </c>
      <c r="P1659" s="2">
        <v>17.670000000000002</v>
      </c>
      <c r="Q1659" s="2">
        <v>12.92</v>
      </c>
      <c r="R1659">
        <v>1</v>
      </c>
      <c r="S1659">
        <v>1</v>
      </c>
      <c r="T1659">
        <v>3</v>
      </c>
      <c r="U1659">
        <v>4</v>
      </c>
    </row>
    <row r="1660" spans="1:21" ht="16.5" x14ac:dyDescent="0.3">
      <c r="A1660" t="s">
        <v>1746</v>
      </c>
      <c r="B1660" s="1">
        <v>45567</v>
      </c>
      <c r="C1660">
        <v>2024</v>
      </c>
      <c r="D1660" t="s">
        <v>1738</v>
      </c>
      <c r="E1660" t="s">
        <v>1739</v>
      </c>
      <c r="F1660" t="s">
        <v>24</v>
      </c>
      <c r="G1660" t="s">
        <v>25</v>
      </c>
      <c r="H1660" t="s">
        <v>26</v>
      </c>
      <c r="I1660" t="s">
        <v>27</v>
      </c>
      <c r="J1660" t="s">
        <v>33</v>
      </c>
      <c r="K1660">
        <v>1</v>
      </c>
      <c r="L1660" s="2">
        <v>78.510000000000005</v>
      </c>
      <c r="M1660" s="3">
        <v>0.1</v>
      </c>
      <c r="N1660" t="s">
        <v>29</v>
      </c>
      <c r="O1660" s="2">
        <v>70.66</v>
      </c>
      <c r="P1660" s="2">
        <v>40.74</v>
      </c>
      <c r="Q1660" s="2">
        <v>29.92</v>
      </c>
      <c r="R1660">
        <v>1</v>
      </c>
      <c r="S1660">
        <v>0</v>
      </c>
      <c r="T1660">
        <v>4</v>
      </c>
      <c r="U1660">
        <v>5</v>
      </c>
    </row>
    <row r="1661" spans="1:21" ht="16.5" x14ac:dyDescent="0.3">
      <c r="A1661" t="s">
        <v>1747</v>
      </c>
      <c r="B1661" s="1">
        <v>45568</v>
      </c>
      <c r="C1661">
        <v>2024</v>
      </c>
      <c r="D1661" t="s">
        <v>1738</v>
      </c>
      <c r="E1661" t="s">
        <v>1739</v>
      </c>
      <c r="F1661" t="s">
        <v>45</v>
      </c>
      <c r="G1661" t="s">
        <v>65</v>
      </c>
      <c r="H1661" t="s">
        <v>32</v>
      </c>
      <c r="I1661" t="s">
        <v>42</v>
      </c>
      <c r="J1661" t="s">
        <v>54</v>
      </c>
      <c r="K1661">
        <v>1</v>
      </c>
      <c r="L1661" s="2">
        <v>148.05000000000001</v>
      </c>
      <c r="M1661" s="3">
        <v>0.25</v>
      </c>
      <c r="N1661" t="s">
        <v>62</v>
      </c>
      <c r="O1661" s="2">
        <v>111.04</v>
      </c>
      <c r="P1661" s="2">
        <v>104.75</v>
      </c>
      <c r="Q1661" s="2">
        <v>6.29</v>
      </c>
      <c r="R1661">
        <v>1</v>
      </c>
      <c r="S1661">
        <v>0</v>
      </c>
      <c r="T1661">
        <v>6</v>
      </c>
      <c r="U1661">
        <v>3</v>
      </c>
    </row>
    <row r="1662" spans="1:21" ht="16.5" x14ac:dyDescent="0.3">
      <c r="A1662" t="s">
        <v>1748</v>
      </c>
      <c r="B1662" s="1">
        <v>45568</v>
      </c>
      <c r="C1662">
        <v>2024</v>
      </c>
      <c r="D1662" t="s">
        <v>1738</v>
      </c>
      <c r="E1662" t="s">
        <v>1739</v>
      </c>
      <c r="F1662" t="s">
        <v>31</v>
      </c>
      <c r="G1662" t="s">
        <v>51</v>
      </c>
      <c r="H1662" t="s">
        <v>26</v>
      </c>
      <c r="I1662" t="s">
        <v>70</v>
      </c>
      <c r="J1662" t="s">
        <v>82</v>
      </c>
      <c r="K1662">
        <v>3</v>
      </c>
      <c r="L1662" s="2">
        <v>508.8</v>
      </c>
      <c r="M1662" s="3">
        <v>0.2</v>
      </c>
      <c r="N1662" t="s">
        <v>34</v>
      </c>
      <c r="O1662" s="2">
        <v>1221.1199999999999</v>
      </c>
      <c r="P1662" s="2">
        <v>1204.3499999999999</v>
      </c>
      <c r="Q1662" s="2">
        <v>16.77</v>
      </c>
      <c r="R1662">
        <v>1</v>
      </c>
      <c r="S1662">
        <v>0</v>
      </c>
      <c r="T1662">
        <v>2</v>
      </c>
      <c r="U1662">
        <v>5</v>
      </c>
    </row>
    <row r="1663" spans="1:21" ht="16.5" x14ac:dyDescent="0.3">
      <c r="A1663" t="s">
        <v>1749</v>
      </c>
      <c r="B1663" s="1">
        <v>45568</v>
      </c>
      <c r="C1663">
        <v>2024</v>
      </c>
      <c r="D1663" t="s">
        <v>1738</v>
      </c>
      <c r="E1663" t="s">
        <v>1739</v>
      </c>
      <c r="F1663" t="s">
        <v>24</v>
      </c>
      <c r="G1663" t="s">
        <v>25</v>
      </c>
      <c r="H1663" t="s">
        <v>32</v>
      </c>
      <c r="I1663" t="s">
        <v>42</v>
      </c>
      <c r="J1663" t="s">
        <v>98</v>
      </c>
      <c r="K1663">
        <v>1</v>
      </c>
      <c r="L1663" s="2">
        <v>117.63</v>
      </c>
      <c r="M1663" s="3">
        <v>0.05</v>
      </c>
      <c r="N1663" t="s">
        <v>29</v>
      </c>
      <c r="O1663" s="2">
        <v>111.75</v>
      </c>
      <c r="P1663" s="2">
        <v>80.099999999999994</v>
      </c>
      <c r="Q1663" s="2">
        <v>31.65</v>
      </c>
      <c r="R1663">
        <v>1</v>
      </c>
      <c r="S1663">
        <v>0</v>
      </c>
      <c r="T1663">
        <v>4</v>
      </c>
      <c r="U1663">
        <v>5</v>
      </c>
    </row>
    <row r="1664" spans="1:21" ht="16.5" x14ac:dyDescent="0.3">
      <c r="A1664" t="s">
        <v>1750</v>
      </c>
      <c r="B1664" s="1">
        <v>45568</v>
      </c>
      <c r="C1664">
        <v>2024</v>
      </c>
      <c r="D1664" t="s">
        <v>1738</v>
      </c>
      <c r="E1664" t="s">
        <v>1739</v>
      </c>
      <c r="F1664" t="s">
        <v>24</v>
      </c>
      <c r="G1664" t="s">
        <v>25</v>
      </c>
      <c r="H1664" t="s">
        <v>26</v>
      </c>
      <c r="I1664" t="s">
        <v>70</v>
      </c>
      <c r="J1664" t="s">
        <v>162</v>
      </c>
      <c r="K1664">
        <v>1</v>
      </c>
      <c r="L1664" s="2">
        <v>636.09</v>
      </c>
      <c r="M1664" s="3">
        <v>0.1</v>
      </c>
      <c r="N1664" t="s">
        <v>29</v>
      </c>
      <c r="O1664" s="2">
        <v>572.48</v>
      </c>
      <c r="P1664" s="2">
        <v>508.99</v>
      </c>
      <c r="Q1664" s="2">
        <v>63.49</v>
      </c>
      <c r="R1664">
        <v>1</v>
      </c>
      <c r="S1664">
        <v>0</v>
      </c>
      <c r="T1664">
        <v>3</v>
      </c>
      <c r="U1664">
        <v>3</v>
      </c>
    </row>
    <row r="1665" spans="1:21" ht="16.5" x14ac:dyDescent="0.3">
      <c r="A1665" t="s">
        <v>1751</v>
      </c>
      <c r="B1665" s="1">
        <v>45568</v>
      </c>
      <c r="C1665">
        <v>2024</v>
      </c>
      <c r="D1665" t="s">
        <v>1738</v>
      </c>
      <c r="E1665" t="s">
        <v>1739</v>
      </c>
      <c r="F1665" t="s">
        <v>31</v>
      </c>
      <c r="G1665" t="s">
        <v>49</v>
      </c>
      <c r="H1665" t="s">
        <v>32</v>
      </c>
      <c r="I1665" t="s">
        <v>36</v>
      </c>
      <c r="J1665" t="s">
        <v>37</v>
      </c>
      <c r="K1665">
        <v>1</v>
      </c>
      <c r="L1665" s="2">
        <v>33.18</v>
      </c>
      <c r="M1665" s="3">
        <v>0.05</v>
      </c>
      <c r="N1665" t="s">
        <v>29</v>
      </c>
      <c r="O1665" s="2">
        <v>31.52</v>
      </c>
      <c r="P1665" s="2">
        <v>15.4</v>
      </c>
      <c r="Q1665" s="2">
        <v>16.12</v>
      </c>
      <c r="R1665">
        <v>1</v>
      </c>
      <c r="S1665">
        <v>1</v>
      </c>
      <c r="T1665">
        <v>4</v>
      </c>
      <c r="U1665">
        <v>3</v>
      </c>
    </row>
    <row r="1666" spans="1:21" ht="16.5" x14ac:dyDescent="0.3">
      <c r="A1666" t="s">
        <v>1752</v>
      </c>
      <c r="B1666" s="1">
        <v>45568</v>
      </c>
      <c r="C1666">
        <v>2024</v>
      </c>
      <c r="D1666" t="s">
        <v>1738</v>
      </c>
      <c r="E1666" t="s">
        <v>1739</v>
      </c>
      <c r="F1666" t="s">
        <v>31</v>
      </c>
      <c r="G1666" t="s">
        <v>49</v>
      </c>
      <c r="H1666" t="s">
        <v>32</v>
      </c>
      <c r="I1666" t="s">
        <v>67</v>
      </c>
      <c r="J1666" t="s">
        <v>93</v>
      </c>
      <c r="K1666">
        <v>1</v>
      </c>
      <c r="L1666" s="2">
        <v>198.42</v>
      </c>
      <c r="M1666" s="3">
        <v>0.1</v>
      </c>
      <c r="N1666" t="s">
        <v>29</v>
      </c>
      <c r="O1666" s="2">
        <v>178.58</v>
      </c>
      <c r="P1666" s="2">
        <v>138.66</v>
      </c>
      <c r="Q1666" s="2">
        <v>39.92</v>
      </c>
      <c r="R1666">
        <v>1</v>
      </c>
      <c r="S1666">
        <v>0</v>
      </c>
      <c r="T1666">
        <v>3</v>
      </c>
      <c r="U1666">
        <v>4</v>
      </c>
    </row>
    <row r="1667" spans="1:21" ht="16.5" x14ac:dyDescent="0.3">
      <c r="A1667" t="s">
        <v>1753</v>
      </c>
      <c r="B1667" s="1">
        <v>45568</v>
      </c>
      <c r="C1667">
        <v>2024</v>
      </c>
      <c r="D1667" t="s">
        <v>1738</v>
      </c>
      <c r="E1667" t="s">
        <v>1739</v>
      </c>
      <c r="F1667" t="s">
        <v>31</v>
      </c>
      <c r="G1667" t="s">
        <v>49</v>
      </c>
      <c r="H1667" t="s">
        <v>32</v>
      </c>
      <c r="I1667" t="s">
        <v>84</v>
      </c>
      <c r="J1667" t="s">
        <v>223</v>
      </c>
      <c r="K1667">
        <v>3</v>
      </c>
      <c r="L1667" s="2">
        <v>16.97</v>
      </c>
      <c r="M1667" s="3">
        <v>0</v>
      </c>
      <c r="N1667" t="s">
        <v>38</v>
      </c>
      <c r="O1667" s="2">
        <v>50.91</v>
      </c>
      <c r="P1667" s="2">
        <v>39.21</v>
      </c>
      <c r="Q1667" s="2">
        <v>11.7</v>
      </c>
      <c r="R1667">
        <v>1</v>
      </c>
      <c r="S1667">
        <v>0</v>
      </c>
      <c r="T1667">
        <v>4</v>
      </c>
      <c r="U1667">
        <v>4</v>
      </c>
    </row>
    <row r="1668" spans="1:21" ht="16.5" x14ac:dyDescent="0.3">
      <c r="A1668" t="s">
        <v>1754</v>
      </c>
      <c r="B1668" s="1">
        <v>45568</v>
      </c>
      <c r="C1668">
        <v>2024</v>
      </c>
      <c r="D1668" t="s">
        <v>1738</v>
      </c>
      <c r="E1668" t="s">
        <v>1739</v>
      </c>
      <c r="F1668" t="s">
        <v>45</v>
      </c>
      <c r="G1668" t="s">
        <v>49</v>
      </c>
      <c r="H1668" t="s">
        <v>26</v>
      </c>
      <c r="I1668" t="s">
        <v>70</v>
      </c>
      <c r="J1668" t="s">
        <v>82</v>
      </c>
      <c r="K1668">
        <v>2</v>
      </c>
      <c r="L1668" s="2">
        <v>508.8</v>
      </c>
      <c r="M1668" s="3">
        <v>0.1</v>
      </c>
      <c r="N1668" t="s">
        <v>29</v>
      </c>
      <c r="O1668" s="2">
        <v>915.84</v>
      </c>
      <c r="P1668" s="2">
        <v>817.98</v>
      </c>
      <c r="Q1668" s="2">
        <v>97.86</v>
      </c>
      <c r="R1668">
        <v>1</v>
      </c>
      <c r="S1668">
        <v>0</v>
      </c>
      <c r="T1668">
        <v>4</v>
      </c>
      <c r="U1668">
        <v>4</v>
      </c>
    </row>
    <row r="1669" spans="1:21" ht="16.5" x14ac:dyDescent="0.3">
      <c r="A1669" t="s">
        <v>1755</v>
      </c>
      <c r="B1669" s="1">
        <v>45568</v>
      </c>
      <c r="C1669">
        <v>2024</v>
      </c>
      <c r="D1669" t="s">
        <v>1738</v>
      </c>
      <c r="E1669" t="s">
        <v>1739</v>
      </c>
      <c r="F1669" t="s">
        <v>24</v>
      </c>
      <c r="G1669" t="s">
        <v>51</v>
      </c>
      <c r="H1669" t="s">
        <v>26</v>
      </c>
      <c r="I1669" t="s">
        <v>67</v>
      </c>
      <c r="J1669" t="s">
        <v>174</v>
      </c>
      <c r="K1669">
        <v>1</v>
      </c>
      <c r="L1669" s="2">
        <v>137.05000000000001</v>
      </c>
      <c r="M1669" s="3">
        <v>0.1</v>
      </c>
      <c r="N1669" t="s">
        <v>29</v>
      </c>
      <c r="O1669" s="2">
        <v>123.35</v>
      </c>
      <c r="P1669" s="2">
        <v>97.91</v>
      </c>
      <c r="Q1669" s="2">
        <v>25.44</v>
      </c>
      <c r="R1669">
        <v>1</v>
      </c>
      <c r="S1669">
        <v>0</v>
      </c>
      <c r="T1669">
        <v>2</v>
      </c>
      <c r="U1669">
        <v>4</v>
      </c>
    </row>
    <row r="1670" spans="1:21" ht="16.5" x14ac:dyDescent="0.3">
      <c r="A1670" t="s">
        <v>1756</v>
      </c>
      <c r="B1670" s="1">
        <v>45569</v>
      </c>
      <c r="C1670">
        <v>2024</v>
      </c>
      <c r="D1670" t="s">
        <v>1738</v>
      </c>
      <c r="E1670" t="s">
        <v>1739</v>
      </c>
      <c r="F1670" t="s">
        <v>31</v>
      </c>
      <c r="G1670" t="s">
        <v>49</v>
      </c>
      <c r="H1670" t="s">
        <v>26</v>
      </c>
      <c r="I1670" t="s">
        <v>67</v>
      </c>
      <c r="J1670" t="s">
        <v>78</v>
      </c>
      <c r="K1670">
        <v>1</v>
      </c>
      <c r="L1670" s="2">
        <v>85.42</v>
      </c>
      <c r="M1670" s="3">
        <v>0.3</v>
      </c>
      <c r="N1670" t="s">
        <v>62</v>
      </c>
      <c r="O1670" s="2">
        <v>59.79</v>
      </c>
      <c r="P1670" s="2">
        <v>57.58</v>
      </c>
      <c r="Q1670" s="2">
        <v>2.21</v>
      </c>
      <c r="R1670">
        <v>1</v>
      </c>
      <c r="S1670">
        <v>0</v>
      </c>
      <c r="T1670">
        <v>3</v>
      </c>
      <c r="U1670">
        <v>3</v>
      </c>
    </row>
    <row r="1671" spans="1:21" ht="16.5" x14ac:dyDescent="0.3">
      <c r="A1671" t="s">
        <v>1757</v>
      </c>
      <c r="B1671" s="1">
        <v>45569</v>
      </c>
      <c r="C1671">
        <v>2024</v>
      </c>
      <c r="D1671" t="s">
        <v>1738</v>
      </c>
      <c r="E1671" t="s">
        <v>1739</v>
      </c>
      <c r="F1671" t="s">
        <v>45</v>
      </c>
      <c r="G1671" t="s">
        <v>51</v>
      </c>
      <c r="H1671" t="s">
        <v>26</v>
      </c>
      <c r="I1671" t="s">
        <v>27</v>
      </c>
      <c r="J1671" t="s">
        <v>28</v>
      </c>
      <c r="K1671">
        <v>1</v>
      </c>
      <c r="L1671" s="2">
        <v>138.5</v>
      </c>
      <c r="M1671" s="3">
        <v>0.3</v>
      </c>
      <c r="N1671" t="s">
        <v>62</v>
      </c>
      <c r="O1671" s="2">
        <v>96.95</v>
      </c>
      <c r="P1671" s="2">
        <v>76.14</v>
      </c>
      <c r="Q1671" s="2">
        <v>20.81</v>
      </c>
      <c r="R1671">
        <v>1</v>
      </c>
      <c r="S1671">
        <v>0</v>
      </c>
      <c r="T1671">
        <v>3</v>
      </c>
      <c r="U1671">
        <v>5</v>
      </c>
    </row>
    <row r="1672" spans="1:21" ht="16.5" x14ac:dyDescent="0.3">
      <c r="A1672" t="s">
        <v>1758</v>
      </c>
      <c r="B1672" s="1">
        <v>45569</v>
      </c>
      <c r="C1672">
        <v>2024</v>
      </c>
      <c r="D1672" t="s">
        <v>1738</v>
      </c>
      <c r="E1672" t="s">
        <v>1739</v>
      </c>
      <c r="F1672" t="s">
        <v>31</v>
      </c>
      <c r="G1672" t="s">
        <v>25</v>
      </c>
      <c r="H1672" t="s">
        <v>26</v>
      </c>
      <c r="I1672" t="s">
        <v>42</v>
      </c>
      <c r="J1672" t="s">
        <v>89</v>
      </c>
      <c r="K1672">
        <v>1</v>
      </c>
      <c r="L1672" s="2">
        <v>68.349999999999994</v>
      </c>
      <c r="M1672" s="3">
        <v>0.25</v>
      </c>
      <c r="N1672" t="s">
        <v>62</v>
      </c>
      <c r="O1672" s="2">
        <v>51.26</v>
      </c>
      <c r="P1672" s="2">
        <v>46.01</v>
      </c>
      <c r="Q1672" s="2">
        <v>5.25</v>
      </c>
      <c r="R1672">
        <v>1</v>
      </c>
      <c r="S1672">
        <v>0</v>
      </c>
      <c r="T1672">
        <v>3</v>
      </c>
      <c r="U1672">
        <v>5</v>
      </c>
    </row>
    <row r="1673" spans="1:21" ht="16.5" x14ac:dyDescent="0.3">
      <c r="A1673" t="s">
        <v>1759</v>
      </c>
      <c r="B1673" s="1">
        <v>45569</v>
      </c>
      <c r="C1673">
        <v>2024</v>
      </c>
      <c r="D1673" t="s">
        <v>1738</v>
      </c>
      <c r="E1673" t="s">
        <v>1739</v>
      </c>
      <c r="F1673" t="s">
        <v>31</v>
      </c>
      <c r="G1673" t="s">
        <v>46</v>
      </c>
      <c r="H1673" t="s">
        <v>26</v>
      </c>
      <c r="I1673" t="s">
        <v>84</v>
      </c>
      <c r="J1673" t="s">
        <v>223</v>
      </c>
      <c r="K1673">
        <v>1</v>
      </c>
      <c r="L1673" s="2">
        <v>16.97</v>
      </c>
      <c r="M1673" s="3">
        <v>0</v>
      </c>
      <c r="N1673" t="s">
        <v>38</v>
      </c>
      <c r="O1673" s="2">
        <v>16.97</v>
      </c>
      <c r="P1673" s="2">
        <v>11.83</v>
      </c>
      <c r="Q1673" s="2">
        <v>5.14</v>
      </c>
      <c r="R1673">
        <v>1</v>
      </c>
      <c r="S1673">
        <v>0</v>
      </c>
      <c r="T1673">
        <v>5</v>
      </c>
      <c r="U1673">
        <v>5</v>
      </c>
    </row>
    <row r="1674" spans="1:21" ht="16.5" x14ac:dyDescent="0.3">
      <c r="A1674" t="s">
        <v>1760</v>
      </c>
      <c r="B1674" s="1">
        <v>45569</v>
      </c>
      <c r="C1674">
        <v>2024</v>
      </c>
      <c r="D1674" t="s">
        <v>1738</v>
      </c>
      <c r="E1674" t="s">
        <v>1739</v>
      </c>
      <c r="F1674" t="s">
        <v>45</v>
      </c>
      <c r="G1674" t="s">
        <v>49</v>
      </c>
      <c r="H1674" t="s">
        <v>32</v>
      </c>
      <c r="I1674" t="s">
        <v>67</v>
      </c>
      <c r="J1674" t="s">
        <v>103</v>
      </c>
      <c r="K1674">
        <v>2</v>
      </c>
      <c r="L1674" s="2">
        <v>83.06</v>
      </c>
      <c r="M1674" s="3">
        <v>0.1</v>
      </c>
      <c r="N1674" t="s">
        <v>29</v>
      </c>
      <c r="O1674" s="2">
        <v>149.51</v>
      </c>
      <c r="P1674" s="2">
        <v>107.89</v>
      </c>
      <c r="Q1674" s="2">
        <v>41.62</v>
      </c>
      <c r="R1674">
        <v>1</v>
      </c>
      <c r="S1674">
        <v>0</v>
      </c>
      <c r="T1674">
        <v>3</v>
      </c>
      <c r="U1674">
        <v>5</v>
      </c>
    </row>
    <row r="1675" spans="1:21" ht="16.5" x14ac:dyDescent="0.3">
      <c r="A1675" t="s">
        <v>1761</v>
      </c>
      <c r="B1675" s="1">
        <v>45570</v>
      </c>
      <c r="C1675">
        <v>2024</v>
      </c>
      <c r="D1675" t="s">
        <v>1738</v>
      </c>
      <c r="E1675" t="s">
        <v>1739</v>
      </c>
      <c r="F1675" t="s">
        <v>24</v>
      </c>
      <c r="G1675" t="s">
        <v>49</v>
      </c>
      <c r="H1675" t="s">
        <v>32</v>
      </c>
      <c r="I1675" t="s">
        <v>70</v>
      </c>
      <c r="J1675" t="s">
        <v>129</v>
      </c>
      <c r="K1675">
        <v>2</v>
      </c>
      <c r="L1675" s="2">
        <v>177.65</v>
      </c>
      <c r="M1675" s="3">
        <v>0.2</v>
      </c>
      <c r="N1675" t="s">
        <v>34</v>
      </c>
      <c r="O1675" s="2">
        <v>284.24</v>
      </c>
      <c r="P1675" s="2">
        <v>291.16000000000003</v>
      </c>
      <c r="Q1675" s="2">
        <v>-6.92</v>
      </c>
      <c r="R1675">
        <v>1</v>
      </c>
      <c r="S1675">
        <v>1</v>
      </c>
      <c r="T1675">
        <v>4</v>
      </c>
      <c r="U1675">
        <v>4</v>
      </c>
    </row>
    <row r="1676" spans="1:21" ht="16.5" x14ac:dyDescent="0.3">
      <c r="A1676" t="s">
        <v>1762</v>
      </c>
      <c r="B1676" s="1">
        <v>45570</v>
      </c>
      <c r="C1676">
        <v>2024</v>
      </c>
      <c r="D1676" t="s">
        <v>1738</v>
      </c>
      <c r="E1676" t="s">
        <v>1739</v>
      </c>
      <c r="F1676" t="s">
        <v>24</v>
      </c>
      <c r="G1676" t="s">
        <v>25</v>
      </c>
      <c r="H1676" t="s">
        <v>32</v>
      </c>
      <c r="I1676" t="s">
        <v>27</v>
      </c>
      <c r="J1676" t="s">
        <v>110</v>
      </c>
      <c r="K1676">
        <v>2</v>
      </c>
      <c r="L1676" s="2">
        <v>19.41</v>
      </c>
      <c r="M1676" s="3">
        <v>0.05</v>
      </c>
      <c r="N1676" t="s">
        <v>29</v>
      </c>
      <c r="O1676" s="2">
        <v>36.880000000000003</v>
      </c>
      <c r="P1676" s="2">
        <v>20.190000000000001</v>
      </c>
      <c r="Q1676" s="2">
        <v>16.690000000000001</v>
      </c>
      <c r="R1676">
        <v>1</v>
      </c>
      <c r="S1676">
        <v>1</v>
      </c>
      <c r="T1676">
        <v>3</v>
      </c>
      <c r="U1676">
        <v>3</v>
      </c>
    </row>
    <row r="1677" spans="1:21" ht="16.5" x14ac:dyDescent="0.3">
      <c r="A1677" t="s">
        <v>1763</v>
      </c>
      <c r="B1677" s="1">
        <v>45570</v>
      </c>
      <c r="C1677">
        <v>2024</v>
      </c>
      <c r="D1677" t="s">
        <v>1738</v>
      </c>
      <c r="E1677" t="s">
        <v>1739</v>
      </c>
      <c r="F1677" t="s">
        <v>45</v>
      </c>
      <c r="G1677" t="s">
        <v>25</v>
      </c>
      <c r="H1677" t="s">
        <v>32</v>
      </c>
      <c r="I1677" t="s">
        <v>27</v>
      </c>
      <c r="J1677" t="s">
        <v>110</v>
      </c>
      <c r="K1677">
        <v>2</v>
      </c>
      <c r="L1677" s="2">
        <v>19.41</v>
      </c>
      <c r="M1677" s="3">
        <v>0</v>
      </c>
      <c r="N1677" t="s">
        <v>38</v>
      </c>
      <c r="O1677" s="2">
        <v>38.82</v>
      </c>
      <c r="P1677" s="2">
        <v>21.1</v>
      </c>
      <c r="Q1677" s="2">
        <v>17.72</v>
      </c>
      <c r="R1677">
        <v>1</v>
      </c>
      <c r="S1677">
        <v>0</v>
      </c>
      <c r="T1677">
        <v>3</v>
      </c>
      <c r="U1677">
        <v>4</v>
      </c>
    </row>
    <row r="1678" spans="1:21" ht="16.5" x14ac:dyDescent="0.3">
      <c r="A1678" t="s">
        <v>1764</v>
      </c>
      <c r="B1678" s="1">
        <v>45570</v>
      </c>
      <c r="C1678">
        <v>2024</v>
      </c>
      <c r="D1678" t="s">
        <v>1738</v>
      </c>
      <c r="E1678" t="s">
        <v>1739</v>
      </c>
      <c r="F1678" t="s">
        <v>45</v>
      </c>
      <c r="G1678" t="s">
        <v>51</v>
      </c>
      <c r="H1678" t="s">
        <v>32</v>
      </c>
      <c r="I1678" t="s">
        <v>42</v>
      </c>
      <c r="J1678" t="s">
        <v>76</v>
      </c>
      <c r="K1678">
        <v>1</v>
      </c>
      <c r="L1678" s="2">
        <v>90.75</v>
      </c>
      <c r="M1678" s="3">
        <v>0</v>
      </c>
      <c r="N1678" t="s">
        <v>38</v>
      </c>
      <c r="O1678" s="2">
        <v>90.75</v>
      </c>
      <c r="P1678" s="2">
        <v>57.44</v>
      </c>
      <c r="Q1678" s="2">
        <v>33.31</v>
      </c>
      <c r="R1678">
        <v>1</v>
      </c>
      <c r="S1678">
        <v>0</v>
      </c>
      <c r="T1678">
        <v>2</v>
      </c>
      <c r="U1678">
        <v>3</v>
      </c>
    </row>
    <row r="1679" spans="1:21" ht="16.5" x14ac:dyDescent="0.3">
      <c r="A1679" t="s">
        <v>1765</v>
      </c>
      <c r="B1679" s="1">
        <v>45570</v>
      </c>
      <c r="C1679">
        <v>2024</v>
      </c>
      <c r="D1679" t="s">
        <v>1738</v>
      </c>
      <c r="E1679" t="s">
        <v>1739</v>
      </c>
      <c r="F1679" t="s">
        <v>45</v>
      </c>
      <c r="G1679" t="s">
        <v>49</v>
      </c>
      <c r="H1679" t="s">
        <v>26</v>
      </c>
      <c r="I1679" t="s">
        <v>27</v>
      </c>
      <c r="J1679" t="s">
        <v>28</v>
      </c>
      <c r="K1679">
        <v>1</v>
      </c>
      <c r="L1679" s="2">
        <v>138.5</v>
      </c>
      <c r="M1679" s="3">
        <v>0.2</v>
      </c>
      <c r="N1679" t="s">
        <v>34</v>
      </c>
      <c r="O1679" s="2">
        <v>110.8</v>
      </c>
      <c r="P1679" s="2">
        <v>72.55</v>
      </c>
      <c r="Q1679" s="2">
        <v>38.25</v>
      </c>
      <c r="R1679">
        <v>1</v>
      </c>
      <c r="S1679">
        <v>1</v>
      </c>
      <c r="T1679">
        <v>5</v>
      </c>
      <c r="U1679">
        <v>3</v>
      </c>
    </row>
    <row r="1680" spans="1:21" ht="16.5" x14ac:dyDescent="0.3">
      <c r="A1680" t="s">
        <v>1766</v>
      </c>
      <c r="B1680" s="1">
        <v>45570</v>
      </c>
      <c r="C1680">
        <v>2024</v>
      </c>
      <c r="D1680" t="s">
        <v>1738</v>
      </c>
      <c r="E1680" t="s">
        <v>1739</v>
      </c>
      <c r="F1680" t="s">
        <v>24</v>
      </c>
      <c r="G1680" t="s">
        <v>25</v>
      </c>
      <c r="H1680" t="s">
        <v>32</v>
      </c>
      <c r="I1680" t="s">
        <v>36</v>
      </c>
      <c r="J1680" t="s">
        <v>56</v>
      </c>
      <c r="K1680">
        <v>2</v>
      </c>
      <c r="L1680" s="2">
        <v>74.3</v>
      </c>
      <c r="M1680" s="3">
        <v>0</v>
      </c>
      <c r="N1680" t="s">
        <v>38</v>
      </c>
      <c r="O1680" s="2">
        <v>148.6</v>
      </c>
      <c r="P1680" s="2">
        <v>71.83</v>
      </c>
      <c r="Q1680" s="2">
        <v>76.77</v>
      </c>
      <c r="R1680">
        <v>1</v>
      </c>
      <c r="S1680">
        <v>0</v>
      </c>
      <c r="T1680">
        <v>3</v>
      </c>
      <c r="U1680">
        <v>5</v>
      </c>
    </row>
    <row r="1681" spans="1:21" ht="16.5" x14ac:dyDescent="0.3">
      <c r="A1681" t="s">
        <v>1767</v>
      </c>
      <c r="B1681" s="1">
        <v>45570</v>
      </c>
      <c r="C1681">
        <v>2024</v>
      </c>
      <c r="D1681" t="s">
        <v>1738</v>
      </c>
      <c r="E1681" t="s">
        <v>1739</v>
      </c>
      <c r="F1681" t="s">
        <v>31</v>
      </c>
      <c r="G1681" t="s">
        <v>51</v>
      </c>
      <c r="H1681" t="s">
        <v>32</v>
      </c>
      <c r="I1681" t="s">
        <v>36</v>
      </c>
      <c r="J1681" t="s">
        <v>37</v>
      </c>
      <c r="K1681">
        <v>1</v>
      </c>
      <c r="L1681" s="2">
        <v>33.18</v>
      </c>
      <c r="M1681" s="3">
        <v>0.2</v>
      </c>
      <c r="N1681" t="s">
        <v>34</v>
      </c>
      <c r="O1681" s="2">
        <v>26.54</v>
      </c>
      <c r="P1681" s="2">
        <v>15.64</v>
      </c>
      <c r="Q1681" s="2">
        <v>10.9</v>
      </c>
      <c r="R1681">
        <v>1</v>
      </c>
      <c r="S1681">
        <v>0</v>
      </c>
      <c r="T1681">
        <v>3</v>
      </c>
      <c r="U1681">
        <v>5</v>
      </c>
    </row>
    <row r="1682" spans="1:21" ht="16.5" x14ac:dyDescent="0.3">
      <c r="A1682" t="s">
        <v>1768</v>
      </c>
      <c r="B1682" s="1">
        <v>45570</v>
      </c>
      <c r="C1682">
        <v>2024</v>
      </c>
      <c r="D1682" t="s">
        <v>1738</v>
      </c>
      <c r="E1682" t="s">
        <v>1739</v>
      </c>
      <c r="F1682" t="s">
        <v>45</v>
      </c>
      <c r="G1682" t="s">
        <v>25</v>
      </c>
      <c r="H1682" t="s">
        <v>26</v>
      </c>
      <c r="I1682" t="s">
        <v>70</v>
      </c>
      <c r="J1682" t="s">
        <v>71</v>
      </c>
      <c r="K1682">
        <v>1</v>
      </c>
      <c r="L1682" s="2">
        <v>588.41</v>
      </c>
      <c r="M1682" s="3">
        <v>0.1</v>
      </c>
      <c r="N1682" t="s">
        <v>29</v>
      </c>
      <c r="O1682" s="2">
        <v>529.57000000000005</v>
      </c>
      <c r="P1682" s="2">
        <v>494.93</v>
      </c>
      <c r="Q1682" s="2">
        <v>34.64</v>
      </c>
      <c r="R1682">
        <v>1</v>
      </c>
      <c r="S1682">
        <v>0</v>
      </c>
      <c r="T1682">
        <v>3</v>
      </c>
      <c r="U1682">
        <v>5</v>
      </c>
    </row>
    <row r="1683" spans="1:21" ht="16.5" x14ac:dyDescent="0.3">
      <c r="A1683" t="s">
        <v>1769</v>
      </c>
      <c r="B1683" s="1">
        <v>45570</v>
      </c>
      <c r="C1683">
        <v>2024</v>
      </c>
      <c r="D1683" t="s">
        <v>1738</v>
      </c>
      <c r="E1683" t="s">
        <v>1739</v>
      </c>
      <c r="F1683" t="s">
        <v>24</v>
      </c>
      <c r="G1683" t="s">
        <v>65</v>
      </c>
      <c r="H1683" t="s">
        <v>26</v>
      </c>
      <c r="I1683" t="s">
        <v>27</v>
      </c>
      <c r="J1683" t="s">
        <v>33</v>
      </c>
      <c r="K1683">
        <v>1</v>
      </c>
      <c r="L1683" s="2">
        <v>78.510000000000005</v>
      </c>
      <c r="M1683" s="3">
        <v>0.05</v>
      </c>
      <c r="N1683" t="s">
        <v>29</v>
      </c>
      <c r="O1683" s="2">
        <v>74.58</v>
      </c>
      <c r="P1683" s="2">
        <v>41.46</v>
      </c>
      <c r="Q1683" s="2">
        <v>33.119999999999997</v>
      </c>
      <c r="R1683">
        <v>1</v>
      </c>
      <c r="S1683">
        <v>0</v>
      </c>
      <c r="T1683">
        <v>6</v>
      </c>
      <c r="U1683">
        <v>3</v>
      </c>
    </row>
    <row r="1684" spans="1:21" ht="16.5" x14ac:dyDescent="0.3">
      <c r="A1684" t="s">
        <v>1770</v>
      </c>
      <c r="B1684" s="1">
        <v>45570</v>
      </c>
      <c r="C1684">
        <v>2024</v>
      </c>
      <c r="D1684" t="s">
        <v>1738</v>
      </c>
      <c r="E1684" t="s">
        <v>1739</v>
      </c>
      <c r="F1684" t="s">
        <v>24</v>
      </c>
      <c r="G1684" t="s">
        <v>46</v>
      </c>
      <c r="H1684" t="s">
        <v>32</v>
      </c>
      <c r="I1684" t="s">
        <v>27</v>
      </c>
      <c r="J1684" t="s">
        <v>60</v>
      </c>
      <c r="K1684">
        <v>1</v>
      </c>
      <c r="L1684" s="2">
        <v>94.85</v>
      </c>
      <c r="M1684" s="3">
        <v>0.15</v>
      </c>
      <c r="N1684" t="s">
        <v>34</v>
      </c>
      <c r="O1684" s="2">
        <v>80.62</v>
      </c>
      <c r="P1684" s="2">
        <v>51.63</v>
      </c>
      <c r="Q1684" s="2">
        <v>28.99</v>
      </c>
      <c r="R1684">
        <v>1</v>
      </c>
      <c r="S1684">
        <v>0</v>
      </c>
      <c r="T1684">
        <v>6</v>
      </c>
      <c r="U1684">
        <v>2</v>
      </c>
    </row>
    <row r="1685" spans="1:21" ht="16.5" x14ac:dyDescent="0.3">
      <c r="A1685" t="s">
        <v>1771</v>
      </c>
      <c r="B1685" s="1">
        <v>45571</v>
      </c>
      <c r="C1685">
        <v>2024</v>
      </c>
      <c r="D1685" t="s">
        <v>1738</v>
      </c>
      <c r="E1685" t="s">
        <v>1739</v>
      </c>
      <c r="F1685" t="s">
        <v>24</v>
      </c>
      <c r="G1685" t="s">
        <v>25</v>
      </c>
      <c r="H1685" t="s">
        <v>32</v>
      </c>
      <c r="I1685" t="s">
        <v>67</v>
      </c>
      <c r="J1685" t="s">
        <v>68</v>
      </c>
      <c r="K1685">
        <v>1</v>
      </c>
      <c r="L1685" s="2">
        <v>74.459999999999994</v>
      </c>
      <c r="M1685" s="3">
        <v>0.15</v>
      </c>
      <c r="N1685" t="s">
        <v>34</v>
      </c>
      <c r="O1685" s="2">
        <v>63.29</v>
      </c>
      <c r="P1685" s="2">
        <v>50.96</v>
      </c>
      <c r="Q1685" s="2">
        <v>12.33</v>
      </c>
      <c r="R1685">
        <v>1</v>
      </c>
      <c r="S1685">
        <v>0</v>
      </c>
      <c r="T1685">
        <v>6</v>
      </c>
      <c r="U1685">
        <v>3</v>
      </c>
    </row>
    <row r="1686" spans="1:21" ht="16.5" x14ac:dyDescent="0.3">
      <c r="A1686" t="s">
        <v>1772</v>
      </c>
      <c r="B1686" s="1">
        <v>45571</v>
      </c>
      <c r="C1686">
        <v>2024</v>
      </c>
      <c r="D1686" t="s">
        <v>1738</v>
      </c>
      <c r="E1686" t="s">
        <v>1739</v>
      </c>
      <c r="F1686" t="s">
        <v>31</v>
      </c>
      <c r="G1686" t="s">
        <v>49</v>
      </c>
      <c r="H1686" t="s">
        <v>32</v>
      </c>
      <c r="I1686" t="s">
        <v>70</v>
      </c>
      <c r="J1686" t="s">
        <v>82</v>
      </c>
      <c r="K1686">
        <v>1</v>
      </c>
      <c r="L1686" s="2">
        <v>508.8</v>
      </c>
      <c r="M1686" s="3">
        <v>0.15</v>
      </c>
      <c r="N1686" t="s">
        <v>34</v>
      </c>
      <c r="O1686" s="2">
        <v>432.48</v>
      </c>
      <c r="P1686" s="2">
        <v>405.29</v>
      </c>
      <c r="Q1686" s="2">
        <v>27.19</v>
      </c>
      <c r="R1686">
        <v>1</v>
      </c>
      <c r="S1686">
        <v>0</v>
      </c>
      <c r="T1686">
        <v>4</v>
      </c>
      <c r="U1686">
        <v>5</v>
      </c>
    </row>
    <row r="1687" spans="1:21" ht="16.5" x14ac:dyDescent="0.3">
      <c r="A1687" t="s">
        <v>1773</v>
      </c>
      <c r="B1687" s="1">
        <v>45571</v>
      </c>
      <c r="C1687">
        <v>2024</v>
      </c>
      <c r="D1687" t="s">
        <v>1738</v>
      </c>
      <c r="E1687" t="s">
        <v>1739</v>
      </c>
      <c r="F1687" t="s">
        <v>24</v>
      </c>
      <c r="G1687" t="s">
        <v>25</v>
      </c>
      <c r="H1687" t="s">
        <v>32</v>
      </c>
      <c r="I1687" t="s">
        <v>67</v>
      </c>
      <c r="J1687" t="s">
        <v>93</v>
      </c>
      <c r="K1687">
        <v>3</v>
      </c>
      <c r="L1687" s="2">
        <v>198.42</v>
      </c>
      <c r="M1687" s="3">
        <v>0.15</v>
      </c>
      <c r="N1687" t="s">
        <v>34</v>
      </c>
      <c r="O1687" s="2">
        <v>505.97</v>
      </c>
      <c r="P1687" s="2">
        <v>413.44</v>
      </c>
      <c r="Q1687" s="2">
        <v>92.53</v>
      </c>
      <c r="R1687">
        <v>1</v>
      </c>
      <c r="S1687">
        <v>1</v>
      </c>
      <c r="T1687">
        <v>5</v>
      </c>
      <c r="U1687">
        <v>3</v>
      </c>
    </row>
    <row r="1688" spans="1:21" ht="16.5" x14ac:dyDescent="0.3">
      <c r="A1688" t="s">
        <v>1774</v>
      </c>
      <c r="B1688" s="1">
        <v>45571</v>
      </c>
      <c r="C1688">
        <v>2024</v>
      </c>
      <c r="D1688" t="s">
        <v>1738</v>
      </c>
      <c r="E1688" t="s">
        <v>1739</v>
      </c>
      <c r="F1688" t="s">
        <v>24</v>
      </c>
      <c r="G1688" t="s">
        <v>49</v>
      </c>
      <c r="H1688" t="s">
        <v>26</v>
      </c>
      <c r="I1688" t="s">
        <v>70</v>
      </c>
      <c r="J1688" t="s">
        <v>71</v>
      </c>
      <c r="K1688">
        <v>1</v>
      </c>
      <c r="L1688" s="2">
        <v>588.41</v>
      </c>
      <c r="M1688" s="3">
        <v>0</v>
      </c>
      <c r="N1688" t="s">
        <v>38</v>
      </c>
      <c r="O1688" s="2">
        <v>588.41</v>
      </c>
      <c r="P1688" s="2">
        <v>490.76</v>
      </c>
      <c r="Q1688" s="2">
        <v>97.65</v>
      </c>
      <c r="R1688">
        <v>1</v>
      </c>
      <c r="S1688">
        <v>0</v>
      </c>
      <c r="T1688">
        <v>3</v>
      </c>
      <c r="U1688">
        <v>4</v>
      </c>
    </row>
    <row r="1689" spans="1:21" ht="16.5" x14ac:dyDescent="0.3">
      <c r="A1689" t="s">
        <v>1775</v>
      </c>
      <c r="B1689" s="1">
        <v>45571</v>
      </c>
      <c r="C1689">
        <v>2024</v>
      </c>
      <c r="D1689" t="s">
        <v>1738</v>
      </c>
      <c r="E1689" t="s">
        <v>1739</v>
      </c>
      <c r="F1689" t="s">
        <v>31</v>
      </c>
      <c r="G1689" t="s">
        <v>25</v>
      </c>
      <c r="H1689" t="s">
        <v>32</v>
      </c>
      <c r="I1689" t="s">
        <v>70</v>
      </c>
      <c r="J1689" t="s">
        <v>71</v>
      </c>
      <c r="K1689">
        <v>1</v>
      </c>
      <c r="L1689" s="2">
        <v>588.41</v>
      </c>
      <c r="M1689" s="3">
        <v>0.25</v>
      </c>
      <c r="N1689" t="s">
        <v>62</v>
      </c>
      <c r="O1689" s="2">
        <v>441.31</v>
      </c>
      <c r="P1689" s="2">
        <v>472.25</v>
      </c>
      <c r="Q1689" s="2">
        <v>-30.94</v>
      </c>
      <c r="R1689">
        <v>1</v>
      </c>
      <c r="S1689">
        <v>0</v>
      </c>
      <c r="T1689">
        <v>3</v>
      </c>
      <c r="U1689">
        <v>4</v>
      </c>
    </row>
    <row r="1690" spans="1:21" ht="16.5" x14ac:dyDescent="0.3">
      <c r="A1690" t="s">
        <v>1776</v>
      </c>
      <c r="B1690" s="1">
        <v>45571</v>
      </c>
      <c r="C1690">
        <v>2024</v>
      </c>
      <c r="D1690" t="s">
        <v>1738</v>
      </c>
      <c r="E1690" t="s">
        <v>1739</v>
      </c>
      <c r="F1690" t="s">
        <v>24</v>
      </c>
      <c r="G1690" t="s">
        <v>49</v>
      </c>
      <c r="H1690" t="s">
        <v>26</v>
      </c>
      <c r="I1690" t="s">
        <v>27</v>
      </c>
      <c r="J1690" t="s">
        <v>47</v>
      </c>
      <c r="K1690">
        <v>1</v>
      </c>
      <c r="L1690" s="2">
        <v>33.99</v>
      </c>
      <c r="M1690" s="3">
        <v>0.2</v>
      </c>
      <c r="N1690" t="s">
        <v>34</v>
      </c>
      <c r="O1690" s="2">
        <v>27.19</v>
      </c>
      <c r="P1690" s="2">
        <v>17.78</v>
      </c>
      <c r="Q1690" s="2">
        <v>9.41</v>
      </c>
      <c r="R1690">
        <v>1</v>
      </c>
      <c r="S1690">
        <v>0</v>
      </c>
      <c r="T1690">
        <v>5</v>
      </c>
      <c r="U1690">
        <v>5</v>
      </c>
    </row>
    <row r="1691" spans="1:21" ht="16.5" x14ac:dyDescent="0.3">
      <c r="A1691" t="s">
        <v>1777</v>
      </c>
      <c r="B1691" s="1">
        <v>45571</v>
      </c>
      <c r="C1691">
        <v>2024</v>
      </c>
      <c r="D1691" t="s">
        <v>1738</v>
      </c>
      <c r="E1691" t="s">
        <v>1739</v>
      </c>
      <c r="F1691" t="s">
        <v>45</v>
      </c>
      <c r="G1691" t="s">
        <v>25</v>
      </c>
      <c r="H1691" t="s">
        <v>26</v>
      </c>
      <c r="I1691" t="s">
        <v>36</v>
      </c>
      <c r="J1691" t="s">
        <v>52</v>
      </c>
      <c r="K1691">
        <v>1</v>
      </c>
      <c r="L1691" s="2">
        <v>92.54</v>
      </c>
      <c r="M1691" s="3">
        <v>0.05</v>
      </c>
      <c r="N1691" t="s">
        <v>29</v>
      </c>
      <c r="O1691" s="2">
        <v>87.91</v>
      </c>
      <c r="P1691" s="2">
        <v>43.17</v>
      </c>
      <c r="Q1691" s="2">
        <v>44.74</v>
      </c>
      <c r="R1691">
        <v>1</v>
      </c>
      <c r="S1691">
        <v>0</v>
      </c>
      <c r="T1691">
        <v>3</v>
      </c>
      <c r="U1691">
        <v>4</v>
      </c>
    </row>
    <row r="1692" spans="1:21" ht="16.5" x14ac:dyDescent="0.3">
      <c r="A1692" t="s">
        <v>1778</v>
      </c>
      <c r="B1692" s="1">
        <v>45571</v>
      </c>
      <c r="C1692">
        <v>2024</v>
      </c>
      <c r="D1692" t="s">
        <v>1738</v>
      </c>
      <c r="E1692" t="s">
        <v>1739</v>
      </c>
      <c r="F1692" t="s">
        <v>24</v>
      </c>
      <c r="G1692" t="s">
        <v>25</v>
      </c>
      <c r="H1692" t="s">
        <v>32</v>
      </c>
      <c r="I1692" t="s">
        <v>42</v>
      </c>
      <c r="J1692" t="s">
        <v>76</v>
      </c>
      <c r="K1692">
        <v>2</v>
      </c>
      <c r="L1692" s="2">
        <v>90.75</v>
      </c>
      <c r="M1692" s="3">
        <v>0.1</v>
      </c>
      <c r="N1692" t="s">
        <v>29</v>
      </c>
      <c r="O1692" s="2">
        <v>163.35</v>
      </c>
      <c r="P1692" s="2">
        <v>124.08</v>
      </c>
      <c r="Q1692" s="2">
        <v>39.270000000000003</v>
      </c>
      <c r="R1692">
        <v>1</v>
      </c>
      <c r="S1692">
        <v>0</v>
      </c>
      <c r="T1692">
        <v>5</v>
      </c>
      <c r="U1692">
        <v>4</v>
      </c>
    </row>
    <row r="1693" spans="1:21" ht="16.5" x14ac:dyDescent="0.3">
      <c r="A1693" t="s">
        <v>1779</v>
      </c>
      <c r="B1693" s="1">
        <v>45572</v>
      </c>
      <c r="C1693">
        <v>2024</v>
      </c>
      <c r="D1693" t="s">
        <v>1738</v>
      </c>
      <c r="E1693" t="s">
        <v>1739</v>
      </c>
      <c r="F1693" t="s">
        <v>45</v>
      </c>
      <c r="G1693" t="s">
        <v>49</v>
      </c>
      <c r="H1693" t="s">
        <v>26</v>
      </c>
      <c r="I1693" t="s">
        <v>42</v>
      </c>
      <c r="J1693" t="s">
        <v>54</v>
      </c>
      <c r="K1693">
        <v>3</v>
      </c>
      <c r="L1693" s="2">
        <v>148.05000000000001</v>
      </c>
      <c r="M1693" s="3">
        <v>0.1</v>
      </c>
      <c r="N1693" t="s">
        <v>29</v>
      </c>
      <c r="O1693" s="2">
        <v>399.74</v>
      </c>
      <c r="P1693" s="2">
        <v>292.27999999999997</v>
      </c>
      <c r="Q1693" s="2">
        <v>107.46</v>
      </c>
      <c r="R1693">
        <v>1</v>
      </c>
      <c r="S1693">
        <v>0</v>
      </c>
      <c r="T1693">
        <v>6</v>
      </c>
      <c r="U1693">
        <v>3</v>
      </c>
    </row>
    <row r="1694" spans="1:21" ht="16.5" x14ac:dyDescent="0.3">
      <c r="A1694" t="s">
        <v>1780</v>
      </c>
      <c r="B1694" s="1">
        <v>45572</v>
      </c>
      <c r="C1694">
        <v>2024</v>
      </c>
      <c r="D1694" t="s">
        <v>1738</v>
      </c>
      <c r="E1694" t="s">
        <v>1739</v>
      </c>
      <c r="F1694" t="s">
        <v>24</v>
      </c>
      <c r="G1694" t="s">
        <v>25</v>
      </c>
      <c r="H1694" t="s">
        <v>32</v>
      </c>
      <c r="I1694" t="s">
        <v>42</v>
      </c>
      <c r="J1694" t="s">
        <v>89</v>
      </c>
      <c r="K1694">
        <v>1</v>
      </c>
      <c r="L1694" s="2">
        <v>68.349999999999994</v>
      </c>
      <c r="M1694" s="3">
        <v>0.05</v>
      </c>
      <c r="N1694" t="s">
        <v>29</v>
      </c>
      <c r="O1694" s="2">
        <v>64.930000000000007</v>
      </c>
      <c r="P1694" s="2">
        <v>46.51</v>
      </c>
      <c r="Q1694" s="2">
        <v>18.420000000000002</v>
      </c>
      <c r="R1694">
        <v>1</v>
      </c>
      <c r="S1694">
        <v>0</v>
      </c>
      <c r="T1694">
        <v>3</v>
      </c>
      <c r="U1694">
        <v>5</v>
      </c>
    </row>
    <row r="1695" spans="1:21" ht="16.5" x14ac:dyDescent="0.3">
      <c r="A1695" t="s">
        <v>1781</v>
      </c>
      <c r="B1695" s="1">
        <v>45572</v>
      </c>
      <c r="C1695">
        <v>2024</v>
      </c>
      <c r="D1695" t="s">
        <v>1738</v>
      </c>
      <c r="E1695" t="s">
        <v>1739</v>
      </c>
      <c r="F1695" t="s">
        <v>45</v>
      </c>
      <c r="G1695" t="s">
        <v>51</v>
      </c>
      <c r="H1695" t="s">
        <v>32</v>
      </c>
      <c r="I1695" t="s">
        <v>27</v>
      </c>
      <c r="J1695" t="s">
        <v>33</v>
      </c>
      <c r="K1695">
        <v>2</v>
      </c>
      <c r="L1695" s="2">
        <v>78.510000000000005</v>
      </c>
      <c r="M1695" s="3">
        <v>0.05</v>
      </c>
      <c r="N1695" t="s">
        <v>29</v>
      </c>
      <c r="O1695" s="2">
        <v>149.16999999999999</v>
      </c>
      <c r="P1695" s="2">
        <v>84.74</v>
      </c>
      <c r="Q1695" s="2">
        <v>64.430000000000007</v>
      </c>
      <c r="R1695">
        <v>1</v>
      </c>
      <c r="S1695">
        <v>0</v>
      </c>
      <c r="T1695">
        <v>2</v>
      </c>
      <c r="U1695">
        <v>5</v>
      </c>
    </row>
    <row r="1696" spans="1:21" ht="16.5" x14ac:dyDescent="0.3">
      <c r="A1696" t="s">
        <v>1782</v>
      </c>
      <c r="B1696" s="1">
        <v>45572</v>
      </c>
      <c r="C1696">
        <v>2024</v>
      </c>
      <c r="D1696" t="s">
        <v>1738</v>
      </c>
      <c r="E1696" t="s">
        <v>1739</v>
      </c>
      <c r="F1696" t="s">
        <v>45</v>
      </c>
      <c r="G1696" t="s">
        <v>49</v>
      </c>
      <c r="H1696" t="s">
        <v>32</v>
      </c>
      <c r="I1696" t="s">
        <v>70</v>
      </c>
      <c r="J1696" t="s">
        <v>82</v>
      </c>
      <c r="K1696">
        <v>1</v>
      </c>
      <c r="L1696" s="2">
        <v>508.8</v>
      </c>
      <c r="M1696" s="3">
        <v>0.25</v>
      </c>
      <c r="N1696" t="s">
        <v>62</v>
      </c>
      <c r="O1696" s="2">
        <v>381.6</v>
      </c>
      <c r="P1696" s="2">
        <v>405.34</v>
      </c>
      <c r="Q1696" s="2">
        <v>-23.74</v>
      </c>
      <c r="R1696">
        <v>1</v>
      </c>
      <c r="S1696">
        <v>0</v>
      </c>
      <c r="T1696">
        <v>5</v>
      </c>
      <c r="U1696">
        <v>3</v>
      </c>
    </row>
    <row r="1697" spans="1:21" ht="16.5" x14ac:dyDescent="0.3">
      <c r="A1697" t="s">
        <v>1783</v>
      </c>
      <c r="B1697" s="1">
        <v>45572</v>
      </c>
      <c r="C1697">
        <v>2024</v>
      </c>
      <c r="D1697" t="s">
        <v>1738</v>
      </c>
      <c r="E1697" t="s">
        <v>1739</v>
      </c>
      <c r="F1697" t="s">
        <v>45</v>
      </c>
      <c r="G1697" t="s">
        <v>51</v>
      </c>
      <c r="H1697" t="s">
        <v>32</v>
      </c>
      <c r="I1697" t="s">
        <v>84</v>
      </c>
      <c r="J1697" t="s">
        <v>96</v>
      </c>
      <c r="K1697">
        <v>2</v>
      </c>
      <c r="L1697" s="2">
        <v>10.76</v>
      </c>
      <c r="M1697" s="3">
        <v>0</v>
      </c>
      <c r="N1697" t="s">
        <v>38</v>
      </c>
      <c r="O1697" s="2">
        <v>21.52</v>
      </c>
      <c r="P1697" s="2">
        <v>15.58</v>
      </c>
      <c r="Q1697" s="2">
        <v>5.94</v>
      </c>
      <c r="R1697">
        <v>1</v>
      </c>
      <c r="S1697">
        <v>0</v>
      </c>
      <c r="T1697">
        <v>2</v>
      </c>
      <c r="U1697">
        <v>5</v>
      </c>
    </row>
    <row r="1698" spans="1:21" ht="16.5" x14ac:dyDescent="0.3">
      <c r="A1698" t="s">
        <v>1784</v>
      </c>
      <c r="B1698" s="1">
        <v>45572</v>
      </c>
      <c r="C1698">
        <v>2024</v>
      </c>
      <c r="D1698" t="s">
        <v>1738</v>
      </c>
      <c r="E1698" t="s">
        <v>1739</v>
      </c>
      <c r="F1698" t="s">
        <v>24</v>
      </c>
      <c r="G1698" t="s">
        <v>25</v>
      </c>
      <c r="H1698" t="s">
        <v>26</v>
      </c>
      <c r="I1698" t="s">
        <v>42</v>
      </c>
      <c r="J1698" t="s">
        <v>89</v>
      </c>
      <c r="K1698">
        <v>1</v>
      </c>
      <c r="L1698" s="2">
        <v>68.349999999999994</v>
      </c>
      <c r="M1698" s="3">
        <v>0.2</v>
      </c>
      <c r="N1698" t="s">
        <v>34</v>
      </c>
      <c r="O1698" s="2">
        <v>54.68</v>
      </c>
      <c r="P1698" s="2">
        <v>45.85</v>
      </c>
      <c r="Q1698" s="2">
        <v>8.83</v>
      </c>
      <c r="R1698">
        <v>1</v>
      </c>
      <c r="S1698">
        <v>0</v>
      </c>
      <c r="T1698">
        <v>3</v>
      </c>
      <c r="U1698">
        <v>5</v>
      </c>
    </row>
    <row r="1699" spans="1:21" ht="16.5" x14ac:dyDescent="0.3">
      <c r="A1699" t="s">
        <v>1785</v>
      </c>
      <c r="B1699" s="1">
        <v>45573</v>
      </c>
      <c r="C1699">
        <v>2024</v>
      </c>
      <c r="D1699" t="s">
        <v>1738</v>
      </c>
      <c r="E1699" t="s">
        <v>1739</v>
      </c>
      <c r="F1699" t="s">
        <v>24</v>
      </c>
      <c r="G1699" t="s">
        <v>65</v>
      </c>
      <c r="H1699" t="s">
        <v>32</v>
      </c>
      <c r="I1699" t="s">
        <v>42</v>
      </c>
      <c r="J1699" t="s">
        <v>43</v>
      </c>
      <c r="K1699">
        <v>1</v>
      </c>
      <c r="L1699" s="2">
        <v>154.66</v>
      </c>
      <c r="M1699" s="3">
        <v>0</v>
      </c>
      <c r="N1699" t="s">
        <v>38</v>
      </c>
      <c r="O1699" s="2">
        <v>154.66</v>
      </c>
      <c r="P1699" s="2">
        <v>97.92</v>
      </c>
      <c r="Q1699" s="2">
        <v>56.74</v>
      </c>
      <c r="R1699">
        <v>1</v>
      </c>
      <c r="S1699">
        <v>0</v>
      </c>
      <c r="T1699">
        <v>5</v>
      </c>
      <c r="U1699">
        <v>5</v>
      </c>
    </row>
    <row r="1700" spans="1:21" ht="16.5" x14ac:dyDescent="0.3">
      <c r="A1700" t="s">
        <v>1786</v>
      </c>
      <c r="B1700" s="1">
        <v>45573</v>
      </c>
      <c r="C1700">
        <v>2024</v>
      </c>
      <c r="D1700" t="s">
        <v>1738</v>
      </c>
      <c r="E1700" t="s">
        <v>1739</v>
      </c>
      <c r="F1700" t="s">
        <v>24</v>
      </c>
      <c r="G1700" t="s">
        <v>51</v>
      </c>
      <c r="H1700" t="s">
        <v>32</v>
      </c>
      <c r="I1700" t="s">
        <v>27</v>
      </c>
      <c r="J1700" t="s">
        <v>110</v>
      </c>
      <c r="K1700">
        <v>1</v>
      </c>
      <c r="L1700" s="2">
        <v>19.41</v>
      </c>
      <c r="M1700" s="3">
        <v>0</v>
      </c>
      <c r="N1700" t="s">
        <v>38</v>
      </c>
      <c r="O1700" s="2">
        <v>19.41</v>
      </c>
      <c r="P1700" s="2">
        <v>10.32</v>
      </c>
      <c r="Q1700" s="2">
        <v>9.09</v>
      </c>
      <c r="R1700">
        <v>1</v>
      </c>
      <c r="S1700">
        <v>0</v>
      </c>
      <c r="T1700">
        <v>4</v>
      </c>
      <c r="U1700">
        <v>4</v>
      </c>
    </row>
    <row r="1701" spans="1:21" ht="16.5" x14ac:dyDescent="0.3">
      <c r="A1701" t="s">
        <v>1787</v>
      </c>
      <c r="B1701" s="1">
        <v>45573</v>
      </c>
      <c r="C1701">
        <v>2024</v>
      </c>
      <c r="D1701" t="s">
        <v>1738</v>
      </c>
      <c r="E1701" t="s">
        <v>1739</v>
      </c>
      <c r="F1701" t="s">
        <v>24</v>
      </c>
      <c r="G1701" t="s">
        <v>51</v>
      </c>
      <c r="H1701" t="s">
        <v>26</v>
      </c>
      <c r="I1701" t="s">
        <v>36</v>
      </c>
      <c r="J1701" t="s">
        <v>52</v>
      </c>
      <c r="K1701">
        <v>2</v>
      </c>
      <c r="L1701" s="2">
        <v>92.54</v>
      </c>
      <c r="M1701" s="3">
        <v>0.2</v>
      </c>
      <c r="N1701" t="s">
        <v>34</v>
      </c>
      <c r="O1701" s="2">
        <v>148.06</v>
      </c>
      <c r="P1701" s="2">
        <v>85.86</v>
      </c>
      <c r="Q1701" s="2">
        <v>62.2</v>
      </c>
      <c r="R1701">
        <v>1</v>
      </c>
      <c r="S1701">
        <v>0</v>
      </c>
      <c r="T1701">
        <v>2</v>
      </c>
      <c r="U1701">
        <v>5</v>
      </c>
    </row>
    <row r="1702" spans="1:21" ht="16.5" x14ac:dyDescent="0.3">
      <c r="A1702" t="s">
        <v>1788</v>
      </c>
      <c r="B1702" s="1">
        <v>45573</v>
      </c>
      <c r="C1702">
        <v>2024</v>
      </c>
      <c r="D1702" t="s">
        <v>1738</v>
      </c>
      <c r="E1702" t="s">
        <v>1739</v>
      </c>
      <c r="F1702" t="s">
        <v>31</v>
      </c>
      <c r="G1702" t="s">
        <v>51</v>
      </c>
      <c r="H1702" t="s">
        <v>32</v>
      </c>
      <c r="I1702" t="s">
        <v>36</v>
      </c>
      <c r="J1702" t="s">
        <v>115</v>
      </c>
      <c r="K1702">
        <v>3</v>
      </c>
      <c r="L1702" s="2">
        <v>33.479999999999997</v>
      </c>
      <c r="M1702" s="3">
        <v>0.05</v>
      </c>
      <c r="N1702" t="s">
        <v>29</v>
      </c>
      <c r="O1702" s="2">
        <v>95.42</v>
      </c>
      <c r="P1702" s="2">
        <v>48.48</v>
      </c>
      <c r="Q1702" s="2">
        <v>46.94</v>
      </c>
      <c r="R1702">
        <v>1</v>
      </c>
      <c r="S1702">
        <v>0</v>
      </c>
      <c r="T1702">
        <v>4</v>
      </c>
      <c r="U1702">
        <v>5</v>
      </c>
    </row>
    <row r="1703" spans="1:21" ht="16.5" x14ac:dyDescent="0.3">
      <c r="A1703" t="s">
        <v>1789</v>
      </c>
      <c r="B1703" s="1">
        <v>45573</v>
      </c>
      <c r="C1703">
        <v>2024</v>
      </c>
      <c r="D1703" t="s">
        <v>1738</v>
      </c>
      <c r="E1703" t="s">
        <v>1739</v>
      </c>
      <c r="F1703" t="s">
        <v>24</v>
      </c>
      <c r="G1703" t="s">
        <v>49</v>
      </c>
      <c r="H1703" t="s">
        <v>32</v>
      </c>
      <c r="I1703" t="s">
        <v>27</v>
      </c>
      <c r="J1703" t="s">
        <v>40</v>
      </c>
      <c r="K1703">
        <v>1</v>
      </c>
      <c r="L1703" s="2">
        <v>104.94</v>
      </c>
      <c r="M1703" s="3">
        <v>0.2</v>
      </c>
      <c r="N1703" t="s">
        <v>34</v>
      </c>
      <c r="O1703" s="2">
        <v>83.95</v>
      </c>
      <c r="P1703" s="2">
        <v>56.45</v>
      </c>
      <c r="Q1703" s="2">
        <v>27.5</v>
      </c>
      <c r="R1703">
        <v>1</v>
      </c>
      <c r="S1703">
        <v>0</v>
      </c>
      <c r="T1703">
        <v>4</v>
      </c>
      <c r="U1703">
        <v>5</v>
      </c>
    </row>
    <row r="1704" spans="1:21" ht="16.5" x14ac:dyDescent="0.3">
      <c r="A1704" t="s">
        <v>1790</v>
      </c>
      <c r="B1704" s="1">
        <v>45574</v>
      </c>
      <c r="C1704">
        <v>2024</v>
      </c>
      <c r="D1704" t="s">
        <v>1738</v>
      </c>
      <c r="E1704" t="s">
        <v>1739</v>
      </c>
      <c r="F1704" t="s">
        <v>31</v>
      </c>
      <c r="G1704" t="s">
        <v>46</v>
      </c>
      <c r="H1704" t="s">
        <v>26</v>
      </c>
      <c r="I1704" t="s">
        <v>84</v>
      </c>
      <c r="J1704" t="s">
        <v>96</v>
      </c>
      <c r="K1704">
        <v>1</v>
      </c>
      <c r="L1704" s="2">
        <v>10.76</v>
      </c>
      <c r="M1704" s="3">
        <v>0.05</v>
      </c>
      <c r="N1704" t="s">
        <v>29</v>
      </c>
      <c r="O1704" s="2">
        <v>10.220000000000001</v>
      </c>
      <c r="P1704" s="2">
        <v>7.34</v>
      </c>
      <c r="Q1704" s="2">
        <v>2.88</v>
      </c>
      <c r="R1704">
        <v>1</v>
      </c>
      <c r="S1704">
        <v>0</v>
      </c>
      <c r="T1704">
        <v>7</v>
      </c>
      <c r="U1704">
        <v>3</v>
      </c>
    </row>
    <row r="1705" spans="1:21" ht="16.5" x14ac:dyDescent="0.3">
      <c r="A1705" t="s">
        <v>1791</v>
      </c>
      <c r="B1705" s="1">
        <v>45574</v>
      </c>
      <c r="C1705">
        <v>2024</v>
      </c>
      <c r="D1705" t="s">
        <v>1738</v>
      </c>
      <c r="E1705" t="s">
        <v>1739</v>
      </c>
      <c r="F1705" t="s">
        <v>24</v>
      </c>
      <c r="G1705" t="s">
        <v>46</v>
      </c>
      <c r="H1705" t="s">
        <v>26</v>
      </c>
      <c r="I1705" t="s">
        <v>67</v>
      </c>
      <c r="J1705" t="s">
        <v>68</v>
      </c>
      <c r="K1705">
        <v>1</v>
      </c>
      <c r="L1705" s="2">
        <v>74.459999999999994</v>
      </c>
      <c r="M1705" s="3">
        <v>0.1</v>
      </c>
      <c r="N1705" t="s">
        <v>29</v>
      </c>
      <c r="O1705" s="2">
        <v>67.010000000000005</v>
      </c>
      <c r="P1705" s="2">
        <v>47.9</v>
      </c>
      <c r="Q1705" s="2">
        <v>19.11</v>
      </c>
      <c r="R1705">
        <v>1</v>
      </c>
      <c r="S1705">
        <v>0</v>
      </c>
      <c r="T1705">
        <v>6</v>
      </c>
      <c r="U1705">
        <v>3</v>
      </c>
    </row>
    <row r="1706" spans="1:21" ht="16.5" x14ac:dyDescent="0.3">
      <c r="A1706" t="s">
        <v>1792</v>
      </c>
      <c r="B1706" s="1">
        <v>45574</v>
      </c>
      <c r="C1706">
        <v>2024</v>
      </c>
      <c r="D1706" t="s">
        <v>1738</v>
      </c>
      <c r="E1706" t="s">
        <v>1739</v>
      </c>
      <c r="F1706" t="s">
        <v>45</v>
      </c>
      <c r="G1706" t="s">
        <v>51</v>
      </c>
      <c r="H1706" t="s">
        <v>32</v>
      </c>
      <c r="I1706" t="s">
        <v>70</v>
      </c>
      <c r="J1706" t="s">
        <v>252</v>
      </c>
      <c r="K1706">
        <v>1</v>
      </c>
      <c r="L1706" s="2">
        <v>216.08</v>
      </c>
      <c r="M1706" s="3">
        <v>0</v>
      </c>
      <c r="N1706" t="s">
        <v>38</v>
      </c>
      <c r="O1706" s="2">
        <v>216.08</v>
      </c>
      <c r="P1706" s="2">
        <v>162.63</v>
      </c>
      <c r="Q1706" s="2">
        <v>53.45</v>
      </c>
      <c r="R1706">
        <v>1</v>
      </c>
      <c r="S1706">
        <v>0</v>
      </c>
      <c r="T1706">
        <v>2</v>
      </c>
      <c r="U1706">
        <v>5</v>
      </c>
    </row>
    <row r="1707" spans="1:21" ht="16.5" x14ac:dyDescent="0.3">
      <c r="A1707" t="s">
        <v>1793</v>
      </c>
      <c r="B1707" s="1">
        <v>45574</v>
      </c>
      <c r="C1707">
        <v>2024</v>
      </c>
      <c r="D1707" t="s">
        <v>1738</v>
      </c>
      <c r="E1707" t="s">
        <v>1739</v>
      </c>
      <c r="F1707" t="s">
        <v>45</v>
      </c>
      <c r="G1707" t="s">
        <v>49</v>
      </c>
      <c r="H1707" t="s">
        <v>32</v>
      </c>
      <c r="I1707" t="s">
        <v>36</v>
      </c>
      <c r="J1707" t="s">
        <v>115</v>
      </c>
      <c r="K1707">
        <v>1</v>
      </c>
      <c r="L1707" s="2">
        <v>33.479999999999997</v>
      </c>
      <c r="M1707" s="3">
        <v>0.05</v>
      </c>
      <c r="N1707" t="s">
        <v>29</v>
      </c>
      <c r="O1707" s="2">
        <v>31.81</v>
      </c>
      <c r="P1707" s="2">
        <v>15.87</v>
      </c>
      <c r="Q1707" s="2">
        <v>15.94</v>
      </c>
      <c r="R1707">
        <v>1</v>
      </c>
      <c r="S1707">
        <v>0</v>
      </c>
      <c r="T1707">
        <v>5</v>
      </c>
      <c r="U1707">
        <v>4</v>
      </c>
    </row>
    <row r="1708" spans="1:21" ht="16.5" x14ac:dyDescent="0.3">
      <c r="A1708" t="s">
        <v>1794</v>
      </c>
      <c r="B1708" s="1">
        <v>45574</v>
      </c>
      <c r="C1708">
        <v>2024</v>
      </c>
      <c r="D1708" t="s">
        <v>1738</v>
      </c>
      <c r="E1708" t="s">
        <v>1739</v>
      </c>
      <c r="F1708" t="s">
        <v>24</v>
      </c>
      <c r="G1708" t="s">
        <v>25</v>
      </c>
      <c r="H1708" t="s">
        <v>26</v>
      </c>
      <c r="I1708" t="s">
        <v>27</v>
      </c>
      <c r="J1708" t="s">
        <v>40</v>
      </c>
      <c r="K1708">
        <v>1</v>
      </c>
      <c r="L1708" s="2">
        <v>104.94</v>
      </c>
      <c r="M1708" s="3">
        <v>0.05</v>
      </c>
      <c r="N1708" t="s">
        <v>29</v>
      </c>
      <c r="O1708" s="2">
        <v>99.69</v>
      </c>
      <c r="P1708" s="2">
        <v>56.4</v>
      </c>
      <c r="Q1708" s="2">
        <v>43.29</v>
      </c>
      <c r="R1708">
        <v>1</v>
      </c>
      <c r="S1708">
        <v>0</v>
      </c>
      <c r="T1708">
        <v>3</v>
      </c>
      <c r="U1708">
        <v>4</v>
      </c>
    </row>
    <row r="1709" spans="1:21" ht="16.5" x14ac:dyDescent="0.3">
      <c r="A1709" t="s">
        <v>1795</v>
      </c>
      <c r="B1709" s="1">
        <v>45574</v>
      </c>
      <c r="C1709">
        <v>2024</v>
      </c>
      <c r="D1709" t="s">
        <v>1738</v>
      </c>
      <c r="E1709" t="s">
        <v>1739</v>
      </c>
      <c r="F1709" t="s">
        <v>24</v>
      </c>
      <c r="G1709" t="s">
        <v>49</v>
      </c>
      <c r="H1709" t="s">
        <v>32</v>
      </c>
      <c r="I1709" t="s">
        <v>67</v>
      </c>
      <c r="J1709" t="s">
        <v>103</v>
      </c>
      <c r="K1709">
        <v>1</v>
      </c>
      <c r="L1709" s="2">
        <v>83.06</v>
      </c>
      <c r="M1709" s="3">
        <v>0.05</v>
      </c>
      <c r="N1709" t="s">
        <v>29</v>
      </c>
      <c r="O1709" s="2">
        <v>78.91</v>
      </c>
      <c r="P1709" s="2">
        <v>55.97</v>
      </c>
      <c r="Q1709" s="2">
        <v>22.94</v>
      </c>
      <c r="R1709">
        <v>1</v>
      </c>
      <c r="S1709">
        <v>0</v>
      </c>
      <c r="T1709">
        <v>3</v>
      </c>
      <c r="U1709">
        <v>4</v>
      </c>
    </row>
    <row r="1710" spans="1:21" ht="16.5" x14ac:dyDescent="0.3">
      <c r="A1710" t="s">
        <v>1796</v>
      </c>
      <c r="B1710" s="1">
        <v>45575</v>
      </c>
      <c r="C1710">
        <v>2024</v>
      </c>
      <c r="D1710" t="s">
        <v>1738</v>
      </c>
      <c r="E1710" t="s">
        <v>1739</v>
      </c>
      <c r="F1710" t="s">
        <v>31</v>
      </c>
      <c r="G1710" t="s">
        <v>25</v>
      </c>
      <c r="H1710" t="s">
        <v>32</v>
      </c>
      <c r="I1710" t="s">
        <v>36</v>
      </c>
      <c r="J1710" t="s">
        <v>56</v>
      </c>
      <c r="K1710">
        <v>1</v>
      </c>
      <c r="L1710" s="2">
        <v>74.3</v>
      </c>
      <c r="M1710" s="3">
        <v>0.05</v>
      </c>
      <c r="N1710" t="s">
        <v>29</v>
      </c>
      <c r="O1710" s="2">
        <v>70.58</v>
      </c>
      <c r="P1710" s="2">
        <v>34.119999999999997</v>
      </c>
      <c r="Q1710" s="2">
        <v>36.46</v>
      </c>
      <c r="R1710">
        <v>1</v>
      </c>
      <c r="S1710">
        <v>0</v>
      </c>
      <c r="T1710">
        <v>4</v>
      </c>
      <c r="U1710">
        <v>4</v>
      </c>
    </row>
    <row r="1711" spans="1:21" ht="16.5" x14ac:dyDescent="0.3">
      <c r="A1711" t="s">
        <v>1797</v>
      </c>
      <c r="B1711" s="1">
        <v>45575</v>
      </c>
      <c r="C1711">
        <v>2024</v>
      </c>
      <c r="D1711" t="s">
        <v>1738</v>
      </c>
      <c r="E1711" t="s">
        <v>1739</v>
      </c>
      <c r="F1711" t="s">
        <v>31</v>
      </c>
      <c r="G1711" t="s">
        <v>49</v>
      </c>
      <c r="H1711" t="s">
        <v>26</v>
      </c>
      <c r="I1711" t="s">
        <v>36</v>
      </c>
      <c r="J1711" t="s">
        <v>52</v>
      </c>
      <c r="K1711">
        <v>2</v>
      </c>
      <c r="L1711" s="2">
        <v>92.54</v>
      </c>
      <c r="M1711" s="3">
        <v>0</v>
      </c>
      <c r="N1711" t="s">
        <v>38</v>
      </c>
      <c r="O1711" s="2">
        <v>185.08</v>
      </c>
      <c r="P1711" s="2">
        <v>86.96</v>
      </c>
      <c r="Q1711" s="2">
        <v>98.12</v>
      </c>
      <c r="R1711">
        <v>1</v>
      </c>
      <c r="S1711">
        <v>0</v>
      </c>
      <c r="T1711">
        <v>3</v>
      </c>
      <c r="U1711">
        <v>4</v>
      </c>
    </row>
    <row r="1712" spans="1:21" ht="16.5" x14ac:dyDescent="0.3">
      <c r="A1712" t="s">
        <v>1798</v>
      </c>
      <c r="B1712" s="1">
        <v>45575</v>
      </c>
      <c r="C1712">
        <v>2024</v>
      </c>
      <c r="D1712" t="s">
        <v>1738</v>
      </c>
      <c r="E1712" t="s">
        <v>1739</v>
      </c>
      <c r="F1712" t="s">
        <v>24</v>
      </c>
      <c r="G1712" t="s">
        <v>49</v>
      </c>
      <c r="H1712" t="s">
        <v>32</v>
      </c>
      <c r="I1712" t="s">
        <v>67</v>
      </c>
      <c r="J1712" t="s">
        <v>174</v>
      </c>
      <c r="K1712">
        <v>2</v>
      </c>
      <c r="L1712" s="2">
        <v>137.05000000000001</v>
      </c>
      <c r="M1712" s="3">
        <v>0.1</v>
      </c>
      <c r="N1712" t="s">
        <v>29</v>
      </c>
      <c r="O1712" s="2">
        <v>246.69</v>
      </c>
      <c r="P1712" s="2">
        <v>184.1</v>
      </c>
      <c r="Q1712" s="2">
        <v>62.59</v>
      </c>
      <c r="R1712">
        <v>1</v>
      </c>
      <c r="S1712">
        <v>0</v>
      </c>
      <c r="T1712">
        <v>3</v>
      </c>
      <c r="U1712">
        <v>4</v>
      </c>
    </row>
    <row r="1713" spans="1:21" ht="16.5" x14ac:dyDescent="0.3">
      <c r="A1713" t="s">
        <v>1799</v>
      </c>
      <c r="B1713" s="1">
        <v>45575</v>
      </c>
      <c r="C1713">
        <v>2024</v>
      </c>
      <c r="D1713" t="s">
        <v>1738</v>
      </c>
      <c r="E1713" t="s">
        <v>1739</v>
      </c>
      <c r="F1713" t="s">
        <v>45</v>
      </c>
      <c r="G1713" t="s">
        <v>25</v>
      </c>
      <c r="H1713" t="s">
        <v>26</v>
      </c>
      <c r="I1713" t="s">
        <v>67</v>
      </c>
      <c r="J1713" t="s">
        <v>174</v>
      </c>
      <c r="K1713">
        <v>1</v>
      </c>
      <c r="L1713" s="2">
        <v>137.05000000000001</v>
      </c>
      <c r="M1713" s="3">
        <v>0</v>
      </c>
      <c r="N1713" t="s">
        <v>38</v>
      </c>
      <c r="O1713" s="2">
        <v>137.05000000000001</v>
      </c>
      <c r="P1713" s="2">
        <v>95.32</v>
      </c>
      <c r="Q1713" s="2">
        <v>41.73</v>
      </c>
      <c r="R1713">
        <v>1</v>
      </c>
      <c r="S1713">
        <v>0</v>
      </c>
      <c r="T1713">
        <v>3</v>
      </c>
      <c r="U1713">
        <v>4</v>
      </c>
    </row>
    <row r="1714" spans="1:21" ht="16.5" x14ac:dyDescent="0.3">
      <c r="A1714" t="s">
        <v>1800</v>
      </c>
      <c r="B1714" s="1">
        <v>45575</v>
      </c>
      <c r="C1714">
        <v>2024</v>
      </c>
      <c r="D1714" t="s">
        <v>1738</v>
      </c>
      <c r="E1714" t="s">
        <v>1739</v>
      </c>
      <c r="F1714" t="s">
        <v>31</v>
      </c>
      <c r="G1714" t="s">
        <v>51</v>
      </c>
      <c r="H1714" t="s">
        <v>32</v>
      </c>
      <c r="I1714" t="s">
        <v>42</v>
      </c>
      <c r="J1714" t="s">
        <v>58</v>
      </c>
      <c r="K1714">
        <v>1</v>
      </c>
      <c r="L1714" s="2">
        <v>233.81</v>
      </c>
      <c r="M1714" s="3">
        <v>0.05</v>
      </c>
      <c r="N1714" t="s">
        <v>29</v>
      </c>
      <c r="O1714" s="2">
        <v>222.12</v>
      </c>
      <c r="P1714" s="2">
        <v>156.37</v>
      </c>
      <c r="Q1714" s="2">
        <v>65.75</v>
      </c>
      <c r="R1714">
        <v>1</v>
      </c>
      <c r="S1714">
        <v>0</v>
      </c>
      <c r="T1714">
        <v>3</v>
      </c>
      <c r="U1714">
        <v>5</v>
      </c>
    </row>
    <row r="1715" spans="1:21" ht="16.5" x14ac:dyDescent="0.3">
      <c r="A1715" t="s">
        <v>1801</v>
      </c>
      <c r="B1715" s="1">
        <v>45575</v>
      </c>
      <c r="C1715">
        <v>2024</v>
      </c>
      <c r="D1715" t="s">
        <v>1738</v>
      </c>
      <c r="E1715" t="s">
        <v>1739</v>
      </c>
      <c r="F1715" t="s">
        <v>31</v>
      </c>
      <c r="G1715" t="s">
        <v>25</v>
      </c>
      <c r="H1715" t="s">
        <v>32</v>
      </c>
      <c r="I1715" t="s">
        <v>67</v>
      </c>
      <c r="J1715" t="s">
        <v>103</v>
      </c>
      <c r="K1715">
        <v>1</v>
      </c>
      <c r="L1715" s="2">
        <v>83.06</v>
      </c>
      <c r="M1715" s="3">
        <v>0</v>
      </c>
      <c r="N1715" t="s">
        <v>38</v>
      </c>
      <c r="O1715" s="2">
        <v>83.06</v>
      </c>
      <c r="P1715" s="2">
        <v>53.94</v>
      </c>
      <c r="Q1715" s="2">
        <v>29.12</v>
      </c>
      <c r="R1715">
        <v>1</v>
      </c>
      <c r="S1715">
        <v>0</v>
      </c>
      <c r="T1715">
        <v>4</v>
      </c>
      <c r="U1715">
        <v>5</v>
      </c>
    </row>
    <row r="1716" spans="1:21" ht="16.5" x14ac:dyDescent="0.3">
      <c r="A1716" t="s">
        <v>1802</v>
      </c>
      <c r="B1716" s="1">
        <v>45575</v>
      </c>
      <c r="C1716">
        <v>2024</v>
      </c>
      <c r="D1716" t="s">
        <v>1738</v>
      </c>
      <c r="E1716" t="s">
        <v>1739</v>
      </c>
      <c r="F1716" t="s">
        <v>31</v>
      </c>
      <c r="G1716" t="s">
        <v>51</v>
      </c>
      <c r="H1716" t="s">
        <v>32</v>
      </c>
      <c r="I1716" t="s">
        <v>42</v>
      </c>
      <c r="J1716" t="s">
        <v>76</v>
      </c>
      <c r="K1716">
        <v>1</v>
      </c>
      <c r="L1716" s="2">
        <v>90.75</v>
      </c>
      <c r="M1716" s="3">
        <v>0</v>
      </c>
      <c r="N1716" t="s">
        <v>38</v>
      </c>
      <c r="O1716" s="2">
        <v>90.75</v>
      </c>
      <c r="P1716" s="2">
        <v>57.6</v>
      </c>
      <c r="Q1716" s="2">
        <v>33.15</v>
      </c>
      <c r="R1716">
        <v>1</v>
      </c>
      <c r="S1716">
        <v>0</v>
      </c>
      <c r="T1716">
        <v>2</v>
      </c>
      <c r="U1716">
        <v>4</v>
      </c>
    </row>
    <row r="1717" spans="1:21" ht="16.5" x14ac:dyDescent="0.3">
      <c r="A1717" t="s">
        <v>1803</v>
      </c>
      <c r="B1717" s="1">
        <v>45575</v>
      </c>
      <c r="C1717">
        <v>2024</v>
      </c>
      <c r="D1717" t="s">
        <v>1738</v>
      </c>
      <c r="E1717" t="s">
        <v>1739</v>
      </c>
      <c r="F1717" t="s">
        <v>24</v>
      </c>
      <c r="G1717" t="s">
        <v>25</v>
      </c>
      <c r="H1717" t="s">
        <v>32</v>
      </c>
      <c r="I1717" t="s">
        <v>42</v>
      </c>
      <c r="J1717" t="s">
        <v>98</v>
      </c>
      <c r="K1717">
        <v>1</v>
      </c>
      <c r="L1717" s="2">
        <v>117.63</v>
      </c>
      <c r="M1717" s="3">
        <v>0</v>
      </c>
      <c r="N1717" t="s">
        <v>38</v>
      </c>
      <c r="O1717" s="2">
        <v>117.63</v>
      </c>
      <c r="P1717" s="2">
        <v>79.63</v>
      </c>
      <c r="Q1717" s="2">
        <v>38</v>
      </c>
      <c r="R1717">
        <v>1</v>
      </c>
      <c r="S1717">
        <v>1</v>
      </c>
      <c r="T1717">
        <v>3</v>
      </c>
      <c r="U1717">
        <v>3</v>
      </c>
    </row>
    <row r="1718" spans="1:21" ht="16.5" x14ac:dyDescent="0.3">
      <c r="A1718" t="s">
        <v>1804</v>
      </c>
      <c r="B1718" s="1">
        <v>45575</v>
      </c>
      <c r="C1718">
        <v>2024</v>
      </c>
      <c r="D1718" t="s">
        <v>1738</v>
      </c>
      <c r="E1718" t="s">
        <v>1739</v>
      </c>
      <c r="F1718" t="s">
        <v>31</v>
      </c>
      <c r="G1718" t="s">
        <v>65</v>
      </c>
      <c r="H1718" t="s">
        <v>26</v>
      </c>
      <c r="I1718" t="s">
        <v>67</v>
      </c>
      <c r="J1718" t="s">
        <v>68</v>
      </c>
      <c r="K1718">
        <v>1</v>
      </c>
      <c r="L1718" s="2">
        <v>74.459999999999994</v>
      </c>
      <c r="M1718" s="3">
        <v>0.1</v>
      </c>
      <c r="N1718" t="s">
        <v>29</v>
      </c>
      <c r="O1718" s="2">
        <v>67.010000000000005</v>
      </c>
      <c r="P1718" s="2">
        <v>51.68</v>
      </c>
      <c r="Q1718" s="2">
        <v>15.33</v>
      </c>
      <c r="R1718">
        <v>1</v>
      </c>
      <c r="S1718">
        <v>0</v>
      </c>
      <c r="T1718">
        <v>7</v>
      </c>
      <c r="U1718">
        <v>5</v>
      </c>
    </row>
    <row r="1719" spans="1:21" ht="16.5" x14ac:dyDescent="0.3">
      <c r="A1719" t="s">
        <v>1805</v>
      </c>
      <c r="B1719" s="1">
        <v>45575</v>
      </c>
      <c r="C1719">
        <v>2024</v>
      </c>
      <c r="D1719" t="s">
        <v>1738</v>
      </c>
      <c r="E1719" t="s">
        <v>1739</v>
      </c>
      <c r="F1719" t="s">
        <v>24</v>
      </c>
      <c r="G1719" t="s">
        <v>49</v>
      </c>
      <c r="H1719" t="s">
        <v>32</v>
      </c>
      <c r="I1719" t="s">
        <v>36</v>
      </c>
      <c r="J1719" t="s">
        <v>115</v>
      </c>
      <c r="K1719">
        <v>1</v>
      </c>
      <c r="L1719" s="2">
        <v>33.479999999999997</v>
      </c>
      <c r="M1719" s="3">
        <v>0.25</v>
      </c>
      <c r="N1719" t="s">
        <v>62</v>
      </c>
      <c r="O1719" s="2">
        <v>25.11</v>
      </c>
      <c r="P1719" s="2">
        <v>15.74</v>
      </c>
      <c r="Q1719" s="2">
        <v>9.3699999999999992</v>
      </c>
      <c r="R1719">
        <v>1</v>
      </c>
      <c r="S1719">
        <v>0</v>
      </c>
      <c r="T1719">
        <v>4</v>
      </c>
      <c r="U1719">
        <v>4</v>
      </c>
    </row>
    <row r="1720" spans="1:21" ht="16.5" x14ac:dyDescent="0.3">
      <c r="A1720" t="s">
        <v>1806</v>
      </c>
      <c r="B1720" s="1">
        <v>45576</v>
      </c>
      <c r="C1720">
        <v>2024</v>
      </c>
      <c r="D1720" t="s">
        <v>1738</v>
      </c>
      <c r="E1720" t="s">
        <v>1739</v>
      </c>
      <c r="F1720" t="s">
        <v>45</v>
      </c>
      <c r="G1720" t="s">
        <v>51</v>
      </c>
      <c r="H1720" t="s">
        <v>32</v>
      </c>
      <c r="I1720" t="s">
        <v>27</v>
      </c>
      <c r="J1720" t="s">
        <v>33</v>
      </c>
      <c r="K1720">
        <v>1</v>
      </c>
      <c r="L1720" s="2">
        <v>78.510000000000005</v>
      </c>
      <c r="M1720" s="3">
        <v>0.3</v>
      </c>
      <c r="N1720" t="s">
        <v>62</v>
      </c>
      <c r="O1720" s="2">
        <v>54.96</v>
      </c>
      <c r="P1720" s="2">
        <v>43.78</v>
      </c>
      <c r="Q1720" s="2">
        <v>11.18</v>
      </c>
      <c r="R1720">
        <v>1</v>
      </c>
      <c r="S1720">
        <v>0</v>
      </c>
      <c r="T1720">
        <v>3</v>
      </c>
      <c r="U1720">
        <v>5</v>
      </c>
    </row>
    <row r="1721" spans="1:21" ht="16.5" x14ac:dyDescent="0.3">
      <c r="A1721" t="s">
        <v>1807</v>
      </c>
      <c r="B1721" s="1">
        <v>45576</v>
      </c>
      <c r="C1721">
        <v>2024</v>
      </c>
      <c r="D1721" t="s">
        <v>1738</v>
      </c>
      <c r="E1721" t="s">
        <v>1739</v>
      </c>
      <c r="F1721" t="s">
        <v>31</v>
      </c>
      <c r="G1721" t="s">
        <v>51</v>
      </c>
      <c r="H1721" t="s">
        <v>26</v>
      </c>
      <c r="I1721" t="s">
        <v>36</v>
      </c>
      <c r="J1721" t="s">
        <v>115</v>
      </c>
      <c r="K1721">
        <v>1</v>
      </c>
      <c r="L1721" s="2">
        <v>33.479999999999997</v>
      </c>
      <c r="M1721" s="3">
        <v>0.25</v>
      </c>
      <c r="N1721" t="s">
        <v>62</v>
      </c>
      <c r="O1721" s="2">
        <v>25.11</v>
      </c>
      <c r="P1721" s="2">
        <v>15.31</v>
      </c>
      <c r="Q1721" s="2">
        <v>9.8000000000000007</v>
      </c>
      <c r="R1721">
        <v>1</v>
      </c>
      <c r="S1721">
        <v>0</v>
      </c>
      <c r="T1721">
        <v>5</v>
      </c>
      <c r="U1721">
        <v>4</v>
      </c>
    </row>
    <row r="1722" spans="1:21" ht="16.5" x14ac:dyDescent="0.3">
      <c r="A1722" t="s">
        <v>1808</v>
      </c>
      <c r="B1722" s="1">
        <v>45576</v>
      </c>
      <c r="C1722">
        <v>2024</v>
      </c>
      <c r="D1722" t="s">
        <v>1738</v>
      </c>
      <c r="E1722" t="s">
        <v>1739</v>
      </c>
      <c r="F1722" t="s">
        <v>31</v>
      </c>
      <c r="G1722" t="s">
        <v>25</v>
      </c>
      <c r="H1722" t="s">
        <v>32</v>
      </c>
      <c r="I1722" t="s">
        <v>27</v>
      </c>
      <c r="J1722" t="s">
        <v>40</v>
      </c>
      <c r="K1722">
        <v>1</v>
      </c>
      <c r="L1722" s="2">
        <v>104.94</v>
      </c>
      <c r="M1722" s="3">
        <v>0.1</v>
      </c>
      <c r="N1722" t="s">
        <v>29</v>
      </c>
      <c r="O1722" s="2">
        <v>94.45</v>
      </c>
      <c r="P1722" s="2">
        <v>58.74</v>
      </c>
      <c r="Q1722" s="2">
        <v>35.71</v>
      </c>
      <c r="R1722">
        <v>1</v>
      </c>
      <c r="S1722">
        <v>0</v>
      </c>
      <c r="T1722">
        <v>4</v>
      </c>
      <c r="U1722">
        <v>5</v>
      </c>
    </row>
    <row r="1723" spans="1:21" ht="16.5" x14ac:dyDescent="0.3">
      <c r="A1723" t="s">
        <v>1809</v>
      </c>
      <c r="B1723" s="1">
        <v>45576</v>
      </c>
      <c r="C1723">
        <v>2024</v>
      </c>
      <c r="D1723" t="s">
        <v>1738</v>
      </c>
      <c r="E1723" t="s">
        <v>1739</v>
      </c>
      <c r="F1723" t="s">
        <v>24</v>
      </c>
      <c r="G1723" t="s">
        <v>25</v>
      </c>
      <c r="H1723" t="s">
        <v>32</v>
      </c>
      <c r="I1723" t="s">
        <v>70</v>
      </c>
      <c r="J1723" t="s">
        <v>252</v>
      </c>
      <c r="K1723">
        <v>1</v>
      </c>
      <c r="L1723" s="2">
        <v>216.08</v>
      </c>
      <c r="M1723" s="3">
        <v>0.05</v>
      </c>
      <c r="N1723" t="s">
        <v>29</v>
      </c>
      <c r="O1723" s="2">
        <v>205.28</v>
      </c>
      <c r="P1723" s="2">
        <v>172.94</v>
      </c>
      <c r="Q1723" s="2">
        <v>32.340000000000003</v>
      </c>
      <c r="R1723">
        <v>1</v>
      </c>
      <c r="S1723">
        <v>0</v>
      </c>
      <c r="T1723">
        <v>4</v>
      </c>
      <c r="U1723">
        <v>5</v>
      </c>
    </row>
    <row r="1724" spans="1:21" ht="16.5" x14ac:dyDescent="0.3">
      <c r="A1724" t="s">
        <v>1810</v>
      </c>
      <c r="B1724" s="1">
        <v>45576</v>
      </c>
      <c r="C1724">
        <v>2024</v>
      </c>
      <c r="D1724" t="s">
        <v>1738</v>
      </c>
      <c r="E1724" t="s">
        <v>1739</v>
      </c>
      <c r="F1724" t="s">
        <v>24</v>
      </c>
      <c r="G1724" t="s">
        <v>51</v>
      </c>
      <c r="H1724" t="s">
        <v>26</v>
      </c>
      <c r="I1724" t="s">
        <v>70</v>
      </c>
      <c r="J1724" t="s">
        <v>129</v>
      </c>
      <c r="K1724">
        <v>3</v>
      </c>
      <c r="L1724" s="2">
        <v>177.65</v>
      </c>
      <c r="M1724" s="3">
        <v>0.15</v>
      </c>
      <c r="N1724" t="s">
        <v>34</v>
      </c>
      <c r="O1724" s="2">
        <v>453.01</v>
      </c>
      <c r="P1724" s="2">
        <v>442.31</v>
      </c>
      <c r="Q1724" s="2">
        <v>10.7</v>
      </c>
      <c r="R1724">
        <v>1</v>
      </c>
      <c r="S1724">
        <v>0</v>
      </c>
      <c r="T1724">
        <v>2</v>
      </c>
      <c r="U1724">
        <v>4</v>
      </c>
    </row>
    <row r="1725" spans="1:21" ht="16.5" x14ac:dyDescent="0.3">
      <c r="A1725" t="s">
        <v>1811</v>
      </c>
      <c r="B1725" s="1">
        <v>45576</v>
      </c>
      <c r="C1725">
        <v>2024</v>
      </c>
      <c r="D1725" t="s">
        <v>1738</v>
      </c>
      <c r="E1725" t="s">
        <v>1739</v>
      </c>
      <c r="F1725" t="s">
        <v>24</v>
      </c>
      <c r="G1725" t="s">
        <v>65</v>
      </c>
      <c r="H1725" t="s">
        <v>26</v>
      </c>
      <c r="I1725" t="s">
        <v>70</v>
      </c>
      <c r="J1725" t="s">
        <v>162</v>
      </c>
      <c r="K1725">
        <v>1</v>
      </c>
      <c r="L1725" s="2">
        <v>636.09</v>
      </c>
      <c r="M1725" s="3">
        <v>0.05</v>
      </c>
      <c r="N1725" t="s">
        <v>29</v>
      </c>
      <c r="O1725" s="2">
        <v>604.29</v>
      </c>
      <c r="P1725" s="2">
        <v>510.4</v>
      </c>
      <c r="Q1725" s="2">
        <v>93.89</v>
      </c>
      <c r="R1725">
        <v>1</v>
      </c>
      <c r="S1725">
        <v>0</v>
      </c>
      <c r="T1725">
        <v>6</v>
      </c>
      <c r="U1725">
        <v>4</v>
      </c>
    </row>
    <row r="1726" spans="1:21" ht="16.5" x14ac:dyDescent="0.3">
      <c r="A1726" t="s">
        <v>1812</v>
      </c>
      <c r="B1726" s="1">
        <v>45577</v>
      </c>
      <c r="C1726">
        <v>2024</v>
      </c>
      <c r="D1726" t="s">
        <v>1738</v>
      </c>
      <c r="E1726" t="s">
        <v>1739</v>
      </c>
      <c r="F1726" t="s">
        <v>45</v>
      </c>
      <c r="G1726" t="s">
        <v>25</v>
      </c>
      <c r="H1726" t="s">
        <v>32</v>
      </c>
      <c r="I1726" t="s">
        <v>27</v>
      </c>
      <c r="J1726" t="s">
        <v>40</v>
      </c>
      <c r="K1726">
        <v>1</v>
      </c>
      <c r="L1726" s="2">
        <v>104.94</v>
      </c>
      <c r="M1726" s="3">
        <v>0</v>
      </c>
      <c r="N1726" t="s">
        <v>38</v>
      </c>
      <c r="O1726" s="2">
        <v>104.94</v>
      </c>
      <c r="P1726" s="2">
        <v>55.82</v>
      </c>
      <c r="Q1726" s="2">
        <v>49.12</v>
      </c>
      <c r="R1726">
        <v>1</v>
      </c>
      <c r="S1726">
        <v>0</v>
      </c>
      <c r="T1726">
        <v>3</v>
      </c>
      <c r="U1726">
        <v>4</v>
      </c>
    </row>
    <row r="1727" spans="1:21" ht="16.5" x14ac:dyDescent="0.3">
      <c r="A1727" t="s">
        <v>1813</v>
      </c>
      <c r="B1727" s="1">
        <v>45577</v>
      </c>
      <c r="C1727">
        <v>2024</v>
      </c>
      <c r="D1727" t="s">
        <v>1738</v>
      </c>
      <c r="E1727" t="s">
        <v>1739</v>
      </c>
      <c r="F1727" t="s">
        <v>45</v>
      </c>
      <c r="G1727" t="s">
        <v>46</v>
      </c>
      <c r="H1727" t="s">
        <v>32</v>
      </c>
      <c r="I1727" t="s">
        <v>27</v>
      </c>
      <c r="J1727" t="s">
        <v>40</v>
      </c>
      <c r="K1727">
        <v>2</v>
      </c>
      <c r="L1727" s="2">
        <v>104.94</v>
      </c>
      <c r="M1727" s="3">
        <v>0.05</v>
      </c>
      <c r="N1727" t="s">
        <v>29</v>
      </c>
      <c r="O1727" s="2">
        <v>199.39</v>
      </c>
      <c r="P1727" s="2">
        <v>112.94</v>
      </c>
      <c r="Q1727" s="2">
        <v>86.45</v>
      </c>
      <c r="R1727">
        <v>1</v>
      </c>
      <c r="S1727">
        <v>0</v>
      </c>
      <c r="T1727">
        <v>5</v>
      </c>
      <c r="U1727">
        <v>4</v>
      </c>
    </row>
    <row r="1728" spans="1:21" ht="16.5" x14ac:dyDescent="0.3">
      <c r="A1728" t="s">
        <v>1814</v>
      </c>
      <c r="B1728" s="1">
        <v>45577</v>
      </c>
      <c r="C1728">
        <v>2024</v>
      </c>
      <c r="D1728" t="s">
        <v>1738</v>
      </c>
      <c r="E1728" t="s">
        <v>1739</v>
      </c>
      <c r="F1728" t="s">
        <v>31</v>
      </c>
      <c r="G1728" t="s">
        <v>65</v>
      </c>
      <c r="H1728" t="s">
        <v>26</v>
      </c>
      <c r="I1728" t="s">
        <v>67</v>
      </c>
      <c r="J1728" t="s">
        <v>78</v>
      </c>
      <c r="K1728">
        <v>1</v>
      </c>
      <c r="L1728" s="2">
        <v>85.42</v>
      </c>
      <c r="M1728" s="3">
        <v>0.3</v>
      </c>
      <c r="N1728" t="s">
        <v>62</v>
      </c>
      <c r="O1728" s="2">
        <v>59.79</v>
      </c>
      <c r="P1728" s="2">
        <v>62.31</v>
      </c>
      <c r="Q1728" s="2">
        <v>-2.52</v>
      </c>
      <c r="R1728">
        <v>1</v>
      </c>
      <c r="S1728">
        <v>1</v>
      </c>
      <c r="T1728">
        <v>7</v>
      </c>
      <c r="U1728">
        <v>2</v>
      </c>
    </row>
    <row r="1729" spans="1:21" ht="16.5" x14ac:dyDescent="0.3">
      <c r="A1729" t="s">
        <v>1815</v>
      </c>
      <c r="B1729" s="1">
        <v>45577</v>
      </c>
      <c r="C1729">
        <v>2024</v>
      </c>
      <c r="D1729" t="s">
        <v>1738</v>
      </c>
      <c r="E1729" t="s">
        <v>1739</v>
      </c>
      <c r="F1729" t="s">
        <v>45</v>
      </c>
      <c r="G1729" t="s">
        <v>25</v>
      </c>
      <c r="H1729" t="s">
        <v>26</v>
      </c>
      <c r="I1729" t="s">
        <v>42</v>
      </c>
      <c r="J1729" t="s">
        <v>76</v>
      </c>
      <c r="K1729">
        <v>1</v>
      </c>
      <c r="L1729" s="2">
        <v>90.75</v>
      </c>
      <c r="M1729" s="3">
        <v>0.05</v>
      </c>
      <c r="N1729" t="s">
        <v>29</v>
      </c>
      <c r="O1729" s="2">
        <v>86.21</v>
      </c>
      <c r="P1729" s="2">
        <v>62.06</v>
      </c>
      <c r="Q1729" s="2">
        <v>24.15</v>
      </c>
      <c r="R1729">
        <v>1</v>
      </c>
      <c r="S1729">
        <v>0</v>
      </c>
      <c r="T1729">
        <v>3</v>
      </c>
      <c r="U1729">
        <v>5</v>
      </c>
    </row>
    <row r="1730" spans="1:21" ht="16.5" x14ac:dyDescent="0.3">
      <c r="A1730" t="s">
        <v>1816</v>
      </c>
      <c r="B1730" s="1">
        <v>45578</v>
      </c>
      <c r="C1730">
        <v>2024</v>
      </c>
      <c r="D1730" t="s">
        <v>1738</v>
      </c>
      <c r="E1730" t="s">
        <v>1739</v>
      </c>
      <c r="F1730" t="s">
        <v>24</v>
      </c>
      <c r="G1730" t="s">
        <v>25</v>
      </c>
      <c r="H1730" t="s">
        <v>26</v>
      </c>
      <c r="I1730" t="s">
        <v>36</v>
      </c>
      <c r="J1730" t="s">
        <v>52</v>
      </c>
      <c r="K1730">
        <v>1</v>
      </c>
      <c r="L1730" s="2">
        <v>92.54</v>
      </c>
      <c r="M1730" s="3">
        <v>0.15</v>
      </c>
      <c r="N1730" t="s">
        <v>34</v>
      </c>
      <c r="O1730" s="2">
        <v>78.66</v>
      </c>
      <c r="P1730" s="2">
        <v>43.53</v>
      </c>
      <c r="Q1730" s="2">
        <v>35.130000000000003</v>
      </c>
      <c r="R1730">
        <v>1</v>
      </c>
      <c r="S1730">
        <v>0</v>
      </c>
      <c r="T1730">
        <v>3</v>
      </c>
      <c r="U1730">
        <v>4</v>
      </c>
    </row>
    <row r="1731" spans="1:21" ht="16.5" x14ac:dyDescent="0.3">
      <c r="A1731" t="s">
        <v>1817</v>
      </c>
      <c r="B1731" s="1">
        <v>45578</v>
      </c>
      <c r="C1731">
        <v>2024</v>
      </c>
      <c r="D1731" t="s">
        <v>1738</v>
      </c>
      <c r="E1731" t="s">
        <v>1739</v>
      </c>
      <c r="F1731" t="s">
        <v>24</v>
      </c>
      <c r="G1731" t="s">
        <v>51</v>
      </c>
      <c r="H1731" t="s">
        <v>26</v>
      </c>
      <c r="I1731" t="s">
        <v>70</v>
      </c>
      <c r="J1731" t="s">
        <v>82</v>
      </c>
      <c r="K1731">
        <v>1</v>
      </c>
      <c r="L1731" s="2">
        <v>508.8</v>
      </c>
      <c r="M1731" s="3">
        <v>0</v>
      </c>
      <c r="N1731" t="s">
        <v>38</v>
      </c>
      <c r="O1731" s="2">
        <v>508.8</v>
      </c>
      <c r="P1731" s="2">
        <v>417.36</v>
      </c>
      <c r="Q1731" s="2">
        <v>91.44</v>
      </c>
      <c r="R1731">
        <v>1</v>
      </c>
      <c r="S1731">
        <v>0</v>
      </c>
      <c r="T1731">
        <v>2</v>
      </c>
      <c r="U1731">
        <v>4</v>
      </c>
    </row>
    <row r="1732" spans="1:21" ht="16.5" x14ac:dyDescent="0.3">
      <c r="A1732" t="s">
        <v>1818</v>
      </c>
      <c r="B1732" s="1">
        <v>45578</v>
      </c>
      <c r="C1732">
        <v>2024</v>
      </c>
      <c r="D1732" t="s">
        <v>1738</v>
      </c>
      <c r="E1732" t="s">
        <v>1739</v>
      </c>
      <c r="F1732" t="s">
        <v>24</v>
      </c>
      <c r="G1732" t="s">
        <v>25</v>
      </c>
      <c r="H1732" t="s">
        <v>26</v>
      </c>
      <c r="I1732" t="s">
        <v>67</v>
      </c>
      <c r="J1732" t="s">
        <v>68</v>
      </c>
      <c r="K1732">
        <v>2</v>
      </c>
      <c r="L1732" s="2">
        <v>74.459999999999994</v>
      </c>
      <c r="M1732" s="3">
        <v>0.15</v>
      </c>
      <c r="N1732" t="s">
        <v>34</v>
      </c>
      <c r="O1732" s="2">
        <v>126.58</v>
      </c>
      <c r="P1732" s="2">
        <v>98.57</v>
      </c>
      <c r="Q1732" s="2">
        <v>28.01</v>
      </c>
      <c r="R1732">
        <v>1</v>
      </c>
      <c r="S1732">
        <v>1</v>
      </c>
      <c r="T1732">
        <v>3</v>
      </c>
      <c r="U1732">
        <v>3</v>
      </c>
    </row>
    <row r="1733" spans="1:21" ht="16.5" x14ac:dyDescent="0.3">
      <c r="A1733" t="s">
        <v>1819</v>
      </c>
      <c r="B1733" s="1">
        <v>45578</v>
      </c>
      <c r="C1733">
        <v>2024</v>
      </c>
      <c r="D1733" t="s">
        <v>1738</v>
      </c>
      <c r="E1733" t="s">
        <v>1739</v>
      </c>
      <c r="F1733" t="s">
        <v>24</v>
      </c>
      <c r="G1733" t="s">
        <v>51</v>
      </c>
      <c r="H1733" t="s">
        <v>32</v>
      </c>
      <c r="I1733" t="s">
        <v>67</v>
      </c>
      <c r="J1733" t="s">
        <v>78</v>
      </c>
      <c r="K1733">
        <v>1</v>
      </c>
      <c r="L1733" s="2">
        <v>85.42</v>
      </c>
      <c r="M1733" s="3">
        <v>0.25</v>
      </c>
      <c r="N1733" t="s">
        <v>62</v>
      </c>
      <c r="O1733" s="2">
        <v>64.06</v>
      </c>
      <c r="P1733" s="2">
        <v>58.27</v>
      </c>
      <c r="Q1733" s="2">
        <v>5.79</v>
      </c>
      <c r="R1733">
        <v>1</v>
      </c>
      <c r="S1733">
        <v>0</v>
      </c>
      <c r="T1733">
        <v>2</v>
      </c>
      <c r="U1733">
        <v>4</v>
      </c>
    </row>
    <row r="1734" spans="1:21" ht="16.5" x14ac:dyDescent="0.3">
      <c r="A1734" t="s">
        <v>1820</v>
      </c>
      <c r="B1734" s="1">
        <v>45578</v>
      </c>
      <c r="C1734">
        <v>2024</v>
      </c>
      <c r="D1734" t="s">
        <v>1738</v>
      </c>
      <c r="E1734" t="s">
        <v>1739</v>
      </c>
      <c r="F1734" t="s">
        <v>45</v>
      </c>
      <c r="G1734" t="s">
        <v>25</v>
      </c>
      <c r="H1734" t="s">
        <v>32</v>
      </c>
      <c r="I1734" t="s">
        <v>27</v>
      </c>
      <c r="J1734" t="s">
        <v>47</v>
      </c>
      <c r="K1734">
        <v>4</v>
      </c>
      <c r="L1734" s="2">
        <v>33.99</v>
      </c>
      <c r="M1734" s="3">
        <v>0.3</v>
      </c>
      <c r="N1734" t="s">
        <v>62</v>
      </c>
      <c r="O1734" s="2">
        <v>95.17</v>
      </c>
      <c r="P1734" s="2">
        <v>74.650000000000006</v>
      </c>
      <c r="Q1734" s="2">
        <v>20.52</v>
      </c>
      <c r="R1734">
        <v>1</v>
      </c>
      <c r="S1734">
        <v>1</v>
      </c>
      <c r="T1734">
        <v>4</v>
      </c>
      <c r="U1734">
        <v>3</v>
      </c>
    </row>
    <row r="1735" spans="1:21" ht="16.5" x14ac:dyDescent="0.3">
      <c r="A1735" t="s">
        <v>1821</v>
      </c>
      <c r="B1735" s="1">
        <v>45578</v>
      </c>
      <c r="C1735">
        <v>2024</v>
      </c>
      <c r="D1735" t="s">
        <v>1738</v>
      </c>
      <c r="E1735" t="s">
        <v>1739</v>
      </c>
      <c r="F1735" t="s">
        <v>31</v>
      </c>
      <c r="G1735" t="s">
        <v>25</v>
      </c>
      <c r="H1735" t="s">
        <v>26</v>
      </c>
      <c r="I1735" t="s">
        <v>36</v>
      </c>
      <c r="J1735" t="s">
        <v>56</v>
      </c>
      <c r="K1735">
        <v>1</v>
      </c>
      <c r="L1735" s="2">
        <v>74.3</v>
      </c>
      <c r="M1735" s="3">
        <v>0</v>
      </c>
      <c r="N1735" t="s">
        <v>38</v>
      </c>
      <c r="O1735" s="2">
        <v>74.3</v>
      </c>
      <c r="P1735" s="2">
        <v>34.44</v>
      </c>
      <c r="Q1735" s="2">
        <v>39.86</v>
      </c>
      <c r="R1735">
        <v>1</v>
      </c>
      <c r="S1735">
        <v>0</v>
      </c>
      <c r="T1735">
        <v>4</v>
      </c>
      <c r="U1735">
        <v>4</v>
      </c>
    </row>
    <row r="1736" spans="1:21" ht="16.5" x14ac:dyDescent="0.3">
      <c r="A1736" t="s">
        <v>1822</v>
      </c>
      <c r="B1736" s="1">
        <v>45578</v>
      </c>
      <c r="C1736">
        <v>2024</v>
      </c>
      <c r="D1736" t="s">
        <v>1738</v>
      </c>
      <c r="E1736" t="s">
        <v>1739</v>
      </c>
      <c r="F1736" t="s">
        <v>31</v>
      </c>
      <c r="G1736" t="s">
        <v>51</v>
      </c>
      <c r="H1736" t="s">
        <v>32</v>
      </c>
      <c r="I1736" t="s">
        <v>67</v>
      </c>
      <c r="J1736" t="s">
        <v>78</v>
      </c>
      <c r="K1736">
        <v>1</v>
      </c>
      <c r="L1736" s="2">
        <v>85.42</v>
      </c>
      <c r="M1736" s="3">
        <v>0.3</v>
      </c>
      <c r="N1736" t="s">
        <v>62</v>
      </c>
      <c r="O1736" s="2">
        <v>59.79</v>
      </c>
      <c r="P1736" s="2">
        <v>56.53</v>
      </c>
      <c r="Q1736" s="2">
        <v>3.26</v>
      </c>
      <c r="R1736">
        <v>1</v>
      </c>
      <c r="S1736">
        <v>0</v>
      </c>
      <c r="T1736">
        <v>3</v>
      </c>
      <c r="U1736">
        <v>3</v>
      </c>
    </row>
    <row r="1737" spans="1:21" ht="16.5" x14ac:dyDescent="0.3">
      <c r="A1737" t="s">
        <v>1823</v>
      </c>
      <c r="B1737" s="1">
        <v>45578</v>
      </c>
      <c r="C1737">
        <v>2024</v>
      </c>
      <c r="D1737" t="s">
        <v>1738</v>
      </c>
      <c r="E1737" t="s">
        <v>1739</v>
      </c>
      <c r="F1737" t="s">
        <v>45</v>
      </c>
      <c r="G1737" t="s">
        <v>65</v>
      </c>
      <c r="H1737" t="s">
        <v>32</v>
      </c>
      <c r="I1737" t="s">
        <v>27</v>
      </c>
      <c r="J1737" t="s">
        <v>40</v>
      </c>
      <c r="K1737">
        <v>1</v>
      </c>
      <c r="L1737" s="2">
        <v>104.94</v>
      </c>
      <c r="M1737" s="3">
        <v>0.1</v>
      </c>
      <c r="N1737" t="s">
        <v>29</v>
      </c>
      <c r="O1737" s="2">
        <v>94.45</v>
      </c>
      <c r="P1737" s="2">
        <v>53.9</v>
      </c>
      <c r="Q1737" s="2">
        <v>40.549999999999997</v>
      </c>
      <c r="R1737">
        <v>1</v>
      </c>
      <c r="S1737">
        <v>0</v>
      </c>
      <c r="T1737">
        <v>6</v>
      </c>
      <c r="U1737">
        <v>4</v>
      </c>
    </row>
    <row r="1738" spans="1:21" ht="16.5" x14ac:dyDescent="0.3">
      <c r="A1738" t="s">
        <v>1824</v>
      </c>
      <c r="B1738" s="1">
        <v>45578</v>
      </c>
      <c r="C1738">
        <v>2024</v>
      </c>
      <c r="D1738" t="s">
        <v>1738</v>
      </c>
      <c r="E1738" t="s">
        <v>1739</v>
      </c>
      <c r="F1738" t="s">
        <v>45</v>
      </c>
      <c r="G1738" t="s">
        <v>49</v>
      </c>
      <c r="H1738" t="s">
        <v>32</v>
      </c>
      <c r="I1738" t="s">
        <v>27</v>
      </c>
      <c r="J1738" t="s">
        <v>60</v>
      </c>
      <c r="K1738">
        <v>3</v>
      </c>
      <c r="L1738" s="2">
        <v>94.85</v>
      </c>
      <c r="M1738" s="3">
        <v>0</v>
      </c>
      <c r="N1738" t="s">
        <v>38</v>
      </c>
      <c r="O1738" s="2">
        <v>284.55</v>
      </c>
      <c r="P1738" s="2">
        <v>150.1</v>
      </c>
      <c r="Q1738" s="2">
        <v>134.44999999999999</v>
      </c>
      <c r="R1738">
        <v>1</v>
      </c>
      <c r="S1738">
        <v>0</v>
      </c>
      <c r="T1738">
        <v>4</v>
      </c>
      <c r="U1738">
        <v>5</v>
      </c>
    </row>
    <row r="1739" spans="1:21" ht="16.5" x14ac:dyDescent="0.3">
      <c r="A1739" t="s">
        <v>1825</v>
      </c>
      <c r="B1739" s="1">
        <v>45578</v>
      </c>
      <c r="C1739">
        <v>2024</v>
      </c>
      <c r="D1739" t="s">
        <v>1738</v>
      </c>
      <c r="E1739" t="s">
        <v>1739</v>
      </c>
      <c r="F1739" t="s">
        <v>24</v>
      </c>
      <c r="G1739" t="s">
        <v>46</v>
      </c>
      <c r="H1739" t="s">
        <v>32</v>
      </c>
      <c r="I1739" t="s">
        <v>27</v>
      </c>
      <c r="J1739" t="s">
        <v>60</v>
      </c>
      <c r="K1739">
        <v>1</v>
      </c>
      <c r="L1739" s="2">
        <v>94.85</v>
      </c>
      <c r="M1739" s="3">
        <v>0.05</v>
      </c>
      <c r="N1739" t="s">
        <v>29</v>
      </c>
      <c r="O1739" s="2">
        <v>90.11</v>
      </c>
      <c r="P1739" s="2">
        <v>50.48</v>
      </c>
      <c r="Q1739" s="2">
        <v>39.630000000000003</v>
      </c>
      <c r="R1739">
        <v>1</v>
      </c>
      <c r="S1739">
        <v>0</v>
      </c>
      <c r="T1739">
        <v>6</v>
      </c>
      <c r="U1739">
        <v>4</v>
      </c>
    </row>
    <row r="1740" spans="1:21" ht="16.5" x14ac:dyDescent="0.3">
      <c r="A1740" t="s">
        <v>1826</v>
      </c>
      <c r="B1740" s="1">
        <v>45579</v>
      </c>
      <c r="C1740">
        <v>2024</v>
      </c>
      <c r="D1740" t="s">
        <v>1738</v>
      </c>
      <c r="E1740" t="s">
        <v>1739</v>
      </c>
      <c r="F1740" t="s">
        <v>24</v>
      </c>
      <c r="G1740" t="s">
        <v>51</v>
      </c>
      <c r="H1740" t="s">
        <v>32</v>
      </c>
      <c r="I1740" t="s">
        <v>27</v>
      </c>
      <c r="J1740" t="s">
        <v>28</v>
      </c>
      <c r="K1740">
        <v>1</v>
      </c>
      <c r="L1740" s="2">
        <v>138.5</v>
      </c>
      <c r="M1740" s="3">
        <v>0.05</v>
      </c>
      <c r="N1740" t="s">
        <v>29</v>
      </c>
      <c r="O1740" s="2">
        <v>131.57</v>
      </c>
      <c r="P1740" s="2">
        <v>74.86</v>
      </c>
      <c r="Q1740" s="2">
        <v>56.71</v>
      </c>
      <c r="R1740">
        <v>1</v>
      </c>
      <c r="S1740">
        <v>0</v>
      </c>
      <c r="T1740">
        <v>3</v>
      </c>
      <c r="U1740">
        <v>4</v>
      </c>
    </row>
    <row r="1741" spans="1:21" ht="16.5" x14ac:dyDescent="0.3">
      <c r="A1741" t="s">
        <v>1827</v>
      </c>
      <c r="B1741" s="1">
        <v>45579</v>
      </c>
      <c r="C1741">
        <v>2024</v>
      </c>
      <c r="D1741" t="s">
        <v>1738</v>
      </c>
      <c r="E1741" t="s">
        <v>1739</v>
      </c>
      <c r="F1741" t="s">
        <v>31</v>
      </c>
      <c r="G1741" t="s">
        <v>65</v>
      </c>
      <c r="H1741" t="s">
        <v>26</v>
      </c>
      <c r="I1741" t="s">
        <v>70</v>
      </c>
      <c r="J1741" t="s">
        <v>87</v>
      </c>
      <c r="K1741">
        <v>2</v>
      </c>
      <c r="L1741" s="2">
        <v>490.3</v>
      </c>
      <c r="M1741" s="3">
        <v>0.15</v>
      </c>
      <c r="N1741" t="s">
        <v>34</v>
      </c>
      <c r="O1741" s="2">
        <v>833.51</v>
      </c>
      <c r="P1741" s="2">
        <v>763.1</v>
      </c>
      <c r="Q1741" s="2">
        <v>70.41</v>
      </c>
      <c r="R1741">
        <v>1</v>
      </c>
      <c r="S1741">
        <v>0</v>
      </c>
      <c r="T1741">
        <v>6</v>
      </c>
      <c r="U1741">
        <v>3</v>
      </c>
    </row>
    <row r="1742" spans="1:21" ht="16.5" x14ac:dyDescent="0.3">
      <c r="A1742" t="s">
        <v>1828</v>
      </c>
      <c r="B1742" s="1">
        <v>45579</v>
      </c>
      <c r="C1742">
        <v>2024</v>
      </c>
      <c r="D1742" t="s">
        <v>1738</v>
      </c>
      <c r="E1742" t="s">
        <v>1739</v>
      </c>
      <c r="F1742" t="s">
        <v>45</v>
      </c>
      <c r="G1742" t="s">
        <v>51</v>
      </c>
      <c r="H1742" t="s">
        <v>32</v>
      </c>
      <c r="I1742" t="s">
        <v>27</v>
      </c>
      <c r="J1742" t="s">
        <v>47</v>
      </c>
      <c r="K1742">
        <v>1</v>
      </c>
      <c r="L1742" s="2">
        <v>33.99</v>
      </c>
      <c r="M1742" s="3">
        <v>0.05</v>
      </c>
      <c r="N1742" t="s">
        <v>29</v>
      </c>
      <c r="O1742" s="2">
        <v>32.29</v>
      </c>
      <c r="P1742" s="2">
        <v>18.14</v>
      </c>
      <c r="Q1742" s="2">
        <v>14.15</v>
      </c>
      <c r="R1742">
        <v>1</v>
      </c>
      <c r="S1742">
        <v>0</v>
      </c>
      <c r="T1742">
        <v>3</v>
      </c>
      <c r="U1742">
        <v>5</v>
      </c>
    </row>
    <row r="1743" spans="1:21" ht="16.5" x14ac:dyDescent="0.3">
      <c r="A1743" t="s">
        <v>1829</v>
      </c>
      <c r="B1743" s="1">
        <v>45579</v>
      </c>
      <c r="C1743">
        <v>2024</v>
      </c>
      <c r="D1743" t="s">
        <v>1738</v>
      </c>
      <c r="E1743" t="s">
        <v>1739</v>
      </c>
      <c r="F1743" t="s">
        <v>45</v>
      </c>
      <c r="G1743" t="s">
        <v>51</v>
      </c>
      <c r="H1743" t="s">
        <v>32</v>
      </c>
      <c r="I1743" t="s">
        <v>36</v>
      </c>
      <c r="J1743" t="s">
        <v>52</v>
      </c>
      <c r="K1743">
        <v>2</v>
      </c>
      <c r="L1743" s="2">
        <v>92.54</v>
      </c>
      <c r="M1743" s="3">
        <v>0.05</v>
      </c>
      <c r="N1743" t="s">
        <v>29</v>
      </c>
      <c r="O1743" s="2">
        <v>175.83</v>
      </c>
      <c r="P1743" s="2">
        <v>91.08</v>
      </c>
      <c r="Q1743" s="2">
        <v>84.75</v>
      </c>
      <c r="R1743">
        <v>1</v>
      </c>
      <c r="S1743">
        <v>0</v>
      </c>
      <c r="T1743">
        <v>3</v>
      </c>
      <c r="U1743">
        <v>4</v>
      </c>
    </row>
    <row r="1744" spans="1:21" ht="16.5" x14ac:dyDescent="0.3">
      <c r="A1744" t="s">
        <v>1830</v>
      </c>
      <c r="B1744" s="1">
        <v>45579</v>
      </c>
      <c r="C1744">
        <v>2024</v>
      </c>
      <c r="D1744" t="s">
        <v>1738</v>
      </c>
      <c r="E1744" t="s">
        <v>1739</v>
      </c>
      <c r="F1744" t="s">
        <v>31</v>
      </c>
      <c r="G1744" t="s">
        <v>49</v>
      </c>
      <c r="H1744" t="s">
        <v>26</v>
      </c>
      <c r="I1744" t="s">
        <v>27</v>
      </c>
      <c r="J1744" t="s">
        <v>60</v>
      </c>
      <c r="K1744">
        <v>1</v>
      </c>
      <c r="L1744" s="2">
        <v>94.85</v>
      </c>
      <c r="M1744" s="3">
        <v>0</v>
      </c>
      <c r="N1744" t="s">
        <v>38</v>
      </c>
      <c r="O1744" s="2">
        <v>94.85</v>
      </c>
      <c r="P1744" s="2">
        <v>51.71</v>
      </c>
      <c r="Q1744" s="2">
        <v>43.14</v>
      </c>
      <c r="R1744">
        <v>1</v>
      </c>
      <c r="S1744">
        <v>0</v>
      </c>
      <c r="T1744">
        <v>3</v>
      </c>
      <c r="U1744">
        <v>4</v>
      </c>
    </row>
    <row r="1745" spans="1:21" ht="16.5" x14ac:dyDescent="0.3">
      <c r="A1745" t="s">
        <v>1831</v>
      </c>
      <c r="B1745" s="1">
        <v>45579</v>
      </c>
      <c r="C1745">
        <v>2024</v>
      </c>
      <c r="D1745" t="s">
        <v>1738</v>
      </c>
      <c r="E1745" t="s">
        <v>1739</v>
      </c>
      <c r="F1745" t="s">
        <v>45</v>
      </c>
      <c r="G1745" t="s">
        <v>65</v>
      </c>
      <c r="H1745" t="s">
        <v>26</v>
      </c>
      <c r="I1745" t="s">
        <v>70</v>
      </c>
      <c r="J1745" t="s">
        <v>87</v>
      </c>
      <c r="K1745">
        <v>1</v>
      </c>
      <c r="L1745" s="2">
        <v>490.3</v>
      </c>
      <c r="M1745" s="3">
        <v>0</v>
      </c>
      <c r="N1745" t="s">
        <v>38</v>
      </c>
      <c r="O1745" s="2">
        <v>490.3</v>
      </c>
      <c r="P1745" s="2">
        <v>412.49</v>
      </c>
      <c r="Q1745" s="2">
        <v>77.81</v>
      </c>
      <c r="R1745">
        <v>1</v>
      </c>
      <c r="S1745">
        <v>0</v>
      </c>
      <c r="T1745">
        <v>8</v>
      </c>
      <c r="U1745">
        <v>3</v>
      </c>
    </row>
    <row r="1746" spans="1:21" ht="16.5" x14ac:dyDescent="0.3">
      <c r="A1746" t="s">
        <v>1832</v>
      </c>
      <c r="B1746" s="1">
        <v>45580</v>
      </c>
      <c r="C1746">
        <v>2024</v>
      </c>
      <c r="D1746" t="s">
        <v>1738</v>
      </c>
      <c r="E1746" t="s">
        <v>1739</v>
      </c>
      <c r="F1746" t="s">
        <v>45</v>
      </c>
      <c r="G1746" t="s">
        <v>25</v>
      </c>
      <c r="H1746" t="s">
        <v>32</v>
      </c>
      <c r="I1746" t="s">
        <v>27</v>
      </c>
      <c r="J1746" t="s">
        <v>60</v>
      </c>
      <c r="K1746">
        <v>1</v>
      </c>
      <c r="L1746" s="2">
        <v>94.85</v>
      </c>
      <c r="M1746" s="3">
        <v>0</v>
      </c>
      <c r="N1746" t="s">
        <v>38</v>
      </c>
      <c r="O1746" s="2">
        <v>94.85</v>
      </c>
      <c r="P1746" s="2">
        <v>50.47</v>
      </c>
      <c r="Q1746" s="2">
        <v>44.38</v>
      </c>
      <c r="R1746">
        <v>1</v>
      </c>
      <c r="S1746">
        <v>0</v>
      </c>
      <c r="T1746">
        <v>3</v>
      </c>
      <c r="U1746">
        <v>4</v>
      </c>
    </row>
    <row r="1747" spans="1:21" ht="16.5" x14ac:dyDescent="0.3">
      <c r="A1747" t="s">
        <v>1833</v>
      </c>
      <c r="B1747" s="1">
        <v>45580</v>
      </c>
      <c r="C1747">
        <v>2024</v>
      </c>
      <c r="D1747" t="s">
        <v>1738</v>
      </c>
      <c r="E1747" t="s">
        <v>1739</v>
      </c>
      <c r="F1747" t="s">
        <v>24</v>
      </c>
      <c r="G1747" t="s">
        <v>49</v>
      </c>
      <c r="H1747" t="s">
        <v>32</v>
      </c>
      <c r="I1747" t="s">
        <v>84</v>
      </c>
      <c r="J1747" t="s">
        <v>223</v>
      </c>
      <c r="K1747">
        <v>2</v>
      </c>
      <c r="L1747" s="2">
        <v>16.97</v>
      </c>
      <c r="M1747" s="3">
        <v>0</v>
      </c>
      <c r="N1747" t="s">
        <v>38</v>
      </c>
      <c r="O1747" s="2">
        <v>33.94</v>
      </c>
      <c r="P1747" s="2">
        <v>23.25</v>
      </c>
      <c r="Q1747" s="2">
        <v>10.69</v>
      </c>
      <c r="R1747">
        <v>1</v>
      </c>
      <c r="S1747">
        <v>0</v>
      </c>
      <c r="T1747">
        <v>4</v>
      </c>
      <c r="U1747">
        <v>5</v>
      </c>
    </row>
    <row r="1748" spans="1:21" ht="16.5" x14ac:dyDescent="0.3">
      <c r="A1748" t="s">
        <v>1834</v>
      </c>
      <c r="B1748" s="1">
        <v>45580</v>
      </c>
      <c r="C1748">
        <v>2024</v>
      </c>
      <c r="D1748" t="s">
        <v>1738</v>
      </c>
      <c r="E1748" t="s">
        <v>1739</v>
      </c>
      <c r="F1748" t="s">
        <v>24</v>
      </c>
      <c r="G1748" t="s">
        <v>65</v>
      </c>
      <c r="H1748" t="s">
        <v>32</v>
      </c>
      <c r="I1748" t="s">
        <v>27</v>
      </c>
      <c r="J1748" t="s">
        <v>110</v>
      </c>
      <c r="K1748">
        <v>2</v>
      </c>
      <c r="L1748" s="2">
        <v>19.41</v>
      </c>
      <c r="M1748" s="3">
        <v>0.05</v>
      </c>
      <c r="N1748" t="s">
        <v>29</v>
      </c>
      <c r="O1748" s="2">
        <v>36.880000000000003</v>
      </c>
      <c r="P1748" s="2">
        <v>20.64</v>
      </c>
      <c r="Q1748" s="2">
        <v>16.239999999999998</v>
      </c>
      <c r="R1748">
        <v>1</v>
      </c>
      <c r="S1748">
        <v>0</v>
      </c>
      <c r="T1748">
        <v>5</v>
      </c>
      <c r="U1748">
        <v>4</v>
      </c>
    </row>
    <row r="1749" spans="1:21" ht="16.5" x14ac:dyDescent="0.3">
      <c r="A1749" t="s">
        <v>1835</v>
      </c>
      <c r="B1749" s="1">
        <v>45580</v>
      </c>
      <c r="C1749">
        <v>2024</v>
      </c>
      <c r="D1749" t="s">
        <v>1738</v>
      </c>
      <c r="E1749" t="s">
        <v>1739</v>
      </c>
      <c r="F1749" t="s">
        <v>31</v>
      </c>
      <c r="G1749" t="s">
        <v>46</v>
      </c>
      <c r="H1749" t="s">
        <v>32</v>
      </c>
      <c r="I1749" t="s">
        <v>36</v>
      </c>
      <c r="J1749" t="s">
        <v>37</v>
      </c>
      <c r="K1749">
        <v>1</v>
      </c>
      <c r="L1749" s="2">
        <v>33.18</v>
      </c>
      <c r="M1749" s="3">
        <v>0</v>
      </c>
      <c r="N1749" t="s">
        <v>38</v>
      </c>
      <c r="O1749" s="2">
        <v>33.18</v>
      </c>
      <c r="P1749" s="2">
        <v>15.64</v>
      </c>
      <c r="Q1749" s="2">
        <v>17.54</v>
      </c>
      <c r="R1749">
        <v>1</v>
      </c>
      <c r="S1749">
        <v>0</v>
      </c>
      <c r="T1749">
        <v>6</v>
      </c>
      <c r="U1749">
        <v>3</v>
      </c>
    </row>
    <row r="1750" spans="1:21" ht="16.5" x14ac:dyDescent="0.3">
      <c r="A1750" t="s">
        <v>1836</v>
      </c>
      <c r="B1750" s="1">
        <v>45580</v>
      </c>
      <c r="C1750">
        <v>2024</v>
      </c>
      <c r="D1750" t="s">
        <v>1738</v>
      </c>
      <c r="E1750" t="s">
        <v>1739</v>
      </c>
      <c r="F1750" t="s">
        <v>31</v>
      </c>
      <c r="G1750" t="s">
        <v>49</v>
      </c>
      <c r="H1750" t="s">
        <v>26</v>
      </c>
      <c r="I1750" t="s">
        <v>36</v>
      </c>
      <c r="J1750" t="s">
        <v>115</v>
      </c>
      <c r="K1750">
        <v>1</v>
      </c>
      <c r="L1750" s="2">
        <v>33.479999999999997</v>
      </c>
      <c r="M1750" s="3">
        <v>0.05</v>
      </c>
      <c r="N1750" t="s">
        <v>29</v>
      </c>
      <c r="O1750" s="2">
        <v>31.81</v>
      </c>
      <c r="P1750" s="2">
        <v>16.670000000000002</v>
      </c>
      <c r="Q1750" s="2">
        <v>15.14</v>
      </c>
      <c r="R1750">
        <v>1</v>
      </c>
      <c r="S1750">
        <v>0</v>
      </c>
      <c r="T1750">
        <v>4</v>
      </c>
      <c r="U1750">
        <v>5</v>
      </c>
    </row>
    <row r="1751" spans="1:21" ht="16.5" x14ac:dyDescent="0.3">
      <c r="A1751" t="s">
        <v>1837</v>
      </c>
      <c r="B1751" s="1">
        <v>45580</v>
      </c>
      <c r="C1751">
        <v>2024</v>
      </c>
      <c r="D1751" t="s">
        <v>1738</v>
      </c>
      <c r="E1751" t="s">
        <v>1739</v>
      </c>
      <c r="F1751" t="s">
        <v>45</v>
      </c>
      <c r="G1751" t="s">
        <v>46</v>
      </c>
      <c r="H1751" t="s">
        <v>26</v>
      </c>
      <c r="I1751" t="s">
        <v>70</v>
      </c>
      <c r="J1751" t="s">
        <v>129</v>
      </c>
      <c r="K1751">
        <v>1</v>
      </c>
      <c r="L1751" s="2">
        <v>177.65</v>
      </c>
      <c r="M1751" s="3">
        <v>0.1</v>
      </c>
      <c r="N1751" t="s">
        <v>29</v>
      </c>
      <c r="O1751" s="2">
        <v>159.88999999999999</v>
      </c>
      <c r="P1751" s="2">
        <v>142.41</v>
      </c>
      <c r="Q1751" s="2">
        <v>17.48</v>
      </c>
      <c r="R1751">
        <v>1</v>
      </c>
      <c r="S1751">
        <v>0</v>
      </c>
      <c r="T1751">
        <v>6</v>
      </c>
      <c r="U1751">
        <v>4</v>
      </c>
    </row>
    <row r="1752" spans="1:21" ht="16.5" x14ac:dyDescent="0.3">
      <c r="A1752" t="s">
        <v>1838</v>
      </c>
      <c r="B1752" s="1">
        <v>45580</v>
      </c>
      <c r="C1752">
        <v>2024</v>
      </c>
      <c r="D1752" t="s">
        <v>1738</v>
      </c>
      <c r="E1752" t="s">
        <v>1739</v>
      </c>
      <c r="F1752" t="s">
        <v>31</v>
      </c>
      <c r="G1752" t="s">
        <v>49</v>
      </c>
      <c r="H1752" t="s">
        <v>26</v>
      </c>
      <c r="I1752" t="s">
        <v>70</v>
      </c>
      <c r="J1752" t="s">
        <v>129</v>
      </c>
      <c r="K1752">
        <v>1</v>
      </c>
      <c r="L1752" s="2">
        <v>177.65</v>
      </c>
      <c r="M1752" s="3">
        <v>0.25</v>
      </c>
      <c r="N1752" t="s">
        <v>62</v>
      </c>
      <c r="O1752" s="2">
        <v>133.24</v>
      </c>
      <c r="P1752" s="2">
        <v>146.88</v>
      </c>
      <c r="Q1752" s="2">
        <v>-13.64</v>
      </c>
      <c r="R1752">
        <v>1</v>
      </c>
      <c r="S1752">
        <v>0</v>
      </c>
      <c r="T1752">
        <v>5</v>
      </c>
      <c r="U1752">
        <v>4</v>
      </c>
    </row>
    <row r="1753" spans="1:21" ht="16.5" x14ac:dyDescent="0.3">
      <c r="A1753" t="s">
        <v>1839</v>
      </c>
      <c r="B1753" s="1">
        <v>45580</v>
      </c>
      <c r="C1753">
        <v>2024</v>
      </c>
      <c r="D1753" t="s">
        <v>1738</v>
      </c>
      <c r="E1753" t="s">
        <v>1739</v>
      </c>
      <c r="F1753" t="s">
        <v>31</v>
      </c>
      <c r="G1753" t="s">
        <v>51</v>
      </c>
      <c r="H1753" t="s">
        <v>26</v>
      </c>
      <c r="I1753" t="s">
        <v>27</v>
      </c>
      <c r="J1753" t="s">
        <v>60</v>
      </c>
      <c r="K1753">
        <v>4</v>
      </c>
      <c r="L1753" s="2">
        <v>94.85</v>
      </c>
      <c r="M1753" s="3">
        <v>0</v>
      </c>
      <c r="N1753" t="s">
        <v>38</v>
      </c>
      <c r="O1753" s="2">
        <v>379.4</v>
      </c>
      <c r="P1753" s="2">
        <v>210.27</v>
      </c>
      <c r="Q1753" s="2">
        <v>169.13</v>
      </c>
      <c r="R1753">
        <v>1</v>
      </c>
      <c r="S1753">
        <v>1</v>
      </c>
      <c r="T1753">
        <v>2</v>
      </c>
      <c r="U1753">
        <v>4</v>
      </c>
    </row>
    <row r="1754" spans="1:21" ht="16.5" x14ac:dyDescent="0.3">
      <c r="A1754" t="s">
        <v>1840</v>
      </c>
      <c r="B1754" s="1">
        <v>45581</v>
      </c>
      <c r="C1754">
        <v>2024</v>
      </c>
      <c r="D1754" t="s">
        <v>1738</v>
      </c>
      <c r="E1754" t="s">
        <v>1739</v>
      </c>
      <c r="F1754" t="s">
        <v>24</v>
      </c>
      <c r="G1754" t="s">
        <v>51</v>
      </c>
      <c r="H1754" t="s">
        <v>32</v>
      </c>
      <c r="I1754" t="s">
        <v>70</v>
      </c>
      <c r="J1754" t="s">
        <v>252</v>
      </c>
      <c r="K1754">
        <v>1</v>
      </c>
      <c r="L1754" s="2">
        <v>216.08</v>
      </c>
      <c r="M1754" s="3">
        <v>0.05</v>
      </c>
      <c r="N1754" t="s">
        <v>29</v>
      </c>
      <c r="O1754" s="2">
        <v>205.28</v>
      </c>
      <c r="P1754" s="2">
        <v>169.27</v>
      </c>
      <c r="Q1754" s="2">
        <v>36.01</v>
      </c>
      <c r="R1754">
        <v>1</v>
      </c>
      <c r="S1754">
        <v>0</v>
      </c>
      <c r="T1754">
        <v>3</v>
      </c>
      <c r="U1754">
        <v>5</v>
      </c>
    </row>
    <row r="1755" spans="1:21" ht="16.5" x14ac:dyDescent="0.3">
      <c r="A1755" t="s">
        <v>1841</v>
      </c>
      <c r="B1755" s="1">
        <v>45581</v>
      </c>
      <c r="C1755">
        <v>2024</v>
      </c>
      <c r="D1755" t="s">
        <v>1738</v>
      </c>
      <c r="E1755" t="s">
        <v>1739</v>
      </c>
      <c r="F1755" t="s">
        <v>31</v>
      </c>
      <c r="G1755" t="s">
        <v>51</v>
      </c>
      <c r="H1755" t="s">
        <v>26</v>
      </c>
      <c r="I1755" t="s">
        <v>27</v>
      </c>
      <c r="J1755" t="s">
        <v>110</v>
      </c>
      <c r="K1755">
        <v>1</v>
      </c>
      <c r="L1755" s="2">
        <v>19.41</v>
      </c>
      <c r="M1755" s="3">
        <v>0.15</v>
      </c>
      <c r="N1755" t="s">
        <v>34</v>
      </c>
      <c r="O1755" s="2">
        <v>16.5</v>
      </c>
      <c r="P1755" s="2">
        <v>10.28</v>
      </c>
      <c r="Q1755" s="2">
        <v>6.22</v>
      </c>
      <c r="R1755">
        <v>1</v>
      </c>
      <c r="S1755">
        <v>0</v>
      </c>
      <c r="T1755">
        <v>3</v>
      </c>
      <c r="U1755">
        <v>4</v>
      </c>
    </row>
    <row r="1756" spans="1:21" ht="16.5" x14ac:dyDescent="0.3">
      <c r="A1756" t="s">
        <v>1842</v>
      </c>
      <c r="B1756" s="1">
        <v>45581</v>
      </c>
      <c r="C1756">
        <v>2024</v>
      </c>
      <c r="D1756" t="s">
        <v>1738</v>
      </c>
      <c r="E1756" t="s">
        <v>1739</v>
      </c>
      <c r="F1756" t="s">
        <v>24</v>
      </c>
      <c r="G1756" t="s">
        <v>51</v>
      </c>
      <c r="H1756" t="s">
        <v>32</v>
      </c>
      <c r="I1756" t="s">
        <v>27</v>
      </c>
      <c r="J1756" t="s">
        <v>28</v>
      </c>
      <c r="K1756">
        <v>2</v>
      </c>
      <c r="L1756" s="2">
        <v>138.5</v>
      </c>
      <c r="M1756" s="3">
        <v>0</v>
      </c>
      <c r="N1756" t="s">
        <v>38</v>
      </c>
      <c r="O1756" s="2">
        <v>277</v>
      </c>
      <c r="P1756" s="2">
        <v>148.25</v>
      </c>
      <c r="Q1756" s="2">
        <v>128.75</v>
      </c>
      <c r="R1756">
        <v>1</v>
      </c>
      <c r="S1756">
        <v>1</v>
      </c>
      <c r="T1756">
        <v>2</v>
      </c>
      <c r="U1756">
        <v>3</v>
      </c>
    </row>
    <row r="1757" spans="1:21" ht="16.5" x14ac:dyDescent="0.3">
      <c r="A1757" t="s">
        <v>1843</v>
      </c>
      <c r="B1757" s="1">
        <v>45581</v>
      </c>
      <c r="C1757">
        <v>2024</v>
      </c>
      <c r="D1757" t="s">
        <v>1738</v>
      </c>
      <c r="E1757" t="s">
        <v>1739</v>
      </c>
      <c r="F1757" t="s">
        <v>24</v>
      </c>
      <c r="G1757" t="s">
        <v>25</v>
      </c>
      <c r="H1757" t="s">
        <v>32</v>
      </c>
      <c r="I1757" t="s">
        <v>27</v>
      </c>
      <c r="J1757" t="s">
        <v>40</v>
      </c>
      <c r="K1757">
        <v>3</v>
      </c>
      <c r="L1757" s="2">
        <v>104.94</v>
      </c>
      <c r="M1757" s="3">
        <v>0.3</v>
      </c>
      <c r="N1757" t="s">
        <v>62</v>
      </c>
      <c r="O1757" s="2">
        <v>220.37</v>
      </c>
      <c r="P1757" s="2">
        <v>161.54</v>
      </c>
      <c r="Q1757" s="2">
        <v>58.83</v>
      </c>
      <c r="R1757">
        <v>1</v>
      </c>
      <c r="S1757">
        <v>0</v>
      </c>
      <c r="T1757">
        <v>3</v>
      </c>
      <c r="U1757">
        <v>5</v>
      </c>
    </row>
    <row r="1758" spans="1:21" ht="16.5" x14ac:dyDescent="0.3">
      <c r="A1758" t="s">
        <v>1844</v>
      </c>
      <c r="B1758" s="1">
        <v>45581</v>
      </c>
      <c r="C1758">
        <v>2024</v>
      </c>
      <c r="D1758" t="s">
        <v>1738</v>
      </c>
      <c r="E1758" t="s">
        <v>1739</v>
      </c>
      <c r="F1758" t="s">
        <v>24</v>
      </c>
      <c r="G1758" t="s">
        <v>25</v>
      </c>
      <c r="H1758" t="s">
        <v>32</v>
      </c>
      <c r="I1758" t="s">
        <v>67</v>
      </c>
      <c r="J1758" t="s">
        <v>93</v>
      </c>
      <c r="K1758">
        <v>4</v>
      </c>
      <c r="L1758" s="2">
        <v>198.42</v>
      </c>
      <c r="M1758" s="3">
        <v>0.3</v>
      </c>
      <c r="N1758" t="s">
        <v>62</v>
      </c>
      <c r="O1758" s="2">
        <v>555.58000000000004</v>
      </c>
      <c r="P1758" s="2">
        <v>531.44000000000005</v>
      </c>
      <c r="Q1758" s="2">
        <v>24.14</v>
      </c>
      <c r="R1758">
        <v>1</v>
      </c>
      <c r="S1758">
        <v>0</v>
      </c>
      <c r="T1758">
        <v>5</v>
      </c>
      <c r="U1758">
        <v>3</v>
      </c>
    </row>
    <row r="1759" spans="1:21" ht="16.5" x14ac:dyDescent="0.3">
      <c r="A1759" t="s">
        <v>1845</v>
      </c>
      <c r="B1759" s="1">
        <v>45581</v>
      </c>
      <c r="C1759">
        <v>2024</v>
      </c>
      <c r="D1759" t="s">
        <v>1738</v>
      </c>
      <c r="E1759" t="s">
        <v>1739</v>
      </c>
      <c r="F1759" t="s">
        <v>24</v>
      </c>
      <c r="G1759" t="s">
        <v>49</v>
      </c>
      <c r="H1759" t="s">
        <v>26</v>
      </c>
      <c r="I1759" t="s">
        <v>67</v>
      </c>
      <c r="J1759" t="s">
        <v>93</v>
      </c>
      <c r="K1759">
        <v>2</v>
      </c>
      <c r="L1759" s="2">
        <v>198.42</v>
      </c>
      <c r="M1759" s="3">
        <v>0</v>
      </c>
      <c r="N1759" t="s">
        <v>38</v>
      </c>
      <c r="O1759" s="2">
        <v>396.84</v>
      </c>
      <c r="P1759" s="2">
        <v>271.89</v>
      </c>
      <c r="Q1759" s="2">
        <v>124.95</v>
      </c>
      <c r="R1759">
        <v>1</v>
      </c>
      <c r="S1759">
        <v>0</v>
      </c>
      <c r="T1759">
        <v>5</v>
      </c>
      <c r="U1759">
        <v>4</v>
      </c>
    </row>
    <row r="1760" spans="1:21" ht="16.5" x14ac:dyDescent="0.3">
      <c r="A1760" t="s">
        <v>1846</v>
      </c>
      <c r="B1760" s="1">
        <v>45581</v>
      </c>
      <c r="C1760">
        <v>2024</v>
      </c>
      <c r="D1760" t="s">
        <v>1738</v>
      </c>
      <c r="E1760" t="s">
        <v>1739</v>
      </c>
      <c r="F1760" t="s">
        <v>45</v>
      </c>
      <c r="G1760" t="s">
        <v>65</v>
      </c>
      <c r="H1760" t="s">
        <v>32</v>
      </c>
      <c r="I1760" t="s">
        <v>42</v>
      </c>
      <c r="J1760" t="s">
        <v>76</v>
      </c>
      <c r="K1760">
        <v>1</v>
      </c>
      <c r="L1760" s="2">
        <v>90.75</v>
      </c>
      <c r="M1760" s="3">
        <v>0</v>
      </c>
      <c r="N1760" t="s">
        <v>38</v>
      </c>
      <c r="O1760" s="2">
        <v>90.75</v>
      </c>
      <c r="P1760" s="2">
        <v>60.23</v>
      </c>
      <c r="Q1760" s="2">
        <v>30.52</v>
      </c>
      <c r="R1760">
        <v>1</v>
      </c>
      <c r="S1760">
        <v>0</v>
      </c>
      <c r="T1760">
        <v>5</v>
      </c>
      <c r="U1760">
        <v>5</v>
      </c>
    </row>
    <row r="1761" spans="1:21" ht="16.5" x14ac:dyDescent="0.3">
      <c r="A1761" t="s">
        <v>1847</v>
      </c>
      <c r="B1761" s="1">
        <v>45581</v>
      </c>
      <c r="C1761">
        <v>2024</v>
      </c>
      <c r="D1761" t="s">
        <v>1738</v>
      </c>
      <c r="E1761" t="s">
        <v>1739</v>
      </c>
      <c r="F1761" t="s">
        <v>45</v>
      </c>
      <c r="G1761" t="s">
        <v>65</v>
      </c>
      <c r="H1761" t="s">
        <v>26</v>
      </c>
      <c r="I1761" t="s">
        <v>36</v>
      </c>
      <c r="J1761" t="s">
        <v>37</v>
      </c>
      <c r="K1761">
        <v>3</v>
      </c>
      <c r="L1761" s="2">
        <v>33.18</v>
      </c>
      <c r="M1761" s="3">
        <v>0</v>
      </c>
      <c r="N1761" t="s">
        <v>38</v>
      </c>
      <c r="O1761" s="2">
        <v>99.54</v>
      </c>
      <c r="P1761" s="2">
        <v>47.02</v>
      </c>
      <c r="Q1761" s="2">
        <v>52.52</v>
      </c>
      <c r="R1761">
        <v>1</v>
      </c>
      <c r="S1761">
        <v>0</v>
      </c>
      <c r="T1761">
        <v>6</v>
      </c>
      <c r="U1761">
        <v>4</v>
      </c>
    </row>
    <row r="1762" spans="1:21" ht="16.5" x14ac:dyDescent="0.3">
      <c r="A1762" t="s">
        <v>1848</v>
      </c>
      <c r="B1762" s="1">
        <v>45582</v>
      </c>
      <c r="C1762">
        <v>2024</v>
      </c>
      <c r="D1762" t="s">
        <v>1738</v>
      </c>
      <c r="E1762" t="s">
        <v>1739</v>
      </c>
      <c r="F1762" t="s">
        <v>45</v>
      </c>
      <c r="G1762" t="s">
        <v>49</v>
      </c>
      <c r="H1762" t="s">
        <v>32</v>
      </c>
      <c r="I1762" t="s">
        <v>67</v>
      </c>
      <c r="J1762" t="s">
        <v>68</v>
      </c>
      <c r="K1762">
        <v>2</v>
      </c>
      <c r="L1762" s="2">
        <v>74.459999999999994</v>
      </c>
      <c r="M1762" s="3">
        <v>0.05</v>
      </c>
      <c r="N1762" t="s">
        <v>29</v>
      </c>
      <c r="O1762" s="2">
        <v>141.47</v>
      </c>
      <c r="P1762" s="2">
        <v>103.88</v>
      </c>
      <c r="Q1762" s="2">
        <v>37.590000000000003</v>
      </c>
      <c r="R1762">
        <v>1</v>
      </c>
      <c r="S1762">
        <v>0</v>
      </c>
      <c r="T1762">
        <v>3</v>
      </c>
      <c r="U1762">
        <v>4</v>
      </c>
    </row>
    <row r="1763" spans="1:21" ht="16.5" x14ac:dyDescent="0.3">
      <c r="A1763" t="s">
        <v>1849</v>
      </c>
      <c r="B1763" s="1">
        <v>45582</v>
      </c>
      <c r="C1763">
        <v>2024</v>
      </c>
      <c r="D1763" t="s">
        <v>1738</v>
      </c>
      <c r="E1763" t="s">
        <v>1739</v>
      </c>
      <c r="F1763" t="s">
        <v>31</v>
      </c>
      <c r="G1763" t="s">
        <v>25</v>
      </c>
      <c r="H1763" t="s">
        <v>32</v>
      </c>
      <c r="I1763" t="s">
        <v>84</v>
      </c>
      <c r="J1763" t="s">
        <v>85</v>
      </c>
      <c r="K1763">
        <v>1</v>
      </c>
      <c r="L1763" s="2">
        <v>57.92</v>
      </c>
      <c r="M1763" s="3">
        <v>0.05</v>
      </c>
      <c r="N1763" t="s">
        <v>29</v>
      </c>
      <c r="O1763" s="2">
        <v>55.02</v>
      </c>
      <c r="P1763" s="2">
        <v>41.66</v>
      </c>
      <c r="Q1763" s="2">
        <v>13.36</v>
      </c>
      <c r="R1763">
        <v>1</v>
      </c>
      <c r="S1763">
        <v>0</v>
      </c>
      <c r="T1763">
        <v>3</v>
      </c>
      <c r="U1763">
        <v>3</v>
      </c>
    </row>
    <row r="1764" spans="1:21" ht="16.5" x14ac:dyDescent="0.3">
      <c r="A1764" t="s">
        <v>1850</v>
      </c>
      <c r="B1764" s="1">
        <v>45582</v>
      </c>
      <c r="C1764">
        <v>2024</v>
      </c>
      <c r="D1764" t="s">
        <v>1738</v>
      </c>
      <c r="E1764" t="s">
        <v>1739</v>
      </c>
      <c r="F1764" t="s">
        <v>24</v>
      </c>
      <c r="G1764" t="s">
        <v>25</v>
      </c>
      <c r="H1764" t="s">
        <v>32</v>
      </c>
      <c r="I1764" t="s">
        <v>70</v>
      </c>
      <c r="J1764" t="s">
        <v>82</v>
      </c>
      <c r="K1764">
        <v>2</v>
      </c>
      <c r="L1764" s="2">
        <v>508.8</v>
      </c>
      <c r="M1764" s="3">
        <v>0.1</v>
      </c>
      <c r="N1764" t="s">
        <v>29</v>
      </c>
      <c r="O1764" s="2">
        <v>915.84</v>
      </c>
      <c r="P1764" s="2">
        <v>844.4</v>
      </c>
      <c r="Q1764" s="2">
        <v>71.44</v>
      </c>
      <c r="R1764">
        <v>1</v>
      </c>
      <c r="S1764">
        <v>0</v>
      </c>
      <c r="T1764">
        <v>4</v>
      </c>
      <c r="U1764">
        <v>3</v>
      </c>
    </row>
    <row r="1765" spans="1:21" ht="16.5" x14ac:dyDescent="0.3">
      <c r="A1765" t="s">
        <v>1851</v>
      </c>
      <c r="B1765" s="1">
        <v>45582</v>
      </c>
      <c r="C1765">
        <v>2024</v>
      </c>
      <c r="D1765" t="s">
        <v>1738</v>
      </c>
      <c r="E1765" t="s">
        <v>1739</v>
      </c>
      <c r="F1765" t="s">
        <v>31</v>
      </c>
      <c r="G1765" t="s">
        <v>25</v>
      </c>
      <c r="H1765" t="s">
        <v>32</v>
      </c>
      <c r="I1765" t="s">
        <v>70</v>
      </c>
      <c r="J1765" t="s">
        <v>129</v>
      </c>
      <c r="K1765">
        <v>3</v>
      </c>
      <c r="L1765" s="2">
        <v>177.65</v>
      </c>
      <c r="M1765" s="3">
        <v>0</v>
      </c>
      <c r="N1765" t="s">
        <v>38</v>
      </c>
      <c r="O1765" s="2">
        <v>532.95000000000005</v>
      </c>
      <c r="P1765" s="2">
        <v>416.2</v>
      </c>
      <c r="Q1765" s="2">
        <v>116.75</v>
      </c>
      <c r="R1765">
        <v>1</v>
      </c>
      <c r="S1765">
        <v>0</v>
      </c>
      <c r="T1765">
        <v>4</v>
      </c>
      <c r="U1765">
        <v>5</v>
      </c>
    </row>
    <row r="1766" spans="1:21" ht="16.5" x14ac:dyDescent="0.3">
      <c r="A1766" t="s">
        <v>1852</v>
      </c>
      <c r="B1766" s="1">
        <v>45582</v>
      </c>
      <c r="C1766">
        <v>2024</v>
      </c>
      <c r="D1766" t="s">
        <v>1738</v>
      </c>
      <c r="E1766" t="s">
        <v>1739</v>
      </c>
      <c r="F1766" t="s">
        <v>45</v>
      </c>
      <c r="G1766" t="s">
        <v>49</v>
      </c>
      <c r="H1766" t="s">
        <v>26</v>
      </c>
      <c r="I1766" t="s">
        <v>36</v>
      </c>
      <c r="J1766" t="s">
        <v>115</v>
      </c>
      <c r="K1766">
        <v>2</v>
      </c>
      <c r="L1766" s="2">
        <v>33.479999999999997</v>
      </c>
      <c r="M1766" s="3">
        <v>0.05</v>
      </c>
      <c r="N1766" t="s">
        <v>29</v>
      </c>
      <c r="O1766" s="2">
        <v>63.61</v>
      </c>
      <c r="P1766" s="2">
        <v>32.659999999999997</v>
      </c>
      <c r="Q1766" s="2">
        <v>30.95</v>
      </c>
      <c r="R1766">
        <v>1</v>
      </c>
      <c r="S1766">
        <v>0</v>
      </c>
      <c r="T1766">
        <v>4</v>
      </c>
      <c r="U1766">
        <v>4</v>
      </c>
    </row>
    <row r="1767" spans="1:21" ht="16.5" x14ac:dyDescent="0.3">
      <c r="A1767" t="s">
        <v>1853</v>
      </c>
      <c r="B1767" s="1">
        <v>45582</v>
      </c>
      <c r="C1767">
        <v>2024</v>
      </c>
      <c r="D1767" t="s">
        <v>1738</v>
      </c>
      <c r="E1767" t="s">
        <v>1739</v>
      </c>
      <c r="F1767" t="s">
        <v>24</v>
      </c>
      <c r="G1767" t="s">
        <v>25</v>
      </c>
      <c r="H1767" t="s">
        <v>32</v>
      </c>
      <c r="I1767" t="s">
        <v>67</v>
      </c>
      <c r="J1767" t="s">
        <v>174</v>
      </c>
      <c r="K1767">
        <v>2</v>
      </c>
      <c r="L1767" s="2">
        <v>137.05000000000001</v>
      </c>
      <c r="M1767" s="3">
        <v>0.15</v>
      </c>
      <c r="N1767" t="s">
        <v>34</v>
      </c>
      <c r="O1767" s="2">
        <v>232.98</v>
      </c>
      <c r="P1767" s="2">
        <v>184.81</v>
      </c>
      <c r="Q1767" s="2">
        <v>48.17</v>
      </c>
      <c r="R1767">
        <v>1</v>
      </c>
      <c r="S1767">
        <v>0</v>
      </c>
      <c r="T1767">
        <v>4</v>
      </c>
      <c r="U1767">
        <v>4</v>
      </c>
    </row>
    <row r="1768" spans="1:21" ht="16.5" x14ac:dyDescent="0.3">
      <c r="A1768" t="s">
        <v>1854</v>
      </c>
      <c r="B1768" s="1">
        <v>45583</v>
      </c>
      <c r="C1768">
        <v>2024</v>
      </c>
      <c r="D1768" t="s">
        <v>1738</v>
      </c>
      <c r="E1768" t="s">
        <v>1739</v>
      </c>
      <c r="F1768" t="s">
        <v>45</v>
      </c>
      <c r="G1768" t="s">
        <v>25</v>
      </c>
      <c r="H1768" t="s">
        <v>26</v>
      </c>
      <c r="I1768" t="s">
        <v>84</v>
      </c>
      <c r="J1768" t="s">
        <v>96</v>
      </c>
      <c r="K1768">
        <v>1</v>
      </c>
      <c r="L1768" s="2">
        <v>10.76</v>
      </c>
      <c r="M1768" s="3">
        <v>0</v>
      </c>
      <c r="N1768" t="s">
        <v>38</v>
      </c>
      <c r="O1768" s="2">
        <v>10.76</v>
      </c>
      <c r="P1768" s="2">
        <v>7.52</v>
      </c>
      <c r="Q1768" s="2">
        <v>3.24</v>
      </c>
      <c r="R1768">
        <v>1</v>
      </c>
      <c r="S1768">
        <v>0</v>
      </c>
      <c r="T1768">
        <v>5</v>
      </c>
      <c r="U1768">
        <v>5</v>
      </c>
    </row>
    <row r="1769" spans="1:21" ht="16.5" x14ac:dyDescent="0.3">
      <c r="A1769" t="s">
        <v>1855</v>
      </c>
      <c r="B1769" s="1">
        <v>45583</v>
      </c>
      <c r="C1769">
        <v>2024</v>
      </c>
      <c r="D1769" t="s">
        <v>1738</v>
      </c>
      <c r="E1769" t="s">
        <v>1739</v>
      </c>
      <c r="F1769" t="s">
        <v>24</v>
      </c>
      <c r="G1769" t="s">
        <v>25</v>
      </c>
      <c r="H1769" t="s">
        <v>32</v>
      </c>
      <c r="I1769" t="s">
        <v>70</v>
      </c>
      <c r="J1769" t="s">
        <v>71</v>
      </c>
      <c r="K1769">
        <v>2</v>
      </c>
      <c r="L1769" s="2">
        <v>588.41</v>
      </c>
      <c r="M1769" s="3">
        <v>0.05</v>
      </c>
      <c r="N1769" t="s">
        <v>29</v>
      </c>
      <c r="O1769" s="2">
        <v>1117.98</v>
      </c>
      <c r="P1769" s="2">
        <v>902.43</v>
      </c>
      <c r="Q1769" s="2">
        <v>215.55</v>
      </c>
      <c r="R1769">
        <v>1</v>
      </c>
      <c r="S1769">
        <v>1</v>
      </c>
      <c r="T1769">
        <v>3</v>
      </c>
      <c r="U1769">
        <v>2</v>
      </c>
    </row>
    <row r="1770" spans="1:21" ht="16.5" x14ac:dyDescent="0.3">
      <c r="A1770" t="s">
        <v>1856</v>
      </c>
      <c r="B1770" s="1">
        <v>45583</v>
      </c>
      <c r="C1770">
        <v>2024</v>
      </c>
      <c r="D1770" t="s">
        <v>1738</v>
      </c>
      <c r="E1770" t="s">
        <v>1739</v>
      </c>
      <c r="F1770" t="s">
        <v>24</v>
      </c>
      <c r="G1770" t="s">
        <v>25</v>
      </c>
      <c r="H1770" t="s">
        <v>32</v>
      </c>
      <c r="I1770" t="s">
        <v>70</v>
      </c>
      <c r="J1770" t="s">
        <v>82</v>
      </c>
      <c r="K1770">
        <v>1</v>
      </c>
      <c r="L1770" s="2">
        <v>508.8</v>
      </c>
      <c r="M1770" s="3">
        <v>0.05</v>
      </c>
      <c r="N1770" t="s">
        <v>29</v>
      </c>
      <c r="O1770" s="2">
        <v>483.36</v>
      </c>
      <c r="P1770" s="2">
        <v>421.79</v>
      </c>
      <c r="Q1770" s="2">
        <v>61.57</v>
      </c>
      <c r="R1770">
        <v>1</v>
      </c>
      <c r="S1770">
        <v>1</v>
      </c>
      <c r="T1770">
        <v>4</v>
      </c>
      <c r="U1770">
        <v>3</v>
      </c>
    </row>
    <row r="1771" spans="1:21" ht="16.5" x14ac:dyDescent="0.3">
      <c r="A1771" t="s">
        <v>1857</v>
      </c>
      <c r="B1771" s="1">
        <v>45584</v>
      </c>
      <c r="C1771">
        <v>2024</v>
      </c>
      <c r="D1771" t="s">
        <v>1738</v>
      </c>
      <c r="E1771" t="s">
        <v>1739</v>
      </c>
      <c r="F1771" t="s">
        <v>31</v>
      </c>
      <c r="G1771" t="s">
        <v>25</v>
      </c>
      <c r="H1771" t="s">
        <v>32</v>
      </c>
      <c r="I1771" t="s">
        <v>36</v>
      </c>
      <c r="J1771" t="s">
        <v>52</v>
      </c>
      <c r="K1771">
        <v>2</v>
      </c>
      <c r="L1771" s="2">
        <v>92.54</v>
      </c>
      <c r="M1771" s="3">
        <v>0.05</v>
      </c>
      <c r="N1771" t="s">
        <v>29</v>
      </c>
      <c r="O1771" s="2">
        <v>175.83</v>
      </c>
      <c r="P1771" s="2">
        <v>86.32</v>
      </c>
      <c r="Q1771" s="2">
        <v>89.51</v>
      </c>
      <c r="R1771">
        <v>1</v>
      </c>
      <c r="S1771">
        <v>0</v>
      </c>
      <c r="T1771">
        <v>5</v>
      </c>
      <c r="U1771">
        <v>5</v>
      </c>
    </row>
    <row r="1772" spans="1:21" ht="16.5" x14ac:dyDescent="0.3">
      <c r="A1772" t="s">
        <v>1858</v>
      </c>
      <c r="B1772" s="1">
        <v>45584</v>
      </c>
      <c r="C1772">
        <v>2024</v>
      </c>
      <c r="D1772" t="s">
        <v>1738</v>
      </c>
      <c r="E1772" t="s">
        <v>1739</v>
      </c>
      <c r="F1772" t="s">
        <v>24</v>
      </c>
      <c r="G1772" t="s">
        <v>65</v>
      </c>
      <c r="H1772" t="s">
        <v>26</v>
      </c>
      <c r="I1772" t="s">
        <v>84</v>
      </c>
      <c r="J1772" t="s">
        <v>132</v>
      </c>
      <c r="K1772">
        <v>1</v>
      </c>
      <c r="L1772" s="2">
        <v>48.86</v>
      </c>
      <c r="M1772" s="3">
        <v>0</v>
      </c>
      <c r="N1772" t="s">
        <v>38</v>
      </c>
      <c r="O1772" s="2">
        <v>48.86</v>
      </c>
      <c r="P1772" s="2">
        <v>33.94</v>
      </c>
      <c r="Q1772" s="2">
        <v>14.92</v>
      </c>
      <c r="R1772">
        <v>1</v>
      </c>
      <c r="S1772">
        <v>0</v>
      </c>
      <c r="T1772">
        <v>6</v>
      </c>
      <c r="U1772">
        <v>5</v>
      </c>
    </row>
    <row r="1773" spans="1:21" ht="16.5" x14ac:dyDescent="0.3">
      <c r="A1773" t="s">
        <v>1859</v>
      </c>
      <c r="B1773" s="1">
        <v>45584</v>
      </c>
      <c r="C1773">
        <v>2024</v>
      </c>
      <c r="D1773" t="s">
        <v>1738</v>
      </c>
      <c r="E1773" t="s">
        <v>1739</v>
      </c>
      <c r="F1773" t="s">
        <v>24</v>
      </c>
      <c r="G1773" t="s">
        <v>49</v>
      </c>
      <c r="H1773" t="s">
        <v>32</v>
      </c>
      <c r="I1773" t="s">
        <v>70</v>
      </c>
      <c r="J1773" t="s">
        <v>252</v>
      </c>
      <c r="K1773">
        <v>3</v>
      </c>
      <c r="L1773" s="2">
        <v>216.08</v>
      </c>
      <c r="M1773" s="3">
        <v>0.1</v>
      </c>
      <c r="N1773" t="s">
        <v>29</v>
      </c>
      <c r="O1773" s="2">
        <v>583.41999999999996</v>
      </c>
      <c r="P1773" s="2">
        <v>515.75</v>
      </c>
      <c r="Q1773" s="2">
        <v>67.67</v>
      </c>
      <c r="R1773">
        <v>1</v>
      </c>
      <c r="S1773">
        <v>0</v>
      </c>
      <c r="T1773">
        <v>4</v>
      </c>
      <c r="U1773">
        <v>5</v>
      </c>
    </row>
    <row r="1774" spans="1:21" ht="16.5" x14ac:dyDescent="0.3">
      <c r="A1774" t="s">
        <v>1860</v>
      </c>
      <c r="B1774" s="1">
        <v>45584</v>
      </c>
      <c r="C1774">
        <v>2024</v>
      </c>
      <c r="D1774" t="s">
        <v>1738</v>
      </c>
      <c r="E1774" t="s">
        <v>1739</v>
      </c>
      <c r="F1774" t="s">
        <v>24</v>
      </c>
      <c r="G1774" t="s">
        <v>25</v>
      </c>
      <c r="H1774" t="s">
        <v>26</v>
      </c>
      <c r="I1774" t="s">
        <v>70</v>
      </c>
      <c r="J1774" t="s">
        <v>162</v>
      </c>
      <c r="K1774">
        <v>1</v>
      </c>
      <c r="L1774" s="2">
        <v>636.09</v>
      </c>
      <c r="M1774" s="3">
        <v>0.05</v>
      </c>
      <c r="N1774" t="s">
        <v>29</v>
      </c>
      <c r="O1774" s="2">
        <v>604.29</v>
      </c>
      <c r="P1774" s="2">
        <v>519.64</v>
      </c>
      <c r="Q1774" s="2">
        <v>84.65</v>
      </c>
      <c r="R1774">
        <v>1</v>
      </c>
      <c r="S1774">
        <v>0</v>
      </c>
      <c r="T1774">
        <v>3</v>
      </c>
      <c r="U1774">
        <v>4</v>
      </c>
    </row>
    <row r="1775" spans="1:21" ht="16.5" x14ac:dyDescent="0.3">
      <c r="A1775" t="s">
        <v>1861</v>
      </c>
      <c r="B1775" s="1">
        <v>45584</v>
      </c>
      <c r="C1775">
        <v>2024</v>
      </c>
      <c r="D1775" t="s">
        <v>1738</v>
      </c>
      <c r="E1775" t="s">
        <v>1739</v>
      </c>
      <c r="F1775" t="s">
        <v>24</v>
      </c>
      <c r="G1775" t="s">
        <v>25</v>
      </c>
      <c r="H1775" t="s">
        <v>32</v>
      </c>
      <c r="I1775" t="s">
        <v>84</v>
      </c>
      <c r="J1775" t="s">
        <v>96</v>
      </c>
      <c r="K1775">
        <v>1</v>
      </c>
      <c r="L1775" s="2">
        <v>10.76</v>
      </c>
      <c r="M1775" s="3">
        <v>0.25</v>
      </c>
      <c r="N1775" t="s">
        <v>62</v>
      </c>
      <c r="O1775" s="2">
        <v>8.07</v>
      </c>
      <c r="P1775" s="2">
        <v>7.65</v>
      </c>
      <c r="Q1775" s="2">
        <v>0.42</v>
      </c>
      <c r="R1775">
        <v>1</v>
      </c>
      <c r="S1775">
        <v>0</v>
      </c>
      <c r="T1775">
        <v>4</v>
      </c>
      <c r="U1775">
        <v>4</v>
      </c>
    </row>
    <row r="1776" spans="1:21" ht="16.5" x14ac:dyDescent="0.3">
      <c r="A1776" t="s">
        <v>1862</v>
      </c>
      <c r="B1776" s="1">
        <v>45584</v>
      </c>
      <c r="C1776">
        <v>2024</v>
      </c>
      <c r="D1776" t="s">
        <v>1738</v>
      </c>
      <c r="E1776" t="s">
        <v>1739</v>
      </c>
      <c r="F1776" t="s">
        <v>24</v>
      </c>
      <c r="G1776" t="s">
        <v>51</v>
      </c>
      <c r="H1776" t="s">
        <v>32</v>
      </c>
      <c r="I1776" t="s">
        <v>27</v>
      </c>
      <c r="J1776" t="s">
        <v>33</v>
      </c>
      <c r="K1776">
        <v>1</v>
      </c>
      <c r="L1776" s="2">
        <v>78.510000000000005</v>
      </c>
      <c r="M1776" s="3">
        <v>0</v>
      </c>
      <c r="N1776" t="s">
        <v>38</v>
      </c>
      <c r="O1776" s="2">
        <v>78.510000000000005</v>
      </c>
      <c r="P1776" s="2">
        <v>44.23</v>
      </c>
      <c r="Q1776" s="2">
        <v>34.28</v>
      </c>
      <c r="R1776">
        <v>1</v>
      </c>
      <c r="S1776">
        <v>0</v>
      </c>
      <c r="T1776">
        <v>2</v>
      </c>
      <c r="U1776">
        <v>4</v>
      </c>
    </row>
    <row r="1777" spans="1:21" ht="16.5" x14ac:dyDescent="0.3">
      <c r="A1777" t="s">
        <v>1863</v>
      </c>
      <c r="B1777" s="1">
        <v>45584</v>
      </c>
      <c r="C1777">
        <v>2024</v>
      </c>
      <c r="D1777" t="s">
        <v>1738</v>
      </c>
      <c r="E1777" t="s">
        <v>1739</v>
      </c>
      <c r="F1777" t="s">
        <v>31</v>
      </c>
      <c r="G1777" t="s">
        <v>25</v>
      </c>
      <c r="H1777" t="s">
        <v>26</v>
      </c>
      <c r="I1777" t="s">
        <v>42</v>
      </c>
      <c r="J1777" t="s">
        <v>76</v>
      </c>
      <c r="K1777">
        <v>1</v>
      </c>
      <c r="L1777" s="2">
        <v>90.75</v>
      </c>
      <c r="M1777" s="3">
        <v>0.15</v>
      </c>
      <c r="N1777" t="s">
        <v>34</v>
      </c>
      <c r="O1777" s="2">
        <v>77.14</v>
      </c>
      <c r="P1777" s="2">
        <v>60.34</v>
      </c>
      <c r="Q1777" s="2">
        <v>16.8</v>
      </c>
      <c r="R1777">
        <v>1</v>
      </c>
      <c r="S1777">
        <v>0</v>
      </c>
      <c r="T1777">
        <v>5</v>
      </c>
      <c r="U1777">
        <v>4</v>
      </c>
    </row>
    <row r="1778" spans="1:21" ht="16.5" x14ac:dyDescent="0.3">
      <c r="A1778" t="s">
        <v>1864</v>
      </c>
      <c r="B1778" s="1">
        <v>45584</v>
      </c>
      <c r="C1778">
        <v>2024</v>
      </c>
      <c r="D1778" t="s">
        <v>1738</v>
      </c>
      <c r="E1778" t="s">
        <v>1739</v>
      </c>
      <c r="F1778" t="s">
        <v>24</v>
      </c>
      <c r="G1778" t="s">
        <v>65</v>
      </c>
      <c r="H1778" t="s">
        <v>32</v>
      </c>
      <c r="I1778" t="s">
        <v>42</v>
      </c>
      <c r="J1778" t="s">
        <v>43</v>
      </c>
      <c r="K1778">
        <v>1</v>
      </c>
      <c r="L1778" s="2">
        <v>154.66</v>
      </c>
      <c r="M1778" s="3">
        <v>0.2</v>
      </c>
      <c r="N1778" t="s">
        <v>34</v>
      </c>
      <c r="O1778" s="2">
        <v>123.73</v>
      </c>
      <c r="P1778" s="2">
        <v>101.53</v>
      </c>
      <c r="Q1778" s="2">
        <v>22.2</v>
      </c>
      <c r="R1778">
        <v>1</v>
      </c>
      <c r="S1778">
        <v>0</v>
      </c>
      <c r="T1778">
        <v>6</v>
      </c>
      <c r="U1778">
        <v>4</v>
      </c>
    </row>
    <row r="1779" spans="1:21" ht="16.5" x14ac:dyDescent="0.3">
      <c r="A1779" t="s">
        <v>1865</v>
      </c>
      <c r="B1779" s="1">
        <v>45584</v>
      </c>
      <c r="C1779">
        <v>2024</v>
      </c>
      <c r="D1779" t="s">
        <v>1738</v>
      </c>
      <c r="E1779" t="s">
        <v>1739</v>
      </c>
      <c r="F1779" t="s">
        <v>24</v>
      </c>
      <c r="G1779" t="s">
        <v>51</v>
      </c>
      <c r="H1779" t="s">
        <v>32</v>
      </c>
      <c r="I1779" t="s">
        <v>70</v>
      </c>
      <c r="J1779" t="s">
        <v>252</v>
      </c>
      <c r="K1779">
        <v>1</v>
      </c>
      <c r="L1779" s="2">
        <v>216.08</v>
      </c>
      <c r="M1779" s="3">
        <v>0.15</v>
      </c>
      <c r="N1779" t="s">
        <v>34</v>
      </c>
      <c r="O1779" s="2">
        <v>183.67</v>
      </c>
      <c r="P1779" s="2">
        <v>171.18</v>
      </c>
      <c r="Q1779" s="2">
        <v>12.49</v>
      </c>
      <c r="R1779">
        <v>1</v>
      </c>
      <c r="S1779">
        <v>0</v>
      </c>
      <c r="T1779">
        <v>2</v>
      </c>
      <c r="U1779">
        <v>4</v>
      </c>
    </row>
    <row r="1780" spans="1:21" ht="16.5" x14ac:dyDescent="0.3">
      <c r="A1780" t="s">
        <v>1866</v>
      </c>
      <c r="B1780" s="1">
        <v>45584</v>
      </c>
      <c r="C1780">
        <v>2024</v>
      </c>
      <c r="D1780" t="s">
        <v>1738</v>
      </c>
      <c r="E1780" t="s">
        <v>1739</v>
      </c>
      <c r="F1780" t="s">
        <v>24</v>
      </c>
      <c r="G1780" t="s">
        <v>51</v>
      </c>
      <c r="H1780" t="s">
        <v>26</v>
      </c>
      <c r="I1780" t="s">
        <v>27</v>
      </c>
      <c r="J1780" t="s">
        <v>40</v>
      </c>
      <c r="K1780">
        <v>1</v>
      </c>
      <c r="L1780" s="2">
        <v>104.94</v>
      </c>
      <c r="M1780" s="3">
        <v>0.2</v>
      </c>
      <c r="N1780" t="s">
        <v>34</v>
      </c>
      <c r="O1780" s="2">
        <v>83.95</v>
      </c>
      <c r="P1780" s="2">
        <v>56.6</v>
      </c>
      <c r="Q1780" s="2">
        <v>27.35</v>
      </c>
      <c r="R1780">
        <v>1</v>
      </c>
      <c r="S1780">
        <v>0</v>
      </c>
      <c r="T1780">
        <v>3</v>
      </c>
      <c r="U1780">
        <v>4</v>
      </c>
    </row>
    <row r="1781" spans="1:21" ht="16.5" x14ac:dyDescent="0.3">
      <c r="A1781" t="s">
        <v>1867</v>
      </c>
      <c r="B1781" s="1">
        <v>45584</v>
      </c>
      <c r="C1781">
        <v>2024</v>
      </c>
      <c r="D1781" t="s">
        <v>1738</v>
      </c>
      <c r="E1781" t="s">
        <v>1739</v>
      </c>
      <c r="F1781" t="s">
        <v>24</v>
      </c>
      <c r="G1781" t="s">
        <v>51</v>
      </c>
      <c r="H1781" t="s">
        <v>32</v>
      </c>
      <c r="I1781" t="s">
        <v>70</v>
      </c>
      <c r="J1781" t="s">
        <v>129</v>
      </c>
      <c r="K1781">
        <v>1</v>
      </c>
      <c r="L1781" s="2">
        <v>177.65</v>
      </c>
      <c r="M1781" s="3">
        <v>0.05</v>
      </c>
      <c r="N1781" t="s">
        <v>29</v>
      </c>
      <c r="O1781" s="2">
        <v>168.77</v>
      </c>
      <c r="P1781" s="2">
        <v>145.33000000000001</v>
      </c>
      <c r="Q1781" s="2">
        <v>23.44</v>
      </c>
      <c r="R1781">
        <v>1</v>
      </c>
      <c r="S1781">
        <v>0</v>
      </c>
      <c r="T1781">
        <v>3</v>
      </c>
      <c r="U1781">
        <v>4</v>
      </c>
    </row>
    <row r="1782" spans="1:21" ht="16.5" x14ac:dyDescent="0.3">
      <c r="A1782" t="s">
        <v>1868</v>
      </c>
      <c r="B1782" s="1">
        <v>45585</v>
      </c>
      <c r="C1782">
        <v>2024</v>
      </c>
      <c r="D1782" t="s">
        <v>1738</v>
      </c>
      <c r="E1782" t="s">
        <v>1739</v>
      </c>
      <c r="F1782" t="s">
        <v>24</v>
      </c>
      <c r="G1782" t="s">
        <v>49</v>
      </c>
      <c r="H1782" t="s">
        <v>32</v>
      </c>
      <c r="I1782" t="s">
        <v>42</v>
      </c>
      <c r="J1782" t="s">
        <v>98</v>
      </c>
      <c r="K1782">
        <v>1</v>
      </c>
      <c r="L1782" s="2">
        <v>117.63</v>
      </c>
      <c r="M1782" s="3">
        <v>0</v>
      </c>
      <c r="N1782" t="s">
        <v>38</v>
      </c>
      <c r="O1782" s="2">
        <v>117.63</v>
      </c>
      <c r="P1782" s="2">
        <v>77.5</v>
      </c>
      <c r="Q1782" s="2">
        <v>40.130000000000003</v>
      </c>
      <c r="R1782">
        <v>1</v>
      </c>
      <c r="S1782">
        <v>0</v>
      </c>
      <c r="T1782">
        <v>3</v>
      </c>
      <c r="U1782">
        <v>4</v>
      </c>
    </row>
    <row r="1783" spans="1:21" ht="16.5" x14ac:dyDescent="0.3">
      <c r="A1783" t="s">
        <v>1869</v>
      </c>
      <c r="B1783" s="1">
        <v>45585</v>
      </c>
      <c r="C1783">
        <v>2024</v>
      </c>
      <c r="D1783" t="s">
        <v>1738</v>
      </c>
      <c r="E1783" t="s">
        <v>1739</v>
      </c>
      <c r="F1783" t="s">
        <v>24</v>
      </c>
      <c r="G1783" t="s">
        <v>51</v>
      </c>
      <c r="H1783" t="s">
        <v>32</v>
      </c>
      <c r="I1783" t="s">
        <v>67</v>
      </c>
      <c r="J1783" t="s">
        <v>78</v>
      </c>
      <c r="K1783">
        <v>2</v>
      </c>
      <c r="L1783" s="2">
        <v>85.42</v>
      </c>
      <c r="M1783" s="3">
        <v>0</v>
      </c>
      <c r="N1783" t="s">
        <v>38</v>
      </c>
      <c r="O1783" s="2">
        <v>170.84</v>
      </c>
      <c r="P1783" s="2">
        <v>114.81</v>
      </c>
      <c r="Q1783" s="2">
        <v>56.03</v>
      </c>
      <c r="R1783">
        <v>1</v>
      </c>
      <c r="S1783">
        <v>0</v>
      </c>
      <c r="T1783">
        <v>3</v>
      </c>
      <c r="U1783">
        <v>4</v>
      </c>
    </row>
    <row r="1784" spans="1:21" ht="16.5" x14ac:dyDescent="0.3">
      <c r="A1784" t="s">
        <v>1870</v>
      </c>
      <c r="B1784" s="1">
        <v>45585</v>
      </c>
      <c r="C1784">
        <v>2024</v>
      </c>
      <c r="D1784" t="s">
        <v>1738</v>
      </c>
      <c r="E1784" t="s">
        <v>1739</v>
      </c>
      <c r="F1784" t="s">
        <v>31</v>
      </c>
      <c r="G1784" t="s">
        <v>51</v>
      </c>
      <c r="H1784" t="s">
        <v>32</v>
      </c>
      <c r="I1784" t="s">
        <v>84</v>
      </c>
      <c r="J1784" t="s">
        <v>85</v>
      </c>
      <c r="K1784">
        <v>1</v>
      </c>
      <c r="L1784" s="2">
        <v>57.92</v>
      </c>
      <c r="M1784" s="3">
        <v>0</v>
      </c>
      <c r="N1784" t="s">
        <v>38</v>
      </c>
      <c r="O1784" s="2">
        <v>57.92</v>
      </c>
      <c r="P1784" s="2">
        <v>41.53</v>
      </c>
      <c r="Q1784" s="2">
        <v>16.39</v>
      </c>
      <c r="R1784">
        <v>1</v>
      </c>
      <c r="S1784">
        <v>0</v>
      </c>
      <c r="T1784">
        <v>3</v>
      </c>
      <c r="U1784">
        <v>5</v>
      </c>
    </row>
    <row r="1785" spans="1:21" ht="16.5" x14ac:dyDescent="0.3">
      <c r="A1785" t="s">
        <v>1871</v>
      </c>
      <c r="B1785" s="1">
        <v>45585</v>
      </c>
      <c r="C1785">
        <v>2024</v>
      </c>
      <c r="D1785" t="s">
        <v>1738</v>
      </c>
      <c r="E1785" t="s">
        <v>1739</v>
      </c>
      <c r="F1785" t="s">
        <v>24</v>
      </c>
      <c r="G1785" t="s">
        <v>49</v>
      </c>
      <c r="H1785" t="s">
        <v>26</v>
      </c>
      <c r="I1785" t="s">
        <v>42</v>
      </c>
      <c r="J1785" t="s">
        <v>43</v>
      </c>
      <c r="K1785">
        <v>1</v>
      </c>
      <c r="L1785" s="2">
        <v>154.66</v>
      </c>
      <c r="M1785" s="3">
        <v>0</v>
      </c>
      <c r="N1785" t="s">
        <v>38</v>
      </c>
      <c r="O1785" s="2">
        <v>154.66</v>
      </c>
      <c r="P1785" s="2">
        <v>100.8</v>
      </c>
      <c r="Q1785" s="2">
        <v>53.86</v>
      </c>
      <c r="R1785">
        <v>1</v>
      </c>
      <c r="S1785">
        <v>0</v>
      </c>
      <c r="T1785">
        <v>4</v>
      </c>
      <c r="U1785">
        <v>4</v>
      </c>
    </row>
    <row r="1786" spans="1:21" ht="16.5" x14ac:dyDescent="0.3">
      <c r="A1786" t="s">
        <v>1872</v>
      </c>
      <c r="B1786" s="1">
        <v>45585</v>
      </c>
      <c r="C1786">
        <v>2024</v>
      </c>
      <c r="D1786" t="s">
        <v>1738</v>
      </c>
      <c r="E1786" t="s">
        <v>1739</v>
      </c>
      <c r="F1786" t="s">
        <v>24</v>
      </c>
      <c r="G1786" t="s">
        <v>49</v>
      </c>
      <c r="H1786" t="s">
        <v>26</v>
      </c>
      <c r="I1786" t="s">
        <v>27</v>
      </c>
      <c r="J1786" t="s">
        <v>40</v>
      </c>
      <c r="K1786">
        <v>1</v>
      </c>
      <c r="L1786" s="2">
        <v>104.94</v>
      </c>
      <c r="M1786" s="3">
        <v>0.15</v>
      </c>
      <c r="N1786" t="s">
        <v>34</v>
      </c>
      <c r="O1786" s="2">
        <v>89.2</v>
      </c>
      <c r="P1786" s="2">
        <v>59.22</v>
      </c>
      <c r="Q1786" s="2">
        <v>29.98</v>
      </c>
      <c r="R1786">
        <v>1</v>
      </c>
      <c r="S1786">
        <v>0</v>
      </c>
      <c r="T1786">
        <v>6</v>
      </c>
      <c r="U1786">
        <v>4</v>
      </c>
    </row>
    <row r="1787" spans="1:21" ht="16.5" x14ac:dyDescent="0.3">
      <c r="A1787" t="s">
        <v>1873</v>
      </c>
      <c r="B1787" s="1">
        <v>45585</v>
      </c>
      <c r="C1787">
        <v>2024</v>
      </c>
      <c r="D1787" t="s">
        <v>1738</v>
      </c>
      <c r="E1787" t="s">
        <v>1739</v>
      </c>
      <c r="F1787" t="s">
        <v>45</v>
      </c>
      <c r="G1787" t="s">
        <v>51</v>
      </c>
      <c r="H1787" t="s">
        <v>26</v>
      </c>
      <c r="I1787" t="s">
        <v>27</v>
      </c>
      <c r="J1787" t="s">
        <v>28</v>
      </c>
      <c r="K1787">
        <v>1</v>
      </c>
      <c r="L1787" s="2">
        <v>138.5</v>
      </c>
      <c r="M1787" s="3">
        <v>0.05</v>
      </c>
      <c r="N1787" t="s">
        <v>29</v>
      </c>
      <c r="O1787" s="2">
        <v>131.57</v>
      </c>
      <c r="P1787" s="2">
        <v>71.95</v>
      </c>
      <c r="Q1787" s="2">
        <v>59.62</v>
      </c>
      <c r="R1787">
        <v>1</v>
      </c>
      <c r="S1787">
        <v>0</v>
      </c>
      <c r="T1787">
        <v>3</v>
      </c>
      <c r="U1787">
        <v>4</v>
      </c>
    </row>
    <row r="1788" spans="1:21" ht="16.5" x14ac:dyDescent="0.3">
      <c r="A1788" t="s">
        <v>1874</v>
      </c>
      <c r="B1788" s="1">
        <v>45585</v>
      </c>
      <c r="C1788">
        <v>2024</v>
      </c>
      <c r="D1788" t="s">
        <v>1738</v>
      </c>
      <c r="E1788" t="s">
        <v>1739</v>
      </c>
      <c r="F1788" t="s">
        <v>24</v>
      </c>
      <c r="G1788" t="s">
        <v>51</v>
      </c>
      <c r="H1788" t="s">
        <v>32</v>
      </c>
      <c r="I1788" t="s">
        <v>27</v>
      </c>
      <c r="J1788" t="s">
        <v>60</v>
      </c>
      <c r="K1788">
        <v>1</v>
      </c>
      <c r="L1788" s="2">
        <v>94.85</v>
      </c>
      <c r="M1788" s="3">
        <v>0.1</v>
      </c>
      <c r="N1788" t="s">
        <v>29</v>
      </c>
      <c r="O1788" s="2">
        <v>85.36</v>
      </c>
      <c r="P1788" s="2">
        <v>53.14</v>
      </c>
      <c r="Q1788" s="2">
        <v>32.22</v>
      </c>
      <c r="R1788">
        <v>1</v>
      </c>
      <c r="S1788">
        <v>0</v>
      </c>
      <c r="T1788">
        <v>2</v>
      </c>
      <c r="U1788">
        <v>4</v>
      </c>
    </row>
    <row r="1789" spans="1:21" ht="16.5" x14ac:dyDescent="0.3">
      <c r="A1789" t="s">
        <v>1875</v>
      </c>
      <c r="B1789" s="1">
        <v>45586</v>
      </c>
      <c r="C1789">
        <v>2024</v>
      </c>
      <c r="D1789" t="s">
        <v>1738</v>
      </c>
      <c r="E1789" t="s">
        <v>1739</v>
      </c>
      <c r="F1789" t="s">
        <v>31</v>
      </c>
      <c r="G1789" t="s">
        <v>49</v>
      </c>
      <c r="H1789" t="s">
        <v>32</v>
      </c>
      <c r="I1789" t="s">
        <v>27</v>
      </c>
      <c r="J1789" t="s">
        <v>33</v>
      </c>
      <c r="K1789">
        <v>3</v>
      </c>
      <c r="L1789" s="2">
        <v>78.510000000000005</v>
      </c>
      <c r="M1789" s="3">
        <v>0</v>
      </c>
      <c r="N1789" t="s">
        <v>38</v>
      </c>
      <c r="O1789" s="2">
        <v>235.53</v>
      </c>
      <c r="P1789" s="2">
        <v>123.02</v>
      </c>
      <c r="Q1789" s="2">
        <v>112.51</v>
      </c>
      <c r="R1789">
        <v>1</v>
      </c>
      <c r="S1789">
        <v>0</v>
      </c>
      <c r="T1789">
        <v>4</v>
      </c>
      <c r="U1789">
        <v>5</v>
      </c>
    </row>
    <row r="1790" spans="1:21" ht="16.5" x14ac:dyDescent="0.3">
      <c r="A1790" t="s">
        <v>1876</v>
      </c>
      <c r="B1790" s="1">
        <v>45586</v>
      </c>
      <c r="C1790">
        <v>2024</v>
      </c>
      <c r="D1790" t="s">
        <v>1738</v>
      </c>
      <c r="E1790" t="s">
        <v>1739</v>
      </c>
      <c r="F1790" t="s">
        <v>45</v>
      </c>
      <c r="G1790" t="s">
        <v>51</v>
      </c>
      <c r="H1790" t="s">
        <v>26</v>
      </c>
      <c r="I1790" t="s">
        <v>36</v>
      </c>
      <c r="J1790" t="s">
        <v>37</v>
      </c>
      <c r="K1790">
        <v>4</v>
      </c>
      <c r="L1790" s="2">
        <v>33.18</v>
      </c>
      <c r="M1790" s="3">
        <v>0</v>
      </c>
      <c r="N1790" t="s">
        <v>38</v>
      </c>
      <c r="O1790" s="2">
        <v>132.72</v>
      </c>
      <c r="P1790" s="2">
        <v>63.75</v>
      </c>
      <c r="Q1790" s="2">
        <v>68.97</v>
      </c>
      <c r="R1790">
        <v>1</v>
      </c>
      <c r="S1790">
        <v>0</v>
      </c>
      <c r="T1790">
        <v>2</v>
      </c>
      <c r="U1790">
        <v>4</v>
      </c>
    </row>
    <row r="1791" spans="1:21" ht="16.5" x14ac:dyDescent="0.3">
      <c r="A1791" t="s">
        <v>1877</v>
      </c>
      <c r="B1791" s="1">
        <v>45586</v>
      </c>
      <c r="C1791">
        <v>2024</v>
      </c>
      <c r="D1791" t="s">
        <v>1738</v>
      </c>
      <c r="E1791" t="s">
        <v>1739</v>
      </c>
      <c r="F1791" t="s">
        <v>24</v>
      </c>
      <c r="G1791" t="s">
        <v>25</v>
      </c>
      <c r="H1791" t="s">
        <v>32</v>
      </c>
      <c r="I1791" t="s">
        <v>27</v>
      </c>
      <c r="J1791" t="s">
        <v>110</v>
      </c>
      <c r="K1791">
        <v>4</v>
      </c>
      <c r="L1791" s="2">
        <v>19.41</v>
      </c>
      <c r="M1791" s="3">
        <v>0</v>
      </c>
      <c r="N1791" t="s">
        <v>38</v>
      </c>
      <c r="O1791" s="2">
        <v>77.64</v>
      </c>
      <c r="P1791" s="2">
        <v>38.68</v>
      </c>
      <c r="Q1791" s="2">
        <v>38.96</v>
      </c>
      <c r="R1791">
        <v>1</v>
      </c>
      <c r="S1791">
        <v>0</v>
      </c>
      <c r="T1791">
        <v>5</v>
      </c>
      <c r="U1791">
        <v>4</v>
      </c>
    </row>
    <row r="1792" spans="1:21" ht="16.5" x14ac:dyDescent="0.3">
      <c r="A1792" t="s">
        <v>1878</v>
      </c>
      <c r="B1792" s="1">
        <v>45586</v>
      </c>
      <c r="C1792">
        <v>2024</v>
      </c>
      <c r="D1792" t="s">
        <v>1738</v>
      </c>
      <c r="E1792" t="s">
        <v>1739</v>
      </c>
      <c r="F1792" t="s">
        <v>24</v>
      </c>
      <c r="G1792" t="s">
        <v>49</v>
      </c>
      <c r="H1792" t="s">
        <v>32</v>
      </c>
      <c r="I1792" t="s">
        <v>42</v>
      </c>
      <c r="J1792" t="s">
        <v>58</v>
      </c>
      <c r="K1792">
        <v>4</v>
      </c>
      <c r="L1792" s="2">
        <v>233.81</v>
      </c>
      <c r="M1792" s="3">
        <v>0.2</v>
      </c>
      <c r="N1792" t="s">
        <v>34</v>
      </c>
      <c r="O1792" s="2">
        <v>748.19</v>
      </c>
      <c r="P1792" s="2">
        <v>605.66</v>
      </c>
      <c r="Q1792" s="2">
        <v>142.53</v>
      </c>
      <c r="R1792">
        <v>1</v>
      </c>
      <c r="S1792">
        <v>0</v>
      </c>
      <c r="T1792">
        <v>5</v>
      </c>
      <c r="U1792">
        <v>4</v>
      </c>
    </row>
    <row r="1793" spans="1:21" ht="16.5" x14ac:dyDescent="0.3">
      <c r="A1793" t="s">
        <v>1879</v>
      </c>
      <c r="B1793" s="1">
        <v>45587</v>
      </c>
      <c r="C1793">
        <v>2024</v>
      </c>
      <c r="D1793" t="s">
        <v>1738</v>
      </c>
      <c r="E1793" t="s">
        <v>1739</v>
      </c>
      <c r="F1793" t="s">
        <v>31</v>
      </c>
      <c r="G1793" t="s">
        <v>51</v>
      </c>
      <c r="H1793" t="s">
        <v>32</v>
      </c>
      <c r="I1793" t="s">
        <v>42</v>
      </c>
      <c r="J1793" t="s">
        <v>58</v>
      </c>
      <c r="K1793">
        <v>1</v>
      </c>
      <c r="L1793" s="2">
        <v>233.81</v>
      </c>
      <c r="M1793" s="3">
        <v>0.05</v>
      </c>
      <c r="N1793" t="s">
        <v>29</v>
      </c>
      <c r="O1793" s="2">
        <v>222.12</v>
      </c>
      <c r="P1793" s="2">
        <v>160.12</v>
      </c>
      <c r="Q1793" s="2">
        <v>62</v>
      </c>
      <c r="R1793">
        <v>1</v>
      </c>
      <c r="S1793">
        <v>0</v>
      </c>
      <c r="T1793">
        <v>2</v>
      </c>
      <c r="U1793">
        <v>4</v>
      </c>
    </row>
    <row r="1794" spans="1:21" ht="16.5" x14ac:dyDescent="0.3">
      <c r="A1794" t="s">
        <v>1880</v>
      </c>
      <c r="B1794" s="1">
        <v>45587</v>
      </c>
      <c r="C1794">
        <v>2024</v>
      </c>
      <c r="D1794" t="s">
        <v>1738</v>
      </c>
      <c r="E1794" t="s">
        <v>1739</v>
      </c>
      <c r="F1794" t="s">
        <v>45</v>
      </c>
      <c r="G1794" t="s">
        <v>49</v>
      </c>
      <c r="H1794" t="s">
        <v>32</v>
      </c>
      <c r="I1794" t="s">
        <v>27</v>
      </c>
      <c r="J1794" t="s">
        <v>28</v>
      </c>
      <c r="K1794">
        <v>2</v>
      </c>
      <c r="L1794" s="2">
        <v>138.5</v>
      </c>
      <c r="M1794" s="3">
        <v>0.05</v>
      </c>
      <c r="N1794" t="s">
        <v>29</v>
      </c>
      <c r="O1794" s="2">
        <v>263.14999999999998</v>
      </c>
      <c r="P1794" s="2">
        <v>145.88</v>
      </c>
      <c r="Q1794" s="2">
        <v>117.27</v>
      </c>
      <c r="R1794">
        <v>1</v>
      </c>
      <c r="S1794">
        <v>0</v>
      </c>
      <c r="T1794">
        <v>5</v>
      </c>
      <c r="U1794">
        <v>4</v>
      </c>
    </row>
    <row r="1795" spans="1:21" ht="16.5" x14ac:dyDescent="0.3">
      <c r="A1795" t="s">
        <v>1881</v>
      </c>
      <c r="B1795" s="1">
        <v>45587</v>
      </c>
      <c r="C1795">
        <v>2024</v>
      </c>
      <c r="D1795" t="s">
        <v>1738</v>
      </c>
      <c r="E1795" t="s">
        <v>1739</v>
      </c>
      <c r="F1795" t="s">
        <v>45</v>
      </c>
      <c r="G1795" t="s">
        <v>46</v>
      </c>
      <c r="H1795" t="s">
        <v>26</v>
      </c>
      <c r="I1795" t="s">
        <v>36</v>
      </c>
      <c r="J1795" t="s">
        <v>115</v>
      </c>
      <c r="K1795">
        <v>1</v>
      </c>
      <c r="L1795" s="2">
        <v>33.479999999999997</v>
      </c>
      <c r="M1795" s="3">
        <v>0.05</v>
      </c>
      <c r="N1795" t="s">
        <v>29</v>
      </c>
      <c r="O1795" s="2">
        <v>31.81</v>
      </c>
      <c r="P1795" s="2">
        <v>16.260000000000002</v>
      </c>
      <c r="Q1795" s="2">
        <v>15.55</v>
      </c>
      <c r="R1795">
        <v>1</v>
      </c>
      <c r="S1795">
        <v>0</v>
      </c>
      <c r="T1795">
        <v>7</v>
      </c>
      <c r="U1795">
        <v>4</v>
      </c>
    </row>
    <row r="1796" spans="1:21" ht="16.5" x14ac:dyDescent="0.3">
      <c r="A1796" t="s">
        <v>1882</v>
      </c>
      <c r="B1796" s="1">
        <v>45587</v>
      </c>
      <c r="C1796">
        <v>2024</v>
      </c>
      <c r="D1796" t="s">
        <v>1738</v>
      </c>
      <c r="E1796" t="s">
        <v>1739</v>
      </c>
      <c r="F1796" t="s">
        <v>24</v>
      </c>
      <c r="G1796" t="s">
        <v>25</v>
      </c>
      <c r="H1796" t="s">
        <v>32</v>
      </c>
      <c r="I1796" t="s">
        <v>84</v>
      </c>
      <c r="J1796" t="s">
        <v>85</v>
      </c>
      <c r="K1796">
        <v>1</v>
      </c>
      <c r="L1796" s="2">
        <v>57.92</v>
      </c>
      <c r="M1796" s="3">
        <v>0</v>
      </c>
      <c r="N1796" t="s">
        <v>38</v>
      </c>
      <c r="O1796" s="2">
        <v>57.92</v>
      </c>
      <c r="P1796" s="2">
        <v>40.11</v>
      </c>
      <c r="Q1796" s="2">
        <v>17.809999999999999</v>
      </c>
      <c r="R1796">
        <v>1</v>
      </c>
      <c r="S1796">
        <v>0</v>
      </c>
      <c r="T1796">
        <v>4</v>
      </c>
      <c r="U1796">
        <v>5</v>
      </c>
    </row>
    <row r="1797" spans="1:21" ht="16.5" x14ac:dyDescent="0.3">
      <c r="A1797" t="s">
        <v>1883</v>
      </c>
      <c r="B1797" s="1">
        <v>45587</v>
      </c>
      <c r="C1797">
        <v>2024</v>
      </c>
      <c r="D1797" t="s">
        <v>1738</v>
      </c>
      <c r="E1797" t="s">
        <v>1739</v>
      </c>
      <c r="F1797" t="s">
        <v>24</v>
      </c>
      <c r="G1797" t="s">
        <v>49</v>
      </c>
      <c r="H1797" t="s">
        <v>26</v>
      </c>
      <c r="I1797" t="s">
        <v>27</v>
      </c>
      <c r="J1797" t="s">
        <v>33</v>
      </c>
      <c r="K1797">
        <v>1</v>
      </c>
      <c r="L1797" s="2">
        <v>78.510000000000005</v>
      </c>
      <c r="M1797" s="3">
        <v>0.05</v>
      </c>
      <c r="N1797" t="s">
        <v>29</v>
      </c>
      <c r="O1797" s="2">
        <v>74.58</v>
      </c>
      <c r="P1797" s="2">
        <v>42.85</v>
      </c>
      <c r="Q1797" s="2">
        <v>31.73</v>
      </c>
      <c r="R1797">
        <v>1</v>
      </c>
      <c r="S1797">
        <v>0</v>
      </c>
      <c r="T1797">
        <v>4</v>
      </c>
      <c r="U1797">
        <v>5</v>
      </c>
    </row>
    <row r="1798" spans="1:21" ht="16.5" x14ac:dyDescent="0.3">
      <c r="A1798" t="s">
        <v>1884</v>
      </c>
      <c r="B1798" s="1">
        <v>45587</v>
      </c>
      <c r="C1798">
        <v>2024</v>
      </c>
      <c r="D1798" t="s">
        <v>1738</v>
      </c>
      <c r="E1798" t="s">
        <v>1739</v>
      </c>
      <c r="F1798" t="s">
        <v>31</v>
      </c>
      <c r="G1798" t="s">
        <v>25</v>
      </c>
      <c r="H1798" t="s">
        <v>32</v>
      </c>
      <c r="I1798" t="s">
        <v>27</v>
      </c>
      <c r="J1798" t="s">
        <v>33</v>
      </c>
      <c r="K1798">
        <v>2</v>
      </c>
      <c r="L1798" s="2">
        <v>78.510000000000005</v>
      </c>
      <c r="M1798" s="3">
        <v>0</v>
      </c>
      <c r="N1798" t="s">
        <v>38</v>
      </c>
      <c r="O1798" s="2">
        <v>157.02000000000001</v>
      </c>
      <c r="P1798" s="2">
        <v>89.81</v>
      </c>
      <c r="Q1798" s="2">
        <v>67.209999999999994</v>
      </c>
      <c r="R1798">
        <v>1</v>
      </c>
      <c r="S1798">
        <v>0</v>
      </c>
      <c r="T1798">
        <v>4</v>
      </c>
      <c r="U1798">
        <v>4</v>
      </c>
    </row>
    <row r="1799" spans="1:21" ht="16.5" x14ac:dyDescent="0.3">
      <c r="A1799" t="s">
        <v>1885</v>
      </c>
      <c r="B1799" s="1">
        <v>45587</v>
      </c>
      <c r="C1799">
        <v>2024</v>
      </c>
      <c r="D1799" t="s">
        <v>1738</v>
      </c>
      <c r="E1799" t="s">
        <v>1739</v>
      </c>
      <c r="F1799" t="s">
        <v>31</v>
      </c>
      <c r="G1799" t="s">
        <v>51</v>
      </c>
      <c r="H1799" t="s">
        <v>32</v>
      </c>
      <c r="I1799" t="s">
        <v>42</v>
      </c>
      <c r="J1799" t="s">
        <v>43</v>
      </c>
      <c r="K1799">
        <v>1</v>
      </c>
      <c r="L1799" s="2">
        <v>154.66</v>
      </c>
      <c r="M1799" s="3">
        <v>0.05</v>
      </c>
      <c r="N1799" t="s">
        <v>29</v>
      </c>
      <c r="O1799" s="2">
        <v>146.93</v>
      </c>
      <c r="P1799" s="2">
        <v>102.97</v>
      </c>
      <c r="Q1799" s="2">
        <v>43.96</v>
      </c>
      <c r="R1799">
        <v>1</v>
      </c>
      <c r="S1799">
        <v>0</v>
      </c>
      <c r="T1799">
        <v>2</v>
      </c>
      <c r="U1799">
        <v>4</v>
      </c>
    </row>
    <row r="1800" spans="1:21" ht="16.5" x14ac:dyDescent="0.3">
      <c r="A1800" t="s">
        <v>1886</v>
      </c>
      <c r="B1800" s="1">
        <v>45587</v>
      </c>
      <c r="C1800">
        <v>2024</v>
      </c>
      <c r="D1800" t="s">
        <v>1738</v>
      </c>
      <c r="E1800" t="s">
        <v>1739</v>
      </c>
      <c r="F1800" t="s">
        <v>24</v>
      </c>
      <c r="G1800" t="s">
        <v>65</v>
      </c>
      <c r="H1800" t="s">
        <v>32</v>
      </c>
      <c r="I1800" t="s">
        <v>67</v>
      </c>
      <c r="J1800" t="s">
        <v>78</v>
      </c>
      <c r="K1800">
        <v>1</v>
      </c>
      <c r="L1800" s="2">
        <v>85.42</v>
      </c>
      <c r="M1800" s="3">
        <v>0.1</v>
      </c>
      <c r="N1800" t="s">
        <v>29</v>
      </c>
      <c r="O1800" s="2">
        <v>76.88</v>
      </c>
      <c r="P1800" s="2">
        <v>54.55</v>
      </c>
      <c r="Q1800" s="2">
        <v>22.33</v>
      </c>
      <c r="R1800">
        <v>1</v>
      </c>
      <c r="S1800">
        <v>1</v>
      </c>
      <c r="T1800">
        <v>6</v>
      </c>
      <c r="U1800">
        <v>2</v>
      </c>
    </row>
    <row r="1801" spans="1:21" ht="16.5" x14ac:dyDescent="0.3">
      <c r="A1801" t="s">
        <v>1887</v>
      </c>
      <c r="B1801" s="1">
        <v>45587</v>
      </c>
      <c r="C1801">
        <v>2024</v>
      </c>
      <c r="D1801" t="s">
        <v>1738</v>
      </c>
      <c r="E1801" t="s">
        <v>1739</v>
      </c>
      <c r="F1801" t="s">
        <v>24</v>
      </c>
      <c r="G1801" t="s">
        <v>65</v>
      </c>
      <c r="H1801" t="s">
        <v>32</v>
      </c>
      <c r="I1801" t="s">
        <v>42</v>
      </c>
      <c r="J1801" t="s">
        <v>98</v>
      </c>
      <c r="K1801">
        <v>3</v>
      </c>
      <c r="L1801" s="2">
        <v>117.63</v>
      </c>
      <c r="M1801" s="3">
        <v>0</v>
      </c>
      <c r="N1801" t="s">
        <v>38</v>
      </c>
      <c r="O1801" s="2">
        <v>352.89</v>
      </c>
      <c r="P1801" s="2">
        <v>242.84</v>
      </c>
      <c r="Q1801" s="2">
        <v>110.05</v>
      </c>
      <c r="R1801">
        <v>1</v>
      </c>
      <c r="S1801">
        <v>0</v>
      </c>
      <c r="T1801">
        <v>7</v>
      </c>
      <c r="U1801">
        <v>1</v>
      </c>
    </row>
    <row r="1802" spans="1:21" ht="16.5" x14ac:dyDescent="0.3">
      <c r="A1802" t="s">
        <v>1888</v>
      </c>
      <c r="B1802" s="1">
        <v>45587</v>
      </c>
      <c r="C1802">
        <v>2024</v>
      </c>
      <c r="D1802" t="s">
        <v>1738</v>
      </c>
      <c r="E1802" t="s">
        <v>1739</v>
      </c>
      <c r="F1802" t="s">
        <v>31</v>
      </c>
      <c r="G1802" t="s">
        <v>25</v>
      </c>
      <c r="H1802" t="s">
        <v>26</v>
      </c>
      <c r="I1802" t="s">
        <v>27</v>
      </c>
      <c r="J1802" t="s">
        <v>28</v>
      </c>
      <c r="K1802">
        <v>1</v>
      </c>
      <c r="L1802" s="2">
        <v>138.5</v>
      </c>
      <c r="M1802" s="3">
        <v>0.1</v>
      </c>
      <c r="N1802" t="s">
        <v>29</v>
      </c>
      <c r="O1802" s="2">
        <v>124.65</v>
      </c>
      <c r="P1802" s="2">
        <v>78.66</v>
      </c>
      <c r="Q1802" s="2">
        <v>45.99</v>
      </c>
      <c r="R1802">
        <v>1</v>
      </c>
      <c r="S1802">
        <v>0</v>
      </c>
      <c r="T1802">
        <v>3</v>
      </c>
      <c r="U1802">
        <v>5</v>
      </c>
    </row>
    <row r="1803" spans="1:21" ht="16.5" x14ac:dyDescent="0.3">
      <c r="A1803" t="s">
        <v>1889</v>
      </c>
      <c r="B1803" s="1">
        <v>45588</v>
      </c>
      <c r="C1803">
        <v>2024</v>
      </c>
      <c r="D1803" t="s">
        <v>1738</v>
      </c>
      <c r="E1803" t="s">
        <v>1739</v>
      </c>
      <c r="F1803" t="s">
        <v>24</v>
      </c>
      <c r="G1803" t="s">
        <v>25</v>
      </c>
      <c r="H1803" t="s">
        <v>32</v>
      </c>
      <c r="I1803" t="s">
        <v>42</v>
      </c>
      <c r="J1803" t="s">
        <v>98</v>
      </c>
      <c r="K1803">
        <v>1</v>
      </c>
      <c r="L1803" s="2">
        <v>117.63</v>
      </c>
      <c r="M1803" s="3">
        <v>0.25</v>
      </c>
      <c r="N1803" t="s">
        <v>62</v>
      </c>
      <c r="O1803" s="2">
        <v>88.22</v>
      </c>
      <c r="P1803" s="2">
        <v>77.94</v>
      </c>
      <c r="Q1803" s="2">
        <v>10.28</v>
      </c>
      <c r="R1803">
        <v>1</v>
      </c>
      <c r="S1803">
        <v>0</v>
      </c>
      <c r="T1803">
        <v>5</v>
      </c>
      <c r="U1803">
        <v>5</v>
      </c>
    </row>
    <row r="1804" spans="1:21" ht="16.5" x14ac:dyDescent="0.3">
      <c r="A1804" t="s">
        <v>1890</v>
      </c>
      <c r="B1804" s="1">
        <v>45588</v>
      </c>
      <c r="C1804">
        <v>2024</v>
      </c>
      <c r="D1804" t="s">
        <v>1738</v>
      </c>
      <c r="E1804" t="s">
        <v>1739</v>
      </c>
      <c r="F1804" t="s">
        <v>24</v>
      </c>
      <c r="G1804" t="s">
        <v>46</v>
      </c>
      <c r="H1804" t="s">
        <v>26</v>
      </c>
      <c r="I1804" t="s">
        <v>84</v>
      </c>
      <c r="J1804" t="s">
        <v>106</v>
      </c>
      <c r="K1804">
        <v>1</v>
      </c>
      <c r="L1804" s="2">
        <v>45.28</v>
      </c>
      <c r="M1804" s="3">
        <v>0.05</v>
      </c>
      <c r="N1804" t="s">
        <v>29</v>
      </c>
      <c r="O1804" s="2">
        <v>43.02</v>
      </c>
      <c r="P1804" s="2">
        <v>32.58</v>
      </c>
      <c r="Q1804" s="2">
        <v>10.44</v>
      </c>
      <c r="R1804">
        <v>1</v>
      </c>
      <c r="S1804">
        <v>0</v>
      </c>
      <c r="T1804">
        <v>8</v>
      </c>
      <c r="U1804">
        <v>4</v>
      </c>
    </row>
    <row r="1805" spans="1:21" ht="16.5" x14ac:dyDescent="0.3">
      <c r="A1805" t="s">
        <v>1891</v>
      </c>
      <c r="B1805" s="1">
        <v>45588</v>
      </c>
      <c r="C1805">
        <v>2024</v>
      </c>
      <c r="D1805" t="s">
        <v>1738</v>
      </c>
      <c r="E1805" t="s">
        <v>1739</v>
      </c>
      <c r="F1805" t="s">
        <v>31</v>
      </c>
      <c r="G1805" t="s">
        <v>25</v>
      </c>
      <c r="H1805" t="s">
        <v>32</v>
      </c>
      <c r="I1805" t="s">
        <v>42</v>
      </c>
      <c r="J1805" t="s">
        <v>89</v>
      </c>
      <c r="K1805">
        <v>1</v>
      </c>
      <c r="L1805" s="2">
        <v>68.349999999999994</v>
      </c>
      <c r="M1805" s="3">
        <v>0.2</v>
      </c>
      <c r="N1805" t="s">
        <v>34</v>
      </c>
      <c r="O1805" s="2">
        <v>54.68</v>
      </c>
      <c r="P1805" s="2">
        <v>47.22</v>
      </c>
      <c r="Q1805" s="2">
        <v>7.46</v>
      </c>
      <c r="R1805">
        <v>1</v>
      </c>
      <c r="S1805">
        <v>0</v>
      </c>
      <c r="T1805">
        <v>4</v>
      </c>
      <c r="U1805">
        <v>5</v>
      </c>
    </row>
    <row r="1806" spans="1:21" ht="16.5" x14ac:dyDescent="0.3">
      <c r="A1806" t="s">
        <v>1892</v>
      </c>
      <c r="B1806" s="1">
        <v>45588</v>
      </c>
      <c r="C1806">
        <v>2024</v>
      </c>
      <c r="D1806" t="s">
        <v>1738</v>
      </c>
      <c r="E1806" t="s">
        <v>1739</v>
      </c>
      <c r="F1806" t="s">
        <v>31</v>
      </c>
      <c r="G1806" t="s">
        <v>25</v>
      </c>
      <c r="H1806" t="s">
        <v>32</v>
      </c>
      <c r="I1806" t="s">
        <v>84</v>
      </c>
      <c r="J1806" t="s">
        <v>85</v>
      </c>
      <c r="K1806">
        <v>2</v>
      </c>
      <c r="L1806" s="2">
        <v>57.92</v>
      </c>
      <c r="M1806" s="3">
        <v>0.1</v>
      </c>
      <c r="N1806" t="s">
        <v>29</v>
      </c>
      <c r="O1806" s="2">
        <v>104.26</v>
      </c>
      <c r="P1806" s="2">
        <v>82.43</v>
      </c>
      <c r="Q1806" s="2">
        <v>21.83</v>
      </c>
      <c r="R1806">
        <v>1</v>
      </c>
      <c r="S1806">
        <v>0</v>
      </c>
      <c r="T1806">
        <v>4</v>
      </c>
      <c r="U1806">
        <v>4</v>
      </c>
    </row>
    <row r="1807" spans="1:21" ht="16.5" x14ac:dyDescent="0.3">
      <c r="A1807" t="s">
        <v>1893</v>
      </c>
      <c r="B1807" s="1">
        <v>45588</v>
      </c>
      <c r="C1807">
        <v>2024</v>
      </c>
      <c r="D1807" t="s">
        <v>1738</v>
      </c>
      <c r="E1807" t="s">
        <v>1739</v>
      </c>
      <c r="F1807" t="s">
        <v>24</v>
      </c>
      <c r="G1807" t="s">
        <v>46</v>
      </c>
      <c r="H1807" t="s">
        <v>32</v>
      </c>
      <c r="I1807" t="s">
        <v>67</v>
      </c>
      <c r="J1807" t="s">
        <v>93</v>
      </c>
      <c r="K1807">
        <v>2</v>
      </c>
      <c r="L1807" s="2">
        <v>198.42</v>
      </c>
      <c r="M1807" s="3">
        <v>0.15</v>
      </c>
      <c r="N1807" t="s">
        <v>34</v>
      </c>
      <c r="O1807" s="2">
        <v>337.31</v>
      </c>
      <c r="P1807" s="2">
        <v>285.07</v>
      </c>
      <c r="Q1807" s="2">
        <v>52.24</v>
      </c>
      <c r="R1807">
        <v>1</v>
      </c>
      <c r="S1807">
        <v>1</v>
      </c>
      <c r="T1807">
        <v>6</v>
      </c>
      <c r="U1807">
        <v>2</v>
      </c>
    </row>
    <row r="1808" spans="1:21" ht="16.5" x14ac:dyDescent="0.3">
      <c r="A1808" t="s">
        <v>1894</v>
      </c>
      <c r="B1808" s="1">
        <v>45588</v>
      </c>
      <c r="C1808">
        <v>2024</v>
      </c>
      <c r="D1808" t="s">
        <v>1738</v>
      </c>
      <c r="E1808" t="s">
        <v>1739</v>
      </c>
      <c r="F1808" t="s">
        <v>45</v>
      </c>
      <c r="G1808" t="s">
        <v>25</v>
      </c>
      <c r="H1808" t="s">
        <v>32</v>
      </c>
      <c r="I1808" t="s">
        <v>42</v>
      </c>
      <c r="J1808" t="s">
        <v>89</v>
      </c>
      <c r="K1808">
        <v>1</v>
      </c>
      <c r="L1808" s="2">
        <v>68.349999999999994</v>
      </c>
      <c r="M1808" s="3">
        <v>0</v>
      </c>
      <c r="N1808" t="s">
        <v>38</v>
      </c>
      <c r="O1808" s="2">
        <v>68.349999999999994</v>
      </c>
      <c r="P1808" s="2">
        <v>46.28</v>
      </c>
      <c r="Q1808" s="2">
        <v>22.07</v>
      </c>
      <c r="R1808">
        <v>1</v>
      </c>
      <c r="S1808">
        <v>0</v>
      </c>
      <c r="T1808">
        <v>3</v>
      </c>
      <c r="U1808">
        <v>3</v>
      </c>
    </row>
    <row r="1809" spans="1:21" ht="16.5" x14ac:dyDescent="0.3">
      <c r="A1809" t="s">
        <v>1895</v>
      </c>
      <c r="B1809" s="1">
        <v>45588</v>
      </c>
      <c r="C1809">
        <v>2024</v>
      </c>
      <c r="D1809" t="s">
        <v>1738</v>
      </c>
      <c r="E1809" t="s">
        <v>1739</v>
      </c>
      <c r="F1809" t="s">
        <v>31</v>
      </c>
      <c r="G1809" t="s">
        <v>51</v>
      </c>
      <c r="H1809" t="s">
        <v>32</v>
      </c>
      <c r="I1809" t="s">
        <v>36</v>
      </c>
      <c r="J1809" t="s">
        <v>52</v>
      </c>
      <c r="K1809">
        <v>1</v>
      </c>
      <c r="L1809" s="2">
        <v>92.54</v>
      </c>
      <c r="M1809" s="3">
        <v>0.2</v>
      </c>
      <c r="N1809" t="s">
        <v>34</v>
      </c>
      <c r="O1809" s="2">
        <v>74.03</v>
      </c>
      <c r="P1809" s="2">
        <v>43.98</v>
      </c>
      <c r="Q1809" s="2">
        <v>30.05</v>
      </c>
      <c r="R1809">
        <v>1</v>
      </c>
      <c r="S1809">
        <v>0</v>
      </c>
      <c r="T1809">
        <v>3</v>
      </c>
      <c r="U1809">
        <v>3</v>
      </c>
    </row>
    <row r="1810" spans="1:21" ht="16.5" x14ac:dyDescent="0.3">
      <c r="A1810" t="s">
        <v>1896</v>
      </c>
      <c r="B1810" s="1">
        <v>45588</v>
      </c>
      <c r="C1810">
        <v>2024</v>
      </c>
      <c r="D1810" t="s">
        <v>1738</v>
      </c>
      <c r="E1810" t="s">
        <v>1739</v>
      </c>
      <c r="F1810" t="s">
        <v>24</v>
      </c>
      <c r="G1810" t="s">
        <v>25</v>
      </c>
      <c r="H1810" t="s">
        <v>32</v>
      </c>
      <c r="I1810" t="s">
        <v>27</v>
      </c>
      <c r="J1810" t="s">
        <v>33</v>
      </c>
      <c r="K1810">
        <v>2</v>
      </c>
      <c r="L1810" s="2">
        <v>78.510000000000005</v>
      </c>
      <c r="M1810" s="3">
        <v>0.05</v>
      </c>
      <c r="N1810" t="s">
        <v>29</v>
      </c>
      <c r="O1810" s="2">
        <v>149.16999999999999</v>
      </c>
      <c r="P1810" s="2">
        <v>83.05</v>
      </c>
      <c r="Q1810" s="2">
        <v>66.12</v>
      </c>
      <c r="R1810">
        <v>1</v>
      </c>
      <c r="S1810">
        <v>0</v>
      </c>
      <c r="T1810">
        <v>4</v>
      </c>
      <c r="U1810">
        <v>5</v>
      </c>
    </row>
    <row r="1811" spans="1:21" ht="16.5" x14ac:dyDescent="0.3">
      <c r="A1811" t="s">
        <v>1897</v>
      </c>
      <c r="B1811" s="1">
        <v>45588</v>
      </c>
      <c r="C1811">
        <v>2024</v>
      </c>
      <c r="D1811" t="s">
        <v>1738</v>
      </c>
      <c r="E1811" t="s">
        <v>1739</v>
      </c>
      <c r="F1811" t="s">
        <v>31</v>
      </c>
      <c r="G1811" t="s">
        <v>65</v>
      </c>
      <c r="H1811" t="s">
        <v>32</v>
      </c>
      <c r="I1811" t="s">
        <v>70</v>
      </c>
      <c r="J1811" t="s">
        <v>252</v>
      </c>
      <c r="K1811">
        <v>1</v>
      </c>
      <c r="L1811" s="2">
        <v>216.08</v>
      </c>
      <c r="M1811" s="3">
        <v>0</v>
      </c>
      <c r="N1811" t="s">
        <v>38</v>
      </c>
      <c r="O1811" s="2">
        <v>216.08</v>
      </c>
      <c r="P1811" s="2">
        <v>164.6</v>
      </c>
      <c r="Q1811" s="2">
        <v>51.48</v>
      </c>
      <c r="R1811">
        <v>1</v>
      </c>
      <c r="S1811">
        <v>0</v>
      </c>
      <c r="T1811">
        <v>5</v>
      </c>
      <c r="U1811">
        <v>4</v>
      </c>
    </row>
    <row r="1812" spans="1:21" ht="16.5" x14ac:dyDescent="0.3">
      <c r="A1812" t="s">
        <v>1898</v>
      </c>
      <c r="B1812" s="1">
        <v>45589</v>
      </c>
      <c r="C1812">
        <v>2024</v>
      </c>
      <c r="D1812" t="s">
        <v>1738</v>
      </c>
      <c r="E1812" t="s">
        <v>1739</v>
      </c>
      <c r="F1812" t="s">
        <v>24</v>
      </c>
      <c r="G1812" t="s">
        <v>25</v>
      </c>
      <c r="H1812" t="s">
        <v>26</v>
      </c>
      <c r="I1812" t="s">
        <v>84</v>
      </c>
      <c r="J1812" t="s">
        <v>106</v>
      </c>
      <c r="K1812">
        <v>1</v>
      </c>
      <c r="L1812" s="2">
        <v>45.28</v>
      </c>
      <c r="M1812" s="3">
        <v>0</v>
      </c>
      <c r="N1812" t="s">
        <v>38</v>
      </c>
      <c r="O1812" s="2">
        <v>45.28</v>
      </c>
      <c r="P1812" s="2">
        <v>32.090000000000003</v>
      </c>
      <c r="Q1812" s="2">
        <v>13.19</v>
      </c>
      <c r="R1812">
        <v>1</v>
      </c>
      <c r="S1812">
        <v>0</v>
      </c>
      <c r="T1812">
        <v>3</v>
      </c>
      <c r="U1812">
        <v>4</v>
      </c>
    </row>
    <row r="1813" spans="1:21" ht="16.5" x14ac:dyDescent="0.3">
      <c r="A1813" t="s">
        <v>1899</v>
      </c>
      <c r="B1813" s="1">
        <v>45589</v>
      </c>
      <c r="C1813">
        <v>2024</v>
      </c>
      <c r="D1813" t="s">
        <v>1738</v>
      </c>
      <c r="E1813" t="s">
        <v>1739</v>
      </c>
      <c r="F1813" t="s">
        <v>45</v>
      </c>
      <c r="G1813" t="s">
        <v>51</v>
      </c>
      <c r="H1813" t="s">
        <v>32</v>
      </c>
      <c r="I1813" t="s">
        <v>70</v>
      </c>
      <c r="J1813" t="s">
        <v>252</v>
      </c>
      <c r="K1813">
        <v>2</v>
      </c>
      <c r="L1813" s="2">
        <v>216.08</v>
      </c>
      <c r="M1813" s="3">
        <v>0.1</v>
      </c>
      <c r="N1813" t="s">
        <v>29</v>
      </c>
      <c r="O1813" s="2">
        <v>388.94</v>
      </c>
      <c r="P1813" s="2">
        <v>341.03</v>
      </c>
      <c r="Q1813" s="2">
        <v>47.91</v>
      </c>
      <c r="R1813">
        <v>1</v>
      </c>
      <c r="S1813">
        <v>0</v>
      </c>
      <c r="T1813">
        <v>3</v>
      </c>
      <c r="U1813">
        <v>4</v>
      </c>
    </row>
    <row r="1814" spans="1:21" ht="16.5" x14ac:dyDescent="0.3">
      <c r="A1814" t="s">
        <v>1900</v>
      </c>
      <c r="B1814" s="1">
        <v>45589</v>
      </c>
      <c r="C1814">
        <v>2024</v>
      </c>
      <c r="D1814" t="s">
        <v>1738</v>
      </c>
      <c r="E1814" t="s">
        <v>1739</v>
      </c>
      <c r="F1814" t="s">
        <v>45</v>
      </c>
      <c r="G1814" t="s">
        <v>65</v>
      </c>
      <c r="H1814" t="s">
        <v>32</v>
      </c>
      <c r="I1814" t="s">
        <v>70</v>
      </c>
      <c r="J1814" t="s">
        <v>82</v>
      </c>
      <c r="K1814">
        <v>1</v>
      </c>
      <c r="L1814" s="2">
        <v>508.8</v>
      </c>
      <c r="M1814" s="3">
        <v>0</v>
      </c>
      <c r="N1814" t="s">
        <v>38</v>
      </c>
      <c r="O1814" s="2">
        <v>508.8</v>
      </c>
      <c r="P1814" s="2">
        <v>395.52</v>
      </c>
      <c r="Q1814" s="2">
        <v>113.28</v>
      </c>
      <c r="R1814">
        <v>1</v>
      </c>
      <c r="S1814">
        <v>0</v>
      </c>
      <c r="T1814">
        <v>6</v>
      </c>
      <c r="U1814">
        <v>4</v>
      </c>
    </row>
    <row r="1815" spans="1:21" ht="16.5" x14ac:dyDescent="0.3">
      <c r="A1815" t="s">
        <v>1901</v>
      </c>
      <c r="B1815" s="1">
        <v>45589</v>
      </c>
      <c r="C1815">
        <v>2024</v>
      </c>
      <c r="D1815" t="s">
        <v>1738</v>
      </c>
      <c r="E1815" t="s">
        <v>1739</v>
      </c>
      <c r="F1815" t="s">
        <v>24</v>
      </c>
      <c r="G1815" t="s">
        <v>49</v>
      </c>
      <c r="H1815" t="s">
        <v>32</v>
      </c>
      <c r="I1815" t="s">
        <v>67</v>
      </c>
      <c r="J1815" t="s">
        <v>93</v>
      </c>
      <c r="K1815">
        <v>1</v>
      </c>
      <c r="L1815" s="2">
        <v>198.42</v>
      </c>
      <c r="M1815" s="3">
        <v>0.1</v>
      </c>
      <c r="N1815" t="s">
        <v>29</v>
      </c>
      <c r="O1815" s="2">
        <v>178.58</v>
      </c>
      <c r="P1815" s="2">
        <v>136.61000000000001</v>
      </c>
      <c r="Q1815" s="2">
        <v>41.97</v>
      </c>
      <c r="R1815">
        <v>1</v>
      </c>
      <c r="S1815">
        <v>0</v>
      </c>
      <c r="T1815">
        <v>3</v>
      </c>
      <c r="U1815">
        <v>4</v>
      </c>
    </row>
    <row r="1816" spans="1:21" ht="16.5" x14ac:dyDescent="0.3">
      <c r="A1816" t="s">
        <v>1902</v>
      </c>
      <c r="B1816" s="1">
        <v>45589</v>
      </c>
      <c r="C1816">
        <v>2024</v>
      </c>
      <c r="D1816" t="s">
        <v>1738</v>
      </c>
      <c r="E1816" t="s">
        <v>1739</v>
      </c>
      <c r="F1816" t="s">
        <v>31</v>
      </c>
      <c r="G1816" t="s">
        <v>49</v>
      </c>
      <c r="H1816" t="s">
        <v>26</v>
      </c>
      <c r="I1816" t="s">
        <v>70</v>
      </c>
      <c r="J1816" t="s">
        <v>129</v>
      </c>
      <c r="K1816">
        <v>1</v>
      </c>
      <c r="L1816" s="2">
        <v>177.65</v>
      </c>
      <c r="M1816" s="3">
        <v>0.05</v>
      </c>
      <c r="N1816" t="s">
        <v>29</v>
      </c>
      <c r="O1816" s="2">
        <v>168.77</v>
      </c>
      <c r="P1816" s="2">
        <v>138.59</v>
      </c>
      <c r="Q1816" s="2">
        <v>30.18</v>
      </c>
      <c r="R1816">
        <v>1</v>
      </c>
      <c r="S1816">
        <v>0</v>
      </c>
      <c r="T1816">
        <v>3</v>
      </c>
      <c r="U1816">
        <v>4</v>
      </c>
    </row>
    <row r="1817" spans="1:21" ht="16.5" x14ac:dyDescent="0.3">
      <c r="A1817" t="s">
        <v>1903</v>
      </c>
      <c r="B1817" s="1">
        <v>45589</v>
      </c>
      <c r="C1817">
        <v>2024</v>
      </c>
      <c r="D1817" t="s">
        <v>1738</v>
      </c>
      <c r="E1817" t="s">
        <v>1739</v>
      </c>
      <c r="F1817" t="s">
        <v>24</v>
      </c>
      <c r="G1817" t="s">
        <v>46</v>
      </c>
      <c r="H1817" t="s">
        <v>26</v>
      </c>
      <c r="I1817" t="s">
        <v>42</v>
      </c>
      <c r="J1817" t="s">
        <v>89</v>
      </c>
      <c r="K1817">
        <v>1</v>
      </c>
      <c r="L1817" s="2">
        <v>68.349999999999994</v>
      </c>
      <c r="M1817" s="3">
        <v>0.05</v>
      </c>
      <c r="N1817" t="s">
        <v>29</v>
      </c>
      <c r="O1817" s="2">
        <v>64.930000000000007</v>
      </c>
      <c r="P1817" s="2">
        <v>47.8</v>
      </c>
      <c r="Q1817" s="2">
        <v>17.13</v>
      </c>
      <c r="R1817">
        <v>1</v>
      </c>
      <c r="S1817">
        <v>0</v>
      </c>
      <c r="T1817">
        <v>5</v>
      </c>
      <c r="U1817">
        <v>5</v>
      </c>
    </row>
    <row r="1818" spans="1:21" ht="16.5" x14ac:dyDescent="0.3">
      <c r="A1818" t="s">
        <v>1904</v>
      </c>
      <c r="B1818" s="1">
        <v>45589</v>
      </c>
      <c r="C1818">
        <v>2024</v>
      </c>
      <c r="D1818" t="s">
        <v>1738</v>
      </c>
      <c r="E1818" t="s">
        <v>1739</v>
      </c>
      <c r="F1818" t="s">
        <v>24</v>
      </c>
      <c r="G1818" t="s">
        <v>46</v>
      </c>
      <c r="H1818" t="s">
        <v>26</v>
      </c>
      <c r="I1818" t="s">
        <v>67</v>
      </c>
      <c r="J1818" t="s">
        <v>93</v>
      </c>
      <c r="K1818">
        <v>1</v>
      </c>
      <c r="L1818" s="2">
        <v>198.42</v>
      </c>
      <c r="M1818" s="3">
        <v>0</v>
      </c>
      <c r="N1818" t="s">
        <v>38</v>
      </c>
      <c r="O1818" s="2">
        <v>198.42</v>
      </c>
      <c r="P1818" s="2">
        <v>131.77000000000001</v>
      </c>
      <c r="Q1818" s="2">
        <v>66.650000000000006</v>
      </c>
      <c r="R1818">
        <v>1</v>
      </c>
      <c r="S1818">
        <v>0</v>
      </c>
      <c r="T1818">
        <v>6</v>
      </c>
      <c r="U1818">
        <v>3</v>
      </c>
    </row>
    <row r="1819" spans="1:21" ht="16.5" x14ac:dyDescent="0.3">
      <c r="A1819" t="s">
        <v>1905</v>
      </c>
      <c r="B1819" s="1">
        <v>45589</v>
      </c>
      <c r="C1819">
        <v>2024</v>
      </c>
      <c r="D1819" t="s">
        <v>1738</v>
      </c>
      <c r="E1819" t="s">
        <v>1739</v>
      </c>
      <c r="F1819" t="s">
        <v>31</v>
      </c>
      <c r="G1819" t="s">
        <v>49</v>
      </c>
      <c r="H1819" t="s">
        <v>32</v>
      </c>
      <c r="I1819" t="s">
        <v>42</v>
      </c>
      <c r="J1819" t="s">
        <v>98</v>
      </c>
      <c r="K1819">
        <v>1</v>
      </c>
      <c r="L1819" s="2">
        <v>117.63</v>
      </c>
      <c r="M1819" s="3">
        <v>0.1</v>
      </c>
      <c r="N1819" t="s">
        <v>29</v>
      </c>
      <c r="O1819" s="2">
        <v>105.87</v>
      </c>
      <c r="P1819" s="2">
        <v>80.97</v>
      </c>
      <c r="Q1819" s="2">
        <v>24.9</v>
      </c>
      <c r="R1819">
        <v>1</v>
      </c>
      <c r="S1819">
        <v>0</v>
      </c>
      <c r="T1819">
        <v>3</v>
      </c>
      <c r="U1819">
        <v>4</v>
      </c>
    </row>
    <row r="1820" spans="1:21" ht="16.5" x14ac:dyDescent="0.3">
      <c r="A1820" t="s">
        <v>1906</v>
      </c>
      <c r="B1820" s="1">
        <v>45590</v>
      </c>
      <c r="C1820">
        <v>2024</v>
      </c>
      <c r="D1820" t="s">
        <v>1738</v>
      </c>
      <c r="E1820" t="s">
        <v>1739</v>
      </c>
      <c r="F1820" t="s">
        <v>24</v>
      </c>
      <c r="G1820" t="s">
        <v>51</v>
      </c>
      <c r="H1820" t="s">
        <v>32</v>
      </c>
      <c r="I1820" t="s">
        <v>70</v>
      </c>
      <c r="J1820" t="s">
        <v>87</v>
      </c>
      <c r="K1820">
        <v>1</v>
      </c>
      <c r="L1820" s="2">
        <v>490.3</v>
      </c>
      <c r="M1820" s="3">
        <v>0.05</v>
      </c>
      <c r="N1820" t="s">
        <v>29</v>
      </c>
      <c r="O1820" s="2">
        <v>465.78</v>
      </c>
      <c r="P1820" s="2">
        <v>381.1</v>
      </c>
      <c r="Q1820" s="2">
        <v>84.68</v>
      </c>
      <c r="R1820">
        <v>1</v>
      </c>
      <c r="S1820">
        <v>0</v>
      </c>
      <c r="T1820">
        <v>4</v>
      </c>
      <c r="U1820">
        <v>4</v>
      </c>
    </row>
    <row r="1821" spans="1:21" ht="16.5" x14ac:dyDescent="0.3">
      <c r="A1821" t="s">
        <v>1907</v>
      </c>
      <c r="B1821" s="1">
        <v>45590</v>
      </c>
      <c r="C1821">
        <v>2024</v>
      </c>
      <c r="D1821" t="s">
        <v>1738</v>
      </c>
      <c r="E1821" t="s">
        <v>1739</v>
      </c>
      <c r="F1821" t="s">
        <v>24</v>
      </c>
      <c r="G1821" t="s">
        <v>49</v>
      </c>
      <c r="H1821" t="s">
        <v>26</v>
      </c>
      <c r="I1821" t="s">
        <v>84</v>
      </c>
      <c r="J1821" t="s">
        <v>132</v>
      </c>
      <c r="K1821">
        <v>1</v>
      </c>
      <c r="L1821" s="2">
        <v>48.86</v>
      </c>
      <c r="M1821" s="3">
        <v>0.2</v>
      </c>
      <c r="N1821" t="s">
        <v>34</v>
      </c>
      <c r="O1821" s="2">
        <v>39.090000000000003</v>
      </c>
      <c r="P1821" s="2">
        <v>35.39</v>
      </c>
      <c r="Q1821" s="2">
        <v>3.7</v>
      </c>
      <c r="R1821">
        <v>1</v>
      </c>
      <c r="S1821">
        <v>0</v>
      </c>
      <c r="T1821">
        <v>4</v>
      </c>
      <c r="U1821">
        <v>5</v>
      </c>
    </row>
    <row r="1822" spans="1:21" ht="16.5" x14ac:dyDescent="0.3">
      <c r="A1822" t="s">
        <v>1908</v>
      </c>
      <c r="B1822" s="1">
        <v>45590</v>
      </c>
      <c r="C1822">
        <v>2024</v>
      </c>
      <c r="D1822" t="s">
        <v>1738</v>
      </c>
      <c r="E1822" t="s">
        <v>1739</v>
      </c>
      <c r="F1822" t="s">
        <v>31</v>
      </c>
      <c r="G1822" t="s">
        <v>46</v>
      </c>
      <c r="H1822" t="s">
        <v>32</v>
      </c>
      <c r="I1822" t="s">
        <v>27</v>
      </c>
      <c r="J1822" t="s">
        <v>110</v>
      </c>
      <c r="K1822">
        <v>1</v>
      </c>
      <c r="L1822" s="2">
        <v>19.41</v>
      </c>
      <c r="M1822" s="3">
        <v>0</v>
      </c>
      <c r="N1822" t="s">
        <v>38</v>
      </c>
      <c r="O1822" s="2">
        <v>19.41</v>
      </c>
      <c r="P1822" s="2">
        <v>10.31</v>
      </c>
      <c r="Q1822" s="2">
        <v>9.1</v>
      </c>
      <c r="R1822">
        <v>1</v>
      </c>
      <c r="S1822">
        <v>0</v>
      </c>
      <c r="T1822">
        <v>6</v>
      </c>
      <c r="U1822">
        <v>4</v>
      </c>
    </row>
    <row r="1823" spans="1:21" ht="16.5" x14ac:dyDescent="0.3">
      <c r="A1823" t="s">
        <v>1909</v>
      </c>
      <c r="B1823" s="1">
        <v>45590</v>
      </c>
      <c r="C1823">
        <v>2024</v>
      </c>
      <c r="D1823" t="s">
        <v>1738</v>
      </c>
      <c r="E1823" t="s">
        <v>1739</v>
      </c>
      <c r="F1823" t="s">
        <v>24</v>
      </c>
      <c r="G1823" t="s">
        <v>51</v>
      </c>
      <c r="H1823" t="s">
        <v>26</v>
      </c>
      <c r="I1823" t="s">
        <v>70</v>
      </c>
      <c r="J1823" t="s">
        <v>162</v>
      </c>
      <c r="K1823">
        <v>4</v>
      </c>
      <c r="L1823" s="2">
        <v>636.09</v>
      </c>
      <c r="M1823" s="3">
        <v>0</v>
      </c>
      <c r="N1823" t="s">
        <v>38</v>
      </c>
      <c r="O1823" s="2">
        <v>2544.36</v>
      </c>
      <c r="P1823" s="2">
        <v>2127.38</v>
      </c>
      <c r="Q1823" s="2">
        <v>416.98</v>
      </c>
      <c r="R1823">
        <v>1</v>
      </c>
      <c r="S1823">
        <v>0</v>
      </c>
      <c r="T1823">
        <v>3</v>
      </c>
      <c r="U1823">
        <v>5</v>
      </c>
    </row>
    <row r="1824" spans="1:21" ht="16.5" x14ac:dyDescent="0.3">
      <c r="A1824" t="s">
        <v>1910</v>
      </c>
      <c r="B1824" s="1">
        <v>45590</v>
      </c>
      <c r="C1824">
        <v>2024</v>
      </c>
      <c r="D1824" t="s">
        <v>1738</v>
      </c>
      <c r="E1824" t="s">
        <v>1739</v>
      </c>
      <c r="F1824" t="s">
        <v>24</v>
      </c>
      <c r="G1824" t="s">
        <v>25</v>
      </c>
      <c r="H1824" t="s">
        <v>32</v>
      </c>
      <c r="I1824" t="s">
        <v>27</v>
      </c>
      <c r="J1824" t="s">
        <v>33</v>
      </c>
      <c r="K1824">
        <v>1</v>
      </c>
      <c r="L1824" s="2">
        <v>78.510000000000005</v>
      </c>
      <c r="M1824" s="3">
        <v>0.25</v>
      </c>
      <c r="N1824" t="s">
        <v>62</v>
      </c>
      <c r="O1824" s="2">
        <v>58.88</v>
      </c>
      <c r="P1824" s="2">
        <v>40.549999999999997</v>
      </c>
      <c r="Q1824" s="2">
        <v>18.329999999999998</v>
      </c>
      <c r="R1824">
        <v>1</v>
      </c>
      <c r="S1824">
        <v>1</v>
      </c>
      <c r="T1824">
        <v>3</v>
      </c>
      <c r="U1824">
        <v>3</v>
      </c>
    </row>
    <row r="1825" spans="1:21" ht="16.5" x14ac:dyDescent="0.3">
      <c r="A1825" t="s">
        <v>1911</v>
      </c>
      <c r="B1825" s="1">
        <v>45590</v>
      </c>
      <c r="C1825">
        <v>2024</v>
      </c>
      <c r="D1825" t="s">
        <v>1738</v>
      </c>
      <c r="E1825" t="s">
        <v>1739</v>
      </c>
      <c r="F1825" t="s">
        <v>24</v>
      </c>
      <c r="G1825" t="s">
        <v>46</v>
      </c>
      <c r="H1825" t="s">
        <v>32</v>
      </c>
      <c r="I1825" t="s">
        <v>70</v>
      </c>
      <c r="J1825" t="s">
        <v>82</v>
      </c>
      <c r="K1825">
        <v>1</v>
      </c>
      <c r="L1825" s="2">
        <v>508.8</v>
      </c>
      <c r="M1825" s="3">
        <v>0.3</v>
      </c>
      <c r="N1825" t="s">
        <v>62</v>
      </c>
      <c r="O1825" s="2">
        <v>356.16</v>
      </c>
      <c r="P1825" s="2">
        <v>410.54</v>
      </c>
      <c r="Q1825" s="2">
        <v>-54.38</v>
      </c>
      <c r="R1825">
        <v>1</v>
      </c>
      <c r="S1825">
        <v>0</v>
      </c>
      <c r="T1825">
        <v>5</v>
      </c>
      <c r="U1825">
        <v>4</v>
      </c>
    </row>
    <row r="1826" spans="1:21" ht="16.5" x14ac:dyDescent="0.3">
      <c r="A1826" t="s">
        <v>1912</v>
      </c>
      <c r="B1826" s="1">
        <v>45590</v>
      </c>
      <c r="C1826">
        <v>2024</v>
      </c>
      <c r="D1826" t="s">
        <v>1738</v>
      </c>
      <c r="E1826" t="s">
        <v>1739</v>
      </c>
      <c r="F1826" t="s">
        <v>24</v>
      </c>
      <c r="G1826" t="s">
        <v>49</v>
      </c>
      <c r="H1826" t="s">
        <v>26</v>
      </c>
      <c r="I1826" t="s">
        <v>42</v>
      </c>
      <c r="J1826" t="s">
        <v>58</v>
      </c>
      <c r="K1826">
        <v>1</v>
      </c>
      <c r="L1826" s="2">
        <v>233.81</v>
      </c>
      <c r="M1826" s="3">
        <v>0</v>
      </c>
      <c r="N1826" t="s">
        <v>38</v>
      </c>
      <c r="O1826" s="2">
        <v>233.81</v>
      </c>
      <c r="P1826" s="2">
        <v>156.80000000000001</v>
      </c>
      <c r="Q1826" s="2">
        <v>77.010000000000005</v>
      </c>
      <c r="R1826">
        <v>1</v>
      </c>
      <c r="S1826">
        <v>0</v>
      </c>
      <c r="T1826">
        <v>4</v>
      </c>
      <c r="U1826">
        <v>4</v>
      </c>
    </row>
    <row r="1827" spans="1:21" ht="16.5" x14ac:dyDescent="0.3">
      <c r="A1827" t="s">
        <v>1913</v>
      </c>
      <c r="B1827" s="1">
        <v>45590</v>
      </c>
      <c r="C1827">
        <v>2024</v>
      </c>
      <c r="D1827" t="s">
        <v>1738</v>
      </c>
      <c r="E1827" t="s">
        <v>1739</v>
      </c>
      <c r="F1827" t="s">
        <v>24</v>
      </c>
      <c r="G1827" t="s">
        <v>25</v>
      </c>
      <c r="H1827" t="s">
        <v>32</v>
      </c>
      <c r="I1827" t="s">
        <v>36</v>
      </c>
      <c r="J1827" t="s">
        <v>126</v>
      </c>
      <c r="K1827">
        <v>1</v>
      </c>
      <c r="L1827" s="2">
        <v>54.56</v>
      </c>
      <c r="M1827" s="3">
        <v>0</v>
      </c>
      <c r="N1827" t="s">
        <v>38</v>
      </c>
      <c r="O1827" s="2">
        <v>54.56</v>
      </c>
      <c r="P1827" s="2">
        <v>27</v>
      </c>
      <c r="Q1827" s="2">
        <v>27.56</v>
      </c>
      <c r="R1827">
        <v>1</v>
      </c>
      <c r="S1827">
        <v>0</v>
      </c>
      <c r="T1827">
        <v>3</v>
      </c>
      <c r="U1827">
        <v>5</v>
      </c>
    </row>
    <row r="1828" spans="1:21" ht="16.5" x14ac:dyDescent="0.3">
      <c r="A1828" t="s">
        <v>1914</v>
      </c>
      <c r="B1828" s="1">
        <v>45591</v>
      </c>
      <c r="C1828">
        <v>2024</v>
      </c>
      <c r="D1828" t="s">
        <v>1738</v>
      </c>
      <c r="E1828" t="s">
        <v>1739</v>
      </c>
      <c r="F1828" t="s">
        <v>24</v>
      </c>
      <c r="G1828" t="s">
        <v>49</v>
      </c>
      <c r="H1828" t="s">
        <v>32</v>
      </c>
      <c r="I1828" t="s">
        <v>27</v>
      </c>
      <c r="J1828" t="s">
        <v>60</v>
      </c>
      <c r="K1828">
        <v>1</v>
      </c>
      <c r="L1828" s="2">
        <v>94.85</v>
      </c>
      <c r="M1828" s="3">
        <v>0.05</v>
      </c>
      <c r="N1828" t="s">
        <v>29</v>
      </c>
      <c r="O1828" s="2">
        <v>90.11</v>
      </c>
      <c r="P1828" s="2">
        <v>51.05</v>
      </c>
      <c r="Q1828" s="2">
        <v>39.06</v>
      </c>
      <c r="R1828">
        <v>1</v>
      </c>
      <c r="S1828">
        <v>0</v>
      </c>
      <c r="T1828">
        <v>4</v>
      </c>
      <c r="U1828">
        <v>4</v>
      </c>
    </row>
    <row r="1829" spans="1:21" ht="16.5" x14ac:dyDescent="0.3">
      <c r="A1829" t="s">
        <v>1915</v>
      </c>
      <c r="B1829" s="1">
        <v>45591</v>
      </c>
      <c r="C1829">
        <v>2024</v>
      </c>
      <c r="D1829" t="s">
        <v>1738</v>
      </c>
      <c r="E1829" t="s">
        <v>1739</v>
      </c>
      <c r="F1829" t="s">
        <v>24</v>
      </c>
      <c r="G1829" t="s">
        <v>46</v>
      </c>
      <c r="H1829" t="s">
        <v>32</v>
      </c>
      <c r="I1829" t="s">
        <v>67</v>
      </c>
      <c r="J1829" t="s">
        <v>174</v>
      </c>
      <c r="K1829">
        <v>2</v>
      </c>
      <c r="L1829" s="2">
        <v>137.05000000000001</v>
      </c>
      <c r="M1829" s="3">
        <v>0</v>
      </c>
      <c r="N1829" t="s">
        <v>38</v>
      </c>
      <c r="O1829" s="2">
        <v>274.10000000000002</v>
      </c>
      <c r="P1829" s="2">
        <v>195.01</v>
      </c>
      <c r="Q1829" s="2">
        <v>79.09</v>
      </c>
      <c r="R1829">
        <v>1</v>
      </c>
      <c r="S1829">
        <v>0</v>
      </c>
      <c r="T1829">
        <v>5</v>
      </c>
      <c r="U1829">
        <v>5</v>
      </c>
    </row>
    <row r="1830" spans="1:21" ht="16.5" x14ac:dyDescent="0.3">
      <c r="A1830" t="s">
        <v>1916</v>
      </c>
      <c r="B1830" s="1">
        <v>45591</v>
      </c>
      <c r="C1830">
        <v>2024</v>
      </c>
      <c r="D1830" t="s">
        <v>1738</v>
      </c>
      <c r="E1830" t="s">
        <v>1739</v>
      </c>
      <c r="F1830" t="s">
        <v>24</v>
      </c>
      <c r="G1830" t="s">
        <v>25</v>
      </c>
      <c r="H1830" t="s">
        <v>32</v>
      </c>
      <c r="I1830" t="s">
        <v>67</v>
      </c>
      <c r="J1830" t="s">
        <v>174</v>
      </c>
      <c r="K1830">
        <v>1</v>
      </c>
      <c r="L1830" s="2">
        <v>137.05000000000001</v>
      </c>
      <c r="M1830" s="3">
        <v>0.15</v>
      </c>
      <c r="N1830" t="s">
        <v>34</v>
      </c>
      <c r="O1830" s="2">
        <v>116.49</v>
      </c>
      <c r="P1830" s="2">
        <v>92.36</v>
      </c>
      <c r="Q1830" s="2">
        <v>24.13</v>
      </c>
      <c r="R1830">
        <v>1</v>
      </c>
      <c r="S1830">
        <v>0</v>
      </c>
      <c r="T1830">
        <v>4</v>
      </c>
      <c r="U1830">
        <v>5</v>
      </c>
    </row>
    <row r="1831" spans="1:21" ht="16.5" x14ac:dyDescent="0.3">
      <c r="A1831" t="s">
        <v>1917</v>
      </c>
      <c r="B1831" s="1">
        <v>45591</v>
      </c>
      <c r="C1831">
        <v>2024</v>
      </c>
      <c r="D1831" t="s">
        <v>1738</v>
      </c>
      <c r="E1831" t="s">
        <v>1739</v>
      </c>
      <c r="F1831" t="s">
        <v>31</v>
      </c>
      <c r="G1831" t="s">
        <v>49</v>
      </c>
      <c r="H1831" t="s">
        <v>26</v>
      </c>
      <c r="I1831" t="s">
        <v>42</v>
      </c>
      <c r="J1831" t="s">
        <v>43</v>
      </c>
      <c r="K1831">
        <v>1</v>
      </c>
      <c r="L1831" s="2">
        <v>154.66</v>
      </c>
      <c r="M1831" s="3">
        <v>0.05</v>
      </c>
      <c r="N1831" t="s">
        <v>29</v>
      </c>
      <c r="O1831" s="2">
        <v>146.93</v>
      </c>
      <c r="P1831" s="2">
        <v>101.99</v>
      </c>
      <c r="Q1831" s="2">
        <v>44.94</v>
      </c>
      <c r="R1831">
        <v>1</v>
      </c>
      <c r="S1831">
        <v>0</v>
      </c>
      <c r="T1831">
        <v>3</v>
      </c>
      <c r="U1831">
        <v>4</v>
      </c>
    </row>
    <row r="1832" spans="1:21" ht="16.5" x14ac:dyDescent="0.3">
      <c r="A1832" t="s">
        <v>1918</v>
      </c>
      <c r="B1832" s="1">
        <v>45591</v>
      </c>
      <c r="C1832">
        <v>2024</v>
      </c>
      <c r="D1832" t="s">
        <v>1738</v>
      </c>
      <c r="E1832" t="s">
        <v>1739</v>
      </c>
      <c r="F1832" t="s">
        <v>24</v>
      </c>
      <c r="G1832" t="s">
        <v>65</v>
      </c>
      <c r="H1832" t="s">
        <v>26</v>
      </c>
      <c r="I1832" t="s">
        <v>84</v>
      </c>
      <c r="J1832" t="s">
        <v>106</v>
      </c>
      <c r="K1832">
        <v>1</v>
      </c>
      <c r="L1832" s="2">
        <v>45.28</v>
      </c>
      <c r="M1832" s="3">
        <v>0.15</v>
      </c>
      <c r="N1832" t="s">
        <v>34</v>
      </c>
      <c r="O1832" s="2">
        <v>38.49</v>
      </c>
      <c r="P1832" s="2">
        <v>33.01</v>
      </c>
      <c r="Q1832" s="2">
        <v>5.48</v>
      </c>
      <c r="R1832">
        <v>1</v>
      </c>
      <c r="S1832">
        <v>0</v>
      </c>
      <c r="T1832">
        <v>6</v>
      </c>
      <c r="U1832">
        <v>4</v>
      </c>
    </row>
    <row r="1833" spans="1:21" ht="16.5" x14ac:dyDescent="0.3">
      <c r="A1833" t="s">
        <v>1919</v>
      </c>
      <c r="B1833" s="1">
        <v>45591</v>
      </c>
      <c r="C1833">
        <v>2024</v>
      </c>
      <c r="D1833" t="s">
        <v>1738</v>
      </c>
      <c r="E1833" t="s">
        <v>1739</v>
      </c>
      <c r="F1833" t="s">
        <v>24</v>
      </c>
      <c r="G1833" t="s">
        <v>25</v>
      </c>
      <c r="H1833" t="s">
        <v>32</v>
      </c>
      <c r="I1833" t="s">
        <v>27</v>
      </c>
      <c r="J1833" t="s">
        <v>60</v>
      </c>
      <c r="K1833">
        <v>2</v>
      </c>
      <c r="L1833" s="2">
        <v>94.85</v>
      </c>
      <c r="M1833" s="3">
        <v>0.05</v>
      </c>
      <c r="N1833" t="s">
        <v>29</v>
      </c>
      <c r="O1833" s="2">
        <v>180.21</v>
      </c>
      <c r="P1833" s="2">
        <v>100.11</v>
      </c>
      <c r="Q1833" s="2">
        <v>80.099999999999994</v>
      </c>
      <c r="R1833">
        <v>1</v>
      </c>
      <c r="S1833">
        <v>0</v>
      </c>
      <c r="T1833">
        <v>6</v>
      </c>
      <c r="U1833">
        <v>3</v>
      </c>
    </row>
    <row r="1834" spans="1:21" ht="16.5" x14ac:dyDescent="0.3">
      <c r="A1834" t="s">
        <v>1920</v>
      </c>
      <c r="B1834" s="1">
        <v>45591</v>
      </c>
      <c r="C1834">
        <v>2024</v>
      </c>
      <c r="D1834" t="s">
        <v>1738</v>
      </c>
      <c r="E1834" t="s">
        <v>1739</v>
      </c>
      <c r="F1834" t="s">
        <v>24</v>
      </c>
      <c r="G1834" t="s">
        <v>49</v>
      </c>
      <c r="H1834" t="s">
        <v>26</v>
      </c>
      <c r="I1834" t="s">
        <v>27</v>
      </c>
      <c r="J1834" t="s">
        <v>110</v>
      </c>
      <c r="K1834">
        <v>2</v>
      </c>
      <c r="L1834" s="2">
        <v>19.41</v>
      </c>
      <c r="M1834" s="3">
        <v>0.3</v>
      </c>
      <c r="N1834" t="s">
        <v>62</v>
      </c>
      <c r="O1834" s="2">
        <v>27.17</v>
      </c>
      <c r="P1834" s="2">
        <v>21.35</v>
      </c>
      <c r="Q1834" s="2">
        <v>5.82</v>
      </c>
      <c r="R1834">
        <v>1</v>
      </c>
      <c r="S1834">
        <v>0</v>
      </c>
      <c r="T1834">
        <v>3</v>
      </c>
      <c r="U1834">
        <v>5</v>
      </c>
    </row>
    <row r="1835" spans="1:21" ht="16.5" x14ac:dyDescent="0.3">
      <c r="A1835" t="s">
        <v>1921</v>
      </c>
      <c r="B1835" s="1">
        <v>45591</v>
      </c>
      <c r="C1835">
        <v>2024</v>
      </c>
      <c r="D1835" t="s">
        <v>1738</v>
      </c>
      <c r="E1835" t="s">
        <v>1739</v>
      </c>
      <c r="F1835" t="s">
        <v>45</v>
      </c>
      <c r="G1835" t="s">
        <v>51</v>
      </c>
      <c r="H1835" t="s">
        <v>32</v>
      </c>
      <c r="I1835" t="s">
        <v>42</v>
      </c>
      <c r="J1835" t="s">
        <v>43</v>
      </c>
      <c r="K1835">
        <v>1</v>
      </c>
      <c r="L1835" s="2">
        <v>154.66</v>
      </c>
      <c r="M1835" s="3">
        <v>0.15</v>
      </c>
      <c r="N1835" t="s">
        <v>34</v>
      </c>
      <c r="O1835" s="2">
        <v>131.46</v>
      </c>
      <c r="P1835" s="2">
        <v>98.44</v>
      </c>
      <c r="Q1835" s="2">
        <v>33.020000000000003</v>
      </c>
      <c r="R1835">
        <v>1</v>
      </c>
      <c r="S1835">
        <v>0</v>
      </c>
      <c r="T1835">
        <v>4</v>
      </c>
      <c r="U1835">
        <v>4</v>
      </c>
    </row>
    <row r="1836" spans="1:21" ht="16.5" x14ac:dyDescent="0.3">
      <c r="A1836" t="s">
        <v>1922</v>
      </c>
      <c r="B1836" s="1">
        <v>45591</v>
      </c>
      <c r="C1836">
        <v>2024</v>
      </c>
      <c r="D1836" t="s">
        <v>1738</v>
      </c>
      <c r="E1836" t="s">
        <v>1739</v>
      </c>
      <c r="F1836" t="s">
        <v>31</v>
      </c>
      <c r="G1836" t="s">
        <v>49</v>
      </c>
      <c r="H1836" t="s">
        <v>32</v>
      </c>
      <c r="I1836" t="s">
        <v>84</v>
      </c>
      <c r="J1836" t="s">
        <v>96</v>
      </c>
      <c r="K1836">
        <v>1</v>
      </c>
      <c r="L1836" s="2">
        <v>10.76</v>
      </c>
      <c r="M1836" s="3">
        <v>0</v>
      </c>
      <c r="N1836" t="s">
        <v>38</v>
      </c>
      <c r="O1836" s="2">
        <v>10.76</v>
      </c>
      <c r="P1836" s="2">
        <v>7.6</v>
      </c>
      <c r="Q1836" s="2">
        <v>3.16</v>
      </c>
      <c r="R1836">
        <v>1</v>
      </c>
      <c r="S1836">
        <v>0</v>
      </c>
      <c r="T1836">
        <v>4</v>
      </c>
      <c r="U1836">
        <v>5</v>
      </c>
    </row>
    <row r="1837" spans="1:21" ht="16.5" x14ac:dyDescent="0.3">
      <c r="A1837" t="s">
        <v>1923</v>
      </c>
      <c r="B1837" s="1">
        <v>45592</v>
      </c>
      <c r="C1837">
        <v>2024</v>
      </c>
      <c r="D1837" t="s">
        <v>1738</v>
      </c>
      <c r="E1837" t="s">
        <v>1739</v>
      </c>
      <c r="F1837" t="s">
        <v>45</v>
      </c>
      <c r="G1837" t="s">
        <v>49</v>
      </c>
      <c r="H1837" t="s">
        <v>32</v>
      </c>
      <c r="I1837" t="s">
        <v>42</v>
      </c>
      <c r="J1837" t="s">
        <v>76</v>
      </c>
      <c r="K1837">
        <v>4</v>
      </c>
      <c r="L1837" s="2">
        <v>90.75</v>
      </c>
      <c r="M1837" s="3">
        <v>0</v>
      </c>
      <c r="N1837" t="s">
        <v>38</v>
      </c>
      <c r="O1837" s="2">
        <v>363</v>
      </c>
      <c r="P1837" s="2">
        <v>231.48</v>
      </c>
      <c r="Q1837" s="2">
        <v>131.52000000000001</v>
      </c>
      <c r="R1837">
        <v>1</v>
      </c>
      <c r="S1837">
        <v>0</v>
      </c>
      <c r="T1837">
        <v>4</v>
      </c>
      <c r="U1837">
        <v>5</v>
      </c>
    </row>
    <row r="1838" spans="1:21" ht="16.5" x14ac:dyDescent="0.3">
      <c r="A1838" t="s">
        <v>1924</v>
      </c>
      <c r="B1838" s="1">
        <v>45592</v>
      </c>
      <c r="C1838">
        <v>2024</v>
      </c>
      <c r="D1838" t="s">
        <v>1738</v>
      </c>
      <c r="E1838" t="s">
        <v>1739</v>
      </c>
      <c r="F1838" t="s">
        <v>24</v>
      </c>
      <c r="G1838" t="s">
        <v>25</v>
      </c>
      <c r="H1838" t="s">
        <v>32</v>
      </c>
      <c r="I1838" t="s">
        <v>36</v>
      </c>
      <c r="J1838" t="s">
        <v>52</v>
      </c>
      <c r="K1838">
        <v>4</v>
      </c>
      <c r="L1838" s="2">
        <v>92.54</v>
      </c>
      <c r="M1838" s="3">
        <v>0.15</v>
      </c>
      <c r="N1838" t="s">
        <v>34</v>
      </c>
      <c r="O1838" s="2">
        <v>314.64</v>
      </c>
      <c r="P1838" s="2">
        <v>166.96</v>
      </c>
      <c r="Q1838" s="2">
        <v>147.68</v>
      </c>
      <c r="R1838">
        <v>1</v>
      </c>
      <c r="S1838">
        <v>0</v>
      </c>
      <c r="T1838">
        <v>6</v>
      </c>
      <c r="U1838">
        <v>3</v>
      </c>
    </row>
    <row r="1839" spans="1:21" ht="16.5" x14ac:dyDescent="0.3">
      <c r="A1839" t="s">
        <v>1925</v>
      </c>
      <c r="B1839" s="1">
        <v>45592</v>
      </c>
      <c r="C1839">
        <v>2024</v>
      </c>
      <c r="D1839" t="s">
        <v>1738</v>
      </c>
      <c r="E1839" t="s">
        <v>1739</v>
      </c>
      <c r="F1839" t="s">
        <v>24</v>
      </c>
      <c r="G1839" t="s">
        <v>49</v>
      </c>
      <c r="H1839" t="s">
        <v>32</v>
      </c>
      <c r="I1839" t="s">
        <v>42</v>
      </c>
      <c r="J1839" t="s">
        <v>98</v>
      </c>
      <c r="K1839">
        <v>4</v>
      </c>
      <c r="L1839" s="2">
        <v>117.63</v>
      </c>
      <c r="M1839" s="3">
        <v>0.05</v>
      </c>
      <c r="N1839" t="s">
        <v>29</v>
      </c>
      <c r="O1839" s="2">
        <v>446.99</v>
      </c>
      <c r="P1839" s="2">
        <v>321.83</v>
      </c>
      <c r="Q1839" s="2">
        <v>125.16</v>
      </c>
      <c r="R1839">
        <v>1</v>
      </c>
      <c r="S1839">
        <v>0</v>
      </c>
      <c r="T1839">
        <v>4</v>
      </c>
      <c r="U1839">
        <v>5</v>
      </c>
    </row>
    <row r="1840" spans="1:21" ht="16.5" x14ac:dyDescent="0.3">
      <c r="A1840" t="s">
        <v>1926</v>
      </c>
      <c r="B1840" s="1">
        <v>45592</v>
      </c>
      <c r="C1840">
        <v>2024</v>
      </c>
      <c r="D1840" t="s">
        <v>1738</v>
      </c>
      <c r="E1840" t="s">
        <v>1739</v>
      </c>
      <c r="F1840" t="s">
        <v>45</v>
      </c>
      <c r="G1840" t="s">
        <v>49</v>
      </c>
      <c r="H1840" t="s">
        <v>26</v>
      </c>
      <c r="I1840" t="s">
        <v>84</v>
      </c>
      <c r="J1840" t="s">
        <v>132</v>
      </c>
      <c r="K1840">
        <v>1</v>
      </c>
      <c r="L1840" s="2">
        <v>48.86</v>
      </c>
      <c r="M1840" s="3">
        <v>0.05</v>
      </c>
      <c r="N1840" t="s">
        <v>29</v>
      </c>
      <c r="O1840" s="2">
        <v>46.42</v>
      </c>
      <c r="P1840" s="2">
        <v>34.43</v>
      </c>
      <c r="Q1840" s="2">
        <v>11.99</v>
      </c>
      <c r="R1840">
        <v>1</v>
      </c>
      <c r="S1840">
        <v>0</v>
      </c>
      <c r="T1840">
        <v>4</v>
      </c>
      <c r="U1840">
        <v>4</v>
      </c>
    </row>
    <row r="1841" spans="1:21" ht="16.5" x14ac:dyDescent="0.3">
      <c r="A1841" t="s">
        <v>1927</v>
      </c>
      <c r="B1841" s="1">
        <v>45592</v>
      </c>
      <c r="C1841">
        <v>2024</v>
      </c>
      <c r="D1841" t="s">
        <v>1738</v>
      </c>
      <c r="E1841" t="s">
        <v>1739</v>
      </c>
      <c r="F1841" t="s">
        <v>24</v>
      </c>
      <c r="G1841" t="s">
        <v>51</v>
      </c>
      <c r="H1841" t="s">
        <v>32</v>
      </c>
      <c r="I1841" t="s">
        <v>67</v>
      </c>
      <c r="J1841" t="s">
        <v>68</v>
      </c>
      <c r="K1841">
        <v>1</v>
      </c>
      <c r="L1841" s="2">
        <v>74.459999999999994</v>
      </c>
      <c r="M1841" s="3">
        <v>0</v>
      </c>
      <c r="N1841" t="s">
        <v>38</v>
      </c>
      <c r="O1841" s="2">
        <v>74.459999999999994</v>
      </c>
      <c r="P1841" s="2">
        <v>49.74</v>
      </c>
      <c r="Q1841" s="2">
        <v>24.72</v>
      </c>
      <c r="R1841">
        <v>1</v>
      </c>
      <c r="S1841">
        <v>0</v>
      </c>
      <c r="T1841">
        <v>4</v>
      </c>
      <c r="U1841">
        <v>4</v>
      </c>
    </row>
    <row r="1842" spans="1:21" ht="16.5" x14ac:dyDescent="0.3">
      <c r="A1842" t="s">
        <v>1928</v>
      </c>
      <c r="B1842" s="1">
        <v>45592</v>
      </c>
      <c r="C1842">
        <v>2024</v>
      </c>
      <c r="D1842" t="s">
        <v>1738</v>
      </c>
      <c r="E1842" t="s">
        <v>1739</v>
      </c>
      <c r="F1842" t="s">
        <v>45</v>
      </c>
      <c r="G1842" t="s">
        <v>51</v>
      </c>
      <c r="H1842" t="s">
        <v>32</v>
      </c>
      <c r="I1842" t="s">
        <v>70</v>
      </c>
      <c r="J1842" t="s">
        <v>87</v>
      </c>
      <c r="K1842">
        <v>1</v>
      </c>
      <c r="L1842" s="2">
        <v>490.3</v>
      </c>
      <c r="M1842" s="3">
        <v>0.2</v>
      </c>
      <c r="N1842" t="s">
        <v>34</v>
      </c>
      <c r="O1842" s="2">
        <v>392.24</v>
      </c>
      <c r="P1842" s="2">
        <v>384.98</v>
      </c>
      <c r="Q1842" s="2">
        <v>7.26</v>
      </c>
      <c r="R1842">
        <v>1</v>
      </c>
      <c r="S1842">
        <v>1</v>
      </c>
      <c r="T1842">
        <v>2</v>
      </c>
      <c r="U1842">
        <v>2</v>
      </c>
    </row>
    <row r="1843" spans="1:21" ht="16.5" x14ac:dyDescent="0.3">
      <c r="A1843" t="s">
        <v>1929</v>
      </c>
      <c r="B1843" s="1">
        <v>45592</v>
      </c>
      <c r="C1843">
        <v>2024</v>
      </c>
      <c r="D1843" t="s">
        <v>1738</v>
      </c>
      <c r="E1843" t="s">
        <v>1739</v>
      </c>
      <c r="F1843" t="s">
        <v>31</v>
      </c>
      <c r="G1843" t="s">
        <v>46</v>
      </c>
      <c r="H1843" t="s">
        <v>32</v>
      </c>
      <c r="I1843" t="s">
        <v>36</v>
      </c>
      <c r="J1843" t="s">
        <v>52</v>
      </c>
      <c r="K1843">
        <v>4</v>
      </c>
      <c r="L1843" s="2">
        <v>92.54</v>
      </c>
      <c r="M1843" s="3">
        <v>0</v>
      </c>
      <c r="N1843" t="s">
        <v>38</v>
      </c>
      <c r="O1843" s="2">
        <v>370.16</v>
      </c>
      <c r="P1843" s="2">
        <v>176.08</v>
      </c>
      <c r="Q1843" s="2">
        <v>194.08</v>
      </c>
      <c r="R1843">
        <v>1</v>
      </c>
      <c r="S1843">
        <v>0</v>
      </c>
      <c r="T1843">
        <v>7</v>
      </c>
      <c r="U1843">
        <v>2</v>
      </c>
    </row>
    <row r="1844" spans="1:21" ht="16.5" x14ac:dyDescent="0.3">
      <c r="A1844" t="s">
        <v>1930</v>
      </c>
      <c r="B1844" s="1">
        <v>45593</v>
      </c>
      <c r="C1844">
        <v>2024</v>
      </c>
      <c r="D1844" t="s">
        <v>1738</v>
      </c>
      <c r="E1844" t="s">
        <v>1739</v>
      </c>
      <c r="F1844" t="s">
        <v>45</v>
      </c>
      <c r="G1844" t="s">
        <v>65</v>
      </c>
      <c r="H1844" t="s">
        <v>32</v>
      </c>
      <c r="I1844" t="s">
        <v>42</v>
      </c>
      <c r="J1844" t="s">
        <v>58</v>
      </c>
      <c r="K1844">
        <v>1</v>
      </c>
      <c r="L1844" s="2">
        <v>233.81</v>
      </c>
      <c r="M1844" s="3">
        <v>0</v>
      </c>
      <c r="N1844" t="s">
        <v>38</v>
      </c>
      <c r="O1844" s="2">
        <v>233.81</v>
      </c>
      <c r="P1844" s="2">
        <v>157.6</v>
      </c>
      <c r="Q1844" s="2">
        <v>76.209999999999994</v>
      </c>
      <c r="R1844">
        <v>1</v>
      </c>
      <c r="S1844">
        <v>0</v>
      </c>
      <c r="T1844">
        <v>6</v>
      </c>
      <c r="U1844">
        <v>4</v>
      </c>
    </row>
    <row r="1845" spans="1:21" ht="16.5" x14ac:dyDescent="0.3">
      <c r="A1845" t="s">
        <v>1931</v>
      </c>
      <c r="B1845" s="1">
        <v>45593</v>
      </c>
      <c r="C1845">
        <v>2024</v>
      </c>
      <c r="D1845" t="s">
        <v>1738</v>
      </c>
      <c r="E1845" t="s">
        <v>1739</v>
      </c>
      <c r="F1845" t="s">
        <v>31</v>
      </c>
      <c r="G1845" t="s">
        <v>65</v>
      </c>
      <c r="H1845" t="s">
        <v>32</v>
      </c>
      <c r="I1845" t="s">
        <v>27</v>
      </c>
      <c r="J1845" t="s">
        <v>60</v>
      </c>
      <c r="K1845">
        <v>1</v>
      </c>
      <c r="L1845" s="2">
        <v>94.85</v>
      </c>
      <c r="M1845" s="3">
        <v>0.2</v>
      </c>
      <c r="N1845" t="s">
        <v>34</v>
      </c>
      <c r="O1845" s="2">
        <v>75.88</v>
      </c>
      <c r="P1845" s="2">
        <v>49.29</v>
      </c>
      <c r="Q1845" s="2">
        <v>26.59</v>
      </c>
      <c r="R1845">
        <v>1</v>
      </c>
      <c r="S1845">
        <v>1</v>
      </c>
      <c r="T1845">
        <v>6</v>
      </c>
      <c r="U1845">
        <v>2</v>
      </c>
    </row>
    <row r="1846" spans="1:21" ht="16.5" x14ac:dyDescent="0.3">
      <c r="A1846" t="s">
        <v>1932</v>
      </c>
      <c r="B1846" s="1">
        <v>45593</v>
      </c>
      <c r="C1846">
        <v>2024</v>
      </c>
      <c r="D1846" t="s">
        <v>1738</v>
      </c>
      <c r="E1846" t="s">
        <v>1739</v>
      </c>
      <c r="F1846" t="s">
        <v>31</v>
      </c>
      <c r="G1846" t="s">
        <v>51</v>
      </c>
      <c r="H1846" t="s">
        <v>32</v>
      </c>
      <c r="I1846" t="s">
        <v>42</v>
      </c>
      <c r="J1846" t="s">
        <v>58</v>
      </c>
      <c r="K1846">
        <v>1</v>
      </c>
      <c r="L1846" s="2">
        <v>233.81</v>
      </c>
      <c r="M1846" s="3">
        <v>0.1</v>
      </c>
      <c r="N1846" t="s">
        <v>29</v>
      </c>
      <c r="O1846" s="2">
        <v>210.43</v>
      </c>
      <c r="P1846" s="2">
        <v>161.91</v>
      </c>
      <c r="Q1846" s="2">
        <v>48.52</v>
      </c>
      <c r="R1846">
        <v>1</v>
      </c>
      <c r="S1846">
        <v>0</v>
      </c>
      <c r="T1846">
        <v>3</v>
      </c>
      <c r="U1846">
        <v>4</v>
      </c>
    </row>
    <row r="1847" spans="1:21" ht="16.5" x14ac:dyDescent="0.3">
      <c r="A1847" t="s">
        <v>1933</v>
      </c>
      <c r="B1847" s="1">
        <v>45593</v>
      </c>
      <c r="C1847">
        <v>2024</v>
      </c>
      <c r="D1847" t="s">
        <v>1738</v>
      </c>
      <c r="E1847" t="s">
        <v>1739</v>
      </c>
      <c r="F1847" t="s">
        <v>45</v>
      </c>
      <c r="G1847" t="s">
        <v>65</v>
      </c>
      <c r="H1847" t="s">
        <v>32</v>
      </c>
      <c r="I1847" t="s">
        <v>84</v>
      </c>
      <c r="J1847" t="s">
        <v>223</v>
      </c>
      <c r="K1847">
        <v>1</v>
      </c>
      <c r="L1847" s="2">
        <v>16.97</v>
      </c>
      <c r="M1847" s="3">
        <v>0</v>
      </c>
      <c r="N1847" t="s">
        <v>38</v>
      </c>
      <c r="O1847" s="2">
        <v>16.97</v>
      </c>
      <c r="P1847" s="2">
        <v>12.45</v>
      </c>
      <c r="Q1847" s="2">
        <v>4.5199999999999996</v>
      </c>
      <c r="R1847">
        <v>1</v>
      </c>
      <c r="S1847">
        <v>0</v>
      </c>
      <c r="T1847">
        <v>6</v>
      </c>
      <c r="U1847">
        <v>3</v>
      </c>
    </row>
    <row r="1848" spans="1:21" ht="16.5" x14ac:dyDescent="0.3">
      <c r="A1848" t="s">
        <v>1934</v>
      </c>
      <c r="B1848" s="1">
        <v>45593</v>
      </c>
      <c r="C1848">
        <v>2024</v>
      </c>
      <c r="D1848" t="s">
        <v>1738</v>
      </c>
      <c r="E1848" t="s">
        <v>1739</v>
      </c>
      <c r="F1848" t="s">
        <v>45</v>
      </c>
      <c r="G1848" t="s">
        <v>25</v>
      </c>
      <c r="H1848" t="s">
        <v>32</v>
      </c>
      <c r="I1848" t="s">
        <v>42</v>
      </c>
      <c r="J1848" t="s">
        <v>76</v>
      </c>
      <c r="K1848">
        <v>1</v>
      </c>
      <c r="L1848" s="2">
        <v>90.75</v>
      </c>
      <c r="M1848" s="3">
        <v>0.15</v>
      </c>
      <c r="N1848" t="s">
        <v>34</v>
      </c>
      <c r="O1848" s="2">
        <v>77.14</v>
      </c>
      <c r="P1848" s="2">
        <v>58.12</v>
      </c>
      <c r="Q1848" s="2">
        <v>19.02</v>
      </c>
      <c r="R1848">
        <v>1</v>
      </c>
      <c r="S1848">
        <v>0</v>
      </c>
      <c r="T1848">
        <v>4</v>
      </c>
      <c r="U1848">
        <v>5</v>
      </c>
    </row>
    <row r="1849" spans="1:21" ht="16.5" x14ac:dyDescent="0.3">
      <c r="A1849" t="s">
        <v>1935</v>
      </c>
      <c r="B1849" s="1">
        <v>45593</v>
      </c>
      <c r="C1849">
        <v>2024</v>
      </c>
      <c r="D1849" t="s">
        <v>1738</v>
      </c>
      <c r="E1849" t="s">
        <v>1739</v>
      </c>
      <c r="F1849" t="s">
        <v>45</v>
      </c>
      <c r="G1849" t="s">
        <v>25</v>
      </c>
      <c r="H1849" t="s">
        <v>26</v>
      </c>
      <c r="I1849" t="s">
        <v>36</v>
      </c>
      <c r="J1849" t="s">
        <v>115</v>
      </c>
      <c r="K1849">
        <v>1</v>
      </c>
      <c r="L1849" s="2">
        <v>33.479999999999997</v>
      </c>
      <c r="M1849" s="3">
        <v>0.25</v>
      </c>
      <c r="N1849" t="s">
        <v>62</v>
      </c>
      <c r="O1849" s="2">
        <v>25.11</v>
      </c>
      <c r="P1849" s="2">
        <v>15.89</v>
      </c>
      <c r="Q1849" s="2">
        <v>9.2200000000000006</v>
      </c>
      <c r="R1849">
        <v>1</v>
      </c>
      <c r="S1849">
        <v>1</v>
      </c>
      <c r="T1849">
        <v>3</v>
      </c>
      <c r="U1849">
        <v>3</v>
      </c>
    </row>
    <row r="1850" spans="1:21" ht="16.5" x14ac:dyDescent="0.3">
      <c r="A1850" t="s">
        <v>1936</v>
      </c>
      <c r="B1850" s="1">
        <v>45593</v>
      </c>
      <c r="C1850">
        <v>2024</v>
      </c>
      <c r="D1850" t="s">
        <v>1738</v>
      </c>
      <c r="E1850" t="s">
        <v>1739</v>
      </c>
      <c r="F1850" t="s">
        <v>31</v>
      </c>
      <c r="G1850" t="s">
        <v>51</v>
      </c>
      <c r="H1850" t="s">
        <v>32</v>
      </c>
      <c r="I1850" t="s">
        <v>27</v>
      </c>
      <c r="J1850" t="s">
        <v>47</v>
      </c>
      <c r="K1850">
        <v>1</v>
      </c>
      <c r="L1850" s="2">
        <v>33.99</v>
      </c>
      <c r="M1850" s="3">
        <v>0.25</v>
      </c>
      <c r="N1850" t="s">
        <v>62</v>
      </c>
      <c r="O1850" s="2">
        <v>25.49</v>
      </c>
      <c r="P1850" s="2">
        <v>18.399999999999999</v>
      </c>
      <c r="Q1850" s="2">
        <v>7.09</v>
      </c>
      <c r="R1850">
        <v>1</v>
      </c>
      <c r="S1850">
        <v>0</v>
      </c>
      <c r="T1850">
        <v>3</v>
      </c>
      <c r="U1850">
        <v>4</v>
      </c>
    </row>
    <row r="1851" spans="1:21" ht="16.5" x14ac:dyDescent="0.3">
      <c r="A1851" t="s">
        <v>1937</v>
      </c>
      <c r="B1851" s="1">
        <v>45594</v>
      </c>
      <c r="C1851">
        <v>2024</v>
      </c>
      <c r="D1851" t="s">
        <v>1738</v>
      </c>
      <c r="E1851" t="s">
        <v>1739</v>
      </c>
      <c r="F1851" t="s">
        <v>31</v>
      </c>
      <c r="G1851" t="s">
        <v>51</v>
      </c>
      <c r="H1851" t="s">
        <v>32</v>
      </c>
      <c r="I1851" t="s">
        <v>67</v>
      </c>
      <c r="J1851" t="s">
        <v>174</v>
      </c>
      <c r="K1851">
        <v>2</v>
      </c>
      <c r="L1851" s="2">
        <v>137.05000000000001</v>
      </c>
      <c r="M1851" s="3">
        <v>0</v>
      </c>
      <c r="N1851" t="s">
        <v>38</v>
      </c>
      <c r="O1851" s="2">
        <v>274.10000000000002</v>
      </c>
      <c r="P1851" s="2">
        <v>191.28</v>
      </c>
      <c r="Q1851" s="2">
        <v>82.82</v>
      </c>
      <c r="R1851">
        <v>1</v>
      </c>
      <c r="S1851">
        <v>0</v>
      </c>
      <c r="T1851">
        <v>3</v>
      </c>
      <c r="U1851">
        <v>4</v>
      </c>
    </row>
    <row r="1852" spans="1:21" ht="16.5" x14ac:dyDescent="0.3">
      <c r="A1852" t="s">
        <v>1938</v>
      </c>
      <c r="B1852" s="1">
        <v>45594</v>
      </c>
      <c r="C1852">
        <v>2024</v>
      </c>
      <c r="D1852" t="s">
        <v>1738</v>
      </c>
      <c r="E1852" t="s">
        <v>1739</v>
      </c>
      <c r="F1852" t="s">
        <v>31</v>
      </c>
      <c r="G1852" t="s">
        <v>25</v>
      </c>
      <c r="H1852" t="s">
        <v>32</v>
      </c>
      <c r="I1852" t="s">
        <v>70</v>
      </c>
      <c r="J1852" t="s">
        <v>252</v>
      </c>
      <c r="K1852">
        <v>2</v>
      </c>
      <c r="L1852" s="2">
        <v>216.08</v>
      </c>
      <c r="M1852" s="3">
        <v>0</v>
      </c>
      <c r="N1852" t="s">
        <v>38</v>
      </c>
      <c r="O1852" s="2">
        <v>432.16</v>
      </c>
      <c r="P1852" s="2">
        <v>348.75</v>
      </c>
      <c r="Q1852" s="2">
        <v>83.41</v>
      </c>
      <c r="R1852">
        <v>1</v>
      </c>
      <c r="S1852">
        <v>1</v>
      </c>
      <c r="T1852">
        <v>4</v>
      </c>
      <c r="U1852">
        <v>4</v>
      </c>
    </row>
    <row r="1853" spans="1:21" ht="16.5" x14ac:dyDescent="0.3">
      <c r="A1853" t="s">
        <v>1939</v>
      </c>
      <c r="B1853" s="1">
        <v>45594</v>
      </c>
      <c r="C1853">
        <v>2024</v>
      </c>
      <c r="D1853" t="s">
        <v>1738</v>
      </c>
      <c r="E1853" t="s">
        <v>1739</v>
      </c>
      <c r="F1853" t="s">
        <v>31</v>
      </c>
      <c r="G1853" t="s">
        <v>25</v>
      </c>
      <c r="H1853" t="s">
        <v>32</v>
      </c>
      <c r="I1853" t="s">
        <v>27</v>
      </c>
      <c r="J1853" t="s">
        <v>40</v>
      </c>
      <c r="K1853">
        <v>3</v>
      </c>
      <c r="L1853" s="2">
        <v>104.94</v>
      </c>
      <c r="M1853" s="3">
        <v>0.2</v>
      </c>
      <c r="N1853" t="s">
        <v>34</v>
      </c>
      <c r="O1853" s="2">
        <v>251.86</v>
      </c>
      <c r="P1853" s="2">
        <v>169.99</v>
      </c>
      <c r="Q1853" s="2">
        <v>81.87</v>
      </c>
      <c r="R1853">
        <v>1</v>
      </c>
      <c r="S1853">
        <v>0</v>
      </c>
      <c r="T1853">
        <v>5</v>
      </c>
      <c r="U1853">
        <v>5</v>
      </c>
    </row>
    <row r="1854" spans="1:21" ht="16.5" x14ac:dyDescent="0.3">
      <c r="A1854" t="s">
        <v>1940</v>
      </c>
      <c r="B1854" s="1">
        <v>45594</v>
      </c>
      <c r="C1854">
        <v>2024</v>
      </c>
      <c r="D1854" t="s">
        <v>1738</v>
      </c>
      <c r="E1854" t="s">
        <v>1739</v>
      </c>
      <c r="F1854" t="s">
        <v>31</v>
      </c>
      <c r="G1854" t="s">
        <v>49</v>
      </c>
      <c r="H1854" t="s">
        <v>26</v>
      </c>
      <c r="I1854" t="s">
        <v>70</v>
      </c>
      <c r="J1854" t="s">
        <v>252</v>
      </c>
      <c r="K1854">
        <v>3</v>
      </c>
      <c r="L1854" s="2">
        <v>216.08</v>
      </c>
      <c r="M1854" s="3">
        <v>0.2</v>
      </c>
      <c r="N1854" t="s">
        <v>34</v>
      </c>
      <c r="O1854" s="2">
        <v>518.59</v>
      </c>
      <c r="P1854" s="2">
        <v>513.57000000000005</v>
      </c>
      <c r="Q1854" s="2">
        <v>5.0199999999999996</v>
      </c>
      <c r="R1854">
        <v>1</v>
      </c>
      <c r="S1854">
        <v>0</v>
      </c>
      <c r="T1854">
        <v>4</v>
      </c>
      <c r="U1854">
        <v>3</v>
      </c>
    </row>
    <row r="1855" spans="1:21" ht="16.5" x14ac:dyDescent="0.3">
      <c r="A1855" t="s">
        <v>1941</v>
      </c>
      <c r="B1855" s="1">
        <v>45594</v>
      </c>
      <c r="C1855">
        <v>2024</v>
      </c>
      <c r="D1855" t="s">
        <v>1738</v>
      </c>
      <c r="E1855" t="s">
        <v>1739</v>
      </c>
      <c r="F1855" t="s">
        <v>24</v>
      </c>
      <c r="G1855" t="s">
        <v>25</v>
      </c>
      <c r="H1855" t="s">
        <v>26</v>
      </c>
      <c r="I1855" t="s">
        <v>84</v>
      </c>
      <c r="J1855" t="s">
        <v>85</v>
      </c>
      <c r="K1855">
        <v>4</v>
      </c>
      <c r="L1855" s="2">
        <v>57.92</v>
      </c>
      <c r="M1855" s="3">
        <v>0</v>
      </c>
      <c r="N1855" t="s">
        <v>38</v>
      </c>
      <c r="O1855" s="2">
        <v>231.68</v>
      </c>
      <c r="P1855" s="2">
        <v>179.87</v>
      </c>
      <c r="Q1855" s="2">
        <v>51.81</v>
      </c>
      <c r="R1855">
        <v>1</v>
      </c>
      <c r="S1855">
        <v>0</v>
      </c>
      <c r="T1855">
        <v>3</v>
      </c>
      <c r="U1855">
        <v>3</v>
      </c>
    </row>
    <row r="1856" spans="1:21" ht="16.5" x14ac:dyDescent="0.3">
      <c r="A1856" t="s">
        <v>1942</v>
      </c>
      <c r="B1856" s="1">
        <v>45595</v>
      </c>
      <c r="C1856">
        <v>2024</v>
      </c>
      <c r="D1856" t="s">
        <v>1738</v>
      </c>
      <c r="E1856" t="s">
        <v>1739</v>
      </c>
      <c r="F1856" t="s">
        <v>24</v>
      </c>
      <c r="G1856" t="s">
        <v>51</v>
      </c>
      <c r="H1856" t="s">
        <v>26</v>
      </c>
      <c r="I1856" t="s">
        <v>70</v>
      </c>
      <c r="J1856" t="s">
        <v>82</v>
      </c>
      <c r="K1856">
        <v>1</v>
      </c>
      <c r="L1856" s="2">
        <v>508.8</v>
      </c>
      <c r="M1856" s="3">
        <v>0.1</v>
      </c>
      <c r="N1856" t="s">
        <v>29</v>
      </c>
      <c r="O1856" s="2">
        <v>457.92</v>
      </c>
      <c r="P1856" s="2">
        <v>391.45</v>
      </c>
      <c r="Q1856" s="2">
        <v>66.47</v>
      </c>
      <c r="R1856">
        <v>1</v>
      </c>
      <c r="S1856">
        <v>0</v>
      </c>
      <c r="T1856">
        <v>2</v>
      </c>
      <c r="U1856">
        <v>5</v>
      </c>
    </row>
    <row r="1857" spans="1:21" ht="16.5" x14ac:dyDescent="0.3">
      <c r="A1857" t="s">
        <v>1943</v>
      </c>
      <c r="B1857" s="1">
        <v>45595</v>
      </c>
      <c r="C1857">
        <v>2024</v>
      </c>
      <c r="D1857" t="s">
        <v>1738</v>
      </c>
      <c r="E1857" t="s">
        <v>1739</v>
      </c>
      <c r="F1857" t="s">
        <v>24</v>
      </c>
      <c r="G1857" t="s">
        <v>25</v>
      </c>
      <c r="H1857" t="s">
        <v>26</v>
      </c>
      <c r="I1857" t="s">
        <v>42</v>
      </c>
      <c r="J1857" t="s">
        <v>54</v>
      </c>
      <c r="K1857">
        <v>1</v>
      </c>
      <c r="L1857" s="2">
        <v>148.05000000000001</v>
      </c>
      <c r="M1857" s="3">
        <v>0.05</v>
      </c>
      <c r="N1857" t="s">
        <v>29</v>
      </c>
      <c r="O1857" s="2">
        <v>140.65</v>
      </c>
      <c r="P1857" s="2">
        <v>94.36</v>
      </c>
      <c r="Q1857" s="2">
        <v>46.29</v>
      </c>
      <c r="R1857">
        <v>1</v>
      </c>
      <c r="S1857">
        <v>0</v>
      </c>
      <c r="T1857">
        <v>5</v>
      </c>
      <c r="U1857">
        <v>4</v>
      </c>
    </row>
    <row r="1858" spans="1:21" ht="16.5" x14ac:dyDescent="0.3">
      <c r="A1858" t="s">
        <v>1944</v>
      </c>
      <c r="B1858" s="1">
        <v>45595</v>
      </c>
      <c r="C1858">
        <v>2024</v>
      </c>
      <c r="D1858" t="s">
        <v>1738</v>
      </c>
      <c r="E1858" t="s">
        <v>1739</v>
      </c>
      <c r="F1858" t="s">
        <v>24</v>
      </c>
      <c r="G1858" t="s">
        <v>49</v>
      </c>
      <c r="H1858" t="s">
        <v>32</v>
      </c>
      <c r="I1858" t="s">
        <v>70</v>
      </c>
      <c r="J1858" t="s">
        <v>71</v>
      </c>
      <c r="K1858">
        <v>3</v>
      </c>
      <c r="L1858" s="2">
        <v>588.41</v>
      </c>
      <c r="M1858" s="3">
        <v>0</v>
      </c>
      <c r="N1858" t="s">
        <v>38</v>
      </c>
      <c r="O1858" s="2">
        <v>1765.23</v>
      </c>
      <c r="P1858" s="2">
        <v>1440.52</v>
      </c>
      <c r="Q1858" s="2">
        <v>324.70999999999998</v>
      </c>
      <c r="R1858">
        <v>1</v>
      </c>
      <c r="S1858">
        <v>0</v>
      </c>
      <c r="T1858">
        <v>3</v>
      </c>
      <c r="U1858">
        <v>4</v>
      </c>
    </row>
    <row r="1859" spans="1:21" ht="16.5" x14ac:dyDescent="0.3">
      <c r="A1859" t="s">
        <v>1945</v>
      </c>
      <c r="B1859" s="1">
        <v>45595</v>
      </c>
      <c r="C1859">
        <v>2024</v>
      </c>
      <c r="D1859" t="s">
        <v>1738</v>
      </c>
      <c r="E1859" t="s">
        <v>1739</v>
      </c>
      <c r="F1859" t="s">
        <v>24</v>
      </c>
      <c r="G1859" t="s">
        <v>49</v>
      </c>
      <c r="H1859" t="s">
        <v>32</v>
      </c>
      <c r="I1859" t="s">
        <v>84</v>
      </c>
      <c r="J1859" t="s">
        <v>85</v>
      </c>
      <c r="K1859">
        <v>2</v>
      </c>
      <c r="L1859" s="2">
        <v>57.92</v>
      </c>
      <c r="M1859" s="3">
        <v>0</v>
      </c>
      <c r="N1859" t="s">
        <v>38</v>
      </c>
      <c r="O1859" s="2">
        <v>115.84</v>
      </c>
      <c r="P1859" s="2">
        <v>79.86</v>
      </c>
      <c r="Q1859" s="2">
        <v>35.979999999999997</v>
      </c>
      <c r="R1859">
        <v>1</v>
      </c>
      <c r="S1859">
        <v>0</v>
      </c>
      <c r="T1859">
        <v>4</v>
      </c>
      <c r="U1859">
        <v>4</v>
      </c>
    </row>
    <row r="1860" spans="1:21" ht="16.5" x14ac:dyDescent="0.3">
      <c r="A1860" t="s">
        <v>1946</v>
      </c>
      <c r="B1860" s="1">
        <v>45595</v>
      </c>
      <c r="C1860">
        <v>2024</v>
      </c>
      <c r="D1860" t="s">
        <v>1738</v>
      </c>
      <c r="E1860" t="s">
        <v>1739</v>
      </c>
      <c r="F1860" t="s">
        <v>31</v>
      </c>
      <c r="G1860" t="s">
        <v>51</v>
      </c>
      <c r="H1860" t="s">
        <v>26</v>
      </c>
      <c r="I1860" t="s">
        <v>42</v>
      </c>
      <c r="J1860" t="s">
        <v>54</v>
      </c>
      <c r="K1860">
        <v>1</v>
      </c>
      <c r="L1860" s="2">
        <v>148.05000000000001</v>
      </c>
      <c r="M1860" s="3">
        <v>0.1</v>
      </c>
      <c r="N1860" t="s">
        <v>29</v>
      </c>
      <c r="O1860" s="2">
        <v>133.24</v>
      </c>
      <c r="P1860" s="2">
        <v>98.59</v>
      </c>
      <c r="Q1860" s="2">
        <v>34.65</v>
      </c>
      <c r="R1860">
        <v>1</v>
      </c>
      <c r="S1860">
        <v>0</v>
      </c>
      <c r="T1860">
        <v>3</v>
      </c>
      <c r="U1860">
        <v>5</v>
      </c>
    </row>
    <row r="1861" spans="1:21" ht="16.5" x14ac:dyDescent="0.3">
      <c r="A1861" t="s">
        <v>1947</v>
      </c>
      <c r="B1861" s="1">
        <v>45595</v>
      </c>
      <c r="C1861">
        <v>2024</v>
      </c>
      <c r="D1861" t="s">
        <v>1738</v>
      </c>
      <c r="E1861" t="s">
        <v>1739</v>
      </c>
      <c r="F1861" t="s">
        <v>24</v>
      </c>
      <c r="G1861" t="s">
        <v>51</v>
      </c>
      <c r="H1861" t="s">
        <v>32</v>
      </c>
      <c r="I1861" t="s">
        <v>67</v>
      </c>
      <c r="J1861" t="s">
        <v>93</v>
      </c>
      <c r="K1861">
        <v>4</v>
      </c>
      <c r="L1861" s="2">
        <v>198.42</v>
      </c>
      <c r="M1861" s="3">
        <v>0</v>
      </c>
      <c r="N1861" t="s">
        <v>38</v>
      </c>
      <c r="O1861" s="2">
        <v>793.68</v>
      </c>
      <c r="P1861" s="2">
        <v>524.15</v>
      </c>
      <c r="Q1861" s="2">
        <v>269.52999999999997</v>
      </c>
      <c r="R1861">
        <v>1</v>
      </c>
      <c r="S1861">
        <v>0</v>
      </c>
      <c r="T1861">
        <v>6</v>
      </c>
      <c r="U1861">
        <v>2</v>
      </c>
    </row>
    <row r="1862" spans="1:21" ht="16.5" x14ac:dyDescent="0.3">
      <c r="A1862" t="s">
        <v>1948</v>
      </c>
      <c r="B1862" s="1">
        <v>45595</v>
      </c>
      <c r="C1862">
        <v>2024</v>
      </c>
      <c r="D1862" t="s">
        <v>1738</v>
      </c>
      <c r="E1862" t="s">
        <v>1739</v>
      </c>
      <c r="F1862" t="s">
        <v>24</v>
      </c>
      <c r="G1862" t="s">
        <v>51</v>
      </c>
      <c r="H1862" t="s">
        <v>32</v>
      </c>
      <c r="I1862" t="s">
        <v>67</v>
      </c>
      <c r="J1862" t="s">
        <v>68</v>
      </c>
      <c r="K1862">
        <v>1</v>
      </c>
      <c r="L1862" s="2">
        <v>74.459999999999994</v>
      </c>
      <c r="M1862" s="3">
        <v>0</v>
      </c>
      <c r="N1862" t="s">
        <v>38</v>
      </c>
      <c r="O1862" s="2">
        <v>74.459999999999994</v>
      </c>
      <c r="P1862" s="2">
        <v>50.63</v>
      </c>
      <c r="Q1862" s="2">
        <v>23.83</v>
      </c>
      <c r="R1862">
        <v>1</v>
      </c>
      <c r="S1862">
        <v>0</v>
      </c>
      <c r="T1862">
        <v>3</v>
      </c>
      <c r="U1862">
        <v>5</v>
      </c>
    </row>
    <row r="1863" spans="1:21" ht="16.5" x14ac:dyDescent="0.3">
      <c r="A1863" t="s">
        <v>1949</v>
      </c>
      <c r="B1863" s="1">
        <v>45595</v>
      </c>
      <c r="C1863">
        <v>2024</v>
      </c>
      <c r="D1863" t="s">
        <v>1738</v>
      </c>
      <c r="E1863" t="s">
        <v>1739</v>
      </c>
      <c r="F1863" t="s">
        <v>31</v>
      </c>
      <c r="G1863" t="s">
        <v>65</v>
      </c>
      <c r="H1863" t="s">
        <v>32</v>
      </c>
      <c r="I1863" t="s">
        <v>67</v>
      </c>
      <c r="J1863" t="s">
        <v>103</v>
      </c>
      <c r="K1863">
        <v>4</v>
      </c>
      <c r="L1863" s="2">
        <v>83.06</v>
      </c>
      <c r="M1863" s="3">
        <v>0.15</v>
      </c>
      <c r="N1863" t="s">
        <v>34</v>
      </c>
      <c r="O1863" s="2">
        <v>282.39999999999998</v>
      </c>
      <c r="P1863" s="2">
        <v>213.02</v>
      </c>
      <c r="Q1863" s="2">
        <v>69.38</v>
      </c>
      <c r="R1863">
        <v>1</v>
      </c>
      <c r="S1863">
        <v>1</v>
      </c>
      <c r="T1863">
        <v>6</v>
      </c>
      <c r="U1863">
        <v>2</v>
      </c>
    </row>
    <row r="1864" spans="1:21" ht="16.5" x14ac:dyDescent="0.3">
      <c r="A1864" t="s">
        <v>1950</v>
      </c>
      <c r="B1864" s="1">
        <v>45595</v>
      </c>
      <c r="C1864">
        <v>2024</v>
      </c>
      <c r="D1864" t="s">
        <v>1738</v>
      </c>
      <c r="E1864" t="s">
        <v>1739</v>
      </c>
      <c r="F1864" t="s">
        <v>24</v>
      </c>
      <c r="G1864" t="s">
        <v>51</v>
      </c>
      <c r="H1864" t="s">
        <v>32</v>
      </c>
      <c r="I1864" t="s">
        <v>27</v>
      </c>
      <c r="J1864" t="s">
        <v>60</v>
      </c>
      <c r="K1864">
        <v>1</v>
      </c>
      <c r="L1864" s="2">
        <v>94.85</v>
      </c>
      <c r="M1864" s="3">
        <v>0</v>
      </c>
      <c r="N1864" t="s">
        <v>38</v>
      </c>
      <c r="O1864" s="2">
        <v>94.85</v>
      </c>
      <c r="P1864" s="2">
        <v>48.92</v>
      </c>
      <c r="Q1864" s="2">
        <v>45.93</v>
      </c>
      <c r="R1864">
        <v>1</v>
      </c>
      <c r="S1864">
        <v>0</v>
      </c>
      <c r="T1864">
        <v>2</v>
      </c>
      <c r="U1864">
        <v>4</v>
      </c>
    </row>
    <row r="1865" spans="1:21" ht="16.5" x14ac:dyDescent="0.3">
      <c r="A1865" t="s">
        <v>1951</v>
      </c>
      <c r="B1865" s="1">
        <v>45596</v>
      </c>
      <c r="C1865">
        <v>2024</v>
      </c>
      <c r="D1865" t="s">
        <v>1738</v>
      </c>
      <c r="E1865" t="s">
        <v>1739</v>
      </c>
      <c r="F1865" t="s">
        <v>31</v>
      </c>
      <c r="G1865" t="s">
        <v>25</v>
      </c>
      <c r="H1865" t="s">
        <v>26</v>
      </c>
      <c r="I1865" t="s">
        <v>27</v>
      </c>
      <c r="J1865" t="s">
        <v>33</v>
      </c>
      <c r="K1865">
        <v>1</v>
      </c>
      <c r="L1865" s="2">
        <v>78.510000000000005</v>
      </c>
      <c r="M1865" s="3">
        <v>0</v>
      </c>
      <c r="N1865" t="s">
        <v>38</v>
      </c>
      <c r="O1865" s="2">
        <v>78.510000000000005</v>
      </c>
      <c r="P1865" s="2">
        <v>43.76</v>
      </c>
      <c r="Q1865" s="2">
        <v>34.75</v>
      </c>
      <c r="R1865">
        <v>1</v>
      </c>
      <c r="S1865">
        <v>0</v>
      </c>
      <c r="T1865">
        <v>3</v>
      </c>
      <c r="U1865">
        <v>5</v>
      </c>
    </row>
    <row r="1866" spans="1:21" ht="16.5" x14ac:dyDescent="0.3">
      <c r="A1866" t="s">
        <v>1952</v>
      </c>
      <c r="B1866" s="1">
        <v>45596</v>
      </c>
      <c r="C1866">
        <v>2024</v>
      </c>
      <c r="D1866" t="s">
        <v>1738</v>
      </c>
      <c r="E1866" t="s">
        <v>1739</v>
      </c>
      <c r="F1866" t="s">
        <v>24</v>
      </c>
      <c r="G1866" t="s">
        <v>49</v>
      </c>
      <c r="H1866" t="s">
        <v>26</v>
      </c>
      <c r="I1866" t="s">
        <v>27</v>
      </c>
      <c r="J1866" t="s">
        <v>28</v>
      </c>
      <c r="K1866">
        <v>1</v>
      </c>
      <c r="L1866" s="2">
        <v>138.5</v>
      </c>
      <c r="M1866" s="3">
        <v>0.05</v>
      </c>
      <c r="N1866" t="s">
        <v>29</v>
      </c>
      <c r="O1866" s="2">
        <v>131.57</v>
      </c>
      <c r="P1866" s="2">
        <v>73.95</v>
      </c>
      <c r="Q1866" s="2">
        <v>57.62</v>
      </c>
      <c r="R1866">
        <v>1</v>
      </c>
      <c r="S1866">
        <v>0</v>
      </c>
      <c r="T1866">
        <v>3</v>
      </c>
      <c r="U1866">
        <v>5</v>
      </c>
    </row>
    <row r="1867" spans="1:21" ht="16.5" x14ac:dyDescent="0.3">
      <c r="A1867" t="s">
        <v>1953</v>
      </c>
      <c r="B1867" s="1">
        <v>45596</v>
      </c>
      <c r="C1867">
        <v>2024</v>
      </c>
      <c r="D1867" t="s">
        <v>1738</v>
      </c>
      <c r="E1867" t="s">
        <v>1739</v>
      </c>
      <c r="F1867" t="s">
        <v>24</v>
      </c>
      <c r="G1867" t="s">
        <v>25</v>
      </c>
      <c r="H1867" t="s">
        <v>32</v>
      </c>
      <c r="I1867" t="s">
        <v>70</v>
      </c>
      <c r="J1867" t="s">
        <v>87</v>
      </c>
      <c r="K1867">
        <v>1</v>
      </c>
      <c r="L1867" s="2">
        <v>490.3</v>
      </c>
      <c r="M1867" s="3">
        <v>0.05</v>
      </c>
      <c r="N1867" t="s">
        <v>29</v>
      </c>
      <c r="O1867" s="2">
        <v>465.78</v>
      </c>
      <c r="P1867" s="2">
        <v>388.07</v>
      </c>
      <c r="Q1867" s="2">
        <v>77.709999999999994</v>
      </c>
      <c r="R1867">
        <v>1</v>
      </c>
      <c r="S1867">
        <v>0</v>
      </c>
      <c r="T1867">
        <v>6</v>
      </c>
      <c r="U1867">
        <v>3</v>
      </c>
    </row>
    <row r="1868" spans="1:21" ht="16.5" x14ac:dyDescent="0.3">
      <c r="A1868" t="s">
        <v>1954</v>
      </c>
      <c r="B1868" s="1">
        <v>45596</v>
      </c>
      <c r="C1868">
        <v>2024</v>
      </c>
      <c r="D1868" t="s">
        <v>1738</v>
      </c>
      <c r="E1868" t="s">
        <v>1739</v>
      </c>
      <c r="F1868" t="s">
        <v>45</v>
      </c>
      <c r="G1868" t="s">
        <v>25</v>
      </c>
      <c r="H1868" t="s">
        <v>26</v>
      </c>
      <c r="I1868" t="s">
        <v>27</v>
      </c>
      <c r="J1868" t="s">
        <v>60</v>
      </c>
      <c r="K1868">
        <v>1</v>
      </c>
      <c r="L1868" s="2">
        <v>94.85</v>
      </c>
      <c r="M1868" s="3">
        <v>0.05</v>
      </c>
      <c r="N1868" t="s">
        <v>29</v>
      </c>
      <c r="O1868" s="2">
        <v>90.11</v>
      </c>
      <c r="P1868" s="2">
        <v>49.77</v>
      </c>
      <c r="Q1868" s="2">
        <v>40.340000000000003</v>
      </c>
      <c r="R1868">
        <v>1</v>
      </c>
      <c r="S1868">
        <v>0</v>
      </c>
      <c r="T1868">
        <v>4</v>
      </c>
      <c r="U1868">
        <v>4</v>
      </c>
    </row>
    <row r="1869" spans="1:21" ht="16.5" x14ac:dyDescent="0.3">
      <c r="A1869" t="s">
        <v>1955</v>
      </c>
      <c r="B1869" s="1">
        <v>45596</v>
      </c>
      <c r="C1869">
        <v>2024</v>
      </c>
      <c r="D1869" t="s">
        <v>1738</v>
      </c>
      <c r="E1869" t="s">
        <v>1739</v>
      </c>
      <c r="F1869" t="s">
        <v>45</v>
      </c>
      <c r="G1869" t="s">
        <v>25</v>
      </c>
      <c r="H1869" t="s">
        <v>26</v>
      </c>
      <c r="I1869" t="s">
        <v>27</v>
      </c>
      <c r="J1869" t="s">
        <v>110</v>
      </c>
      <c r="K1869">
        <v>1</v>
      </c>
      <c r="L1869" s="2">
        <v>19.41</v>
      </c>
      <c r="M1869" s="3">
        <v>0.1</v>
      </c>
      <c r="N1869" t="s">
        <v>29</v>
      </c>
      <c r="O1869" s="2">
        <v>17.47</v>
      </c>
      <c r="P1869" s="2">
        <v>11.16</v>
      </c>
      <c r="Q1869" s="2">
        <v>6.31</v>
      </c>
      <c r="R1869">
        <v>1</v>
      </c>
      <c r="S1869">
        <v>1</v>
      </c>
      <c r="T1869">
        <v>4</v>
      </c>
      <c r="U1869">
        <v>3</v>
      </c>
    </row>
    <row r="1870" spans="1:21" ht="16.5" x14ac:dyDescent="0.3">
      <c r="A1870" t="s">
        <v>1956</v>
      </c>
      <c r="B1870" s="1">
        <v>45596</v>
      </c>
      <c r="C1870">
        <v>2024</v>
      </c>
      <c r="D1870" t="s">
        <v>1738</v>
      </c>
      <c r="E1870" t="s">
        <v>1739</v>
      </c>
      <c r="F1870" t="s">
        <v>31</v>
      </c>
      <c r="G1870" t="s">
        <v>46</v>
      </c>
      <c r="H1870" t="s">
        <v>26</v>
      </c>
      <c r="I1870" t="s">
        <v>84</v>
      </c>
      <c r="J1870" t="s">
        <v>96</v>
      </c>
      <c r="K1870">
        <v>1</v>
      </c>
      <c r="L1870" s="2">
        <v>10.76</v>
      </c>
      <c r="M1870" s="3">
        <v>0.25</v>
      </c>
      <c r="N1870" t="s">
        <v>62</v>
      </c>
      <c r="O1870" s="2">
        <v>8.07</v>
      </c>
      <c r="P1870" s="2">
        <v>7.61</v>
      </c>
      <c r="Q1870" s="2">
        <v>0.46</v>
      </c>
      <c r="R1870">
        <v>1</v>
      </c>
      <c r="S1870">
        <v>0</v>
      </c>
      <c r="T1870">
        <v>6</v>
      </c>
      <c r="U1870">
        <v>3</v>
      </c>
    </row>
    <row r="1871" spans="1:21" ht="16.5" x14ac:dyDescent="0.3">
      <c r="A1871" t="s">
        <v>1957</v>
      </c>
      <c r="B1871" s="1">
        <v>45596</v>
      </c>
      <c r="C1871">
        <v>2024</v>
      </c>
      <c r="D1871" t="s">
        <v>1738</v>
      </c>
      <c r="E1871" t="s">
        <v>1739</v>
      </c>
      <c r="F1871" t="s">
        <v>45</v>
      </c>
      <c r="G1871" t="s">
        <v>25</v>
      </c>
      <c r="H1871" t="s">
        <v>26</v>
      </c>
      <c r="I1871" t="s">
        <v>70</v>
      </c>
      <c r="J1871" t="s">
        <v>87</v>
      </c>
      <c r="K1871">
        <v>3</v>
      </c>
      <c r="L1871" s="2">
        <v>490.3</v>
      </c>
      <c r="M1871" s="3">
        <v>0.05</v>
      </c>
      <c r="N1871" t="s">
        <v>29</v>
      </c>
      <c r="O1871" s="2">
        <v>1397.36</v>
      </c>
      <c r="P1871" s="2">
        <v>1138.56</v>
      </c>
      <c r="Q1871" s="2">
        <v>258.8</v>
      </c>
      <c r="R1871">
        <v>1</v>
      </c>
      <c r="S1871">
        <v>0</v>
      </c>
      <c r="T1871">
        <v>7</v>
      </c>
      <c r="U1871">
        <v>3</v>
      </c>
    </row>
    <row r="1872" spans="1:21" ht="16.5" x14ac:dyDescent="0.3">
      <c r="A1872" t="s">
        <v>1958</v>
      </c>
      <c r="B1872" s="1">
        <v>45597</v>
      </c>
      <c r="C1872">
        <v>2024</v>
      </c>
      <c r="D1872" t="s">
        <v>1738</v>
      </c>
      <c r="E1872" t="s">
        <v>1959</v>
      </c>
      <c r="F1872" t="s">
        <v>31</v>
      </c>
      <c r="G1872" t="s">
        <v>49</v>
      </c>
      <c r="H1872" t="s">
        <v>32</v>
      </c>
      <c r="I1872" t="s">
        <v>27</v>
      </c>
      <c r="J1872" t="s">
        <v>110</v>
      </c>
      <c r="K1872">
        <v>2</v>
      </c>
      <c r="L1872" s="2">
        <v>19.41</v>
      </c>
      <c r="M1872" s="3">
        <v>0.05</v>
      </c>
      <c r="N1872" t="s">
        <v>29</v>
      </c>
      <c r="O1872" s="2">
        <v>36.880000000000003</v>
      </c>
      <c r="P1872" s="2">
        <v>20.059999999999999</v>
      </c>
      <c r="Q1872" s="2">
        <v>16.82</v>
      </c>
      <c r="R1872">
        <v>1</v>
      </c>
      <c r="S1872">
        <v>0</v>
      </c>
      <c r="T1872">
        <v>5</v>
      </c>
      <c r="U1872">
        <v>5</v>
      </c>
    </row>
    <row r="1873" spans="1:21" ht="16.5" x14ac:dyDescent="0.3">
      <c r="A1873" t="s">
        <v>1960</v>
      </c>
      <c r="B1873" s="1">
        <v>45597</v>
      </c>
      <c r="C1873">
        <v>2024</v>
      </c>
      <c r="D1873" t="s">
        <v>1738</v>
      </c>
      <c r="E1873" t="s">
        <v>1959</v>
      </c>
      <c r="F1873" t="s">
        <v>24</v>
      </c>
      <c r="G1873" t="s">
        <v>51</v>
      </c>
      <c r="H1873" t="s">
        <v>32</v>
      </c>
      <c r="I1873" t="s">
        <v>70</v>
      </c>
      <c r="J1873" t="s">
        <v>129</v>
      </c>
      <c r="K1873">
        <v>2</v>
      </c>
      <c r="L1873" s="2">
        <v>177.65</v>
      </c>
      <c r="M1873" s="3">
        <v>0.1</v>
      </c>
      <c r="N1873" t="s">
        <v>29</v>
      </c>
      <c r="O1873" s="2">
        <v>319.77</v>
      </c>
      <c r="P1873" s="2">
        <v>282.95</v>
      </c>
      <c r="Q1873" s="2">
        <v>36.82</v>
      </c>
      <c r="R1873">
        <v>1</v>
      </c>
      <c r="S1873">
        <v>0</v>
      </c>
      <c r="T1873">
        <v>3</v>
      </c>
      <c r="U1873">
        <v>4</v>
      </c>
    </row>
    <row r="1874" spans="1:21" ht="16.5" x14ac:dyDescent="0.3">
      <c r="A1874" t="s">
        <v>1961</v>
      </c>
      <c r="B1874" s="1">
        <v>45597</v>
      </c>
      <c r="C1874">
        <v>2024</v>
      </c>
      <c r="D1874" t="s">
        <v>1738</v>
      </c>
      <c r="E1874" t="s">
        <v>1959</v>
      </c>
      <c r="F1874" t="s">
        <v>24</v>
      </c>
      <c r="G1874" t="s">
        <v>51</v>
      </c>
      <c r="H1874" t="s">
        <v>26</v>
      </c>
      <c r="I1874" t="s">
        <v>70</v>
      </c>
      <c r="J1874" t="s">
        <v>252</v>
      </c>
      <c r="K1874">
        <v>1</v>
      </c>
      <c r="L1874" s="2">
        <v>216.08</v>
      </c>
      <c r="M1874" s="3">
        <v>0.15</v>
      </c>
      <c r="N1874" t="s">
        <v>34</v>
      </c>
      <c r="O1874" s="2">
        <v>183.67</v>
      </c>
      <c r="P1874" s="2">
        <v>178.87</v>
      </c>
      <c r="Q1874" s="2">
        <v>4.8</v>
      </c>
      <c r="R1874">
        <v>1</v>
      </c>
      <c r="S1874">
        <v>1</v>
      </c>
      <c r="T1874">
        <v>3</v>
      </c>
      <c r="U1874">
        <v>3</v>
      </c>
    </row>
    <row r="1875" spans="1:21" ht="16.5" x14ac:dyDescent="0.3">
      <c r="A1875" t="s">
        <v>1962</v>
      </c>
      <c r="B1875" s="1">
        <v>45597</v>
      </c>
      <c r="C1875">
        <v>2024</v>
      </c>
      <c r="D1875" t="s">
        <v>1738</v>
      </c>
      <c r="E1875" t="s">
        <v>1959</v>
      </c>
      <c r="F1875" t="s">
        <v>24</v>
      </c>
      <c r="G1875" t="s">
        <v>25</v>
      </c>
      <c r="H1875" t="s">
        <v>32</v>
      </c>
      <c r="I1875" t="s">
        <v>70</v>
      </c>
      <c r="J1875" t="s">
        <v>71</v>
      </c>
      <c r="K1875">
        <v>1</v>
      </c>
      <c r="L1875" s="2">
        <v>588.41</v>
      </c>
      <c r="M1875" s="3">
        <v>0.25</v>
      </c>
      <c r="N1875" t="s">
        <v>62</v>
      </c>
      <c r="O1875" s="2">
        <v>441.31</v>
      </c>
      <c r="P1875" s="2">
        <v>486.21</v>
      </c>
      <c r="Q1875" s="2">
        <v>-44.9</v>
      </c>
      <c r="R1875">
        <v>1</v>
      </c>
      <c r="S1875">
        <v>0</v>
      </c>
      <c r="T1875">
        <v>5</v>
      </c>
      <c r="U1875">
        <v>4</v>
      </c>
    </row>
    <row r="1876" spans="1:21" ht="16.5" x14ac:dyDescent="0.3">
      <c r="A1876" t="s">
        <v>1963</v>
      </c>
      <c r="B1876" s="1">
        <v>45597</v>
      </c>
      <c r="C1876">
        <v>2024</v>
      </c>
      <c r="D1876" t="s">
        <v>1738</v>
      </c>
      <c r="E1876" t="s">
        <v>1959</v>
      </c>
      <c r="F1876" t="s">
        <v>45</v>
      </c>
      <c r="G1876" t="s">
        <v>51</v>
      </c>
      <c r="H1876" t="s">
        <v>26</v>
      </c>
      <c r="I1876" t="s">
        <v>42</v>
      </c>
      <c r="J1876" t="s">
        <v>98</v>
      </c>
      <c r="K1876">
        <v>2</v>
      </c>
      <c r="L1876" s="2">
        <v>117.63</v>
      </c>
      <c r="M1876" s="3">
        <v>0.3</v>
      </c>
      <c r="N1876" t="s">
        <v>62</v>
      </c>
      <c r="O1876" s="2">
        <v>164.68</v>
      </c>
      <c r="P1876" s="2">
        <v>152.22</v>
      </c>
      <c r="Q1876" s="2">
        <v>12.46</v>
      </c>
      <c r="R1876">
        <v>1</v>
      </c>
      <c r="S1876">
        <v>0</v>
      </c>
      <c r="T1876">
        <v>3</v>
      </c>
      <c r="U1876">
        <v>5</v>
      </c>
    </row>
    <row r="1877" spans="1:21" ht="16.5" x14ac:dyDescent="0.3">
      <c r="A1877" t="s">
        <v>1964</v>
      </c>
      <c r="B1877" s="1">
        <v>45597</v>
      </c>
      <c r="C1877">
        <v>2024</v>
      </c>
      <c r="D1877" t="s">
        <v>1738</v>
      </c>
      <c r="E1877" t="s">
        <v>1959</v>
      </c>
      <c r="F1877" t="s">
        <v>24</v>
      </c>
      <c r="G1877" t="s">
        <v>51</v>
      </c>
      <c r="H1877" t="s">
        <v>32</v>
      </c>
      <c r="I1877" t="s">
        <v>36</v>
      </c>
      <c r="J1877" t="s">
        <v>52</v>
      </c>
      <c r="K1877">
        <v>1</v>
      </c>
      <c r="L1877" s="2">
        <v>92.54</v>
      </c>
      <c r="M1877" s="3">
        <v>0.2</v>
      </c>
      <c r="N1877" t="s">
        <v>34</v>
      </c>
      <c r="O1877" s="2">
        <v>74.03</v>
      </c>
      <c r="P1877" s="2">
        <v>45.62</v>
      </c>
      <c r="Q1877" s="2">
        <v>28.41</v>
      </c>
      <c r="R1877">
        <v>1</v>
      </c>
      <c r="S1877">
        <v>1</v>
      </c>
      <c r="T1877">
        <v>3</v>
      </c>
      <c r="U1877">
        <v>3</v>
      </c>
    </row>
    <row r="1878" spans="1:21" ht="16.5" x14ac:dyDescent="0.3">
      <c r="A1878" t="s">
        <v>1965</v>
      </c>
      <c r="B1878" s="1">
        <v>45597</v>
      </c>
      <c r="C1878">
        <v>2024</v>
      </c>
      <c r="D1878" t="s">
        <v>1738</v>
      </c>
      <c r="E1878" t="s">
        <v>1959</v>
      </c>
      <c r="F1878" t="s">
        <v>31</v>
      </c>
      <c r="G1878" t="s">
        <v>25</v>
      </c>
      <c r="H1878" t="s">
        <v>32</v>
      </c>
      <c r="I1878" t="s">
        <v>70</v>
      </c>
      <c r="J1878" t="s">
        <v>252</v>
      </c>
      <c r="K1878">
        <v>1</v>
      </c>
      <c r="L1878" s="2">
        <v>216.08</v>
      </c>
      <c r="M1878" s="3">
        <v>0.3</v>
      </c>
      <c r="N1878" t="s">
        <v>62</v>
      </c>
      <c r="O1878" s="2">
        <v>151.26</v>
      </c>
      <c r="P1878" s="2">
        <v>167.2</v>
      </c>
      <c r="Q1878" s="2">
        <v>-15.94</v>
      </c>
      <c r="R1878">
        <v>1</v>
      </c>
      <c r="S1878">
        <v>0</v>
      </c>
      <c r="T1878">
        <v>4</v>
      </c>
      <c r="U1878">
        <v>5</v>
      </c>
    </row>
    <row r="1879" spans="1:21" ht="16.5" x14ac:dyDescent="0.3">
      <c r="A1879" t="s">
        <v>1966</v>
      </c>
      <c r="B1879" s="1">
        <v>45597</v>
      </c>
      <c r="C1879">
        <v>2024</v>
      </c>
      <c r="D1879" t="s">
        <v>1738</v>
      </c>
      <c r="E1879" t="s">
        <v>1959</v>
      </c>
      <c r="F1879" t="s">
        <v>45</v>
      </c>
      <c r="G1879" t="s">
        <v>25</v>
      </c>
      <c r="H1879" t="s">
        <v>26</v>
      </c>
      <c r="I1879" t="s">
        <v>27</v>
      </c>
      <c r="J1879" t="s">
        <v>60</v>
      </c>
      <c r="K1879">
        <v>1</v>
      </c>
      <c r="L1879" s="2">
        <v>94.85</v>
      </c>
      <c r="M1879" s="3">
        <v>0.15</v>
      </c>
      <c r="N1879" t="s">
        <v>34</v>
      </c>
      <c r="O1879" s="2">
        <v>80.62</v>
      </c>
      <c r="P1879" s="2">
        <v>51.09</v>
      </c>
      <c r="Q1879" s="2">
        <v>29.53</v>
      </c>
      <c r="R1879">
        <v>1</v>
      </c>
      <c r="S1879">
        <v>1</v>
      </c>
      <c r="T1879">
        <v>7</v>
      </c>
      <c r="U1879">
        <v>2</v>
      </c>
    </row>
    <row r="1880" spans="1:21" ht="16.5" x14ac:dyDescent="0.3">
      <c r="A1880" t="s">
        <v>1967</v>
      </c>
      <c r="B1880" s="1">
        <v>45597</v>
      </c>
      <c r="C1880">
        <v>2024</v>
      </c>
      <c r="D1880" t="s">
        <v>1738</v>
      </c>
      <c r="E1880" t="s">
        <v>1959</v>
      </c>
      <c r="F1880" t="s">
        <v>24</v>
      </c>
      <c r="G1880" t="s">
        <v>65</v>
      </c>
      <c r="H1880" t="s">
        <v>26</v>
      </c>
      <c r="I1880" t="s">
        <v>70</v>
      </c>
      <c r="J1880" t="s">
        <v>71</v>
      </c>
      <c r="K1880">
        <v>2</v>
      </c>
      <c r="L1880" s="2">
        <v>588.41</v>
      </c>
      <c r="M1880" s="3">
        <v>0</v>
      </c>
      <c r="N1880" t="s">
        <v>38</v>
      </c>
      <c r="O1880" s="2">
        <v>1176.82</v>
      </c>
      <c r="P1880" s="2">
        <v>970.32</v>
      </c>
      <c r="Q1880" s="2">
        <v>206.5</v>
      </c>
      <c r="R1880">
        <v>1</v>
      </c>
      <c r="S1880">
        <v>0</v>
      </c>
      <c r="T1880">
        <v>8</v>
      </c>
      <c r="U1880">
        <v>3</v>
      </c>
    </row>
    <row r="1881" spans="1:21" ht="16.5" x14ac:dyDescent="0.3">
      <c r="A1881" t="s">
        <v>1968</v>
      </c>
      <c r="B1881" s="1">
        <v>45597</v>
      </c>
      <c r="C1881">
        <v>2024</v>
      </c>
      <c r="D1881" t="s">
        <v>1738</v>
      </c>
      <c r="E1881" t="s">
        <v>1959</v>
      </c>
      <c r="F1881" t="s">
        <v>31</v>
      </c>
      <c r="G1881" t="s">
        <v>25</v>
      </c>
      <c r="H1881" t="s">
        <v>32</v>
      </c>
      <c r="I1881" t="s">
        <v>42</v>
      </c>
      <c r="J1881" t="s">
        <v>76</v>
      </c>
      <c r="K1881">
        <v>1</v>
      </c>
      <c r="L1881" s="2">
        <v>90.75</v>
      </c>
      <c r="M1881" s="3">
        <v>0.25</v>
      </c>
      <c r="N1881" t="s">
        <v>62</v>
      </c>
      <c r="O1881" s="2">
        <v>68.06</v>
      </c>
      <c r="P1881" s="2">
        <v>59.99</v>
      </c>
      <c r="Q1881" s="2">
        <v>8.07</v>
      </c>
      <c r="R1881">
        <v>1</v>
      </c>
      <c r="S1881">
        <v>0</v>
      </c>
      <c r="T1881">
        <v>7</v>
      </c>
      <c r="U1881">
        <v>2</v>
      </c>
    </row>
    <row r="1882" spans="1:21" ht="16.5" x14ac:dyDescent="0.3">
      <c r="A1882" t="s">
        <v>1969</v>
      </c>
      <c r="B1882" s="1">
        <v>45597</v>
      </c>
      <c r="C1882">
        <v>2024</v>
      </c>
      <c r="D1882" t="s">
        <v>1738</v>
      </c>
      <c r="E1882" t="s">
        <v>1959</v>
      </c>
      <c r="F1882" t="s">
        <v>31</v>
      </c>
      <c r="G1882" t="s">
        <v>65</v>
      </c>
      <c r="H1882" t="s">
        <v>32</v>
      </c>
      <c r="I1882" t="s">
        <v>42</v>
      </c>
      <c r="J1882" t="s">
        <v>43</v>
      </c>
      <c r="K1882">
        <v>1</v>
      </c>
      <c r="L1882" s="2">
        <v>154.66</v>
      </c>
      <c r="M1882" s="3">
        <v>0.2</v>
      </c>
      <c r="N1882" t="s">
        <v>34</v>
      </c>
      <c r="O1882" s="2">
        <v>123.73</v>
      </c>
      <c r="P1882" s="2">
        <v>102.9</v>
      </c>
      <c r="Q1882" s="2">
        <v>20.83</v>
      </c>
      <c r="R1882">
        <v>1</v>
      </c>
      <c r="S1882">
        <v>0</v>
      </c>
      <c r="T1882">
        <v>6</v>
      </c>
      <c r="U1882">
        <v>4</v>
      </c>
    </row>
    <row r="1883" spans="1:21" ht="16.5" x14ac:dyDescent="0.3">
      <c r="A1883" t="s">
        <v>1970</v>
      </c>
      <c r="B1883" s="1">
        <v>45597</v>
      </c>
      <c r="C1883">
        <v>2024</v>
      </c>
      <c r="D1883" t="s">
        <v>1738</v>
      </c>
      <c r="E1883" t="s">
        <v>1959</v>
      </c>
      <c r="F1883" t="s">
        <v>31</v>
      </c>
      <c r="G1883" t="s">
        <v>65</v>
      </c>
      <c r="H1883" t="s">
        <v>32</v>
      </c>
      <c r="I1883" t="s">
        <v>67</v>
      </c>
      <c r="J1883" t="s">
        <v>93</v>
      </c>
      <c r="K1883">
        <v>1</v>
      </c>
      <c r="L1883" s="2">
        <v>198.42</v>
      </c>
      <c r="M1883" s="3">
        <v>0.2</v>
      </c>
      <c r="N1883" t="s">
        <v>34</v>
      </c>
      <c r="O1883" s="2">
        <v>158.74</v>
      </c>
      <c r="P1883" s="2">
        <v>142.30000000000001</v>
      </c>
      <c r="Q1883" s="2">
        <v>16.440000000000001</v>
      </c>
      <c r="R1883">
        <v>1</v>
      </c>
      <c r="S1883">
        <v>0</v>
      </c>
      <c r="T1883">
        <v>6</v>
      </c>
      <c r="U1883">
        <v>3</v>
      </c>
    </row>
    <row r="1884" spans="1:21" ht="16.5" x14ac:dyDescent="0.3">
      <c r="A1884" t="s">
        <v>1971</v>
      </c>
      <c r="B1884" s="1">
        <v>45597</v>
      </c>
      <c r="C1884">
        <v>2024</v>
      </c>
      <c r="D1884" t="s">
        <v>1738</v>
      </c>
      <c r="E1884" t="s">
        <v>1959</v>
      </c>
      <c r="F1884" t="s">
        <v>24</v>
      </c>
      <c r="G1884" t="s">
        <v>51</v>
      </c>
      <c r="H1884" t="s">
        <v>26</v>
      </c>
      <c r="I1884" t="s">
        <v>27</v>
      </c>
      <c r="J1884" t="s">
        <v>28</v>
      </c>
      <c r="K1884">
        <v>1</v>
      </c>
      <c r="L1884" s="2">
        <v>138.5</v>
      </c>
      <c r="M1884" s="3">
        <v>0.2</v>
      </c>
      <c r="N1884" t="s">
        <v>34</v>
      </c>
      <c r="O1884" s="2">
        <v>110.8</v>
      </c>
      <c r="P1884" s="2">
        <v>73.88</v>
      </c>
      <c r="Q1884" s="2">
        <v>36.92</v>
      </c>
      <c r="R1884">
        <v>1</v>
      </c>
      <c r="S1884">
        <v>0</v>
      </c>
      <c r="T1884">
        <v>3</v>
      </c>
      <c r="U1884">
        <v>5</v>
      </c>
    </row>
    <row r="1885" spans="1:21" ht="16.5" x14ac:dyDescent="0.3">
      <c r="A1885" t="s">
        <v>1972</v>
      </c>
      <c r="B1885" s="1">
        <v>45597</v>
      </c>
      <c r="C1885">
        <v>2024</v>
      </c>
      <c r="D1885" t="s">
        <v>1738</v>
      </c>
      <c r="E1885" t="s">
        <v>1959</v>
      </c>
      <c r="F1885" t="s">
        <v>24</v>
      </c>
      <c r="G1885" t="s">
        <v>65</v>
      </c>
      <c r="H1885" t="s">
        <v>32</v>
      </c>
      <c r="I1885" t="s">
        <v>70</v>
      </c>
      <c r="J1885" t="s">
        <v>82</v>
      </c>
      <c r="K1885">
        <v>1</v>
      </c>
      <c r="L1885" s="2">
        <v>508.8</v>
      </c>
      <c r="M1885" s="3">
        <v>0.15</v>
      </c>
      <c r="N1885" t="s">
        <v>34</v>
      </c>
      <c r="O1885" s="2">
        <v>432.48</v>
      </c>
      <c r="P1885" s="2">
        <v>400.24</v>
      </c>
      <c r="Q1885" s="2">
        <v>32.24</v>
      </c>
      <c r="R1885">
        <v>1</v>
      </c>
      <c r="S1885">
        <v>0</v>
      </c>
      <c r="T1885">
        <v>6</v>
      </c>
      <c r="U1885">
        <v>2</v>
      </c>
    </row>
    <row r="1886" spans="1:21" ht="16.5" x14ac:dyDescent="0.3">
      <c r="A1886" t="s">
        <v>1973</v>
      </c>
      <c r="B1886" s="1">
        <v>45597</v>
      </c>
      <c r="C1886">
        <v>2024</v>
      </c>
      <c r="D1886" t="s">
        <v>1738</v>
      </c>
      <c r="E1886" t="s">
        <v>1959</v>
      </c>
      <c r="F1886" t="s">
        <v>45</v>
      </c>
      <c r="G1886" t="s">
        <v>51</v>
      </c>
      <c r="H1886" t="s">
        <v>26</v>
      </c>
      <c r="I1886" t="s">
        <v>27</v>
      </c>
      <c r="J1886" t="s">
        <v>60</v>
      </c>
      <c r="K1886">
        <v>1</v>
      </c>
      <c r="L1886" s="2">
        <v>94.85</v>
      </c>
      <c r="M1886" s="3">
        <v>0.25</v>
      </c>
      <c r="N1886" t="s">
        <v>62</v>
      </c>
      <c r="O1886" s="2">
        <v>71.14</v>
      </c>
      <c r="P1886" s="2">
        <v>50.34</v>
      </c>
      <c r="Q1886" s="2">
        <v>20.8</v>
      </c>
      <c r="R1886">
        <v>1</v>
      </c>
      <c r="S1886">
        <v>0</v>
      </c>
      <c r="T1886">
        <v>4</v>
      </c>
      <c r="U1886">
        <v>4</v>
      </c>
    </row>
    <row r="1887" spans="1:21" ht="16.5" x14ac:dyDescent="0.3">
      <c r="A1887" t="s">
        <v>1974</v>
      </c>
      <c r="B1887" s="1">
        <v>45597</v>
      </c>
      <c r="C1887">
        <v>2024</v>
      </c>
      <c r="D1887" t="s">
        <v>1738</v>
      </c>
      <c r="E1887" t="s">
        <v>1959</v>
      </c>
      <c r="F1887" t="s">
        <v>45</v>
      </c>
      <c r="G1887" t="s">
        <v>49</v>
      </c>
      <c r="H1887" t="s">
        <v>32</v>
      </c>
      <c r="I1887" t="s">
        <v>36</v>
      </c>
      <c r="J1887" t="s">
        <v>56</v>
      </c>
      <c r="K1887">
        <v>1</v>
      </c>
      <c r="L1887" s="2">
        <v>74.3</v>
      </c>
      <c r="M1887" s="3">
        <v>0.15</v>
      </c>
      <c r="N1887" t="s">
        <v>34</v>
      </c>
      <c r="O1887" s="2">
        <v>63.15</v>
      </c>
      <c r="P1887" s="2">
        <v>34.39</v>
      </c>
      <c r="Q1887" s="2">
        <v>28.76</v>
      </c>
      <c r="R1887">
        <v>1</v>
      </c>
      <c r="S1887">
        <v>0</v>
      </c>
      <c r="T1887">
        <v>4</v>
      </c>
      <c r="U1887">
        <v>5</v>
      </c>
    </row>
    <row r="1888" spans="1:21" ht="16.5" x14ac:dyDescent="0.3">
      <c r="A1888" t="s">
        <v>1975</v>
      </c>
      <c r="B1888" s="1">
        <v>45598</v>
      </c>
      <c r="C1888">
        <v>2024</v>
      </c>
      <c r="D1888" t="s">
        <v>1738</v>
      </c>
      <c r="E1888" t="s">
        <v>1959</v>
      </c>
      <c r="F1888" t="s">
        <v>31</v>
      </c>
      <c r="G1888" t="s">
        <v>25</v>
      </c>
      <c r="H1888" t="s">
        <v>32</v>
      </c>
      <c r="I1888" t="s">
        <v>36</v>
      </c>
      <c r="J1888" t="s">
        <v>126</v>
      </c>
      <c r="K1888">
        <v>1</v>
      </c>
      <c r="L1888" s="2">
        <v>54.56</v>
      </c>
      <c r="M1888" s="3">
        <v>0.25</v>
      </c>
      <c r="N1888" t="s">
        <v>62</v>
      </c>
      <c r="O1888" s="2">
        <v>40.92</v>
      </c>
      <c r="P1888" s="2">
        <v>26.28</v>
      </c>
      <c r="Q1888" s="2">
        <v>14.64</v>
      </c>
      <c r="R1888">
        <v>1</v>
      </c>
      <c r="S1888">
        <v>0</v>
      </c>
      <c r="T1888">
        <v>4</v>
      </c>
      <c r="U1888">
        <v>5</v>
      </c>
    </row>
    <row r="1889" spans="1:21" ht="16.5" x14ac:dyDescent="0.3">
      <c r="A1889" t="s">
        <v>1976</v>
      </c>
      <c r="B1889" s="1">
        <v>45598</v>
      </c>
      <c r="C1889">
        <v>2024</v>
      </c>
      <c r="D1889" t="s">
        <v>1738</v>
      </c>
      <c r="E1889" t="s">
        <v>1959</v>
      </c>
      <c r="F1889" t="s">
        <v>24</v>
      </c>
      <c r="G1889" t="s">
        <v>65</v>
      </c>
      <c r="H1889" t="s">
        <v>32</v>
      </c>
      <c r="I1889" t="s">
        <v>36</v>
      </c>
      <c r="J1889" t="s">
        <v>37</v>
      </c>
      <c r="K1889">
        <v>1</v>
      </c>
      <c r="L1889" s="2">
        <v>33.18</v>
      </c>
      <c r="M1889" s="3">
        <v>0</v>
      </c>
      <c r="N1889" t="s">
        <v>38</v>
      </c>
      <c r="O1889" s="2">
        <v>33.18</v>
      </c>
      <c r="P1889" s="2">
        <v>15.27</v>
      </c>
      <c r="Q1889" s="2">
        <v>17.91</v>
      </c>
      <c r="R1889">
        <v>1</v>
      </c>
      <c r="S1889">
        <v>0</v>
      </c>
      <c r="T1889">
        <v>7</v>
      </c>
      <c r="U1889">
        <v>3</v>
      </c>
    </row>
    <row r="1890" spans="1:21" ht="16.5" x14ac:dyDescent="0.3">
      <c r="A1890" t="s">
        <v>1977</v>
      </c>
      <c r="B1890" s="1">
        <v>45598</v>
      </c>
      <c r="C1890">
        <v>2024</v>
      </c>
      <c r="D1890" t="s">
        <v>1738</v>
      </c>
      <c r="E1890" t="s">
        <v>1959</v>
      </c>
      <c r="F1890" t="s">
        <v>24</v>
      </c>
      <c r="G1890" t="s">
        <v>51</v>
      </c>
      <c r="H1890" t="s">
        <v>26</v>
      </c>
      <c r="I1890" t="s">
        <v>70</v>
      </c>
      <c r="J1890" t="s">
        <v>82</v>
      </c>
      <c r="K1890">
        <v>1</v>
      </c>
      <c r="L1890" s="2">
        <v>508.8</v>
      </c>
      <c r="M1890" s="3">
        <v>0.15</v>
      </c>
      <c r="N1890" t="s">
        <v>34</v>
      </c>
      <c r="O1890" s="2">
        <v>432.48</v>
      </c>
      <c r="P1890" s="2">
        <v>413.4</v>
      </c>
      <c r="Q1890" s="2">
        <v>19.079999999999998</v>
      </c>
      <c r="R1890">
        <v>1</v>
      </c>
      <c r="S1890">
        <v>0</v>
      </c>
      <c r="T1890">
        <v>3</v>
      </c>
      <c r="U1890">
        <v>4</v>
      </c>
    </row>
    <row r="1891" spans="1:21" ht="16.5" x14ac:dyDescent="0.3">
      <c r="A1891" t="s">
        <v>1978</v>
      </c>
      <c r="B1891" s="1">
        <v>45598</v>
      </c>
      <c r="C1891">
        <v>2024</v>
      </c>
      <c r="D1891" t="s">
        <v>1738</v>
      </c>
      <c r="E1891" t="s">
        <v>1959</v>
      </c>
      <c r="F1891" t="s">
        <v>31</v>
      </c>
      <c r="G1891" t="s">
        <v>51</v>
      </c>
      <c r="H1891" t="s">
        <v>32</v>
      </c>
      <c r="I1891" t="s">
        <v>36</v>
      </c>
      <c r="J1891" t="s">
        <v>52</v>
      </c>
      <c r="K1891">
        <v>2</v>
      </c>
      <c r="L1891" s="2">
        <v>92.54</v>
      </c>
      <c r="M1891" s="3">
        <v>0.2</v>
      </c>
      <c r="N1891" t="s">
        <v>34</v>
      </c>
      <c r="O1891" s="2">
        <v>148.06</v>
      </c>
      <c r="P1891" s="2">
        <v>86.8</v>
      </c>
      <c r="Q1891" s="2">
        <v>61.26</v>
      </c>
      <c r="R1891">
        <v>1</v>
      </c>
      <c r="S1891">
        <v>0</v>
      </c>
      <c r="T1891">
        <v>3</v>
      </c>
      <c r="U1891">
        <v>4</v>
      </c>
    </row>
    <row r="1892" spans="1:21" ht="16.5" x14ac:dyDescent="0.3">
      <c r="A1892" t="s">
        <v>1979</v>
      </c>
      <c r="B1892" s="1">
        <v>45598</v>
      </c>
      <c r="C1892">
        <v>2024</v>
      </c>
      <c r="D1892" t="s">
        <v>1738</v>
      </c>
      <c r="E1892" t="s">
        <v>1959</v>
      </c>
      <c r="F1892" t="s">
        <v>31</v>
      </c>
      <c r="G1892" t="s">
        <v>51</v>
      </c>
      <c r="H1892" t="s">
        <v>26</v>
      </c>
      <c r="I1892" t="s">
        <v>70</v>
      </c>
      <c r="J1892" t="s">
        <v>71</v>
      </c>
      <c r="K1892">
        <v>1</v>
      </c>
      <c r="L1892" s="2">
        <v>588.41</v>
      </c>
      <c r="M1892" s="3">
        <v>0.1</v>
      </c>
      <c r="N1892" t="s">
        <v>29</v>
      </c>
      <c r="O1892" s="2">
        <v>529.57000000000005</v>
      </c>
      <c r="P1892" s="2">
        <v>468.87</v>
      </c>
      <c r="Q1892" s="2">
        <v>60.7</v>
      </c>
      <c r="R1892">
        <v>1</v>
      </c>
      <c r="S1892">
        <v>0</v>
      </c>
      <c r="T1892">
        <v>4</v>
      </c>
      <c r="U1892">
        <v>4</v>
      </c>
    </row>
    <row r="1893" spans="1:21" ht="16.5" x14ac:dyDescent="0.3">
      <c r="A1893" t="s">
        <v>1980</v>
      </c>
      <c r="B1893" s="1">
        <v>45598</v>
      </c>
      <c r="C1893">
        <v>2024</v>
      </c>
      <c r="D1893" t="s">
        <v>1738</v>
      </c>
      <c r="E1893" t="s">
        <v>1959</v>
      </c>
      <c r="F1893" t="s">
        <v>31</v>
      </c>
      <c r="G1893" t="s">
        <v>65</v>
      </c>
      <c r="H1893" t="s">
        <v>32</v>
      </c>
      <c r="I1893" t="s">
        <v>42</v>
      </c>
      <c r="J1893" t="s">
        <v>98</v>
      </c>
      <c r="K1893">
        <v>1</v>
      </c>
      <c r="L1893" s="2">
        <v>117.63</v>
      </c>
      <c r="M1893" s="3">
        <v>0.2</v>
      </c>
      <c r="N1893" t="s">
        <v>34</v>
      </c>
      <c r="O1893" s="2">
        <v>94.1</v>
      </c>
      <c r="P1893" s="2">
        <v>80.44</v>
      </c>
      <c r="Q1893" s="2">
        <v>13.66</v>
      </c>
      <c r="R1893">
        <v>1</v>
      </c>
      <c r="S1893">
        <v>0</v>
      </c>
      <c r="T1893">
        <v>8</v>
      </c>
      <c r="U1893">
        <v>3</v>
      </c>
    </row>
    <row r="1894" spans="1:21" ht="16.5" x14ac:dyDescent="0.3">
      <c r="A1894" t="s">
        <v>1981</v>
      </c>
      <c r="B1894" s="1">
        <v>45598</v>
      </c>
      <c r="C1894">
        <v>2024</v>
      </c>
      <c r="D1894" t="s">
        <v>1738</v>
      </c>
      <c r="E1894" t="s">
        <v>1959</v>
      </c>
      <c r="F1894" t="s">
        <v>24</v>
      </c>
      <c r="G1894" t="s">
        <v>49</v>
      </c>
      <c r="H1894" t="s">
        <v>32</v>
      </c>
      <c r="I1894" t="s">
        <v>70</v>
      </c>
      <c r="J1894" t="s">
        <v>252</v>
      </c>
      <c r="K1894">
        <v>2</v>
      </c>
      <c r="L1894" s="2">
        <v>216.08</v>
      </c>
      <c r="M1894" s="3">
        <v>0.2</v>
      </c>
      <c r="N1894" t="s">
        <v>34</v>
      </c>
      <c r="O1894" s="2">
        <v>345.73</v>
      </c>
      <c r="P1894" s="2">
        <v>369.35</v>
      </c>
      <c r="Q1894" s="2">
        <v>-23.62</v>
      </c>
      <c r="R1894">
        <v>1</v>
      </c>
      <c r="S1894">
        <v>0</v>
      </c>
      <c r="T1894">
        <v>5</v>
      </c>
      <c r="U1894">
        <v>4</v>
      </c>
    </row>
    <row r="1895" spans="1:21" ht="16.5" x14ac:dyDescent="0.3">
      <c r="A1895" t="s">
        <v>1982</v>
      </c>
      <c r="B1895" s="1">
        <v>45598</v>
      </c>
      <c r="C1895">
        <v>2024</v>
      </c>
      <c r="D1895" t="s">
        <v>1738</v>
      </c>
      <c r="E1895" t="s">
        <v>1959</v>
      </c>
      <c r="F1895" t="s">
        <v>31</v>
      </c>
      <c r="G1895" t="s">
        <v>49</v>
      </c>
      <c r="H1895" t="s">
        <v>26</v>
      </c>
      <c r="I1895" t="s">
        <v>27</v>
      </c>
      <c r="J1895" t="s">
        <v>40</v>
      </c>
      <c r="K1895">
        <v>1</v>
      </c>
      <c r="L1895" s="2">
        <v>104.94</v>
      </c>
      <c r="M1895" s="3">
        <v>0.2</v>
      </c>
      <c r="N1895" t="s">
        <v>34</v>
      </c>
      <c r="O1895" s="2">
        <v>83.95</v>
      </c>
      <c r="P1895" s="2">
        <v>58.65</v>
      </c>
      <c r="Q1895" s="2">
        <v>25.3</v>
      </c>
      <c r="R1895">
        <v>1</v>
      </c>
      <c r="S1895">
        <v>1</v>
      </c>
      <c r="T1895">
        <v>5</v>
      </c>
      <c r="U1895">
        <v>2</v>
      </c>
    </row>
    <row r="1896" spans="1:21" ht="16.5" x14ac:dyDescent="0.3">
      <c r="A1896" t="s">
        <v>1983</v>
      </c>
      <c r="B1896" s="1">
        <v>45598</v>
      </c>
      <c r="C1896">
        <v>2024</v>
      </c>
      <c r="D1896" t="s">
        <v>1738</v>
      </c>
      <c r="E1896" t="s">
        <v>1959</v>
      </c>
      <c r="F1896" t="s">
        <v>45</v>
      </c>
      <c r="G1896" t="s">
        <v>65</v>
      </c>
      <c r="H1896" t="s">
        <v>32</v>
      </c>
      <c r="I1896" t="s">
        <v>27</v>
      </c>
      <c r="J1896" t="s">
        <v>47</v>
      </c>
      <c r="K1896">
        <v>3</v>
      </c>
      <c r="L1896" s="2">
        <v>33.99</v>
      </c>
      <c r="M1896" s="3">
        <v>0.3</v>
      </c>
      <c r="N1896" t="s">
        <v>62</v>
      </c>
      <c r="O1896" s="2">
        <v>71.38</v>
      </c>
      <c r="P1896" s="2">
        <v>54.51</v>
      </c>
      <c r="Q1896" s="2">
        <v>16.87</v>
      </c>
      <c r="R1896">
        <v>1</v>
      </c>
      <c r="S1896">
        <v>0</v>
      </c>
      <c r="T1896">
        <v>6</v>
      </c>
      <c r="U1896">
        <v>3</v>
      </c>
    </row>
    <row r="1897" spans="1:21" ht="16.5" x14ac:dyDescent="0.3">
      <c r="A1897" t="s">
        <v>1984</v>
      </c>
      <c r="B1897" s="1">
        <v>45598</v>
      </c>
      <c r="C1897">
        <v>2024</v>
      </c>
      <c r="D1897" t="s">
        <v>1738</v>
      </c>
      <c r="E1897" t="s">
        <v>1959</v>
      </c>
      <c r="F1897" t="s">
        <v>24</v>
      </c>
      <c r="G1897" t="s">
        <v>25</v>
      </c>
      <c r="H1897" t="s">
        <v>26</v>
      </c>
      <c r="I1897" t="s">
        <v>70</v>
      </c>
      <c r="J1897" t="s">
        <v>162</v>
      </c>
      <c r="K1897">
        <v>1</v>
      </c>
      <c r="L1897" s="2">
        <v>636.09</v>
      </c>
      <c r="M1897" s="3">
        <v>0.3</v>
      </c>
      <c r="N1897" t="s">
        <v>62</v>
      </c>
      <c r="O1897" s="2">
        <v>445.26</v>
      </c>
      <c r="P1897" s="2">
        <v>515.48</v>
      </c>
      <c r="Q1897" s="2">
        <v>-70.22</v>
      </c>
      <c r="R1897">
        <v>1</v>
      </c>
      <c r="S1897">
        <v>0</v>
      </c>
      <c r="T1897">
        <v>4</v>
      </c>
      <c r="U1897">
        <v>4</v>
      </c>
    </row>
    <row r="1898" spans="1:21" ht="16.5" x14ac:dyDescent="0.3">
      <c r="A1898" t="s">
        <v>1985</v>
      </c>
      <c r="B1898" s="1">
        <v>45598</v>
      </c>
      <c r="C1898">
        <v>2024</v>
      </c>
      <c r="D1898" t="s">
        <v>1738</v>
      </c>
      <c r="E1898" t="s">
        <v>1959</v>
      </c>
      <c r="F1898" t="s">
        <v>24</v>
      </c>
      <c r="G1898" t="s">
        <v>49</v>
      </c>
      <c r="H1898" t="s">
        <v>32</v>
      </c>
      <c r="I1898" t="s">
        <v>84</v>
      </c>
      <c r="J1898" t="s">
        <v>85</v>
      </c>
      <c r="K1898">
        <v>1</v>
      </c>
      <c r="L1898" s="2">
        <v>57.92</v>
      </c>
      <c r="M1898" s="3">
        <v>0.25</v>
      </c>
      <c r="N1898" t="s">
        <v>62</v>
      </c>
      <c r="O1898" s="2">
        <v>43.44</v>
      </c>
      <c r="P1898" s="2">
        <v>39.33</v>
      </c>
      <c r="Q1898" s="2">
        <v>4.1100000000000003</v>
      </c>
      <c r="R1898">
        <v>1</v>
      </c>
      <c r="S1898">
        <v>0</v>
      </c>
      <c r="T1898">
        <v>5</v>
      </c>
      <c r="U1898">
        <v>4</v>
      </c>
    </row>
    <row r="1899" spans="1:21" ht="16.5" x14ac:dyDescent="0.3">
      <c r="A1899" t="s">
        <v>1986</v>
      </c>
      <c r="B1899" s="1">
        <v>45598</v>
      </c>
      <c r="C1899">
        <v>2024</v>
      </c>
      <c r="D1899" t="s">
        <v>1738</v>
      </c>
      <c r="E1899" t="s">
        <v>1959</v>
      </c>
      <c r="F1899" t="s">
        <v>24</v>
      </c>
      <c r="G1899" t="s">
        <v>51</v>
      </c>
      <c r="H1899" t="s">
        <v>26</v>
      </c>
      <c r="I1899" t="s">
        <v>27</v>
      </c>
      <c r="J1899" t="s">
        <v>33</v>
      </c>
      <c r="K1899">
        <v>3</v>
      </c>
      <c r="L1899" s="2">
        <v>78.510000000000005</v>
      </c>
      <c r="M1899" s="3">
        <v>0.15</v>
      </c>
      <c r="N1899" t="s">
        <v>34</v>
      </c>
      <c r="O1899" s="2">
        <v>200.2</v>
      </c>
      <c r="P1899" s="2">
        <v>125.15</v>
      </c>
      <c r="Q1899" s="2">
        <v>75.05</v>
      </c>
      <c r="R1899">
        <v>1</v>
      </c>
      <c r="S1899">
        <v>0</v>
      </c>
      <c r="T1899">
        <v>6</v>
      </c>
      <c r="U1899">
        <v>4</v>
      </c>
    </row>
    <row r="1900" spans="1:21" ht="16.5" x14ac:dyDescent="0.3">
      <c r="A1900" t="s">
        <v>1987</v>
      </c>
      <c r="B1900" s="1">
        <v>45598</v>
      </c>
      <c r="C1900">
        <v>2024</v>
      </c>
      <c r="D1900" t="s">
        <v>1738</v>
      </c>
      <c r="E1900" t="s">
        <v>1959</v>
      </c>
      <c r="F1900" t="s">
        <v>24</v>
      </c>
      <c r="G1900" t="s">
        <v>25</v>
      </c>
      <c r="H1900" t="s">
        <v>26</v>
      </c>
      <c r="I1900" t="s">
        <v>67</v>
      </c>
      <c r="J1900" t="s">
        <v>78</v>
      </c>
      <c r="K1900">
        <v>1</v>
      </c>
      <c r="L1900" s="2">
        <v>85.42</v>
      </c>
      <c r="M1900" s="3">
        <v>0.15</v>
      </c>
      <c r="N1900" t="s">
        <v>34</v>
      </c>
      <c r="O1900" s="2">
        <v>72.61</v>
      </c>
      <c r="P1900" s="2">
        <v>55.31</v>
      </c>
      <c r="Q1900" s="2">
        <v>17.3</v>
      </c>
      <c r="R1900">
        <v>1</v>
      </c>
      <c r="S1900">
        <v>0</v>
      </c>
      <c r="T1900">
        <v>5</v>
      </c>
      <c r="U1900">
        <v>4</v>
      </c>
    </row>
    <row r="1901" spans="1:21" ht="16.5" x14ac:dyDescent="0.3">
      <c r="A1901" t="s">
        <v>1988</v>
      </c>
      <c r="B1901" s="1">
        <v>45598</v>
      </c>
      <c r="C1901">
        <v>2024</v>
      </c>
      <c r="D1901" t="s">
        <v>1738</v>
      </c>
      <c r="E1901" t="s">
        <v>1959</v>
      </c>
      <c r="F1901" t="s">
        <v>45</v>
      </c>
      <c r="G1901" t="s">
        <v>51</v>
      </c>
      <c r="H1901" t="s">
        <v>32</v>
      </c>
      <c r="I1901" t="s">
        <v>36</v>
      </c>
      <c r="J1901" t="s">
        <v>56</v>
      </c>
      <c r="K1901">
        <v>3</v>
      </c>
      <c r="L1901" s="2">
        <v>74.3</v>
      </c>
      <c r="M1901" s="3">
        <v>0.05</v>
      </c>
      <c r="N1901" t="s">
        <v>29</v>
      </c>
      <c r="O1901" s="2">
        <v>211.75</v>
      </c>
      <c r="P1901" s="2">
        <v>106.54</v>
      </c>
      <c r="Q1901" s="2">
        <v>105.21</v>
      </c>
      <c r="R1901">
        <v>1</v>
      </c>
      <c r="S1901">
        <v>0</v>
      </c>
      <c r="T1901">
        <v>4</v>
      </c>
      <c r="U1901">
        <v>5</v>
      </c>
    </row>
    <row r="1902" spans="1:21" ht="16.5" x14ac:dyDescent="0.3">
      <c r="A1902" t="s">
        <v>1989</v>
      </c>
      <c r="B1902" s="1">
        <v>45598</v>
      </c>
      <c r="C1902">
        <v>2024</v>
      </c>
      <c r="D1902" t="s">
        <v>1738</v>
      </c>
      <c r="E1902" t="s">
        <v>1959</v>
      </c>
      <c r="F1902" t="s">
        <v>45</v>
      </c>
      <c r="G1902" t="s">
        <v>49</v>
      </c>
      <c r="H1902" t="s">
        <v>26</v>
      </c>
      <c r="I1902" t="s">
        <v>84</v>
      </c>
      <c r="J1902" t="s">
        <v>85</v>
      </c>
      <c r="K1902">
        <v>1</v>
      </c>
      <c r="L1902" s="2">
        <v>57.92</v>
      </c>
      <c r="M1902" s="3">
        <v>0.3</v>
      </c>
      <c r="N1902" t="s">
        <v>62</v>
      </c>
      <c r="O1902" s="2">
        <v>40.54</v>
      </c>
      <c r="P1902" s="2">
        <v>41.73</v>
      </c>
      <c r="Q1902" s="2">
        <v>-1.19</v>
      </c>
      <c r="R1902">
        <v>1</v>
      </c>
      <c r="S1902">
        <v>0</v>
      </c>
      <c r="T1902">
        <v>5</v>
      </c>
      <c r="U1902">
        <v>4</v>
      </c>
    </row>
    <row r="1903" spans="1:21" ht="16.5" x14ac:dyDescent="0.3">
      <c r="A1903" t="s">
        <v>1990</v>
      </c>
      <c r="B1903" s="1">
        <v>45599</v>
      </c>
      <c r="C1903">
        <v>2024</v>
      </c>
      <c r="D1903" t="s">
        <v>1738</v>
      </c>
      <c r="E1903" t="s">
        <v>1959</v>
      </c>
      <c r="F1903" t="s">
        <v>45</v>
      </c>
      <c r="G1903" t="s">
        <v>51</v>
      </c>
      <c r="H1903" t="s">
        <v>32</v>
      </c>
      <c r="I1903" t="s">
        <v>70</v>
      </c>
      <c r="J1903" t="s">
        <v>87</v>
      </c>
      <c r="K1903">
        <v>2</v>
      </c>
      <c r="L1903" s="2">
        <v>490.3</v>
      </c>
      <c r="M1903" s="3">
        <v>0.15</v>
      </c>
      <c r="N1903" t="s">
        <v>34</v>
      </c>
      <c r="O1903" s="2">
        <v>833.51</v>
      </c>
      <c r="P1903" s="2">
        <v>769.24</v>
      </c>
      <c r="Q1903" s="2">
        <v>64.27</v>
      </c>
      <c r="R1903">
        <v>1</v>
      </c>
      <c r="S1903">
        <v>0</v>
      </c>
      <c r="T1903">
        <v>3</v>
      </c>
      <c r="U1903">
        <v>5</v>
      </c>
    </row>
    <row r="1904" spans="1:21" ht="16.5" x14ac:dyDescent="0.3">
      <c r="A1904" t="s">
        <v>1991</v>
      </c>
      <c r="B1904" s="1">
        <v>45599</v>
      </c>
      <c r="C1904">
        <v>2024</v>
      </c>
      <c r="D1904" t="s">
        <v>1738</v>
      </c>
      <c r="E1904" t="s">
        <v>1959</v>
      </c>
      <c r="F1904" t="s">
        <v>31</v>
      </c>
      <c r="G1904" t="s">
        <v>51</v>
      </c>
      <c r="H1904" t="s">
        <v>26</v>
      </c>
      <c r="I1904" t="s">
        <v>27</v>
      </c>
      <c r="J1904" t="s">
        <v>40</v>
      </c>
      <c r="K1904">
        <v>1</v>
      </c>
      <c r="L1904" s="2">
        <v>104.94</v>
      </c>
      <c r="M1904" s="3">
        <v>0.1</v>
      </c>
      <c r="N1904" t="s">
        <v>29</v>
      </c>
      <c r="O1904" s="2">
        <v>94.45</v>
      </c>
      <c r="P1904" s="2">
        <v>54.72</v>
      </c>
      <c r="Q1904" s="2">
        <v>39.729999999999997</v>
      </c>
      <c r="R1904">
        <v>1</v>
      </c>
      <c r="S1904">
        <v>0</v>
      </c>
      <c r="T1904">
        <v>4</v>
      </c>
      <c r="U1904">
        <v>4</v>
      </c>
    </row>
    <row r="1905" spans="1:21" ht="16.5" x14ac:dyDescent="0.3">
      <c r="A1905" t="s">
        <v>1992</v>
      </c>
      <c r="B1905" s="1">
        <v>45599</v>
      </c>
      <c r="C1905">
        <v>2024</v>
      </c>
      <c r="D1905" t="s">
        <v>1738</v>
      </c>
      <c r="E1905" t="s">
        <v>1959</v>
      </c>
      <c r="F1905" t="s">
        <v>24</v>
      </c>
      <c r="G1905" t="s">
        <v>46</v>
      </c>
      <c r="H1905" t="s">
        <v>32</v>
      </c>
      <c r="I1905" t="s">
        <v>36</v>
      </c>
      <c r="J1905" t="s">
        <v>126</v>
      </c>
      <c r="K1905">
        <v>1</v>
      </c>
      <c r="L1905" s="2">
        <v>54.56</v>
      </c>
      <c r="M1905" s="3">
        <v>0.3</v>
      </c>
      <c r="N1905" t="s">
        <v>62</v>
      </c>
      <c r="O1905" s="2">
        <v>38.19</v>
      </c>
      <c r="P1905" s="2">
        <v>25.82</v>
      </c>
      <c r="Q1905" s="2">
        <v>12.37</v>
      </c>
      <c r="R1905">
        <v>1</v>
      </c>
      <c r="S1905">
        <v>0</v>
      </c>
      <c r="T1905">
        <v>8</v>
      </c>
      <c r="U1905">
        <v>4</v>
      </c>
    </row>
    <row r="1906" spans="1:21" ht="16.5" x14ac:dyDescent="0.3">
      <c r="A1906" t="s">
        <v>1993</v>
      </c>
      <c r="B1906" s="1">
        <v>45599</v>
      </c>
      <c r="C1906">
        <v>2024</v>
      </c>
      <c r="D1906" t="s">
        <v>1738</v>
      </c>
      <c r="E1906" t="s">
        <v>1959</v>
      </c>
      <c r="F1906" t="s">
        <v>24</v>
      </c>
      <c r="G1906" t="s">
        <v>46</v>
      </c>
      <c r="H1906" t="s">
        <v>26</v>
      </c>
      <c r="I1906" t="s">
        <v>84</v>
      </c>
      <c r="J1906" t="s">
        <v>85</v>
      </c>
      <c r="K1906">
        <v>2</v>
      </c>
      <c r="L1906" s="2">
        <v>57.92</v>
      </c>
      <c r="M1906" s="3">
        <v>0.15</v>
      </c>
      <c r="N1906" t="s">
        <v>34</v>
      </c>
      <c r="O1906" s="2">
        <v>98.46</v>
      </c>
      <c r="P1906" s="2">
        <v>82.05</v>
      </c>
      <c r="Q1906" s="2">
        <v>16.41</v>
      </c>
      <c r="R1906">
        <v>1</v>
      </c>
      <c r="S1906">
        <v>0</v>
      </c>
      <c r="T1906">
        <v>6</v>
      </c>
      <c r="U1906">
        <v>3</v>
      </c>
    </row>
    <row r="1907" spans="1:21" ht="16.5" x14ac:dyDescent="0.3">
      <c r="A1907" t="s">
        <v>1994</v>
      </c>
      <c r="B1907" s="1">
        <v>45599</v>
      </c>
      <c r="C1907">
        <v>2024</v>
      </c>
      <c r="D1907" t="s">
        <v>1738</v>
      </c>
      <c r="E1907" t="s">
        <v>1959</v>
      </c>
      <c r="F1907" t="s">
        <v>45</v>
      </c>
      <c r="G1907" t="s">
        <v>25</v>
      </c>
      <c r="H1907" t="s">
        <v>32</v>
      </c>
      <c r="I1907" t="s">
        <v>70</v>
      </c>
      <c r="J1907" t="s">
        <v>71</v>
      </c>
      <c r="K1907">
        <v>1</v>
      </c>
      <c r="L1907" s="2">
        <v>588.41</v>
      </c>
      <c r="M1907" s="3">
        <v>0</v>
      </c>
      <c r="N1907" t="s">
        <v>38</v>
      </c>
      <c r="O1907" s="2">
        <v>588.41</v>
      </c>
      <c r="P1907" s="2">
        <v>472.36</v>
      </c>
      <c r="Q1907" s="2">
        <v>116.05</v>
      </c>
      <c r="R1907">
        <v>1</v>
      </c>
      <c r="S1907">
        <v>0</v>
      </c>
      <c r="T1907">
        <v>4</v>
      </c>
      <c r="U1907">
        <v>5</v>
      </c>
    </row>
    <row r="1908" spans="1:21" ht="16.5" x14ac:dyDescent="0.3">
      <c r="A1908" t="s">
        <v>1995</v>
      </c>
      <c r="B1908" s="1">
        <v>45599</v>
      </c>
      <c r="C1908">
        <v>2024</v>
      </c>
      <c r="D1908" t="s">
        <v>1738</v>
      </c>
      <c r="E1908" t="s">
        <v>1959</v>
      </c>
      <c r="F1908" t="s">
        <v>24</v>
      </c>
      <c r="G1908" t="s">
        <v>49</v>
      </c>
      <c r="H1908" t="s">
        <v>26</v>
      </c>
      <c r="I1908" t="s">
        <v>27</v>
      </c>
      <c r="J1908" t="s">
        <v>28</v>
      </c>
      <c r="K1908">
        <v>2</v>
      </c>
      <c r="L1908" s="2">
        <v>138.5</v>
      </c>
      <c r="M1908" s="3">
        <v>0.2</v>
      </c>
      <c r="N1908" t="s">
        <v>34</v>
      </c>
      <c r="O1908" s="2">
        <v>221.6</v>
      </c>
      <c r="P1908" s="2">
        <v>148.16</v>
      </c>
      <c r="Q1908" s="2">
        <v>73.44</v>
      </c>
      <c r="R1908">
        <v>1</v>
      </c>
      <c r="S1908">
        <v>0</v>
      </c>
      <c r="T1908">
        <v>4</v>
      </c>
      <c r="U1908">
        <v>4</v>
      </c>
    </row>
    <row r="1909" spans="1:21" ht="16.5" x14ac:dyDescent="0.3">
      <c r="A1909" t="s">
        <v>1996</v>
      </c>
      <c r="B1909" s="1">
        <v>45599</v>
      </c>
      <c r="C1909">
        <v>2024</v>
      </c>
      <c r="D1909" t="s">
        <v>1738</v>
      </c>
      <c r="E1909" t="s">
        <v>1959</v>
      </c>
      <c r="F1909" t="s">
        <v>31</v>
      </c>
      <c r="G1909" t="s">
        <v>49</v>
      </c>
      <c r="H1909" t="s">
        <v>32</v>
      </c>
      <c r="I1909" t="s">
        <v>42</v>
      </c>
      <c r="J1909" t="s">
        <v>76</v>
      </c>
      <c r="K1909">
        <v>1</v>
      </c>
      <c r="L1909" s="2">
        <v>90.75</v>
      </c>
      <c r="M1909" s="3">
        <v>0.05</v>
      </c>
      <c r="N1909" t="s">
        <v>29</v>
      </c>
      <c r="O1909" s="2">
        <v>86.21</v>
      </c>
      <c r="P1909" s="2">
        <v>61.4</v>
      </c>
      <c r="Q1909" s="2">
        <v>24.81</v>
      </c>
      <c r="R1909">
        <v>1</v>
      </c>
      <c r="S1909">
        <v>0</v>
      </c>
      <c r="T1909">
        <v>4</v>
      </c>
      <c r="U1909">
        <v>5</v>
      </c>
    </row>
    <row r="1910" spans="1:21" ht="16.5" x14ac:dyDescent="0.3">
      <c r="A1910" t="s">
        <v>1997</v>
      </c>
      <c r="B1910" s="1">
        <v>45599</v>
      </c>
      <c r="C1910">
        <v>2024</v>
      </c>
      <c r="D1910" t="s">
        <v>1738</v>
      </c>
      <c r="E1910" t="s">
        <v>1959</v>
      </c>
      <c r="F1910" t="s">
        <v>45</v>
      </c>
      <c r="G1910" t="s">
        <v>49</v>
      </c>
      <c r="H1910" t="s">
        <v>26</v>
      </c>
      <c r="I1910" t="s">
        <v>27</v>
      </c>
      <c r="J1910" t="s">
        <v>28</v>
      </c>
      <c r="K1910">
        <v>1</v>
      </c>
      <c r="L1910" s="2">
        <v>138.5</v>
      </c>
      <c r="M1910" s="3">
        <v>0</v>
      </c>
      <c r="N1910" t="s">
        <v>38</v>
      </c>
      <c r="O1910" s="2">
        <v>138.5</v>
      </c>
      <c r="P1910" s="2">
        <v>71.930000000000007</v>
      </c>
      <c r="Q1910" s="2">
        <v>66.569999999999993</v>
      </c>
      <c r="R1910">
        <v>1</v>
      </c>
      <c r="S1910">
        <v>1</v>
      </c>
      <c r="T1910">
        <v>4</v>
      </c>
      <c r="U1910">
        <v>4</v>
      </c>
    </row>
    <row r="1911" spans="1:21" ht="16.5" x14ac:dyDescent="0.3">
      <c r="A1911" t="s">
        <v>1998</v>
      </c>
      <c r="B1911" s="1">
        <v>45599</v>
      </c>
      <c r="C1911">
        <v>2024</v>
      </c>
      <c r="D1911" t="s">
        <v>1738</v>
      </c>
      <c r="E1911" t="s">
        <v>1959</v>
      </c>
      <c r="F1911" t="s">
        <v>24</v>
      </c>
      <c r="G1911" t="s">
        <v>51</v>
      </c>
      <c r="H1911" t="s">
        <v>32</v>
      </c>
      <c r="I1911" t="s">
        <v>36</v>
      </c>
      <c r="J1911" t="s">
        <v>115</v>
      </c>
      <c r="K1911">
        <v>1</v>
      </c>
      <c r="L1911" s="2">
        <v>33.479999999999997</v>
      </c>
      <c r="M1911" s="3">
        <v>0.15</v>
      </c>
      <c r="N1911" t="s">
        <v>34</v>
      </c>
      <c r="O1911" s="2">
        <v>28.46</v>
      </c>
      <c r="P1911" s="2">
        <v>15.94</v>
      </c>
      <c r="Q1911" s="2">
        <v>12.52</v>
      </c>
      <c r="R1911">
        <v>1</v>
      </c>
      <c r="S1911">
        <v>0</v>
      </c>
      <c r="T1911">
        <v>4</v>
      </c>
      <c r="U1911">
        <v>4</v>
      </c>
    </row>
    <row r="1912" spans="1:21" ht="16.5" x14ac:dyDescent="0.3">
      <c r="A1912" t="s">
        <v>1999</v>
      </c>
      <c r="B1912" s="1">
        <v>45599</v>
      </c>
      <c r="C1912">
        <v>2024</v>
      </c>
      <c r="D1912" t="s">
        <v>1738</v>
      </c>
      <c r="E1912" t="s">
        <v>1959</v>
      </c>
      <c r="F1912" t="s">
        <v>45</v>
      </c>
      <c r="G1912" t="s">
        <v>25</v>
      </c>
      <c r="H1912" t="s">
        <v>26</v>
      </c>
      <c r="I1912" t="s">
        <v>70</v>
      </c>
      <c r="J1912" t="s">
        <v>82</v>
      </c>
      <c r="K1912">
        <v>1</v>
      </c>
      <c r="L1912" s="2">
        <v>508.8</v>
      </c>
      <c r="M1912" s="3">
        <v>0.1</v>
      </c>
      <c r="N1912" t="s">
        <v>29</v>
      </c>
      <c r="O1912" s="2">
        <v>457.92</v>
      </c>
      <c r="P1912" s="2">
        <v>415.21</v>
      </c>
      <c r="Q1912" s="2">
        <v>42.71</v>
      </c>
      <c r="R1912">
        <v>1</v>
      </c>
      <c r="S1912">
        <v>0</v>
      </c>
      <c r="T1912">
        <v>5</v>
      </c>
      <c r="U1912">
        <v>5</v>
      </c>
    </row>
    <row r="1913" spans="1:21" ht="16.5" x14ac:dyDescent="0.3">
      <c r="A1913" t="s">
        <v>2000</v>
      </c>
      <c r="B1913" s="1">
        <v>45599</v>
      </c>
      <c r="C1913">
        <v>2024</v>
      </c>
      <c r="D1913" t="s">
        <v>1738</v>
      </c>
      <c r="E1913" t="s">
        <v>1959</v>
      </c>
      <c r="F1913" t="s">
        <v>31</v>
      </c>
      <c r="G1913" t="s">
        <v>25</v>
      </c>
      <c r="H1913" t="s">
        <v>32</v>
      </c>
      <c r="I1913" t="s">
        <v>70</v>
      </c>
      <c r="J1913" t="s">
        <v>71</v>
      </c>
      <c r="K1913">
        <v>2</v>
      </c>
      <c r="L1913" s="2">
        <v>588.41</v>
      </c>
      <c r="M1913" s="3">
        <v>0.15</v>
      </c>
      <c r="N1913" t="s">
        <v>34</v>
      </c>
      <c r="O1913" s="2">
        <v>1000.3</v>
      </c>
      <c r="P1913" s="2">
        <v>963.7</v>
      </c>
      <c r="Q1913" s="2">
        <v>36.6</v>
      </c>
      <c r="R1913">
        <v>1</v>
      </c>
      <c r="S1913">
        <v>0</v>
      </c>
      <c r="T1913">
        <v>4</v>
      </c>
      <c r="U1913">
        <v>4</v>
      </c>
    </row>
    <row r="1914" spans="1:21" ht="16.5" x14ac:dyDescent="0.3">
      <c r="A1914" t="s">
        <v>2001</v>
      </c>
      <c r="B1914" s="1">
        <v>45599</v>
      </c>
      <c r="C1914">
        <v>2024</v>
      </c>
      <c r="D1914" t="s">
        <v>1738</v>
      </c>
      <c r="E1914" t="s">
        <v>1959</v>
      </c>
      <c r="F1914" t="s">
        <v>24</v>
      </c>
      <c r="G1914" t="s">
        <v>49</v>
      </c>
      <c r="H1914" t="s">
        <v>32</v>
      </c>
      <c r="I1914" t="s">
        <v>84</v>
      </c>
      <c r="J1914" t="s">
        <v>223</v>
      </c>
      <c r="K1914">
        <v>2</v>
      </c>
      <c r="L1914" s="2">
        <v>16.97</v>
      </c>
      <c r="M1914" s="3">
        <v>0.2</v>
      </c>
      <c r="N1914" t="s">
        <v>34</v>
      </c>
      <c r="O1914" s="2">
        <v>27.15</v>
      </c>
      <c r="P1914" s="2">
        <v>24.49</v>
      </c>
      <c r="Q1914" s="2">
        <v>2.66</v>
      </c>
      <c r="R1914">
        <v>1</v>
      </c>
      <c r="S1914">
        <v>0</v>
      </c>
      <c r="T1914">
        <v>5</v>
      </c>
      <c r="U1914">
        <v>4</v>
      </c>
    </row>
    <row r="1915" spans="1:21" ht="16.5" x14ac:dyDescent="0.3">
      <c r="A1915" t="s">
        <v>2002</v>
      </c>
      <c r="B1915" s="1">
        <v>45599</v>
      </c>
      <c r="C1915">
        <v>2024</v>
      </c>
      <c r="D1915" t="s">
        <v>1738</v>
      </c>
      <c r="E1915" t="s">
        <v>1959</v>
      </c>
      <c r="F1915" t="s">
        <v>31</v>
      </c>
      <c r="G1915" t="s">
        <v>65</v>
      </c>
      <c r="H1915" t="s">
        <v>32</v>
      </c>
      <c r="I1915" t="s">
        <v>67</v>
      </c>
      <c r="J1915" t="s">
        <v>78</v>
      </c>
      <c r="K1915">
        <v>1</v>
      </c>
      <c r="L1915" s="2">
        <v>85.42</v>
      </c>
      <c r="M1915" s="3">
        <v>0.15</v>
      </c>
      <c r="N1915" t="s">
        <v>34</v>
      </c>
      <c r="O1915" s="2">
        <v>72.61</v>
      </c>
      <c r="P1915" s="2">
        <v>57.36</v>
      </c>
      <c r="Q1915" s="2">
        <v>15.25</v>
      </c>
      <c r="R1915">
        <v>1</v>
      </c>
      <c r="S1915">
        <v>0</v>
      </c>
      <c r="T1915">
        <v>8</v>
      </c>
      <c r="U1915">
        <v>4</v>
      </c>
    </row>
    <row r="1916" spans="1:21" ht="16.5" x14ac:dyDescent="0.3">
      <c r="A1916" t="s">
        <v>2003</v>
      </c>
      <c r="B1916" s="1">
        <v>45600</v>
      </c>
      <c r="C1916">
        <v>2024</v>
      </c>
      <c r="D1916" t="s">
        <v>1738</v>
      </c>
      <c r="E1916" t="s">
        <v>1959</v>
      </c>
      <c r="F1916" t="s">
        <v>31</v>
      </c>
      <c r="G1916" t="s">
        <v>25</v>
      </c>
      <c r="H1916" t="s">
        <v>32</v>
      </c>
      <c r="I1916" t="s">
        <v>27</v>
      </c>
      <c r="J1916" t="s">
        <v>60</v>
      </c>
      <c r="K1916">
        <v>1</v>
      </c>
      <c r="L1916" s="2">
        <v>94.85</v>
      </c>
      <c r="M1916" s="3">
        <v>0.05</v>
      </c>
      <c r="N1916" t="s">
        <v>29</v>
      </c>
      <c r="O1916" s="2">
        <v>90.11</v>
      </c>
      <c r="P1916" s="2">
        <v>47.6</v>
      </c>
      <c r="Q1916" s="2">
        <v>42.51</v>
      </c>
      <c r="R1916">
        <v>1</v>
      </c>
      <c r="S1916">
        <v>0</v>
      </c>
      <c r="T1916">
        <v>5</v>
      </c>
      <c r="U1916">
        <v>4</v>
      </c>
    </row>
    <row r="1917" spans="1:21" ht="16.5" x14ac:dyDescent="0.3">
      <c r="A1917" t="s">
        <v>2004</v>
      </c>
      <c r="B1917" s="1">
        <v>45600</v>
      </c>
      <c r="C1917">
        <v>2024</v>
      </c>
      <c r="D1917" t="s">
        <v>1738</v>
      </c>
      <c r="E1917" t="s">
        <v>1959</v>
      </c>
      <c r="F1917" t="s">
        <v>31</v>
      </c>
      <c r="G1917" t="s">
        <v>46</v>
      </c>
      <c r="H1917" t="s">
        <v>26</v>
      </c>
      <c r="I1917" t="s">
        <v>84</v>
      </c>
      <c r="J1917" t="s">
        <v>85</v>
      </c>
      <c r="K1917">
        <v>1</v>
      </c>
      <c r="L1917" s="2">
        <v>57.92</v>
      </c>
      <c r="M1917" s="3">
        <v>0.2</v>
      </c>
      <c r="N1917" t="s">
        <v>34</v>
      </c>
      <c r="O1917" s="2">
        <v>46.34</v>
      </c>
      <c r="P1917" s="2">
        <v>40.840000000000003</v>
      </c>
      <c r="Q1917" s="2">
        <v>5.5</v>
      </c>
      <c r="R1917">
        <v>1</v>
      </c>
      <c r="S1917">
        <v>0</v>
      </c>
      <c r="T1917">
        <v>6</v>
      </c>
      <c r="U1917">
        <v>3</v>
      </c>
    </row>
    <row r="1918" spans="1:21" ht="16.5" x14ac:dyDescent="0.3">
      <c r="A1918" t="s">
        <v>2005</v>
      </c>
      <c r="B1918" s="1">
        <v>45600</v>
      </c>
      <c r="C1918">
        <v>2024</v>
      </c>
      <c r="D1918" t="s">
        <v>1738</v>
      </c>
      <c r="E1918" t="s">
        <v>1959</v>
      </c>
      <c r="F1918" t="s">
        <v>24</v>
      </c>
      <c r="G1918" t="s">
        <v>49</v>
      </c>
      <c r="H1918" t="s">
        <v>32</v>
      </c>
      <c r="I1918" t="s">
        <v>70</v>
      </c>
      <c r="J1918" t="s">
        <v>162</v>
      </c>
      <c r="K1918">
        <v>1</v>
      </c>
      <c r="L1918" s="2">
        <v>636.09</v>
      </c>
      <c r="M1918" s="3">
        <v>0.25</v>
      </c>
      <c r="N1918" t="s">
        <v>62</v>
      </c>
      <c r="O1918" s="2">
        <v>477.07</v>
      </c>
      <c r="P1918" s="2">
        <v>499.48</v>
      </c>
      <c r="Q1918" s="2">
        <v>-22.41</v>
      </c>
      <c r="R1918">
        <v>1</v>
      </c>
      <c r="S1918">
        <v>0</v>
      </c>
      <c r="T1918">
        <v>5</v>
      </c>
      <c r="U1918">
        <v>4</v>
      </c>
    </row>
    <row r="1919" spans="1:21" ht="16.5" x14ac:dyDescent="0.3">
      <c r="A1919" t="s">
        <v>2006</v>
      </c>
      <c r="B1919" s="1">
        <v>45600</v>
      </c>
      <c r="C1919">
        <v>2024</v>
      </c>
      <c r="D1919" t="s">
        <v>1738</v>
      </c>
      <c r="E1919" t="s">
        <v>1959</v>
      </c>
      <c r="F1919" t="s">
        <v>24</v>
      </c>
      <c r="G1919" t="s">
        <v>65</v>
      </c>
      <c r="H1919" t="s">
        <v>26</v>
      </c>
      <c r="I1919" t="s">
        <v>42</v>
      </c>
      <c r="J1919" t="s">
        <v>58</v>
      </c>
      <c r="K1919">
        <v>1</v>
      </c>
      <c r="L1919" s="2">
        <v>233.81</v>
      </c>
      <c r="M1919" s="3">
        <v>0.2</v>
      </c>
      <c r="N1919" t="s">
        <v>34</v>
      </c>
      <c r="O1919" s="2">
        <v>187.05</v>
      </c>
      <c r="P1919" s="2">
        <v>154.74</v>
      </c>
      <c r="Q1919" s="2">
        <v>32.31</v>
      </c>
      <c r="R1919">
        <v>1</v>
      </c>
      <c r="S1919">
        <v>0</v>
      </c>
      <c r="T1919">
        <v>7</v>
      </c>
      <c r="U1919">
        <v>4</v>
      </c>
    </row>
    <row r="1920" spans="1:21" ht="16.5" x14ac:dyDescent="0.3">
      <c r="A1920" t="s">
        <v>2007</v>
      </c>
      <c r="B1920" s="1">
        <v>45600</v>
      </c>
      <c r="C1920">
        <v>2024</v>
      </c>
      <c r="D1920" t="s">
        <v>1738</v>
      </c>
      <c r="E1920" t="s">
        <v>1959</v>
      </c>
      <c r="F1920" t="s">
        <v>24</v>
      </c>
      <c r="G1920" t="s">
        <v>49</v>
      </c>
      <c r="H1920" t="s">
        <v>26</v>
      </c>
      <c r="I1920" t="s">
        <v>70</v>
      </c>
      <c r="J1920" t="s">
        <v>82</v>
      </c>
      <c r="K1920">
        <v>1</v>
      </c>
      <c r="L1920" s="2">
        <v>508.8</v>
      </c>
      <c r="M1920" s="3">
        <v>0.2</v>
      </c>
      <c r="N1920" t="s">
        <v>34</v>
      </c>
      <c r="O1920" s="2">
        <v>407.04</v>
      </c>
      <c r="P1920" s="2">
        <v>413.26</v>
      </c>
      <c r="Q1920" s="2">
        <v>-6.22</v>
      </c>
      <c r="R1920">
        <v>1</v>
      </c>
      <c r="S1920">
        <v>0</v>
      </c>
      <c r="T1920">
        <v>4</v>
      </c>
      <c r="U1920">
        <v>4</v>
      </c>
    </row>
    <row r="1921" spans="1:21" ht="16.5" x14ac:dyDescent="0.3">
      <c r="A1921" t="s">
        <v>2008</v>
      </c>
      <c r="B1921" s="1">
        <v>45600</v>
      </c>
      <c r="C1921">
        <v>2024</v>
      </c>
      <c r="D1921" t="s">
        <v>1738</v>
      </c>
      <c r="E1921" t="s">
        <v>1959</v>
      </c>
      <c r="F1921" t="s">
        <v>24</v>
      </c>
      <c r="G1921" t="s">
        <v>25</v>
      </c>
      <c r="H1921" t="s">
        <v>26</v>
      </c>
      <c r="I1921" t="s">
        <v>70</v>
      </c>
      <c r="J1921" t="s">
        <v>162</v>
      </c>
      <c r="K1921">
        <v>1</v>
      </c>
      <c r="L1921" s="2">
        <v>636.09</v>
      </c>
      <c r="M1921" s="3">
        <v>0.2</v>
      </c>
      <c r="N1921" t="s">
        <v>34</v>
      </c>
      <c r="O1921" s="2">
        <v>508.87</v>
      </c>
      <c r="P1921" s="2">
        <v>531.13</v>
      </c>
      <c r="Q1921" s="2">
        <v>-22.26</v>
      </c>
      <c r="R1921">
        <v>1</v>
      </c>
      <c r="S1921">
        <v>0</v>
      </c>
      <c r="T1921">
        <v>5</v>
      </c>
      <c r="U1921">
        <v>4</v>
      </c>
    </row>
    <row r="1922" spans="1:21" ht="16.5" x14ac:dyDescent="0.3">
      <c r="A1922" t="s">
        <v>2009</v>
      </c>
      <c r="B1922" s="1">
        <v>45600</v>
      </c>
      <c r="C1922">
        <v>2024</v>
      </c>
      <c r="D1922" t="s">
        <v>1738</v>
      </c>
      <c r="E1922" t="s">
        <v>1959</v>
      </c>
      <c r="F1922" t="s">
        <v>45</v>
      </c>
      <c r="G1922" t="s">
        <v>25</v>
      </c>
      <c r="H1922" t="s">
        <v>26</v>
      </c>
      <c r="I1922" t="s">
        <v>70</v>
      </c>
      <c r="J1922" t="s">
        <v>87</v>
      </c>
      <c r="K1922">
        <v>2</v>
      </c>
      <c r="L1922" s="2">
        <v>490.3</v>
      </c>
      <c r="M1922" s="3">
        <v>0.25</v>
      </c>
      <c r="N1922" t="s">
        <v>62</v>
      </c>
      <c r="O1922" s="2">
        <v>735.45</v>
      </c>
      <c r="P1922" s="2">
        <v>763.47</v>
      </c>
      <c r="Q1922" s="2">
        <v>-28.02</v>
      </c>
      <c r="R1922">
        <v>1</v>
      </c>
      <c r="S1922">
        <v>0</v>
      </c>
      <c r="T1922">
        <v>5</v>
      </c>
      <c r="U1922">
        <v>4</v>
      </c>
    </row>
    <row r="1923" spans="1:21" ht="16.5" x14ac:dyDescent="0.3">
      <c r="A1923" t="s">
        <v>2010</v>
      </c>
      <c r="B1923" s="1">
        <v>45600</v>
      </c>
      <c r="C1923">
        <v>2024</v>
      </c>
      <c r="D1923" t="s">
        <v>1738</v>
      </c>
      <c r="E1923" t="s">
        <v>1959</v>
      </c>
      <c r="F1923" t="s">
        <v>24</v>
      </c>
      <c r="G1923" t="s">
        <v>51</v>
      </c>
      <c r="H1923" t="s">
        <v>32</v>
      </c>
      <c r="I1923" t="s">
        <v>70</v>
      </c>
      <c r="J1923" t="s">
        <v>71</v>
      </c>
      <c r="K1923">
        <v>3</v>
      </c>
      <c r="L1923" s="2">
        <v>588.41</v>
      </c>
      <c r="M1923" s="3">
        <v>0.2</v>
      </c>
      <c r="N1923" t="s">
        <v>34</v>
      </c>
      <c r="O1923" s="2">
        <v>1412.18</v>
      </c>
      <c r="P1923" s="2">
        <v>1367.5</v>
      </c>
      <c r="Q1923" s="2">
        <v>44.68</v>
      </c>
      <c r="R1923">
        <v>1</v>
      </c>
      <c r="S1923">
        <v>0</v>
      </c>
      <c r="T1923">
        <v>5</v>
      </c>
      <c r="U1923">
        <v>4</v>
      </c>
    </row>
    <row r="1924" spans="1:21" ht="16.5" x14ac:dyDescent="0.3">
      <c r="A1924" t="s">
        <v>2011</v>
      </c>
      <c r="B1924" s="1">
        <v>45600</v>
      </c>
      <c r="C1924">
        <v>2024</v>
      </c>
      <c r="D1924" t="s">
        <v>1738</v>
      </c>
      <c r="E1924" t="s">
        <v>1959</v>
      </c>
      <c r="F1924" t="s">
        <v>31</v>
      </c>
      <c r="G1924" t="s">
        <v>51</v>
      </c>
      <c r="H1924" t="s">
        <v>26</v>
      </c>
      <c r="I1924" t="s">
        <v>42</v>
      </c>
      <c r="J1924" t="s">
        <v>43</v>
      </c>
      <c r="K1924">
        <v>1</v>
      </c>
      <c r="L1924" s="2">
        <v>154.66</v>
      </c>
      <c r="M1924" s="3">
        <v>0.2</v>
      </c>
      <c r="N1924" t="s">
        <v>34</v>
      </c>
      <c r="O1924" s="2">
        <v>123.73</v>
      </c>
      <c r="P1924" s="2">
        <v>96.99</v>
      </c>
      <c r="Q1924" s="2">
        <v>26.74</v>
      </c>
      <c r="R1924">
        <v>1</v>
      </c>
      <c r="S1924">
        <v>0</v>
      </c>
      <c r="T1924">
        <v>4</v>
      </c>
      <c r="U1924">
        <v>4</v>
      </c>
    </row>
    <row r="1925" spans="1:21" ht="16.5" x14ac:dyDescent="0.3">
      <c r="A1925" t="s">
        <v>2012</v>
      </c>
      <c r="B1925" s="1">
        <v>45600</v>
      </c>
      <c r="C1925">
        <v>2024</v>
      </c>
      <c r="D1925" t="s">
        <v>1738</v>
      </c>
      <c r="E1925" t="s">
        <v>1959</v>
      </c>
      <c r="F1925" t="s">
        <v>24</v>
      </c>
      <c r="G1925" t="s">
        <v>51</v>
      </c>
      <c r="H1925" t="s">
        <v>26</v>
      </c>
      <c r="I1925" t="s">
        <v>36</v>
      </c>
      <c r="J1925" t="s">
        <v>115</v>
      </c>
      <c r="K1925">
        <v>1</v>
      </c>
      <c r="L1925" s="2">
        <v>33.479999999999997</v>
      </c>
      <c r="M1925" s="3">
        <v>0.25</v>
      </c>
      <c r="N1925" t="s">
        <v>62</v>
      </c>
      <c r="O1925" s="2">
        <v>25.11</v>
      </c>
      <c r="P1925" s="2">
        <v>16.73</v>
      </c>
      <c r="Q1925" s="2">
        <v>8.3800000000000008</v>
      </c>
      <c r="R1925">
        <v>1</v>
      </c>
      <c r="S1925">
        <v>0</v>
      </c>
      <c r="T1925">
        <v>5</v>
      </c>
      <c r="U1925">
        <v>4</v>
      </c>
    </row>
    <row r="1926" spans="1:21" ht="16.5" x14ac:dyDescent="0.3">
      <c r="A1926" t="s">
        <v>2013</v>
      </c>
      <c r="B1926" s="1">
        <v>45600</v>
      </c>
      <c r="C1926">
        <v>2024</v>
      </c>
      <c r="D1926" t="s">
        <v>1738</v>
      </c>
      <c r="E1926" t="s">
        <v>1959</v>
      </c>
      <c r="F1926" t="s">
        <v>31</v>
      </c>
      <c r="G1926" t="s">
        <v>65</v>
      </c>
      <c r="H1926" t="s">
        <v>32</v>
      </c>
      <c r="I1926" t="s">
        <v>70</v>
      </c>
      <c r="J1926" t="s">
        <v>87</v>
      </c>
      <c r="K1926">
        <v>1</v>
      </c>
      <c r="L1926" s="2">
        <v>490.3</v>
      </c>
      <c r="M1926" s="3">
        <v>0.1</v>
      </c>
      <c r="N1926" t="s">
        <v>29</v>
      </c>
      <c r="O1926" s="2">
        <v>441.27</v>
      </c>
      <c r="P1926" s="2">
        <v>381</v>
      </c>
      <c r="Q1926" s="2">
        <v>60.27</v>
      </c>
      <c r="R1926">
        <v>1</v>
      </c>
      <c r="S1926">
        <v>0</v>
      </c>
      <c r="T1926">
        <v>9</v>
      </c>
      <c r="U1926">
        <v>3</v>
      </c>
    </row>
    <row r="1927" spans="1:21" ht="16.5" x14ac:dyDescent="0.3">
      <c r="A1927" t="s">
        <v>2014</v>
      </c>
      <c r="B1927" s="1">
        <v>45600</v>
      </c>
      <c r="C1927">
        <v>2024</v>
      </c>
      <c r="D1927" t="s">
        <v>1738</v>
      </c>
      <c r="E1927" t="s">
        <v>1959</v>
      </c>
      <c r="F1927" t="s">
        <v>24</v>
      </c>
      <c r="G1927" t="s">
        <v>25</v>
      </c>
      <c r="H1927" t="s">
        <v>32</v>
      </c>
      <c r="I1927" t="s">
        <v>67</v>
      </c>
      <c r="J1927" t="s">
        <v>174</v>
      </c>
      <c r="K1927">
        <v>2</v>
      </c>
      <c r="L1927" s="2">
        <v>137.05000000000001</v>
      </c>
      <c r="M1927" s="3">
        <v>0.05</v>
      </c>
      <c r="N1927" t="s">
        <v>29</v>
      </c>
      <c r="O1927" s="2">
        <v>260.39999999999998</v>
      </c>
      <c r="P1927" s="2">
        <v>186.56</v>
      </c>
      <c r="Q1927" s="2">
        <v>73.84</v>
      </c>
      <c r="R1927">
        <v>1</v>
      </c>
      <c r="S1927">
        <v>0</v>
      </c>
      <c r="T1927">
        <v>5</v>
      </c>
      <c r="U1927">
        <v>5</v>
      </c>
    </row>
    <row r="1928" spans="1:21" ht="16.5" x14ac:dyDescent="0.3">
      <c r="A1928" t="s">
        <v>2015</v>
      </c>
      <c r="B1928" s="1">
        <v>45601</v>
      </c>
      <c r="C1928">
        <v>2024</v>
      </c>
      <c r="D1928" t="s">
        <v>1738</v>
      </c>
      <c r="E1928" t="s">
        <v>1959</v>
      </c>
      <c r="F1928" t="s">
        <v>31</v>
      </c>
      <c r="G1928" t="s">
        <v>65</v>
      </c>
      <c r="H1928" t="s">
        <v>26</v>
      </c>
      <c r="I1928" t="s">
        <v>70</v>
      </c>
      <c r="J1928" t="s">
        <v>87</v>
      </c>
      <c r="K1928">
        <v>1</v>
      </c>
      <c r="L1928" s="2">
        <v>490.3</v>
      </c>
      <c r="M1928" s="3">
        <v>0</v>
      </c>
      <c r="N1928" t="s">
        <v>38</v>
      </c>
      <c r="O1928" s="2">
        <v>490.3</v>
      </c>
      <c r="P1928" s="2">
        <v>409.31</v>
      </c>
      <c r="Q1928" s="2">
        <v>80.989999999999995</v>
      </c>
      <c r="R1928">
        <v>1</v>
      </c>
      <c r="S1928">
        <v>0</v>
      </c>
      <c r="T1928">
        <v>7</v>
      </c>
      <c r="U1928">
        <v>4</v>
      </c>
    </row>
    <row r="1929" spans="1:21" ht="16.5" x14ac:dyDescent="0.3">
      <c r="A1929" t="s">
        <v>2016</v>
      </c>
      <c r="B1929" s="1">
        <v>45601</v>
      </c>
      <c r="C1929">
        <v>2024</v>
      </c>
      <c r="D1929" t="s">
        <v>1738</v>
      </c>
      <c r="E1929" t="s">
        <v>1959</v>
      </c>
      <c r="F1929" t="s">
        <v>31</v>
      </c>
      <c r="G1929" t="s">
        <v>51</v>
      </c>
      <c r="H1929" t="s">
        <v>26</v>
      </c>
      <c r="I1929" t="s">
        <v>84</v>
      </c>
      <c r="J1929" t="s">
        <v>96</v>
      </c>
      <c r="K1929">
        <v>1</v>
      </c>
      <c r="L1929" s="2">
        <v>10.76</v>
      </c>
      <c r="M1929" s="3">
        <v>0.05</v>
      </c>
      <c r="N1929" t="s">
        <v>29</v>
      </c>
      <c r="O1929" s="2">
        <v>10.220000000000001</v>
      </c>
      <c r="P1929" s="2">
        <v>7.81</v>
      </c>
      <c r="Q1929" s="2">
        <v>2.41</v>
      </c>
      <c r="R1929">
        <v>1</v>
      </c>
      <c r="S1929">
        <v>0</v>
      </c>
      <c r="T1929">
        <v>4</v>
      </c>
      <c r="U1929">
        <v>4</v>
      </c>
    </row>
    <row r="1930" spans="1:21" ht="16.5" x14ac:dyDescent="0.3">
      <c r="A1930" t="s">
        <v>2017</v>
      </c>
      <c r="B1930" s="1">
        <v>45601</v>
      </c>
      <c r="C1930">
        <v>2024</v>
      </c>
      <c r="D1930" t="s">
        <v>1738</v>
      </c>
      <c r="E1930" t="s">
        <v>1959</v>
      </c>
      <c r="F1930" t="s">
        <v>24</v>
      </c>
      <c r="G1930" t="s">
        <v>49</v>
      </c>
      <c r="H1930" t="s">
        <v>32</v>
      </c>
      <c r="I1930" t="s">
        <v>42</v>
      </c>
      <c r="J1930" t="s">
        <v>89</v>
      </c>
      <c r="K1930">
        <v>2</v>
      </c>
      <c r="L1930" s="2">
        <v>68.349999999999994</v>
      </c>
      <c r="M1930" s="3">
        <v>0.25</v>
      </c>
      <c r="N1930" t="s">
        <v>62</v>
      </c>
      <c r="O1930" s="2">
        <v>102.52</v>
      </c>
      <c r="P1930" s="2">
        <v>88.29</v>
      </c>
      <c r="Q1930" s="2">
        <v>14.23</v>
      </c>
      <c r="R1930">
        <v>1</v>
      </c>
      <c r="S1930">
        <v>0</v>
      </c>
      <c r="T1930">
        <v>5</v>
      </c>
      <c r="U1930">
        <v>5</v>
      </c>
    </row>
    <row r="1931" spans="1:21" ht="16.5" x14ac:dyDescent="0.3">
      <c r="A1931" t="s">
        <v>2018</v>
      </c>
      <c r="B1931" s="1">
        <v>45601</v>
      </c>
      <c r="C1931">
        <v>2024</v>
      </c>
      <c r="D1931" t="s">
        <v>1738</v>
      </c>
      <c r="E1931" t="s">
        <v>1959</v>
      </c>
      <c r="F1931" t="s">
        <v>45</v>
      </c>
      <c r="G1931" t="s">
        <v>51</v>
      </c>
      <c r="H1931" t="s">
        <v>26</v>
      </c>
      <c r="I1931" t="s">
        <v>70</v>
      </c>
      <c r="J1931" t="s">
        <v>87</v>
      </c>
      <c r="K1931">
        <v>1</v>
      </c>
      <c r="L1931" s="2">
        <v>490.3</v>
      </c>
      <c r="M1931" s="3">
        <v>0.15</v>
      </c>
      <c r="N1931" t="s">
        <v>34</v>
      </c>
      <c r="O1931" s="2">
        <v>416.76</v>
      </c>
      <c r="P1931" s="2">
        <v>401.91</v>
      </c>
      <c r="Q1931" s="2">
        <v>14.85</v>
      </c>
      <c r="R1931">
        <v>1</v>
      </c>
      <c r="S1931">
        <v>0</v>
      </c>
      <c r="T1931">
        <v>5</v>
      </c>
      <c r="U1931">
        <v>4</v>
      </c>
    </row>
    <row r="1932" spans="1:21" ht="16.5" x14ac:dyDescent="0.3">
      <c r="A1932" t="s">
        <v>2019</v>
      </c>
      <c r="B1932" s="1">
        <v>45601</v>
      </c>
      <c r="C1932">
        <v>2024</v>
      </c>
      <c r="D1932" t="s">
        <v>1738</v>
      </c>
      <c r="E1932" t="s">
        <v>1959</v>
      </c>
      <c r="F1932" t="s">
        <v>45</v>
      </c>
      <c r="G1932" t="s">
        <v>65</v>
      </c>
      <c r="H1932" t="s">
        <v>32</v>
      </c>
      <c r="I1932" t="s">
        <v>70</v>
      </c>
      <c r="J1932" t="s">
        <v>252</v>
      </c>
      <c r="K1932">
        <v>2</v>
      </c>
      <c r="L1932" s="2">
        <v>216.08</v>
      </c>
      <c r="M1932" s="3">
        <v>0.15</v>
      </c>
      <c r="N1932" t="s">
        <v>34</v>
      </c>
      <c r="O1932" s="2">
        <v>367.34</v>
      </c>
      <c r="P1932" s="2">
        <v>350.7</v>
      </c>
      <c r="Q1932" s="2">
        <v>16.64</v>
      </c>
      <c r="R1932">
        <v>1</v>
      </c>
      <c r="S1932">
        <v>0</v>
      </c>
      <c r="T1932">
        <v>9</v>
      </c>
      <c r="U1932">
        <v>3</v>
      </c>
    </row>
    <row r="1933" spans="1:21" ht="16.5" x14ac:dyDescent="0.3">
      <c r="A1933" t="s">
        <v>2020</v>
      </c>
      <c r="B1933" s="1">
        <v>45601</v>
      </c>
      <c r="C1933">
        <v>2024</v>
      </c>
      <c r="D1933" t="s">
        <v>1738</v>
      </c>
      <c r="E1933" t="s">
        <v>1959</v>
      </c>
      <c r="F1933" t="s">
        <v>31</v>
      </c>
      <c r="G1933" t="s">
        <v>46</v>
      </c>
      <c r="H1933" t="s">
        <v>32</v>
      </c>
      <c r="I1933" t="s">
        <v>70</v>
      </c>
      <c r="J1933" t="s">
        <v>71</v>
      </c>
      <c r="K1933">
        <v>1</v>
      </c>
      <c r="L1933" s="2">
        <v>588.41</v>
      </c>
      <c r="M1933" s="3">
        <v>0.25</v>
      </c>
      <c r="N1933" t="s">
        <v>62</v>
      </c>
      <c r="O1933" s="2">
        <v>441.31</v>
      </c>
      <c r="P1933" s="2">
        <v>462.79</v>
      </c>
      <c r="Q1933" s="2">
        <v>-21.48</v>
      </c>
      <c r="R1933">
        <v>1</v>
      </c>
      <c r="S1933">
        <v>0</v>
      </c>
      <c r="T1933">
        <v>8</v>
      </c>
      <c r="U1933">
        <v>4</v>
      </c>
    </row>
    <row r="1934" spans="1:21" ht="16.5" x14ac:dyDescent="0.3">
      <c r="A1934" t="s">
        <v>2021</v>
      </c>
      <c r="B1934" s="1">
        <v>45601</v>
      </c>
      <c r="C1934">
        <v>2024</v>
      </c>
      <c r="D1934" t="s">
        <v>1738</v>
      </c>
      <c r="E1934" t="s">
        <v>1959</v>
      </c>
      <c r="F1934" t="s">
        <v>45</v>
      </c>
      <c r="G1934" t="s">
        <v>49</v>
      </c>
      <c r="H1934" t="s">
        <v>32</v>
      </c>
      <c r="I1934" t="s">
        <v>27</v>
      </c>
      <c r="J1934" t="s">
        <v>60</v>
      </c>
      <c r="K1934">
        <v>2</v>
      </c>
      <c r="L1934" s="2">
        <v>94.85</v>
      </c>
      <c r="M1934" s="3">
        <v>0.2</v>
      </c>
      <c r="N1934" t="s">
        <v>34</v>
      </c>
      <c r="O1934" s="2">
        <v>151.76</v>
      </c>
      <c r="P1934" s="2">
        <v>97.14</v>
      </c>
      <c r="Q1934" s="2">
        <v>54.62</v>
      </c>
      <c r="R1934">
        <v>1</v>
      </c>
      <c r="S1934">
        <v>0</v>
      </c>
      <c r="T1934">
        <v>4</v>
      </c>
      <c r="U1934">
        <v>4</v>
      </c>
    </row>
    <row r="1935" spans="1:21" ht="16.5" x14ac:dyDescent="0.3">
      <c r="A1935" t="s">
        <v>2022</v>
      </c>
      <c r="B1935" s="1">
        <v>45601</v>
      </c>
      <c r="C1935">
        <v>2024</v>
      </c>
      <c r="D1935" t="s">
        <v>1738</v>
      </c>
      <c r="E1935" t="s">
        <v>1959</v>
      </c>
      <c r="F1935" t="s">
        <v>24</v>
      </c>
      <c r="G1935" t="s">
        <v>65</v>
      </c>
      <c r="H1935" t="s">
        <v>26</v>
      </c>
      <c r="I1935" t="s">
        <v>70</v>
      </c>
      <c r="J1935" t="s">
        <v>252</v>
      </c>
      <c r="K1935">
        <v>1</v>
      </c>
      <c r="L1935" s="2">
        <v>216.08</v>
      </c>
      <c r="M1935" s="3">
        <v>0.15</v>
      </c>
      <c r="N1935" t="s">
        <v>34</v>
      </c>
      <c r="O1935" s="2">
        <v>183.67</v>
      </c>
      <c r="P1935" s="2">
        <v>178.04</v>
      </c>
      <c r="Q1935" s="2">
        <v>5.63</v>
      </c>
      <c r="R1935">
        <v>1</v>
      </c>
      <c r="S1935">
        <v>0</v>
      </c>
      <c r="T1935">
        <v>8</v>
      </c>
      <c r="U1935">
        <v>4</v>
      </c>
    </row>
    <row r="1936" spans="1:21" ht="16.5" x14ac:dyDescent="0.3">
      <c r="A1936" t="s">
        <v>2023</v>
      </c>
      <c r="B1936" s="1">
        <v>45601</v>
      </c>
      <c r="C1936">
        <v>2024</v>
      </c>
      <c r="D1936" t="s">
        <v>1738</v>
      </c>
      <c r="E1936" t="s">
        <v>1959</v>
      </c>
      <c r="F1936" t="s">
        <v>24</v>
      </c>
      <c r="G1936" t="s">
        <v>51</v>
      </c>
      <c r="H1936" t="s">
        <v>26</v>
      </c>
      <c r="I1936" t="s">
        <v>84</v>
      </c>
      <c r="J1936" t="s">
        <v>132</v>
      </c>
      <c r="K1936">
        <v>3</v>
      </c>
      <c r="L1936" s="2">
        <v>48.86</v>
      </c>
      <c r="M1936" s="3">
        <v>0.15</v>
      </c>
      <c r="N1936" t="s">
        <v>34</v>
      </c>
      <c r="O1936" s="2">
        <v>124.59</v>
      </c>
      <c r="P1936" s="2">
        <v>103.41</v>
      </c>
      <c r="Q1936" s="2">
        <v>21.18</v>
      </c>
      <c r="R1936">
        <v>1</v>
      </c>
      <c r="S1936">
        <v>0</v>
      </c>
      <c r="T1936">
        <v>4</v>
      </c>
      <c r="U1936">
        <v>4</v>
      </c>
    </row>
    <row r="1937" spans="1:21" ht="16.5" x14ac:dyDescent="0.3">
      <c r="A1937" t="s">
        <v>2024</v>
      </c>
      <c r="B1937" s="1">
        <v>45601</v>
      </c>
      <c r="C1937">
        <v>2024</v>
      </c>
      <c r="D1937" t="s">
        <v>1738</v>
      </c>
      <c r="E1937" t="s">
        <v>1959</v>
      </c>
      <c r="F1937" t="s">
        <v>31</v>
      </c>
      <c r="G1937" t="s">
        <v>25</v>
      </c>
      <c r="H1937" t="s">
        <v>32</v>
      </c>
      <c r="I1937" t="s">
        <v>27</v>
      </c>
      <c r="J1937" t="s">
        <v>110</v>
      </c>
      <c r="K1937">
        <v>1</v>
      </c>
      <c r="L1937" s="2">
        <v>19.41</v>
      </c>
      <c r="M1937" s="3">
        <v>0.25</v>
      </c>
      <c r="N1937" t="s">
        <v>62</v>
      </c>
      <c r="O1937" s="2">
        <v>14.56</v>
      </c>
      <c r="P1937" s="2">
        <v>10.4</v>
      </c>
      <c r="Q1937" s="2">
        <v>4.16</v>
      </c>
      <c r="R1937">
        <v>1</v>
      </c>
      <c r="S1937">
        <v>0</v>
      </c>
      <c r="T1937">
        <v>5</v>
      </c>
      <c r="U1937">
        <v>5</v>
      </c>
    </row>
    <row r="1938" spans="1:21" ht="16.5" x14ac:dyDescent="0.3">
      <c r="A1938" t="s">
        <v>2025</v>
      </c>
      <c r="B1938" s="1">
        <v>45602</v>
      </c>
      <c r="C1938">
        <v>2024</v>
      </c>
      <c r="D1938" t="s">
        <v>1738</v>
      </c>
      <c r="E1938" t="s">
        <v>1959</v>
      </c>
      <c r="F1938" t="s">
        <v>24</v>
      </c>
      <c r="G1938" t="s">
        <v>49</v>
      </c>
      <c r="H1938" t="s">
        <v>32</v>
      </c>
      <c r="I1938" t="s">
        <v>84</v>
      </c>
      <c r="J1938" t="s">
        <v>132</v>
      </c>
      <c r="K1938">
        <v>1</v>
      </c>
      <c r="L1938" s="2">
        <v>48.86</v>
      </c>
      <c r="M1938" s="3">
        <v>0.05</v>
      </c>
      <c r="N1938" t="s">
        <v>29</v>
      </c>
      <c r="O1938" s="2">
        <v>46.42</v>
      </c>
      <c r="P1938" s="2">
        <v>34.979999999999997</v>
      </c>
      <c r="Q1938" s="2">
        <v>11.44</v>
      </c>
      <c r="R1938">
        <v>1</v>
      </c>
      <c r="S1938">
        <v>0</v>
      </c>
      <c r="T1938">
        <v>4</v>
      </c>
      <c r="U1938">
        <v>4</v>
      </c>
    </row>
    <row r="1939" spans="1:21" ht="16.5" x14ac:dyDescent="0.3">
      <c r="A1939" t="s">
        <v>2026</v>
      </c>
      <c r="B1939" s="1">
        <v>45602</v>
      </c>
      <c r="C1939">
        <v>2024</v>
      </c>
      <c r="D1939" t="s">
        <v>1738</v>
      </c>
      <c r="E1939" t="s">
        <v>1959</v>
      </c>
      <c r="F1939" t="s">
        <v>24</v>
      </c>
      <c r="G1939" t="s">
        <v>46</v>
      </c>
      <c r="H1939" t="s">
        <v>32</v>
      </c>
      <c r="I1939" t="s">
        <v>27</v>
      </c>
      <c r="J1939" t="s">
        <v>33</v>
      </c>
      <c r="K1939">
        <v>2</v>
      </c>
      <c r="L1939" s="2">
        <v>78.510000000000005</v>
      </c>
      <c r="M1939" s="3">
        <v>0.15</v>
      </c>
      <c r="N1939" t="s">
        <v>34</v>
      </c>
      <c r="O1939" s="2">
        <v>133.47</v>
      </c>
      <c r="P1939" s="2">
        <v>81.97</v>
      </c>
      <c r="Q1939" s="2">
        <v>51.5</v>
      </c>
      <c r="R1939">
        <v>1</v>
      </c>
      <c r="S1939">
        <v>1</v>
      </c>
      <c r="T1939">
        <v>7</v>
      </c>
      <c r="U1939">
        <v>3</v>
      </c>
    </row>
    <row r="1940" spans="1:21" ht="16.5" x14ac:dyDescent="0.3">
      <c r="A1940" t="s">
        <v>2027</v>
      </c>
      <c r="B1940" s="1">
        <v>45602</v>
      </c>
      <c r="C1940">
        <v>2024</v>
      </c>
      <c r="D1940" t="s">
        <v>1738</v>
      </c>
      <c r="E1940" t="s">
        <v>1959</v>
      </c>
      <c r="F1940" t="s">
        <v>24</v>
      </c>
      <c r="G1940" t="s">
        <v>49</v>
      </c>
      <c r="H1940" t="s">
        <v>26</v>
      </c>
      <c r="I1940" t="s">
        <v>84</v>
      </c>
      <c r="J1940" t="s">
        <v>106</v>
      </c>
      <c r="K1940">
        <v>1</v>
      </c>
      <c r="L1940" s="2">
        <v>45.28</v>
      </c>
      <c r="M1940" s="3">
        <v>0.25</v>
      </c>
      <c r="N1940" t="s">
        <v>62</v>
      </c>
      <c r="O1940" s="2">
        <v>33.96</v>
      </c>
      <c r="P1940" s="2">
        <v>32.729999999999997</v>
      </c>
      <c r="Q1940" s="2">
        <v>1.23</v>
      </c>
      <c r="R1940">
        <v>1</v>
      </c>
      <c r="S1940">
        <v>0</v>
      </c>
      <c r="T1940">
        <v>4</v>
      </c>
      <c r="U1940">
        <v>4</v>
      </c>
    </row>
    <row r="1941" spans="1:21" ht="16.5" x14ac:dyDescent="0.3">
      <c r="A1941" t="s">
        <v>2028</v>
      </c>
      <c r="B1941" s="1">
        <v>45602</v>
      </c>
      <c r="C1941">
        <v>2024</v>
      </c>
      <c r="D1941" t="s">
        <v>1738</v>
      </c>
      <c r="E1941" t="s">
        <v>1959</v>
      </c>
      <c r="F1941" t="s">
        <v>24</v>
      </c>
      <c r="G1941" t="s">
        <v>25</v>
      </c>
      <c r="H1941" t="s">
        <v>32</v>
      </c>
      <c r="I1941" t="s">
        <v>27</v>
      </c>
      <c r="J1941" t="s">
        <v>47</v>
      </c>
      <c r="K1941">
        <v>1</v>
      </c>
      <c r="L1941" s="2">
        <v>33.99</v>
      </c>
      <c r="M1941" s="3">
        <v>0.2</v>
      </c>
      <c r="N1941" t="s">
        <v>34</v>
      </c>
      <c r="O1941" s="2">
        <v>27.19</v>
      </c>
      <c r="P1941" s="2">
        <v>17.420000000000002</v>
      </c>
      <c r="Q1941" s="2">
        <v>9.77</v>
      </c>
      <c r="R1941">
        <v>1</v>
      </c>
      <c r="S1941">
        <v>0</v>
      </c>
      <c r="T1941">
        <v>4</v>
      </c>
      <c r="U1941">
        <v>5</v>
      </c>
    </row>
    <row r="1942" spans="1:21" ht="16.5" x14ac:dyDescent="0.3">
      <c r="A1942" t="s">
        <v>2029</v>
      </c>
      <c r="B1942" s="1">
        <v>45602</v>
      </c>
      <c r="C1942">
        <v>2024</v>
      </c>
      <c r="D1942" t="s">
        <v>1738</v>
      </c>
      <c r="E1942" t="s">
        <v>1959</v>
      </c>
      <c r="F1942" t="s">
        <v>24</v>
      </c>
      <c r="G1942" t="s">
        <v>25</v>
      </c>
      <c r="H1942" t="s">
        <v>26</v>
      </c>
      <c r="I1942" t="s">
        <v>70</v>
      </c>
      <c r="J1942" t="s">
        <v>82</v>
      </c>
      <c r="K1942">
        <v>1</v>
      </c>
      <c r="L1942" s="2">
        <v>508.8</v>
      </c>
      <c r="M1942" s="3">
        <v>0.3</v>
      </c>
      <c r="N1942" t="s">
        <v>62</v>
      </c>
      <c r="O1942" s="2">
        <v>356.16</v>
      </c>
      <c r="P1942" s="2">
        <v>394.32</v>
      </c>
      <c r="Q1942" s="2">
        <v>-38.159999999999997</v>
      </c>
      <c r="R1942">
        <v>1</v>
      </c>
      <c r="S1942">
        <v>0</v>
      </c>
      <c r="T1942">
        <v>6</v>
      </c>
      <c r="U1942">
        <v>3</v>
      </c>
    </row>
    <row r="1943" spans="1:21" ht="16.5" x14ac:dyDescent="0.3">
      <c r="A1943" t="s">
        <v>2030</v>
      </c>
      <c r="B1943" s="1">
        <v>45602</v>
      </c>
      <c r="C1943">
        <v>2024</v>
      </c>
      <c r="D1943" t="s">
        <v>1738</v>
      </c>
      <c r="E1943" t="s">
        <v>1959</v>
      </c>
      <c r="F1943" t="s">
        <v>24</v>
      </c>
      <c r="G1943" t="s">
        <v>25</v>
      </c>
      <c r="H1943" t="s">
        <v>32</v>
      </c>
      <c r="I1943" t="s">
        <v>84</v>
      </c>
      <c r="J1943" t="s">
        <v>85</v>
      </c>
      <c r="K1943">
        <v>1</v>
      </c>
      <c r="L1943" s="2">
        <v>57.92</v>
      </c>
      <c r="M1943" s="3">
        <v>0.15</v>
      </c>
      <c r="N1943" t="s">
        <v>34</v>
      </c>
      <c r="O1943" s="2">
        <v>49.23</v>
      </c>
      <c r="P1943" s="2">
        <v>41</v>
      </c>
      <c r="Q1943" s="2">
        <v>8.23</v>
      </c>
      <c r="R1943">
        <v>1</v>
      </c>
      <c r="S1943">
        <v>0</v>
      </c>
      <c r="T1943">
        <v>4</v>
      </c>
      <c r="U1943">
        <v>4</v>
      </c>
    </row>
    <row r="1944" spans="1:21" ht="16.5" x14ac:dyDescent="0.3">
      <c r="A1944" t="s">
        <v>2031</v>
      </c>
      <c r="B1944" s="1">
        <v>45602</v>
      </c>
      <c r="C1944">
        <v>2024</v>
      </c>
      <c r="D1944" t="s">
        <v>1738</v>
      </c>
      <c r="E1944" t="s">
        <v>1959</v>
      </c>
      <c r="F1944" t="s">
        <v>24</v>
      </c>
      <c r="G1944" t="s">
        <v>49</v>
      </c>
      <c r="H1944" t="s">
        <v>32</v>
      </c>
      <c r="I1944" t="s">
        <v>70</v>
      </c>
      <c r="J1944" t="s">
        <v>71</v>
      </c>
      <c r="K1944">
        <v>1</v>
      </c>
      <c r="L1944" s="2">
        <v>588.41</v>
      </c>
      <c r="M1944" s="3">
        <v>0.1</v>
      </c>
      <c r="N1944" t="s">
        <v>29</v>
      </c>
      <c r="O1944" s="2">
        <v>529.57000000000005</v>
      </c>
      <c r="P1944" s="2">
        <v>472.72</v>
      </c>
      <c r="Q1944" s="2">
        <v>56.85</v>
      </c>
      <c r="R1944">
        <v>1</v>
      </c>
      <c r="S1944">
        <v>0</v>
      </c>
      <c r="T1944">
        <v>4</v>
      </c>
      <c r="U1944">
        <v>4</v>
      </c>
    </row>
    <row r="1945" spans="1:21" ht="16.5" x14ac:dyDescent="0.3">
      <c r="A1945" t="s">
        <v>2032</v>
      </c>
      <c r="B1945" s="1">
        <v>45602</v>
      </c>
      <c r="C1945">
        <v>2024</v>
      </c>
      <c r="D1945" t="s">
        <v>1738</v>
      </c>
      <c r="E1945" t="s">
        <v>1959</v>
      </c>
      <c r="F1945" t="s">
        <v>31</v>
      </c>
      <c r="G1945" t="s">
        <v>65</v>
      </c>
      <c r="H1945" t="s">
        <v>32</v>
      </c>
      <c r="I1945" t="s">
        <v>27</v>
      </c>
      <c r="J1945" t="s">
        <v>110</v>
      </c>
      <c r="K1945">
        <v>1</v>
      </c>
      <c r="L1945" s="2">
        <v>19.41</v>
      </c>
      <c r="M1945" s="3">
        <v>0.2</v>
      </c>
      <c r="N1945" t="s">
        <v>34</v>
      </c>
      <c r="O1945" s="2">
        <v>15.53</v>
      </c>
      <c r="P1945" s="2">
        <v>10.85</v>
      </c>
      <c r="Q1945" s="2">
        <v>4.68</v>
      </c>
      <c r="R1945">
        <v>1</v>
      </c>
      <c r="S1945">
        <v>0</v>
      </c>
      <c r="T1945">
        <v>7</v>
      </c>
      <c r="U1945">
        <v>3</v>
      </c>
    </row>
    <row r="1946" spans="1:21" ht="16.5" x14ac:dyDescent="0.3">
      <c r="A1946" t="s">
        <v>2033</v>
      </c>
      <c r="B1946" s="1">
        <v>45602</v>
      </c>
      <c r="C1946">
        <v>2024</v>
      </c>
      <c r="D1946" t="s">
        <v>1738</v>
      </c>
      <c r="E1946" t="s">
        <v>1959</v>
      </c>
      <c r="F1946" t="s">
        <v>24</v>
      </c>
      <c r="G1946" t="s">
        <v>49</v>
      </c>
      <c r="H1946" t="s">
        <v>32</v>
      </c>
      <c r="I1946" t="s">
        <v>67</v>
      </c>
      <c r="J1946" t="s">
        <v>68</v>
      </c>
      <c r="K1946">
        <v>1</v>
      </c>
      <c r="L1946" s="2">
        <v>74.459999999999994</v>
      </c>
      <c r="M1946" s="3">
        <v>0.15</v>
      </c>
      <c r="N1946" t="s">
        <v>34</v>
      </c>
      <c r="O1946" s="2">
        <v>63.29</v>
      </c>
      <c r="P1946" s="2">
        <v>49.29</v>
      </c>
      <c r="Q1946" s="2">
        <v>14</v>
      </c>
      <c r="R1946">
        <v>1</v>
      </c>
      <c r="S1946">
        <v>0</v>
      </c>
      <c r="T1946">
        <v>5</v>
      </c>
      <c r="U1946">
        <v>4</v>
      </c>
    </row>
    <row r="1947" spans="1:21" ht="16.5" x14ac:dyDescent="0.3">
      <c r="A1947" t="s">
        <v>2034</v>
      </c>
      <c r="B1947" s="1">
        <v>45602</v>
      </c>
      <c r="C1947">
        <v>2024</v>
      </c>
      <c r="D1947" t="s">
        <v>1738</v>
      </c>
      <c r="E1947" t="s">
        <v>1959</v>
      </c>
      <c r="F1947" t="s">
        <v>24</v>
      </c>
      <c r="G1947" t="s">
        <v>25</v>
      </c>
      <c r="H1947" t="s">
        <v>32</v>
      </c>
      <c r="I1947" t="s">
        <v>70</v>
      </c>
      <c r="J1947" t="s">
        <v>129</v>
      </c>
      <c r="K1947">
        <v>2</v>
      </c>
      <c r="L1947" s="2">
        <v>177.65</v>
      </c>
      <c r="M1947" s="3">
        <v>0.2</v>
      </c>
      <c r="N1947" t="s">
        <v>34</v>
      </c>
      <c r="O1947" s="2">
        <v>284.24</v>
      </c>
      <c r="P1947" s="2">
        <v>286.85000000000002</v>
      </c>
      <c r="Q1947" s="2">
        <v>-2.61</v>
      </c>
      <c r="R1947">
        <v>1</v>
      </c>
      <c r="S1947">
        <v>0</v>
      </c>
      <c r="T1947">
        <v>6</v>
      </c>
      <c r="U1947">
        <v>3</v>
      </c>
    </row>
    <row r="1948" spans="1:21" ht="16.5" x14ac:dyDescent="0.3">
      <c r="A1948" t="s">
        <v>2035</v>
      </c>
      <c r="B1948" s="1">
        <v>45602</v>
      </c>
      <c r="C1948">
        <v>2024</v>
      </c>
      <c r="D1948" t="s">
        <v>1738</v>
      </c>
      <c r="E1948" t="s">
        <v>1959</v>
      </c>
      <c r="F1948" t="s">
        <v>24</v>
      </c>
      <c r="G1948" t="s">
        <v>49</v>
      </c>
      <c r="H1948" t="s">
        <v>32</v>
      </c>
      <c r="I1948" t="s">
        <v>67</v>
      </c>
      <c r="J1948" t="s">
        <v>103</v>
      </c>
      <c r="K1948">
        <v>1</v>
      </c>
      <c r="L1948" s="2">
        <v>83.06</v>
      </c>
      <c r="M1948" s="3">
        <v>0.15</v>
      </c>
      <c r="N1948" t="s">
        <v>34</v>
      </c>
      <c r="O1948" s="2">
        <v>70.599999999999994</v>
      </c>
      <c r="P1948" s="2">
        <v>54.45</v>
      </c>
      <c r="Q1948" s="2">
        <v>16.149999999999999</v>
      </c>
      <c r="R1948">
        <v>1</v>
      </c>
      <c r="S1948">
        <v>1</v>
      </c>
      <c r="T1948">
        <v>6</v>
      </c>
      <c r="U1948">
        <v>2</v>
      </c>
    </row>
    <row r="1949" spans="1:21" ht="16.5" x14ac:dyDescent="0.3">
      <c r="A1949" t="s">
        <v>2036</v>
      </c>
      <c r="B1949" s="1">
        <v>45603</v>
      </c>
      <c r="C1949">
        <v>2024</v>
      </c>
      <c r="D1949" t="s">
        <v>1738</v>
      </c>
      <c r="E1949" t="s">
        <v>1959</v>
      </c>
      <c r="F1949" t="s">
        <v>24</v>
      </c>
      <c r="G1949" t="s">
        <v>51</v>
      </c>
      <c r="H1949" t="s">
        <v>26</v>
      </c>
      <c r="I1949" t="s">
        <v>84</v>
      </c>
      <c r="J1949" t="s">
        <v>106</v>
      </c>
      <c r="K1949">
        <v>1</v>
      </c>
      <c r="L1949" s="2">
        <v>45.28</v>
      </c>
      <c r="M1949" s="3">
        <v>0.2</v>
      </c>
      <c r="N1949" t="s">
        <v>34</v>
      </c>
      <c r="O1949" s="2">
        <v>36.22</v>
      </c>
      <c r="P1949" s="2">
        <v>34.700000000000003</v>
      </c>
      <c r="Q1949" s="2">
        <v>1.52</v>
      </c>
      <c r="R1949">
        <v>1</v>
      </c>
      <c r="S1949">
        <v>0</v>
      </c>
      <c r="T1949">
        <v>4</v>
      </c>
      <c r="U1949">
        <v>5</v>
      </c>
    </row>
    <row r="1950" spans="1:21" ht="16.5" x14ac:dyDescent="0.3">
      <c r="A1950" t="s">
        <v>2037</v>
      </c>
      <c r="B1950" s="1">
        <v>45603</v>
      </c>
      <c r="C1950">
        <v>2024</v>
      </c>
      <c r="D1950" t="s">
        <v>1738</v>
      </c>
      <c r="E1950" t="s">
        <v>1959</v>
      </c>
      <c r="F1950" t="s">
        <v>31</v>
      </c>
      <c r="G1950" t="s">
        <v>25</v>
      </c>
      <c r="H1950" t="s">
        <v>26</v>
      </c>
      <c r="I1950" t="s">
        <v>42</v>
      </c>
      <c r="J1950" t="s">
        <v>76</v>
      </c>
      <c r="K1950">
        <v>1</v>
      </c>
      <c r="L1950" s="2">
        <v>90.75</v>
      </c>
      <c r="M1950" s="3">
        <v>0.25</v>
      </c>
      <c r="N1950" t="s">
        <v>62</v>
      </c>
      <c r="O1950" s="2">
        <v>68.06</v>
      </c>
      <c r="P1950" s="2">
        <v>58.52</v>
      </c>
      <c r="Q1950" s="2">
        <v>9.5399999999999991</v>
      </c>
      <c r="R1950">
        <v>1</v>
      </c>
      <c r="S1950">
        <v>0</v>
      </c>
      <c r="T1950">
        <v>4</v>
      </c>
      <c r="U1950">
        <v>5</v>
      </c>
    </row>
    <row r="1951" spans="1:21" ht="16.5" x14ac:dyDescent="0.3">
      <c r="A1951" t="s">
        <v>2038</v>
      </c>
      <c r="B1951" s="1">
        <v>45603</v>
      </c>
      <c r="C1951">
        <v>2024</v>
      </c>
      <c r="D1951" t="s">
        <v>1738</v>
      </c>
      <c r="E1951" t="s">
        <v>1959</v>
      </c>
      <c r="F1951" t="s">
        <v>24</v>
      </c>
      <c r="G1951" t="s">
        <v>49</v>
      </c>
      <c r="H1951" t="s">
        <v>26</v>
      </c>
      <c r="I1951" t="s">
        <v>42</v>
      </c>
      <c r="J1951" t="s">
        <v>89</v>
      </c>
      <c r="K1951">
        <v>4</v>
      </c>
      <c r="L1951" s="2">
        <v>68.349999999999994</v>
      </c>
      <c r="M1951" s="3">
        <v>0.2</v>
      </c>
      <c r="N1951" t="s">
        <v>34</v>
      </c>
      <c r="O1951" s="2">
        <v>218.72</v>
      </c>
      <c r="P1951" s="2">
        <v>182.19</v>
      </c>
      <c r="Q1951" s="2">
        <v>36.53</v>
      </c>
      <c r="R1951">
        <v>1</v>
      </c>
      <c r="S1951">
        <v>0</v>
      </c>
      <c r="T1951">
        <v>4</v>
      </c>
      <c r="U1951">
        <v>4</v>
      </c>
    </row>
    <row r="1952" spans="1:21" ht="16.5" x14ac:dyDescent="0.3">
      <c r="A1952" t="s">
        <v>2039</v>
      </c>
      <c r="B1952" s="1">
        <v>45603</v>
      </c>
      <c r="C1952">
        <v>2024</v>
      </c>
      <c r="D1952" t="s">
        <v>1738</v>
      </c>
      <c r="E1952" t="s">
        <v>1959</v>
      </c>
      <c r="F1952" t="s">
        <v>24</v>
      </c>
      <c r="G1952" t="s">
        <v>51</v>
      </c>
      <c r="H1952" t="s">
        <v>26</v>
      </c>
      <c r="I1952" t="s">
        <v>84</v>
      </c>
      <c r="J1952" t="s">
        <v>132</v>
      </c>
      <c r="K1952">
        <v>2</v>
      </c>
      <c r="L1952" s="2">
        <v>48.86</v>
      </c>
      <c r="M1952" s="3">
        <v>0.15</v>
      </c>
      <c r="N1952" t="s">
        <v>34</v>
      </c>
      <c r="O1952" s="2">
        <v>83.06</v>
      </c>
      <c r="P1952" s="2">
        <v>67.69</v>
      </c>
      <c r="Q1952" s="2">
        <v>15.37</v>
      </c>
      <c r="R1952">
        <v>1</v>
      </c>
      <c r="S1952">
        <v>0</v>
      </c>
      <c r="T1952">
        <v>5</v>
      </c>
      <c r="U1952">
        <v>3</v>
      </c>
    </row>
    <row r="1953" spans="1:21" ht="16.5" x14ac:dyDescent="0.3">
      <c r="A1953" t="s">
        <v>2040</v>
      </c>
      <c r="B1953" s="1">
        <v>45603</v>
      </c>
      <c r="C1953">
        <v>2024</v>
      </c>
      <c r="D1953" t="s">
        <v>1738</v>
      </c>
      <c r="E1953" t="s">
        <v>1959</v>
      </c>
      <c r="F1953" t="s">
        <v>24</v>
      </c>
      <c r="G1953" t="s">
        <v>49</v>
      </c>
      <c r="H1953" t="s">
        <v>26</v>
      </c>
      <c r="I1953" t="s">
        <v>36</v>
      </c>
      <c r="J1953" t="s">
        <v>126</v>
      </c>
      <c r="K1953">
        <v>1</v>
      </c>
      <c r="L1953" s="2">
        <v>54.56</v>
      </c>
      <c r="M1953" s="3">
        <v>0.1</v>
      </c>
      <c r="N1953" t="s">
        <v>29</v>
      </c>
      <c r="O1953" s="2">
        <v>49.1</v>
      </c>
      <c r="P1953" s="2">
        <v>27.01</v>
      </c>
      <c r="Q1953" s="2">
        <v>22.09</v>
      </c>
      <c r="R1953">
        <v>1</v>
      </c>
      <c r="S1953">
        <v>0</v>
      </c>
      <c r="T1953">
        <v>6</v>
      </c>
      <c r="U1953">
        <v>3</v>
      </c>
    </row>
    <row r="1954" spans="1:21" ht="16.5" x14ac:dyDescent="0.3">
      <c r="A1954" t="s">
        <v>2041</v>
      </c>
      <c r="B1954" s="1">
        <v>45603</v>
      </c>
      <c r="C1954">
        <v>2024</v>
      </c>
      <c r="D1954" t="s">
        <v>1738</v>
      </c>
      <c r="E1954" t="s">
        <v>1959</v>
      </c>
      <c r="F1954" t="s">
        <v>24</v>
      </c>
      <c r="G1954" t="s">
        <v>25</v>
      </c>
      <c r="H1954" t="s">
        <v>26</v>
      </c>
      <c r="I1954" t="s">
        <v>70</v>
      </c>
      <c r="J1954" t="s">
        <v>71</v>
      </c>
      <c r="K1954">
        <v>1</v>
      </c>
      <c r="L1954" s="2">
        <v>588.41</v>
      </c>
      <c r="M1954" s="3">
        <v>0</v>
      </c>
      <c r="N1954" t="s">
        <v>38</v>
      </c>
      <c r="O1954" s="2">
        <v>588.41</v>
      </c>
      <c r="P1954" s="2">
        <v>461.83</v>
      </c>
      <c r="Q1954" s="2">
        <v>126.58</v>
      </c>
      <c r="R1954">
        <v>1</v>
      </c>
      <c r="S1954">
        <v>0</v>
      </c>
      <c r="T1954">
        <v>4</v>
      </c>
      <c r="U1954">
        <v>3</v>
      </c>
    </row>
    <row r="1955" spans="1:21" ht="16.5" x14ac:dyDescent="0.3">
      <c r="A1955" t="s">
        <v>2042</v>
      </c>
      <c r="B1955" s="1">
        <v>45603</v>
      </c>
      <c r="C1955">
        <v>2024</v>
      </c>
      <c r="D1955" t="s">
        <v>1738</v>
      </c>
      <c r="E1955" t="s">
        <v>1959</v>
      </c>
      <c r="F1955" t="s">
        <v>24</v>
      </c>
      <c r="G1955" t="s">
        <v>65</v>
      </c>
      <c r="H1955" t="s">
        <v>26</v>
      </c>
      <c r="I1955" t="s">
        <v>84</v>
      </c>
      <c r="J1955" t="s">
        <v>106</v>
      </c>
      <c r="K1955">
        <v>1</v>
      </c>
      <c r="L1955" s="2">
        <v>45.28</v>
      </c>
      <c r="M1955" s="3">
        <v>0.15</v>
      </c>
      <c r="N1955" t="s">
        <v>34</v>
      </c>
      <c r="O1955" s="2">
        <v>38.49</v>
      </c>
      <c r="P1955" s="2">
        <v>32.75</v>
      </c>
      <c r="Q1955" s="2">
        <v>5.74</v>
      </c>
      <c r="R1955">
        <v>1</v>
      </c>
      <c r="S1955">
        <v>0</v>
      </c>
      <c r="T1955">
        <v>14</v>
      </c>
      <c r="U1955">
        <v>3</v>
      </c>
    </row>
    <row r="1956" spans="1:21" ht="16.5" x14ac:dyDescent="0.3">
      <c r="A1956" t="s">
        <v>2043</v>
      </c>
      <c r="B1956" s="1">
        <v>45604</v>
      </c>
      <c r="C1956">
        <v>2024</v>
      </c>
      <c r="D1956" t="s">
        <v>1738</v>
      </c>
      <c r="E1956" t="s">
        <v>1959</v>
      </c>
      <c r="F1956" t="s">
        <v>24</v>
      </c>
      <c r="G1956" t="s">
        <v>65</v>
      </c>
      <c r="H1956" t="s">
        <v>32</v>
      </c>
      <c r="I1956" t="s">
        <v>27</v>
      </c>
      <c r="J1956" t="s">
        <v>40</v>
      </c>
      <c r="K1956">
        <v>1</v>
      </c>
      <c r="L1956" s="2">
        <v>104.94</v>
      </c>
      <c r="M1956" s="3">
        <v>0.15</v>
      </c>
      <c r="N1956" t="s">
        <v>34</v>
      </c>
      <c r="O1956" s="2">
        <v>89.2</v>
      </c>
      <c r="P1956" s="2">
        <v>56.02</v>
      </c>
      <c r="Q1956" s="2">
        <v>33.18</v>
      </c>
      <c r="R1956">
        <v>1</v>
      </c>
      <c r="S1956">
        <v>0</v>
      </c>
      <c r="T1956">
        <v>8</v>
      </c>
      <c r="U1956">
        <v>3</v>
      </c>
    </row>
    <row r="1957" spans="1:21" ht="16.5" x14ac:dyDescent="0.3">
      <c r="A1957" t="s">
        <v>2044</v>
      </c>
      <c r="B1957" s="1">
        <v>45604</v>
      </c>
      <c r="C1957">
        <v>2024</v>
      </c>
      <c r="D1957" t="s">
        <v>1738</v>
      </c>
      <c r="E1957" t="s">
        <v>1959</v>
      </c>
      <c r="F1957" t="s">
        <v>45</v>
      </c>
      <c r="G1957" t="s">
        <v>46</v>
      </c>
      <c r="H1957" t="s">
        <v>26</v>
      </c>
      <c r="I1957" t="s">
        <v>36</v>
      </c>
      <c r="J1957" t="s">
        <v>126</v>
      </c>
      <c r="K1957">
        <v>3</v>
      </c>
      <c r="L1957" s="2">
        <v>54.56</v>
      </c>
      <c r="M1957" s="3">
        <v>0.2</v>
      </c>
      <c r="N1957" t="s">
        <v>34</v>
      </c>
      <c r="O1957" s="2">
        <v>130.94</v>
      </c>
      <c r="P1957" s="2">
        <v>77.97</v>
      </c>
      <c r="Q1957" s="2">
        <v>52.97</v>
      </c>
      <c r="R1957">
        <v>1</v>
      </c>
      <c r="S1957">
        <v>0</v>
      </c>
      <c r="T1957">
        <v>6</v>
      </c>
      <c r="U1957">
        <v>3</v>
      </c>
    </row>
    <row r="1958" spans="1:21" ht="16.5" x14ac:dyDescent="0.3">
      <c r="A1958" t="s">
        <v>2045</v>
      </c>
      <c r="B1958" s="1">
        <v>45604</v>
      </c>
      <c r="C1958">
        <v>2024</v>
      </c>
      <c r="D1958" t="s">
        <v>1738</v>
      </c>
      <c r="E1958" t="s">
        <v>1959</v>
      </c>
      <c r="F1958" t="s">
        <v>24</v>
      </c>
      <c r="G1958" t="s">
        <v>65</v>
      </c>
      <c r="H1958" t="s">
        <v>26</v>
      </c>
      <c r="I1958" t="s">
        <v>42</v>
      </c>
      <c r="J1958" t="s">
        <v>89</v>
      </c>
      <c r="K1958">
        <v>3</v>
      </c>
      <c r="L1958" s="2">
        <v>68.349999999999994</v>
      </c>
      <c r="M1958" s="3">
        <v>0.15</v>
      </c>
      <c r="N1958" t="s">
        <v>34</v>
      </c>
      <c r="O1958" s="2">
        <v>174.29</v>
      </c>
      <c r="P1958" s="2">
        <v>136.44</v>
      </c>
      <c r="Q1958" s="2">
        <v>37.85</v>
      </c>
      <c r="R1958">
        <v>1</v>
      </c>
      <c r="S1958">
        <v>0</v>
      </c>
      <c r="T1958">
        <v>7</v>
      </c>
      <c r="U1958">
        <v>2</v>
      </c>
    </row>
    <row r="1959" spans="1:21" ht="16.5" x14ac:dyDescent="0.3">
      <c r="A1959" t="s">
        <v>2046</v>
      </c>
      <c r="B1959" s="1">
        <v>45604</v>
      </c>
      <c r="C1959">
        <v>2024</v>
      </c>
      <c r="D1959" t="s">
        <v>1738</v>
      </c>
      <c r="E1959" t="s">
        <v>1959</v>
      </c>
      <c r="F1959" t="s">
        <v>31</v>
      </c>
      <c r="G1959" t="s">
        <v>49</v>
      </c>
      <c r="H1959" t="s">
        <v>32</v>
      </c>
      <c r="I1959" t="s">
        <v>27</v>
      </c>
      <c r="J1959" t="s">
        <v>110</v>
      </c>
      <c r="K1959">
        <v>1</v>
      </c>
      <c r="L1959" s="2">
        <v>19.41</v>
      </c>
      <c r="M1959" s="3">
        <v>0.2</v>
      </c>
      <c r="N1959" t="s">
        <v>34</v>
      </c>
      <c r="O1959" s="2">
        <v>15.53</v>
      </c>
      <c r="P1959" s="2">
        <v>10.01</v>
      </c>
      <c r="Q1959" s="2">
        <v>5.52</v>
      </c>
      <c r="R1959">
        <v>1</v>
      </c>
      <c r="S1959">
        <v>1</v>
      </c>
      <c r="T1959">
        <v>4</v>
      </c>
      <c r="U1959">
        <v>3</v>
      </c>
    </row>
    <row r="1960" spans="1:21" ht="16.5" x14ac:dyDescent="0.3">
      <c r="A1960" t="s">
        <v>2047</v>
      </c>
      <c r="B1960" s="1">
        <v>45604</v>
      </c>
      <c r="C1960">
        <v>2024</v>
      </c>
      <c r="D1960" t="s">
        <v>1738</v>
      </c>
      <c r="E1960" t="s">
        <v>1959</v>
      </c>
      <c r="F1960" t="s">
        <v>24</v>
      </c>
      <c r="G1960" t="s">
        <v>51</v>
      </c>
      <c r="H1960" t="s">
        <v>32</v>
      </c>
      <c r="I1960" t="s">
        <v>42</v>
      </c>
      <c r="J1960" t="s">
        <v>76</v>
      </c>
      <c r="K1960">
        <v>1</v>
      </c>
      <c r="L1960" s="2">
        <v>90.75</v>
      </c>
      <c r="M1960" s="3">
        <v>0.2</v>
      </c>
      <c r="N1960" t="s">
        <v>34</v>
      </c>
      <c r="O1960" s="2">
        <v>72.599999999999994</v>
      </c>
      <c r="P1960" s="2">
        <v>57.63</v>
      </c>
      <c r="Q1960" s="2">
        <v>14.97</v>
      </c>
      <c r="R1960">
        <v>1</v>
      </c>
      <c r="S1960">
        <v>0</v>
      </c>
      <c r="T1960">
        <v>3</v>
      </c>
      <c r="U1960">
        <v>4</v>
      </c>
    </row>
    <row r="1961" spans="1:21" ht="16.5" x14ac:dyDescent="0.3">
      <c r="A1961" t="s">
        <v>2048</v>
      </c>
      <c r="B1961" s="1">
        <v>45604</v>
      </c>
      <c r="C1961">
        <v>2024</v>
      </c>
      <c r="D1961" t="s">
        <v>1738</v>
      </c>
      <c r="E1961" t="s">
        <v>1959</v>
      </c>
      <c r="F1961" t="s">
        <v>24</v>
      </c>
      <c r="G1961" t="s">
        <v>49</v>
      </c>
      <c r="H1961" t="s">
        <v>26</v>
      </c>
      <c r="I1961" t="s">
        <v>27</v>
      </c>
      <c r="J1961" t="s">
        <v>110</v>
      </c>
      <c r="K1961">
        <v>1</v>
      </c>
      <c r="L1961" s="2">
        <v>19.41</v>
      </c>
      <c r="M1961" s="3">
        <v>0.05</v>
      </c>
      <c r="N1961" t="s">
        <v>29</v>
      </c>
      <c r="O1961" s="2">
        <v>18.440000000000001</v>
      </c>
      <c r="P1961" s="2">
        <v>10.95</v>
      </c>
      <c r="Q1961" s="2">
        <v>7.49</v>
      </c>
      <c r="R1961">
        <v>1</v>
      </c>
      <c r="S1961">
        <v>1</v>
      </c>
      <c r="T1961">
        <v>5</v>
      </c>
      <c r="U1961">
        <v>3</v>
      </c>
    </row>
    <row r="1962" spans="1:21" ht="16.5" x14ac:dyDescent="0.3">
      <c r="A1962" t="s">
        <v>2049</v>
      </c>
      <c r="B1962" s="1">
        <v>45604</v>
      </c>
      <c r="C1962">
        <v>2024</v>
      </c>
      <c r="D1962" t="s">
        <v>1738</v>
      </c>
      <c r="E1962" t="s">
        <v>1959</v>
      </c>
      <c r="F1962" t="s">
        <v>31</v>
      </c>
      <c r="G1962" t="s">
        <v>51</v>
      </c>
      <c r="H1962" t="s">
        <v>32</v>
      </c>
      <c r="I1962" t="s">
        <v>70</v>
      </c>
      <c r="J1962" t="s">
        <v>71</v>
      </c>
      <c r="K1962">
        <v>1</v>
      </c>
      <c r="L1962" s="2">
        <v>588.41</v>
      </c>
      <c r="M1962" s="3">
        <v>0.05</v>
      </c>
      <c r="N1962" t="s">
        <v>29</v>
      </c>
      <c r="O1962" s="2">
        <v>558.99</v>
      </c>
      <c r="P1962" s="2">
        <v>469.01</v>
      </c>
      <c r="Q1962" s="2">
        <v>89.98</v>
      </c>
      <c r="R1962">
        <v>1</v>
      </c>
      <c r="S1962">
        <v>0</v>
      </c>
      <c r="T1962">
        <v>4</v>
      </c>
      <c r="U1962">
        <v>4</v>
      </c>
    </row>
    <row r="1963" spans="1:21" ht="16.5" x14ac:dyDescent="0.3">
      <c r="A1963" t="s">
        <v>2050</v>
      </c>
      <c r="B1963" s="1">
        <v>45604</v>
      </c>
      <c r="C1963">
        <v>2024</v>
      </c>
      <c r="D1963" t="s">
        <v>1738</v>
      </c>
      <c r="E1963" t="s">
        <v>1959</v>
      </c>
      <c r="F1963" t="s">
        <v>31</v>
      </c>
      <c r="G1963" t="s">
        <v>46</v>
      </c>
      <c r="H1963" t="s">
        <v>32</v>
      </c>
      <c r="I1963" t="s">
        <v>42</v>
      </c>
      <c r="J1963" t="s">
        <v>98</v>
      </c>
      <c r="K1963">
        <v>2</v>
      </c>
      <c r="L1963" s="2">
        <v>117.63</v>
      </c>
      <c r="M1963" s="3">
        <v>0.15</v>
      </c>
      <c r="N1963" t="s">
        <v>34</v>
      </c>
      <c r="O1963" s="2">
        <v>199.97</v>
      </c>
      <c r="P1963" s="2">
        <v>158.19</v>
      </c>
      <c r="Q1963" s="2">
        <v>41.78</v>
      </c>
      <c r="R1963">
        <v>1</v>
      </c>
      <c r="S1963">
        <v>0</v>
      </c>
      <c r="T1963">
        <v>7</v>
      </c>
      <c r="U1963">
        <v>4</v>
      </c>
    </row>
    <row r="1964" spans="1:21" ht="16.5" x14ac:dyDescent="0.3">
      <c r="A1964" t="s">
        <v>2051</v>
      </c>
      <c r="B1964" s="1">
        <v>45604</v>
      </c>
      <c r="C1964">
        <v>2024</v>
      </c>
      <c r="D1964" t="s">
        <v>1738</v>
      </c>
      <c r="E1964" t="s">
        <v>1959</v>
      </c>
      <c r="F1964" t="s">
        <v>24</v>
      </c>
      <c r="G1964" t="s">
        <v>46</v>
      </c>
      <c r="H1964" t="s">
        <v>26</v>
      </c>
      <c r="I1964" t="s">
        <v>27</v>
      </c>
      <c r="J1964" t="s">
        <v>47</v>
      </c>
      <c r="K1964">
        <v>1</v>
      </c>
      <c r="L1964" s="2">
        <v>33.99</v>
      </c>
      <c r="M1964" s="3">
        <v>0.1</v>
      </c>
      <c r="N1964" t="s">
        <v>29</v>
      </c>
      <c r="O1964" s="2">
        <v>30.59</v>
      </c>
      <c r="P1964" s="2">
        <v>17.68</v>
      </c>
      <c r="Q1964" s="2">
        <v>12.91</v>
      </c>
      <c r="R1964">
        <v>1</v>
      </c>
      <c r="S1964">
        <v>0</v>
      </c>
      <c r="T1964">
        <v>7</v>
      </c>
      <c r="U1964">
        <v>3</v>
      </c>
    </row>
    <row r="1965" spans="1:21" ht="16.5" x14ac:dyDescent="0.3">
      <c r="A1965" t="s">
        <v>2052</v>
      </c>
      <c r="B1965" s="1">
        <v>45604</v>
      </c>
      <c r="C1965">
        <v>2024</v>
      </c>
      <c r="D1965" t="s">
        <v>1738</v>
      </c>
      <c r="E1965" t="s">
        <v>1959</v>
      </c>
      <c r="F1965" t="s">
        <v>31</v>
      </c>
      <c r="G1965" t="s">
        <v>25</v>
      </c>
      <c r="H1965" t="s">
        <v>32</v>
      </c>
      <c r="I1965" t="s">
        <v>42</v>
      </c>
      <c r="J1965" t="s">
        <v>89</v>
      </c>
      <c r="K1965">
        <v>1</v>
      </c>
      <c r="L1965" s="2">
        <v>68.349999999999994</v>
      </c>
      <c r="M1965" s="3">
        <v>0.3</v>
      </c>
      <c r="N1965" t="s">
        <v>62</v>
      </c>
      <c r="O1965" s="2">
        <v>47.84</v>
      </c>
      <c r="P1965" s="2">
        <v>46.48</v>
      </c>
      <c r="Q1965" s="2">
        <v>1.36</v>
      </c>
      <c r="R1965">
        <v>1</v>
      </c>
      <c r="S1965">
        <v>0</v>
      </c>
      <c r="T1965">
        <v>4</v>
      </c>
      <c r="U1965">
        <v>4</v>
      </c>
    </row>
    <row r="1966" spans="1:21" ht="16.5" x14ac:dyDescent="0.3">
      <c r="A1966" t="s">
        <v>2053</v>
      </c>
      <c r="B1966" s="1">
        <v>45604</v>
      </c>
      <c r="C1966">
        <v>2024</v>
      </c>
      <c r="D1966" t="s">
        <v>1738</v>
      </c>
      <c r="E1966" t="s">
        <v>1959</v>
      </c>
      <c r="F1966" t="s">
        <v>24</v>
      </c>
      <c r="G1966" t="s">
        <v>65</v>
      </c>
      <c r="H1966" t="s">
        <v>26</v>
      </c>
      <c r="I1966" t="s">
        <v>84</v>
      </c>
      <c r="J1966" t="s">
        <v>85</v>
      </c>
      <c r="K1966">
        <v>3</v>
      </c>
      <c r="L1966" s="2">
        <v>57.92</v>
      </c>
      <c r="M1966" s="3">
        <v>0.3</v>
      </c>
      <c r="N1966" t="s">
        <v>62</v>
      </c>
      <c r="O1966" s="2">
        <v>121.63</v>
      </c>
      <c r="P1966" s="2">
        <v>126.61</v>
      </c>
      <c r="Q1966" s="2">
        <v>-4.9800000000000004</v>
      </c>
      <c r="R1966">
        <v>1</v>
      </c>
      <c r="S1966">
        <v>0</v>
      </c>
      <c r="T1966">
        <v>6</v>
      </c>
      <c r="U1966">
        <v>4</v>
      </c>
    </row>
    <row r="1967" spans="1:21" ht="16.5" x14ac:dyDescent="0.3">
      <c r="A1967" t="s">
        <v>2054</v>
      </c>
      <c r="B1967" s="1">
        <v>45604</v>
      </c>
      <c r="C1967">
        <v>2024</v>
      </c>
      <c r="D1967" t="s">
        <v>1738</v>
      </c>
      <c r="E1967" t="s">
        <v>1959</v>
      </c>
      <c r="F1967" t="s">
        <v>24</v>
      </c>
      <c r="G1967" t="s">
        <v>49</v>
      </c>
      <c r="H1967" t="s">
        <v>32</v>
      </c>
      <c r="I1967" t="s">
        <v>27</v>
      </c>
      <c r="J1967" t="s">
        <v>60</v>
      </c>
      <c r="K1967">
        <v>2</v>
      </c>
      <c r="L1967" s="2">
        <v>94.85</v>
      </c>
      <c r="M1967" s="3">
        <v>0.25</v>
      </c>
      <c r="N1967" t="s">
        <v>62</v>
      </c>
      <c r="O1967" s="2">
        <v>142.27000000000001</v>
      </c>
      <c r="P1967" s="2">
        <v>96.67</v>
      </c>
      <c r="Q1967" s="2">
        <v>45.6</v>
      </c>
      <c r="R1967">
        <v>1</v>
      </c>
      <c r="S1967">
        <v>0</v>
      </c>
      <c r="T1967">
        <v>4</v>
      </c>
      <c r="U1967">
        <v>4</v>
      </c>
    </row>
    <row r="1968" spans="1:21" ht="16.5" x14ac:dyDescent="0.3">
      <c r="A1968" t="s">
        <v>2055</v>
      </c>
      <c r="B1968" s="1">
        <v>45604</v>
      </c>
      <c r="C1968">
        <v>2024</v>
      </c>
      <c r="D1968" t="s">
        <v>1738</v>
      </c>
      <c r="E1968" t="s">
        <v>1959</v>
      </c>
      <c r="F1968" t="s">
        <v>24</v>
      </c>
      <c r="G1968" t="s">
        <v>51</v>
      </c>
      <c r="H1968" t="s">
        <v>26</v>
      </c>
      <c r="I1968" t="s">
        <v>42</v>
      </c>
      <c r="J1968" t="s">
        <v>43</v>
      </c>
      <c r="K1968">
        <v>2</v>
      </c>
      <c r="L1968" s="2">
        <v>154.66</v>
      </c>
      <c r="M1968" s="3">
        <v>0.15</v>
      </c>
      <c r="N1968" t="s">
        <v>34</v>
      </c>
      <c r="O1968" s="2">
        <v>262.92</v>
      </c>
      <c r="P1968" s="2">
        <v>211.63</v>
      </c>
      <c r="Q1968" s="2">
        <v>51.29</v>
      </c>
      <c r="R1968">
        <v>1</v>
      </c>
      <c r="S1968">
        <v>0</v>
      </c>
      <c r="T1968">
        <v>3</v>
      </c>
      <c r="U1968">
        <v>3</v>
      </c>
    </row>
    <row r="1969" spans="1:21" ht="16.5" x14ac:dyDescent="0.3">
      <c r="A1969" t="s">
        <v>2056</v>
      </c>
      <c r="B1969" s="1">
        <v>45604</v>
      </c>
      <c r="C1969">
        <v>2024</v>
      </c>
      <c r="D1969" t="s">
        <v>1738</v>
      </c>
      <c r="E1969" t="s">
        <v>1959</v>
      </c>
      <c r="F1969" t="s">
        <v>24</v>
      </c>
      <c r="G1969" t="s">
        <v>51</v>
      </c>
      <c r="H1969" t="s">
        <v>26</v>
      </c>
      <c r="I1969" t="s">
        <v>27</v>
      </c>
      <c r="J1969" t="s">
        <v>110</v>
      </c>
      <c r="K1969">
        <v>4</v>
      </c>
      <c r="L1969" s="2">
        <v>19.41</v>
      </c>
      <c r="M1969" s="3">
        <v>0.2</v>
      </c>
      <c r="N1969" t="s">
        <v>34</v>
      </c>
      <c r="O1969" s="2">
        <v>62.11</v>
      </c>
      <c r="P1969" s="2">
        <v>42.75</v>
      </c>
      <c r="Q1969" s="2">
        <v>19.36</v>
      </c>
      <c r="R1969">
        <v>1</v>
      </c>
      <c r="S1969">
        <v>0</v>
      </c>
      <c r="T1969">
        <v>5</v>
      </c>
      <c r="U1969">
        <v>5</v>
      </c>
    </row>
    <row r="1970" spans="1:21" ht="16.5" x14ac:dyDescent="0.3">
      <c r="A1970" t="s">
        <v>2057</v>
      </c>
      <c r="B1970" s="1">
        <v>45605</v>
      </c>
      <c r="C1970">
        <v>2024</v>
      </c>
      <c r="D1970" t="s">
        <v>1738</v>
      </c>
      <c r="E1970" t="s">
        <v>1959</v>
      </c>
      <c r="F1970" t="s">
        <v>45</v>
      </c>
      <c r="G1970" t="s">
        <v>51</v>
      </c>
      <c r="H1970" t="s">
        <v>32</v>
      </c>
      <c r="I1970" t="s">
        <v>42</v>
      </c>
      <c r="J1970" t="s">
        <v>89</v>
      </c>
      <c r="K1970">
        <v>1</v>
      </c>
      <c r="L1970" s="2">
        <v>68.349999999999994</v>
      </c>
      <c r="M1970" s="3">
        <v>0.15</v>
      </c>
      <c r="N1970" t="s">
        <v>34</v>
      </c>
      <c r="O1970" s="2">
        <v>58.1</v>
      </c>
      <c r="P1970" s="2">
        <v>44.22</v>
      </c>
      <c r="Q1970" s="2">
        <v>13.88</v>
      </c>
      <c r="R1970">
        <v>1</v>
      </c>
      <c r="S1970">
        <v>1</v>
      </c>
      <c r="T1970">
        <v>3</v>
      </c>
      <c r="U1970">
        <v>2</v>
      </c>
    </row>
    <row r="1971" spans="1:21" ht="16.5" x14ac:dyDescent="0.3">
      <c r="A1971" t="s">
        <v>2058</v>
      </c>
      <c r="B1971" s="1">
        <v>45605</v>
      </c>
      <c r="C1971">
        <v>2024</v>
      </c>
      <c r="D1971" t="s">
        <v>1738</v>
      </c>
      <c r="E1971" t="s">
        <v>1959</v>
      </c>
      <c r="F1971" t="s">
        <v>31</v>
      </c>
      <c r="G1971" t="s">
        <v>65</v>
      </c>
      <c r="H1971" t="s">
        <v>26</v>
      </c>
      <c r="I1971" t="s">
        <v>42</v>
      </c>
      <c r="J1971" t="s">
        <v>98</v>
      </c>
      <c r="K1971">
        <v>1</v>
      </c>
      <c r="L1971" s="2">
        <v>117.63</v>
      </c>
      <c r="M1971" s="3">
        <v>0.1</v>
      </c>
      <c r="N1971" t="s">
        <v>29</v>
      </c>
      <c r="O1971" s="2">
        <v>105.87</v>
      </c>
      <c r="P1971" s="2">
        <v>77.819999999999993</v>
      </c>
      <c r="Q1971" s="2">
        <v>28.05</v>
      </c>
      <c r="R1971">
        <v>1</v>
      </c>
      <c r="S1971">
        <v>0</v>
      </c>
      <c r="T1971">
        <v>8</v>
      </c>
      <c r="U1971">
        <v>4</v>
      </c>
    </row>
    <row r="1972" spans="1:21" ht="16.5" x14ac:dyDescent="0.3">
      <c r="A1972" t="s">
        <v>2059</v>
      </c>
      <c r="B1972" s="1">
        <v>45605</v>
      </c>
      <c r="C1972">
        <v>2024</v>
      </c>
      <c r="D1972" t="s">
        <v>1738</v>
      </c>
      <c r="E1972" t="s">
        <v>1959</v>
      </c>
      <c r="F1972" t="s">
        <v>24</v>
      </c>
      <c r="G1972" t="s">
        <v>46</v>
      </c>
      <c r="H1972" t="s">
        <v>32</v>
      </c>
      <c r="I1972" t="s">
        <v>36</v>
      </c>
      <c r="J1972" t="s">
        <v>56</v>
      </c>
      <c r="K1972">
        <v>2</v>
      </c>
      <c r="L1972" s="2">
        <v>74.3</v>
      </c>
      <c r="M1972" s="3">
        <v>0.2</v>
      </c>
      <c r="N1972" t="s">
        <v>34</v>
      </c>
      <c r="O1972" s="2">
        <v>118.88</v>
      </c>
      <c r="P1972" s="2">
        <v>67.03</v>
      </c>
      <c r="Q1972" s="2">
        <v>51.85</v>
      </c>
      <c r="R1972">
        <v>1</v>
      </c>
      <c r="S1972">
        <v>0</v>
      </c>
      <c r="T1972">
        <v>7</v>
      </c>
      <c r="U1972">
        <v>3</v>
      </c>
    </row>
    <row r="1973" spans="1:21" ht="16.5" x14ac:dyDescent="0.3">
      <c r="A1973" t="s">
        <v>2060</v>
      </c>
      <c r="B1973" s="1">
        <v>45605</v>
      </c>
      <c r="C1973">
        <v>2024</v>
      </c>
      <c r="D1973" t="s">
        <v>1738</v>
      </c>
      <c r="E1973" t="s">
        <v>1959</v>
      </c>
      <c r="F1973" t="s">
        <v>45</v>
      </c>
      <c r="G1973" t="s">
        <v>51</v>
      </c>
      <c r="H1973" t="s">
        <v>32</v>
      </c>
      <c r="I1973" t="s">
        <v>27</v>
      </c>
      <c r="J1973" t="s">
        <v>40</v>
      </c>
      <c r="K1973">
        <v>2</v>
      </c>
      <c r="L1973" s="2">
        <v>104.94</v>
      </c>
      <c r="M1973" s="3">
        <v>0.3</v>
      </c>
      <c r="N1973" t="s">
        <v>62</v>
      </c>
      <c r="O1973" s="2">
        <v>146.91999999999999</v>
      </c>
      <c r="P1973" s="2">
        <v>111.26</v>
      </c>
      <c r="Q1973" s="2">
        <v>35.659999999999997</v>
      </c>
      <c r="R1973">
        <v>1</v>
      </c>
      <c r="S1973">
        <v>0</v>
      </c>
      <c r="T1973">
        <v>4</v>
      </c>
      <c r="U1973">
        <v>5</v>
      </c>
    </row>
    <row r="1974" spans="1:21" ht="16.5" x14ac:dyDescent="0.3">
      <c r="A1974" t="s">
        <v>2061</v>
      </c>
      <c r="B1974" s="1">
        <v>45605</v>
      </c>
      <c r="C1974">
        <v>2024</v>
      </c>
      <c r="D1974" t="s">
        <v>1738</v>
      </c>
      <c r="E1974" t="s">
        <v>1959</v>
      </c>
      <c r="F1974" t="s">
        <v>31</v>
      </c>
      <c r="G1974" t="s">
        <v>51</v>
      </c>
      <c r="H1974" t="s">
        <v>26</v>
      </c>
      <c r="I1974" t="s">
        <v>42</v>
      </c>
      <c r="J1974" t="s">
        <v>76</v>
      </c>
      <c r="K1974">
        <v>1</v>
      </c>
      <c r="L1974" s="2">
        <v>90.75</v>
      </c>
      <c r="M1974" s="3">
        <v>0.2</v>
      </c>
      <c r="N1974" t="s">
        <v>34</v>
      </c>
      <c r="O1974" s="2">
        <v>72.599999999999994</v>
      </c>
      <c r="P1974" s="2">
        <v>57.85</v>
      </c>
      <c r="Q1974" s="2">
        <v>14.75</v>
      </c>
      <c r="R1974">
        <v>1</v>
      </c>
      <c r="S1974">
        <v>0</v>
      </c>
      <c r="T1974">
        <v>6</v>
      </c>
      <c r="U1974">
        <v>3</v>
      </c>
    </row>
    <row r="1975" spans="1:21" ht="16.5" x14ac:dyDescent="0.3">
      <c r="A1975" t="s">
        <v>2062</v>
      </c>
      <c r="B1975" s="1">
        <v>45605</v>
      </c>
      <c r="C1975">
        <v>2024</v>
      </c>
      <c r="D1975" t="s">
        <v>1738</v>
      </c>
      <c r="E1975" t="s">
        <v>1959</v>
      </c>
      <c r="F1975" t="s">
        <v>45</v>
      </c>
      <c r="G1975" t="s">
        <v>51</v>
      </c>
      <c r="H1975" t="s">
        <v>32</v>
      </c>
      <c r="I1975" t="s">
        <v>36</v>
      </c>
      <c r="J1975" t="s">
        <v>37</v>
      </c>
      <c r="K1975">
        <v>1</v>
      </c>
      <c r="L1975" s="2">
        <v>33.18</v>
      </c>
      <c r="M1975" s="3">
        <v>0.2</v>
      </c>
      <c r="N1975" t="s">
        <v>34</v>
      </c>
      <c r="O1975" s="2">
        <v>26.54</v>
      </c>
      <c r="P1975" s="2">
        <v>16.07</v>
      </c>
      <c r="Q1975" s="2">
        <v>10.47</v>
      </c>
      <c r="R1975">
        <v>1</v>
      </c>
      <c r="S1975">
        <v>0</v>
      </c>
      <c r="T1975">
        <v>5</v>
      </c>
      <c r="U1975">
        <v>4</v>
      </c>
    </row>
    <row r="1976" spans="1:21" ht="16.5" x14ac:dyDescent="0.3">
      <c r="A1976" t="s">
        <v>2063</v>
      </c>
      <c r="B1976" s="1">
        <v>45605</v>
      </c>
      <c r="C1976">
        <v>2024</v>
      </c>
      <c r="D1976" t="s">
        <v>1738</v>
      </c>
      <c r="E1976" t="s">
        <v>1959</v>
      </c>
      <c r="F1976" t="s">
        <v>45</v>
      </c>
      <c r="G1976" t="s">
        <v>51</v>
      </c>
      <c r="H1976" t="s">
        <v>32</v>
      </c>
      <c r="I1976" t="s">
        <v>36</v>
      </c>
      <c r="J1976" t="s">
        <v>115</v>
      </c>
      <c r="K1976">
        <v>1</v>
      </c>
      <c r="L1976" s="2">
        <v>33.479999999999997</v>
      </c>
      <c r="M1976" s="3">
        <v>0.1</v>
      </c>
      <c r="N1976" t="s">
        <v>29</v>
      </c>
      <c r="O1976" s="2">
        <v>30.13</v>
      </c>
      <c r="P1976" s="2">
        <v>16.489999999999998</v>
      </c>
      <c r="Q1976" s="2">
        <v>13.64</v>
      </c>
      <c r="R1976">
        <v>1</v>
      </c>
      <c r="S1976">
        <v>0</v>
      </c>
      <c r="T1976">
        <v>3</v>
      </c>
      <c r="U1976">
        <v>5</v>
      </c>
    </row>
    <row r="1977" spans="1:21" ht="16.5" x14ac:dyDescent="0.3">
      <c r="A1977" t="s">
        <v>2064</v>
      </c>
      <c r="B1977" s="1">
        <v>45605</v>
      </c>
      <c r="C1977">
        <v>2024</v>
      </c>
      <c r="D1977" t="s">
        <v>1738</v>
      </c>
      <c r="E1977" t="s">
        <v>1959</v>
      </c>
      <c r="F1977" t="s">
        <v>24</v>
      </c>
      <c r="G1977" t="s">
        <v>65</v>
      </c>
      <c r="H1977" t="s">
        <v>26</v>
      </c>
      <c r="I1977" t="s">
        <v>70</v>
      </c>
      <c r="J1977" t="s">
        <v>129</v>
      </c>
      <c r="K1977">
        <v>1</v>
      </c>
      <c r="L1977" s="2">
        <v>177.65</v>
      </c>
      <c r="M1977" s="3">
        <v>0.1</v>
      </c>
      <c r="N1977" t="s">
        <v>29</v>
      </c>
      <c r="O1977" s="2">
        <v>159.88999999999999</v>
      </c>
      <c r="P1977" s="2">
        <v>133.72</v>
      </c>
      <c r="Q1977" s="2">
        <v>26.17</v>
      </c>
      <c r="R1977">
        <v>1</v>
      </c>
      <c r="S1977">
        <v>0</v>
      </c>
      <c r="T1977">
        <v>10</v>
      </c>
      <c r="U1977">
        <v>4</v>
      </c>
    </row>
    <row r="1978" spans="1:21" ht="16.5" x14ac:dyDescent="0.3">
      <c r="A1978" t="s">
        <v>2065</v>
      </c>
      <c r="B1978" s="1">
        <v>45605</v>
      </c>
      <c r="C1978">
        <v>2024</v>
      </c>
      <c r="D1978" t="s">
        <v>1738</v>
      </c>
      <c r="E1978" t="s">
        <v>1959</v>
      </c>
      <c r="F1978" t="s">
        <v>31</v>
      </c>
      <c r="G1978" t="s">
        <v>25</v>
      </c>
      <c r="H1978" t="s">
        <v>32</v>
      </c>
      <c r="I1978" t="s">
        <v>27</v>
      </c>
      <c r="J1978" t="s">
        <v>60</v>
      </c>
      <c r="K1978">
        <v>1</v>
      </c>
      <c r="L1978" s="2">
        <v>94.85</v>
      </c>
      <c r="M1978" s="3">
        <v>0.3</v>
      </c>
      <c r="N1978" t="s">
        <v>62</v>
      </c>
      <c r="O1978" s="2">
        <v>66.400000000000006</v>
      </c>
      <c r="P1978" s="2">
        <v>52.06</v>
      </c>
      <c r="Q1978" s="2">
        <v>14.34</v>
      </c>
      <c r="R1978">
        <v>1</v>
      </c>
      <c r="S1978">
        <v>0</v>
      </c>
      <c r="T1978">
        <v>5</v>
      </c>
      <c r="U1978">
        <v>4</v>
      </c>
    </row>
    <row r="1979" spans="1:21" ht="16.5" x14ac:dyDescent="0.3">
      <c r="A1979" t="s">
        <v>2066</v>
      </c>
      <c r="B1979" s="1">
        <v>45605</v>
      </c>
      <c r="C1979">
        <v>2024</v>
      </c>
      <c r="D1979" t="s">
        <v>1738</v>
      </c>
      <c r="E1979" t="s">
        <v>1959</v>
      </c>
      <c r="F1979" t="s">
        <v>31</v>
      </c>
      <c r="G1979" t="s">
        <v>25</v>
      </c>
      <c r="H1979" t="s">
        <v>32</v>
      </c>
      <c r="I1979" t="s">
        <v>84</v>
      </c>
      <c r="J1979" t="s">
        <v>106</v>
      </c>
      <c r="K1979">
        <v>2</v>
      </c>
      <c r="L1979" s="2">
        <v>45.28</v>
      </c>
      <c r="M1979" s="3">
        <v>0.25</v>
      </c>
      <c r="N1979" t="s">
        <v>62</v>
      </c>
      <c r="O1979" s="2">
        <v>67.92</v>
      </c>
      <c r="P1979" s="2">
        <v>66.58</v>
      </c>
      <c r="Q1979" s="2">
        <v>1.34</v>
      </c>
      <c r="R1979">
        <v>1</v>
      </c>
      <c r="S1979">
        <v>0</v>
      </c>
      <c r="T1979">
        <v>5</v>
      </c>
      <c r="U1979">
        <v>4</v>
      </c>
    </row>
    <row r="1980" spans="1:21" ht="16.5" x14ac:dyDescent="0.3">
      <c r="A1980" t="s">
        <v>2067</v>
      </c>
      <c r="B1980" s="1">
        <v>45605</v>
      </c>
      <c r="C1980">
        <v>2024</v>
      </c>
      <c r="D1980" t="s">
        <v>1738</v>
      </c>
      <c r="E1980" t="s">
        <v>1959</v>
      </c>
      <c r="F1980" t="s">
        <v>24</v>
      </c>
      <c r="G1980" t="s">
        <v>25</v>
      </c>
      <c r="H1980" t="s">
        <v>32</v>
      </c>
      <c r="I1980" t="s">
        <v>27</v>
      </c>
      <c r="J1980" t="s">
        <v>47</v>
      </c>
      <c r="K1980">
        <v>1</v>
      </c>
      <c r="L1980" s="2">
        <v>33.99</v>
      </c>
      <c r="M1980" s="3">
        <v>0.15</v>
      </c>
      <c r="N1980" t="s">
        <v>34</v>
      </c>
      <c r="O1980" s="2">
        <v>28.89</v>
      </c>
      <c r="P1980" s="2">
        <v>18.7</v>
      </c>
      <c r="Q1980" s="2">
        <v>10.19</v>
      </c>
      <c r="R1980">
        <v>1</v>
      </c>
      <c r="S1980">
        <v>0</v>
      </c>
      <c r="T1980">
        <v>6</v>
      </c>
      <c r="U1980">
        <v>4</v>
      </c>
    </row>
    <row r="1981" spans="1:21" ht="16.5" x14ac:dyDescent="0.3">
      <c r="A1981" t="s">
        <v>2068</v>
      </c>
      <c r="B1981" s="1">
        <v>45605</v>
      </c>
      <c r="C1981">
        <v>2024</v>
      </c>
      <c r="D1981" t="s">
        <v>1738</v>
      </c>
      <c r="E1981" t="s">
        <v>1959</v>
      </c>
      <c r="F1981" t="s">
        <v>24</v>
      </c>
      <c r="G1981" t="s">
        <v>46</v>
      </c>
      <c r="H1981" t="s">
        <v>26</v>
      </c>
      <c r="I1981" t="s">
        <v>70</v>
      </c>
      <c r="J1981" t="s">
        <v>252</v>
      </c>
      <c r="K1981">
        <v>2</v>
      </c>
      <c r="L1981" s="2">
        <v>216.08</v>
      </c>
      <c r="M1981" s="3">
        <v>0.2</v>
      </c>
      <c r="N1981" t="s">
        <v>34</v>
      </c>
      <c r="O1981" s="2">
        <v>345.73</v>
      </c>
      <c r="P1981" s="2">
        <v>362.41</v>
      </c>
      <c r="Q1981" s="2">
        <v>-16.68</v>
      </c>
      <c r="R1981">
        <v>1</v>
      </c>
      <c r="S1981">
        <v>0</v>
      </c>
      <c r="T1981">
        <v>9</v>
      </c>
      <c r="U1981">
        <v>4</v>
      </c>
    </row>
    <row r="1982" spans="1:21" ht="16.5" x14ac:dyDescent="0.3">
      <c r="A1982" t="s">
        <v>2069</v>
      </c>
      <c r="B1982" s="1">
        <v>45605</v>
      </c>
      <c r="C1982">
        <v>2024</v>
      </c>
      <c r="D1982" t="s">
        <v>1738</v>
      </c>
      <c r="E1982" t="s">
        <v>1959</v>
      </c>
      <c r="F1982" t="s">
        <v>24</v>
      </c>
      <c r="G1982" t="s">
        <v>49</v>
      </c>
      <c r="H1982" t="s">
        <v>32</v>
      </c>
      <c r="I1982" t="s">
        <v>27</v>
      </c>
      <c r="J1982" t="s">
        <v>33</v>
      </c>
      <c r="K1982">
        <v>1</v>
      </c>
      <c r="L1982" s="2">
        <v>78.510000000000005</v>
      </c>
      <c r="M1982" s="3">
        <v>0.25</v>
      </c>
      <c r="N1982" t="s">
        <v>62</v>
      </c>
      <c r="O1982" s="2">
        <v>58.88</v>
      </c>
      <c r="P1982" s="2">
        <v>44.54</v>
      </c>
      <c r="Q1982" s="2">
        <v>14.34</v>
      </c>
      <c r="R1982">
        <v>1</v>
      </c>
      <c r="S1982">
        <v>0</v>
      </c>
      <c r="T1982">
        <v>4</v>
      </c>
      <c r="U1982">
        <v>5</v>
      </c>
    </row>
    <row r="1983" spans="1:21" ht="16.5" x14ac:dyDescent="0.3">
      <c r="A1983" t="s">
        <v>2070</v>
      </c>
      <c r="B1983" s="1">
        <v>45605</v>
      </c>
      <c r="C1983">
        <v>2024</v>
      </c>
      <c r="D1983" t="s">
        <v>1738</v>
      </c>
      <c r="E1983" t="s">
        <v>1959</v>
      </c>
      <c r="F1983" t="s">
        <v>24</v>
      </c>
      <c r="G1983" t="s">
        <v>49</v>
      </c>
      <c r="H1983" t="s">
        <v>26</v>
      </c>
      <c r="I1983" t="s">
        <v>36</v>
      </c>
      <c r="J1983" t="s">
        <v>37</v>
      </c>
      <c r="K1983">
        <v>1</v>
      </c>
      <c r="L1983" s="2">
        <v>33.18</v>
      </c>
      <c r="M1983" s="3">
        <v>0.2</v>
      </c>
      <c r="N1983" t="s">
        <v>34</v>
      </c>
      <c r="O1983" s="2">
        <v>26.54</v>
      </c>
      <c r="P1983" s="2">
        <v>16.04</v>
      </c>
      <c r="Q1983" s="2">
        <v>10.5</v>
      </c>
      <c r="R1983">
        <v>1</v>
      </c>
      <c r="S1983">
        <v>0</v>
      </c>
      <c r="T1983">
        <v>4</v>
      </c>
      <c r="U1983">
        <v>5</v>
      </c>
    </row>
    <row r="1984" spans="1:21" ht="16.5" x14ac:dyDescent="0.3">
      <c r="A1984" t="s">
        <v>2071</v>
      </c>
      <c r="B1984" s="1">
        <v>45605</v>
      </c>
      <c r="C1984">
        <v>2024</v>
      </c>
      <c r="D1984" t="s">
        <v>1738</v>
      </c>
      <c r="E1984" t="s">
        <v>1959</v>
      </c>
      <c r="F1984" t="s">
        <v>45</v>
      </c>
      <c r="G1984" t="s">
        <v>65</v>
      </c>
      <c r="H1984" t="s">
        <v>32</v>
      </c>
      <c r="I1984" t="s">
        <v>36</v>
      </c>
      <c r="J1984" t="s">
        <v>126</v>
      </c>
      <c r="K1984">
        <v>2</v>
      </c>
      <c r="L1984" s="2">
        <v>54.56</v>
      </c>
      <c r="M1984" s="3">
        <v>0.15</v>
      </c>
      <c r="N1984" t="s">
        <v>34</v>
      </c>
      <c r="O1984" s="2">
        <v>92.75</v>
      </c>
      <c r="P1984" s="2">
        <v>51.75</v>
      </c>
      <c r="Q1984" s="2">
        <v>41</v>
      </c>
      <c r="R1984">
        <v>1</v>
      </c>
      <c r="S1984">
        <v>0</v>
      </c>
      <c r="T1984">
        <v>6</v>
      </c>
      <c r="U1984">
        <v>3</v>
      </c>
    </row>
    <row r="1985" spans="1:21" ht="16.5" x14ac:dyDescent="0.3">
      <c r="A1985" t="s">
        <v>2072</v>
      </c>
      <c r="B1985" s="1">
        <v>45605</v>
      </c>
      <c r="C1985">
        <v>2024</v>
      </c>
      <c r="D1985" t="s">
        <v>1738</v>
      </c>
      <c r="E1985" t="s">
        <v>1959</v>
      </c>
      <c r="F1985" t="s">
        <v>24</v>
      </c>
      <c r="G1985" t="s">
        <v>46</v>
      </c>
      <c r="H1985" t="s">
        <v>26</v>
      </c>
      <c r="I1985" t="s">
        <v>67</v>
      </c>
      <c r="J1985" t="s">
        <v>103</v>
      </c>
      <c r="K1985">
        <v>1</v>
      </c>
      <c r="L1985" s="2">
        <v>83.06</v>
      </c>
      <c r="M1985" s="3">
        <v>0.2</v>
      </c>
      <c r="N1985" t="s">
        <v>34</v>
      </c>
      <c r="O1985" s="2">
        <v>66.45</v>
      </c>
      <c r="P1985" s="2">
        <v>56.76</v>
      </c>
      <c r="Q1985" s="2">
        <v>9.69</v>
      </c>
      <c r="R1985">
        <v>1</v>
      </c>
      <c r="S1985">
        <v>0</v>
      </c>
      <c r="T1985">
        <v>7</v>
      </c>
      <c r="U1985">
        <v>4</v>
      </c>
    </row>
    <row r="1986" spans="1:21" ht="16.5" x14ac:dyDescent="0.3">
      <c r="A1986" t="s">
        <v>2073</v>
      </c>
      <c r="B1986" s="1">
        <v>45605</v>
      </c>
      <c r="C1986">
        <v>2024</v>
      </c>
      <c r="D1986" t="s">
        <v>1738</v>
      </c>
      <c r="E1986" t="s">
        <v>1959</v>
      </c>
      <c r="F1986" t="s">
        <v>31</v>
      </c>
      <c r="G1986" t="s">
        <v>49</v>
      </c>
      <c r="H1986" t="s">
        <v>32</v>
      </c>
      <c r="I1986" t="s">
        <v>70</v>
      </c>
      <c r="J1986" t="s">
        <v>87</v>
      </c>
      <c r="K1986">
        <v>1</v>
      </c>
      <c r="L1986" s="2">
        <v>490.3</v>
      </c>
      <c r="M1986" s="3">
        <v>0.15</v>
      </c>
      <c r="N1986" t="s">
        <v>34</v>
      </c>
      <c r="O1986" s="2">
        <v>416.76</v>
      </c>
      <c r="P1986" s="2">
        <v>383.42</v>
      </c>
      <c r="Q1986" s="2">
        <v>33.340000000000003</v>
      </c>
      <c r="R1986">
        <v>1</v>
      </c>
      <c r="S1986">
        <v>0</v>
      </c>
      <c r="T1986">
        <v>4</v>
      </c>
      <c r="U1986">
        <v>4</v>
      </c>
    </row>
    <row r="1987" spans="1:21" ht="16.5" x14ac:dyDescent="0.3">
      <c r="A1987" t="s">
        <v>2074</v>
      </c>
      <c r="B1987" s="1">
        <v>45605</v>
      </c>
      <c r="C1987">
        <v>2024</v>
      </c>
      <c r="D1987" t="s">
        <v>1738</v>
      </c>
      <c r="E1987" t="s">
        <v>1959</v>
      </c>
      <c r="F1987" t="s">
        <v>24</v>
      </c>
      <c r="G1987" t="s">
        <v>51</v>
      </c>
      <c r="H1987" t="s">
        <v>32</v>
      </c>
      <c r="I1987" t="s">
        <v>27</v>
      </c>
      <c r="J1987" t="s">
        <v>60</v>
      </c>
      <c r="K1987">
        <v>1</v>
      </c>
      <c r="L1987" s="2">
        <v>94.85</v>
      </c>
      <c r="M1987" s="3">
        <v>0.3</v>
      </c>
      <c r="N1987" t="s">
        <v>62</v>
      </c>
      <c r="O1987" s="2">
        <v>66.400000000000006</v>
      </c>
      <c r="P1987" s="2">
        <v>51.69</v>
      </c>
      <c r="Q1987" s="2">
        <v>14.71</v>
      </c>
      <c r="R1987">
        <v>1</v>
      </c>
      <c r="S1987">
        <v>1</v>
      </c>
      <c r="T1987">
        <v>5</v>
      </c>
      <c r="U1987">
        <v>3</v>
      </c>
    </row>
    <row r="1988" spans="1:21" ht="16.5" x14ac:dyDescent="0.3">
      <c r="A1988" t="s">
        <v>2075</v>
      </c>
      <c r="B1988" s="1">
        <v>45605</v>
      </c>
      <c r="C1988">
        <v>2024</v>
      </c>
      <c r="D1988" t="s">
        <v>1738</v>
      </c>
      <c r="E1988" t="s">
        <v>1959</v>
      </c>
      <c r="F1988" t="s">
        <v>45</v>
      </c>
      <c r="G1988" t="s">
        <v>51</v>
      </c>
      <c r="H1988" t="s">
        <v>32</v>
      </c>
      <c r="I1988" t="s">
        <v>70</v>
      </c>
      <c r="J1988" t="s">
        <v>252</v>
      </c>
      <c r="K1988">
        <v>4</v>
      </c>
      <c r="L1988" s="2">
        <v>216.08</v>
      </c>
      <c r="M1988" s="3">
        <v>0.3</v>
      </c>
      <c r="N1988" t="s">
        <v>62</v>
      </c>
      <c r="O1988" s="2">
        <v>605.02</v>
      </c>
      <c r="P1988" s="2">
        <v>688.23</v>
      </c>
      <c r="Q1988" s="2">
        <v>-83.21</v>
      </c>
      <c r="R1988">
        <v>1</v>
      </c>
      <c r="S1988">
        <v>0</v>
      </c>
      <c r="T1988">
        <v>4</v>
      </c>
      <c r="U1988">
        <v>5</v>
      </c>
    </row>
    <row r="1989" spans="1:21" ht="16.5" x14ac:dyDescent="0.3">
      <c r="A1989" t="s">
        <v>2076</v>
      </c>
      <c r="B1989" s="1">
        <v>45605</v>
      </c>
      <c r="C1989">
        <v>2024</v>
      </c>
      <c r="D1989" t="s">
        <v>1738</v>
      </c>
      <c r="E1989" t="s">
        <v>1959</v>
      </c>
      <c r="F1989" t="s">
        <v>31</v>
      </c>
      <c r="G1989" t="s">
        <v>65</v>
      </c>
      <c r="H1989" t="s">
        <v>26</v>
      </c>
      <c r="I1989" t="s">
        <v>67</v>
      </c>
      <c r="J1989" t="s">
        <v>93</v>
      </c>
      <c r="K1989">
        <v>1</v>
      </c>
      <c r="L1989" s="2">
        <v>198.42</v>
      </c>
      <c r="M1989" s="3">
        <v>0.3</v>
      </c>
      <c r="N1989" t="s">
        <v>62</v>
      </c>
      <c r="O1989" s="2">
        <v>138.88999999999999</v>
      </c>
      <c r="P1989" s="2">
        <v>132.34</v>
      </c>
      <c r="Q1989" s="2">
        <v>6.55</v>
      </c>
      <c r="R1989">
        <v>1</v>
      </c>
      <c r="S1989">
        <v>0</v>
      </c>
      <c r="T1989">
        <v>8</v>
      </c>
      <c r="U1989">
        <v>4</v>
      </c>
    </row>
    <row r="1990" spans="1:21" ht="16.5" x14ac:dyDescent="0.3">
      <c r="A1990" t="s">
        <v>2077</v>
      </c>
      <c r="B1990" s="1">
        <v>45605</v>
      </c>
      <c r="C1990">
        <v>2024</v>
      </c>
      <c r="D1990" t="s">
        <v>1738</v>
      </c>
      <c r="E1990" t="s">
        <v>1959</v>
      </c>
      <c r="F1990" t="s">
        <v>45</v>
      </c>
      <c r="G1990" t="s">
        <v>25</v>
      </c>
      <c r="H1990" t="s">
        <v>32</v>
      </c>
      <c r="I1990" t="s">
        <v>70</v>
      </c>
      <c r="J1990" t="s">
        <v>87</v>
      </c>
      <c r="K1990">
        <v>1</v>
      </c>
      <c r="L1990" s="2">
        <v>490.3</v>
      </c>
      <c r="M1990" s="3">
        <v>0.25</v>
      </c>
      <c r="N1990" t="s">
        <v>62</v>
      </c>
      <c r="O1990" s="2">
        <v>367.72</v>
      </c>
      <c r="P1990" s="2">
        <v>391.36</v>
      </c>
      <c r="Q1990" s="2">
        <v>-23.64</v>
      </c>
      <c r="R1990">
        <v>1</v>
      </c>
      <c r="S1990">
        <v>0</v>
      </c>
      <c r="T1990">
        <v>4</v>
      </c>
      <c r="U1990">
        <v>3</v>
      </c>
    </row>
    <row r="1991" spans="1:21" ht="16.5" x14ac:dyDescent="0.3">
      <c r="A1991" t="s">
        <v>2078</v>
      </c>
      <c r="B1991" s="1">
        <v>45605</v>
      </c>
      <c r="C1991">
        <v>2024</v>
      </c>
      <c r="D1991" t="s">
        <v>1738</v>
      </c>
      <c r="E1991" t="s">
        <v>1959</v>
      </c>
      <c r="F1991" t="s">
        <v>45</v>
      </c>
      <c r="G1991" t="s">
        <v>49</v>
      </c>
      <c r="H1991" t="s">
        <v>32</v>
      </c>
      <c r="I1991" t="s">
        <v>70</v>
      </c>
      <c r="J1991" t="s">
        <v>162</v>
      </c>
      <c r="K1991">
        <v>1</v>
      </c>
      <c r="L1991" s="2">
        <v>636.09</v>
      </c>
      <c r="M1991" s="3">
        <v>0.1</v>
      </c>
      <c r="N1991" t="s">
        <v>29</v>
      </c>
      <c r="O1991" s="2">
        <v>572.48</v>
      </c>
      <c r="P1991" s="2">
        <v>513.47</v>
      </c>
      <c r="Q1991" s="2">
        <v>59.01</v>
      </c>
      <c r="R1991">
        <v>1</v>
      </c>
      <c r="S1991">
        <v>1</v>
      </c>
      <c r="T1991">
        <v>5</v>
      </c>
      <c r="U1991">
        <v>4</v>
      </c>
    </row>
    <row r="1992" spans="1:21" ht="16.5" x14ac:dyDescent="0.3">
      <c r="A1992" t="s">
        <v>2079</v>
      </c>
      <c r="B1992" s="1">
        <v>45606</v>
      </c>
      <c r="C1992">
        <v>2024</v>
      </c>
      <c r="D1992" t="s">
        <v>1738</v>
      </c>
      <c r="E1992" t="s">
        <v>1959</v>
      </c>
      <c r="F1992" t="s">
        <v>45</v>
      </c>
      <c r="G1992" t="s">
        <v>49</v>
      </c>
      <c r="H1992" t="s">
        <v>26</v>
      </c>
      <c r="I1992" t="s">
        <v>70</v>
      </c>
      <c r="J1992" t="s">
        <v>87</v>
      </c>
      <c r="K1992">
        <v>3</v>
      </c>
      <c r="L1992" s="2">
        <v>490.3</v>
      </c>
      <c r="M1992" s="3">
        <v>0.15</v>
      </c>
      <c r="N1992" t="s">
        <v>34</v>
      </c>
      <c r="O1992" s="2">
        <v>1250.27</v>
      </c>
      <c r="P1992" s="2">
        <v>1209.3800000000001</v>
      </c>
      <c r="Q1992" s="2">
        <v>40.89</v>
      </c>
      <c r="R1992">
        <v>1</v>
      </c>
      <c r="S1992">
        <v>0</v>
      </c>
      <c r="T1992">
        <v>7</v>
      </c>
      <c r="U1992">
        <v>3</v>
      </c>
    </row>
    <row r="1993" spans="1:21" ht="16.5" x14ac:dyDescent="0.3">
      <c r="A1993" t="s">
        <v>2080</v>
      </c>
      <c r="B1993" s="1">
        <v>45606</v>
      </c>
      <c r="C1993">
        <v>2024</v>
      </c>
      <c r="D1993" t="s">
        <v>1738</v>
      </c>
      <c r="E1993" t="s">
        <v>1959</v>
      </c>
      <c r="F1993" t="s">
        <v>24</v>
      </c>
      <c r="G1993" t="s">
        <v>49</v>
      </c>
      <c r="H1993" t="s">
        <v>32</v>
      </c>
      <c r="I1993" t="s">
        <v>27</v>
      </c>
      <c r="J1993" t="s">
        <v>33</v>
      </c>
      <c r="K1993">
        <v>2</v>
      </c>
      <c r="L1993" s="2">
        <v>78.510000000000005</v>
      </c>
      <c r="M1993" s="3">
        <v>0.2</v>
      </c>
      <c r="N1993" t="s">
        <v>34</v>
      </c>
      <c r="O1993" s="2">
        <v>125.62</v>
      </c>
      <c r="P1993" s="2">
        <v>84.49</v>
      </c>
      <c r="Q1993" s="2">
        <v>41.13</v>
      </c>
      <c r="R1993">
        <v>1</v>
      </c>
      <c r="S1993">
        <v>0</v>
      </c>
      <c r="T1993">
        <v>5</v>
      </c>
      <c r="U1993">
        <v>4</v>
      </c>
    </row>
    <row r="1994" spans="1:21" ht="16.5" x14ac:dyDescent="0.3">
      <c r="A1994" t="s">
        <v>2081</v>
      </c>
      <c r="B1994" s="1">
        <v>45606</v>
      </c>
      <c r="C1994">
        <v>2024</v>
      </c>
      <c r="D1994" t="s">
        <v>1738</v>
      </c>
      <c r="E1994" t="s">
        <v>1959</v>
      </c>
      <c r="F1994" t="s">
        <v>24</v>
      </c>
      <c r="G1994" t="s">
        <v>25</v>
      </c>
      <c r="H1994" t="s">
        <v>32</v>
      </c>
      <c r="I1994" t="s">
        <v>70</v>
      </c>
      <c r="J1994" t="s">
        <v>82</v>
      </c>
      <c r="K1994">
        <v>1</v>
      </c>
      <c r="L1994" s="2">
        <v>508.8</v>
      </c>
      <c r="M1994" s="3">
        <v>0.25</v>
      </c>
      <c r="N1994" t="s">
        <v>62</v>
      </c>
      <c r="O1994" s="2">
        <v>381.6</v>
      </c>
      <c r="P1994" s="2">
        <v>400.86</v>
      </c>
      <c r="Q1994" s="2">
        <v>-19.260000000000002</v>
      </c>
      <c r="R1994">
        <v>1</v>
      </c>
      <c r="S1994">
        <v>0</v>
      </c>
      <c r="T1994">
        <v>6</v>
      </c>
      <c r="U1994">
        <v>4</v>
      </c>
    </row>
    <row r="1995" spans="1:21" ht="16.5" x14ac:dyDescent="0.3">
      <c r="A1995" t="s">
        <v>2082</v>
      </c>
      <c r="B1995" s="1">
        <v>45606</v>
      </c>
      <c r="C1995">
        <v>2024</v>
      </c>
      <c r="D1995" t="s">
        <v>1738</v>
      </c>
      <c r="E1995" t="s">
        <v>1959</v>
      </c>
      <c r="F1995" t="s">
        <v>24</v>
      </c>
      <c r="G1995" t="s">
        <v>25</v>
      </c>
      <c r="H1995" t="s">
        <v>26</v>
      </c>
      <c r="I1995" t="s">
        <v>27</v>
      </c>
      <c r="J1995" t="s">
        <v>40</v>
      </c>
      <c r="K1995">
        <v>1</v>
      </c>
      <c r="L1995" s="2">
        <v>104.94</v>
      </c>
      <c r="M1995" s="3">
        <v>0.05</v>
      </c>
      <c r="N1995" t="s">
        <v>29</v>
      </c>
      <c r="O1995" s="2">
        <v>99.69</v>
      </c>
      <c r="P1995" s="2">
        <v>57.83</v>
      </c>
      <c r="Q1995" s="2">
        <v>41.86</v>
      </c>
      <c r="R1995">
        <v>1</v>
      </c>
      <c r="S1995">
        <v>0</v>
      </c>
      <c r="T1995">
        <v>5</v>
      </c>
      <c r="U1995">
        <v>5</v>
      </c>
    </row>
    <row r="1996" spans="1:21" ht="16.5" x14ac:dyDescent="0.3">
      <c r="A1996" t="s">
        <v>2083</v>
      </c>
      <c r="B1996" s="1">
        <v>45606</v>
      </c>
      <c r="C1996">
        <v>2024</v>
      </c>
      <c r="D1996" t="s">
        <v>1738</v>
      </c>
      <c r="E1996" t="s">
        <v>1959</v>
      </c>
      <c r="F1996" t="s">
        <v>31</v>
      </c>
      <c r="G1996" t="s">
        <v>51</v>
      </c>
      <c r="H1996" t="s">
        <v>26</v>
      </c>
      <c r="I1996" t="s">
        <v>36</v>
      </c>
      <c r="J1996" t="s">
        <v>52</v>
      </c>
      <c r="K1996">
        <v>1</v>
      </c>
      <c r="L1996" s="2">
        <v>92.54</v>
      </c>
      <c r="M1996" s="3">
        <v>0.1</v>
      </c>
      <c r="N1996" t="s">
        <v>29</v>
      </c>
      <c r="O1996" s="2">
        <v>83.29</v>
      </c>
      <c r="P1996" s="2">
        <v>46.35</v>
      </c>
      <c r="Q1996" s="2">
        <v>36.94</v>
      </c>
      <c r="R1996">
        <v>1</v>
      </c>
      <c r="S1996">
        <v>0</v>
      </c>
      <c r="T1996">
        <v>3</v>
      </c>
      <c r="U1996">
        <v>4</v>
      </c>
    </row>
    <row r="1997" spans="1:21" ht="16.5" x14ac:dyDescent="0.3">
      <c r="A1997" t="s">
        <v>2084</v>
      </c>
      <c r="B1997" s="1">
        <v>45606</v>
      </c>
      <c r="C1997">
        <v>2024</v>
      </c>
      <c r="D1997" t="s">
        <v>1738</v>
      </c>
      <c r="E1997" t="s">
        <v>1959</v>
      </c>
      <c r="F1997" t="s">
        <v>45</v>
      </c>
      <c r="G1997" t="s">
        <v>65</v>
      </c>
      <c r="H1997" t="s">
        <v>26</v>
      </c>
      <c r="I1997" t="s">
        <v>42</v>
      </c>
      <c r="J1997" t="s">
        <v>89</v>
      </c>
      <c r="K1997">
        <v>1</v>
      </c>
      <c r="L1997" s="2">
        <v>68.349999999999994</v>
      </c>
      <c r="M1997" s="3">
        <v>0.2</v>
      </c>
      <c r="N1997" t="s">
        <v>34</v>
      </c>
      <c r="O1997" s="2">
        <v>54.68</v>
      </c>
      <c r="P1997" s="2">
        <v>44.28</v>
      </c>
      <c r="Q1997" s="2">
        <v>10.4</v>
      </c>
      <c r="R1997">
        <v>1</v>
      </c>
      <c r="S1997">
        <v>1</v>
      </c>
      <c r="T1997">
        <v>6</v>
      </c>
      <c r="U1997">
        <v>2</v>
      </c>
    </row>
    <row r="1998" spans="1:21" ht="16.5" x14ac:dyDescent="0.3">
      <c r="A1998" t="s">
        <v>2085</v>
      </c>
      <c r="B1998" s="1">
        <v>45606</v>
      </c>
      <c r="C1998">
        <v>2024</v>
      </c>
      <c r="D1998" t="s">
        <v>1738</v>
      </c>
      <c r="E1998" t="s">
        <v>1959</v>
      </c>
      <c r="F1998" t="s">
        <v>31</v>
      </c>
      <c r="G1998" t="s">
        <v>49</v>
      </c>
      <c r="H1998" t="s">
        <v>32</v>
      </c>
      <c r="I1998" t="s">
        <v>27</v>
      </c>
      <c r="J1998" t="s">
        <v>47</v>
      </c>
      <c r="K1998">
        <v>1</v>
      </c>
      <c r="L1998" s="2">
        <v>33.99</v>
      </c>
      <c r="M1998" s="3">
        <v>0.3</v>
      </c>
      <c r="N1998" t="s">
        <v>62</v>
      </c>
      <c r="O1998" s="2">
        <v>23.79</v>
      </c>
      <c r="P1998" s="2">
        <v>18.350000000000001</v>
      </c>
      <c r="Q1998" s="2">
        <v>5.44</v>
      </c>
      <c r="R1998">
        <v>1</v>
      </c>
      <c r="S1998">
        <v>0</v>
      </c>
      <c r="T1998">
        <v>6</v>
      </c>
      <c r="U1998">
        <v>3</v>
      </c>
    </row>
    <row r="1999" spans="1:21" ht="16.5" x14ac:dyDescent="0.3">
      <c r="A1999" t="s">
        <v>2086</v>
      </c>
      <c r="B1999" s="1">
        <v>45606</v>
      </c>
      <c r="C1999">
        <v>2024</v>
      </c>
      <c r="D1999" t="s">
        <v>1738</v>
      </c>
      <c r="E1999" t="s">
        <v>1959</v>
      </c>
      <c r="F1999" t="s">
        <v>45</v>
      </c>
      <c r="G1999" t="s">
        <v>65</v>
      </c>
      <c r="H1999" t="s">
        <v>32</v>
      </c>
      <c r="I1999" t="s">
        <v>84</v>
      </c>
      <c r="J1999" t="s">
        <v>132</v>
      </c>
      <c r="K1999">
        <v>1</v>
      </c>
      <c r="L1999" s="2">
        <v>48.86</v>
      </c>
      <c r="M1999" s="3">
        <v>0.2</v>
      </c>
      <c r="N1999" t="s">
        <v>34</v>
      </c>
      <c r="O1999" s="2">
        <v>39.090000000000003</v>
      </c>
      <c r="P1999" s="2">
        <v>33.68</v>
      </c>
      <c r="Q1999" s="2">
        <v>5.41</v>
      </c>
      <c r="R1999">
        <v>1</v>
      </c>
      <c r="S1999">
        <v>0</v>
      </c>
      <c r="T1999">
        <v>6</v>
      </c>
      <c r="U1999">
        <v>3</v>
      </c>
    </row>
    <row r="2000" spans="1:21" ht="16.5" x14ac:dyDescent="0.3">
      <c r="A2000" t="s">
        <v>2087</v>
      </c>
      <c r="B2000" s="1">
        <v>45606</v>
      </c>
      <c r="C2000">
        <v>2024</v>
      </c>
      <c r="D2000" t="s">
        <v>1738</v>
      </c>
      <c r="E2000" t="s">
        <v>1959</v>
      </c>
      <c r="F2000" t="s">
        <v>45</v>
      </c>
      <c r="G2000" t="s">
        <v>49</v>
      </c>
      <c r="H2000" t="s">
        <v>32</v>
      </c>
      <c r="I2000" t="s">
        <v>70</v>
      </c>
      <c r="J2000" t="s">
        <v>129</v>
      </c>
      <c r="K2000">
        <v>1</v>
      </c>
      <c r="L2000" s="2">
        <v>177.65</v>
      </c>
      <c r="M2000" s="3">
        <v>0.05</v>
      </c>
      <c r="N2000" t="s">
        <v>29</v>
      </c>
      <c r="O2000" s="2">
        <v>168.77</v>
      </c>
      <c r="P2000" s="2">
        <v>139.81</v>
      </c>
      <c r="Q2000" s="2">
        <v>28.96</v>
      </c>
      <c r="R2000">
        <v>1</v>
      </c>
      <c r="S2000">
        <v>0</v>
      </c>
      <c r="T2000">
        <v>4</v>
      </c>
      <c r="U2000">
        <v>4</v>
      </c>
    </row>
    <row r="2001" spans="1:21" ht="16.5" x14ac:dyDescent="0.3">
      <c r="A2001" t="s">
        <v>2088</v>
      </c>
      <c r="B2001" s="1">
        <v>45606</v>
      </c>
      <c r="C2001">
        <v>2024</v>
      </c>
      <c r="D2001" t="s">
        <v>1738</v>
      </c>
      <c r="E2001" t="s">
        <v>1959</v>
      </c>
      <c r="F2001" t="s">
        <v>24</v>
      </c>
      <c r="G2001" t="s">
        <v>65</v>
      </c>
      <c r="H2001" t="s">
        <v>32</v>
      </c>
      <c r="I2001" t="s">
        <v>42</v>
      </c>
      <c r="J2001" t="s">
        <v>58</v>
      </c>
      <c r="K2001">
        <v>1</v>
      </c>
      <c r="L2001" s="2">
        <v>233.81</v>
      </c>
      <c r="M2001" s="3">
        <v>0.15</v>
      </c>
      <c r="N2001" t="s">
        <v>34</v>
      </c>
      <c r="O2001" s="2">
        <v>198.74</v>
      </c>
      <c r="P2001" s="2">
        <v>153.13999999999999</v>
      </c>
      <c r="Q2001" s="2">
        <v>45.6</v>
      </c>
      <c r="R2001">
        <v>1</v>
      </c>
      <c r="S2001">
        <v>0</v>
      </c>
      <c r="T2001">
        <v>6</v>
      </c>
      <c r="U2001">
        <v>3</v>
      </c>
    </row>
    <row r="2002" spans="1:21" ht="16.5" x14ac:dyDescent="0.3">
      <c r="A2002" t="s">
        <v>2089</v>
      </c>
      <c r="B2002" s="1">
        <v>45606</v>
      </c>
      <c r="C2002">
        <v>2024</v>
      </c>
      <c r="D2002" t="s">
        <v>1738</v>
      </c>
      <c r="E2002" t="s">
        <v>1959</v>
      </c>
      <c r="F2002" t="s">
        <v>24</v>
      </c>
      <c r="G2002" t="s">
        <v>49</v>
      </c>
      <c r="H2002" t="s">
        <v>32</v>
      </c>
      <c r="I2002" t="s">
        <v>42</v>
      </c>
      <c r="J2002" t="s">
        <v>76</v>
      </c>
      <c r="K2002">
        <v>1</v>
      </c>
      <c r="L2002" s="2">
        <v>90.75</v>
      </c>
      <c r="M2002" s="3">
        <v>0.15</v>
      </c>
      <c r="N2002" t="s">
        <v>34</v>
      </c>
      <c r="O2002" s="2">
        <v>77.14</v>
      </c>
      <c r="P2002" s="2">
        <v>61.77</v>
      </c>
      <c r="Q2002" s="2">
        <v>15.37</v>
      </c>
      <c r="R2002">
        <v>1</v>
      </c>
      <c r="S2002">
        <v>0</v>
      </c>
      <c r="T2002">
        <v>5</v>
      </c>
      <c r="U2002">
        <v>5</v>
      </c>
    </row>
    <row r="2003" spans="1:21" ht="16.5" x14ac:dyDescent="0.3">
      <c r="A2003" t="s">
        <v>2090</v>
      </c>
      <c r="B2003" s="1">
        <v>45606</v>
      </c>
      <c r="C2003">
        <v>2024</v>
      </c>
      <c r="D2003" t="s">
        <v>1738</v>
      </c>
      <c r="E2003" t="s">
        <v>1959</v>
      </c>
      <c r="F2003" t="s">
        <v>24</v>
      </c>
      <c r="G2003" t="s">
        <v>49</v>
      </c>
      <c r="H2003" t="s">
        <v>32</v>
      </c>
      <c r="I2003" t="s">
        <v>84</v>
      </c>
      <c r="J2003" t="s">
        <v>223</v>
      </c>
      <c r="K2003">
        <v>2</v>
      </c>
      <c r="L2003" s="2">
        <v>16.97</v>
      </c>
      <c r="M2003" s="3">
        <v>0.2</v>
      </c>
      <c r="N2003" t="s">
        <v>34</v>
      </c>
      <c r="O2003" s="2">
        <v>27.15</v>
      </c>
      <c r="P2003" s="2">
        <v>25.6</v>
      </c>
      <c r="Q2003" s="2">
        <v>1.55</v>
      </c>
      <c r="R2003">
        <v>1</v>
      </c>
      <c r="S2003">
        <v>0</v>
      </c>
      <c r="T2003">
        <v>6</v>
      </c>
      <c r="U2003">
        <v>3</v>
      </c>
    </row>
    <row r="2004" spans="1:21" ht="16.5" x14ac:dyDescent="0.3">
      <c r="A2004" t="s">
        <v>2091</v>
      </c>
      <c r="B2004" s="1">
        <v>45607</v>
      </c>
      <c r="C2004">
        <v>2024</v>
      </c>
      <c r="D2004" t="s">
        <v>1738</v>
      </c>
      <c r="E2004" t="s">
        <v>1959</v>
      </c>
      <c r="F2004" t="s">
        <v>45</v>
      </c>
      <c r="G2004" t="s">
        <v>49</v>
      </c>
      <c r="H2004" t="s">
        <v>32</v>
      </c>
      <c r="I2004" t="s">
        <v>36</v>
      </c>
      <c r="J2004" t="s">
        <v>37</v>
      </c>
      <c r="K2004">
        <v>1</v>
      </c>
      <c r="L2004" s="2">
        <v>33.18</v>
      </c>
      <c r="M2004" s="3">
        <v>0.3</v>
      </c>
      <c r="N2004" t="s">
        <v>62</v>
      </c>
      <c r="O2004" s="2">
        <v>23.23</v>
      </c>
      <c r="P2004" s="2">
        <v>16.579999999999998</v>
      </c>
      <c r="Q2004" s="2">
        <v>6.65</v>
      </c>
      <c r="R2004">
        <v>1</v>
      </c>
      <c r="S2004">
        <v>0</v>
      </c>
      <c r="T2004">
        <v>7</v>
      </c>
      <c r="U2004">
        <v>4</v>
      </c>
    </row>
    <row r="2005" spans="1:21" ht="16.5" x14ac:dyDescent="0.3">
      <c r="A2005" t="s">
        <v>2092</v>
      </c>
      <c r="B2005" s="1">
        <v>45607</v>
      </c>
      <c r="C2005">
        <v>2024</v>
      </c>
      <c r="D2005" t="s">
        <v>1738</v>
      </c>
      <c r="E2005" t="s">
        <v>1959</v>
      </c>
      <c r="F2005" t="s">
        <v>24</v>
      </c>
      <c r="G2005" t="s">
        <v>51</v>
      </c>
      <c r="H2005" t="s">
        <v>32</v>
      </c>
      <c r="I2005" t="s">
        <v>27</v>
      </c>
      <c r="J2005" t="s">
        <v>33</v>
      </c>
      <c r="K2005">
        <v>1</v>
      </c>
      <c r="L2005" s="2">
        <v>78.510000000000005</v>
      </c>
      <c r="M2005" s="3">
        <v>0.25</v>
      </c>
      <c r="N2005" t="s">
        <v>62</v>
      </c>
      <c r="O2005" s="2">
        <v>58.88</v>
      </c>
      <c r="P2005" s="2">
        <v>42.65</v>
      </c>
      <c r="Q2005" s="2">
        <v>16.23</v>
      </c>
      <c r="R2005">
        <v>1</v>
      </c>
      <c r="S2005">
        <v>0</v>
      </c>
      <c r="T2005">
        <v>3</v>
      </c>
      <c r="U2005">
        <v>5</v>
      </c>
    </row>
    <row r="2006" spans="1:21" ht="16.5" x14ac:dyDescent="0.3">
      <c r="A2006" t="s">
        <v>2093</v>
      </c>
      <c r="B2006" s="1">
        <v>45607</v>
      </c>
      <c r="C2006">
        <v>2024</v>
      </c>
      <c r="D2006" t="s">
        <v>1738</v>
      </c>
      <c r="E2006" t="s">
        <v>1959</v>
      </c>
      <c r="F2006" t="s">
        <v>31</v>
      </c>
      <c r="G2006" t="s">
        <v>51</v>
      </c>
      <c r="H2006" t="s">
        <v>26</v>
      </c>
      <c r="I2006" t="s">
        <v>27</v>
      </c>
      <c r="J2006" t="s">
        <v>60</v>
      </c>
      <c r="K2006">
        <v>1</v>
      </c>
      <c r="L2006" s="2">
        <v>94.85</v>
      </c>
      <c r="M2006" s="3">
        <v>0.2</v>
      </c>
      <c r="N2006" t="s">
        <v>34</v>
      </c>
      <c r="O2006" s="2">
        <v>75.88</v>
      </c>
      <c r="P2006" s="2">
        <v>52</v>
      </c>
      <c r="Q2006" s="2">
        <v>23.88</v>
      </c>
      <c r="R2006">
        <v>1</v>
      </c>
      <c r="S2006">
        <v>0</v>
      </c>
      <c r="T2006">
        <v>4</v>
      </c>
      <c r="U2006">
        <v>4</v>
      </c>
    </row>
    <row r="2007" spans="1:21" ht="16.5" x14ac:dyDescent="0.3">
      <c r="A2007" t="s">
        <v>2094</v>
      </c>
      <c r="B2007" s="1">
        <v>45607</v>
      </c>
      <c r="C2007">
        <v>2024</v>
      </c>
      <c r="D2007" t="s">
        <v>1738</v>
      </c>
      <c r="E2007" t="s">
        <v>1959</v>
      </c>
      <c r="F2007" t="s">
        <v>24</v>
      </c>
      <c r="G2007" t="s">
        <v>51</v>
      </c>
      <c r="H2007" t="s">
        <v>32</v>
      </c>
      <c r="I2007" t="s">
        <v>67</v>
      </c>
      <c r="J2007" t="s">
        <v>93</v>
      </c>
      <c r="K2007">
        <v>1</v>
      </c>
      <c r="L2007" s="2">
        <v>198.42</v>
      </c>
      <c r="M2007" s="3">
        <v>0</v>
      </c>
      <c r="N2007" t="s">
        <v>38</v>
      </c>
      <c r="O2007" s="2">
        <v>198.42</v>
      </c>
      <c r="P2007" s="2">
        <v>130.80000000000001</v>
      </c>
      <c r="Q2007" s="2">
        <v>67.62</v>
      </c>
      <c r="R2007">
        <v>1</v>
      </c>
      <c r="S2007">
        <v>0</v>
      </c>
      <c r="T2007">
        <v>4</v>
      </c>
      <c r="U2007">
        <v>5</v>
      </c>
    </row>
    <row r="2008" spans="1:21" ht="16.5" x14ac:dyDescent="0.3">
      <c r="A2008" t="s">
        <v>2095</v>
      </c>
      <c r="B2008" s="1">
        <v>45607</v>
      </c>
      <c r="C2008">
        <v>2024</v>
      </c>
      <c r="D2008" t="s">
        <v>1738</v>
      </c>
      <c r="E2008" t="s">
        <v>1959</v>
      </c>
      <c r="F2008" t="s">
        <v>45</v>
      </c>
      <c r="G2008" t="s">
        <v>51</v>
      </c>
      <c r="H2008" t="s">
        <v>26</v>
      </c>
      <c r="I2008" t="s">
        <v>70</v>
      </c>
      <c r="J2008" t="s">
        <v>71</v>
      </c>
      <c r="K2008">
        <v>1</v>
      </c>
      <c r="L2008" s="2">
        <v>588.41</v>
      </c>
      <c r="M2008" s="3">
        <v>0.1</v>
      </c>
      <c r="N2008" t="s">
        <v>29</v>
      </c>
      <c r="O2008" s="2">
        <v>529.57000000000005</v>
      </c>
      <c r="P2008" s="2">
        <v>491.08</v>
      </c>
      <c r="Q2008" s="2">
        <v>38.49</v>
      </c>
      <c r="R2008">
        <v>1</v>
      </c>
      <c r="S2008">
        <v>0</v>
      </c>
      <c r="T2008">
        <v>6</v>
      </c>
      <c r="U2008">
        <v>3</v>
      </c>
    </row>
    <row r="2009" spans="1:21" ht="16.5" x14ac:dyDescent="0.3">
      <c r="A2009" t="s">
        <v>2096</v>
      </c>
      <c r="B2009" s="1">
        <v>45607</v>
      </c>
      <c r="C2009">
        <v>2024</v>
      </c>
      <c r="D2009" t="s">
        <v>1738</v>
      </c>
      <c r="E2009" t="s">
        <v>1959</v>
      </c>
      <c r="F2009" t="s">
        <v>24</v>
      </c>
      <c r="G2009" t="s">
        <v>51</v>
      </c>
      <c r="H2009" t="s">
        <v>26</v>
      </c>
      <c r="I2009" t="s">
        <v>42</v>
      </c>
      <c r="J2009" t="s">
        <v>76</v>
      </c>
      <c r="K2009">
        <v>2</v>
      </c>
      <c r="L2009" s="2">
        <v>90.75</v>
      </c>
      <c r="M2009" s="3">
        <v>0.05</v>
      </c>
      <c r="N2009" t="s">
        <v>29</v>
      </c>
      <c r="O2009" s="2">
        <v>172.42</v>
      </c>
      <c r="P2009" s="2">
        <v>122.24</v>
      </c>
      <c r="Q2009" s="2">
        <v>50.18</v>
      </c>
      <c r="R2009">
        <v>1</v>
      </c>
      <c r="S2009">
        <v>0</v>
      </c>
      <c r="T2009">
        <v>3</v>
      </c>
      <c r="U2009">
        <v>4</v>
      </c>
    </row>
    <row r="2010" spans="1:21" ht="16.5" x14ac:dyDescent="0.3">
      <c r="A2010" t="s">
        <v>2097</v>
      </c>
      <c r="B2010" s="1">
        <v>45608</v>
      </c>
      <c r="C2010">
        <v>2024</v>
      </c>
      <c r="D2010" t="s">
        <v>1738</v>
      </c>
      <c r="E2010" t="s">
        <v>1959</v>
      </c>
      <c r="F2010" t="s">
        <v>31</v>
      </c>
      <c r="G2010" t="s">
        <v>49</v>
      </c>
      <c r="H2010" t="s">
        <v>32</v>
      </c>
      <c r="I2010" t="s">
        <v>70</v>
      </c>
      <c r="J2010" t="s">
        <v>82</v>
      </c>
      <c r="K2010">
        <v>2</v>
      </c>
      <c r="L2010" s="2">
        <v>508.8</v>
      </c>
      <c r="M2010" s="3">
        <v>0.25</v>
      </c>
      <c r="N2010" t="s">
        <v>62</v>
      </c>
      <c r="O2010" s="2">
        <v>763.2</v>
      </c>
      <c r="P2010" s="2">
        <v>829.68</v>
      </c>
      <c r="Q2010" s="2">
        <v>-66.48</v>
      </c>
      <c r="R2010">
        <v>1</v>
      </c>
      <c r="S2010">
        <v>0</v>
      </c>
      <c r="T2010">
        <v>6</v>
      </c>
      <c r="U2010">
        <v>3</v>
      </c>
    </row>
    <row r="2011" spans="1:21" ht="16.5" x14ac:dyDescent="0.3">
      <c r="A2011" t="s">
        <v>2098</v>
      </c>
      <c r="B2011" s="1">
        <v>45608</v>
      </c>
      <c r="C2011">
        <v>2024</v>
      </c>
      <c r="D2011" t="s">
        <v>1738</v>
      </c>
      <c r="E2011" t="s">
        <v>1959</v>
      </c>
      <c r="F2011" t="s">
        <v>24</v>
      </c>
      <c r="G2011" t="s">
        <v>25</v>
      </c>
      <c r="H2011" t="s">
        <v>26</v>
      </c>
      <c r="I2011" t="s">
        <v>67</v>
      </c>
      <c r="J2011" t="s">
        <v>174</v>
      </c>
      <c r="K2011">
        <v>1</v>
      </c>
      <c r="L2011" s="2">
        <v>137.05000000000001</v>
      </c>
      <c r="M2011" s="3">
        <v>0.05</v>
      </c>
      <c r="N2011" t="s">
        <v>29</v>
      </c>
      <c r="O2011" s="2">
        <v>130.19999999999999</v>
      </c>
      <c r="P2011" s="2">
        <v>90.89</v>
      </c>
      <c r="Q2011" s="2">
        <v>39.31</v>
      </c>
      <c r="R2011">
        <v>1</v>
      </c>
      <c r="S2011">
        <v>0</v>
      </c>
      <c r="T2011">
        <v>4</v>
      </c>
      <c r="U2011">
        <v>4</v>
      </c>
    </row>
    <row r="2012" spans="1:21" ht="16.5" x14ac:dyDescent="0.3">
      <c r="A2012" t="s">
        <v>2099</v>
      </c>
      <c r="B2012" s="1">
        <v>45608</v>
      </c>
      <c r="C2012">
        <v>2024</v>
      </c>
      <c r="D2012" t="s">
        <v>1738</v>
      </c>
      <c r="E2012" t="s">
        <v>1959</v>
      </c>
      <c r="F2012" t="s">
        <v>45</v>
      </c>
      <c r="G2012" t="s">
        <v>51</v>
      </c>
      <c r="H2012" t="s">
        <v>32</v>
      </c>
      <c r="I2012" t="s">
        <v>70</v>
      </c>
      <c r="J2012" t="s">
        <v>87</v>
      </c>
      <c r="K2012">
        <v>1</v>
      </c>
      <c r="L2012" s="2">
        <v>490.3</v>
      </c>
      <c r="M2012" s="3">
        <v>0.2</v>
      </c>
      <c r="N2012" t="s">
        <v>34</v>
      </c>
      <c r="O2012" s="2">
        <v>392.24</v>
      </c>
      <c r="P2012" s="2">
        <v>382.59</v>
      </c>
      <c r="Q2012" s="2">
        <v>9.65</v>
      </c>
      <c r="R2012">
        <v>1</v>
      </c>
      <c r="S2012">
        <v>0</v>
      </c>
      <c r="T2012">
        <v>3</v>
      </c>
      <c r="U2012">
        <v>5</v>
      </c>
    </row>
    <row r="2013" spans="1:21" ht="16.5" x14ac:dyDescent="0.3">
      <c r="A2013" t="s">
        <v>2100</v>
      </c>
      <c r="B2013" s="1">
        <v>45608</v>
      </c>
      <c r="C2013">
        <v>2024</v>
      </c>
      <c r="D2013" t="s">
        <v>1738</v>
      </c>
      <c r="E2013" t="s">
        <v>1959</v>
      </c>
      <c r="F2013" t="s">
        <v>45</v>
      </c>
      <c r="G2013" t="s">
        <v>51</v>
      </c>
      <c r="H2013" t="s">
        <v>26</v>
      </c>
      <c r="I2013" t="s">
        <v>36</v>
      </c>
      <c r="J2013" t="s">
        <v>37</v>
      </c>
      <c r="K2013">
        <v>1</v>
      </c>
      <c r="L2013" s="2">
        <v>33.18</v>
      </c>
      <c r="M2013" s="3">
        <v>0.3</v>
      </c>
      <c r="N2013" t="s">
        <v>62</v>
      </c>
      <c r="O2013" s="2">
        <v>23.23</v>
      </c>
      <c r="P2013" s="2">
        <v>15.46</v>
      </c>
      <c r="Q2013" s="2">
        <v>7.77</v>
      </c>
      <c r="R2013">
        <v>1</v>
      </c>
      <c r="S2013">
        <v>0</v>
      </c>
      <c r="T2013">
        <v>3</v>
      </c>
      <c r="U2013">
        <v>5</v>
      </c>
    </row>
    <row r="2014" spans="1:21" ht="16.5" x14ac:dyDescent="0.3">
      <c r="A2014" t="s">
        <v>2101</v>
      </c>
      <c r="B2014" s="1">
        <v>45608</v>
      </c>
      <c r="C2014">
        <v>2024</v>
      </c>
      <c r="D2014" t="s">
        <v>1738</v>
      </c>
      <c r="E2014" t="s">
        <v>1959</v>
      </c>
      <c r="F2014" t="s">
        <v>31</v>
      </c>
      <c r="G2014" t="s">
        <v>51</v>
      </c>
      <c r="H2014" t="s">
        <v>32</v>
      </c>
      <c r="I2014" t="s">
        <v>67</v>
      </c>
      <c r="J2014" t="s">
        <v>174</v>
      </c>
      <c r="K2014">
        <v>2</v>
      </c>
      <c r="L2014" s="2">
        <v>137.05000000000001</v>
      </c>
      <c r="M2014" s="3">
        <v>0.05</v>
      </c>
      <c r="N2014" t="s">
        <v>29</v>
      </c>
      <c r="O2014" s="2">
        <v>260.39999999999998</v>
      </c>
      <c r="P2014" s="2">
        <v>174.77</v>
      </c>
      <c r="Q2014" s="2">
        <v>85.63</v>
      </c>
      <c r="R2014">
        <v>1</v>
      </c>
      <c r="S2014">
        <v>0</v>
      </c>
      <c r="T2014">
        <v>5</v>
      </c>
      <c r="U2014">
        <v>4</v>
      </c>
    </row>
    <row r="2015" spans="1:21" ht="16.5" x14ac:dyDescent="0.3">
      <c r="A2015" t="s">
        <v>2102</v>
      </c>
      <c r="B2015" s="1">
        <v>45608</v>
      </c>
      <c r="C2015">
        <v>2024</v>
      </c>
      <c r="D2015" t="s">
        <v>1738</v>
      </c>
      <c r="E2015" t="s">
        <v>1959</v>
      </c>
      <c r="F2015" t="s">
        <v>31</v>
      </c>
      <c r="G2015" t="s">
        <v>49</v>
      </c>
      <c r="H2015" t="s">
        <v>26</v>
      </c>
      <c r="I2015" t="s">
        <v>70</v>
      </c>
      <c r="J2015" t="s">
        <v>82</v>
      </c>
      <c r="K2015">
        <v>1</v>
      </c>
      <c r="L2015" s="2">
        <v>508.8</v>
      </c>
      <c r="M2015" s="3">
        <v>0.2</v>
      </c>
      <c r="N2015" t="s">
        <v>34</v>
      </c>
      <c r="O2015" s="2">
        <v>407.04</v>
      </c>
      <c r="P2015" s="2">
        <v>419.25</v>
      </c>
      <c r="Q2015" s="2">
        <v>-12.21</v>
      </c>
      <c r="R2015">
        <v>1</v>
      </c>
      <c r="S2015">
        <v>0</v>
      </c>
      <c r="T2015">
        <v>4</v>
      </c>
      <c r="U2015">
        <v>5</v>
      </c>
    </row>
    <row r="2016" spans="1:21" ht="16.5" x14ac:dyDescent="0.3">
      <c r="A2016" t="s">
        <v>2103</v>
      </c>
      <c r="B2016" s="1">
        <v>45608</v>
      </c>
      <c r="C2016">
        <v>2024</v>
      </c>
      <c r="D2016" t="s">
        <v>1738</v>
      </c>
      <c r="E2016" t="s">
        <v>1959</v>
      </c>
      <c r="F2016" t="s">
        <v>24</v>
      </c>
      <c r="G2016" t="s">
        <v>51</v>
      </c>
      <c r="H2016" t="s">
        <v>32</v>
      </c>
      <c r="I2016" t="s">
        <v>67</v>
      </c>
      <c r="J2016" t="s">
        <v>103</v>
      </c>
      <c r="K2016">
        <v>1</v>
      </c>
      <c r="L2016" s="2">
        <v>83.06</v>
      </c>
      <c r="M2016" s="3">
        <v>0.15</v>
      </c>
      <c r="N2016" t="s">
        <v>34</v>
      </c>
      <c r="O2016" s="2">
        <v>70.599999999999994</v>
      </c>
      <c r="P2016" s="2">
        <v>54.73</v>
      </c>
      <c r="Q2016" s="2">
        <v>15.87</v>
      </c>
      <c r="R2016">
        <v>1</v>
      </c>
      <c r="S2016">
        <v>0</v>
      </c>
      <c r="T2016">
        <v>5</v>
      </c>
      <c r="U2016">
        <v>4</v>
      </c>
    </row>
    <row r="2017" spans="1:21" ht="16.5" x14ac:dyDescent="0.3">
      <c r="A2017" t="s">
        <v>2104</v>
      </c>
      <c r="B2017" s="1">
        <v>45608</v>
      </c>
      <c r="C2017">
        <v>2024</v>
      </c>
      <c r="D2017" t="s">
        <v>1738</v>
      </c>
      <c r="E2017" t="s">
        <v>1959</v>
      </c>
      <c r="F2017" t="s">
        <v>24</v>
      </c>
      <c r="G2017" t="s">
        <v>25</v>
      </c>
      <c r="H2017" t="s">
        <v>32</v>
      </c>
      <c r="I2017" t="s">
        <v>67</v>
      </c>
      <c r="J2017" t="s">
        <v>68</v>
      </c>
      <c r="K2017">
        <v>1</v>
      </c>
      <c r="L2017" s="2">
        <v>74.459999999999994</v>
      </c>
      <c r="M2017" s="3">
        <v>0.2</v>
      </c>
      <c r="N2017" t="s">
        <v>34</v>
      </c>
      <c r="O2017" s="2">
        <v>59.57</v>
      </c>
      <c r="P2017" s="2">
        <v>51.26</v>
      </c>
      <c r="Q2017" s="2">
        <v>8.31</v>
      </c>
      <c r="R2017">
        <v>1</v>
      </c>
      <c r="S2017">
        <v>0</v>
      </c>
      <c r="T2017">
        <v>4</v>
      </c>
      <c r="U2017">
        <v>5</v>
      </c>
    </row>
    <row r="2018" spans="1:21" ht="16.5" x14ac:dyDescent="0.3">
      <c r="A2018" t="s">
        <v>2105</v>
      </c>
      <c r="B2018" s="1">
        <v>45609</v>
      </c>
      <c r="C2018">
        <v>2024</v>
      </c>
      <c r="D2018" t="s">
        <v>1738</v>
      </c>
      <c r="E2018" t="s">
        <v>1959</v>
      </c>
      <c r="F2018" t="s">
        <v>45</v>
      </c>
      <c r="G2018" t="s">
        <v>25</v>
      </c>
      <c r="H2018" t="s">
        <v>32</v>
      </c>
      <c r="I2018" t="s">
        <v>42</v>
      </c>
      <c r="J2018" t="s">
        <v>89</v>
      </c>
      <c r="K2018">
        <v>2</v>
      </c>
      <c r="L2018" s="2">
        <v>68.349999999999994</v>
      </c>
      <c r="M2018" s="3">
        <v>0.15</v>
      </c>
      <c r="N2018" t="s">
        <v>34</v>
      </c>
      <c r="O2018" s="2">
        <v>116.2</v>
      </c>
      <c r="P2018" s="2">
        <v>89.51</v>
      </c>
      <c r="Q2018" s="2">
        <v>26.69</v>
      </c>
      <c r="R2018">
        <v>1</v>
      </c>
      <c r="S2018">
        <v>0</v>
      </c>
      <c r="T2018">
        <v>5</v>
      </c>
      <c r="U2018">
        <v>4</v>
      </c>
    </row>
    <row r="2019" spans="1:21" ht="16.5" x14ac:dyDescent="0.3">
      <c r="A2019" t="s">
        <v>2106</v>
      </c>
      <c r="B2019" s="1">
        <v>45609</v>
      </c>
      <c r="C2019">
        <v>2024</v>
      </c>
      <c r="D2019" t="s">
        <v>1738</v>
      </c>
      <c r="E2019" t="s">
        <v>1959</v>
      </c>
      <c r="F2019" t="s">
        <v>31</v>
      </c>
      <c r="G2019" t="s">
        <v>51</v>
      </c>
      <c r="H2019" t="s">
        <v>32</v>
      </c>
      <c r="I2019" t="s">
        <v>84</v>
      </c>
      <c r="J2019" t="s">
        <v>132</v>
      </c>
      <c r="K2019">
        <v>1</v>
      </c>
      <c r="L2019" s="2">
        <v>48.86</v>
      </c>
      <c r="M2019" s="3">
        <v>0</v>
      </c>
      <c r="N2019" t="s">
        <v>38</v>
      </c>
      <c r="O2019" s="2">
        <v>48.86</v>
      </c>
      <c r="P2019" s="2">
        <v>35.04</v>
      </c>
      <c r="Q2019" s="2">
        <v>13.82</v>
      </c>
      <c r="R2019">
        <v>1</v>
      </c>
      <c r="S2019">
        <v>0</v>
      </c>
      <c r="T2019">
        <v>3</v>
      </c>
      <c r="U2019">
        <v>4</v>
      </c>
    </row>
    <row r="2020" spans="1:21" ht="16.5" x14ac:dyDescent="0.3">
      <c r="A2020" t="s">
        <v>2107</v>
      </c>
      <c r="B2020" s="1">
        <v>45609</v>
      </c>
      <c r="C2020">
        <v>2024</v>
      </c>
      <c r="D2020" t="s">
        <v>1738</v>
      </c>
      <c r="E2020" t="s">
        <v>1959</v>
      </c>
      <c r="F2020" t="s">
        <v>31</v>
      </c>
      <c r="G2020" t="s">
        <v>46</v>
      </c>
      <c r="H2020" t="s">
        <v>32</v>
      </c>
      <c r="I2020" t="s">
        <v>42</v>
      </c>
      <c r="J2020" t="s">
        <v>98</v>
      </c>
      <c r="K2020">
        <v>1</v>
      </c>
      <c r="L2020" s="2">
        <v>117.63</v>
      </c>
      <c r="M2020" s="3">
        <v>0.25</v>
      </c>
      <c r="N2020" t="s">
        <v>62</v>
      </c>
      <c r="O2020" s="2">
        <v>88.22</v>
      </c>
      <c r="P2020" s="2">
        <v>77</v>
      </c>
      <c r="Q2020" s="2">
        <v>11.22</v>
      </c>
      <c r="R2020">
        <v>1</v>
      </c>
      <c r="S2020">
        <v>0</v>
      </c>
      <c r="T2020">
        <v>8</v>
      </c>
      <c r="U2020">
        <v>3</v>
      </c>
    </row>
    <row r="2021" spans="1:21" ht="16.5" x14ac:dyDescent="0.3">
      <c r="A2021" t="s">
        <v>2108</v>
      </c>
      <c r="B2021" s="1">
        <v>45609</v>
      </c>
      <c r="C2021">
        <v>2024</v>
      </c>
      <c r="D2021" t="s">
        <v>1738</v>
      </c>
      <c r="E2021" t="s">
        <v>1959</v>
      </c>
      <c r="F2021" t="s">
        <v>24</v>
      </c>
      <c r="G2021" t="s">
        <v>25</v>
      </c>
      <c r="H2021" t="s">
        <v>26</v>
      </c>
      <c r="I2021" t="s">
        <v>84</v>
      </c>
      <c r="J2021" t="s">
        <v>96</v>
      </c>
      <c r="K2021">
        <v>1</v>
      </c>
      <c r="L2021" s="2">
        <v>10.76</v>
      </c>
      <c r="M2021" s="3">
        <v>0.2</v>
      </c>
      <c r="N2021" t="s">
        <v>34</v>
      </c>
      <c r="O2021" s="2">
        <v>8.61</v>
      </c>
      <c r="P2021" s="2">
        <v>7.62</v>
      </c>
      <c r="Q2021" s="2">
        <v>0.99</v>
      </c>
      <c r="R2021">
        <v>1</v>
      </c>
      <c r="S2021">
        <v>0</v>
      </c>
      <c r="T2021">
        <v>5</v>
      </c>
      <c r="U2021">
        <v>5</v>
      </c>
    </row>
    <row r="2022" spans="1:21" ht="16.5" x14ac:dyDescent="0.3">
      <c r="A2022" t="s">
        <v>2109</v>
      </c>
      <c r="B2022" s="1">
        <v>45609</v>
      </c>
      <c r="C2022">
        <v>2024</v>
      </c>
      <c r="D2022" t="s">
        <v>1738</v>
      </c>
      <c r="E2022" t="s">
        <v>1959</v>
      </c>
      <c r="F2022" t="s">
        <v>31</v>
      </c>
      <c r="G2022" t="s">
        <v>46</v>
      </c>
      <c r="H2022" t="s">
        <v>32</v>
      </c>
      <c r="I2022" t="s">
        <v>27</v>
      </c>
      <c r="J2022" t="s">
        <v>40</v>
      </c>
      <c r="K2022">
        <v>1</v>
      </c>
      <c r="L2022" s="2">
        <v>104.94</v>
      </c>
      <c r="M2022" s="3">
        <v>0.25</v>
      </c>
      <c r="N2022" t="s">
        <v>62</v>
      </c>
      <c r="O2022" s="2">
        <v>78.7</v>
      </c>
      <c r="P2022" s="2">
        <v>56.38</v>
      </c>
      <c r="Q2022" s="2">
        <v>22.32</v>
      </c>
      <c r="R2022">
        <v>1</v>
      </c>
      <c r="S2022">
        <v>0</v>
      </c>
      <c r="T2022">
        <v>6</v>
      </c>
      <c r="U2022">
        <v>4</v>
      </c>
    </row>
    <row r="2023" spans="1:21" ht="16.5" x14ac:dyDescent="0.3">
      <c r="A2023" t="s">
        <v>2110</v>
      </c>
      <c r="B2023" s="1">
        <v>45609</v>
      </c>
      <c r="C2023">
        <v>2024</v>
      </c>
      <c r="D2023" t="s">
        <v>1738</v>
      </c>
      <c r="E2023" t="s">
        <v>1959</v>
      </c>
      <c r="F2023" t="s">
        <v>45</v>
      </c>
      <c r="G2023" t="s">
        <v>49</v>
      </c>
      <c r="H2023" t="s">
        <v>26</v>
      </c>
      <c r="I2023" t="s">
        <v>84</v>
      </c>
      <c r="J2023" t="s">
        <v>132</v>
      </c>
      <c r="K2023">
        <v>3</v>
      </c>
      <c r="L2023" s="2">
        <v>48.86</v>
      </c>
      <c r="M2023" s="3">
        <v>0.3</v>
      </c>
      <c r="N2023" t="s">
        <v>62</v>
      </c>
      <c r="O2023" s="2">
        <v>102.61</v>
      </c>
      <c r="P2023" s="2">
        <v>102.25</v>
      </c>
      <c r="Q2023" s="2">
        <v>0.36</v>
      </c>
      <c r="R2023">
        <v>1</v>
      </c>
      <c r="S2023">
        <v>0</v>
      </c>
      <c r="T2023">
        <v>4</v>
      </c>
      <c r="U2023">
        <v>4</v>
      </c>
    </row>
    <row r="2024" spans="1:21" ht="16.5" x14ac:dyDescent="0.3">
      <c r="A2024" t="s">
        <v>2111</v>
      </c>
      <c r="B2024" s="1">
        <v>45609</v>
      </c>
      <c r="C2024">
        <v>2024</v>
      </c>
      <c r="D2024" t="s">
        <v>1738</v>
      </c>
      <c r="E2024" t="s">
        <v>1959</v>
      </c>
      <c r="F2024" t="s">
        <v>24</v>
      </c>
      <c r="G2024" t="s">
        <v>65</v>
      </c>
      <c r="H2024" t="s">
        <v>26</v>
      </c>
      <c r="I2024" t="s">
        <v>36</v>
      </c>
      <c r="J2024" t="s">
        <v>56</v>
      </c>
      <c r="K2024">
        <v>1</v>
      </c>
      <c r="L2024" s="2">
        <v>74.3</v>
      </c>
      <c r="M2024" s="3">
        <v>0.3</v>
      </c>
      <c r="N2024" t="s">
        <v>62</v>
      </c>
      <c r="O2024" s="2">
        <v>52.01</v>
      </c>
      <c r="P2024" s="2">
        <v>35.14</v>
      </c>
      <c r="Q2024" s="2">
        <v>16.87</v>
      </c>
      <c r="R2024">
        <v>1</v>
      </c>
      <c r="S2024">
        <v>0</v>
      </c>
      <c r="T2024">
        <v>8</v>
      </c>
      <c r="U2024">
        <v>3</v>
      </c>
    </row>
    <row r="2025" spans="1:21" ht="16.5" x14ac:dyDescent="0.3">
      <c r="A2025" t="s">
        <v>2112</v>
      </c>
      <c r="B2025" s="1">
        <v>45609</v>
      </c>
      <c r="C2025">
        <v>2024</v>
      </c>
      <c r="D2025" t="s">
        <v>1738</v>
      </c>
      <c r="E2025" t="s">
        <v>1959</v>
      </c>
      <c r="F2025" t="s">
        <v>31</v>
      </c>
      <c r="G2025" t="s">
        <v>51</v>
      </c>
      <c r="H2025" t="s">
        <v>32</v>
      </c>
      <c r="I2025" t="s">
        <v>42</v>
      </c>
      <c r="J2025" t="s">
        <v>43</v>
      </c>
      <c r="K2025">
        <v>1</v>
      </c>
      <c r="L2025" s="2">
        <v>154.66</v>
      </c>
      <c r="M2025" s="3">
        <v>0.3</v>
      </c>
      <c r="N2025" t="s">
        <v>62</v>
      </c>
      <c r="O2025" s="2">
        <v>108.26</v>
      </c>
      <c r="P2025" s="2">
        <v>107.61</v>
      </c>
      <c r="Q2025" s="2">
        <v>0.65</v>
      </c>
      <c r="R2025">
        <v>1</v>
      </c>
      <c r="S2025">
        <v>1</v>
      </c>
      <c r="T2025">
        <v>5</v>
      </c>
      <c r="U2025">
        <v>3</v>
      </c>
    </row>
    <row r="2026" spans="1:21" ht="16.5" x14ac:dyDescent="0.3">
      <c r="A2026" t="s">
        <v>2113</v>
      </c>
      <c r="B2026" s="1">
        <v>45609</v>
      </c>
      <c r="C2026">
        <v>2024</v>
      </c>
      <c r="D2026" t="s">
        <v>1738</v>
      </c>
      <c r="E2026" t="s">
        <v>1959</v>
      </c>
      <c r="F2026" t="s">
        <v>24</v>
      </c>
      <c r="G2026" t="s">
        <v>51</v>
      </c>
      <c r="H2026" t="s">
        <v>32</v>
      </c>
      <c r="I2026" t="s">
        <v>42</v>
      </c>
      <c r="J2026" t="s">
        <v>58</v>
      </c>
      <c r="K2026">
        <v>1</v>
      </c>
      <c r="L2026" s="2">
        <v>233.81</v>
      </c>
      <c r="M2026" s="3">
        <v>0.1</v>
      </c>
      <c r="N2026" t="s">
        <v>29</v>
      </c>
      <c r="O2026" s="2">
        <v>210.43</v>
      </c>
      <c r="P2026" s="2">
        <v>150.1</v>
      </c>
      <c r="Q2026" s="2">
        <v>60.33</v>
      </c>
      <c r="R2026">
        <v>1</v>
      </c>
      <c r="S2026">
        <v>0</v>
      </c>
      <c r="T2026">
        <v>4</v>
      </c>
      <c r="U2026">
        <v>5</v>
      </c>
    </row>
    <row r="2027" spans="1:21" ht="16.5" x14ac:dyDescent="0.3">
      <c r="A2027" t="s">
        <v>2114</v>
      </c>
      <c r="B2027" s="1">
        <v>45609</v>
      </c>
      <c r="C2027">
        <v>2024</v>
      </c>
      <c r="D2027" t="s">
        <v>1738</v>
      </c>
      <c r="E2027" t="s">
        <v>1959</v>
      </c>
      <c r="F2027" t="s">
        <v>31</v>
      </c>
      <c r="G2027" t="s">
        <v>25</v>
      </c>
      <c r="H2027" t="s">
        <v>26</v>
      </c>
      <c r="I2027" t="s">
        <v>67</v>
      </c>
      <c r="J2027" t="s">
        <v>174</v>
      </c>
      <c r="K2027">
        <v>1</v>
      </c>
      <c r="L2027" s="2">
        <v>137.05000000000001</v>
      </c>
      <c r="M2027" s="3">
        <v>0.3</v>
      </c>
      <c r="N2027" t="s">
        <v>62</v>
      </c>
      <c r="O2027" s="2">
        <v>95.94</v>
      </c>
      <c r="P2027" s="2">
        <v>88.71</v>
      </c>
      <c r="Q2027" s="2">
        <v>7.23</v>
      </c>
      <c r="R2027">
        <v>1</v>
      </c>
      <c r="S2027">
        <v>1</v>
      </c>
      <c r="T2027">
        <v>4</v>
      </c>
      <c r="U2027">
        <v>3</v>
      </c>
    </row>
    <row r="2028" spans="1:21" ht="16.5" x14ac:dyDescent="0.3">
      <c r="A2028" t="s">
        <v>2115</v>
      </c>
      <c r="B2028" s="1">
        <v>45610</v>
      </c>
      <c r="C2028">
        <v>2024</v>
      </c>
      <c r="D2028" t="s">
        <v>1738</v>
      </c>
      <c r="E2028" t="s">
        <v>1959</v>
      </c>
      <c r="F2028" t="s">
        <v>24</v>
      </c>
      <c r="G2028" t="s">
        <v>25</v>
      </c>
      <c r="H2028" t="s">
        <v>26</v>
      </c>
      <c r="I2028" t="s">
        <v>36</v>
      </c>
      <c r="J2028" t="s">
        <v>37</v>
      </c>
      <c r="K2028">
        <v>1</v>
      </c>
      <c r="L2028" s="2">
        <v>33.18</v>
      </c>
      <c r="M2028" s="3">
        <v>0.3</v>
      </c>
      <c r="N2028" t="s">
        <v>62</v>
      </c>
      <c r="O2028" s="2">
        <v>23.23</v>
      </c>
      <c r="P2028" s="2">
        <v>16.170000000000002</v>
      </c>
      <c r="Q2028" s="2">
        <v>7.06</v>
      </c>
      <c r="R2028">
        <v>1</v>
      </c>
      <c r="S2028">
        <v>0</v>
      </c>
      <c r="T2028">
        <v>5</v>
      </c>
      <c r="U2028">
        <v>5</v>
      </c>
    </row>
    <row r="2029" spans="1:21" ht="16.5" x14ac:dyDescent="0.3">
      <c r="A2029" t="s">
        <v>2116</v>
      </c>
      <c r="B2029" s="1">
        <v>45610</v>
      </c>
      <c r="C2029">
        <v>2024</v>
      </c>
      <c r="D2029" t="s">
        <v>1738</v>
      </c>
      <c r="E2029" t="s">
        <v>1959</v>
      </c>
      <c r="F2029" t="s">
        <v>31</v>
      </c>
      <c r="G2029" t="s">
        <v>51</v>
      </c>
      <c r="H2029" t="s">
        <v>32</v>
      </c>
      <c r="I2029" t="s">
        <v>84</v>
      </c>
      <c r="J2029" t="s">
        <v>96</v>
      </c>
      <c r="K2029">
        <v>1</v>
      </c>
      <c r="L2029" s="2">
        <v>10.76</v>
      </c>
      <c r="M2029" s="3">
        <v>0.3</v>
      </c>
      <c r="N2029" t="s">
        <v>62</v>
      </c>
      <c r="O2029" s="2">
        <v>7.53</v>
      </c>
      <c r="P2029" s="2">
        <v>7.8</v>
      </c>
      <c r="Q2029" s="2">
        <v>-0.27</v>
      </c>
      <c r="R2029">
        <v>1</v>
      </c>
      <c r="S2029">
        <v>0</v>
      </c>
      <c r="T2029">
        <v>3</v>
      </c>
      <c r="U2029">
        <v>4</v>
      </c>
    </row>
    <row r="2030" spans="1:21" ht="16.5" x14ac:dyDescent="0.3">
      <c r="A2030" t="s">
        <v>2117</v>
      </c>
      <c r="B2030" s="1">
        <v>45610</v>
      </c>
      <c r="C2030">
        <v>2024</v>
      </c>
      <c r="D2030" t="s">
        <v>1738</v>
      </c>
      <c r="E2030" t="s">
        <v>1959</v>
      </c>
      <c r="F2030" t="s">
        <v>31</v>
      </c>
      <c r="G2030" t="s">
        <v>51</v>
      </c>
      <c r="H2030" t="s">
        <v>26</v>
      </c>
      <c r="I2030" t="s">
        <v>27</v>
      </c>
      <c r="J2030" t="s">
        <v>60</v>
      </c>
      <c r="K2030">
        <v>1</v>
      </c>
      <c r="L2030" s="2">
        <v>94.85</v>
      </c>
      <c r="M2030" s="3">
        <v>0.2</v>
      </c>
      <c r="N2030" t="s">
        <v>34</v>
      </c>
      <c r="O2030" s="2">
        <v>75.88</v>
      </c>
      <c r="P2030" s="2">
        <v>52.77</v>
      </c>
      <c r="Q2030" s="2">
        <v>23.11</v>
      </c>
      <c r="R2030">
        <v>1</v>
      </c>
      <c r="S2030">
        <v>0</v>
      </c>
      <c r="T2030">
        <v>5</v>
      </c>
      <c r="U2030">
        <v>5</v>
      </c>
    </row>
    <row r="2031" spans="1:21" ht="16.5" x14ac:dyDescent="0.3">
      <c r="A2031" t="s">
        <v>2118</v>
      </c>
      <c r="B2031" s="1">
        <v>45610</v>
      </c>
      <c r="C2031">
        <v>2024</v>
      </c>
      <c r="D2031" t="s">
        <v>1738</v>
      </c>
      <c r="E2031" t="s">
        <v>1959</v>
      </c>
      <c r="F2031" t="s">
        <v>31</v>
      </c>
      <c r="G2031" t="s">
        <v>46</v>
      </c>
      <c r="H2031" t="s">
        <v>32</v>
      </c>
      <c r="I2031" t="s">
        <v>36</v>
      </c>
      <c r="J2031" t="s">
        <v>56</v>
      </c>
      <c r="K2031">
        <v>2</v>
      </c>
      <c r="L2031" s="2">
        <v>74.3</v>
      </c>
      <c r="M2031" s="3">
        <v>0.3</v>
      </c>
      <c r="N2031" t="s">
        <v>62</v>
      </c>
      <c r="O2031" s="2">
        <v>104.02</v>
      </c>
      <c r="P2031" s="2">
        <v>72.180000000000007</v>
      </c>
      <c r="Q2031" s="2">
        <v>31.84</v>
      </c>
      <c r="R2031">
        <v>1</v>
      </c>
      <c r="S2031">
        <v>0</v>
      </c>
      <c r="T2031">
        <v>6</v>
      </c>
      <c r="U2031">
        <v>3</v>
      </c>
    </row>
    <row r="2032" spans="1:21" ht="16.5" x14ac:dyDescent="0.3">
      <c r="A2032" t="s">
        <v>2119</v>
      </c>
      <c r="B2032" s="1">
        <v>45610</v>
      </c>
      <c r="C2032">
        <v>2024</v>
      </c>
      <c r="D2032" t="s">
        <v>1738</v>
      </c>
      <c r="E2032" t="s">
        <v>1959</v>
      </c>
      <c r="F2032" t="s">
        <v>24</v>
      </c>
      <c r="G2032" t="s">
        <v>49</v>
      </c>
      <c r="H2032" t="s">
        <v>32</v>
      </c>
      <c r="I2032" t="s">
        <v>27</v>
      </c>
      <c r="J2032" t="s">
        <v>33</v>
      </c>
      <c r="K2032">
        <v>3</v>
      </c>
      <c r="L2032" s="2">
        <v>78.510000000000005</v>
      </c>
      <c r="M2032" s="3">
        <v>0.1</v>
      </c>
      <c r="N2032" t="s">
        <v>29</v>
      </c>
      <c r="O2032" s="2">
        <v>211.98</v>
      </c>
      <c r="P2032" s="2">
        <v>124.03</v>
      </c>
      <c r="Q2032" s="2">
        <v>87.95</v>
      </c>
      <c r="R2032">
        <v>1</v>
      </c>
      <c r="S2032">
        <v>0</v>
      </c>
      <c r="T2032">
        <v>6</v>
      </c>
      <c r="U2032">
        <v>4</v>
      </c>
    </row>
    <row r="2033" spans="1:21" ht="16.5" x14ac:dyDescent="0.3">
      <c r="A2033" t="s">
        <v>2120</v>
      </c>
      <c r="B2033" s="1">
        <v>45610</v>
      </c>
      <c r="C2033">
        <v>2024</v>
      </c>
      <c r="D2033" t="s">
        <v>1738</v>
      </c>
      <c r="E2033" t="s">
        <v>1959</v>
      </c>
      <c r="F2033" t="s">
        <v>24</v>
      </c>
      <c r="G2033" t="s">
        <v>49</v>
      </c>
      <c r="H2033" t="s">
        <v>32</v>
      </c>
      <c r="I2033" t="s">
        <v>70</v>
      </c>
      <c r="J2033" t="s">
        <v>129</v>
      </c>
      <c r="K2033">
        <v>3</v>
      </c>
      <c r="L2033" s="2">
        <v>177.65</v>
      </c>
      <c r="M2033" s="3">
        <v>0.15</v>
      </c>
      <c r="N2033" t="s">
        <v>34</v>
      </c>
      <c r="O2033" s="2">
        <v>453.01</v>
      </c>
      <c r="P2033" s="2">
        <v>413.87</v>
      </c>
      <c r="Q2033" s="2">
        <v>39.14</v>
      </c>
      <c r="R2033">
        <v>1</v>
      </c>
      <c r="S2033">
        <v>0</v>
      </c>
      <c r="T2033">
        <v>5</v>
      </c>
      <c r="U2033">
        <v>4</v>
      </c>
    </row>
    <row r="2034" spans="1:21" ht="16.5" x14ac:dyDescent="0.3">
      <c r="A2034" t="s">
        <v>2121</v>
      </c>
      <c r="B2034" s="1">
        <v>45610</v>
      </c>
      <c r="C2034">
        <v>2024</v>
      </c>
      <c r="D2034" t="s">
        <v>1738</v>
      </c>
      <c r="E2034" t="s">
        <v>1959</v>
      </c>
      <c r="F2034" t="s">
        <v>24</v>
      </c>
      <c r="G2034" t="s">
        <v>25</v>
      </c>
      <c r="H2034" t="s">
        <v>32</v>
      </c>
      <c r="I2034" t="s">
        <v>70</v>
      </c>
      <c r="J2034" t="s">
        <v>82</v>
      </c>
      <c r="K2034">
        <v>2</v>
      </c>
      <c r="L2034" s="2">
        <v>508.8</v>
      </c>
      <c r="M2034" s="3">
        <v>0.15</v>
      </c>
      <c r="N2034" t="s">
        <v>34</v>
      </c>
      <c r="O2034" s="2">
        <v>864.96</v>
      </c>
      <c r="P2034" s="2">
        <v>812.08</v>
      </c>
      <c r="Q2034" s="2">
        <v>52.88</v>
      </c>
      <c r="R2034">
        <v>1</v>
      </c>
      <c r="S2034">
        <v>0</v>
      </c>
      <c r="T2034">
        <v>5</v>
      </c>
      <c r="U2034">
        <v>5</v>
      </c>
    </row>
    <row r="2035" spans="1:21" ht="16.5" x14ac:dyDescent="0.3">
      <c r="A2035" t="s">
        <v>2122</v>
      </c>
      <c r="B2035" s="1">
        <v>45610</v>
      </c>
      <c r="C2035">
        <v>2024</v>
      </c>
      <c r="D2035" t="s">
        <v>1738</v>
      </c>
      <c r="E2035" t="s">
        <v>1959</v>
      </c>
      <c r="F2035" t="s">
        <v>24</v>
      </c>
      <c r="G2035" t="s">
        <v>49</v>
      </c>
      <c r="H2035" t="s">
        <v>26</v>
      </c>
      <c r="I2035" t="s">
        <v>36</v>
      </c>
      <c r="J2035" t="s">
        <v>126</v>
      </c>
      <c r="K2035">
        <v>1</v>
      </c>
      <c r="L2035" s="2">
        <v>54.56</v>
      </c>
      <c r="M2035" s="3">
        <v>0.05</v>
      </c>
      <c r="N2035" t="s">
        <v>29</v>
      </c>
      <c r="O2035" s="2">
        <v>51.83</v>
      </c>
      <c r="P2035" s="2">
        <v>26.72</v>
      </c>
      <c r="Q2035" s="2">
        <v>25.11</v>
      </c>
      <c r="R2035">
        <v>1</v>
      </c>
      <c r="S2035">
        <v>0</v>
      </c>
      <c r="T2035">
        <v>5</v>
      </c>
      <c r="U2035">
        <v>4</v>
      </c>
    </row>
    <row r="2036" spans="1:21" ht="16.5" x14ac:dyDescent="0.3">
      <c r="A2036" t="s">
        <v>2123</v>
      </c>
      <c r="B2036" s="1">
        <v>45610</v>
      </c>
      <c r="C2036">
        <v>2024</v>
      </c>
      <c r="D2036" t="s">
        <v>1738</v>
      </c>
      <c r="E2036" t="s">
        <v>1959</v>
      </c>
      <c r="F2036" t="s">
        <v>31</v>
      </c>
      <c r="G2036" t="s">
        <v>25</v>
      </c>
      <c r="H2036" t="s">
        <v>26</v>
      </c>
      <c r="I2036" t="s">
        <v>36</v>
      </c>
      <c r="J2036" t="s">
        <v>115</v>
      </c>
      <c r="K2036">
        <v>4</v>
      </c>
      <c r="L2036" s="2">
        <v>33.479999999999997</v>
      </c>
      <c r="M2036" s="3">
        <v>0.05</v>
      </c>
      <c r="N2036" t="s">
        <v>29</v>
      </c>
      <c r="O2036" s="2">
        <v>127.22</v>
      </c>
      <c r="P2036" s="2">
        <v>64.930000000000007</v>
      </c>
      <c r="Q2036" s="2">
        <v>62.29</v>
      </c>
      <c r="R2036">
        <v>1</v>
      </c>
      <c r="S2036">
        <v>1</v>
      </c>
      <c r="T2036">
        <v>5</v>
      </c>
      <c r="U2036">
        <v>3</v>
      </c>
    </row>
    <row r="2037" spans="1:21" ht="16.5" x14ac:dyDescent="0.3">
      <c r="A2037" t="s">
        <v>2124</v>
      </c>
      <c r="B2037" s="1">
        <v>45610</v>
      </c>
      <c r="C2037">
        <v>2024</v>
      </c>
      <c r="D2037" t="s">
        <v>1738</v>
      </c>
      <c r="E2037" t="s">
        <v>1959</v>
      </c>
      <c r="F2037" t="s">
        <v>24</v>
      </c>
      <c r="G2037" t="s">
        <v>25</v>
      </c>
      <c r="H2037" t="s">
        <v>26</v>
      </c>
      <c r="I2037" t="s">
        <v>27</v>
      </c>
      <c r="J2037" t="s">
        <v>28</v>
      </c>
      <c r="K2037">
        <v>2</v>
      </c>
      <c r="L2037" s="2">
        <v>138.5</v>
      </c>
      <c r="M2037" s="3">
        <v>0.1</v>
      </c>
      <c r="N2037" t="s">
        <v>29</v>
      </c>
      <c r="O2037" s="2">
        <v>249.3</v>
      </c>
      <c r="P2037" s="2">
        <v>149.37</v>
      </c>
      <c r="Q2037" s="2">
        <v>99.93</v>
      </c>
      <c r="R2037">
        <v>1</v>
      </c>
      <c r="S2037">
        <v>0</v>
      </c>
      <c r="T2037">
        <v>4</v>
      </c>
      <c r="U2037">
        <v>5</v>
      </c>
    </row>
    <row r="2038" spans="1:21" ht="16.5" x14ac:dyDescent="0.3">
      <c r="A2038" t="s">
        <v>2125</v>
      </c>
      <c r="B2038" s="1">
        <v>45610</v>
      </c>
      <c r="C2038">
        <v>2024</v>
      </c>
      <c r="D2038" t="s">
        <v>1738</v>
      </c>
      <c r="E2038" t="s">
        <v>1959</v>
      </c>
      <c r="F2038" t="s">
        <v>31</v>
      </c>
      <c r="G2038" t="s">
        <v>25</v>
      </c>
      <c r="H2038" t="s">
        <v>32</v>
      </c>
      <c r="I2038" t="s">
        <v>42</v>
      </c>
      <c r="J2038" t="s">
        <v>54</v>
      </c>
      <c r="K2038">
        <v>1</v>
      </c>
      <c r="L2038" s="2">
        <v>148.05000000000001</v>
      </c>
      <c r="M2038" s="3">
        <v>0.3</v>
      </c>
      <c r="N2038" t="s">
        <v>62</v>
      </c>
      <c r="O2038" s="2">
        <v>103.64</v>
      </c>
      <c r="P2038" s="2">
        <v>99.06</v>
      </c>
      <c r="Q2038" s="2">
        <v>4.58</v>
      </c>
      <c r="R2038">
        <v>1</v>
      </c>
      <c r="S2038">
        <v>0</v>
      </c>
      <c r="T2038">
        <v>4</v>
      </c>
      <c r="U2038">
        <v>4</v>
      </c>
    </row>
    <row r="2039" spans="1:21" ht="16.5" x14ac:dyDescent="0.3">
      <c r="A2039" t="s">
        <v>2126</v>
      </c>
      <c r="B2039" s="1">
        <v>45611</v>
      </c>
      <c r="C2039">
        <v>2024</v>
      </c>
      <c r="D2039" t="s">
        <v>1738</v>
      </c>
      <c r="E2039" t="s">
        <v>1959</v>
      </c>
      <c r="F2039" t="s">
        <v>31</v>
      </c>
      <c r="G2039" t="s">
        <v>51</v>
      </c>
      <c r="H2039" t="s">
        <v>32</v>
      </c>
      <c r="I2039" t="s">
        <v>70</v>
      </c>
      <c r="J2039" t="s">
        <v>71</v>
      </c>
      <c r="K2039">
        <v>2</v>
      </c>
      <c r="L2039" s="2">
        <v>588.41</v>
      </c>
      <c r="M2039" s="3">
        <v>0.1</v>
      </c>
      <c r="N2039" t="s">
        <v>29</v>
      </c>
      <c r="O2039" s="2">
        <v>1059.1400000000001</v>
      </c>
      <c r="P2039" s="2">
        <v>932.31</v>
      </c>
      <c r="Q2039" s="2">
        <v>126.83</v>
      </c>
      <c r="R2039">
        <v>1</v>
      </c>
      <c r="S2039">
        <v>0</v>
      </c>
      <c r="T2039">
        <v>3</v>
      </c>
      <c r="U2039">
        <v>4</v>
      </c>
    </row>
    <row r="2040" spans="1:21" ht="16.5" x14ac:dyDescent="0.3">
      <c r="A2040" t="s">
        <v>2127</v>
      </c>
      <c r="B2040" s="1">
        <v>45611</v>
      </c>
      <c r="C2040">
        <v>2024</v>
      </c>
      <c r="D2040" t="s">
        <v>1738</v>
      </c>
      <c r="E2040" t="s">
        <v>1959</v>
      </c>
      <c r="F2040" t="s">
        <v>45</v>
      </c>
      <c r="G2040" t="s">
        <v>51</v>
      </c>
      <c r="H2040" t="s">
        <v>32</v>
      </c>
      <c r="I2040" t="s">
        <v>27</v>
      </c>
      <c r="J2040" t="s">
        <v>40</v>
      </c>
      <c r="K2040">
        <v>1</v>
      </c>
      <c r="L2040" s="2">
        <v>104.94</v>
      </c>
      <c r="M2040" s="3">
        <v>0</v>
      </c>
      <c r="N2040" t="s">
        <v>38</v>
      </c>
      <c r="O2040" s="2">
        <v>104.94</v>
      </c>
      <c r="P2040" s="2">
        <v>56.35</v>
      </c>
      <c r="Q2040" s="2">
        <v>48.59</v>
      </c>
      <c r="R2040">
        <v>1</v>
      </c>
      <c r="S2040">
        <v>1</v>
      </c>
      <c r="T2040">
        <v>3</v>
      </c>
      <c r="U2040">
        <v>3</v>
      </c>
    </row>
    <row r="2041" spans="1:21" ht="16.5" x14ac:dyDescent="0.3">
      <c r="A2041" t="s">
        <v>2128</v>
      </c>
      <c r="B2041" s="1">
        <v>45611</v>
      </c>
      <c r="C2041">
        <v>2024</v>
      </c>
      <c r="D2041" t="s">
        <v>1738</v>
      </c>
      <c r="E2041" t="s">
        <v>1959</v>
      </c>
      <c r="F2041" t="s">
        <v>24</v>
      </c>
      <c r="G2041" t="s">
        <v>51</v>
      </c>
      <c r="H2041" t="s">
        <v>32</v>
      </c>
      <c r="I2041" t="s">
        <v>42</v>
      </c>
      <c r="J2041" t="s">
        <v>54</v>
      </c>
      <c r="K2041">
        <v>1</v>
      </c>
      <c r="L2041" s="2">
        <v>148.05000000000001</v>
      </c>
      <c r="M2041" s="3">
        <v>0.15</v>
      </c>
      <c r="N2041" t="s">
        <v>34</v>
      </c>
      <c r="O2041" s="2">
        <v>125.84</v>
      </c>
      <c r="P2041" s="2">
        <v>100.85</v>
      </c>
      <c r="Q2041" s="2">
        <v>24.99</v>
      </c>
      <c r="R2041">
        <v>1</v>
      </c>
      <c r="S2041">
        <v>0</v>
      </c>
      <c r="T2041">
        <v>3</v>
      </c>
      <c r="U2041">
        <v>5</v>
      </c>
    </row>
    <row r="2042" spans="1:21" ht="16.5" x14ac:dyDescent="0.3">
      <c r="A2042" t="s">
        <v>2129</v>
      </c>
      <c r="B2042" s="1">
        <v>45611</v>
      </c>
      <c r="C2042">
        <v>2024</v>
      </c>
      <c r="D2042" t="s">
        <v>1738</v>
      </c>
      <c r="E2042" t="s">
        <v>1959</v>
      </c>
      <c r="F2042" t="s">
        <v>45</v>
      </c>
      <c r="G2042" t="s">
        <v>51</v>
      </c>
      <c r="H2042" t="s">
        <v>26</v>
      </c>
      <c r="I2042" t="s">
        <v>36</v>
      </c>
      <c r="J2042" t="s">
        <v>115</v>
      </c>
      <c r="K2042">
        <v>1</v>
      </c>
      <c r="L2042" s="2">
        <v>33.479999999999997</v>
      </c>
      <c r="M2042" s="3">
        <v>0.2</v>
      </c>
      <c r="N2042" t="s">
        <v>34</v>
      </c>
      <c r="O2042" s="2">
        <v>26.78</v>
      </c>
      <c r="P2042" s="2">
        <v>16.190000000000001</v>
      </c>
      <c r="Q2042" s="2">
        <v>10.59</v>
      </c>
      <c r="R2042">
        <v>1</v>
      </c>
      <c r="S2042">
        <v>0</v>
      </c>
      <c r="T2042">
        <v>4</v>
      </c>
      <c r="U2042">
        <v>4</v>
      </c>
    </row>
    <row r="2043" spans="1:21" ht="16.5" x14ac:dyDescent="0.3">
      <c r="A2043" t="s">
        <v>2130</v>
      </c>
      <c r="B2043" s="1">
        <v>45611</v>
      </c>
      <c r="C2043">
        <v>2024</v>
      </c>
      <c r="D2043" t="s">
        <v>1738</v>
      </c>
      <c r="E2043" t="s">
        <v>1959</v>
      </c>
      <c r="F2043" t="s">
        <v>24</v>
      </c>
      <c r="G2043" t="s">
        <v>49</v>
      </c>
      <c r="H2043" t="s">
        <v>32</v>
      </c>
      <c r="I2043" t="s">
        <v>70</v>
      </c>
      <c r="J2043" t="s">
        <v>162</v>
      </c>
      <c r="K2043">
        <v>1</v>
      </c>
      <c r="L2043" s="2">
        <v>636.09</v>
      </c>
      <c r="M2043" s="3">
        <v>0</v>
      </c>
      <c r="N2043" t="s">
        <v>38</v>
      </c>
      <c r="O2043" s="2">
        <v>636.09</v>
      </c>
      <c r="P2043" s="2">
        <v>525.52</v>
      </c>
      <c r="Q2043" s="2">
        <v>110.57</v>
      </c>
      <c r="R2043">
        <v>1</v>
      </c>
      <c r="S2043">
        <v>0</v>
      </c>
      <c r="T2043">
        <v>5</v>
      </c>
      <c r="U2043">
        <v>5</v>
      </c>
    </row>
    <row r="2044" spans="1:21" ht="16.5" x14ac:dyDescent="0.3">
      <c r="A2044" t="s">
        <v>2131</v>
      </c>
      <c r="B2044" s="1">
        <v>45611</v>
      </c>
      <c r="C2044">
        <v>2024</v>
      </c>
      <c r="D2044" t="s">
        <v>1738</v>
      </c>
      <c r="E2044" t="s">
        <v>1959</v>
      </c>
      <c r="F2044" t="s">
        <v>31</v>
      </c>
      <c r="G2044" t="s">
        <v>25</v>
      </c>
      <c r="H2044" t="s">
        <v>26</v>
      </c>
      <c r="I2044" t="s">
        <v>27</v>
      </c>
      <c r="J2044" t="s">
        <v>60</v>
      </c>
      <c r="K2044">
        <v>1</v>
      </c>
      <c r="L2044" s="2">
        <v>94.85</v>
      </c>
      <c r="M2044" s="3">
        <v>0.2</v>
      </c>
      <c r="N2044" t="s">
        <v>34</v>
      </c>
      <c r="O2044" s="2">
        <v>75.88</v>
      </c>
      <c r="P2044" s="2">
        <v>49.03</v>
      </c>
      <c r="Q2044" s="2">
        <v>26.85</v>
      </c>
      <c r="R2044">
        <v>1</v>
      </c>
      <c r="S2044">
        <v>0</v>
      </c>
      <c r="T2044">
        <v>6</v>
      </c>
      <c r="U2044">
        <v>3</v>
      </c>
    </row>
    <row r="2045" spans="1:21" ht="16.5" x14ac:dyDescent="0.3">
      <c r="A2045" t="s">
        <v>2132</v>
      </c>
      <c r="B2045" s="1">
        <v>45611</v>
      </c>
      <c r="C2045">
        <v>2024</v>
      </c>
      <c r="D2045" t="s">
        <v>1738</v>
      </c>
      <c r="E2045" t="s">
        <v>1959</v>
      </c>
      <c r="F2045" t="s">
        <v>45</v>
      </c>
      <c r="G2045" t="s">
        <v>51</v>
      </c>
      <c r="H2045" t="s">
        <v>32</v>
      </c>
      <c r="I2045" t="s">
        <v>70</v>
      </c>
      <c r="J2045" t="s">
        <v>82</v>
      </c>
      <c r="K2045">
        <v>1</v>
      </c>
      <c r="L2045" s="2">
        <v>508.8</v>
      </c>
      <c r="M2045" s="3">
        <v>0.2</v>
      </c>
      <c r="N2045" t="s">
        <v>34</v>
      </c>
      <c r="O2045" s="2">
        <v>407.04</v>
      </c>
      <c r="P2045" s="2">
        <v>403.32</v>
      </c>
      <c r="Q2045" s="2">
        <v>3.72</v>
      </c>
      <c r="R2045">
        <v>1</v>
      </c>
      <c r="S2045">
        <v>0</v>
      </c>
      <c r="T2045">
        <v>3</v>
      </c>
      <c r="U2045">
        <v>4</v>
      </c>
    </row>
    <row r="2046" spans="1:21" ht="16.5" x14ac:dyDescent="0.3">
      <c r="A2046" t="s">
        <v>2133</v>
      </c>
      <c r="B2046" s="1">
        <v>45611</v>
      </c>
      <c r="C2046">
        <v>2024</v>
      </c>
      <c r="D2046" t="s">
        <v>1738</v>
      </c>
      <c r="E2046" t="s">
        <v>1959</v>
      </c>
      <c r="F2046" t="s">
        <v>24</v>
      </c>
      <c r="G2046" t="s">
        <v>65</v>
      </c>
      <c r="H2046" t="s">
        <v>26</v>
      </c>
      <c r="I2046" t="s">
        <v>70</v>
      </c>
      <c r="J2046" t="s">
        <v>162</v>
      </c>
      <c r="K2046">
        <v>1</v>
      </c>
      <c r="L2046" s="2">
        <v>636.09</v>
      </c>
      <c r="M2046" s="3">
        <v>0.2</v>
      </c>
      <c r="N2046" t="s">
        <v>34</v>
      </c>
      <c r="O2046" s="2">
        <v>508.87</v>
      </c>
      <c r="P2046" s="2">
        <v>523.25</v>
      </c>
      <c r="Q2046" s="2">
        <v>-14.38</v>
      </c>
      <c r="R2046">
        <v>1</v>
      </c>
      <c r="S2046">
        <v>0</v>
      </c>
      <c r="T2046">
        <v>6</v>
      </c>
      <c r="U2046">
        <v>4</v>
      </c>
    </row>
    <row r="2047" spans="1:21" ht="16.5" x14ac:dyDescent="0.3">
      <c r="A2047" t="s">
        <v>2134</v>
      </c>
      <c r="B2047" s="1">
        <v>45611</v>
      </c>
      <c r="C2047">
        <v>2024</v>
      </c>
      <c r="D2047" t="s">
        <v>1738</v>
      </c>
      <c r="E2047" t="s">
        <v>1959</v>
      </c>
      <c r="F2047" t="s">
        <v>24</v>
      </c>
      <c r="G2047" t="s">
        <v>46</v>
      </c>
      <c r="H2047" t="s">
        <v>26</v>
      </c>
      <c r="I2047" t="s">
        <v>70</v>
      </c>
      <c r="J2047" t="s">
        <v>82</v>
      </c>
      <c r="K2047">
        <v>2</v>
      </c>
      <c r="L2047" s="2">
        <v>508.8</v>
      </c>
      <c r="M2047" s="3">
        <v>0.15</v>
      </c>
      <c r="N2047" t="s">
        <v>34</v>
      </c>
      <c r="O2047" s="2">
        <v>864.96</v>
      </c>
      <c r="P2047" s="2">
        <v>805.64</v>
      </c>
      <c r="Q2047" s="2">
        <v>59.32</v>
      </c>
      <c r="R2047">
        <v>1</v>
      </c>
      <c r="S2047">
        <v>0</v>
      </c>
      <c r="T2047">
        <v>6</v>
      </c>
      <c r="U2047">
        <v>4</v>
      </c>
    </row>
    <row r="2048" spans="1:21" ht="16.5" x14ac:dyDescent="0.3">
      <c r="A2048" t="s">
        <v>2135</v>
      </c>
      <c r="B2048" s="1">
        <v>45611</v>
      </c>
      <c r="C2048">
        <v>2024</v>
      </c>
      <c r="D2048" t="s">
        <v>1738</v>
      </c>
      <c r="E2048" t="s">
        <v>1959</v>
      </c>
      <c r="F2048" t="s">
        <v>24</v>
      </c>
      <c r="G2048" t="s">
        <v>25</v>
      </c>
      <c r="H2048" t="s">
        <v>26</v>
      </c>
      <c r="I2048" t="s">
        <v>27</v>
      </c>
      <c r="J2048" t="s">
        <v>110</v>
      </c>
      <c r="K2048">
        <v>1</v>
      </c>
      <c r="L2048" s="2">
        <v>19.41</v>
      </c>
      <c r="M2048" s="3">
        <v>0.2</v>
      </c>
      <c r="N2048" t="s">
        <v>34</v>
      </c>
      <c r="O2048" s="2">
        <v>15.53</v>
      </c>
      <c r="P2048" s="2">
        <v>9.82</v>
      </c>
      <c r="Q2048" s="2">
        <v>5.71</v>
      </c>
      <c r="R2048">
        <v>1</v>
      </c>
      <c r="S2048">
        <v>1</v>
      </c>
      <c r="T2048">
        <v>5</v>
      </c>
      <c r="U2048">
        <v>3</v>
      </c>
    </row>
    <row r="2049" spans="1:21" ht="16.5" x14ac:dyDescent="0.3">
      <c r="A2049" t="s">
        <v>2136</v>
      </c>
      <c r="B2049" s="1">
        <v>45611</v>
      </c>
      <c r="C2049">
        <v>2024</v>
      </c>
      <c r="D2049" t="s">
        <v>1738</v>
      </c>
      <c r="E2049" t="s">
        <v>1959</v>
      </c>
      <c r="F2049" t="s">
        <v>31</v>
      </c>
      <c r="G2049" t="s">
        <v>25</v>
      </c>
      <c r="H2049" t="s">
        <v>32</v>
      </c>
      <c r="I2049" t="s">
        <v>84</v>
      </c>
      <c r="J2049" t="s">
        <v>132</v>
      </c>
      <c r="K2049">
        <v>1</v>
      </c>
      <c r="L2049" s="2">
        <v>48.86</v>
      </c>
      <c r="M2049" s="3">
        <v>0.3</v>
      </c>
      <c r="N2049" t="s">
        <v>62</v>
      </c>
      <c r="O2049" s="2">
        <v>34.200000000000003</v>
      </c>
      <c r="P2049" s="2">
        <v>35.5</v>
      </c>
      <c r="Q2049" s="2">
        <v>-1.3</v>
      </c>
      <c r="R2049">
        <v>1</v>
      </c>
      <c r="S2049">
        <v>0</v>
      </c>
      <c r="T2049">
        <v>4</v>
      </c>
      <c r="U2049">
        <v>4</v>
      </c>
    </row>
    <row r="2050" spans="1:21" ht="16.5" x14ac:dyDescent="0.3">
      <c r="A2050" t="s">
        <v>2137</v>
      </c>
      <c r="B2050" s="1">
        <v>45611</v>
      </c>
      <c r="C2050">
        <v>2024</v>
      </c>
      <c r="D2050" t="s">
        <v>1738</v>
      </c>
      <c r="E2050" t="s">
        <v>1959</v>
      </c>
      <c r="F2050" t="s">
        <v>31</v>
      </c>
      <c r="G2050" t="s">
        <v>49</v>
      </c>
      <c r="H2050" t="s">
        <v>26</v>
      </c>
      <c r="I2050" t="s">
        <v>42</v>
      </c>
      <c r="J2050" t="s">
        <v>54</v>
      </c>
      <c r="K2050">
        <v>1</v>
      </c>
      <c r="L2050" s="2">
        <v>148.05000000000001</v>
      </c>
      <c r="M2050" s="3">
        <v>0.3</v>
      </c>
      <c r="N2050" t="s">
        <v>62</v>
      </c>
      <c r="O2050" s="2">
        <v>103.64</v>
      </c>
      <c r="P2050" s="2">
        <v>101.98</v>
      </c>
      <c r="Q2050" s="2">
        <v>1.66</v>
      </c>
      <c r="R2050">
        <v>1</v>
      </c>
      <c r="S2050">
        <v>0</v>
      </c>
      <c r="T2050">
        <v>5</v>
      </c>
      <c r="U2050">
        <v>5</v>
      </c>
    </row>
    <row r="2051" spans="1:21" ht="16.5" x14ac:dyDescent="0.3">
      <c r="A2051" t="s">
        <v>2138</v>
      </c>
      <c r="B2051" s="1">
        <v>45611</v>
      </c>
      <c r="C2051">
        <v>2024</v>
      </c>
      <c r="D2051" t="s">
        <v>1738</v>
      </c>
      <c r="E2051" t="s">
        <v>1959</v>
      </c>
      <c r="F2051" t="s">
        <v>24</v>
      </c>
      <c r="G2051" t="s">
        <v>51</v>
      </c>
      <c r="H2051" t="s">
        <v>26</v>
      </c>
      <c r="I2051" t="s">
        <v>67</v>
      </c>
      <c r="J2051" t="s">
        <v>93</v>
      </c>
      <c r="K2051">
        <v>1</v>
      </c>
      <c r="L2051" s="2">
        <v>198.42</v>
      </c>
      <c r="M2051" s="3">
        <v>0.1</v>
      </c>
      <c r="N2051" t="s">
        <v>29</v>
      </c>
      <c r="O2051" s="2">
        <v>178.58</v>
      </c>
      <c r="P2051" s="2">
        <v>129.38</v>
      </c>
      <c r="Q2051" s="2">
        <v>49.2</v>
      </c>
      <c r="R2051">
        <v>1</v>
      </c>
      <c r="S2051">
        <v>0</v>
      </c>
      <c r="T2051">
        <v>6</v>
      </c>
      <c r="U2051">
        <v>4</v>
      </c>
    </row>
    <row r="2052" spans="1:21" ht="16.5" x14ac:dyDescent="0.3">
      <c r="A2052" t="s">
        <v>2139</v>
      </c>
      <c r="B2052" s="1">
        <v>45612</v>
      </c>
      <c r="C2052">
        <v>2024</v>
      </c>
      <c r="D2052" t="s">
        <v>1738</v>
      </c>
      <c r="E2052" t="s">
        <v>1959</v>
      </c>
      <c r="F2052" t="s">
        <v>24</v>
      </c>
      <c r="G2052" t="s">
        <v>51</v>
      </c>
      <c r="H2052" t="s">
        <v>26</v>
      </c>
      <c r="I2052" t="s">
        <v>42</v>
      </c>
      <c r="J2052" t="s">
        <v>89</v>
      </c>
      <c r="K2052">
        <v>4</v>
      </c>
      <c r="L2052" s="2">
        <v>68.349999999999994</v>
      </c>
      <c r="M2052" s="3">
        <v>0.1</v>
      </c>
      <c r="N2052" t="s">
        <v>29</v>
      </c>
      <c r="O2052" s="2">
        <v>246.06</v>
      </c>
      <c r="P2052" s="2">
        <v>182.92</v>
      </c>
      <c r="Q2052" s="2">
        <v>63.14</v>
      </c>
      <c r="R2052">
        <v>1</v>
      </c>
      <c r="S2052">
        <v>0</v>
      </c>
      <c r="T2052">
        <v>3</v>
      </c>
      <c r="U2052">
        <v>4</v>
      </c>
    </row>
    <row r="2053" spans="1:21" ht="16.5" x14ac:dyDescent="0.3">
      <c r="A2053" t="s">
        <v>2140</v>
      </c>
      <c r="B2053" s="1">
        <v>45612</v>
      </c>
      <c r="C2053">
        <v>2024</v>
      </c>
      <c r="D2053" t="s">
        <v>1738</v>
      </c>
      <c r="E2053" t="s">
        <v>1959</v>
      </c>
      <c r="F2053" t="s">
        <v>45</v>
      </c>
      <c r="G2053" t="s">
        <v>49</v>
      </c>
      <c r="H2053" t="s">
        <v>32</v>
      </c>
      <c r="I2053" t="s">
        <v>36</v>
      </c>
      <c r="J2053" t="s">
        <v>52</v>
      </c>
      <c r="K2053">
        <v>1</v>
      </c>
      <c r="L2053" s="2">
        <v>92.54</v>
      </c>
      <c r="M2053" s="3">
        <v>0</v>
      </c>
      <c r="N2053" t="s">
        <v>38</v>
      </c>
      <c r="O2053" s="2">
        <v>92.54</v>
      </c>
      <c r="P2053" s="2">
        <v>44.93</v>
      </c>
      <c r="Q2053" s="2">
        <v>47.61</v>
      </c>
      <c r="R2053">
        <v>1</v>
      </c>
      <c r="S2053">
        <v>0</v>
      </c>
      <c r="T2053">
        <v>4</v>
      </c>
      <c r="U2053">
        <v>5</v>
      </c>
    </row>
    <row r="2054" spans="1:21" ht="16.5" x14ac:dyDescent="0.3">
      <c r="A2054" t="s">
        <v>2141</v>
      </c>
      <c r="B2054" s="1">
        <v>45612</v>
      </c>
      <c r="C2054">
        <v>2024</v>
      </c>
      <c r="D2054" t="s">
        <v>1738</v>
      </c>
      <c r="E2054" t="s">
        <v>1959</v>
      </c>
      <c r="F2054" t="s">
        <v>45</v>
      </c>
      <c r="G2054" t="s">
        <v>51</v>
      </c>
      <c r="H2054" t="s">
        <v>32</v>
      </c>
      <c r="I2054" t="s">
        <v>70</v>
      </c>
      <c r="J2054" t="s">
        <v>87</v>
      </c>
      <c r="K2054">
        <v>4</v>
      </c>
      <c r="L2054" s="2">
        <v>490.3</v>
      </c>
      <c r="M2054" s="3">
        <v>0.15</v>
      </c>
      <c r="N2054" t="s">
        <v>34</v>
      </c>
      <c r="O2054" s="2">
        <v>1667.02</v>
      </c>
      <c r="P2054" s="2">
        <v>1560.68</v>
      </c>
      <c r="Q2054" s="2">
        <v>106.34</v>
      </c>
      <c r="R2054">
        <v>1</v>
      </c>
      <c r="S2054">
        <v>0</v>
      </c>
      <c r="T2054">
        <v>3</v>
      </c>
      <c r="U2054">
        <v>5</v>
      </c>
    </row>
    <row r="2055" spans="1:21" ht="16.5" x14ac:dyDescent="0.3">
      <c r="A2055" t="s">
        <v>2142</v>
      </c>
      <c r="B2055" s="1">
        <v>45612</v>
      </c>
      <c r="C2055">
        <v>2024</v>
      </c>
      <c r="D2055" t="s">
        <v>1738</v>
      </c>
      <c r="E2055" t="s">
        <v>1959</v>
      </c>
      <c r="F2055" t="s">
        <v>31</v>
      </c>
      <c r="G2055" t="s">
        <v>46</v>
      </c>
      <c r="H2055" t="s">
        <v>26</v>
      </c>
      <c r="I2055" t="s">
        <v>42</v>
      </c>
      <c r="J2055" t="s">
        <v>98</v>
      </c>
      <c r="K2055">
        <v>1</v>
      </c>
      <c r="L2055" s="2">
        <v>117.63</v>
      </c>
      <c r="M2055" s="3">
        <v>0.25</v>
      </c>
      <c r="N2055" t="s">
        <v>62</v>
      </c>
      <c r="O2055" s="2">
        <v>88.22</v>
      </c>
      <c r="P2055" s="2">
        <v>78.819999999999993</v>
      </c>
      <c r="Q2055" s="2">
        <v>9.4</v>
      </c>
      <c r="R2055">
        <v>1</v>
      </c>
      <c r="S2055">
        <v>0</v>
      </c>
      <c r="T2055">
        <v>7</v>
      </c>
      <c r="U2055">
        <v>4</v>
      </c>
    </row>
    <row r="2056" spans="1:21" ht="16.5" x14ac:dyDescent="0.3">
      <c r="A2056" t="s">
        <v>2143</v>
      </c>
      <c r="B2056" s="1">
        <v>45612</v>
      </c>
      <c r="C2056">
        <v>2024</v>
      </c>
      <c r="D2056" t="s">
        <v>1738</v>
      </c>
      <c r="E2056" t="s">
        <v>1959</v>
      </c>
      <c r="F2056" t="s">
        <v>31</v>
      </c>
      <c r="G2056" t="s">
        <v>49</v>
      </c>
      <c r="H2056" t="s">
        <v>26</v>
      </c>
      <c r="I2056" t="s">
        <v>27</v>
      </c>
      <c r="J2056" t="s">
        <v>60</v>
      </c>
      <c r="K2056">
        <v>1</v>
      </c>
      <c r="L2056" s="2">
        <v>94.85</v>
      </c>
      <c r="M2056" s="3">
        <v>0.2</v>
      </c>
      <c r="N2056" t="s">
        <v>34</v>
      </c>
      <c r="O2056" s="2">
        <v>75.88</v>
      </c>
      <c r="P2056" s="2">
        <v>52.22</v>
      </c>
      <c r="Q2056" s="2">
        <v>23.66</v>
      </c>
      <c r="R2056">
        <v>1</v>
      </c>
      <c r="S2056">
        <v>1</v>
      </c>
      <c r="T2056">
        <v>4</v>
      </c>
      <c r="U2056">
        <v>2</v>
      </c>
    </row>
    <row r="2057" spans="1:21" ht="16.5" x14ac:dyDescent="0.3">
      <c r="A2057" t="s">
        <v>2144</v>
      </c>
      <c r="B2057" s="1">
        <v>45612</v>
      </c>
      <c r="C2057">
        <v>2024</v>
      </c>
      <c r="D2057" t="s">
        <v>1738</v>
      </c>
      <c r="E2057" t="s">
        <v>1959</v>
      </c>
      <c r="F2057" t="s">
        <v>31</v>
      </c>
      <c r="G2057" t="s">
        <v>25</v>
      </c>
      <c r="H2057" t="s">
        <v>26</v>
      </c>
      <c r="I2057" t="s">
        <v>70</v>
      </c>
      <c r="J2057" t="s">
        <v>82</v>
      </c>
      <c r="K2057">
        <v>1</v>
      </c>
      <c r="L2057" s="2">
        <v>508.8</v>
      </c>
      <c r="M2057" s="3">
        <v>0.1</v>
      </c>
      <c r="N2057" t="s">
        <v>29</v>
      </c>
      <c r="O2057" s="2">
        <v>457.92</v>
      </c>
      <c r="P2057" s="2">
        <v>430.38</v>
      </c>
      <c r="Q2057" s="2">
        <v>27.54</v>
      </c>
      <c r="R2057">
        <v>1</v>
      </c>
      <c r="S2057">
        <v>0</v>
      </c>
      <c r="T2057">
        <v>5</v>
      </c>
      <c r="U2057">
        <v>4</v>
      </c>
    </row>
    <row r="2058" spans="1:21" ht="16.5" x14ac:dyDescent="0.3">
      <c r="A2058" t="s">
        <v>2145</v>
      </c>
      <c r="B2058" s="1">
        <v>45612</v>
      </c>
      <c r="C2058">
        <v>2024</v>
      </c>
      <c r="D2058" t="s">
        <v>1738</v>
      </c>
      <c r="E2058" t="s">
        <v>1959</v>
      </c>
      <c r="F2058" t="s">
        <v>24</v>
      </c>
      <c r="G2058" t="s">
        <v>46</v>
      </c>
      <c r="H2058" t="s">
        <v>32</v>
      </c>
      <c r="I2058" t="s">
        <v>42</v>
      </c>
      <c r="J2058" t="s">
        <v>43</v>
      </c>
      <c r="K2058">
        <v>1</v>
      </c>
      <c r="L2058" s="2">
        <v>154.66</v>
      </c>
      <c r="M2058" s="3">
        <v>0.05</v>
      </c>
      <c r="N2058" t="s">
        <v>29</v>
      </c>
      <c r="O2058" s="2">
        <v>146.93</v>
      </c>
      <c r="P2058" s="2">
        <v>102.19</v>
      </c>
      <c r="Q2058" s="2">
        <v>44.74</v>
      </c>
      <c r="R2058">
        <v>1</v>
      </c>
      <c r="S2058">
        <v>0</v>
      </c>
      <c r="T2058">
        <v>7</v>
      </c>
      <c r="U2058">
        <v>3</v>
      </c>
    </row>
    <row r="2059" spans="1:21" ht="16.5" x14ac:dyDescent="0.3">
      <c r="A2059" t="s">
        <v>2146</v>
      </c>
      <c r="B2059" s="1">
        <v>45612</v>
      </c>
      <c r="C2059">
        <v>2024</v>
      </c>
      <c r="D2059" t="s">
        <v>1738</v>
      </c>
      <c r="E2059" t="s">
        <v>1959</v>
      </c>
      <c r="F2059" t="s">
        <v>45</v>
      </c>
      <c r="G2059" t="s">
        <v>25</v>
      </c>
      <c r="H2059" t="s">
        <v>32</v>
      </c>
      <c r="I2059" t="s">
        <v>27</v>
      </c>
      <c r="J2059" t="s">
        <v>47</v>
      </c>
      <c r="K2059">
        <v>1</v>
      </c>
      <c r="L2059" s="2">
        <v>33.99</v>
      </c>
      <c r="M2059" s="3">
        <v>0.3</v>
      </c>
      <c r="N2059" t="s">
        <v>62</v>
      </c>
      <c r="O2059" s="2">
        <v>23.79</v>
      </c>
      <c r="P2059" s="2">
        <v>19</v>
      </c>
      <c r="Q2059" s="2">
        <v>4.79</v>
      </c>
      <c r="R2059">
        <v>1</v>
      </c>
      <c r="S2059">
        <v>0</v>
      </c>
      <c r="T2059">
        <v>5</v>
      </c>
      <c r="U2059">
        <v>5</v>
      </c>
    </row>
    <row r="2060" spans="1:21" ht="16.5" x14ac:dyDescent="0.3">
      <c r="A2060" t="s">
        <v>2147</v>
      </c>
      <c r="B2060" s="1">
        <v>45612</v>
      </c>
      <c r="C2060">
        <v>2024</v>
      </c>
      <c r="D2060" t="s">
        <v>1738</v>
      </c>
      <c r="E2060" t="s">
        <v>1959</v>
      </c>
      <c r="F2060" t="s">
        <v>31</v>
      </c>
      <c r="G2060" t="s">
        <v>25</v>
      </c>
      <c r="H2060" t="s">
        <v>32</v>
      </c>
      <c r="I2060" t="s">
        <v>36</v>
      </c>
      <c r="J2060" t="s">
        <v>115</v>
      </c>
      <c r="K2060">
        <v>1</v>
      </c>
      <c r="L2060" s="2">
        <v>33.479999999999997</v>
      </c>
      <c r="M2060" s="3">
        <v>0.15</v>
      </c>
      <c r="N2060" t="s">
        <v>34</v>
      </c>
      <c r="O2060" s="2">
        <v>28.46</v>
      </c>
      <c r="P2060" s="2">
        <v>16.16</v>
      </c>
      <c r="Q2060" s="2">
        <v>12.3</v>
      </c>
      <c r="R2060">
        <v>1</v>
      </c>
      <c r="S2060">
        <v>0</v>
      </c>
      <c r="T2060">
        <v>4</v>
      </c>
      <c r="U2060">
        <v>5</v>
      </c>
    </row>
    <row r="2061" spans="1:21" ht="16.5" x14ac:dyDescent="0.3">
      <c r="A2061" t="s">
        <v>2148</v>
      </c>
      <c r="B2061" s="1">
        <v>45613</v>
      </c>
      <c r="C2061">
        <v>2024</v>
      </c>
      <c r="D2061" t="s">
        <v>1738</v>
      </c>
      <c r="E2061" t="s">
        <v>1959</v>
      </c>
      <c r="F2061" t="s">
        <v>31</v>
      </c>
      <c r="G2061" t="s">
        <v>49</v>
      </c>
      <c r="H2061" t="s">
        <v>32</v>
      </c>
      <c r="I2061" t="s">
        <v>70</v>
      </c>
      <c r="J2061" t="s">
        <v>252</v>
      </c>
      <c r="K2061">
        <v>2</v>
      </c>
      <c r="L2061" s="2">
        <v>216.08</v>
      </c>
      <c r="M2061" s="3">
        <v>0.25</v>
      </c>
      <c r="N2061" t="s">
        <v>62</v>
      </c>
      <c r="O2061" s="2">
        <v>324.12</v>
      </c>
      <c r="P2061" s="2">
        <v>328.02</v>
      </c>
      <c r="Q2061" s="2">
        <v>-3.9</v>
      </c>
      <c r="R2061">
        <v>1</v>
      </c>
      <c r="S2061">
        <v>1</v>
      </c>
      <c r="T2061">
        <v>6</v>
      </c>
      <c r="U2061">
        <v>3</v>
      </c>
    </row>
    <row r="2062" spans="1:21" ht="16.5" x14ac:dyDescent="0.3">
      <c r="A2062" t="s">
        <v>2149</v>
      </c>
      <c r="B2062" s="1">
        <v>45613</v>
      </c>
      <c r="C2062">
        <v>2024</v>
      </c>
      <c r="D2062" t="s">
        <v>1738</v>
      </c>
      <c r="E2062" t="s">
        <v>1959</v>
      </c>
      <c r="F2062" t="s">
        <v>45</v>
      </c>
      <c r="G2062" t="s">
        <v>25</v>
      </c>
      <c r="H2062" t="s">
        <v>26</v>
      </c>
      <c r="I2062" t="s">
        <v>27</v>
      </c>
      <c r="J2062" t="s">
        <v>60</v>
      </c>
      <c r="K2062">
        <v>1</v>
      </c>
      <c r="L2062" s="2">
        <v>94.85</v>
      </c>
      <c r="M2062" s="3">
        <v>0.2</v>
      </c>
      <c r="N2062" t="s">
        <v>34</v>
      </c>
      <c r="O2062" s="2">
        <v>75.88</v>
      </c>
      <c r="P2062" s="2">
        <v>52.8</v>
      </c>
      <c r="Q2062" s="2">
        <v>23.08</v>
      </c>
      <c r="R2062">
        <v>1</v>
      </c>
      <c r="S2062">
        <v>0</v>
      </c>
      <c r="T2062">
        <v>5</v>
      </c>
      <c r="U2062">
        <v>4</v>
      </c>
    </row>
    <row r="2063" spans="1:21" ht="16.5" x14ac:dyDescent="0.3">
      <c r="A2063" t="s">
        <v>2150</v>
      </c>
      <c r="B2063" s="1">
        <v>45613</v>
      </c>
      <c r="C2063">
        <v>2024</v>
      </c>
      <c r="D2063" t="s">
        <v>1738</v>
      </c>
      <c r="E2063" t="s">
        <v>1959</v>
      </c>
      <c r="F2063" t="s">
        <v>31</v>
      </c>
      <c r="G2063" t="s">
        <v>51</v>
      </c>
      <c r="H2063" t="s">
        <v>32</v>
      </c>
      <c r="I2063" t="s">
        <v>27</v>
      </c>
      <c r="J2063" t="s">
        <v>33</v>
      </c>
      <c r="K2063">
        <v>2</v>
      </c>
      <c r="L2063" s="2">
        <v>78.510000000000005</v>
      </c>
      <c r="M2063" s="3">
        <v>0.15</v>
      </c>
      <c r="N2063" t="s">
        <v>34</v>
      </c>
      <c r="O2063" s="2">
        <v>133.47</v>
      </c>
      <c r="P2063" s="2">
        <v>82.79</v>
      </c>
      <c r="Q2063" s="2">
        <v>50.68</v>
      </c>
      <c r="R2063">
        <v>1</v>
      </c>
      <c r="S2063">
        <v>0</v>
      </c>
      <c r="T2063">
        <v>4</v>
      </c>
      <c r="U2063">
        <v>5</v>
      </c>
    </row>
    <row r="2064" spans="1:21" ht="16.5" x14ac:dyDescent="0.3">
      <c r="A2064" t="s">
        <v>2151</v>
      </c>
      <c r="B2064" s="1">
        <v>45613</v>
      </c>
      <c r="C2064">
        <v>2024</v>
      </c>
      <c r="D2064" t="s">
        <v>1738</v>
      </c>
      <c r="E2064" t="s">
        <v>1959</v>
      </c>
      <c r="F2064" t="s">
        <v>31</v>
      </c>
      <c r="G2064" t="s">
        <v>49</v>
      </c>
      <c r="H2064" t="s">
        <v>26</v>
      </c>
      <c r="I2064" t="s">
        <v>67</v>
      </c>
      <c r="J2064" t="s">
        <v>78</v>
      </c>
      <c r="K2064">
        <v>1</v>
      </c>
      <c r="L2064" s="2">
        <v>85.42</v>
      </c>
      <c r="M2064" s="3">
        <v>0.15</v>
      </c>
      <c r="N2064" t="s">
        <v>34</v>
      </c>
      <c r="O2064" s="2">
        <v>72.61</v>
      </c>
      <c r="P2064" s="2">
        <v>58.91</v>
      </c>
      <c r="Q2064" s="2">
        <v>13.7</v>
      </c>
      <c r="R2064">
        <v>1</v>
      </c>
      <c r="S2064">
        <v>1</v>
      </c>
      <c r="T2064">
        <v>5</v>
      </c>
      <c r="U2064">
        <v>4</v>
      </c>
    </row>
    <row r="2065" spans="1:21" ht="16.5" x14ac:dyDescent="0.3">
      <c r="A2065" t="s">
        <v>2152</v>
      </c>
      <c r="B2065" s="1">
        <v>45613</v>
      </c>
      <c r="C2065">
        <v>2024</v>
      </c>
      <c r="D2065" t="s">
        <v>1738</v>
      </c>
      <c r="E2065" t="s">
        <v>1959</v>
      </c>
      <c r="F2065" t="s">
        <v>45</v>
      </c>
      <c r="G2065" t="s">
        <v>46</v>
      </c>
      <c r="H2065" t="s">
        <v>26</v>
      </c>
      <c r="I2065" t="s">
        <v>36</v>
      </c>
      <c r="J2065" t="s">
        <v>115</v>
      </c>
      <c r="K2065">
        <v>1</v>
      </c>
      <c r="L2065" s="2">
        <v>33.479999999999997</v>
      </c>
      <c r="M2065" s="3">
        <v>0.05</v>
      </c>
      <c r="N2065" t="s">
        <v>29</v>
      </c>
      <c r="O2065" s="2">
        <v>31.81</v>
      </c>
      <c r="P2065" s="2">
        <v>15.87</v>
      </c>
      <c r="Q2065" s="2">
        <v>15.94</v>
      </c>
      <c r="R2065">
        <v>1</v>
      </c>
      <c r="S2065">
        <v>0</v>
      </c>
      <c r="T2065">
        <v>8</v>
      </c>
      <c r="U2065">
        <v>3</v>
      </c>
    </row>
    <row r="2066" spans="1:21" ht="16.5" x14ac:dyDescent="0.3">
      <c r="A2066" t="s">
        <v>2153</v>
      </c>
      <c r="B2066" s="1">
        <v>45613</v>
      </c>
      <c r="C2066">
        <v>2024</v>
      </c>
      <c r="D2066" t="s">
        <v>1738</v>
      </c>
      <c r="E2066" t="s">
        <v>1959</v>
      </c>
      <c r="F2066" t="s">
        <v>24</v>
      </c>
      <c r="G2066" t="s">
        <v>51</v>
      </c>
      <c r="H2066" t="s">
        <v>32</v>
      </c>
      <c r="I2066" t="s">
        <v>42</v>
      </c>
      <c r="J2066" t="s">
        <v>76</v>
      </c>
      <c r="K2066">
        <v>1</v>
      </c>
      <c r="L2066" s="2">
        <v>90.75</v>
      </c>
      <c r="M2066" s="3">
        <v>0.25</v>
      </c>
      <c r="N2066" t="s">
        <v>62</v>
      </c>
      <c r="O2066" s="2">
        <v>68.06</v>
      </c>
      <c r="P2066" s="2">
        <v>61.57</v>
      </c>
      <c r="Q2066" s="2">
        <v>6.49</v>
      </c>
      <c r="R2066">
        <v>1</v>
      </c>
      <c r="S2066">
        <v>0</v>
      </c>
      <c r="T2066">
        <v>4</v>
      </c>
      <c r="U2066">
        <v>5</v>
      </c>
    </row>
    <row r="2067" spans="1:21" ht="16.5" x14ac:dyDescent="0.3">
      <c r="A2067" t="s">
        <v>2154</v>
      </c>
      <c r="B2067" s="1">
        <v>45613</v>
      </c>
      <c r="C2067">
        <v>2024</v>
      </c>
      <c r="D2067" t="s">
        <v>1738</v>
      </c>
      <c r="E2067" t="s">
        <v>1959</v>
      </c>
      <c r="F2067" t="s">
        <v>31</v>
      </c>
      <c r="G2067" t="s">
        <v>49</v>
      </c>
      <c r="H2067" t="s">
        <v>32</v>
      </c>
      <c r="I2067" t="s">
        <v>27</v>
      </c>
      <c r="J2067" t="s">
        <v>28</v>
      </c>
      <c r="K2067">
        <v>3</v>
      </c>
      <c r="L2067" s="2">
        <v>138.5</v>
      </c>
      <c r="M2067" s="3">
        <v>0.05</v>
      </c>
      <c r="N2067" t="s">
        <v>29</v>
      </c>
      <c r="O2067" s="2">
        <v>394.72</v>
      </c>
      <c r="P2067" s="2">
        <v>227.08</v>
      </c>
      <c r="Q2067" s="2">
        <v>167.64</v>
      </c>
      <c r="R2067">
        <v>1</v>
      </c>
      <c r="S2067">
        <v>0</v>
      </c>
      <c r="T2067">
        <v>4</v>
      </c>
      <c r="U2067">
        <v>5</v>
      </c>
    </row>
    <row r="2068" spans="1:21" ht="16.5" x14ac:dyDescent="0.3">
      <c r="A2068" t="s">
        <v>2155</v>
      </c>
      <c r="B2068" s="1">
        <v>45613</v>
      </c>
      <c r="C2068">
        <v>2024</v>
      </c>
      <c r="D2068" t="s">
        <v>1738</v>
      </c>
      <c r="E2068" t="s">
        <v>1959</v>
      </c>
      <c r="F2068" t="s">
        <v>45</v>
      </c>
      <c r="G2068" t="s">
        <v>46</v>
      </c>
      <c r="H2068" t="s">
        <v>26</v>
      </c>
      <c r="I2068" t="s">
        <v>36</v>
      </c>
      <c r="J2068" t="s">
        <v>37</v>
      </c>
      <c r="K2068">
        <v>2</v>
      </c>
      <c r="L2068" s="2">
        <v>33.18</v>
      </c>
      <c r="M2068" s="3">
        <v>0.15</v>
      </c>
      <c r="N2068" t="s">
        <v>34</v>
      </c>
      <c r="O2068" s="2">
        <v>56.41</v>
      </c>
      <c r="P2068" s="2">
        <v>31.17</v>
      </c>
      <c r="Q2068" s="2">
        <v>25.24</v>
      </c>
      <c r="R2068">
        <v>1</v>
      </c>
      <c r="S2068">
        <v>0</v>
      </c>
      <c r="T2068">
        <v>8</v>
      </c>
      <c r="U2068">
        <v>3</v>
      </c>
    </row>
    <row r="2069" spans="1:21" ht="16.5" x14ac:dyDescent="0.3">
      <c r="A2069" t="s">
        <v>2156</v>
      </c>
      <c r="B2069" s="1">
        <v>45613</v>
      </c>
      <c r="C2069">
        <v>2024</v>
      </c>
      <c r="D2069" t="s">
        <v>1738</v>
      </c>
      <c r="E2069" t="s">
        <v>1959</v>
      </c>
      <c r="F2069" t="s">
        <v>31</v>
      </c>
      <c r="G2069" t="s">
        <v>51</v>
      </c>
      <c r="H2069" t="s">
        <v>32</v>
      </c>
      <c r="I2069" t="s">
        <v>70</v>
      </c>
      <c r="J2069" t="s">
        <v>252</v>
      </c>
      <c r="K2069">
        <v>1</v>
      </c>
      <c r="L2069" s="2">
        <v>216.08</v>
      </c>
      <c r="M2069" s="3">
        <v>0.15</v>
      </c>
      <c r="N2069" t="s">
        <v>34</v>
      </c>
      <c r="O2069" s="2">
        <v>183.67</v>
      </c>
      <c r="P2069" s="2">
        <v>173.26</v>
      </c>
      <c r="Q2069" s="2">
        <v>10.41</v>
      </c>
      <c r="R2069">
        <v>1</v>
      </c>
      <c r="S2069">
        <v>0</v>
      </c>
      <c r="T2069">
        <v>3</v>
      </c>
      <c r="U2069">
        <v>4</v>
      </c>
    </row>
    <row r="2070" spans="1:21" ht="16.5" x14ac:dyDescent="0.3">
      <c r="A2070" t="s">
        <v>2157</v>
      </c>
      <c r="B2070" s="1">
        <v>45613</v>
      </c>
      <c r="C2070">
        <v>2024</v>
      </c>
      <c r="D2070" t="s">
        <v>1738</v>
      </c>
      <c r="E2070" t="s">
        <v>1959</v>
      </c>
      <c r="F2070" t="s">
        <v>24</v>
      </c>
      <c r="G2070" t="s">
        <v>65</v>
      </c>
      <c r="H2070" t="s">
        <v>26</v>
      </c>
      <c r="I2070" t="s">
        <v>27</v>
      </c>
      <c r="J2070" t="s">
        <v>40</v>
      </c>
      <c r="K2070">
        <v>1</v>
      </c>
      <c r="L2070" s="2">
        <v>104.94</v>
      </c>
      <c r="M2070" s="3">
        <v>0.25</v>
      </c>
      <c r="N2070" t="s">
        <v>62</v>
      </c>
      <c r="O2070" s="2">
        <v>78.7</v>
      </c>
      <c r="P2070" s="2">
        <v>55.5</v>
      </c>
      <c r="Q2070" s="2">
        <v>23.2</v>
      </c>
      <c r="R2070">
        <v>1</v>
      </c>
      <c r="S2070">
        <v>0</v>
      </c>
      <c r="T2070">
        <v>6</v>
      </c>
      <c r="U2070">
        <v>3</v>
      </c>
    </row>
    <row r="2071" spans="1:21" ht="16.5" x14ac:dyDescent="0.3">
      <c r="A2071" t="s">
        <v>2158</v>
      </c>
      <c r="B2071" s="1">
        <v>45613</v>
      </c>
      <c r="C2071">
        <v>2024</v>
      </c>
      <c r="D2071" t="s">
        <v>1738</v>
      </c>
      <c r="E2071" t="s">
        <v>1959</v>
      </c>
      <c r="F2071" t="s">
        <v>31</v>
      </c>
      <c r="G2071" t="s">
        <v>51</v>
      </c>
      <c r="H2071" t="s">
        <v>26</v>
      </c>
      <c r="I2071" t="s">
        <v>27</v>
      </c>
      <c r="J2071" t="s">
        <v>110</v>
      </c>
      <c r="K2071">
        <v>1</v>
      </c>
      <c r="L2071" s="2">
        <v>19.41</v>
      </c>
      <c r="M2071" s="3">
        <v>0.15</v>
      </c>
      <c r="N2071" t="s">
        <v>34</v>
      </c>
      <c r="O2071" s="2">
        <v>16.5</v>
      </c>
      <c r="P2071" s="2">
        <v>10.75</v>
      </c>
      <c r="Q2071" s="2">
        <v>5.75</v>
      </c>
      <c r="R2071">
        <v>1</v>
      </c>
      <c r="S2071">
        <v>0</v>
      </c>
      <c r="T2071">
        <v>6</v>
      </c>
      <c r="U2071">
        <v>3</v>
      </c>
    </row>
    <row r="2072" spans="1:21" ht="16.5" x14ac:dyDescent="0.3">
      <c r="A2072" t="s">
        <v>2159</v>
      </c>
      <c r="B2072" s="1">
        <v>45613</v>
      </c>
      <c r="C2072">
        <v>2024</v>
      </c>
      <c r="D2072" t="s">
        <v>1738</v>
      </c>
      <c r="E2072" t="s">
        <v>1959</v>
      </c>
      <c r="F2072" t="s">
        <v>45</v>
      </c>
      <c r="G2072" t="s">
        <v>49</v>
      </c>
      <c r="H2072" t="s">
        <v>32</v>
      </c>
      <c r="I2072" t="s">
        <v>84</v>
      </c>
      <c r="J2072" t="s">
        <v>96</v>
      </c>
      <c r="K2072">
        <v>1</v>
      </c>
      <c r="L2072" s="2">
        <v>10.76</v>
      </c>
      <c r="M2072" s="3">
        <v>0.2</v>
      </c>
      <c r="N2072" t="s">
        <v>34</v>
      </c>
      <c r="O2072" s="2">
        <v>8.61</v>
      </c>
      <c r="P2072" s="2">
        <v>7.93</v>
      </c>
      <c r="Q2072" s="2">
        <v>0.68</v>
      </c>
      <c r="R2072">
        <v>1</v>
      </c>
      <c r="S2072">
        <v>0</v>
      </c>
      <c r="T2072">
        <v>5</v>
      </c>
      <c r="U2072">
        <v>5</v>
      </c>
    </row>
    <row r="2073" spans="1:21" ht="16.5" x14ac:dyDescent="0.3">
      <c r="A2073" t="s">
        <v>2160</v>
      </c>
      <c r="B2073" s="1">
        <v>45613</v>
      </c>
      <c r="C2073">
        <v>2024</v>
      </c>
      <c r="D2073" t="s">
        <v>1738</v>
      </c>
      <c r="E2073" t="s">
        <v>1959</v>
      </c>
      <c r="F2073" t="s">
        <v>45</v>
      </c>
      <c r="G2073" t="s">
        <v>25</v>
      </c>
      <c r="H2073" t="s">
        <v>32</v>
      </c>
      <c r="I2073" t="s">
        <v>67</v>
      </c>
      <c r="J2073" t="s">
        <v>174</v>
      </c>
      <c r="K2073">
        <v>1</v>
      </c>
      <c r="L2073" s="2">
        <v>137.05000000000001</v>
      </c>
      <c r="M2073" s="3">
        <v>0.15</v>
      </c>
      <c r="N2073" t="s">
        <v>34</v>
      </c>
      <c r="O2073" s="2">
        <v>116.49</v>
      </c>
      <c r="P2073" s="2">
        <v>98.15</v>
      </c>
      <c r="Q2073" s="2">
        <v>18.34</v>
      </c>
      <c r="R2073">
        <v>1</v>
      </c>
      <c r="S2073">
        <v>0</v>
      </c>
      <c r="T2073">
        <v>4</v>
      </c>
      <c r="U2073">
        <v>5</v>
      </c>
    </row>
    <row r="2074" spans="1:21" ht="16.5" x14ac:dyDescent="0.3">
      <c r="A2074" t="s">
        <v>2161</v>
      </c>
      <c r="B2074" s="1">
        <v>45614</v>
      </c>
      <c r="C2074">
        <v>2024</v>
      </c>
      <c r="D2074" t="s">
        <v>1738</v>
      </c>
      <c r="E2074" t="s">
        <v>1959</v>
      </c>
      <c r="F2074" t="s">
        <v>31</v>
      </c>
      <c r="G2074" t="s">
        <v>25</v>
      </c>
      <c r="H2074" t="s">
        <v>32</v>
      </c>
      <c r="I2074" t="s">
        <v>27</v>
      </c>
      <c r="J2074" t="s">
        <v>33</v>
      </c>
      <c r="K2074">
        <v>2</v>
      </c>
      <c r="L2074" s="2">
        <v>78.510000000000005</v>
      </c>
      <c r="M2074" s="3">
        <v>0.25</v>
      </c>
      <c r="N2074" t="s">
        <v>62</v>
      </c>
      <c r="O2074" s="2">
        <v>117.77</v>
      </c>
      <c r="P2074" s="2">
        <v>82.01</v>
      </c>
      <c r="Q2074" s="2">
        <v>35.76</v>
      </c>
      <c r="R2074">
        <v>1</v>
      </c>
      <c r="S2074">
        <v>1</v>
      </c>
      <c r="T2074">
        <v>8</v>
      </c>
      <c r="U2074">
        <v>4</v>
      </c>
    </row>
    <row r="2075" spans="1:21" ht="16.5" x14ac:dyDescent="0.3">
      <c r="A2075" t="s">
        <v>2162</v>
      </c>
      <c r="B2075" s="1">
        <v>45614</v>
      </c>
      <c r="C2075">
        <v>2024</v>
      </c>
      <c r="D2075" t="s">
        <v>1738</v>
      </c>
      <c r="E2075" t="s">
        <v>1959</v>
      </c>
      <c r="F2075" t="s">
        <v>45</v>
      </c>
      <c r="G2075" t="s">
        <v>46</v>
      </c>
      <c r="H2075" t="s">
        <v>32</v>
      </c>
      <c r="I2075" t="s">
        <v>67</v>
      </c>
      <c r="J2075" t="s">
        <v>78</v>
      </c>
      <c r="K2075">
        <v>1</v>
      </c>
      <c r="L2075" s="2">
        <v>85.42</v>
      </c>
      <c r="M2075" s="3">
        <v>0.05</v>
      </c>
      <c r="N2075" t="s">
        <v>29</v>
      </c>
      <c r="O2075" s="2">
        <v>81.150000000000006</v>
      </c>
      <c r="P2075" s="2">
        <v>56.5</v>
      </c>
      <c r="Q2075" s="2">
        <v>24.65</v>
      </c>
      <c r="R2075">
        <v>1</v>
      </c>
      <c r="S2075">
        <v>0</v>
      </c>
      <c r="T2075">
        <v>6</v>
      </c>
      <c r="U2075">
        <v>3</v>
      </c>
    </row>
    <row r="2076" spans="1:21" ht="16.5" x14ac:dyDescent="0.3">
      <c r="A2076" t="s">
        <v>2163</v>
      </c>
      <c r="B2076" s="1">
        <v>45614</v>
      </c>
      <c r="C2076">
        <v>2024</v>
      </c>
      <c r="D2076" t="s">
        <v>1738</v>
      </c>
      <c r="E2076" t="s">
        <v>1959</v>
      </c>
      <c r="F2076" t="s">
        <v>24</v>
      </c>
      <c r="G2076" t="s">
        <v>49</v>
      </c>
      <c r="H2076" t="s">
        <v>32</v>
      </c>
      <c r="I2076" t="s">
        <v>27</v>
      </c>
      <c r="J2076" t="s">
        <v>110</v>
      </c>
      <c r="K2076">
        <v>1</v>
      </c>
      <c r="L2076" s="2">
        <v>19.41</v>
      </c>
      <c r="M2076" s="3">
        <v>0.15</v>
      </c>
      <c r="N2076" t="s">
        <v>34</v>
      </c>
      <c r="O2076" s="2">
        <v>16.5</v>
      </c>
      <c r="P2076" s="2">
        <v>10.53</v>
      </c>
      <c r="Q2076" s="2">
        <v>5.97</v>
      </c>
      <c r="R2076">
        <v>1</v>
      </c>
      <c r="S2076">
        <v>0</v>
      </c>
      <c r="T2076">
        <v>4</v>
      </c>
      <c r="U2076">
        <v>5</v>
      </c>
    </row>
    <row r="2077" spans="1:21" ht="16.5" x14ac:dyDescent="0.3">
      <c r="A2077" t="s">
        <v>2164</v>
      </c>
      <c r="B2077" s="1">
        <v>45614</v>
      </c>
      <c r="C2077">
        <v>2024</v>
      </c>
      <c r="D2077" t="s">
        <v>1738</v>
      </c>
      <c r="E2077" t="s">
        <v>1959</v>
      </c>
      <c r="F2077" t="s">
        <v>24</v>
      </c>
      <c r="G2077" t="s">
        <v>65</v>
      </c>
      <c r="H2077" t="s">
        <v>26</v>
      </c>
      <c r="I2077" t="s">
        <v>27</v>
      </c>
      <c r="J2077" t="s">
        <v>28</v>
      </c>
      <c r="K2077">
        <v>2</v>
      </c>
      <c r="L2077" s="2">
        <v>138.5</v>
      </c>
      <c r="M2077" s="3">
        <v>0</v>
      </c>
      <c r="N2077" t="s">
        <v>38</v>
      </c>
      <c r="O2077" s="2">
        <v>277</v>
      </c>
      <c r="P2077" s="2">
        <v>149</v>
      </c>
      <c r="Q2077" s="2">
        <v>128</v>
      </c>
      <c r="R2077">
        <v>1</v>
      </c>
      <c r="S2077">
        <v>0</v>
      </c>
      <c r="T2077">
        <v>7</v>
      </c>
      <c r="U2077">
        <v>3</v>
      </c>
    </row>
    <row r="2078" spans="1:21" ht="16.5" x14ac:dyDescent="0.3">
      <c r="A2078" t="s">
        <v>2165</v>
      </c>
      <c r="B2078" s="1">
        <v>45614</v>
      </c>
      <c r="C2078">
        <v>2024</v>
      </c>
      <c r="D2078" t="s">
        <v>1738</v>
      </c>
      <c r="E2078" t="s">
        <v>1959</v>
      </c>
      <c r="F2078" t="s">
        <v>24</v>
      </c>
      <c r="G2078" t="s">
        <v>65</v>
      </c>
      <c r="H2078" t="s">
        <v>32</v>
      </c>
      <c r="I2078" t="s">
        <v>70</v>
      </c>
      <c r="J2078" t="s">
        <v>82</v>
      </c>
      <c r="K2078">
        <v>1</v>
      </c>
      <c r="L2078" s="2">
        <v>508.8</v>
      </c>
      <c r="M2078" s="3">
        <v>0.2</v>
      </c>
      <c r="N2078" t="s">
        <v>34</v>
      </c>
      <c r="O2078" s="2">
        <v>407.04</v>
      </c>
      <c r="P2078" s="2">
        <v>419.41</v>
      </c>
      <c r="Q2078" s="2">
        <v>-12.37</v>
      </c>
      <c r="R2078">
        <v>1</v>
      </c>
      <c r="S2078">
        <v>0</v>
      </c>
      <c r="T2078">
        <v>6</v>
      </c>
      <c r="U2078">
        <v>3</v>
      </c>
    </row>
    <row r="2079" spans="1:21" ht="16.5" x14ac:dyDescent="0.3">
      <c r="A2079" t="s">
        <v>2166</v>
      </c>
      <c r="B2079" s="1">
        <v>45614</v>
      </c>
      <c r="C2079">
        <v>2024</v>
      </c>
      <c r="D2079" t="s">
        <v>1738</v>
      </c>
      <c r="E2079" t="s">
        <v>1959</v>
      </c>
      <c r="F2079" t="s">
        <v>31</v>
      </c>
      <c r="G2079" t="s">
        <v>25</v>
      </c>
      <c r="H2079" t="s">
        <v>32</v>
      </c>
      <c r="I2079" t="s">
        <v>36</v>
      </c>
      <c r="J2079" t="s">
        <v>37</v>
      </c>
      <c r="K2079">
        <v>1</v>
      </c>
      <c r="L2079" s="2">
        <v>33.18</v>
      </c>
      <c r="M2079" s="3">
        <v>0.2</v>
      </c>
      <c r="N2079" t="s">
        <v>34</v>
      </c>
      <c r="O2079" s="2">
        <v>26.54</v>
      </c>
      <c r="P2079" s="2">
        <v>16.3</v>
      </c>
      <c r="Q2079" s="2">
        <v>10.24</v>
      </c>
      <c r="R2079">
        <v>1</v>
      </c>
      <c r="S2079">
        <v>0</v>
      </c>
      <c r="T2079">
        <v>4</v>
      </c>
      <c r="U2079">
        <v>4</v>
      </c>
    </row>
    <row r="2080" spans="1:21" ht="16.5" x14ac:dyDescent="0.3">
      <c r="A2080" t="s">
        <v>2167</v>
      </c>
      <c r="B2080" s="1">
        <v>45614</v>
      </c>
      <c r="C2080">
        <v>2024</v>
      </c>
      <c r="D2080" t="s">
        <v>1738</v>
      </c>
      <c r="E2080" t="s">
        <v>1959</v>
      </c>
      <c r="F2080" t="s">
        <v>24</v>
      </c>
      <c r="G2080" t="s">
        <v>51</v>
      </c>
      <c r="H2080" t="s">
        <v>26</v>
      </c>
      <c r="I2080" t="s">
        <v>36</v>
      </c>
      <c r="J2080" t="s">
        <v>56</v>
      </c>
      <c r="K2080">
        <v>2</v>
      </c>
      <c r="L2080" s="2">
        <v>74.3</v>
      </c>
      <c r="M2080" s="3">
        <v>0.05</v>
      </c>
      <c r="N2080" t="s">
        <v>29</v>
      </c>
      <c r="O2080" s="2">
        <v>141.16999999999999</v>
      </c>
      <c r="P2080" s="2">
        <v>71.900000000000006</v>
      </c>
      <c r="Q2080" s="2">
        <v>69.27</v>
      </c>
      <c r="R2080">
        <v>1</v>
      </c>
      <c r="S2080">
        <v>0</v>
      </c>
      <c r="T2080">
        <v>3</v>
      </c>
      <c r="U2080">
        <v>5</v>
      </c>
    </row>
    <row r="2081" spans="1:21" ht="16.5" x14ac:dyDescent="0.3">
      <c r="A2081" t="s">
        <v>2168</v>
      </c>
      <c r="B2081" s="1">
        <v>45614</v>
      </c>
      <c r="C2081">
        <v>2024</v>
      </c>
      <c r="D2081" t="s">
        <v>1738</v>
      </c>
      <c r="E2081" t="s">
        <v>1959</v>
      </c>
      <c r="F2081" t="s">
        <v>24</v>
      </c>
      <c r="G2081" t="s">
        <v>49</v>
      </c>
      <c r="H2081" t="s">
        <v>32</v>
      </c>
      <c r="I2081" t="s">
        <v>84</v>
      </c>
      <c r="J2081" t="s">
        <v>96</v>
      </c>
      <c r="K2081">
        <v>1</v>
      </c>
      <c r="L2081" s="2">
        <v>10.76</v>
      </c>
      <c r="M2081" s="3">
        <v>0.2</v>
      </c>
      <c r="N2081" t="s">
        <v>34</v>
      </c>
      <c r="O2081" s="2">
        <v>8.61</v>
      </c>
      <c r="P2081" s="2">
        <v>8.0500000000000007</v>
      </c>
      <c r="Q2081" s="2">
        <v>0.56000000000000005</v>
      </c>
      <c r="R2081">
        <v>1</v>
      </c>
      <c r="S2081">
        <v>0</v>
      </c>
      <c r="T2081">
        <v>4</v>
      </c>
      <c r="U2081">
        <v>4</v>
      </c>
    </row>
    <row r="2082" spans="1:21" ht="16.5" x14ac:dyDescent="0.3">
      <c r="A2082" t="s">
        <v>2169</v>
      </c>
      <c r="B2082" s="1">
        <v>45614</v>
      </c>
      <c r="C2082">
        <v>2024</v>
      </c>
      <c r="D2082" t="s">
        <v>1738</v>
      </c>
      <c r="E2082" t="s">
        <v>1959</v>
      </c>
      <c r="F2082" t="s">
        <v>24</v>
      </c>
      <c r="G2082" t="s">
        <v>25</v>
      </c>
      <c r="H2082" t="s">
        <v>26</v>
      </c>
      <c r="I2082" t="s">
        <v>70</v>
      </c>
      <c r="J2082" t="s">
        <v>162</v>
      </c>
      <c r="K2082">
        <v>2</v>
      </c>
      <c r="L2082" s="2">
        <v>636.09</v>
      </c>
      <c r="M2082" s="3">
        <v>0.25</v>
      </c>
      <c r="N2082" t="s">
        <v>62</v>
      </c>
      <c r="O2082" s="2">
        <v>954.14</v>
      </c>
      <c r="P2082" s="2">
        <v>1046.8399999999999</v>
      </c>
      <c r="Q2082" s="2">
        <v>-92.7</v>
      </c>
      <c r="R2082">
        <v>1</v>
      </c>
      <c r="S2082">
        <v>0</v>
      </c>
      <c r="T2082">
        <v>5</v>
      </c>
      <c r="U2082">
        <v>5</v>
      </c>
    </row>
    <row r="2083" spans="1:21" ht="16.5" x14ac:dyDescent="0.3">
      <c r="A2083" t="s">
        <v>2170</v>
      </c>
      <c r="B2083" s="1">
        <v>45614</v>
      </c>
      <c r="C2083">
        <v>2024</v>
      </c>
      <c r="D2083" t="s">
        <v>1738</v>
      </c>
      <c r="E2083" t="s">
        <v>1959</v>
      </c>
      <c r="F2083" t="s">
        <v>31</v>
      </c>
      <c r="G2083" t="s">
        <v>51</v>
      </c>
      <c r="H2083" t="s">
        <v>26</v>
      </c>
      <c r="I2083" t="s">
        <v>70</v>
      </c>
      <c r="J2083" t="s">
        <v>87</v>
      </c>
      <c r="K2083">
        <v>1</v>
      </c>
      <c r="L2083" s="2">
        <v>490.3</v>
      </c>
      <c r="M2083" s="3">
        <v>0.3</v>
      </c>
      <c r="N2083" t="s">
        <v>62</v>
      </c>
      <c r="O2083" s="2">
        <v>343.21</v>
      </c>
      <c r="P2083" s="2">
        <v>391.77</v>
      </c>
      <c r="Q2083" s="2">
        <v>-48.56</v>
      </c>
      <c r="R2083">
        <v>1</v>
      </c>
      <c r="S2083">
        <v>0</v>
      </c>
      <c r="T2083">
        <v>3</v>
      </c>
      <c r="U2083">
        <v>4</v>
      </c>
    </row>
    <row r="2084" spans="1:21" ht="16.5" x14ac:dyDescent="0.3">
      <c r="A2084" t="s">
        <v>2171</v>
      </c>
      <c r="B2084" s="1">
        <v>45614</v>
      </c>
      <c r="C2084">
        <v>2024</v>
      </c>
      <c r="D2084" t="s">
        <v>1738</v>
      </c>
      <c r="E2084" t="s">
        <v>1959</v>
      </c>
      <c r="F2084" t="s">
        <v>31</v>
      </c>
      <c r="G2084" t="s">
        <v>25</v>
      </c>
      <c r="H2084" t="s">
        <v>26</v>
      </c>
      <c r="I2084" t="s">
        <v>67</v>
      </c>
      <c r="J2084" t="s">
        <v>93</v>
      </c>
      <c r="K2084">
        <v>3</v>
      </c>
      <c r="L2084" s="2">
        <v>198.42</v>
      </c>
      <c r="M2084" s="3">
        <v>0.1</v>
      </c>
      <c r="N2084" t="s">
        <v>29</v>
      </c>
      <c r="O2084" s="2">
        <v>535.73</v>
      </c>
      <c r="P2084" s="2">
        <v>397.74</v>
      </c>
      <c r="Q2084" s="2">
        <v>137.99</v>
      </c>
      <c r="R2084">
        <v>1</v>
      </c>
      <c r="S2084">
        <v>1</v>
      </c>
      <c r="T2084">
        <v>4</v>
      </c>
      <c r="U2084">
        <v>3</v>
      </c>
    </row>
    <row r="2085" spans="1:21" ht="16.5" x14ac:dyDescent="0.3">
      <c r="A2085" t="s">
        <v>2172</v>
      </c>
      <c r="B2085" s="1">
        <v>45615</v>
      </c>
      <c r="C2085">
        <v>2024</v>
      </c>
      <c r="D2085" t="s">
        <v>1738</v>
      </c>
      <c r="E2085" t="s">
        <v>1959</v>
      </c>
      <c r="F2085" t="s">
        <v>45</v>
      </c>
      <c r="G2085" t="s">
        <v>25</v>
      </c>
      <c r="H2085" t="s">
        <v>32</v>
      </c>
      <c r="I2085" t="s">
        <v>70</v>
      </c>
      <c r="J2085" t="s">
        <v>71</v>
      </c>
      <c r="K2085">
        <v>1</v>
      </c>
      <c r="L2085" s="2">
        <v>588.41</v>
      </c>
      <c r="M2085" s="3">
        <v>0.3</v>
      </c>
      <c r="N2085" t="s">
        <v>62</v>
      </c>
      <c r="O2085" s="2">
        <v>411.89</v>
      </c>
      <c r="P2085" s="2">
        <v>456.77</v>
      </c>
      <c r="Q2085" s="2">
        <v>-44.88</v>
      </c>
      <c r="R2085">
        <v>1</v>
      </c>
      <c r="S2085">
        <v>0</v>
      </c>
      <c r="T2085">
        <v>5</v>
      </c>
      <c r="U2085">
        <v>4</v>
      </c>
    </row>
    <row r="2086" spans="1:21" ht="16.5" x14ac:dyDescent="0.3">
      <c r="A2086" t="s">
        <v>2173</v>
      </c>
      <c r="B2086" s="1">
        <v>45615</v>
      </c>
      <c r="C2086">
        <v>2024</v>
      </c>
      <c r="D2086" t="s">
        <v>1738</v>
      </c>
      <c r="E2086" t="s">
        <v>1959</v>
      </c>
      <c r="F2086" t="s">
        <v>24</v>
      </c>
      <c r="G2086" t="s">
        <v>46</v>
      </c>
      <c r="H2086" t="s">
        <v>26</v>
      </c>
      <c r="I2086" t="s">
        <v>84</v>
      </c>
      <c r="J2086" t="s">
        <v>85</v>
      </c>
      <c r="K2086">
        <v>4</v>
      </c>
      <c r="L2086" s="2">
        <v>57.92</v>
      </c>
      <c r="M2086" s="3">
        <v>0.3</v>
      </c>
      <c r="N2086" t="s">
        <v>62</v>
      </c>
      <c r="O2086" s="2">
        <v>162.18</v>
      </c>
      <c r="P2086" s="2">
        <v>161.55000000000001</v>
      </c>
      <c r="Q2086" s="2">
        <v>0.63</v>
      </c>
      <c r="R2086">
        <v>1</v>
      </c>
      <c r="S2086">
        <v>0</v>
      </c>
      <c r="T2086">
        <v>6</v>
      </c>
      <c r="U2086">
        <v>4</v>
      </c>
    </row>
    <row r="2087" spans="1:21" ht="16.5" x14ac:dyDescent="0.3">
      <c r="A2087" t="s">
        <v>2174</v>
      </c>
      <c r="B2087" s="1">
        <v>45615</v>
      </c>
      <c r="C2087">
        <v>2024</v>
      </c>
      <c r="D2087" t="s">
        <v>1738</v>
      </c>
      <c r="E2087" t="s">
        <v>1959</v>
      </c>
      <c r="F2087" t="s">
        <v>45</v>
      </c>
      <c r="G2087" t="s">
        <v>49</v>
      </c>
      <c r="H2087" t="s">
        <v>32</v>
      </c>
      <c r="I2087" t="s">
        <v>27</v>
      </c>
      <c r="J2087" t="s">
        <v>40</v>
      </c>
      <c r="K2087">
        <v>1</v>
      </c>
      <c r="L2087" s="2">
        <v>104.94</v>
      </c>
      <c r="M2087" s="3">
        <v>0.1</v>
      </c>
      <c r="N2087" t="s">
        <v>29</v>
      </c>
      <c r="O2087" s="2">
        <v>94.45</v>
      </c>
      <c r="P2087" s="2">
        <v>55.61</v>
      </c>
      <c r="Q2087" s="2">
        <v>38.840000000000003</v>
      </c>
      <c r="R2087">
        <v>1</v>
      </c>
      <c r="S2087">
        <v>0</v>
      </c>
      <c r="T2087">
        <v>6</v>
      </c>
      <c r="U2087">
        <v>4</v>
      </c>
    </row>
    <row r="2088" spans="1:21" ht="16.5" x14ac:dyDescent="0.3">
      <c r="A2088" t="s">
        <v>2175</v>
      </c>
      <c r="B2088" s="1">
        <v>45615</v>
      </c>
      <c r="C2088">
        <v>2024</v>
      </c>
      <c r="D2088" t="s">
        <v>1738</v>
      </c>
      <c r="E2088" t="s">
        <v>1959</v>
      </c>
      <c r="F2088" t="s">
        <v>45</v>
      </c>
      <c r="G2088" t="s">
        <v>51</v>
      </c>
      <c r="H2088" t="s">
        <v>26</v>
      </c>
      <c r="I2088" t="s">
        <v>70</v>
      </c>
      <c r="J2088" t="s">
        <v>71</v>
      </c>
      <c r="K2088">
        <v>1</v>
      </c>
      <c r="L2088" s="2">
        <v>588.41</v>
      </c>
      <c r="M2088" s="3">
        <v>0.25</v>
      </c>
      <c r="N2088" t="s">
        <v>62</v>
      </c>
      <c r="O2088" s="2">
        <v>441.31</v>
      </c>
      <c r="P2088" s="2">
        <v>456.91</v>
      </c>
      <c r="Q2088" s="2">
        <v>-15.6</v>
      </c>
      <c r="R2088">
        <v>1</v>
      </c>
      <c r="S2088">
        <v>0</v>
      </c>
      <c r="T2088">
        <v>6</v>
      </c>
      <c r="U2088">
        <v>3</v>
      </c>
    </row>
    <row r="2089" spans="1:21" ht="16.5" x14ac:dyDescent="0.3">
      <c r="A2089" t="s">
        <v>2176</v>
      </c>
      <c r="B2089" s="1">
        <v>45615</v>
      </c>
      <c r="C2089">
        <v>2024</v>
      </c>
      <c r="D2089" t="s">
        <v>1738</v>
      </c>
      <c r="E2089" t="s">
        <v>1959</v>
      </c>
      <c r="F2089" t="s">
        <v>24</v>
      </c>
      <c r="G2089" t="s">
        <v>49</v>
      </c>
      <c r="H2089" t="s">
        <v>32</v>
      </c>
      <c r="I2089" t="s">
        <v>42</v>
      </c>
      <c r="J2089" t="s">
        <v>98</v>
      </c>
      <c r="K2089">
        <v>1</v>
      </c>
      <c r="L2089" s="2">
        <v>117.63</v>
      </c>
      <c r="M2089" s="3">
        <v>0.25</v>
      </c>
      <c r="N2089" t="s">
        <v>62</v>
      </c>
      <c r="O2089" s="2">
        <v>88.22</v>
      </c>
      <c r="P2089" s="2">
        <v>76.099999999999994</v>
      </c>
      <c r="Q2089" s="2">
        <v>12.12</v>
      </c>
      <c r="R2089">
        <v>1</v>
      </c>
      <c r="S2089">
        <v>0</v>
      </c>
      <c r="T2089">
        <v>6</v>
      </c>
      <c r="U2089">
        <v>3</v>
      </c>
    </row>
    <row r="2090" spans="1:21" ht="16.5" x14ac:dyDescent="0.3">
      <c r="A2090" t="s">
        <v>2177</v>
      </c>
      <c r="B2090" s="1">
        <v>45615</v>
      </c>
      <c r="C2090">
        <v>2024</v>
      </c>
      <c r="D2090" t="s">
        <v>1738</v>
      </c>
      <c r="E2090" t="s">
        <v>1959</v>
      </c>
      <c r="F2090" t="s">
        <v>45</v>
      </c>
      <c r="G2090" t="s">
        <v>49</v>
      </c>
      <c r="H2090" t="s">
        <v>32</v>
      </c>
      <c r="I2090" t="s">
        <v>27</v>
      </c>
      <c r="J2090" t="s">
        <v>40</v>
      </c>
      <c r="K2090">
        <v>1</v>
      </c>
      <c r="L2090" s="2">
        <v>104.94</v>
      </c>
      <c r="M2090" s="3">
        <v>0.25</v>
      </c>
      <c r="N2090" t="s">
        <v>62</v>
      </c>
      <c r="O2090" s="2">
        <v>78.7</v>
      </c>
      <c r="P2090" s="2">
        <v>57.36</v>
      </c>
      <c r="Q2090" s="2">
        <v>21.34</v>
      </c>
      <c r="R2090">
        <v>1</v>
      </c>
      <c r="S2090">
        <v>0</v>
      </c>
      <c r="T2090">
        <v>4</v>
      </c>
      <c r="U2090">
        <v>5</v>
      </c>
    </row>
    <row r="2091" spans="1:21" ht="16.5" x14ac:dyDescent="0.3">
      <c r="A2091" t="s">
        <v>2178</v>
      </c>
      <c r="B2091" s="1">
        <v>45615</v>
      </c>
      <c r="C2091">
        <v>2024</v>
      </c>
      <c r="D2091" t="s">
        <v>1738</v>
      </c>
      <c r="E2091" t="s">
        <v>1959</v>
      </c>
      <c r="F2091" t="s">
        <v>24</v>
      </c>
      <c r="G2091" t="s">
        <v>51</v>
      </c>
      <c r="H2091" t="s">
        <v>32</v>
      </c>
      <c r="I2091" t="s">
        <v>36</v>
      </c>
      <c r="J2091" t="s">
        <v>115</v>
      </c>
      <c r="K2091">
        <v>1</v>
      </c>
      <c r="L2091" s="2">
        <v>33.479999999999997</v>
      </c>
      <c r="M2091" s="3">
        <v>0.2</v>
      </c>
      <c r="N2091" t="s">
        <v>34</v>
      </c>
      <c r="O2091" s="2">
        <v>26.78</v>
      </c>
      <c r="P2091" s="2">
        <v>16.02</v>
      </c>
      <c r="Q2091" s="2">
        <v>10.76</v>
      </c>
      <c r="R2091">
        <v>1</v>
      </c>
      <c r="S2091">
        <v>0</v>
      </c>
      <c r="T2091">
        <v>4</v>
      </c>
      <c r="U2091">
        <v>5</v>
      </c>
    </row>
    <row r="2092" spans="1:21" ht="16.5" x14ac:dyDescent="0.3">
      <c r="A2092" t="s">
        <v>2179</v>
      </c>
      <c r="B2092" s="1">
        <v>45615</v>
      </c>
      <c r="C2092">
        <v>2024</v>
      </c>
      <c r="D2092" t="s">
        <v>1738</v>
      </c>
      <c r="E2092" t="s">
        <v>1959</v>
      </c>
      <c r="F2092" t="s">
        <v>24</v>
      </c>
      <c r="G2092" t="s">
        <v>49</v>
      </c>
      <c r="H2092" t="s">
        <v>32</v>
      </c>
      <c r="I2092" t="s">
        <v>67</v>
      </c>
      <c r="J2092" t="s">
        <v>93</v>
      </c>
      <c r="K2092">
        <v>3</v>
      </c>
      <c r="L2092" s="2">
        <v>198.42</v>
      </c>
      <c r="M2092" s="3">
        <v>0.25</v>
      </c>
      <c r="N2092" t="s">
        <v>62</v>
      </c>
      <c r="O2092" s="2">
        <v>446.44</v>
      </c>
      <c r="P2092" s="2">
        <v>404.72</v>
      </c>
      <c r="Q2092" s="2">
        <v>41.72</v>
      </c>
      <c r="R2092">
        <v>1</v>
      </c>
      <c r="S2092">
        <v>0</v>
      </c>
      <c r="T2092">
        <v>4</v>
      </c>
      <c r="U2092">
        <v>5</v>
      </c>
    </row>
    <row r="2093" spans="1:21" ht="16.5" x14ac:dyDescent="0.3">
      <c r="A2093" t="s">
        <v>2180</v>
      </c>
      <c r="B2093" s="1">
        <v>45615</v>
      </c>
      <c r="C2093">
        <v>2024</v>
      </c>
      <c r="D2093" t="s">
        <v>1738</v>
      </c>
      <c r="E2093" t="s">
        <v>1959</v>
      </c>
      <c r="F2093" t="s">
        <v>24</v>
      </c>
      <c r="G2093" t="s">
        <v>51</v>
      </c>
      <c r="H2093" t="s">
        <v>26</v>
      </c>
      <c r="I2093" t="s">
        <v>84</v>
      </c>
      <c r="J2093" t="s">
        <v>85</v>
      </c>
      <c r="K2093">
        <v>1</v>
      </c>
      <c r="L2093" s="2">
        <v>57.92</v>
      </c>
      <c r="M2093" s="3">
        <v>0.2</v>
      </c>
      <c r="N2093" t="s">
        <v>34</v>
      </c>
      <c r="O2093" s="2">
        <v>46.34</v>
      </c>
      <c r="P2093" s="2">
        <v>40.61</v>
      </c>
      <c r="Q2093" s="2">
        <v>5.73</v>
      </c>
      <c r="R2093">
        <v>1</v>
      </c>
      <c r="S2093">
        <v>0</v>
      </c>
      <c r="T2093">
        <v>3</v>
      </c>
      <c r="U2093">
        <v>5</v>
      </c>
    </row>
    <row r="2094" spans="1:21" ht="16.5" x14ac:dyDescent="0.3">
      <c r="A2094" t="s">
        <v>2181</v>
      </c>
      <c r="B2094" s="1">
        <v>45615</v>
      </c>
      <c r="C2094">
        <v>2024</v>
      </c>
      <c r="D2094" t="s">
        <v>1738</v>
      </c>
      <c r="E2094" t="s">
        <v>1959</v>
      </c>
      <c r="F2094" t="s">
        <v>45</v>
      </c>
      <c r="G2094" t="s">
        <v>51</v>
      </c>
      <c r="H2094" t="s">
        <v>32</v>
      </c>
      <c r="I2094" t="s">
        <v>70</v>
      </c>
      <c r="J2094" t="s">
        <v>129</v>
      </c>
      <c r="K2094">
        <v>1</v>
      </c>
      <c r="L2094" s="2">
        <v>177.65</v>
      </c>
      <c r="M2094" s="3">
        <v>0</v>
      </c>
      <c r="N2094" t="s">
        <v>38</v>
      </c>
      <c r="O2094" s="2">
        <v>177.65</v>
      </c>
      <c r="P2094" s="2">
        <v>140.97999999999999</v>
      </c>
      <c r="Q2094" s="2">
        <v>36.67</v>
      </c>
      <c r="R2094">
        <v>1</v>
      </c>
      <c r="S2094">
        <v>0</v>
      </c>
      <c r="T2094">
        <v>4</v>
      </c>
      <c r="U2094">
        <v>5</v>
      </c>
    </row>
    <row r="2095" spans="1:21" ht="16.5" x14ac:dyDescent="0.3">
      <c r="A2095" t="s">
        <v>2182</v>
      </c>
      <c r="B2095" s="1">
        <v>45615</v>
      </c>
      <c r="C2095">
        <v>2024</v>
      </c>
      <c r="D2095" t="s">
        <v>1738</v>
      </c>
      <c r="E2095" t="s">
        <v>1959</v>
      </c>
      <c r="F2095" t="s">
        <v>24</v>
      </c>
      <c r="G2095" t="s">
        <v>25</v>
      </c>
      <c r="H2095" t="s">
        <v>32</v>
      </c>
      <c r="I2095" t="s">
        <v>36</v>
      </c>
      <c r="J2095" t="s">
        <v>52</v>
      </c>
      <c r="K2095">
        <v>1</v>
      </c>
      <c r="L2095" s="2">
        <v>92.54</v>
      </c>
      <c r="M2095" s="3">
        <v>0.2</v>
      </c>
      <c r="N2095" t="s">
        <v>34</v>
      </c>
      <c r="O2095" s="2">
        <v>74.03</v>
      </c>
      <c r="P2095" s="2">
        <v>43.56</v>
      </c>
      <c r="Q2095" s="2">
        <v>30.47</v>
      </c>
      <c r="R2095">
        <v>1</v>
      </c>
      <c r="S2095">
        <v>0</v>
      </c>
      <c r="T2095">
        <v>5</v>
      </c>
      <c r="U2095">
        <v>5</v>
      </c>
    </row>
    <row r="2096" spans="1:21" ht="16.5" x14ac:dyDescent="0.3">
      <c r="A2096" t="s">
        <v>2183</v>
      </c>
      <c r="B2096" s="1">
        <v>45615</v>
      </c>
      <c r="C2096">
        <v>2024</v>
      </c>
      <c r="D2096" t="s">
        <v>1738</v>
      </c>
      <c r="E2096" t="s">
        <v>1959</v>
      </c>
      <c r="F2096" t="s">
        <v>45</v>
      </c>
      <c r="G2096" t="s">
        <v>49</v>
      </c>
      <c r="H2096" t="s">
        <v>32</v>
      </c>
      <c r="I2096" t="s">
        <v>27</v>
      </c>
      <c r="J2096" t="s">
        <v>40</v>
      </c>
      <c r="K2096">
        <v>1</v>
      </c>
      <c r="L2096" s="2">
        <v>104.94</v>
      </c>
      <c r="M2096" s="3">
        <v>0.05</v>
      </c>
      <c r="N2096" t="s">
        <v>29</v>
      </c>
      <c r="O2096" s="2">
        <v>99.69</v>
      </c>
      <c r="P2096" s="2">
        <v>53.94</v>
      </c>
      <c r="Q2096" s="2">
        <v>45.75</v>
      </c>
      <c r="R2096">
        <v>1</v>
      </c>
      <c r="S2096">
        <v>0</v>
      </c>
      <c r="T2096">
        <v>4</v>
      </c>
      <c r="U2096">
        <v>5</v>
      </c>
    </row>
    <row r="2097" spans="1:21" ht="16.5" x14ac:dyDescent="0.3">
      <c r="A2097" t="s">
        <v>2184</v>
      </c>
      <c r="B2097" s="1">
        <v>45615</v>
      </c>
      <c r="C2097">
        <v>2024</v>
      </c>
      <c r="D2097" t="s">
        <v>1738</v>
      </c>
      <c r="E2097" t="s">
        <v>1959</v>
      </c>
      <c r="F2097" t="s">
        <v>24</v>
      </c>
      <c r="G2097" t="s">
        <v>25</v>
      </c>
      <c r="H2097" t="s">
        <v>32</v>
      </c>
      <c r="I2097" t="s">
        <v>27</v>
      </c>
      <c r="J2097" t="s">
        <v>28</v>
      </c>
      <c r="K2097">
        <v>1</v>
      </c>
      <c r="L2097" s="2">
        <v>138.5</v>
      </c>
      <c r="M2097" s="3">
        <v>0.05</v>
      </c>
      <c r="N2097" t="s">
        <v>29</v>
      </c>
      <c r="O2097" s="2">
        <v>131.57</v>
      </c>
      <c r="P2097" s="2">
        <v>74.75</v>
      </c>
      <c r="Q2097" s="2">
        <v>56.82</v>
      </c>
      <c r="R2097">
        <v>1</v>
      </c>
      <c r="S2097">
        <v>0</v>
      </c>
      <c r="T2097">
        <v>6</v>
      </c>
      <c r="U2097">
        <v>4</v>
      </c>
    </row>
    <row r="2098" spans="1:21" ht="16.5" x14ac:dyDescent="0.3">
      <c r="A2098" t="s">
        <v>2185</v>
      </c>
      <c r="B2098" s="1">
        <v>45616</v>
      </c>
      <c r="C2098">
        <v>2024</v>
      </c>
      <c r="D2098" t="s">
        <v>1738</v>
      </c>
      <c r="E2098" t="s">
        <v>1959</v>
      </c>
      <c r="F2098" t="s">
        <v>31</v>
      </c>
      <c r="G2098" t="s">
        <v>65</v>
      </c>
      <c r="H2098" t="s">
        <v>32</v>
      </c>
      <c r="I2098" t="s">
        <v>42</v>
      </c>
      <c r="J2098" t="s">
        <v>98</v>
      </c>
      <c r="K2098">
        <v>1</v>
      </c>
      <c r="L2098" s="2">
        <v>117.63</v>
      </c>
      <c r="M2098" s="3">
        <v>0.1</v>
      </c>
      <c r="N2098" t="s">
        <v>29</v>
      </c>
      <c r="O2098" s="2">
        <v>105.87</v>
      </c>
      <c r="P2098" s="2">
        <v>73.8</v>
      </c>
      <c r="Q2098" s="2">
        <v>32.07</v>
      </c>
      <c r="R2098">
        <v>1</v>
      </c>
      <c r="S2098">
        <v>1</v>
      </c>
      <c r="T2098">
        <v>7</v>
      </c>
      <c r="U2098">
        <v>2</v>
      </c>
    </row>
    <row r="2099" spans="1:21" ht="16.5" x14ac:dyDescent="0.3">
      <c r="A2099" t="s">
        <v>2186</v>
      </c>
      <c r="B2099" s="1">
        <v>45616</v>
      </c>
      <c r="C2099">
        <v>2024</v>
      </c>
      <c r="D2099" t="s">
        <v>1738</v>
      </c>
      <c r="E2099" t="s">
        <v>1959</v>
      </c>
      <c r="F2099" t="s">
        <v>31</v>
      </c>
      <c r="G2099" t="s">
        <v>25</v>
      </c>
      <c r="H2099" t="s">
        <v>32</v>
      </c>
      <c r="I2099" t="s">
        <v>67</v>
      </c>
      <c r="J2099" t="s">
        <v>68</v>
      </c>
      <c r="K2099">
        <v>2</v>
      </c>
      <c r="L2099" s="2">
        <v>74.459999999999994</v>
      </c>
      <c r="M2099" s="3">
        <v>0.25</v>
      </c>
      <c r="N2099" t="s">
        <v>62</v>
      </c>
      <c r="O2099" s="2">
        <v>111.69</v>
      </c>
      <c r="P2099" s="2">
        <v>105.32</v>
      </c>
      <c r="Q2099" s="2">
        <v>6.37</v>
      </c>
      <c r="R2099">
        <v>1</v>
      </c>
      <c r="S2099">
        <v>1</v>
      </c>
      <c r="T2099">
        <v>4</v>
      </c>
      <c r="U2099">
        <v>3</v>
      </c>
    </row>
    <row r="2100" spans="1:21" ht="16.5" x14ac:dyDescent="0.3">
      <c r="A2100" t="s">
        <v>2187</v>
      </c>
      <c r="B2100" s="1">
        <v>45616</v>
      </c>
      <c r="C2100">
        <v>2024</v>
      </c>
      <c r="D2100" t="s">
        <v>1738</v>
      </c>
      <c r="E2100" t="s">
        <v>1959</v>
      </c>
      <c r="F2100" t="s">
        <v>24</v>
      </c>
      <c r="G2100" t="s">
        <v>51</v>
      </c>
      <c r="H2100" t="s">
        <v>32</v>
      </c>
      <c r="I2100" t="s">
        <v>27</v>
      </c>
      <c r="J2100" t="s">
        <v>47</v>
      </c>
      <c r="K2100">
        <v>1</v>
      </c>
      <c r="L2100" s="2">
        <v>33.99</v>
      </c>
      <c r="M2100" s="3">
        <v>0.2</v>
      </c>
      <c r="N2100" t="s">
        <v>34</v>
      </c>
      <c r="O2100" s="2">
        <v>27.19</v>
      </c>
      <c r="P2100" s="2">
        <v>18.739999999999998</v>
      </c>
      <c r="Q2100" s="2">
        <v>8.4499999999999993</v>
      </c>
      <c r="R2100">
        <v>1</v>
      </c>
      <c r="S2100">
        <v>0</v>
      </c>
      <c r="T2100">
        <v>3</v>
      </c>
      <c r="U2100">
        <v>4</v>
      </c>
    </row>
    <row r="2101" spans="1:21" ht="16.5" x14ac:dyDescent="0.3">
      <c r="A2101" t="s">
        <v>2188</v>
      </c>
      <c r="B2101" s="1">
        <v>45616</v>
      </c>
      <c r="C2101">
        <v>2024</v>
      </c>
      <c r="D2101" t="s">
        <v>1738</v>
      </c>
      <c r="E2101" t="s">
        <v>1959</v>
      </c>
      <c r="F2101" t="s">
        <v>31</v>
      </c>
      <c r="G2101" t="s">
        <v>51</v>
      </c>
      <c r="H2101" t="s">
        <v>32</v>
      </c>
      <c r="I2101" t="s">
        <v>67</v>
      </c>
      <c r="J2101" t="s">
        <v>68</v>
      </c>
      <c r="K2101">
        <v>1</v>
      </c>
      <c r="L2101" s="2">
        <v>74.459999999999994</v>
      </c>
      <c r="M2101" s="3">
        <v>0.2</v>
      </c>
      <c r="N2101" t="s">
        <v>34</v>
      </c>
      <c r="O2101" s="2">
        <v>59.57</v>
      </c>
      <c r="P2101" s="2">
        <v>54.45</v>
      </c>
      <c r="Q2101" s="2">
        <v>5.12</v>
      </c>
      <c r="R2101">
        <v>1</v>
      </c>
      <c r="S2101">
        <v>0</v>
      </c>
      <c r="T2101">
        <v>4</v>
      </c>
      <c r="U2101">
        <v>3</v>
      </c>
    </row>
    <row r="2102" spans="1:21" ht="16.5" x14ac:dyDescent="0.3">
      <c r="A2102" t="s">
        <v>2189</v>
      </c>
      <c r="B2102" s="1">
        <v>45616</v>
      </c>
      <c r="C2102">
        <v>2024</v>
      </c>
      <c r="D2102" t="s">
        <v>1738</v>
      </c>
      <c r="E2102" t="s">
        <v>1959</v>
      </c>
      <c r="F2102" t="s">
        <v>24</v>
      </c>
      <c r="G2102" t="s">
        <v>65</v>
      </c>
      <c r="H2102" t="s">
        <v>32</v>
      </c>
      <c r="I2102" t="s">
        <v>42</v>
      </c>
      <c r="J2102" t="s">
        <v>89</v>
      </c>
      <c r="K2102">
        <v>1</v>
      </c>
      <c r="L2102" s="2">
        <v>68.349999999999994</v>
      </c>
      <c r="M2102" s="3">
        <v>0.2</v>
      </c>
      <c r="N2102" t="s">
        <v>34</v>
      </c>
      <c r="O2102" s="2">
        <v>54.68</v>
      </c>
      <c r="P2102" s="2">
        <v>46.09</v>
      </c>
      <c r="Q2102" s="2">
        <v>8.59</v>
      </c>
      <c r="R2102">
        <v>1</v>
      </c>
      <c r="S2102">
        <v>0</v>
      </c>
      <c r="T2102">
        <v>6</v>
      </c>
      <c r="U2102">
        <v>5</v>
      </c>
    </row>
    <row r="2103" spans="1:21" ht="16.5" x14ac:dyDescent="0.3">
      <c r="A2103" t="s">
        <v>2190</v>
      </c>
      <c r="B2103" s="1">
        <v>45616</v>
      </c>
      <c r="C2103">
        <v>2024</v>
      </c>
      <c r="D2103" t="s">
        <v>1738</v>
      </c>
      <c r="E2103" t="s">
        <v>1959</v>
      </c>
      <c r="F2103" t="s">
        <v>31</v>
      </c>
      <c r="G2103" t="s">
        <v>51</v>
      </c>
      <c r="H2103" t="s">
        <v>26</v>
      </c>
      <c r="I2103" t="s">
        <v>27</v>
      </c>
      <c r="J2103" t="s">
        <v>60</v>
      </c>
      <c r="K2103">
        <v>1</v>
      </c>
      <c r="L2103" s="2">
        <v>94.85</v>
      </c>
      <c r="M2103" s="3">
        <v>0</v>
      </c>
      <c r="N2103" t="s">
        <v>38</v>
      </c>
      <c r="O2103" s="2">
        <v>94.85</v>
      </c>
      <c r="P2103" s="2">
        <v>52.81</v>
      </c>
      <c r="Q2103" s="2">
        <v>42.04</v>
      </c>
      <c r="R2103">
        <v>1</v>
      </c>
      <c r="S2103">
        <v>0</v>
      </c>
      <c r="T2103">
        <v>6</v>
      </c>
      <c r="U2103">
        <v>4</v>
      </c>
    </row>
    <row r="2104" spans="1:21" ht="16.5" x14ac:dyDescent="0.3">
      <c r="A2104" t="s">
        <v>2191</v>
      </c>
      <c r="B2104" s="1">
        <v>45616</v>
      </c>
      <c r="C2104">
        <v>2024</v>
      </c>
      <c r="D2104" t="s">
        <v>1738</v>
      </c>
      <c r="E2104" t="s">
        <v>1959</v>
      </c>
      <c r="F2104" t="s">
        <v>31</v>
      </c>
      <c r="G2104" t="s">
        <v>51</v>
      </c>
      <c r="H2104" t="s">
        <v>32</v>
      </c>
      <c r="I2104" t="s">
        <v>27</v>
      </c>
      <c r="J2104" t="s">
        <v>33</v>
      </c>
      <c r="K2104">
        <v>1</v>
      </c>
      <c r="L2104" s="2">
        <v>78.510000000000005</v>
      </c>
      <c r="M2104" s="3">
        <v>0.05</v>
      </c>
      <c r="N2104" t="s">
        <v>29</v>
      </c>
      <c r="O2104" s="2">
        <v>74.58</v>
      </c>
      <c r="P2104" s="2">
        <v>44.53</v>
      </c>
      <c r="Q2104" s="2">
        <v>30.05</v>
      </c>
      <c r="R2104">
        <v>1</v>
      </c>
      <c r="S2104">
        <v>0</v>
      </c>
      <c r="T2104">
        <v>4</v>
      </c>
      <c r="U2104">
        <v>5</v>
      </c>
    </row>
    <row r="2105" spans="1:21" ht="16.5" x14ac:dyDescent="0.3">
      <c r="A2105" t="s">
        <v>2192</v>
      </c>
      <c r="B2105" s="1">
        <v>45616</v>
      </c>
      <c r="C2105">
        <v>2024</v>
      </c>
      <c r="D2105" t="s">
        <v>1738</v>
      </c>
      <c r="E2105" t="s">
        <v>1959</v>
      </c>
      <c r="F2105" t="s">
        <v>31</v>
      </c>
      <c r="G2105" t="s">
        <v>51</v>
      </c>
      <c r="H2105" t="s">
        <v>26</v>
      </c>
      <c r="I2105" t="s">
        <v>84</v>
      </c>
      <c r="J2105" t="s">
        <v>223</v>
      </c>
      <c r="K2105">
        <v>1</v>
      </c>
      <c r="L2105" s="2">
        <v>16.97</v>
      </c>
      <c r="M2105" s="3">
        <v>0.2</v>
      </c>
      <c r="N2105" t="s">
        <v>34</v>
      </c>
      <c r="O2105" s="2">
        <v>13.58</v>
      </c>
      <c r="P2105" s="2">
        <v>11.25</v>
      </c>
      <c r="Q2105" s="2">
        <v>2.33</v>
      </c>
      <c r="R2105">
        <v>1</v>
      </c>
      <c r="S2105">
        <v>0</v>
      </c>
      <c r="T2105">
        <v>4</v>
      </c>
      <c r="U2105">
        <v>4</v>
      </c>
    </row>
    <row r="2106" spans="1:21" ht="16.5" x14ac:dyDescent="0.3">
      <c r="A2106" t="s">
        <v>2193</v>
      </c>
      <c r="B2106" s="1">
        <v>45616</v>
      </c>
      <c r="C2106">
        <v>2024</v>
      </c>
      <c r="D2106" t="s">
        <v>1738</v>
      </c>
      <c r="E2106" t="s">
        <v>1959</v>
      </c>
      <c r="F2106" t="s">
        <v>24</v>
      </c>
      <c r="G2106" t="s">
        <v>46</v>
      </c>
      <c r="H2106" t="s">
        <v>32</v>
      </c>
      <c r="I2106" t="s">
        <v>42</v>
      </c>
      <c r="J2106" t="s">
        <v>54</v>
      </c>
      <c r="K2106">
        <v>3</v>
      </c>
      <c r="L2106" s="2">
        <v>148.05000000000001</v>
      </c>
      <c r="M2106" s="3">
        <v>0.3</v>
      </c>
      <c r="N2106" t="s">
        <v>62</v>
      </c>
      <c r="O2106" s="2">
        <v>310.91000000000003</v>
      </c>
      <c r="P2106" s="2">
        <v>271.77</v>
      </c>
      <c r="Q2106" s="2">
        <v>39.14</v>
      </c>
      <c r="R2106">
        <v>1</v>
      </c>
      <c r="S2106">
        <v>0</v>
      </c>
      <c r="T2106">
        <v>7</v>
      </c>
      <c r="U2106">
        <v>4</v>
      </c>
    </row>
    <row r="2107" spans="1:21" ht="16.5" x14ac:dyDescent="0.3">
      <c r="A2107" t="s">
        <v>2194</v>
      </c>
      <c r="B2107" s="1">
        <v>45616</v>
      </c>
      <c r="C2107">
        <v>2024</v>
      </c>
      <c r="D2107" t="s">
        <v>1738</v>
      </c>
      <c r="E2107" t="s">
        <v>1959</v>
      </c>
      <c r="F2107" t="s">
        <v>24</v>
      </c>
      <c r="G2107" t="s">
        <v>49</v>
      </c>
      <c r="H2107" t="s">
        <v>32</v>
      </c>
      <c r="I2107" t="s">
        <v>27</v>
      </c>
      <c r="J2107" t="s">
        <v>60</v>
      </c>
      <c r="K2107">
        <v>1</v>
      </c>
      <c r="L2107" s="2">
        <v>94.85</v>
      </c>
      <c r="M2107" s="3">
        <v>0.2</v>
      </c>
      <c r="N2107" t="s">
        <v>34</v>
      </c>
      <c r="O2107" s="2">
        <v>75.88</v>
      </c>
      <c r="P2107" s="2">
        <v>53.2</v>
      </c>
      <c r="Q2107" s="2">
        <v>22.68</v>
      </c>
      <c r="R2107">
        <v>1</v>
      </c>
      <c r="S2107">
        <v>0</v>
      </c>
      <c r="T2107">
        <v>4</v>
      </c>
      <c r="U2107">
        <v>5</v>
      </c>
    </row>
    <row r="2108" spans="1:21" ht="16.5" x14ac:dyDescent="0.3">
      <c r="A2108" t="s">
        <v>2195</v>
      </c>
      <c r="B2108" s="1">
        <v>45616</v>
      </c>
      <c r="C2108">
        <v>2024</v>
      </c>
      <c r="D2108" t="s">
        <v>1738</v>
      </c>
      <c r="E2108" t="s">
        <v>1959</v>
      </c>
      <c r="F2108" t="s">
        <v>24</v>
      </c>
      <c r="G2108" t="s">
        <v>51</v>
      </c>
      <c r="H2108" t="s">
        <v>32</v>
      </c>
      <c r="I2108" t="s">
        <v>67</v>
      </c>
      <c r="J2108" t="s">
        <v>78</v>
      </c>
      <c r="K2108">
        <v>2</v>
      </c>
      <c r="L2108" s="2">
        <v>85.42</v>
      </c>
      <c r="M2108" s="3">
        <v>0.25</v>
      </c>
      <c r="N2108" t="s">
        <v>62</v>
      </c>
      <c r="O2108" s="2">
        <v>128.13</v>
      </c>
      <c r="P2108" s="2">
        <v>113.73</v>
      </c>
      <c r="Q2108" s="2">
        <v>14.4</v>
      </c>
      <c r="R2108">
        <v>1</v>
      </c>
      <c r="S2108">
        <v>0</v>
      </c>
      <c r="T2108">
        <v>4</v>
      </c>
      <c r="U2108">
        <v>5</v>
      </c>
    </row>
    <row r="2109" spans="1:21" ht="16.5" x14ac:dyDescent="0.3">
      <c r="A2109" t="s">
        <v>2196</v>
      </c>
      <c r="B2109" s="1">
        <v>45617</v>
      </c>
      <c r="C2109">
        <v>2024</v>
      </c>
      <c r="D2109" t="s">
        <v>1738</v>
      </c>
      <c r="E2109" t="s">
        <v>1959</v>
      </c>
      <c r="F2109" t="s">
        <v>31</v>
      </c>
      <c r="G2109" t="s">
        <v>46</v>
      </c>
      <c r="H2109" t="s">
        <v>32</v>
      </c>
      <c r="I2109" t="s">
        <v>42</v>
      </c>
      <c r="J2109" t="s">
        <v>43</v>
      </c>
      <c r="K2109">
        <v>1</v>
      </c>
      <c r="L2109" s="2">
        <v>154.66</v>
      </c>
      <c r="M2109" s="3">
        <v>0.1</v>
      </c>
      <c r="N2109" t="s">
        <v>29</v>
      </c>
      <c r="O2109" s="2">
        <v>139.19</v>
      </c>
      <c r="P2109" s="2">
        <v>104.17</v>
      </c>
      <c r="Q2109" s="2">
        <v>35.020000000000003</v>
      </c>
      <c r="R2109">
        <v>1</v>
      </c>
      <c r="S2109">
        <v>1</v>
      </c>
      <c r="T2109">
        <v>9</v>
      </c>
      <c r="U2109">
        <v>2</v>
      </c>
    </row>
    <row r="2110" spans="1:21" ht="16.5" x14ac:dyDescent="0.3">
      <c r="A2110" t="s">
        <v>2197</v>
      </c>
      <c r="B2110" s="1">
        <v>45617</v>
      </c>
      <c r="C2110">
        <v>2024</v>
      </c>
      <c r="D2110" t="s">
        <v>1738</v>
      </c>
      <c r="E2110" t="s">
        <v>1959</v>
      </c>
      <c r="F2110" t="s">
        <v>24</v>
      </c>
      <c r="G2110" t="s">
        <v>46</v>
      </c>
      <c r="H2110" t="s">
        <v>32</v>
      </c>
      <c r="I2110" t="s">
        <v>84</v>
      </c>
      <c r="J2110" t="s">
        <v>132</v>
      </c>
      <c r="K2110">
        <v>3</v>
      </c>
      <c r="L2110" s="2">
        <v>48.86</v>
      </c>
      <c r="M2110" s="3">
        <v>0.3</v>
      </c>
      <c r="N2110" t="s">
        <v>62</v>
      </c>
      <c r="O2110" s="2">
        <v>102.61</v>
      </c>
      <c r="P2110" s="2">
        <v>108.58</v>
      </c>
      <c r="Q2110" s="2">
        <v>-5.97</v>
      </c>
      <c r="R2110">
        <v>1</v>
      </c>
      <c r="S2110">
        <v>0</v>
      </c>
      <c r="T2110">
        <v>8</v>
      </c>
      <c r="U2110">
        <v>3</v>
      </c>
    </row>
    <row r="2111" spans="1:21" ht="16.5" x14ac:dyDescent="0.3">
      <c r="A2111" t="s">
        <v>2198</v>
      </c>
      <c r="B2111" s="1">
        <v>45617</v>
      </c>
      <c r="C2111">
        <v>2024</v>
      </c>
      <c r="D2111" t="s">
        <v>1738</v>
      </c>
      <c r="E2111" t="s">
        <v>1959</v>
      </c>
      <c r="F2111" t="s">
        <v>45</v>
      </c>
      <c r="G2111" t="s">
        <v>49</v>
      </c>
      <c r="H2111" t="s">
        <v>32</v>
      </c>
      <c r="I2111" t="s">
        <v>27</v>
      </c>
      <c r="J2111" t="s">
        <v>40</v>
      </c>
      <c r="K2111">
        <v>1</v>
      </c>
      <c r="L2111" s="2">
        <v>104.94</v>
      </c>
      <c r="M2111" s="3">
        <v>0.05</v>
      </c>
      <c r="N2111" t="s">
        <v>29</v>
      </c>
      <c r="O2111" s="2">
        <v>99.69</v>
      </c>
      <c r="P2111" s="2">
        <v>58.37</v>
      </c>
      <c r="Q2111" s="2">
        <v>41.32</v>
      </c>
      <c r="R2111">
        <v>1</v>
      </c>
      <c r="S2111">
        <v>0</v>
      </c>
      <c r="T2111">
        <v>6</v>
      </c>
      <c r="U2111">
        <v>4</v>
      </c>
    </row>
    <row r="2112" spans="1:21" ht="16.5" x14ac:dyDescent="0.3">
      <c r="A2112" t="s">
        <v>2199</v>
      </c>
      <c r="B2112" s="1">
        <v>45617</v>
      </c>
      <c r="C2112">
        <v>2024</v>
      </c>
      <c r="D2112" t="s">
        <v>1738</v>
      </c>
      <c r="E2112" t="s">
        <v>1959</v>
      </c>
      <c r="F2112" t="s">
        <v>45</v>
      </c>
      <c r="G2112" t="s">
        <v>49</v>
      </c>
      <c r="H2112" t="s">
        <v>32</v>
      </c>
      <c r="I2112" t="s">
        <v>70</v>
      </c>
      <c r="J2112" t="s">
        <v>82</v>
      </c>
      <c r="K2112">
        <v>3</v>
      </c>
      <c r="L2112" s="2">
        <v>508.8</v>
      </c>
      <c r="M2112" s="3">
        <v>0.3</v>
      </c>
      <c r="N2112" t="s">
        <v>62</v>
      </c>
      <c r="O2112" s="2">
        <v>1068.48</v>
      </c>
      <c r="P2112" s="2">
        <v>1233.8900000000001</v>
      </c>
      <c r="Q2112" s="2">
        <v>-165.41</v>
      </c>
      <c r="R2112">
        <v>1</v>
      </c>
      <c r="S2112">
        <v>0</v>
      </c>
      <c r="T2112">
        <v>7</v>
      </c>
      <c r="U2112">
        <v>3</v>
      </c>
    </row>
    <row r="2113" spans="1:21" ht="16.5" x14ac:dyDescent="0.3">
      <c r="A2113" t="s">
        <v>2200</v>
      </c>
      <c r="B2113" s="1">
        <v>45617</v>
      </c>
      <c r="C2113">
        <v>2024</v>
      </c>
      <c r="D2113" t="s">
        <v>1738</v>
      </c>
      <c r="E2113" t="s">
        <v>1959</v>
      </c>
      <c r="F2113" t="s">
        <v>24</v>
      </c>
      <c r="G2113" t="s">
        <v>49</v>
      </c>
      <c r="H2113" t="s">
        <v>26</v>
      </c>
      <c r="I2113" t="s">
        <v>84</v>
      </c>
      <c r="J2113" t="s">
        <v>106</v>
      </c>
      <c r="K2113">
        <v>2</v>
      </c>
      <c r="L2113" s="2">
        <v>45.28</v>
      </c>
      <c r="M2113" s="3">
        <v>0.2</v>
      </c>
      <c r="N2113" t="s">
        <v>34</v>
      </c>
      <c r="O2113" s="2">
        <v>72.45</v>
      </c>
      <c r="P2113" s="2">
        <v>67.97</v>
      </c>
      <c r="Q2113" s="2">
        <v>4.4800000000000004</v>
      </c>
      <c r="R2113">
        <v>1</v>
      </c>
      <c r="S2113">
        <v>0</v>
      </c>
      <c r="T2113">
        <v>6</v>
      </c>
      <c r="U2113">
        <v>3</v>
      </c>
    </row>
    <row r="2114" spans="1:21" ht="16.5" x14ac:dyDescent="0.3">
      <c r="A2114" t="s">
        <v>2201</v>
      </c>
      <c r="B2114" s="1">
        <v>45617</v>
      </c>
      <c r="C2114">
        <v>2024</v>
      </c>
      <c r="D2114" t="s">
        <v>1738</v>
      </c>
      <c r="E2114" t="s">
        <v>1959</v>
      </c>
      <c r="F2114" t="s">
        <v>45</v>
      </c>
      <c r="G2114" t="s">
        <v>51</v>
      </c>
      <c r="H2114" t="s">
        <v>32</v>
      </c>
      <c r="I2114" t="s">
        <v>42</v>
      </c>
      <c r="J2114" t="s">
        <v>98</v>
      </c>
      <c r="K2114">
        <v>1</v>
      </c>
      <c r="L2114" s="2">
        <v>117.63</v>
      </c>
      <c r="M2114" s="3">
        <v>0.25</v>
      </c>
      <c r="N2114" t="s">
        <v>62</v>
      </c>
      <c r="O2114" s="2">
        <v>88.22</v>
      </c>
      <c r="P2114" s="2">
        <v>78.930000000000007</v>
      </c>
      <c r="Q2114" s="2">
        <v>9.2899999999999991</v>
      </c>
      <c r="R2114">
        <v>1</v>
      </c>
      <c r="S2114">
        <v>1</v>
      </c>
      <c r="T2114">
        <v>5</v>
      </c>
      <c r="U2114">
        <v>4</v>
      </c>
    </row>
    <row r="2115" spans="1:21" ht="16.5" x14ac:dyDescent="0.3">
      <c r="A2115" t="s">
        <v>2202</v>
      </c>
      <c r="B2115" s="1">
        <v>45617</v>
      </c>
      <c r="C2115">
        <v>2024</v>
      </c>
      <c r="D2115" t="s">
        <v>1738</v>
      </c>
      <c r="E2115" t="s">
        <v>1959</v>
      </c>
      <c r="F2115" t="s">
        <v>24</v>
      </c>
      <c r="G2115" t="s">
        <v>49</v>
      </c>
      <c r="H2115" t="s">
        <v>26</v>
      </c>
      <c r="I2115" t="s">
        <v>67</v>
      </c>
      <c r="J2115" t="s">
        <v>103</v>
      </c>
      <c r="K2115">
        <v>3</v>
      </c>
      <c r="L2115" s="2">
        <v>83.06</v>
      </c>
      <c r="M2115" s="3">
        <v>0.1</v>
      </c>
      <c r="N2115" t="s">
        <v>29</v>
      </c>
      <c r="O2115" s="2">
        <v>224.26</v>
      </c>
      <c r="P2115" s="2">
        <v>163.05000000000001</v>
      </c>
      <c r="Q2115" s="2">
        <v>61.21</v>
      </c>
      <c r="R2115">
        <v>1</v>
      </c>
      <c r="S2115">
        <v>0</v>
      </c>
      <c r="T2115">
        <v>5</v>
      </c>
      <c r="U2115">
        <v>4</v>
      </c>
    </row>
    <row r="2116" spans="1:21" ht="16.5" x14ac:dyDescent="0.3">
      <c r="A2116" t="s">
        <v>2203</v>
      </c>
      <c r="B2116" s="1">
        <v>45617</v>
      </c>
      <c r="C2116">
        <v>2024</v>
      </c>
      <c r="D2116" t="s">
        <v>1738</v>
      </c>
      <c r="E2116" t="s">
        <v>1959</v>
      </c>
      <c r="F2116" t="s">
        <v>24</v>
      </c>
      <c r="G2116" t="s">
        <v>49</v>
      </c>
      <c r="H2116" t="s">
        <v>26</v>
      </c>
      <c r="I2116" t="s">
        <v>27</v>
      </c>
      <c r="J2116" t="s">
        <v>28</v>
      </c>
      <c r="K2116">
        <v>1</v>
      </c>
      <c r="L2116" s="2">
        <v>138.5</v>
      </c>
      <c r="M2116" s="3">
        <v>0.15</v>
      </c>
      <c r="N2116" t="s">
        <v>34</v>
      </c>
      <c r="O2116" s="2">
        <v>117.72</v>
      </c>
      <c r="P2116" s="2">
        <v>73.489999999999995</v>
      </c>
      <c r="Q2116" s="2">
        <v>44.23</v>
      </c>
      <c r="R2116">
        <v>1</v>
      </c>
      <c r="S2116">
        <v>0</v>
      </c>
      <c r="T2116">
        <v>5</v>
      </c>
      <c r="U2116">
        <v>5</v>
      </c>
    </row>
    <row r="2117" spans="1:21" ht="16.5" x14ac:dyDescent="0.3">
      <c r="A2117" t="s">
        <v>2204</v>
      </c>
      <c r="B2117" s="1">
        <v>45617</v>
      </c>
      <c r="C2117">
        <v>2024</v>
      </c>
      <c r="D2117" t="s">
        <v>1738</v>
      </c>
      <c r="E2117" t="s">
        <v>1959</v>
      </c>
      <c r="F2117" t="s">
        <v>45</v>
      </c>
      <c r="G2117" t="s">
        <v>25</v>
      </c>
      <c r="H2117" t="s">
        <v>32</v>
      </c>
      <c r="I2117" t="s">
        <v>27</v>
      </c>
      <c r="J2117" t="s">
        <v>47</v>
      </c>
      <c r="K2117">
        <v>2</v>
      </c>
      <c r="L2117" s="2">
        <v>33.99</v>
      </c>
      <c r="M2117" s="3">
        <v>0.1</v>
      </c>
      <c r="N2117" t="s">
        <v>29</v>
      </c>
      <c r="O2117" s="2">
        <v>61.18</v>
      </c>
      <c r="P2117" s="2">
        <v>36.24</v>
      </c>
      <c r="Q2117" s="2">
        <v>24.94</v>
      </c>
      <c r="R2117">
        <v>1</v>
      </c>
      <c r="S2117">
        <v>0</v>
      </c>
      <c r="T2117">
        <v>6</v>
      </c>
      <c r="U2117">
        <v>3</v>
      </c>
    </row>
    <row r="2118" spans="1:21" ht="16.5" x14ac:dyDescent="0.3">
      <c r="A2118" t="s">
        <v>2205</v>
      </c>
      <c r="B2118" s="1">
        <v>45617</v>
      </c>
      <c r="C2118">
        <v>2024</v>
      </c>
      <c r="D2118" t="s">
        <v>1738</v>
      </c>
      <c r="E2118" t="s">
        <v>1959</v>
      </c>
      <c r="F2118" t="s">
        <v>31</v>
      </c>
      <c r="G2118" t="s">
        <v>49</v>
      </c>
      <c r="H2118" t="s">
        <v>26</v>
      </c>
      <c r="I2118" t="s">
        <v>70</v>
      </c>
      <c r="J2118" t="s">
        <v>252</v>
      </c>
      <c r="K2118">
        <v>2</v>
      </c>
      <c r="L2118" s="2">
        <v>216.08</v>
      </c>
      <c r="M2118" s="3">
        <v>0.3</v>
      </c>
      <c r="N2118" t="s">
        <v>62</v>
      </c>
      <c r="O2118" s="2">
        <v>302.51</v>
      </c>
      <c r="P2118" s="2">
        <v>355.64</v>
      </c>
      <c r="Q2118" s="2">
        <v>-53.13</v>
      </c>
      <c r="R2118">
        <v>1</v>
      </c>
      <c r="S2118">
        <v>0</v>
      </c>
      <c r="T2118">
        <v>6</v>
      </c>
      <c r="U2118">
        <v>2</v>
      </c>
    </row>
    <row r="2119" spans="1:21" ht="16.5" x14ac:dyDescent="0.3">
      <c r="A2119" t="s">
        <v>2206</v>
      </c>
      <c r="B2119" s="1">
        <v>45617</v>
      </c>
      <c r="C2119">
        <v>2024</v>
      </c>
      <c r="D2119" t="s">
        <v>1738</v>
      </c>
      <c r="E2119" t="s">
        <v>1959</v>
      </c>
      <c r="F2119" t="s">
        <v>24</v>
      </c>
      <c r="G2119" t="s">
        <v>65</v>
      </c>
      <c r="H2119" t="s">
        <v>26</v>
      </c>
      <c r="I2119" t="s">
        <v>70</v>
      </c>
      <c r="J2119" t="s">
        <v>87</v>
      </c>
      <c r="K2119">
        <v>1</v>
      </c>
      <c r="L2119" s="2">
        <v>490.3</v>
      </c>
      <c r="M2119" s="3">
        <v>0.15</v>
      </c>
      <c r="N2119" t="s">
        <v>34</v>
      </c>
      <c r="O2119" s="2">
        <v>416.76</v>
      </c>
      <c r="P2119" s="2">
        <v>389.32</v>
      </c>
      <c r="Q2119" s="2">
        <v>27.44</v>
      </c>
      <c r="R2119">
        <v>1</v>
      </c>
      <c r="S2119">
        <v>1</v>
      </c>
      <c r="T2119">
        <v>7</v>
      </c>
      <c r="U2119">
        <v>3</v>
      </c>
    </row>
    <row r="2120" spans="1:21" ht="16.5" x14ac:dyDescent="0.3">
      <c r="A2120" t="s">
        <v>2207</v>
      </c>
      <c r="B2120" s="1">
        <v>45617</v>
      </c>
      <c r="C2120">
        <v>2024</v>
      </c>
      <c r="D2120" t="s">
        <v>1738</v>
      </c>
      <c r="E2120" t="s">
        <v>1959</v>
      </c>
      <c r="F2120" t="s">
        <v>24</v>
      </c>
      <c r="G2120" t="s">
        <v>51</v>
      </c>
      <c r="H2120" t="s">
        <v>32</v>
      </c>
      <c r="I2120" t="s">
        <v>36</v>
      </c>
      <c r="J2120" t="s">
        <v>52</v>
      </c>
      <c r="K2120">
        <v>2</v>
      </c>
      <c r="L2120" s="2">
        <v>92.54</v>
      </c>
      <c r="M2120" s="3">
        <v>0.05</v>
      </c>
      <c r="N2120" t="s">
        <v>29</v>
      </c>
      <c r="O2120" s="2">
        <v>175.83</v>
      </c>
      <c r="P2120" s="2">
        <v>88.46</v>
      </c>
      <c r="Q2120" s="2">
        <v>87.37</v>
      </c>
      <c r="R2120">
        <v>1</v>
      </c>
      <c r="S2120">
        <v>0</v>
      </c>
      <c r="T2120">
        <v>3</v>
      </c>
      <c r="U2120">
        <v>5</v>
      </c>
    </row>
    <row r="2121" spans="1:21" ht="16.5" x14ac:dyDescent="0.3">
      <c r="A2121" t="s">
        <v>2208</v>
      </c>
      <c r="B2121" s="1">
        <v>45617</v>
      </c>
      <c r="C2121">
        <v>2024</v>
      </c>
      <c r="D2121" t="s">
        <v>1738</v>
      </c>
      <c r="E2121" t="s">
        <v>1959</v>
      </c>
      <c r="F2121" t="s">
        <v>45</v>
      </c>
      <c r="G2121" t="s">
        <v>46</v>
      </c>
      <c r="H2121" t="s">
        <v>32</v>
      </c>
      <c r="I2121" t="s">
        <v>67</v>
      </c>
      <c r="J2121" t="s">
        <v>93</v>
      </c>
      <c r="K2121">
        <v>1</v>
      </c>
      <c r="L2121" s="2">
        <v>198.42</v>
      </c>
      <c r="M2121" s="3">
        <v>0.25</v>
      </c>
      <c r="N2121" t="s">
        <v>62</v>
      </c>
      <c r="O2121" s="2">
        <v>148.82</v>
      </c>
      <c r="P2121" s="2">
        <v>138.26</v>
      </c>
      <c r="Q2121" s="2">
        <v>10.56</v>
      </c>
      <c r="R2121">
        <v>1</v>
      </c>
      <c r="S2121">
        <v>0</v>
      </c>
      <c r="T2121">
        <v>8</v>
      </c>
      <c r="U2121">
        <v>4</v>
      </c>
    </row>
    <row r="2122" spans="1:21" ht="16.5" x14ac:dyDescent="0.3">
      <c r="A2122" t="s">
        <v>2209</v>
      </c>
      <c r="B2122" s="1">
        <v>45617</v>
      </c>
      <c r="C2122">
        <v>2024</v>
      </c>
      <c r="D2122" t="s">
        <v>1738</v>
      </c>
      <c r="E2122" t="s">
        <v>1959</v>
      </c>
      <c r="F2122" t="s">
        <v>45</v>
      </c>
      <c r="G2122" t="s">
        <v>51</v>
      </c>
      <c r="H2122" t="s">
        <v>26</v>
      </c>
      <c r="I2122" t="s">
        <v>27</v>
      </c>
      <c r="J2122" t="s">
        <v>28</v>
      </c>
      <c r="K2122">
        <v>1</v>
      </c>
      <c r="L2122" s="2">
        <v>138.5</v>
      </c>
      <c r="M2122" s="3">
        <v>0.05</v>
      </c>
      <c r="N2122" t="s">
        <v>29</v>
      </c>
      <c r="O2122" s="2">
        <v>131.57</v>
      </c>
      <c r="P2122" s="2">
        <v>77.42</v>
      </c>
      <c r="Q2122" s="2">
        <v>54.15</v>
      </c>
      <c r="R2122">
        <v>1</v>
      </c>
      <c r="S2122">
        <v>1</v>
      </c>
      <c r="T2122">
        <v>3</v>
      </c>
      <c r="U2122">
        <v>3</v>
      </c>
    </row>
    <row r="2123" spans="1:21" ht="16.5" x14ac:dyDescent="0.3">
      <c r="A2123" t="s">
        <v>2210</v>
      </c>
      <c r="B2123" s="1">
        <v>45617</v>
      </c>
      <c r="C2123">
        <v>2024</v>
      </c>
      <c r="D2123" t="s">
        <v>1738</v>
      </c>
      <c r="E2123" t="s">
        <v>1959</v>
      </c>
      <c r="F2123" t="s">
        <v>24</v>
      </c>
      <c r="G2123" t="s">
        <v>51</v>
      </c>
      <c r="H2123" t="s">
        <v>32</v>
      </c>
      <c r="I2123" t="s">
        <v>67</v>
      </c>
      <c r="J2123" t="s">
        <v>93</v>
      </c>
      <c r="K2123">
        <v>2</v>
      </c>
      <c r="L2123" s="2">
        <v>198.42</v>
      </c>
      <c r="M2123" s="3">
        <v>0.2</v>
      </c>
      <c r="N2123" t="s">
        <v>34</v>
      </c>
      <c r="O2123" s="2">
        <v>317.47000000000003</v>
      </c>
      <c r="P2123" s="2">
        <v>269.17</v>
      </c>
      <c r="Q2123" s="2">
        <v>48.3</v>
      </c>
      <c r="R2123">
        <v>1</v>
      </c>
      <c r="S2123">
        <v>0</v>
      </c>
      <c r="T2123">
        <v>3</v>
      </c>
      <c r="U2123">
        <v>4</v>
      </c>
    </row>
    <row r="2124" spans="1:21" ht="16.5" x14ac:dyDescent="0.3">
      <c r="A2124" t="s">
        <v>2211</v>
      </c>
      <c r="B2124" s="1">
        <v>45618</v>
      </c>
      <c r="C2124">
        <v>2024</v>
      </c>
      <c r="D2124" t="s">
        <v>1738</v>
      </c>
      <c r="E2124" t="s">
        <v>1959</v>
      </c>
      <c r="F2124" t="s">
        <v>31</v>
      </c>
      <c r="G2124" t="s">
        <v>51</v>
      </c>
      <c r="H2124" t="s">
        <v>32</v>
      </c>
      <c r="I2124" t="s">
        <v>70</v>
      </c>
      <c r="J2124" t="s">
        <v>162</v>
      </c>
      <c r="K2124">
        <v>2</v>
      </c>
      <c r="L2124" s="2">
        <v>636.09</v>
      </c>
      <c r="M2124" s="3">
        <v>0.25</v>
      </c>
      <c r="N2124" t="s">
        <v>62</v>
      </c>
      <c r="O2124" s="2">
        <v>954.14</v>
      </c>
      <c r="P2124" s="2">
        <v>1031.8599999999999</v>
      </c>
      <c r="Q2124" s="2">
        <v>-77.72</v>
      </c>
      <c r="R2124">
        <v>1</v>
      </c>
      <c r="S2124">
        <v>0</v>
      </c>
      <c r="T2124">
        <v>3</v>
      </c>
      <c r="U2124">
        <v>5</v>
      </c>
    </row>
    <row r="2125" spans="1:21" ht="16.5" x14ac:dyDescent="0.3">
      <c r="A2125" t="s">
        <v>2212</v>
      </c>
      <c r="B2125" s="1">
        <v>45618</v>
      </c>
      <c r="C2125">
        <v>2024</v>
      </c>
      <c r="D2125" t="s">
        <v>1738</v>
      </c>
      <c r="E2125" t="s">
        <v>1959</v>
      </c>
      <c r="F2125" t="s">
        <v>24</v>
      </c>
      <c r="G2125" t="s">
        <v>65</v>
      </c>
      <c r="H2125" t="s">
        <v>26</v>
      </c>
      <c r="I2125" t="s">
        <v>42</v>
      </c>
      <c r="J2125" t="s">
        <v>43</v>
      </c>
      <c r="K2125">
        <v>1</v>
      </c>
      <c r="L2125" s="2">
        <v>154.66</v>
      </c>
      <c r="M2125" s="3">
        <v>0.2</v>
      </c>
      <c r="N2125" t="s">
        <v>34</v>
      </c>
      <c r="O2125" s="2">
        <v>123.73</v>
      </c>
      <c r="P2125" s="2">
        <v>106.42</v>
      </c>
      <c r="Q2125" s="2">
        <v>17.309999999999999</v>
      </c>
      <c r="R2125">
        <v>1</v>
      </c>
      <c r="S2125">
        <v>0</v>
      </c>
      <c r="T2125">
        <v>8</v>
      </c>
      <c r="U2125">
        <v>3</v>
      </c>
    </row>
    <row r="2126" spans="1:21" ht="16.5" x14ac:dyDescent="0.3">
      <c r="A2126" t="s">
        <v>2213</v>
      </c>
      <c r="B2126" s="1">
        <v>45618</v>
      </c>
      <c r="C2126">
        <v>2024</v>
      </c>
      <c r="D2126" t="s">
        <v>1738</v>
      </c>
      <c r="E2126" t="s">
        <v>1959</v>
      </c>
      <c r="F2126" t="s">
        <v>31</v>
      </c>
      <c r="G2126" t="s">
        <v>46</v>
      </c>
      <c r="H2126" t="s">
        <v>32</v>
      </c>
      <c r="I2126" t="s">
        <v>42</v>
      </c>
      <c r="J2126" t="s">
        <v>89</v>
      </c>
      <c r="K2126">
        <v>1</v>
      </c>
      <c r="L2126" s="2">
        <v>68.349999999999994</v>
      </c>
      <c r="M2126" s="3">
        <v>0.25</v>
      </c>
      <c r="N2126" t="s">
        <v>62</v>
      </c>
      <c r="O2126" s="2">
        <v>51.26</v>
      </c>
      <c r="P2126" s="2">
        <v>45.49</v>
      </c>
      <c r="Q2126" s="2">
        <v>5.77</v>
      </c>
      <c r="R2126">
        <v>1</v>
      </c>
      <c r="S2126">
        <v>0</v>
      </c>
      <c r="T2126">
        <v>6</v>
      </c>
      <c r="U2126">
        <v>4</v>
      </c>
    </row>
    <row r="2127" spans="1:21" ht="16.5" x14ac:dyDescent="0.3">
      <c r="A2127" t="s">
        <v>2214</v>
      </c>
      <c r="B2127" s="1">
        <v>45618</v>
      </c>
      <c r="C2127">
        <v>2024</v>
      </c>
      <c r="D2127" t="s">
        <v>1738</v>
      </c>
      <c r="E2127" t="s">
        <v>1959</v>
      </c>
      <c r="F2127" t="s">
        <v>24</v>
      </c>
      <c r="G2127" t="s">
        <v>51</v>
      </c>
      <c r="H2127" t="s">
        <v>26</v>
      </c>
      <c r="I2127" t="s">
        <v>70</v>
      </c>
      <c r="J2127" t="s">
        <v>82</v>
      </c>
      <c r="K2127">
        <v>1</v>
      </c>
      <c r="L2127" s="2">
        <v>508.8</v>
      </c>
      <c r="M2127" s="3">
        <v>0.2</v>
      </c>
      <c r="N2127" t="s">
        <v>34</v>
      </c>
      <c r="O2127" s="2">
        <v>407.04</v>
      </c>
      <c r="P2127" s="2">
        <v>402.92</v>
      </c>
      <c r="Q2127" s="2">
        <v>4.12</v>
      </c>
      <c r="R2127">
        <v>1</v>
      </c>
      <c r="S2127">
        <v>0</v>
      </c>
      <c r="T2127">
        <v>3</v>
      </c>
      <c r="U2127">
        <v>5</v>
      </c>
    </row>
    <row r="2128" spans="1:21" ht="16.5" x14ac:dyDescent="0.3">
      <c r="A2128" t="s">
        <v>2215</v>
      </c>
      <c r="B2128" s="1">
        <v>45618</v>
      </c>
      <c r="C2128">
        <v>2024</v>
      </c>
      <c r="D2128" t="s">
        <v>1738</v>
      </c>
      <c r="E2128" t="s">
        <v>1959</v>
      </c>
      <c r="F2128" t="s">
        <v>24</v>
      </c>
      <c r="G2128" t="s">
        <v>25</v>
      </c>
      <c r="H2128" t="s">
        <v>32</v>
      </c>
      <c r="I2128" t="s">
        <v>27</v>
      </c>
      <c r="J2128" t="s">
        <v>60</v>
      </c>
      <c r="K2128">
        <v>3</v>
      </c>
      <c r="L2128" s="2">
        <v>94.85</v>
      </c>
      <c r="M2128" s="3">
        <v>0.1</v>
      </c>
      <c r="N2128" t="s">
        <v>29</v>
      </c>
      <c r="O2128" s="2">
        <v>256.08999999999997</v>
      </c>
      <c r="P2128" s="2">
        <v>154.55000000000001</v>
      </c>
      <c r="Q2128" s="2">
        <v>101.54</v>
      </c>
      <c r="R2128">
        <v>1</v>
      </c>
      <c r="S2128">
        <v>0</v>
      </c>
      <c r="T2128">
        <v>4</v>
      </c>
      <c r="U2128">
        <v>4</v>
      </c>
    </row>
    <row r="2129" spans="1:21" ht="16.5" x14ac:dyDescent="0.3">
      <c r="A2129" t="s">
        <v>2216</v>
      </c>
      <c r="B2129" s="1">
        <v>45618</v>
      </c>
      <c r="C2129">
        <v>2024</v>
      </c>
      <c r="D2129" t="s">
        <v>1738</v>
      </c>
      <c r="E2129" t="s">
        <v>1959</v>
      </c>
      <c r="F2129" t="s">
        <v>31</v>
      </c>
      <c r="G2129" t="s">
        <v>46</v>
      </c>
      <c r="H2129" t="s">
        <v>26</v>
      </c>
      <c r="I2129" t="s">
        <v>70</v>
      </c>
      <c r="J2129" t="s">
        <v>82</v>
      </c>
      <c r="K2129">
        <v>3</v>
      </c>
      <c r="L2129" s="2">
        <v>508.8</v>
      </c>
      <c r="M2129" s="3">
        <v>0.3</v>
      </c>
      <c r="N2129" t="s">
        <v>62</v>
      </c>
      <c r="O2129" s="2">
        <v>1068.48</v>
      </c>
      <c r="P2129" s="2">
        <v>1186.8800000000001</v>
      </c>
      <c r="Q2129" s="2">
        <v>-118.4</v>
      </c>
      <c r="R2129">
        <v>1</v>
      </c>
      <c r="S2129">
        <v>0</v>
      </c>
      <c r="T2129">
        <v>6</v>
      </c>
      <c r="U2129">
        <v>4</v>
      </c>
    </row>
    <row r="2130" spans="1:21" ht="16.5" x14ac:dyDescent="0.3">
      <c r="A2130" t="s">
        <v>2217</v>
      </c>
      <c r="B2130" s="1">
        <v>45618</v>
      </c>
      <c r="C2130">
        <v>2024</v>
      </c>
      <c r="D2130" t="s">
        <v>1738</v>
      </c>
      <c r="E2130" t="s">
        <v>1959</v>
      </c>
      <c r="F2130" t="s">
        <v>24</v>
      </c>
      <c r="G2130" t="s">
        <v>65</v>
      </c>
      <c r="H2130" t="s">
        <v>32</v>
      </c>
      <c r="I2130" t="s">
        <v>42</v>
      </c>
      <c r="J2130" t="s">
        <v>43</v>
      </c>
      <c r="K2130">
        <v>2</v>
      </c>
      <c r="L2130" s="2">
        <v>154.66</v>
      </c>
      <c r="M2130" s="3">
        <v>0.05</v>
      </c>
      <c r="N2130" t="s">
        <v>29</v>
      </c>
      <c r="O2130" s="2">
        <v>293.85000000000002</v>
      </c>
      <c r="P2130" s="2">
        <v>210.25</v>
      </c>
      <c r="Q2130" s="2">
        <v>83.6</v>
      </c>
      <c r="R2130">
        <v>1</v>
      </c>
      <c r="S2130">
        <v>1</v>
      </c>
      <c r="T2130">
        <v>8</v>
      </c>
      <c r="U2130">
        <v>3</v>
      </c>
    </row>
    <row r="2131" spans="1:21" ht="16.5" x14ac:dyDescent="0.3">
      <c r="A2131" t="s">
        <v>2218</v>
      </c>
      <c r="B2131" s="1">
        <v>45619</v>
      </c>
      <c r="C2131">
        <v>2024</v>
      </c>
      <c r="D2131" t="s">
        <v>1738</v>
      </c>
      <c r="E2131" t="s">
        <v>1959</v>
      </c>
      <c r="F2131" t="s">
        <v>24</v>
      </c>
      <c r="G2131" t="s">
        <v>49</v>
      </c>
      <c r="H2131" t="s">
        <v>32</v>
      </c>
      <c r="I2131" t="s">
        <v>36</v>
      </c>
      <c r="J2131" t="s">
        <v>37</v>
      </c>
      <c r="K2131">
        <v>2</v>
      </c>
      <c r="L2131" s="2">
        <v>33.18</v>
      </c>
      <c r="M2131" s="3">
        <v>0.1</v>
      </c>
      <c r="N2131" t="s">
        <v>29</v>
      </c>
      <c r="O2131" s="2">
        <v>59.72</v>
      </c>
      <c r="P2131" s="2">
        <v>31.27</v>
      </c>
      <c r="Q2131" s="2">
        <v>28.45</v>
      </c>
      <c r="R2131">
        <v>1</v>
      </c>
      <c r="S2131">
        <v>0</v>
      </c>
      <c r="T2131">
        <v>4</v>
      </c>
      <c r="U2131">
        <v>4</v>
      </c>
    </row>
    <row r="2132" spans="1:21" ht="16.5" x14ac:dyDescent="0.3">
      <c r="A2132" t="s">
        <v>2219</v>
      </c>
      <c r="B2132" s="1">
        <v>45619</v>
      </c>
      <c r="C2132">
        <v>2024</v>
      </c>
      <c r="D2132" t="s">
        <v>1738</v>
      </c>
      <c r="E2132" t="s">
        <v>1959</v>
      </c>
      <c r="F2132" t="s">
        <v>24</v>
      </c>
      <c r="G2132" t="s">
        <v>49</v>
      </c>
      <c r="H2132" t="s">
        <v>26</v>
      </c>
      <c r="I2132" t="s">
        <v>67</v>
      </c>
      <c r="J2132" t="s">
        <v>78</v>
      </c>
      <c r="K2132">
        <v>1</v>
      </c>
      <c r="L2132" s="2">
        <v>85.42</v>
      </c>
      <c r="M2132" s="3">
        <v>0.2</v>
      </c>
      <c r="N2132" t="s">
        <v>34</v>
      </c>
      <c r="O2132" s="2">
        <v>68.34</v>
      </c>
      <c r="P2132" s="2">
        <v>58.95</v>
      </c>
      <c r="Q2132" s="2">
        <v>9.39</v>
      </c>
      <c r="R2132">
        <v>1</v>
      </c>
      <c r="S2132">
        <v>0</v>
      </c>
      <c r="T2132">
        <v>4</v>
      </c>
      <c r="U2132">
        <v>5</v>
      </c>
    </row>
    <row r="2133" spans="1:21" ht="16.5" x14ac:dyDescent="0.3">
      <c r="A2133" t="s">
        <v>2220</v>
      </c>
      <c r="B2133" s="1">
        <v>45619</v>
      </c>
      <c r="C2133">
        <v>2024</v>
      </c>
      <c r="D2133" t="s">
        <v>1738</v>
      </c>
      <c r="E2133" t="s">
        <v>1959</v>
      </c>
      <c r="F2133" t="s">
        <v>24</v>
      </c>
      <c r="G2133" t="s">
        <v>49</v>
      </c>
      <c r="H2133" t="s">
        <v>32</v>
      </c>
      <c r="I2133" t="s">
        <v>27</v>
      </c>
      <c r="J2133" t="s">
        <v>110</v>
      </c>
      <c r="K2133">
        <v>1</v>
      </c>
      <c r="L2133" s="2">
        <v>19.41</v>
      </c>
      <c r="M2133" s="3">
        <v>0.1</v>
      </c>
      <c r="N2133" t="s">
        <v>29</v>
      </c>
      <c r="O2133" s="2">
        <v>17.47</v>
      </c>
      <c r="P2133" s="2">
        <v>10.96</v>
      </c>
      <c r="Q2133" s="2">
        <v>6.51</v>
      </c>
      <c r="R2133">
        <v>1</v>
      </c>
      <c r="S2133">
        <v>0</v>
      </c>
      <c r="T2133">
        <v>4</v>
      </c>
      <c r="U2133">
        <v>5</v>
      </c>
    </row>
    <row r="2134" spans="1:21" ht="16.5" x14ac:dyDescent="0.3">
      <c r="A2134" t="s">
        <v>2221</v>
      </c>
      <c r="B2134" s="1">
        <v>45619</v>
      </c>
      <c r="C2134">
        <v>2024</v>
      </c>
      <c r="D2134" t="s">
        <v>1738</v>
      </c>
      <c r="E2134" t="s">
        <v>1959</v>
      </c>
      <c r="F2134" t="s">
        <v>24</v>
      </c>
      <c r="G2134" t="s">
        <v>51</v>
      </c>
      <c r="H2134" t="s">
        <v>32</v>
      </c>
      <c r="I2134" t="s">
        <v>42</v>
      </c>
      <c r="J2134" t="s">
        <v>54</v>
      </c>
      <c r="K2134">
        <v>2</v>
      </c>
      <c r="L2134" s="2">
        <v>148.05000000000001</v>
      </c>
      <c r="M2134" s="3">
        <v>0.2</v>
      </c>
      <c r="N2134" t="s">
        <v>34</v>
      </c>
      <c r="O2134" s="2">
        <v>236.88</v>
      </c>
      <c r="P2134" s="2">
        <v>199.43</v>
      </c>
      <c r="Q2134" s="2">
        <v>37.450000000000003</v>
      </c>
      <c r="R2134">
        <v>1</v>
      </c>
      <c r="S2134">
        <v>0</v>
      </c>
      <c r="T2134">
        <v>4</v>
      </c>
      <c r="U2134">
        <v>5</v>
      </c>
    </row>
    <row r="2135" spans="1:21" ht="16.5" x14ac:dyDescent="0.3">
      <c r="A2135" t="s">
        <v>2222</v>
      </c>
      <c r="B2135" s="1">
        <v>45619</v>
      </c>
      <c r="C2135">
        <v>2024</v>
      </c>
      <c r="D2135" t="s">
        <v>1738</v>
      </c>
      <c r="E2135" t="s">
        <v>1959</v>
      </c>
      <c r="F2135" t="s">
        <v>24</v>
      </c>
      <c r="G2135" t="s">
        <v>46</v>
      </c>
      <c r="H2135" t="s">
        <v>32</v>
      </c>
      <c r="I2135" t="s">
        <v>67</v>
      </c>
      <c r="J2135" t="s">
        <v>103</v>
      </c>
      <c r="K2135">
        <v>1</v>
      </c>
      <c r="L2135" s="2">
        <v>83.06</v>
      </c>
      <c r="M2135" s="3">
        <v>0.3</v>
      </c>
      <c r="N2135" t="s">
        <v>62</v>
      </c>
      <c r="O2135" s="2">
        <v>58.14</v>
      </c>
      <c r="P2135" s="2">
        <v>53.66</v>
      </c>
      <c r="Q2135" s="2">
        <v>4.4800000000000004</v>
      </c>
      <c r="R2135">
        <v>1</v>
      </c>
      <c r="S2135">
        <v>0</v>
      </c>
      <c r="T2135">
        <v>7</v>
      </c>
      <c r="U2135">
        <v>4</v>
      </c>
    </row>
    <row r="2136" spans="1:21" ht="16.5" x14ac:dyDescent="0.3">
      <c r="A2136" t="s">
        <v>2223</v>
      </c>
      <c r="B2136" s="1">
        <v>45619</v>
      </c>
      <c r="C2136">
        <v>2024</v>
      </c>
      <c r="D2136" t="s">
        <v>1738</v>
      </c>
      <c r="E2136" t="s">
        <v>1959</v>
      </c>
      <c r="F2136" t="s">
        <v>31</v>
      </c>
      <c r="G2136" t="s">
        <v>51</v>
      </c>
      <c r="H2136" t="s">
        <v>32</v>
      </c>
      <c r="I2136" t="s">
        <v>27</v>
      </c>
      <c r="J2136" t="s">
        <v>47</v>
      </c>
      <c r="K2136">
        <v>1</v>
      </c>
      <c r="L2136" s="2">
        <v>33.99</v>
      </c>
      <c r="M2136" s="3">
        <v>0.3</v>
      </c>
      <c r="N2136" t="s">
        <v>62</v>
      </c>
      <c r="O2136" s="2">
        <v>23.79</v>
      </c>
      <c r="P2136" s="2">
        <v>17.66</v>
      </c>
      <c r="Q2136" s="2">
        <v>6.13</v>
      </c>
      <c r="R2136">
        <v>1</v>
      </c>
      <c r="S2136">
        <v>0</v>
      </c>
      <c r="T2136">
        <v>3</v>
      </c>
      <c r="U2136">
        <v>4</v>
      </c>
    </row>
    <row r="2137" spans="1:21" ht="16.5" x14ac:dyDescent="0.3">
      <c r="A2137" t="s">
        <v>2224</v>
      </c>
      <c r="B2137" s="1">
        <v>45619</v>
      </c>
      <c r="C2137">
        <v>2024</v>
      </c>
      <c r="D2137" t="s">
        <v>1738</v>
      </c>
      <c r="E2137" t="s">
        <v>1959</v>
      </c>
      <c r="F2137" t="s">
        <v>24</v>
      </c>
      <c r="G2137" t="s">
        <v>46</v>
      </c>
      <c r="H2137" t="s">
        <v>32</v>
      </c>
      <c r="I2137" t="s">
        <v>67</v>
      </c>
      <c r="J2137" t="s">
        <v>103</v>
      </c>
      <c r="K2137">
        <v>1</v>
      </c>
      <c r="L2137" s="2">
        <v>83.06</v>
      </c>
      <c r="M2137" s="3">
        <v>0.25</v>
      </c>
      <c r="N2137" t="s">
        <v>62</v>
      </c>
      <c r="O2137" s="2">
        <v>62.3</v>
      </c>
      <c r="P2137" s="2">
        <v>55.16</v>
      </c>
      <c r="Q2137" s="2">
        <v>7.14</v>
      </c>
      <c r="R2137">
        <v>1</v>
      </c>
      <c r="S2137">
        <v>0</v>
      </c>
      <c r="T2137">
        <v>6</v>
      </c>
      <c r="U2137">
        <v>3</v>
      </c>
    </row>
    <row r="2138" spans="1:21" ht="16.5" x14ac:dyDescent="0.3">
      <c r="A2138" t="s">
        <v>2225</v>
      </c>
      <c r="B2138" s="1">
        <v>45619</v>
      </c>
      <c r="C2138">
        <v>2024</v>
      </c>
      <c r="D2138" t="s">
        <v>1738</v>
      </c>
      <c r="E2138" t="s">
        <v>1959</v>
      </c>
      <c r="F2138" t="s">
        <v>24</v>
      </c>
      <c r="G2138" t="s">
        <v>25</v>
      </c>
      <c r="H2138" t="s">
        <v>32</v>
      </c>
      <c r="I2138" t="s">
        <v>67</v>
      </c>
      <c r="J2138" t="s">
        <v>78</v>
      </c>
      <c r="K2138">
        <v>1</v>
      </c>
      <c r="L2138" s="2">
        <v>85.42</v>
      </c>
      <c r="M2138" s="3">
        <v>0.1</v>
      </c>
      <c r="N2138" t="s">
        <v>29</v>
      </c>
      <c r="O2138" s="2">
        <v>76.88</v>
      </c>
      <c r="P2138" s="2">
        <v>58.07</v>
      </c>
      <c r="Q2138" s="2">
        <v>18.809999999999999</v>
      </c>
      <c r="R2138">
        <v>1</v>
      </c>
      <c r="S2138">
        <v>0</v>
      </c>
      <c r="T2138">
        <v>7</v>
      </c>
      <c r="U2138">
        <v>4</v>
      </c>
    </row>
    <row r="2139" spans="1:21" ht="16.5" x14ac:dyDescent="0.3">
      <c r="A2139" t="s">
        <v>2226</v>
      </c>
      <c r="B2139" s="1">
        <v>45619</v>
      </c>
      <c r="C2139">
        <v>2024</v>
      </c>
      <c r="D2139" t="s">
        <v>1738</v>
      </c>
      <c r="E2139" t="s">
        <v>1959</v>
      </c>
      <c r="F2139" t="s">
        <v>31</v>
      </c>
      <c r="G2139" t="s">
        <v>46</v>
      </c>
      <c r="H2139" t="s">
        <v>32</v>
      </c>
      <c r="I2139" t="s">
        <v>42</v>
      </c>
      <c r="J2139" t="s">
        <v>98</v>
      </c>
      <c r="K2139">
        <v>1</v>
      </c>
      <c r="L2139" s="2">
        <v>117.63</v>
      </c>
      <c r="M2139" s="3">
        <v>0.2</v>
      </c>
      <c r="N2139" t="s">
        <v>34</v>
      </c>
      <c r="O2139" s="2">
        <v>94.1</v>
      </c>
      <c r="P2139" s="2">
        <v>75.22</v>
      </c>
      <c r="Q2139" s="2">
        <v>18.88</v>
      </c>
      <c r="R2139">
        <v>1</v>
      </c>
      <c r="S2139">
        <v>0</v>
      </c>
      <c r="T2139">
        <v>7</v>
      </c>
      <c r="U2139">
        <v>3</v>
      </c>
    </row>
    <row r="2140" spans="1:21" ht="16.5" x14ac:dyDescent="0.3">
      <c r="A2140" t="s">
        <v>2227</v>
      </c>
      <c r="B2140" s="1">
        <v>45619</v>
      </c>
      <c r="C2140">
        <v>2024</v>
      </c>
      <c r="D2140" t="s">
        <v>1738</v>
      </c>
      <c r="E2140" t="s">
        <v>1959</v>
      </c>
      <c r="F2140" t="s">
        <v>24</v>
      </c>
      <c r="G2140" t="s">
        <v>25</v>
      </c>
      <c r="H2140" t="s">
        <v>32</v>
      </c>
      <c r="I2140" t="s">
        <v>27</v>
      </c>
      <c r="J2140" t="s">
        <v>28</v>
      </c>
      <c r="K2140">
        <v>2</v>
      </c>
      <c r="L2140" s="2">
        <v>138.5</v>
      </c>
      <c r="M2140" s="3">
        <v>0.2</v>
      </c>
      <c r="N2140" t="s">
        <v>34</v>
      </c>
      <c r="O2140" s="2">
        <v>221.6</v>
      </c>
      <c r="P2140" s="2">
        <v>151.56</v>
      </c>
      <c r="Q2140" s="2">
        <v>70.040000000000006</v>
      </c>
      <c r="R2140">
        <v>1</v>
      </c>
      <c r="S2140">
        <v>0</v>
      </c>
      <c r="T2140">
        <v>4</v>
      </c>
      <c r="U2140">
        <v>5</v>
      </c>
    </row>
    <row r="2141" spans="1:21" ht="16.5" x14ac:dyDescent="0.3">
      <c r="A2141" t="s">
        <v>2228</v>
      </c>
      <c r="B2141" s="1">
        <v>45619</v>
      </c>
      <c r="C2141">
        <v>2024</v>
      </c>
      <c r="D2141" t="s">
        <v>1738</v>
      </c>
      <c r="E2141" t="s">
        <v>1959</v>
      </c>
      <c r="F2141" t="s">
        <v>31</v>
      </c>
      <c r="G2141" t="s">
        <v>51</v>
      </c>
      <c r="H2141" t="s">
        <v>32</v>
      </c>
      <c r="I2141" t="s">
        <v>36</v>
      </c>
      <c r="J2141" t="s">
        <v>52</v>
      </c>
      <c r="K2141">
        <v>2</v>
      </c>
      <c r="L2141" s="2">
        <v>92.54</v>
      </c>
      <c r="M2141" s="3">
        <v>0.15</v>
      </c>
      <c r="N2141" t="s">
        <v>34</v>
      </c>
      <c r="O2141" s="2">
        <v>157.32</v>
      </c>
      <c r="P2141" s="2">
        <v>88.8</v>
      </c>
      <c r="Q2141" s="2">
        <v>68.52</v>
      </c>
      <c r="R2141">
        <v>1</v>
      </c>
      <c r="S2141">
        <v>0</v>
      </c>
      <c r="T2141">
        <v>4</v>
      </c>
      <c r="U2141">
        <v>4</v>
      </c>
    </row>
    <row r="2142" spans="1:21" ht="16.5" x14ac:dyDescent="0.3">
      <c r="A2142" t="s">
        <v>2229</v>
      </c>
      <c r="B2142" s="1">
        <v>45619</v>
      </c>
      <c r="C2142">
        <v>2024</v>
      </c>
      <c r="D2142" t="s">
        <v>1738</v>
      </c>
      <c r="E2142" t="s">
        <v>1959</v>
      </c>
      <c r="F2142" t="s">
        <v>45</v>
      </c>
      <c r="G2142" t="s">
        <v>49</v>
      </c>
      <c r="H2142" t="s">
        <v>26</v>
      </c>
      <c r="I2142" t="s">
        <v>36</v>
      </c>
      <c r="J2142" t="s">
        <v>115</v>
      </c>
      <c r="K2142">
        <v>1</v>
      </c>
      <c r="L2142" s="2">
        <v>33.479999999999997</v>
      </c>
      <c r="M2142" s="3">
        <v>0.25</v>
      </c>
      <c r="N2142" t="s">
        <v>62</v>
      </c>
      <c r="O2142" s="2">
        <v>25.11</v>
      </c>
      <c r="P2142" s="2">
        <v>15.93</v>
      </c>
      <c r="Q2142" s="2">
        <v>9.18</v>
      </c>
      <c r="R2142">
        <v>1</v>
      </c>
      <c r="S2142">
        <v>0</v>
      </c>
      <c r="T2142">
        <v>5</v>
      </c>
      <c r="U2142">
        <v>4</v>
      </c>
    </row>
    <row r="2143" spans="1:21" ht="16.5" x14ac:dyDescent="0.3">
      <c r="A2143" t="s">
        <v>2230</v>
      </c>
      <c r="B2143" s="1">
        <v>45619</v>
      </c>
      <c r="C2143">
        <v>2024</v>
      </c>
      <c r="D2143" t="s">
        <v>1738</v>
      </c>
      <c r="E2143" t="s">
        <v>1959</v>
      </c>
      <c r="F2143" t="s">
        <v>24</v>
      </c>
      <c r="G2143" t="s">
        <v>25</v>
      </c>
      <c r="H2143" t="s">
        <v>32</v>
      </c>
      <c r="I2143" t="s">
        <v>70</v>
      </c>
      <c r="J2143" t="s">
        <v>82</v>
      </c>
      <c r="K2143">
        <v>1</v>
      </c>
      <c r="L2143" s="2">
        <v>508.8</v>
      </c>
      <c r="M2143" s="3">
        <v>0</v>
      </c>
      <c r="N2143" t="s">
        <v>38</v>
      </c>
      <c r="O2143" s="2">
        <v>508.8</v>
      </c>
      <c r="P2143" s="2">
        <v>380.27</v>
      </c>
      <c r="Q2143" s="2">
        <v>128.53</v>
      </c>
      <c r="R2143">
        <v>1</v>
      </c>
      <c r="S2143">
        <v>0</v>
      </c>
      <c r="T2143">
        <v>5</v>
      </c>
      <c r="U2143">
        <v>4</v>
      </c>
    </row>
    <row r="2144" spans="1:21" ht="16.5" x14ac:dyDescent="0.3">
      <c r="A2144" t="s">
        <v>2231</v>
      </c>
      <c r="B2144" s="1">
        <v>45619</v>
      </c>
      <c r="C2144">
        <v>2024</v>
      </c>
      <c r="D2144" t="s">
        <v>1738</v>
      </c>
      <c r="E2144" t="s">
        <v>1959</v>
      </c>
      <c r="F2144" t="s">
        <v>24</v>
      </c>
      <c r="G2144" t="s">
        <v>51</v>
      </c>
      <c r="H2144" t="s">
        <v>26</v>
      </c>
      <c r="I2144" t="s">
        <v>67</v>
      </c>
      <c r="J2144" t="s">
        <v>93</v>
      </c>
      <c r="K2144">
        <v>1</v>
      </c>
      <c r="L2144" s="2">
        <v>198.42</v>
      </c>
      <c r="M2144" s="3">
        <v>0.25</v>
      </c>
      <c r="N2144" t="s">
        <v>62</v>
      </c>
      <c r="O2144" s="2">
        <v>148.82</v>
      </c>
      <c r="P2144" s="2">
        <v>134.82</v>
      </c>
      <c r="Q2144" s="2">
        <v>14</v>
      </c>
      <c r="R2144">
        <v>1</v>
      </c>
      <c r="S2144">
        <v>0</v>
      </c>
      <c r="T2144">
        <v>4</v>
      </c>
      <c r="U2144">
        <v>5</v>
      </c>
    </row>
    <row r="2145" spans="1:21" ht="16.5" x14ac:dyDescent="0.3">
      <c r="A2145" t="s">
        <v>2232</v>
      </c>
      <c r="B2145" s="1">
        <v>45619</v>
      </c>
      <c r="C2145">
        <v>2024</v>
      </c>
      <c r="D2145" t="s">
        <v>1738</v>
      </c>
      <c r="E2145" t="s">
        <v>1959</v>
      </c>
      <c r="F2145" t="s">
        <v>24</v>
      </c>
      <c r="G2145" t="s">
        <v>49</v>
      </c>
      <c r="H2145" t="s">
        <v>32</v>
      </c>
      <c r="I2145" t="s">
        <v>42</v>
      </c>
      <c r="J2145" t="s">
        <v>58</v>
      </c>
      <c r="K2145">
        <v>2</v>
      </c>
      <c r="L2145" s="2">
        <v>233.81</v>
      </c>
      <c r="M2145" s="3">
        <v>0.05</v>
      </c>
      <c r="N2145" t="s">
        <v>29</v>
      </c>
      <c r="O2145" s="2">
        <v>444.24</v>
      </c>
      <c r="P2145" s="2">
        <v>330.87</v>
      </c>
      <c r="Q2145" s="2">
        <v>113.37</v>
      </c>
      <c r="R2145">
        <v>1</v>
      </c>
      <c r="S2145">
        <v>0</v>
      </c>
      <c r="T2145">
        <v>4</v>
      </c>
      <c r="U2145">
        <v>4</v>
      </c>
    </row>
    <row r="2146" spans="1:21" ht="16.5" x14ac:dyDescent="0.3">
      <c r="A2146" t="s">
        <v>2233</v>
      </c>
      <c r="B2146" s="1">
        <v>45620</v>
      </c>
      <c r="C2146">
        <v>2024</v>
      </c>
      <c r="D2146" t="s">
        <v>1738</v>
      </c>
      <c r="E2146" t="s">
        <v>1959</v>
      </c>
      <c r="F2146" t="s">
        <v>24</v>
      </c>
      <c r="G2146" t="s">
        <v>51</v>
      </c>
      <c r="H2146" t="s">
        <v>26</v>
      </c>
      <c r="I2146" t="s">
        <v>70</v>
      </c>
      <c r="J2146" t="s">
        <v>252</v>
      </c>
      <c r="K2146">
        <v>1</v>
      </c>
      <c r="L2146" s="2">
        <v>216.08</v>
      </c>
      <c r="M2146" s="3">
        <v>0.3</v>
      </c>
      <c r="N2146" t="s">
        <v>62</v>
      </c>
      <c r="O2146" s="2">
        <v>151.26</v>
      </c>
      <c r="P2146" s="2">
        <v>165.94</v>
      </c>
      <c r="Q2146" s="2">
        <v>-14.68</v>
      </c>
      <c r="R2146">
        <v>1</v>
      </c>
      <c r="S2146">
        <v>1</v>
      </c>
      <c r="T2146">
        <v>4</v>
      </c>
      <c r="U2146">
        <v>3</v>
      </c>
    </row>
    <row r="2147" spans="1:21" ht="16.5" x14ac:dyDescent="0.3">
      <c r="A2147" t="s">
        <v>2234</v>
      </c>
      <c r="B2147" s="1">
        <v>45620</v>
      </c>
      <c r="C2147">
        <v>2024</v>
      </c>
      <c r="D2147" t="s">
        <v>1738</v>
      </c>
      <c r="E2147" t="s">
        <v>1959</v>
      </c>
      <c r="F2147" t="s">
        <v>45</v>
      </c>
      <c r="G2147" t="s">
        <v>65</v>
      </c>
      <c r="H2147" t="s">
        <v>32</v>
      </c>
      <c r="I2147" t="s">
        <v>70</v>
      </c>
      <c r="J2147" t="s">
        <v>82</v>
      </c>
      <c r="K2147">
        <v>4</v>
      </c>
      <c r="L2147" s="2">
        <v>508.8</v>
      </c>
      <c r="M2147" s="3">
        <v>0.15</v>
      </c>
      <c r="N2147" t="s">
        <v>34</v>
      </c>
      <c r="O2147" s="2">
        <v>1729.92</v>
      </c>
      <c r="P2147" s="2">
        <v>1718.52</v>
      </c>
      <c r="Q2147" s="2">
        <v>11.4</v>
      </c>
      <c r="R2147">
        <v>1</v>
      </c>
      <c r="S2147">
        <v>0</v>
      </c>
      <c r="T2147">
        <v>9</v>
      </c>
      <c r="U2147">
        <v>3</v>
      </c>
    </row>
    <row r="2148" spans="1:21" ht="16.5" x14ac:dyDescent="0.3">
      <c r="A2148" t="s">
        <v>2235</v>
      </c>
      <c r="B2148" s="1">
        <v>45620</v>
      </c>
      <c r="C2148">
        <v>2024</v>
      </c>
      <c r="D2148" t="s">
        <v>1738</v>
      </c>
      <c r="E2148" t="s">
        <v>1959</v>
      </c>
      <c r="F2148" t="s">
        <v>24</v>
      </c>
      <c r="G2148" t="s">
        <v>65</v>
      </c>
      <c r="H2148" t="s">
        <v>26</v>
      </c>
      <c r="I2148" t="s">
        <v>84</v>
      </c>
      <c r="J2148" t="s">
        <v>106</v>
      </c>
      <c r="K2148">
        <v>1</v>
      </c>
      <c r="L2148" s="2">
        <v>45.28</v>
      </c>
      <c r="M2148" s="3">
        <v>0.1</v>
      </c>
      <c r="N2148" t="s">
        <v>29</v>
      </c>
      <c r="O2148" s="2">
        <v>40.75</v>
      </c>
      <c r="P2148" s="2">
        <v>33.119999999999997</v>
      </c>
      <c r="Q2148" s="2">
        <v>7.63</v>
      </c>
      <c r="R2148">
        <v>1</v>
      </c>
      <c r="S2148">
        <v>0</v>
      </c>
      <c r="T2148">
        <v>9</v>
      </c>
      <c r="U2148">
        <v>2</v>
      </c>
    </row>
    <row r="2149" spans="1:21" ht="16.5" x14ac:dyDescent="0.3">
      <c r="A2149" t="s">
        <v>2236</v>
      </c>
      <c r="B2149" s="1">
        <v>45620</v>
      </c>
      <c r="C2149">
        <v>2024</v>
      </c>
      <c r="D2149" t="s">
        <v>1738</v>
      </c>
      <c r="E2149" t="s">
        <v>1959</v>
      </c>
      <c r="F2149" t="s">
        <v>45</v>
      </c>
      <c r="G2149" t="s">
        <v>51</v>
      </c>
      <c r="H2149" t="s">
        <v>32</v>
      </c>
      <c r="I2149" t="s">
        <v>70</v>
      </c>
      <c r="J2149" t="s">
        <v>87</v>
      </c>
      <c r="K2149">
        <v>1</v>
      </c>
      <c r="L2149" s="2">
        <v>490.3</v>
      </c>
      <c r="M2149" s="3">
        <v>0.3</v>
      </c>
      <c r="N2149" t="s">
        <v>62</v>
      </c>
      <c r="O2149" s="2">
        <v>343.21</v>
      </c>
      <c r="P2149" s="2">
        <v>371.36</v>
      </c>
      <c r="Q2149" s="2">
        <v>-28.15</v>
      </c>
      <c r="R2149">
        <v>1</v>
      </c>
      <c r="S2149">
        <v>0</v>
      </c>
      <c r="T2149">
        <v>3</v>
      </c>
      <c r="U2149">
        <v>4</v>
      </c>
    </row>
    <row r="2150" spans="1:21" ht="16.5" x14ac:dyDescent="0.3">
      <c r="A2150" t="s">
        <v>2237</v>
      </c>
      <c r="B2150" s="1">
        <v>45620</v>
      </c>
      <c r="C2150">
        <v>2024</v>
      </c>
      <c r="D2150" t="s">
        <v>1738</v>
      </c>
      <c r="E2150" t="s">
        <v>1959</v>
      </c>
      <c r="F2150" t="s">
        <v>31</v>
      </c>
      <c r="G2150" t="s">
        <v>25</v>
      </c>
      <c r="H2150" t="s">
        <v>26</v>
      </c>
      <c r="I2150" t="s">
        <v>67</v>
      </c>
      <c r="J2150" t="s">
        <v>68</v>
      </c>
      <c r="K2150">
        <v>1</v>
      </c>
      <c r="L2150" s="2">
        <v>74.459999999999994</v>
      </c>
      <c r="M2150" s="3">
        <v>0.1</v>
      </c>
      <c r="N2150" t="s">
        <v>29</v>
      </c>
      <c r="O2150" s="2">
        <v>67.010000000000005</v>
      </c>
      <c r="P2150" s="2">
        <v>51.5</v>
      </c>
      <c r="Q2150" s="2">
        <v>15.51</v>
      </c>
      <c r="R2150">
        <v>1</v>
      </c>
      <c r="S2150">
        <v>0</v>
      </c>
      <c r="T2150">
        <v>4</v>
      </c>
      <c r="U2150">
        <v>4</v>
      </c>
    </row>
    <row r="2151" spans="1:21" ht="16.5" x14ac:dyDescent="0.3">
      <c r="A2151" t="s">
        <v>2238</v>
      </c>
      <c r="B2151" s="1">
        <v>45620</v>
      </c>
      <c r="C2151">
        <v>2024</v>
      </c>
      <c r="D2151" t="s">
        <v>1738</v>
      </c>
      <c r="E2151" t="s">
        <v>1959</v>
      </c>
      <c r="F2151" t="s">
        <v>24</v>
      </c>
      <c r="G2151" t="s">
        <v>49</v>
      </c>
      <c r="H2151" t="s">
        <v>26</v>
      </c>
      <c r="I2151" t="s">
        <v>27</v>
      </c>
      <c r="J2151" t="s">
        <v>28</v>
      </c>
      <c r="K2151">
        <v>3</v>
      </c>
      <c r="L2151" s="2">
        <v>138.5</v>
      </c>
      <c r="M2151" s="3">
        <v>0.3</v>
      </c>
      <c r="N2151" t="s">
        <v>62</v>
      </c>
      <c r="O2151" s="2">
        <v>290.85000000000002</v>
      </c>
      <c r="P2151" s="2">
        <v>218.64</v>
      </c>
      <c r="Q2151" s="2">
        <v>72.209999999999994</v>
      </c>
      <c r="R2151">
        <v>1</v>
      </c>
      <c r="S2151">
        <v>1</v>
      </c>
      <c r="T2151">
        <v>5</v>
      </c>
      <c r="U2151">
        <v>3</v>
      </c>
    </row>
    <row r="2152" spans="1:21" ht="16.5" x14ac:dyDescent="0.3">
      <c r="A2152" t="s">
        <v>2239</v>
      </c>
      <c r="B2152" s="1">
        <v>45620</v>
      </c>
      <c r="C2152">
        <v>2024</v>
      </c>
      <c r="D2152" t="s">
        <v>1738</v>
      </c>
      <c r="E2152" t="s">
        <v>1959</v>
      </c>
      <c r="F2152" t="s">
        <v>24</v>
      </c>
      <c r="G2152" t="s">
        <v>46</v>
      </c>
      <c r="H2152" t="s">
        <v>26</v>
      </c>
      <c r="I2152" t="s">
        <v>42</v>
      </c>
      <c r="J2152" t="s">
        <v>54</v>
      </c>
      <c r="K2152">
        <v>4</v>
      </c>
      <c r="L2152" s="2">
        <v>148.05000000000001</v>
      </c>
      <c r="M2152" s="3">
        <v>0.25</v>
      </c>
      <c r="N2152" t="s">
        <v>62</v>
      </c>
      <c r="O2152" s="2">
        <v>444.15</v>
      </c>
      <c r="P2152" s="2">
        <v>405.1</v>
      </c>
      <c r="Q2152" s="2">
        <v>39.049999999999997</v>
      </c>
      <c r="R2152">
        <v>1</v>
      </c>
      <c r="S2152">
        <v>0</v>
      </c>
      <c r="T2152">
        <v>6</v>
      </c>
      <c r="U2152">
        <v>4</v>
      </c>
    </row>
    <row r="2153" spans="1:21" ht="16.5" x14ac:dyDescent="0.3">
      <c r="A2153" t="s">
        <v>2240</v>
      </c>
      <c r="B2153" s="1">
        <v>45621</v>
      </c>
      <c r="C2153">
        <v>2024</v>
      </c>
      <c r="D2153" t="s">
        <v>1738</v>
      </c>
      <c r="E2153" t="s">
        <v>1959</v>
      </c>
      <c r="F2153" t="s">
        <v>45</v>
      </c>
      <c r="G2153" t="s">
        <v>65</v>
      </c>
      <c r="H2153" t="s">
        <v>32</v>
      </c>
      <c r="I2153" t="s">
        <v>27</v>
      </c>
      <c r="J2153" t="s">
        <v>110</v>
      </c>
      <c r="K2153">
        <v>1</v>
      </c>
      <c r="L2153" s="2">
        <v>19.41</v>
      </c>
      <c r="M2153" s="3">
        <v>0.25</v>
      </c>
      <c r="N2153" t="s">
        <v>62</v>
      </c>
      <c r="O2153" s="2">
        <v>14.56</v>
      </c>
      <c r="P2153" s="2">
        <v>10.86</v>
      </c>
      <c r="Q2153" s="2">
        <v>3.7</v>
      </c>
      <c r="R2153">
        <v>1</v>
      </c>
      <c r="S2153">
        <v>0</v>
      </c>
      <c r="T2153">
        <v>6</v>
      </c>
      <c r="U2153">
        <v>2</v>
      </c>
    </row>
    <row r="2154" spans="1:21" ht="16.5" x14ac:dyDescent="0.3">
      <c r="A2154" t="s">
        <v>2241</v>
      </c>
      <c r="B2154" s="1">
        <v>45621</v>
      </c>
      <c r="C2154">
        <v>2024</v>
      </c>
      <c r="D2154" t="s">
        <v>1738</v>
      </c>
      <c r="E2154" t="s">
        <v>1959</v>
      </c>
      <c r="F2154" t="s">
        <v>24</v>
      </c>
      <c r="G2154" t="s">
        <v>46</v>
      </c>
      <c r="H2154" t="s">
        <v>32</v>
      </c>
      <c r="I2154" t="s">
        <v>67</v>
      </c>
      <c r="J2154" t="s">
        <v>103</v>
      </c>
      <c r="K2154">
        <v>1</v>
      </c>
      <c r="L2154" s="2">
        <v>83.06</v>
      </c>
      <c r="M2154" s="3">
        <v>0.05</v>
      </c>
      <c r="N2154" t="s">
        <v>29</v>
      </c>
      <c r="O2154" s="2">
        <v>78.91</v>
      </c>
      <c r="P2154" s="2">
        <v>57.24</v>
      </c>
      <c r="Q2154" s="2">
        <v>21.67</v>
      </c>
      <c r="R2154">
        <v>1</v>
      </c>
      <c r="S2154">
        <v>0</v>
      </c>
      <c r="T2154">
        <v>8</v>
      </c>
      <c r="U2154">
        <v>4</v>
      </c>
    </row>
    <row r="2155" spans="1:21" ht="16.5" x14ac:dyDescent="0.3">
      <c r="A2155" t="s">
        <v>2242</v>
      </c>
      <c r="B2155" s="1">
        <v>45621</v>
      </c>
      <c r="C2155">
        <v>2024</v>
      </c>
      <c r="D2155" t="s">
        <v>1738</v>
      </c>
      <c r="E2155" t="s">
        <v>1959</v>
      </c>
      <c r="F2155" t="s">
        <v>31</v>
      </c>
      <c r="G2155" t="s">
        <v>25</v>
      </c>
      <c r="H2155" t="s">
        <v>32</v>
      </c>
      <c r="I2155" t="s">
        <v>70</v>
      </c>
      <c r="J2155" t="s">
        <v>71</v>
      </c>
      <c r="K2155">
        <v>2</v>
      </c>
      <c r="L2155" s="2">
        <v>588.41</v>
      </c>
      <c r="M2155" s="3">
        <v>0.2</v>
      </c>
      <c r="N2155" t="s">
        <v>34</v>
      </c>
      <c r="O2155" s="2">
        <v>941.46</v>
      </c>
      <c r="P2155" s="2">
        <v>967.61</v>
      </c>
      <c r="Q2155" s="2">
        <v>-26.15</v>
      </c>
      <c r="R2155">
        <v>1</v>
      </c>
      <c r="S2155">
        <v>1</v>
      </c>
      <c r="T2155">
        <v>5</v>
      </c>
      <c r="U2155">
        <v>3</v>
      </c>
    </row>
    <row r="2156" spans="1:21" ht="16.5" x14ac:dyDescent="0.3">
      <c r="A2156" t="s">
        <v>2243</v>
      </c>
      <c r="B2156" s="1">
        <v>45621</v>
      </c>
      <c r="C2156">
        <v>2024</v>
      </c>
      <c r="D2156" t="s">
        <v>1738</v>
      </c>
      <c r="E2156" t="s">
        <v>1959</v>
      </c>
      <c r="F2156" t="s">
        <v>31</v>
      </c>
      <c r="G2156" t="s">
        <v>49</v>
      </c>
      <c r="H2156" t="s">
        <v>32</v>
      </c>
      <c r="I2156" t="s">
        <v>70</v>
      </c>
      <c r="J2156" t="s">
        <v>87</v>
      </c>
      <c r="K2156">
        <v>2</v>
      </c>
      <c r="L2156" s="2">
        <v>490.3</v>
      </c>
      <c r="M2156" s="3">
        <v>0.15</v>
      </c>
      <c r="N2156" t="s">
        <v>34</v>
      </c>
      <c r="O2156" s="2">
        <v>833.51</v>
      </c>
      <c r="P2156" s="2">
        <v>773.13</v>
      </c>
      <c r="Q2156" s="2">
        <v>60.38</v>
      </c>
      <c r="R2156">
        <v>1</v>
      </c>
      <c r="S2156">
        <v>0</v>
      </c>
      <c r="T2156">
        <v>6</v>
      </c>
      <c r="U2156">
        <v>4</v>
      </c>
    </row>
    <row r="2157" spans="1:21" ht="16.5" x14ac:dyDescent="0.3">
      <c r="A2157" t="s">
        <v>2244</v>
      </c>
      <c r="B2157" s="1">
        <v>45621</v>
      </c>
      <c r="C2157">
        <v>2024</v>
      </c>
      <c r="D2157" t="s">
        <v>1738</v>
      </c>
      <c r="E2157" t="s">
        <v>1959</v>
      </c>
      <c r="F2157" t="s">
        <v>24</v>
      </c>
      <c r="G2157" t="s">
        <v>25</v>
      </c>
      <c r="H2157" t="s">
        <v>26</v>
      </c>
      <c r="I2157" t="s">
        <v>27</v>
      </c>
      <c r="J2157" t="s">
        <v>47</v>
      </c>
      <c r="K2157">
        <v>1</v>
      </c>
      <c r="L2157" s="2">
        <v>33.99</v>
      </c>
      <c r="M2157" s="3">
        <v>0.25</v>
      </c>
      <c r="N2157" t="s">
        <v>62</v>
      </c>
      <c r="O2157" s="2">
        <v>25.49</v>
      </c>
      <c r="P2157" s="2">
        <v>18.420000000000002</v>
      </c>
      <c r="Q2157" s="2">
        <v>7.07</v>
      </c>
      <c r="R2157">
        <v>1</v>
      </c>
      <c r="S2157">
        <v>0</v>
      </c>
      <c r="T2157">
        <v>4</v>
      </c>
      <c r="U2157">
        <v>4</v>
      </c>
    </row>
    <row r="2158" spans="1:21" ht="16.5" x14ac:dyDescent="0.3">
      <c r="A2158" t="s">
        <v>2245</v>
      </c>
      <c r="B2158" s="1">
        <v>45621</v>
      </c>
      <c r="C2158">
        <v>2024</v>
      </c>
      <c r="D2158" t="s">
        <v>1738</v>
      </c>
      <c r="E2158" t="s">
        <v>1959</v>
      </c>
      <c r="F2158" t="s">
        <v>24</v>
      </c>
      <c r="G2158" t="s">
        <v>51</v>
      </c>
      <c r="H2158" t="s">
        <v>26</v>
      </c>
      <c r="I2158" t="s">
        <v>67</v>
      </c>
      <c r="J2158" t="s">
        <v>93</v>
      </c>
      <c r="K2158">
        <v>4</v>
      </c>
      <c r="L2158" s="2">
        <v>198.42</v>
      </c>
      <c r="M2158" s="3">
        <v>0.3</v>
      </c>
      <c r="N2158" t="s">
        <v>62</v>
      </c>
      <c r="O2158" s="2">
        <v>555.58000000000004</v>
      </c>
      <c r="P2158" s="2">
        <v>537.29</v>
      </c>
      <c r="Q2158" s="2">
        <v>18.29</v>
      </c>
      <c r="R2158">
        <v>1</v>
      </c>
      <c r="S2158">
        <v>0</v>
      </c>
      <c r="T2158">
        <v>4</v>
      </c>
      <c r="U2158">
        <v>4</v>
      </c>
    </row>
    <row r="2159" spans="1:21" ht="16.5" x14ac:dyDescent="0.3">
      <c r="A2159" t="s">
        <v>2246</v>
      </c>
      <c r="B2159" s="1">
        <v>45621</v>
      </c>
      <c r="C2159">
        <v>2024</v>
      </c>
      <c r="D2159" t="s">
        <v>1738</v>
      </c>
      <c r="E2159" t="s">
        <v>1959</v>
      </c>
      <c r="F2159" t="s">
        <v>24</v>
      </c>
      <c r="G2159" t="s">
        <v>51</v>
      </c>
      <c r="H2159" t="s">
        <v>32</v>
      </c>
      <c r="I2159" t="s">
        <v>70</v>
      </c>
      <c r="J2159" t="s">
        <v>71</v>
      </c>
      <c r="K2159">
        <v>2</v>
      </c>
      <c r="L2159" s="2">
        <v>588.41</v>
      </c>
      <c r="M2159" s="3">
        <v>0</v>
      </c>
      <c r="N2159" t="s">
        <v>38</v>
      </c>
      <c r="O2159" s="2">
        <v>1176.82</v>
      </c>
      <c r="P2159" s="2">
        <v>899.77</v>
      </c>
      <c r="Q2159" s="2">
        <v>277.05</v>
      </c>
      <c r="R2159">
        <v>1</v>
      </c>
      <c r="S2159">
        <v>1</v>
      </c>
      <c r="T2159">
        <v>6</v>
      </c>
      <c r="U2159">
        <v>2</v>
      </c>
    </row>
    <row r="2160" spans="1:21" ht="16.5" x14ac:dyDescent="0.3">
      <c r="A2160" t="s">
        <v>2247</v>
      </c>
      <c r="B2160" s="1">
        <v>45621</v>
      </c>
      <c r="C2160">
        <v>2024</v>
      </c>
      <c r="D2160" t="s">
        <v>1738</v>
      </c>
      <c r="E2160" t="s">
        <v>1959</v>
      </c>
      <c r="F2160" t="s">
        <v>24</v>
      </c>
      <c r="G2160" t="s">
        <v>25</v>
      </c>
      <c r="H2160" t="s">
        <v>26</v>
      </c>
      <c r="I2160" t="s">
        <v>70</v>
      </c>
      <c r="J2160" t="s">
        <v>71</v>
      </c>
      <c r="K2160">
        <v>1</v>
      </c>
      <c r="L2160" s="2">
        <v>588.41</v>
      </c>
      <c r="M2160" s="3">
        <v>0.1</v>
      </c>
      <c r="N2160" t="s">
        <v>29</v>
      </c>
      <c r="O2160" s="2">
        <v>529.57000000000005</v>
      </c>
      <c r="P2160" s="2">
        <v>486.93</v>
      </c>
      <c r="Q2160" s="2">
        <v>42.64</v>
      </c>
      <c r="R2160">
        <v>1</v>
      </c>
      <c r="S2160">
        <v>0</v>
      </c>
      <c r="T2160">
        <v>6</v>
      </c>
      <c r="U2160">
        <v>4</v>
      </c>
    </row>
    <row r="2161" spans="1:21" ht="16.5" x14ac:dyDescent="0.3">
      <c r="A2161" t="s">
        <v>2248</v>
      </c>
      <c r="B2161" s="1">
        <v>45621</v>
      </c>
      <c r="C2161">
        <v>2024</v>
      </c>
      <c r="D2161" t="s">
        <v>1738</v>
      </c>
      <c r="E2161" t="s">
        <v>1959</v>
      </c>
      <c r="F2161" t="s">
        <v>24</v>
      </c>
      <c r="G2161" t="s">
        <v>51</v>
      </c>
      <c r="H2161" t="s">
        <v>32</v>
      </c>
      <c r="I2161" t="s">
        <v>70</v>
      </c>
      <c r="J2161" t="s">
        <v>129</v>
      </c>
      <c r="K2161">
        <v>1</v>
      </c>
      <c r="L2161" s="2">
        <v>177.65</v>
      </c>
      <c r="M2161" s="3">
        <v>0.15</v>
      </c>
      <c r="N2161" t="s">
        <v>34</v>
      </c>
      <c r="O2161" s="2">
        <v>151</v>
      </c>
      <c r="P2161" s="2">
        <v>147.18</v>
      </c>
      <c r="Q2161" s="2">
        <v>3.82</v>
      </c>
      <c r="R2161">
        <v>1</v>
      </c>
      <c r="S2161">
        <v>0</v>
      </c>
      <c r="T2161">
        <v>3</v>
      </c>
      <c r="U2161">
        <v>4</v>
      </c>
    </row>
    <row r="2162" spans="1:21" ht="16.5" x14ac:dyDescent="0.3">
      <c r="A2162" t="s">
        <v>2249</v>
      </c>
      <c r="B2162" s="1">
        <v>45622</v>
      </c>
      <c r="C2162">
        <v>2024</v>
      </c>
      <c r="D2162" t="s">
        <v>1738</v>
      </c>
      <c r="E2162" t="s">
        <v>1959</v>
      </c>
      <c r="F2162" t="s">
        <v>31</v>
      </c>
      <c r="G2162" t="s">
        <v>51</v>
      </c>
      <c r="H2162" t="s">
        <v>26</v>
      </c>
      <c r="I2162" t="s">
        <v>84</v>
      </c>
      <c r="J2162" t="s">
        <v>132</v>
      </c>
      <c r="K2162">
        <v>1</v>
      </c>
      <c r="L2162" s="2">
        <v>48.86</v>
      </c>
      <c r="M2162" s="3">
        <v>0.1</v>
      </c>
      <c r="N2162" t="s">
        <v>29</v>
      </c>
      <c r="O2162" s="2">
        <v>43.97</v>
      </c>
      <c r="P2162" s="2">
        <v>33</v>
      </c>
      <c r="Q2162" s="2">
        <v>10.97</v>
      </c>
      <c r="R2162">
        <v>1</v>
      </c>
      <c r="S2162">
        <v>0</v>
      </c>
      <c r="T2162">
        <v>4</v>
      </c>
      <c r="U2162">
        <v>5</v>
      </c>
    </row>
    <row r="2163" spans="1:21" ht="16.5" x14ac:dyDescent="0.3">
      <c r="A2163" t="s">
        <v>2250</v>
      </c>
      <c r="B2163" s="1">
        <v>45622</v>
      </c>
      <c r="C2163">
        <v>2024</v>
      </c>
      <c r="D2163" t="s">
        <v>1738</v>
      </c>
      <c r="E2163" t="s">
        <v>1959</v>
      </c>
      <c r="F2163" t="s">
        <v>45</v>
      </c>
      <c r="G2163" t="s">
        <v>49</v>
      </c>
      <c r="H2163" t="s">
        <v>32</v>
      </c>
      <c r="I2163" t="s">
        <v>42</v>
      </c>
      <c r="J2163" t="s">
        <v>89</v>
      </c>
      <c r="K2163">
        <v>3</v>
      </c>
      <c r="L2163" s="2">
        <v>68.349999999999994</v>
      </c>
      <c r="M2163" s="3">
        <v>0.15</v>
      </c>
      <c r="N2163" t="s">
        <v>34</v>
      </c>
      <c r="O2163" s="2">
        <v>174.29</v>
      </c>
      <c r="P2163" s="2">
        <v>141.15</v>
      </c>
      <c r="Q2163" s="2">
        <v>33.14</v>
      </c>
      <c r="R2163">
        <v>1</v>
      </c>
      <c r="S2163">
        <v>0</v>
      </c>
      <c r="T2163">
        <v>6</v>
      </c>
      <c r="U2163">
        <v>5</v>
      </c>
    </row>
    <row r="2164" spans="1:21" ht="16.5" x14ac:dyDescent="0.3">
      <c r="A2164" t="s">
        <v>2251</v>
      </c>
      <c r="B2164" s="1">
        <v>45622</v>
      </c>
      <c r="C2164">
        <v>2024</v>
      </c>
      <c r="D2164" t="s">
        <v>1738</v>
      </c>
      <c r="E2164" t="s">
        <v>1959</v>
      </c>
      <c r="F2164" t="s">
        <v>31</v>
      </c>
      <c r="G2164" t="s">
        <v>49</v>
      </c>
      <c r="H2164" t="s">
        <v>32</v>
      </c>
      <c r="I2164" t="s">
        <v>42</v>
      </c>
      <c r="J2164" t="s">
        <v>89</v>
      </c>
      <c r="K2164">
        <v>2</v>
      </c>
      <c r="L2164" s="2">
        <v>68.349999999999994</v>
      </c>
      <c r="M2164" s="3">
        <v>0.3</v>
      </c>
      <c r="N2164" t="s">
        <v>62</v>
      </c>
      <c r="O2164" s="2">
        <v>95.69</v>
      </c>
      <c r="P2164" s="2">
        <v>88.89</v>
      </c>
      <c r="Q2164" s="2">
        <v>6.8</v>
      </c>
      <c r="R2164">
        <v>1</v>
      </c>
      <c r="S2164">
        <v>0</v>
      </c>
      <c r="T2164">
        <v>5</v>
      </c>
      <c r="U2164">
        <v>5</v>
      </c>
    </row>
    <row r="2165" spans="1:21" ht="16.5" x14ac:dyDescent="0.3">
      <c r="A2165" t="s">
        <v>2252</v>
      </c>
      <c r="B2165" s="1">
        <v>45622</v>
      </c>
      <c r="C2165">
        <v>2024</v>
      </c>
      <c r="D2165" t="s">
        <v>1738</v>
      </c>
      <c r="E2165" t="s">
        <v>1959</v>
      </c>
      <c r="F2165" t="s">
        <v>31</v>
      </c>
      <c r="G2165" t="s">
        <v>51</v>
      </c>
      <c r="H2165" t="s">
        <v>26</v>
      </c>
      <c r="I2165" t="s">
        <v>36</v>
      </c>
      <c r="J2165" t="s">
        <v>115</v>
      </c>
      <c r="K2165">
        <v>1</v>
      </c>
      <c r="L2165" s="2">
        <v>33.479999999999997</v>
      </c>
      <c r="M2165" s="3">
        <v>0.1</v>
      </c>
      <c r="N2165" t="s">
        <v>29</v>
      </c>
      <c r="O2165" s="2">
        <v>30.13</v>
      </c>
      <c r="P2165" s="2">
        <v>15.82</v>
      </c>
      <c r="Q2165" s="2">
        <v>14.31</v>
      </c>
      <c r="R2165">
        <v>1</v>
      </c>
      <c r="S2165">
        <v>0</v>
      </c>
      <c r="T2165">
        <v>4</v>
      </c>
      <c r="U2165">
        <v>4</v>
      </c>
    </row>
    <row r="2166" spans="1:21" ht="16.5" x14ac:dyDescent="0.3">
      <c r="A2166" t="s">
        <v>2253</v>
      </c>
      <c r="B2166" s="1">
        <v>45622</v>
      </c>
      <c r="C2166">
        <v>2024</v>
      </c>
      <c r="D2166" t="s">
        <v>1738</v>
      </c>
      <c r="E2166" t="s">
        <v>1959</v>
      </c>
      <c r="F2166" t="s">
        <v>45</v>
      </c>
      <c r="G2166" t="s">
        <v>25</v>
      </c>
      <c r="H2166" t="s">
        <v>32</v>
      </c>
      <c r="I2166" t="s">
        <v>27</v>
      </c>
      <c r="J2166" t="s">
        <v>110</v>
      </c>
      <c r="K2166">
        <v>2</v>
      </c>
      <c r="L2166" s="2">
        <v>19.41</v>
      </c>
      <c r="M2166" s="3">
        <v>0.1</v>
      </c>
      <c r="N2166" t="s">
        <v>29</v>
      </c>
      <c r="O2166" s="2">
        <v>34.94</v>
      </c>
      <c r="P2166" s="2">
        <v>21.52</v>
      </c>
      <c r="Q2166" s="2">
        <v>13.42</v>
      </c>
      <c r="R2166">
        <v>1</v>
      </c>
      <c r="S2166">
        <v>0</v>
      </c>
      <c r="T2166">
        <v>6</v>
      </c>
      <c r="U2166">
        <v>4</v>
      </c>
    </row>
    <row r="2167" spans="1:21" ht="16.5" x14ac:dyDescent="0.3">
      <c r="A2167" t="s">
        <v>2254</v>
      </c>
      <c r="B2167" s="1">
        <v>45622</v>
      </c>
      <c r="C2167">
        <v>2024</v>
      </c>
      <c r="D2167" t="s">
        <v>1738</v>
      </c>
      <c r="E2167" t="s">
        <v>1959</v>
      </c>
      <c r="F2167" t="s">
        <v>24</v>
      </c>
      <c r="G2167" t="s">
        <v>25</v>
      </c>
      <c r="H2167" t="s">
        <v>32</v>
      </c>
      <c r="I2167" t="s">
        <v>70</v>
      </c>
      <c r="J2167" t="s">
        <v>87</v>
      </c>
      <c r="K2167">
        <v>1</v>
      </c>
      <c r="L2167" s="2">
        <v>490.3</v>
      </c>
      <c r="M2167" s="3">
        <v>0.15</v>
      </c>
      <c r="N2167" t="s">
        <v>34</v>
      </c>
      <c r="O2167" s="2">
        <v>416.76</v>
      </c>
      <c r="P2167" s="2">
        <v>383.37</v>
      </c>
      <c r="Q2167" s="2">
        <v>33.39</v>
      </c>
      <c r="R2167">
        <v>1</v>
      </c>
      <c r="S2167">
        <v>0</v>
      </c>
      <c r="T2167">
        <v>4</v>
      </c>
      <c r="U2167">
        <v>5</v>
      </c>
    </row>
    <row r="2168" spans="1:21" ht="16.5" x14ac:dyDescent="0.3">
      <c r="A2168" t="s">
        <v>2255</v>
      </c>
      <c r="B2168" s="1">
        <v>45622</v>
      </c>
      <c r="C2168">
        <v>2024</v>
      </c>
      <c r="D2168" t="s">
        <v>1738</v>
      </c>
      <c r="E2168" t="s">
        <v>1959</v>
      </c>
      <c r="F2168" t="s">
        <v>24</v>
      </c>
      <c r="G2168" t="s">
        <v>25</v>
      </c>
      <c r="H2168" t="s">
        <v>26</v>
      </c>
      <c r="I2168" t="s">
        <v>36</v>
      </c>
      <c r="J2168" t="s">
        <v>126</v>
      </c>
      <c r="K2168">
        <v>1</v>
      </c>
      <c r="L2168" s="2">
        <v>54.56</v>
      </c>
      <c r="M2168" s="3">
        <v>0.2</v>
      </c>
      <c r="N2168" t="s">
        <v>34</v>
      </c>
      <c r="O2168" s="2">
        <v>43.65</v>
      </c>
      <c r="P2168" s="2">
        <v>25.63</v>
      </c>
      <c r="Q2168" s="2">
        <v>18.02</v>
      </c>
      <c r="R2168">
        <v>1</v>
      </c>
      <c r="S2168">
        <v>0</v>
      </c>
      <c r="T2168">
        <v>4</v>
      </c>
      <c r="U2168">
        <v>4</v>
      </c>
    </row>
    <row r="2169" spans="1:21" ht="16.5" x14ac:dyDescent="0.3">
      <c r="A2169" t="s">
        <v>2256</v>
      </c>
      <c r="B2169" s="1">
        <v>45623</v>
      </c>
      <c r="C2169">
        <v>2024</v>
      </c>
      <c r="D2169" t="s">
        <v>1738</v>
      </c>
      <c r="E2169" t="s">
        <v>1959</v>
      </c>
      <c r="F2169" t="s">
        <v>24</v>
      </c>
      <c r="G2169" t="s">
        <v>51</v>
      </c>
      <c r="H2169" t="s">
        <v>32</v>
      </c>
      <c r="I2169" t="s">
        <v>70</v>
      </c>
      <c r="J2169" t="s">
        <v>129</v>
      </c>
      <c r="K2169">
        <v>1</v>
      </c>
      <c r="L2169" s="2">
        <v>177.65</v>
      </c>
      <c r="M2169" s="3">
        <v>0.1</v>
      </c>
      <c r="N2169" t="s">
        <v>29</v>
      </c>
      <c r="O2169" s="2">
        <v>159.88999999999999</v>
      </c>
      <c r="P2169" s="2">
        <v>142.59</v>
      </c>
      <c r="Q2169" s="2">
        <v>17.3</v>
      </c>
      <c r="R2169">
        <v>1</v>
      </c>
      <c r="S2169">
        <v>0</v>
      </c>
      <c r="T2169">
        <v>4</v>
      </c>
      <c r="U2169">
        <v>4</v>
      </c>
    </row>
    <row r="2170" spans="1:21" ht="16.5" x14ac:dyDescent="0.3">
      <c r="A2170" t="s">
        <v>2257</v>
      </c>
      <c r="B2170" s="1">
        <v>45623</v>
      </c>
      <c r="C2170">
        <v>2024</v>
      </c>
      <c r="D2170" t="s">
        <v>1738</v>
      </c>
      <c r="E2170" t="s">
        <v>1959</v>
      </c>
      <c r="F2170" t="s">
        <v>31</v>
      </c>
      <c r="G2170" t="s">
        <v>51</v>
      </c>
      <c r="H2170" t="s">
        <v>26</v>
      </c>
      <c r="I2170" t="s">
        <v>27</v>
      </c>
      <c r="J2170" t="s">
        <v>33</v>
      </c>
      <c r="K2170">
        <v>2</v>
      </c>
      <c r="L2170" s="2">
        <v>78.510000000000005</v>
      </c>
      <c r="M2170" s="3">
        <v>0.05</v>
      </c>
      <c r="N2170" t="s">
        <v>29</v>
      </c>
      <c r="O2170" s="2">
        <v>149.16999999999999</v>
      </c>
      <c r="P2170" s="2">
        <v>87.94</v>
      </c>
      <c r="Q2170" s="2">
        <v>61.23</v>
      </c>
      <c r="R2170">
        <v>1</v>
      </c>
      <c r="S2170">
        <v>0</v>
      </c>
      <c r="T2170">
        <v>4</v>
      </c>
      <c r="U2170">
        <v>5</v>
      </c>
    </row>
    <row r="2171" spans="1:21" ht="16.5" x14ac:dyDescent="0.3">
      <c r="A2171" t="s">
        <v>2258</v>
      </c>
      <c r="B2171" s="1">
        <v>45623</v>
      </c>
      <c r="C2171">
        <v>2024</v>
      </c>
      <c r="D2171" t="s">
        <v>1738</v>
      </c>
      <c r="E2171" t="s">
        <v>1959</v>
      </c>
      <c r="F2171" t="s">
        <v>24</v>
      </c>
      <c r="G2171" t="s">
        <v>65</v>
      </c>
      <c r="H2171" t="s">
        <v>32</v>
      </c>
      <c r="I2171" t="s">
        <v>70</v>
      </c>
      <c r="J2171" t="s">
        <v>87</v>
      </c>
      <c r="K2171">
        <v>1</v>
      </c>
      <c r="L2171" s="2">
        <v>490.3</v>
      </c>
      <c r="M2171" s="3">
        <v>0.3</v>
      </c>
      <c r="N2171" t="s">
        <v>62</v>
      </c>
      <c r="O2171" s="2">
        <v>343.21</v>
      </c>
      <c r="P2171" s="2">
        <v>389.48</v>
      </c>
      <c r="Q2171" s="2">
        <v>-46.27</v>
      </c>
      <c r="R2171">
        <v>1</v>
      </c>
      <c r="S2171">
        <v>1</v>
      </c>
      <c r="T2171">
        <v>7</v>
      </c>
      <c r="U2171">
        <v>2</v>
      </c>
    </row>
    <row r="2172" spans="1:21" ht="16.5" x14ac:dyDescent="0.3">
      <c r="A2172" t="s">
        <v>2259</v>
      </c>
      <c r="B2172" s="1">
        <v>45623</v>
      </c>
      <c r="C2172">
        <v>2024</v>
      </c>
      <c r="D2172" t="s">
        <v>1738</v>
      </c>
      <c r="E2172" t="s">
        <v>1959</v>
      </c>
      <c r="F2172" t="s">
        <v>24</v>
      </c>
      <c r="G2172" t="s">
        <v>51</v>
      </c>
      <c r="H2172" t="s">
        <v>32</v>
      </c>
      <c r="I2172" t="s">
        <v>84</v>
      </c>
      <c r="J2172" t="s">
        <v>223</v>
      </c>
      <c r="K2172">
        <v>2</v>
      </c>
      <c r="L2172" s="2">
        <v>16.97</v>
      </c>
      <c r="M2172" s="3">
        <v>0.15</v>
      </c>
      <c r="N2172" t="s">
        <v>34</v>
      </c>
      <c r="O2172" s="2">
        <v>28.85</v>
      </c>
      <c r="P2172" s="2">
        <v>24.34</v>
      </c>
      <c r="Q2172" s="2">
        <v>4.51</v>
      </c>
      <c r="R2172">
        <v>1</v>
      </c>
      <c r="S2172">
        <v>0</v>
      </c>
      <c r="T2172">
        <v>3</v>
      </c>
      <c r="U2172">
        <v>4</v>
      </c>
    </row>
    <row r="2173" spans="1:21" ht="16.5" x14ac:dyDescent="0.3">
      <c r="A2173" t="s">
        <v>2260</v>
      </c>
      <c r="B2173" s="1">
        <v>45623</v>
      </c>
      <c r="C2173">
        <v>2024</v>
      </c>
      <c r="D2173" t="s">
        <v>1738</v>
      </c>
      <c r="E2173" t="s">
        <v>1959</v>
      </c>
      <c r="F2173" t="s">
        <v>24</v>
      </c>
      <c r="G2173" t="s">
        <v>25</v>
      </c>
      <c r="H2173" t="s">
        <v>26</v>
      </c>
      <c r="I2173" t="s">
        <v>70</v>
      </c>
      <c r="J2173" t="s">
        <v>87</v>
      </c>
      <c r="K2173">
        <v>2</v>
      </c>
      <c r="L2173" s="2">
        <v>490.3</v>
      </c>
      <c r="M2173" s="3">
        <v>0.2</v>
      </c>
      <c r="N2173" t="s">
        <v>34</v>
      </c>
      <c r="O2173" s="2">
        <v>784.48</v>
      </c>
      <c r="P2173" s="2">
        <v>780.65</v>
      </c>
      <c r="Q2173" s="2">
        <v>3.83</v>
      </c>
      <c r="R2173">
        <v>1</v>
      </c>
      <c r="S2173">
        <v>0</v>
      </c>
      <c r="T2173">
        <v>5</v>
      </c>
      <c r="U2173">
        <v>5</v>
      </c>
    </row>
    <row r="2174" spans="1:21" ht="16.5" x14ac:dyDescent="0.3">
      <c r="A2174" t="s">
        <v>2261</v>
      </c>
      <c r="B2174" s="1">
        <v>45623</v>
      </c>
      <c r="C2174">
        <v>2024</v>
      </c>
      <c r="D2174" t="s">
        <v>1738</v>
      </c>
      <c r="E2174" t="s">
        <v>1959</v>
      </c>
      <c r="F2174" t="s">
        <v>45</v>
      </c>
      <c r="G2174" t="s">
        <v>51</v>
      </c>
      <c r="H2174" t="s">
        <v>26</v>
      </c>
      <c r="I2174" t="s">
        <v>42</v>
      </c>
      <c r="J2174" t="s">
        <v>76</v>
      </c>
      <c r="K2174">
        <v>1</v>
      </c>
      <c r="L2174" s="2">
        <v>90.75</v>
      </c>
      <c r="M2174" s="3">
        <v>0.15</v>
      </c>
      <c r="N2174" t="s">
        <v>34</v>
      </c>
      <c r="O2174" s="2">
        <v>77.14</v>
      </c>
      <c r="P2174" s="2">
        <v>59.69</v>
      </c>
      <c r="Q2174" s="2">
        <v>17.45</v>
      </c>
      <c r="R2174">
        <v>1</v>
      </c>
      <c r="S2174">
        <v>0</v>
      </c>
      <c r="T2174">
        <v>3</v>
      </c>
      <c r="U2174">
        <v>4</v>
      </c>
    </row>
    <row r="2175" spans="1:21" ht="16.5" x14ac:dyDescent="0.3">
      <c r="A2175" t="s">
        <v>2262</v>
      </c>
      <c r="B2175" s="1">
        <v>45623</v>
      </c>
      <c r="C2175">
        <v>2024</v>
      </c>
      <c r="D2175" t="s">
        <v>1738</v>
      </c>
      <c r="E2175" t="s">
        <v>1959</v>
      </c>
      <c r="F2175" t="s">
        <v>31</v>
      </c>
      <c r="G2175" t="s">
        <v>25</v>
      </c>
      <c r="H2175" t="s">
        <v>32</v>
      </c>
      <c r="I2175" t="s">
        <v>27</v>
      </c>
      <c r="J2175" t="s">
        <v>33</v>
      </c>
      <c r="K2175">
        <v>1</v>
      </c>
      <c r="L2175" s="2">
        <v>78.510000000000005</v>
      </c>
      <c r="M2175" s="3">
        <v>0.1</v>
      </c>
      <c r="N2175" t="s">
        <v>29</v>
      </c>
      <c r="O2175" s="2">
        <v>70.66</v>
      </c>
      <c r="P2175" s="2">
        <v>43.29</v>
      </c>
      <c r="Q2175" s="2">
        <v>27.37</v>
      </c>
      <c r="R2175">
        <v>1</v>
      </c>
      <c r="S2175">
        <v>0</v>
      </c>
      <c r="T2175">
        <v>6</v>
      </c>
      <c r="U2175">
        <v>4</v>
      </c>
    </row>
    <row r="2176" spans="1:21" ht="16.5" x14ac:dyDescent="0.3">
      <c r="A2176" t="s">
        <v>2263</v>
      </c>
      <c r="B2176" s="1">
        <v>45623</v>
      </c>
      <c r="C2176">
        <v>2024</v>
      </c>
      <c r="D2176" t="s">
        <v>1738</v>
      </c>
      <c r="E2176" t="s">
        <v>1959</v>
      </c>
      <c r="F2176" t="s">
        <v>24</v>
      </c>
      <c r="G2176" t="s">
        <v>25</v>
      </c>
      <c r="H2176" t="s">
        <v>26</v>
      </c>
      <c r="I2176" t="s">
        <v>27</v>
      </c>
      <c r="J2176" t="s">
        <v>33</v>
      </c>
      <c r="K2176">
        <v>4</v>
      </c>
      <c r="L2176" s="2">
        <v>78.510000000000005</v>
      </c>
      <c r="M2176" s="3">
        <v>0.05</v>
      </c>
      <c r="N2176" t="s">
        <v>29</v>
      </c>
      <c r="O2176" s="2">
        <v>298.33999999999997</v>
      </c>
      <c r="P2176" s="2">
        <v>171.04</v>
      </c>
      <c r="Q2176" s="2">
        <v>127.3</v>
      </c>
      <c r="R2176">
        <v>1</v>
      </c>
      <c r="S2176">
        <v>1</v>
      </c>
      <c r="T2176">
        <v>5</v>
      </c>
      <c r="U2176">
        <v>2</v>
      </c>
    </row>
    <row r="2177" spans="1:21" ht="16.5" x14ac:dyDescent="0.3">
      <c r="A2177" t="s">
        <v>2264</v>
      </c>
      <c r="B2177" s="1">
        <v>45623</v>
      </c>
      <c r="C2177">
        <v>2024</v>
      </c>
      <c r="D2177" t="s">
        <v>1738</v>
      </c>
      <c r="E2177" t="s">
        <v>1959</v>
      </c>
      <c r="F2177" t="s">
        <v>45</v>
      </c>
      <c r="G2177" t="s">
        <v>49</v>
      </c>
      <c r="H2177" t="s">
        <v>26</v>
      </c>
      <c r="I2177" t="s">
        <v>27</v>
      </c>
      <c r="J2177" t="s">
        <v>110</v>
      </c>
      <c r="K2177">
        <v>2</v>
      </c>
      <c r="L2177" s="2">
        <v>19.41</v>
      </c>
      <c r="M2177" s="3">
        <v>0.25</v>
      </c>
      <c r="N2177" t="s">
        <v>62</v>
      </c>
      <c r="O2177" s="2">
        <v>29.12</v>
      </c>
      <c r="P2177" s="2">
        <v>19.72</v>
      </c>
      <c r="Q2177" s="2">
        <v>9.4</v>
      </c>
      <c r="R2177">
        <v>1</v>
      </c>
      <c r="S2177">
        <v>0</v>
      </c>
      <c r="T2177">
        <v>4</v>
      </c>
      <c r="U2177">
        <v>4</v>
      </c>
    </row>
    <row r="2178" spans="1:21" ht="16.5" x14ac:dyDescent="0.3">
      <c r="A2178" t="s">
        <v>2265</v>
      </c>
      <c r="B2178" s="1">
        <v>45623</v>
      </c>
      <c r="C2178">
        <v>2024</v>
      </c>
      <c r="D2178" t="s">
        <v>1738</v>
      </c>
      <c r="E2178" t="s">
        <v>1959</v>
      </c>
      <c r="F2178" t="s">
        <v>24</v>
      </c>
      <c r="G2178" t="s">
        <v>25</v>
      </c>
      <c r="H2178" t="s">
        <v>26</v>
      </c>
      <c r="I2178" t="s">
        <v>27</v>
      </c>
      <c r="J2178" t="s">
        <v>33</v>
      </c>
      <c r="K2178">
        <v>2</v>
      </c>
      <c r="L2178" s="2">
        <v>78.510000000000005</v>
      </c>
      <c r="M2178" s="3">
        <v>0.25</v>
      </c>
      <c r="N2178" t="s">
        <v>62</v>
      </c>
      <c r="O2178" s="2">
        <v>117.77</v>
      </c>
      <c r="P2178" s="2">
        <v>89.27</v>
      </c>
      <c r="Q2178" s="2">
        <v>28.5</v>
      </c>
      <c r="R2178">
        <v>1</v>
      </c>
      <c r="S2178">
        <v>0</v>
      </c>
      <c r="T2178">
        <v>4</v>
      </c>
      <c r="U2178">
        <v>3</v>
      </c>
    </row>
    <row r="2179" spans="1:21" ht="16.5" x14ac:dyDescent="0.3">
      <c r="A2179" t="s">
        <v>2266</v>
      </c>
      <c r="B2179" s="1">
        <v>45623</v>
      </c>
      <c r="C2179">
        <v>2024</v>
      </c>
      <c r="D2179" t="s">
        <v>1738</v>
      </c>
      <c r="E2179" t="s">
        <v>1959</v>
      </c>
      <c r="F2179" t="s">
        <v>31</v>
      </c>
      <c r="G2179" t="s">
        <v>49</v>
      </c>
      <c r="H2179" t="s">
        <v>32</v>
      </c>
      <c r="I2179" t="s">
        <v>36</v>
      </c>
      <c r="J2179" t="s">
        <v>115</v>
      </c>
      <c r="K2179">
        <v>2</v>
      </c>
      <c r="L2179" s="2">
        <v>33.479999999999997</v>
      </c>
      <c r="M2179" s="3">
        <v>0.15</v>
      </c>
      <c r="N2179" t="s">
        <v>34</v>
      </c>
      <c r="O2179" s="2">
        <v>56.92</v>
      </c>
      <c r="P2179" s="2">
        <v>30.37</v>
      </c>
      <c r="Q2179" s="2">
        <v>26.55</v>
      </c>
      <c r="R2179">
        <v>1</v>
      </c>
      <c r="S2179">
        <v>0</v>
      </c>
      <c r="T2179">
        <v>5</v>
      </c>
      <c r="U2179">
        <v>5</v>
      </c>
    </row>
    <row r="2180" spans="1:21" ht="16.5" x14ac:dyDescent="0.3">
      <c r="A2180" t="s">
        <v>2267</v>
      </c>
      <c r="B2180" s="1">
        <v>45624</v>
      </c>
      <c r="C2180">
        <v>2024</v>
      </c>
      <c r="D2180" t="s">
        <v>1738</v>
      </c>
      <c r="E2180" t="s">
        <v>1959</v>
      </c>
      <c r="F2180" t="s">
        <v>24</v>
      </c>
      <c r="G2180" t="s">
        <v>25</v>
      </c>
      <c r="H2180" t="s">
        <v>26</v>
      </c>
      <c r="I2180" t="s">
        <v>27</v>
      </c>
      <c r="J2180" t="s">
        <v>28</v>
      </c>
      <c r="K2180">
        <v>1</v>
      </c>
      <c r="L2180" s="2">
        <v>138.5</v>
      </c>
      <c r="M2180" s="3">
        <v>0.1</v>
      </c>
      <c r="N2180" t="s">
        <v>29</v>
      </c>
      <c r="O2180" s="2">
        <v>124.65</v>
      </c>
      <c r="P2180" s="2">
        <v>71.069999999999993</v>
      </c>
      <c r="Q2180" s="2">
        <v>53.58</v>
      </c>
      <c r="R2180">
        <v>1</v>
      </c>
      <c r="S2180">
        <v>0</v>
      </c>
      <c r="T2180">
        <v>5</v>
      </c>
      <c r="U2180">
        <v>4</v>
      </c>
    </row>
    <row r="2181" spans="1:21" ht="16.5" x14ac:dyDescent="0.3">
      <c r="A2181" t="s">
        <v>2268</v>
      </c>
      <c r="B2181" s="1">
        <v>45624</v>
      </c>
      <c r="C2181">
        <v>2024</v>
      </c>
      <c r="D2181" t="s">
        <v>1738</v>
      </c>
      <c r="E2181" t="s">
        <v>1959</v>
      </c>
      <c r="F2181" t="s">
        <v>24</v>
      </c>
      <c r="G2181" t="s">
        <v>51</v>
      </c>
      <c r="H2181" t="s">
        <v>32</v>
      </c>
      <c r="I2181" t="s">
        <v>42</v>
      </c>
      <c r="J2181" t="s">
        <v>54</v>
      </c>
      <c r="K2181">
        <v>1</v>
      </c>
      <c r="L2181" s="2">
        <v>148.05000000000001</v>
      </c>
      <c r="M2181" s="3">
        <v>0.1</v>
      </c>
      <c r="N2181" t="s">
        <v>29</v>
      </c>
      <c r="O2181" s="2">
        <v>133.24</v>
      </c>
      <c r="P2181" s="2">
        <v>95.39</v>
      </c>
      <c r="Q2181" s="2">
        <v>37.85</v>
      </c>
      <c r="R2181">
        <v>1</v>
      </c>
      <c r="S2181">
        <v>0</v>
      </c>
      <c r="T2181">
        <v>4</v>
      </c>
      <c r="U2181">
        <v>4</v>
      </c>
    </row>
    <row r="2182" spans="1:21" ht="16.5" x14ac:dyDescent="0.3">
      <c r="A2182" t="s">
        <v>2269</v>
      </c>
      <c r="B2182" s="1">
        <v>45624</v>
      </c>
      <c r="C2182">
        <v>2024</v>
      </c>
      <c r="D2182" t="s">
        <v>1738</v>
      </c>
      <c r="E2182" t="s">
        <v>1959</v>
      </c>
      <c r="F2182" t="s">
        <v>31</v>
      </c>
      <c r="G2182" t="s">
        <v>49</v>
      </c>
      <c r="H2182" t="s">
        <v>26</v>
      </c>
      <c r="I2182" t="s">
        <v>42</v>
      </c>
      <c r="J2182" t="s">
        <v>89</v>
      </c>
      <c r="K2182">
        <v>1</v>
      </c>
      <c r="L2182" s="2">
        <v>68.349999999999994</v>
      </c>
      <c r="M2182" s="3">
        <v>0.3</v>
      </c>
      <c r="N2182" t="s">
        <v>62</v>
      </c>
      <c r="O2182" s="2">
        <v>47.84</v>
      </c>
      <c r="P2182" s="2">
        <v>46.12</v>
      </c>
      <c r="Q2182" s="2">
        <v>1.72</v>
      </c>
      <c r="R2182">
        <v>1</v>
      </c>
      <c r="S2182">
        <v>1</v>
      </c>
      <c r="T2182">
        <v>5</v>
      </c>
      <c r="U2182">
        <v>3</v>
      </c>
    </row>
    <row r="2183" spans="1:21" ht="16.5" x14ac:dyDescent="0.3">
      <c r="A2183" t="s">
        <v>2270</v>
      </c>
      <c r="B2183" s="1">
        <v>45624</v>
      </c>
      <c r="C2183">
        <v>2024</v>
      </c>
      <c r="D2183" t="s">
        <v>1738</v>
      </c>
      <c r="E2183" t="s">
        <v>1959</v>
      </c>
      <c r="F2183" t="s">
        <v>24</v>
      </c>
      <c r="G2183" t="s">
        <v>51</v>
      </c>
      <c r="H2183" t="s">
        <v>26</v>
      </c>
      <c r="I2183" t="s">
        <v>36</v>
      </c>
      <c r="J2183" t="s">
        <v>56</v>
      </c>
      <c r="K2183">
        <v>1</v>
      </c>
      <c r="L2183" s="2">
        <v>74.3</v>
      </c>
      <c r="M2183" s="3">
        <v>0.2</v>
      </c>
      <c r="N2183" t="s">
        <v>34</v>
      </c>
      <c r="O2183" s="2">
        <v>59.44</v>
      </c>
      <c r="P2183" s="2">
        <v>33.47</v>
      </c>
      <c r="Q2183" s="2">
        <v>25.97</v>
      </c>
      <c r="R2183">
        <v>1</v>
      </c>
      <c r="S2183">
        <v>0</v>
      </c>
      <c r="T2183">
        <v>3</v>
      </c>
      <c r="U2183">
        <v>4</v>
      </c>
    </row>
    <row r="2184" spans="1:21" ht="16.5" x14ac:dyDescent="0.3">
      <c r="A2184" t="s">
        <v>2271</v>
      </c>
      <c r="B2184" s="1">
        <v>45624</v>
      </c>
      <c r="C2184">
        <v>2024</v>
      </c>
      <c r="D2184" t="s">
        <v>1738</v>
      </c>
      <c r="E2184" t="s">
        <v>1959</v>
      </c>
      <c r="F2184" t="s">
        <v>24</v>
      </c>
      <c r="G2184" t="s">
        <v>51</v>
      </c>
      <c r="H2184" t="s">
        <v>32</v>
      </c>
      <c r="I2184" t="s">
        <v>70</v>
      </c>
      <c r="J2184" t="s">
        <v>129</v>
      </c>
      <c r="K2184">
        <v>1</v>
      </c>
      <c r="L2184" s="2">
        <v>177.65</v>
      </c>
      <c r="M2184" s="3">
        <v>0.1</v>
      </c>
      <c r="N2184" t="s">
        <v>29</v>
      </c>
      <c r="O2184" s="2">
        <v>159.88999999999999</v>
      </c>
      <c r="P2184" s="2">
        <v>146.19999999999999</v>
      </c>
      <c r="Q2184" s="2">
        <v>13.69</v>
      </c>
      <c r="R2184">
        <v>1</v>
      </c>
      <c r="S2184">
        <v>0</v>
      </c>
      <c r="T2184">
        <v>4</v>
      </c>
      <c r="U2184">
        <v>4</v>
      </c>
    </row>
    <row r="2185" spans="1:21" ht="16.5" x14ac:dyDescent="0.3">
      <c r="A2185" t="s">
        <v>2272</v>
      </c>
      <c r="B2185" s="1">
        <v>45624</v>
      </c>
      <c r="C2185">
        <v>2024</v>
      </c>
      <c r="D2185" t="s">
        <v>1738</v>
      </c>
      <c r="E2185" t="s">
        <v>1959</v>
      </c>
      <c r="F2185" t="s">
        <v>31</v>
      </c>
      <c r="G2185" t="s">
        <v>49</v>
      </c>
      <c r="H2185" t="s">
        <v>32</v>
      </c>
      <c r="I2185" t="s">
        <v>42</v>
      </c>
      <c r="J2185" t="s">
        <v>54</v>
      </c>
      <c r="K2185">
        <v>1</v>
      </c>
      <c r="L2185" s="2">
        <v>148.05000000000001</v>
      </c>
      <c r="M2185" s="3">
        <v>0.3</v>
      </c>
      <c r="N2185" t="s">
        <v>62</v>
      </c>
      <c r="O2185" s="2">
        <v>103.64</v>
      </c>
      <c r="P2185" s="2">
        <v>98.57</v>
      </c>
      <c r="Q2185" s="2">
        <v>5.07</v>
      </c>
      <c r="R2185">
        <v>1</v>
      </c>
      <c r="S2185">
        <v>0</v>
      </c>
      <c r="T2185">
        <v>4</v>
      </c>
      <c r="U2185">
        <v>4</v>
      </c>
    </row>
    <row r="2186" spans="1:21" ht="16.5" x14ac:dyDescent="0.3">
      <c r="A2186" t="s">
        <v>2273</v>
      </c>
      <c r="B2186" s="1">
        <v>45624</v>
      </c>
      <c r="C2186">
        <v>2024</v>
      </c>
      <c r="D2186" t="s">
        <v>1738</v>
      </c>
      <c r="E2186" t="s">
        <v>1959</v>
      </c>
      <c r="F2186" t="s">
        <v>24</v>
      </c>
      <c r="G2186" t="s">
        <v>51</v>
      </c>
      <c r="H2186" t="s">
        <v>26</v>
      </c>
      <c r="I2186" t="s">
        <v>27</v>
      </c>
      <c r="J2186" t="s">
        <v>47</v>
      </c>
      <c r="K2186">
        <v>2</v>
      </c>
      <c r="L2186" s="2">
        <v>33.99</v>
      </c>
      <c r="M2186" s="3">
        <v>0.25</v>
      </c>
      <c r="N2186" t="s">
        <v>62</v>
      </c>
      <c r="O2186" s="2">
        <v>50.98</v>
      </c>
      <c r="P2186" s="2">
        <v>35.090000000000003</v>
      </c>
      <c r="Q2186" s="2">
        <v>15.89</v>
      </c>
      <c r="R2186">
        <v>1</v>
      </c>
      <c r="S2186">
        <v>0</v>
      </c>
      <c r="T2186">
        <v>3</v>
      </c>
      <c r="U2186">
        <v>4</v>
      </c>
    </row>
    <row r="2187" spans="1:21" ht="16.5" x14ac:dyDescent="0.3">
      <c r="A2187" t="s">
        <v>2274</v>
      </c>
      <c r="B2187" s="1">
        <v>45624</v>
      </c>
      <c r="C2187">
        <v>2024</v>
      </c>
      <c r="D2187" t="s">
        <v>1738</v>
      </c>
      <c r="E2187" t="s">
        <v>1959</v>
      </c>
      <c r="F2187" t="s">
        <v>45</v>
      </c>
      <c r="G2187" t="s">
        <v>49</v>
      </c>
      <c r="H2187" t="s">
        <v>32</v>
      </c>
      <c r="I2187" t="s">
        <v>84</v>
      </c>
      <c r="J2187" t="s">
        <v>132</v>
      </c>
      <c r="K2187">
        <v>1</v>
      </c>
      <c r="L2187" s="2">
        <v>48.86</v>
      </c>
      <c r="M2187" s="3">
        <v>0.2</v>
      </c>
      <c r="N2187" t="s">
        <v>34</v>
      </c>
      <c r="O2187" s="2">
        <v>39.090000000000003</v>
      </c>
      <c r="P2187" s="2">
        <v>32.979999999999997</v>
      </c>
      <c r="Q2187" s="2">
        <v>6.11</v>
      </c>
      <c r="R2187">
        <v>1</v>
      </c>
      <c r="S2187">
        <v>0</v>
      </c>
      <c r="T2187">
        <v>5</v>
      </c>
      <c r="U2187">
        <v>4</v>
      </c>
    </row>
    <row r="2188" spans="1:21" ht="16.5" x14ac:dyDescent="0.3">
      <c r="A2188" t="s">
        <v>2275</v>
      </c>
      <c r="B2188" s="1">
        <v>45624</v>
      </c>
      <c r="C2188">
        <v>2024</v>
      </c>
      <c r="D2188" t="s">
        <v>1738</v>
      </c>
      <c r="E2188" t="s">
        <v>1959</v>
      </c>
      <c r="F2188" t="s">
        <v>31</v>
      </c>
      <c r="G2188" t="s">
        <v>49</v>
      </c>
      <c r="H2188" t="s">
        <v>26</v>
      </c>
      <c r="I2188" t="s">
        <v>36</v>
      </c>
      <c r="J2188" t="s">
        <v>37</v>
      </c>
      <c r="K2188">
        <v>1</v>
      </c>
      <c r="L2188" s="2">
        <v>33.18</v>
      </c>
      <c r="M2188" s="3">
        <v>0.1</v>
      </c>
      <c r="N2188" t="s">
        <v>29</v>
      </c>
      <c r="O2188" s="2">
        <v>29.86</v>
      </c>
      <c r="P2188" s="2">
        <v>16.2</v>
      </c>
      <c r="Q2188" s="2">
        <v>13.66</v>
      </c>
      <c r="R2188">
        <v>1</v>
      </c>
      <c r="S2188">
        <v>0</v>
      </c>
      <c r="T2188">
        <v>4</v>
      </c>
      <c r="U2188">
        <v>5</v>
      </c>
    </row>
    <row r="2189" spans="1:21" ht="16.5" x14ac:dyDescent="0.3">
      <c r="A2189" t="s">
        <v>2276</v>
      </c>
      <c r="B2189" s="1">
        <v>45624</v>
      </c>
      <c r="C2189">
        <v>2024</v>
      </c>
      <c r="D2189" t="s">
        <v>1738</v>
      </c>
      <c r="E2189" t="s">
        <v>1959</v>
      </c>
      <c r="F2189" t="s">
        <v>24</v>
      </c>
      <c r="G2189" t="s">
        <v>51</v>
      </c>
      <c r="H2189" t="s">
        <v>32</v>
      </c>
      <c r="I2189" t="s">
        <v>27</v>
      </c>
      <c r="J2189" t="s">
        <v>47</v>
      </c>
      <c r="K2189">
        <v>1</v>
      </c>
      <c r="L2189" s="2">
        <v>33.99</v>
      </c>
      <c r="M2189" s="3">
        <v>0.2</v>
      </c>
      <c r="N2189" t="s">
        <v>34</v>
      </c>
      <c r="O2189" s="2">
        <v>27.19</v>
      </c>
      <c r="P2189" s="2">
        <v>18.57</v>
      </c>
      <c r="Q2189" s="2">
        <v>8.6199999999999992</v>
      </c>
      <c r="R2189">
        <v>1</v>
      </c>
      <c r="S2189">
        <v>0</v>
      </c>
      <c r="T2189">
        <v>4</v>
      </c>
      <c r="U2189">
        <v>4</v>
      </c>
    </row>
    <row r="2190" spans="1:21" ht="16.5" x14ac:dyDescent="0.3">
      <c r="A2190" t="s">
        <v>2277</v>
      </c>
      <c r="B2190" s="1">
        <v>45624</v>
      </c>
      <c r="C2190">
        <v>2024</v>
      </c>
      <c r="D2190" t="s">
        <v>1738</v>
      </c>
      <c r="E2190" t="s">
        <v>1959</v>
      </c>
      <c r="F2190" t="s">
        <v>24</v>
      </c>
      <c r="G2190" t="s">
        <v>51</v>
      </c>
      <c r="H2190" t="s">
        <v>26</v>
      </c>
      <c r="I2190" t="s">
        <v>36</v>
      </c>
      <c r="J2190" t="s">
        <v>52</v>
      </c>
      <c r="K2190">
        <v>2</v>
      </c>
      <c r="L2190" s="2">
        <v>92.54</v>
      </c>
      <c r="M2190" s="3">
        <v>0.2</v>
      </c>
      <c r="N2190" t="s">
        <v>34</v>
      </c>
      <c r="O2190" s="2">
        <v>148.06</v>
      </c>
      <c r="P2190" s="2">
        <v>89.7</v>
      </c>
      <c r="Q2190" s="2">
        <v>58.36</v>
      </c>
      <c r="R2190">
        <v>1</v>
      </c>
      <c r="S2190">
        <v>0</v>
      </c>
      <c r="T2190">
        <v>6</v>
      </c>
      <c r="U2190">
        <v>4</v>
      </c>
    </row>
    <row r="2191" spans="1:21" ht="16.5" x14ac:dyDescent="0.3">
      <c r="A2191" t="s">
        <v>2278</v>
      </c>
      <c r="B2191" s="1">
        <v>45624</v>
      </c>
      <c r="C2191">
        <v>2024</v>
      </c>
      <c r="D2191" t="s">
        <v>1738</v>
      </c>
      <c r="E2191" t="s">
        <v>1959</v>
      </c>
      <c r="F2191" t="s">
        <v>24</v>
      </c>
      <c r="G2191" t="s">
        <v>49</v>
      </c>
      <c r="H2191" t="s">
        <v>32</v>
      </c>
      <c r="I2191" t="s">
        <v>27</v>
      </c>
      <c r="J2191" t="s">
        <v>47</v>
      </c>
      <c r="K2191">
        <v>1</v>
      </c>
      <c r="L2191" s="2">
        <v>33.99</v>
      </c>
      <c r="M2191" s="3">
        <v>0.3</v>
      </c>
      <c r="N2191" t="s">
        <v>62</v>
      </c>
      <c r="O2191" s="2">
        <v>23.79</v>
      </c>
      <c r="P2191" s="2">
        <v>18.16</v>
      </c>
      <c r="Q2191" s="2">
        <v>5.63</v>
      </c>
      <c r="R2191">
        <v>1</v>
      </c>
      <c r="S2191">
        <v>0</v>
      </c>
      <c r="T2191">
        <v>5</v>
      </c>
      <c r="U2191">
        <v>4</v>
      </c>
    </row>
    <row r="2192" spans="1:21" ht="16.5" x14ac:dyDescent="0.3">
      <c r="A2192" t="s">
        <v>2279</v>
      </c>
      <c r="B2192" s="1">
        <v>45624</v>
      </c>
      <c r="C2192">
        <v>2024</v>
      </c>
      <c r="D2192" t="s">
        <v>1738</v>
      </c>
      <c r="E2192" t="s">
        <v>1959</v>
      </c>
      <c r="F2192" t="s">
        <v>45</v>
      </c>
      <c r="G2192" t="s">
        <v>25</v>
      </c>
      <c r="H2192" t="s">
        <v>26</v>
      </c>
      <c r="I2192" t="s">
        <v>42</v>
      </c>
      <c r="J2192" t="s">
        <v>98</v>
      </c>
      <c r="K2192">
        <v>4</v>
      </c>
      <c r="L2192" s="2">
        <v>117.63</v>
      </c>
      <c r="M2192" s="3">
        <v>0.3</v>
      </c>
      <c r="N2192" t="s">
        <v>62</v>
      </c>
      <c r="O2192" s="2">
        <v>329.36</v>
      </c>
      <c r="P2192" s="2">
        <v>309.89</v>
      </c>
      <c r="Q2192" s="2">
        <v>19.47</v>
      </c>
      <c r="R2192">
        <v>1</v>
      </c>
      <c r="S2192">
        <v>0</v>
      </c>
      <c r="T2192">
        <v>6</v>
      </c>
      <c r="U2192">
        <v>4</v>
      </c>
    </row>
    <row r="2193" spans="1:21" ht="16.5" x14ac:dyDescent="0.3">
      <c r="A2193" t="s">
        <v>2280</v>
      </c>
      <c r="B2193" s="1">
        <v>45625</v>
      </c>
      <c r="C2193">
        <v>2024</v>
      </c>
      <c r="D2193" t="s">
        <v>1738</v>
      </c>
      <c r="E2193" t="s">
        <v>1959</v>
      </c>
      <c r="F2193" t="s">
        <v>45</v>
      </c>
      <c r="G2193" t="s">
        <v>51</v>
      </c>
      <c r="H2193" t="s">
        <v>32</v>
      </c>
      <c r="I2193" t="s">
        <v>42</v>
      </c>
      <c r="J2193" t="s">
        <v>43</v>
      </c>
      <c r="K2193">
        <v>4</v>
      </c>
      <c r="L2193" s="2">
        <v>154.66</v>
      </c>
      <c r="M2193" s="3">
        <v>0.05</v>
      </c>
      <c r="N2193" t="s">
        <v>29</v>
      </c>
      <c r="O2193" s="2">
        <v>587.71</v>
      </c>
      <c r="P2193" s="2">
        <v>392.02</v>
      </c>
      <c r="Q2193" s="2">
        <v>195.69</v>
      </c>
      <c r="R2193">
        <v>1</v>
      </c>
      <c r="S2193">
        <v>0</v>
      </c>
      <c r="T2193">
        <v>4</v>
      </c>
      <c r="U2193">
        <v>4</v>
      </c>
    </row>
    <row r="2194" spans="1:21" ht="16.5" x14ac:dyDescent="0.3">
      <c r="A2194" t="s">
        <v>2281</v>
      </c>
      <c r="B2194" s="1">
        <v>45625</v>
      </c>
      <c r="C2194">
        <v>2024</v>
      </c>
      <c r="D2194" t="s">
        <v>1738</v>
      </c>
      <c r="E2194" t="s">
        <v>1959</v>
      </c>
      <c r="F2194" t="s">
        <v>31</v>
      </c>
      <c r="G2194" t="s">
        <v>46</v>
      </c>
      <c r="H2194" t="s">
        <v>32</v>
      </c>
      <c r="I2194" t="s">
        <v>27</v>
      </c>
      <c r="J2194" t="s">
        <v>33</v>
      </c>
      <c r="K2194">
        <v>1</v>
      </c>
      <c r="L2194" s="2">
        <v>78.510000000000005</v>
      </c>
      <c r="M2194" s="3">
        <v>0.15</v>
      </c>
      <c r="N2194" t="s">
        <v>34</v>
      </c>
      <c r="O2194" s="2">
        <v>66.73</v>
      </c>
      <c r="P2194" s="2">
        <v>41.51</v>
      </c>
      <c r="Q2194" s="2">
        <v>25.22</v>
      </c>
      <c r="R2194">
        <v>1</v>
      </c>
      <c r="S2194">
        <v>0</v>
      </c>
      <c r="T2194">
        <v>6</v>
      </c>
      <c r="U2194">
        <v>4</v>
      </c>
    </row>
    <row r="2195" spans="1:21" ht="16.5" x14ac:dyDescent="0.3">
      <c r="A2195" t="s">
        <v>2282</v>
      </c>
      <c r="B2195" s="1">
        <v>45625</v>
      </c>
      <c r="C2195">
        <v>2024</v>
      </c>
      <c r="D2195" t="s">
        <v>1738</v>
      </c>
      <c r="E2195" t="s">
        <v>1959</v>
      </c>
      <c r="F2195" t="s">
        <v>24</v>
      </c>
      <c r="G2195" t="s">
        <v>25</v>
      </c>
      <c r="H2195" t="s">
        <v>26</v>
      </c>
      <c r="I2195" t="s">
        <v>27</v>
      </c>
      <c r="J2195" t="s">
        <v>33</v>
      </c>
      <c r="K2195">
        <v>1</v>
      </c>
      <c r="L2195" s="2">
        <v>78.510000000000005</v>
      </c>
      <c r="M2195" s="3">
        <v>0.1</v>
      </c>
      <c r="N2195" t="s">
        <v>29</v>
      </c>
      <c r="O2195" s="2">
        <v>70.66</v>
      </c>
      <c r="P2195" s="2">
        <v>44.01</v>
      </c>
      <c r="Q2195" s="2">
        <v>26.65</v>
      </c>
      <c r="R2195">
        <v>1</v>
      </c>
      <c r="S2195">
        <v>0</v>
      </c>
      <c r="T2195">
        <v>5</v>
      </c>
      <c r="U2195">
        <v>5</v>
      </c>
    </row>
    <row r="2196" spans="1:21" ht="16.5" x14ac:dyDescent="0.3">
      <c r="A2196" t="s">
        <v>2283</v>
      </c>
      <c r="B2196" s="1">
        <v>45625</v>
      </c>
      <c r="C2196">
        <v>2024</v>
      </c>
      <c r="D2196" t="s">
        <v>1738</v>
      </c>
      <c r="E2196" t="s">
        <v>1959</v>
      </c>
      <c r="F2196" t="s">
        <v>24</v>
      </c>
      <c r="G2196" t="s">
        <v>51</v>
      </c>
      <c r="H2196" t="s">
        <v>26</v>
      </c>
      <c r="I2196" t="s">
        <v>70</v>
      </c>
      <c r="J2196" t="s">
        <v>129</v>
      </c>
      <c r="K2196">
        <v>1</v>
      </c>
      <c r="L2196" s="2">
        <v>177.65</v>
      </c>
      <c r="M2196" s="3">
        <v>0.25</v>
      </c>
      <c r="N2196" t="s">
        <v>62</v>
      </c>
      <c r="O2196" s="2">
        <v>133.24</v>
      </c>
      <c r="P2196" s="2">
        <v>149.15</v>
      </c>
      <c r="Q2196" s="2">
        <v>-15.91</v>
      </c>
      <c r="R2196">
        <v>1</v>
      </c>
      <c r="S2196">
        <v>0</v>
      </c>
      <c r="T2196">
        <v>5</v>
      </c>
      <c r="U2196">
        <v>4</v>
      </c>
    </row>
    <row r="2197" spans="1:21" ht="16.5" x14ac:dyDescent="0.3">
      <c r="A2197" t="s">
        <v>2284</v>
      </c>
      <c r="B2197" s="1">
        <v>45625</v>
      </c>
      <c r="C2197">
        <v>2024</v>
      </c>
      <c r="D2197" t="s">
        <v>1738</v>
      </c>
      <c r="E2197" t="s">
        <v>1959</v>
      </c>
      <c r="F2197" t="s">
        <v>24</v>
      </c>
      <c r="G2197" t="s">
        <v>49</v>
      </c>
      <c r="H2197" t="s">
        <v>26</v>
      </c>
      <c r="I2197" t="s">
        <v>70</v>
      </c>
      <c r="J2197" t="s">
        <v>87</v>
      </c>
      <c r="K2197">
        <v>1</v>
      </c>
      <c r="L2197" s="2">
        <v>490.3</v>
      </c>
      <c r="M2197" s="3">
        <v>0.3</v>
      </c>
      <c r="N2197" t="s">
        <v>62</v>
      </c>
      <c r="O2197" s="2">
        <v>343.21</v>
      </c>
      <c r="P2197" s="2">
        <v>381.09</v>
      </c>
      <c r="Q2197" s="2">
        <v>-37.880000000000003</v>
      </c>
      <c r="R2197">
        <v>1</v>
      </c>
      <c r="S2197">
        <v>0</v>
      </c>
      <c r="T2197">
        <v>5</v>
      </c>
      <c r="U2197">
        <v>4</v>
      </c>
    </row>
    <row r="2198" spans="1:21" ht="16.5" x14ac:dyDescent="0.3">
      <c r="A2198" t="s">
        <v>2285</v>
      </c>
      <c r="B2198" s="1">
        <v>45625</v>
      </c>
      <c r="C2198">
        <v>2024</v>
      </c>
      <c r="D2198" t="s">
        <v>1738</v>
      </c>
      <c r="E2198" t="s">
        <v>1959</v>
      </c>
      <c r="F2198" t="s">
        <v>24</v>
      </c>
      <c r="G2198" t="s">
        <v>65</v>
      </c>
      <c r="H2198" t="s">
        <v>32</v>
      </c>
      <c r="I2198" t="s">
        <v>67</v>
      </c>
      <c r="J2198" t="s">
        <v>174</v>
      </c>
      <c r="K2198">
        <v>1</v>
      </c>
      <c r="L2198" s="2">
        <v>137.05000000000001</v>
      </c>
      <c r="M2198" s="3">
        <v>0.15</v>
      </c>
      <c r="N2198" t="s">
        <v>34</v>
      </c>
      <c r="O2198" s="2">
        <v>116.49</v>
      </c>
      <c r="P2198" s="2">
        <v>93.63</v>
      </c>
      <c r="Q2198" s="2">
        <v>22.86</v>
      </c>
      <c r="R2198">
        <v>1</v>
      </c>
      <c r="S2198">
        <v>0</v>
      </c>
      <c r="T2198">
        <v>6</v>
      </c>
      <c r="U2198">
        <v>3</v>
      </c>
    </row>
    <row r="2199" spans="1:21" ht="16.5" x14ac:dyDescent="0.3">
      <c r="A2199" t="s">
        <v>2286</v>
      </c>
      <c r="B2199" s="1">
        <v>45625</v>
      </c>
      <c r="C2199">
        <v>2024</v>
      </c>
      <c r="D2199" t="s">
        <v>1738</v>
      </c>
      <c r="E2199" t="s">
        <v>1959</v>
      </c>
      <c r="F2199" t="s">
        <v>31</v>
      </c>
      <c r="G2199" t="s">
        <v>49</v>
      </c>
      <c r="H2199" t="s">
        <v>32</v>
      </c>
      <c r="I2199" t="s">
        <v>84</v>
      </c>
      <c r="J2199" t="s">
        <v>106</v>
      </c>
      <c r="K2199">
        <v>3</v>
      </c>
      <c r="L2199" s="2">
        <v>45.28</v>
      </c>
      <c r="M2199" s="3">
        <v>0.15</v>
      </c>
      <c r="N2199" t="s">
        <v>34</v>
      </c>
      <c r="O2199" s="2">
        <v>115.46</v>
      </c>
      <c r="P2199" s="2">
        <v>98.26</v>
      </c>
      <c r="Q2199" s="2">
        <v>17.2</v>
      </c>
      <c r="R2199">
        <v>1</v>
      </c>
      <c r="S2199">
        <v>0</v>
      </c>
      <c r="T2199">
        <v>6</v>
      </c>
      <c r="U2199">
        <v>3</v>
      </c>
    </row>
    <row r="2200" spans="1:21" ht="16.5" x14ac:dyDescent="0.3">
      <c r="A2200" t="s">
        <v>2287</v>
      </c>
      <c r="B2200" s="1">
        <v>45625</v>
      </c>
      <c r="C2200">
        <v>2024</v>
      </c>
      <c r="D2200" t="s">
        <v>1738</v>
      </c>
      <c r="E2200" t="s">
        <v>1959</v>
      </c>
      <c r="F2200" t="s">
        <v>24</v>
      </c>
      <c r="G2200" t="s">
        <v>51</v>
      </c>
      <c r="H2200" t="s">
        <v>32</v>
      </c>
      <c r="I2200" t="s">
        <v>84</v>
      </c>
      <c r="J2200" t="s">
        <v>223</v>
      </c>
      <c r="K2200">
        <v>1</v>
      </c>
      <c r="L2200" s="2">
        <v>16.97</v>
      </c>
      <c r="M2200" s="3">
        <v>0.25</v>
      </c>
      <c r="N2200" t="s">
        <v>62</v>
      </c>
      <c r="O2200" s="2">
        <v>12.73</v>
      </c>
      <c r="P2200" s="2">
        <v>12.26</v>
      </c>
      <c r="Q2200" s="2">
        <v>0.47</v>
      </c>
      <c r="R2200">
        <v>1</v>
      </c>
      <c r="S2200">
        <v>0</v>
      </c>
      <c r="T2200">
        <v>3</v>
      </c>
      <c r="U2200">
        <v>4</v>
      </c>
    </row>
    <row r="2201" spans="1:21" ht="16.5" x14ac:dyDescent="0.3">
      <c r="A2201" t="s">
        <v>2288</v>
      </c>
      <c r="B2201" s="1">
        <v>45625</v>
      </c>
      <c r="C2201">
        <v>2024</v>
      </c>
      <c r="D2201" t="s">
        <v>1738</v>
      </c>
      <c r="E2201" t="s">
        <v>1959</v>
      </c>
      <c r="F2201" t="s">
        <v>24</v>
      </c>
      <c r="G2201" t="s">
        <v>51</v>
      </c>
      <c r="H2201" t="s">
        <v>32</v>
      </c>
      <c r="I2201" t="s">
        <v>84</v>
      </c>
      <c r="J2201" t="s">
        <v>85</v>
      </c>
      <c r="K2201">
        <v>1</v>
      </c>
      <c r="L2201" s="2">
        <v>57.92</v>
      </c>
      <c r="M2201" s="3">
        <v>0.25</v>
      </c>
      <c r="N2201" t="s">
        <v>62</v>
      </c>
      <c r="O2201" s="2">
        <v>43.44</v>
      </c>
      <c r="P2201" s="2">
        <v>41.08</v>
      </c>
      <c r="Q2201" s="2">
        <v>2.36</v>
      </c>
      <c r="R2201">
        <v>1</v>
      </c>
      <c r="S2201">
        <v>0</v>
      </c>
      <c r="T2201">
        <v>3</v>
      </c>
      <c r="U2201">
        <v>5</v>
      </c>
    </row>
    <row r="2202" spans="1:21" ht="16.5" x14ac:dyDescent="0.3">
      <c r="A2202" t="s">
        <v>2289</v>
      </c>
      <c r="B2202" s="1">
        <v>45625</v>
      </c>
      <c r="C2202">
        <v>2024</v>
      </c>
      <c r="D2202" t="s">
        <v>1738</v>
      </c>
      <c r="E2202" t="s">
        <v>1959</v>
      </c>
      <c r="F2202" t="s">
        <v>24</v>
      </c>
      <c r="G2202" t="s">
        <v>51</v>
      </c>
      <c r="H2202" t="s">
        <v>26</v>
      </c>
      <c r="I2202" t="s">
        <v>36</v>
      </c>
      <c r="J2202" t="s">
        <v>115</v>
      </c>
      <c r="K2202">
        <v>1</v>
      </c>
      <c r="L2202" s="2">
        <v>33.479999999999997</v>
      </c>
      <c r="M2202" s="3">
        <v>0</v>
      </c>
      <c r="N2202" t="s">
        <v>38</v>
      </c>
      <c r="O2202" s="2">
        <v>33.479999999999997</v>
      </c>
      <c r="P2202" s="2">
        <v>16.04</v>
      </c>
      <c r="Q2202" s="2">
        <v>17.440000000000001</v>
      </c>
      <c r="R2202">
        <v>1</v>
      </c>
      <c r="S2202">
        <v>0</v>
      </c>
      <c r="T2202">
        <v>5</v>
      </c>
      <c r="U2202">
        <v>5</v>
      </c>
    </row>
    <row r="2203" spans="1:21" ht="16.5" x14ac:dyDescent="0.3">
      <c r="A2203" t="s">
        <v>2290</v>
      </c>
      <c r="B2203" s="1">
        <v>45625</v>
      </c>
      <c r="C2203">
        <v>2024</v>
      </c>
      <c r="D2203" t="s">
        <v>1738</v>
      </c>
      <c r="E2203" t="s">
        <v>1959</v>
      </c>
      <c r="F2203" t="s">
        <v>24</v>
      </c>
      <c r="G2203" t="s">
        <v>25</v>
      </c>
      <c r="H2203" t="s">
        <v>26</v>
      </c>
      <c r="I2203" t="s">
        <v>70</v>
      </c>
      <c r="J2203" t="s">
        <v>87</v>
      </c>
      <c r="K2203">
        <v>2</v>
      </c>
      <c r="L2203" s="2">
        <v>490.3</v>
      </c>
      <c r="M2203" s="3">
        <v>0.3</v>
      </c>
      <c r="N2203" t="s">
        <v>62</v>
      </c>
      <c r="O2203" s="2">
        <v>686.42</v>
      </c>
      <c r="P2203" s="2">
        <v>793.12</v>
      </c>
      <c r="Q2203" s="2">
        <v>-106.7</v>
      </c>
      <c r="R2203">
        <v>1</v>
      </c>
      <c r="S2203">
        <v>0</v>
      </c>
      <c r="T2203">
        <v>8</v>
      </c>
      <c r="U2203">
        <v>3</v>
      </c>
    </row>
    <row r="2204" spans="1:21" ht="16.5" x14ac:dyDescent="0.3">
      <c r="A2204" t="s">
        <v>2291</v>
      </c>
      <c r="B2204" s="1">
        <v>45625</v>
      </c>
      <c r="C2204">
        <v>2024</v>
      </c>
      <c r="D2204" t="s">
        <v>1738</v>
      </c>
      <c r="E2204" t="s">
        <v>1959</v>
      </c>
      <c r="F2204" t="s">
        <v>31</v>
      </c>
      <c r="G2204" t="s">
        <v>46</v>
      </c>
      <c r="H2204" t="s">
        <v>32</v>
      </c>
      <c r="I2204" t="s">
        <v>67</v>
      </c>
      <c r="J2204" t="s">
        <v>93</v>
      </c>
      <c r="K2204">
        <v>2</v>
      </c>
      <c r="L2204" s="2">
        <v>198.42</v>
      </c>
      <c r="M2204" s="3">
        <v>0.15</v>
      </c>
      <c r="N2204" t="s">
        <v>34</v>
      </c>
      <c r="O2204" s="2">
        <v>337.31</v>
      </c>
      <c r="P2204" s="2">
        <v>269.43</v>
      </c>
      <c r="Q2204" s="2">
        <v>67.88</v>
      </c>
      <c r="R2204">
        <v>1</v>
      </c>
      <c r="S2204">
        <v>0</v>
      </c>
      <c r="T2204">
        <v>6</v>
      </c>
      <c r="U2204">
        <v>3</v>
      </c>
    </row>
    <row r="2205" spans="1:21" ht="16.5" x14ac:dyDescent="0.3">
      <c r="A2205" t="s">
        <v>2292</v>
      </c>
      <c r="B2205" s="1">
        <v>45626</v>
      </c>
      <c r="C2205">
        <v>2024</v>
      </c>
      <c r="D2205" t="s">
        <v>1738</v>
      </c>
      <c r="E2205" t="s">
        <v>1959</v>
      </c>
      <c r="F2205" t="s">
        <v>24</v>
      </c>
      <c r="G2205" t="s">
        <v>51</v>
      </c>
      <c r="H2205" t="s">
        <v>32</v>
      </c>
      <c r="I2205" t="s">
        <v>36</v>
      </c>
      <c r="J2205" t="s">
        <v>115</v>
      </c>
      <c r="K2205">
        <v>2</v>
      </c>
      <c r="L2205" s="2">
        <v>33.479999999999997</v>
      </c>
      <c r="M2205" s="3">
        <v>0.3</v>
      </c>
      <c r="N2205" t="s">
        <v>62</v>
      </c>
      <c r="O2205" s="2">
        <v>46.87</v>
      </c>
      <c r="P2205" s="2">
        <v>33.450000000000003</v>
      </c>
      <c r="Q2205" s="2">
        <v>13.42</v>
      </c>
      <c r="R2205">
        <v>1</v>
      </c>
      <c r="S2205">
        <v>0</v>
      </c>
      <c r="T2205">
        <v>3</v>
      </c>
      <c r="U2205">
        <v>4</v>
      </c>
    </row>
    <row r="2206" spans="1:21" ht="16.5" x14ac:dyDescent="0.3">
      <c r="A2206" t="s">
        <v>2293</v>
      </c>
      <c r="B2206" s="1">
        <v>45626</v>
      </c>
      <c r="C2206">
        <v>2024</v>
      </c>
      <c r="D2206" t="s">
        <v>1738</v>
      </c>
      <c r="E2206" t="s">
        <v>1959</v>
      </c>
      <c r="F2206" t="s">
        <v>31</v>
      </c>
      <c r="G2206" t="s">
        <v>25</v>
      </c>
      <c r="H2206" t="s">
        <v>26</v>
      </c>
      <c r="I2206" t="s">
        <v>84</v>
      </c>
      <c r="J2206" t="s">
        <v>132</v>
      </c>
      <c r="K2206">
        <v>1</v>
      </c>
      <c r="L2206" s="2">
        <v>48.86</v>
      </c>
      <c r="M2206" s="3">
        <v>0.25</v>
      </c>
      <c r="N2206" t="s">
        <v>62</v>
      </c>
      <c r="O2206" s="2">
        <v>36.64</v>
      </c>
      <c r="P2206" s="2">
        <v>35.549999999999997</v>
      </c>
      <c r="Q2206" s="2">
        <v>1.0900000000000001</v>
      </c>
      <c r="R2206">
        <v>1</v>
      </c>
      <c r="S2206">
        <v>0</v>
      </c>
      <c r="T2206">
        <v>5</v>
      </c>
      <c r="U2206">
        <v>5</v>
      </c>
    </row>
    <row r="2207" spans="1:21" ht="16.5" x14ac:dyDescent="0.3">
      <c r="A2207" t="s">
        <v>2294</v>
      </c>
      <c r="B2207" s="1">
        <v>45626</v>
      </c>
      <c r="C2207">
        <v>2024</v>
      </c>
      <c r="D2207" t="s">
        <v>1738</v>
      </c>
      <c r="E2207" t="s">
        <v>1959</v>
      </c>
      <c r="F2207" t="s">
        <v>45</v>
      </c>
      <c r="G2207" t="s">
        <v>25</v>
      </c>
      <c r="H2207" t="s">
        <v>26</v>
      </c>
      <c r="I2207" t="s">
        <v>42</v>
      </c>
      <c r="J2207" t="s">
        <v>76</v>
      </c>
      <c r="K2207">
        <v>2</v>
      </c>
      <c r="L2207" s="2">
        <v>90.75</v>
      </c>
      <c r="M2207" s="3">
        <v>0.2</v>
      </c>
      <c r="N2207" t="s">
        <v>34</v>
      </c>
      <c r="O2207" s="2">
        <v>145.19999999999999</v>
      </c>
      <c r="P2207" s="2">
        <v>120.69</v>
      </c>
      <c r="Q2207" s="2">
        <v>24.51</v>
      </c>
      <c r="R2207">
        <v>1</v>
      </c>
      <c r="S2207">
        <v>0</v>
      </c>
      <c r="T2207">
        <v>5</v>
      </c>
      <c r="U2207">
        <v>5</v>
      </c>
    </row>
    <row r="2208" spans="1:21" ht="16.5" x14ac:dyDescent="0.3">
      <c r="A2208" t="s">
        <v>2295</v>
      </c>
      <c r="B2208" s="1">
        <v>45626</v>
      </c>
      <c r="C2208">
        <v>2024</v>
      </c>
      <c r="D2208" t="s">
        <v>1738</v>
      </c>
      <c r="E2208" t="s">
        <v>1959</v>
      </c>
      <c r="F2208" t="s">
        <v>24</v>
      </c>
      <c r="G2208" t="s">
        <v>25</v>
      </c>
      <c r="H2208" t="s">
        <v>32</v>
      </c>
      <c r="I2208" t="s">
        <v>27</v>
      </c>
      <c r="J2208" t="s">
        <v>40</v>
      </c>
      <c r="K2208">
        <v>1</v>
      </c>
      <c r="L2208" s="2">
        <v>104.94</v>
      </c>
      <c r="M2208" s="3">
        <v>0.1</v>
      </c>
      <c r="N2208" t="s">
        <v>29</v>
      </c>
      <c r="O2208" s="2">
        <v>94.45</v>
      </c>
      <c r="P2208" s="2">
        <v>55.36</v>
      </c>
      <c r="Q2208" s="2">
        <v>39.090000000000003</v>
      </c>
      <c r="R2208">
        <v>1</v>
      </c>
      <c r="S2208">
        <v>0</v>
      </c>
      <c r="T2208">
        <v>4</v>
      </c>
      <c r="U2208">
        <v>4</v>
      </c>
    </row>
    <row r="2209" spans="1:21" ht="16.5" x14ac:dyDescent="0.3">
      <c r="A2209" t="s">
        <v>2296</v>
      </c>
      <c r="B2209" s="1">
        <v>45626</v>
      </c>
      <c r="C2209">
        <v>2024</v>
      </c>
      <c r="D2209" t="s">
        <v>1738</v>
      </c>
      <c r="E2209" t="s">
        <v>1959</v>
      </c>
      <c r="F2209" t="s">
        <v>31</v>
      </c>
      <c r="G2209" t="s">
        <v>65</v>
      </c>
      <c r="H2209" t="s">
        <v>32</v>
      </c>
      <c r="I2209" t="s">
        <v>84</v>
      </c>
      <c r="J2209" t="s">
        <v>106</v>
      </c>
      <c r="K2209">
        <v>1</v>
      </c>
      <c r="L2209" s="2">
        <v>45.28</v>
      </c>
      <c r="M2209" s="3">
        <v>0.3</v>
      </c>
      <c r="N2209" t="s">
        <v>62</v>
      </c>
      <c r="O2209" s="2">
        <v>31.7</v>
      </c>
      <c r="P2209" s="2">
        <v>30.43</v>
      </c>
      <c r="Q2209" s="2">
        <v>1.27</v>
      </c>
      <c r="R2209">
        <v>1</v>
      </c>
      <c r="S2209">
        <v>0</v>
      </c>
      <c r="T2209">
        <v>7</v>
      </c>
      <c r="U2209">
        <v>3</v>
      </c>
    </row>
    <row r="2210" spans="1:21" ht="16.5" x14ac:dyDescent="0.3">
      <c r="A2210" t="s">
        <v>2297</v>
      </c>
      <c r="B2210" s="1">
        <v>45626</v>
      </c>
      <c r="C2210">
        <v>2024</v>
      </c>
      <c r="D2210" t="s">
        <v>1738</v>
      </c>
      <c r="E2210" t="s">
        <v>1959</v>
      </c>
      <c r="F2210" t="s">
        <v>45</v>
      </c>
      <c r="G2210" t="s">
        <v>65</v>
      </c>
      <c r="H2210" t="s">
        <v>26</v>
      </c>
      <c r="I2210" t="s">
        <v>27</v>
      </c>
      <c r="J2210" t="s">
        <v>33</v>
      </c>
      <c r="K2210">
        <v>1</v>
      </c>
      <c r="L2210" s="2">
        <v>78.510000000000005</v>
      </c>
      <c r="M2210" s="3">
        <v>0.2</v>
      </c>
      <c r="N2210" t="s">
        <v>34</v>
      </c>
      <c r="O2210" s="2">
        <v>62.81</v>
      </c>
      <c r="P2210" s="2">
        <v>44.09</v>
      </c>
      <c r="Q2210" s="2">
        <v>18.72</v>
      </c>
      <c r="R2210">
        <v>1</v>
      </c>
      <c r="S2210">
        <v>0</v>
      </c>
      <c r="T2210">
        <v>8</v>
      </c>
      <c r="U2210">
        <v>4</v>
      </c>
    </row>
    <row r="2211" spans="1:21" ht="16.5" x14ac:dyDescent="0.3">
      <c r="A2211" t="s">
        <v>2298</v>
      </c>
      <c r="B2211" s="1">
        <v>45626</v>
      </c>
      <c r="C2211">
        <v>2024</v>
      </c>
      <c r="D2211" t="s">
        <v>1738</v>
      </c>
      <c r="E2211" t="s">
        <v>1959</v>
      </c>
      <c r="F2211" t="s">
        <v>24</v>
      </c>
      <c r="G2211" t="s">
        <v>49</v>
      </c>
      <c r="H2211" t="s">
        <v>26</v>
      </c>
      <c r="I2211" t="s">
        <v>70</v>
      </c>
      <c r="J2211" t="s">
        <v>162</v>
      </c>
      <c r="K2211">
        <v>3</v>
      </c>
      <c r="L2211" s="2">
        <v>636.09</v>
      </c>
      <c r="M2211" s="3">
        <v>0.05</v>
      </c>
      <c r="N2211" t="s">
        <v>29</v>
      </c>
      <c r="O2211" s="2">
        <v>1812.86</v>
      </c>
      <c r="P2211" s="2">
        <v>1535.25</v>
      </c>
      <c r="Q2211" s="2">
        <v>277.61</v>
      </c>
      <c r="R2211">
        <v>1</v>
      </c>
      <c r="S2211">
        <v>0</v>
      </c>
      <c r="T2211">
        <v>5</v>
      </c>
      <c r="U2211">
        <v>5</v>
      </c>
    </row>
    <row r="2212" spans="1:21" ht="16.5" x14ac:dyDescent="0.3">
      <c r="A2212" t="s">
        <v>2299</v>
      </c>
      <c r="B2212" s="1">
        <v>45626</v>
      </c>
      <c r="C2212">
        <v>2024</v>
      </c>
      <c r="D2212" t="s">
        <v>1738</v>
      </c>
      <c r="E2212" t="s">
        <v>1959</v>
      </c>
      <c r="F2212" t="s">
        <v>24</v>
      </c>
      <c r="G2212" t="s">
        <v>25</v>
      </c>
      <c r="H2212" t="s">
        <v>32</v>
      </c>
      <c r="I2212" t="s">
        <v>84</v>
      </c>
      <c r="J2212" t="s">
        <v>96</v>
      </c>
      <c r="K2212">
        <v>1</v>
      </c>
      <c r="L2212" s="2">
        <v>10.76</v>
      </c>
      <c r="M2212" s="3">
        <v>0.15</v>
      </c>
      <c r="N2212" t="s">
        <v>34</v>
      </c>
      <c r="O2212" s="2">
        <v>9.15</v>
      </c>
      <c r="P2212" s="2">
        <v>7.88</v>
      </c>
      <c r="Q2212" s="2">
        <v>1.27</v>
      </c>
      <c r="R2212">
        <v>1</v>
      </c>
      <c r="S2212">
        <v>1</v>
      </c>
      <c r="T2212">
        <v>7</v>
      </c>
      <c r="U2212">
        <v>2</v>
      </c>
    </row>
    <row r="2213" spans="1:21" ht="16.5" x14ac:dyDescent="0.3">
      <c r="A2213" t="s">
        <v>2300</v>
      </c>
      <c r="B2213" s="1">
        <v>45626</v>
      </c>
      <c r="C2213">
        <v>2024</v>
      </c>
      <c r="D2213" t="s">
        <v>1738</v>
      </c>
      <c r="E2213" t="s">
        <v>1959</v>
      </c>
      <c r="F2213" t="s">
        <v>45</v>
      </c>
      <c r="G2213" t="s">
        <v>25</v>
      </c>
      <c r="H2213" t="s">
        <v>32</v>
      </c>
      <c r="I2213" t="s">
        <v>42</v>
      </c>
      <c r="J2213" t="s">
        <v>54</v>
      </c>
      <c r="K2213">
        <v>3</v>
      </c>
      <c r="L2213" s="2">
        <v>148.05000000000001</v>
      </c>
      <c r="M2213" s="3">
        <v>0.15</v>
      </c>
      <c r="N2213" t="s">
        <v>34</v>
      </c>
      <c r="O2213" s="2">
        <v>377.53</v>
      </c>
      <c r="P2213" s="2">
        <v>298.16000000000003</v>
      </c>
      <c r="Q2213" s="2">
        <v>79.37</v>
      </c>
      <c r="R2213">
        <v>1</v>
      </c>
      <c r="S2213">
        <v>0</v>
      </c>
      <c r="T2213">
        <v>4</v>
      </c>
      <c r="U2213">
        <v>5</v>
      </c>
    </row>
    <row r="2214" spans="1:21" ht="16.5" x14ac:dyDescent="0.3">
      <c r="A2214" t="s">
        <v>2301</v>
      </c>
      <c r="B2214" s="1">
        <v>45626</v>
      </c>
      <c r="C2214">
        <v>2024</v>
      </c>
      <c r="D2214" t="s">
        <v>1738</v>
      </c>
      <c r="E2214" t="s">
        <v>1959</v>
      </c>
      <c r="F2214" t="s">
        <v>31</v>
      </c>
      <c r="G2214" t="s">
        <v>25</v>
      </c>
      <c r="H2214" t="s">
        <v>32</v>
      </c>
      <c r="I2214" t="s">
        <v>70</v>
      </c>
      <c r="J2214" t="s">
        <v>82</v>
      </c>
      <c r="K2214">
        <v>1</v>
      </c>
      <c r="L2214" s="2">
        <v>508.8</v>
      </c>
      <c r="M2214" s="3">
        <v>0.25</v>
      </c>
      <c r="N2214" t="s">
        <v>62</v>
      </c>
      <c r="O2214" s="2">
        <v>381.6</v>
      </c>
      <c r="P2214" s="2">
        <v>405.41</v>
      </c>
      <c r="Q2214" s="2">
        <v>-23.81</v>
      </c>
      <c r="R2214">
        <v>1</v>
      </c>
      <c r="S2214">
        <v>0</v>
      </c>
      <c r="T2214">
        <v>5</v>
      </c>
      <c r="U2214">
        <v>5</v>
      </c>
    </row>
    <row r="2215" spans="1:21" ht="16.5" x14ac:dyDescent="0.3">
      <c r="A2215" t="s">
        <v>2302</v>
      </c>
      <c r="B2215" s="1">
        <v>45626</v>
      </c>
      <c r="C2215">
        <v>2024</v>
      </c>
      <c r="D2215" t="s">
        <v>1738</v>
      </c>
      <c r="E2215" t="s">
        <v>1959</v>
      </c>
      <c r="F2215" t="s">
        <v>45</v>
      </c>
      <c r="G2215" t="s">
        <v>51</v>
      </c>
      <c r="H2215" t="s">
        <v>32</v>
      </c>
      <c r="I2215" t="s">
        <v>84</v>
      </c>
      <c r="J2215" t="s">
        <v>132</v>
      </c>
      <c r="K2215">
        <v>1</v>
      </c>
      <c r="L2215" s="2">
        <v>48.86</v>
      </c>
      <c r="M2215" s="3">
        <v>0.25</v>
      </c>
      <c r="N2215" t="s">
        <v>62</v>
      </c>
      <c r="O2215" s="2">
        <v>36.64</v>
      </c>
      <c r="P2215" s="2">
        <v>35.04</v>
      </c>
      <c r="Q2215" s="2">
        <v>1.6</v>
      </c>
      <c r="R2215">
        <v>1</v>
      </c>
      <c r="S2215">
        <v>0</v>
      </c>
      <c r="T2215">
        <v>3</v>
      </c>
      <c r="U2215">
        <v>4</v>
      </c>
    </row>
    <row r="2216" spans="1:21" ht="16.5" x14ac:dyDescent="0.3">
      <c r="A2216" t="s">
        <v>2303</v>
      </c>
      <c r="B2216" s="1">
        <v>45626</v>
      </c>
      <c r="C2216">
        <v>2024</v>
      </c>
      <c r="D2216" t="s">
        <v>1738</v>
      </c>
      <c r="E2216" t="s">
        <v>1959</v>
      </c>
      <c r="F2216" t="s">
        <v>31</v>
      </c>
      <c r="G2216" t="s">
        <v>49</v>
      </c>
      <c r="H2216" t="s">
        <v>26</v>
      </c>
      <c r="I2216" t="s">
        <v>36</v>
      </c>
      <c r="J2216" t="s">
        <v>126</v>
      </c>
      <c r="K2216">
        <v>3</v>
      </c>
      <c r="L2216" s="2">
        <v>54.56</v>
      </c>
      <c r="M2216" s="3">
        <v>0.2</v>
      </c>
      <c r="N2216" t="s">
        <v>34</v>
      </c>
      <c r="O2216" s="2">
        <v>130.94</v>
      </c>
      <c r="P2216" s="2">
        <v>79.319999999999993</v>
      </c>
      <c r="Q2216" s="2">
        <v>51.62</v>
      </c>
      <c r="R2216">
        <v>1</v>
      </c>
      <c r="S2216">
        <v>1</v>
      </c>
      <c r="T2216">
        <v>6</v>
      </c>
      <c r="U2216">
        <v>3</v>
      </c>
    </row>
    <row r="2217" spans="1:21" ht="16.5" x14ac:dyDescent="0.3">
      <c r="A2217" t="s">
        <v>2304</v>
      </c>
      <c r="B2217" s="1">
        <v>45626</v>
      </c>
      <c r="C2217">
        <v>2024</v>
      </c>
      <c r="D2217" t="s">
        <v>1738</v>
      </c>
      <c r="E2217" t="s">
        <v>1959</v>
      </c>
      <c r="F2217" t="s">
        <v>24</v>
      </c>
      <c r="G2217" t="s">
        <v>25</v>
      </c>
      <c r="H2217" t="s">
        <v>26</v>
      </c>
      <c r="I2217" t="s">
        <v>67</v>
      </c>
      <c r="J2217" t="s">
        <v>68</v>
      </c>
      <c r="K2217">
        <v>1</v>
      </c>
      <c r="L2217" s="2">
        <v>74.459999999999994</v>
      </c>
      <c r="M2217" s="3">
        <v>0.25</v>
      </c>
      <c r="N2217" t="s">
        <v>62</v>
      </c>
      <c r="O2217" s="2">
        <v>55.84</v>
      </c>
      <c r="P2217" s="2">
        <v>48.07</v>
      </c>
      <c r="Q2217" s="2">
        <v>7.77</v>
      </c>
      <c r="R2217">
        <v>1</v>
      </c>
      <c r="S2217">
        <v>0</v>
      </c>
      <c r="T2217">
        <v>4</v>
      </c>
      <c r="U2217">
        <v>4</v>
      </c>
    </row>
    <row r="2218" spans="1:21" ht="16.5" x14ac:dyDescent="0.3">
      <c r="A2218" t="s">
        <v>2305</v>
      </c>
      <c r="B2218" s="1">
        <v>45626</v>
      </c>
      <c r="C2218">
        <v>2024</v>
      </c>
      <c r="D2218" t="s">
        <v>1738</v>
      </c>
      <c r="E2218" t="s">
        <v>1959</v>
      </c>
      <c r="F2218" t="s">
        <v>45</v>
      </c>
      <c r="G2218" t="s">
        <v>51</v>
      </c>
      <c r="H2218" t="s">
        <v>26</v>
      </c>
      <c r="I2218" t="s">
        <v>42</v>
      </c>
      <c r="J2218" t="s">
        <v>76</v>
      </c>
      <c r="K2218">
        <v>1</v>
      </c>
      <c r="L2218" s="2">
        <v>90.75</v>
      </c>
      <c r="M2218" s="3">
        <v>0.1</v>
      </c>
      <c r="N2218" t="s">
        <v>29</v>
      </c>
      <c r="O2218" s="2">
        <v>81.680000000000007</v>
      </c>
      <c r="P2218" s="2">
        <v>62.5</v>
      </c>
      <c r="Q2218" s="2">
        <v>19.18</v>
      </c>
      <c r="R2218">
        <v>1</v>
      </c>
      <c r="S2218">
        <v>1</v>
      </c>
      <c r="T2218">
        <v>6</v>
      </c>
      <c r="U2218">
        <v>2</v>
      </c>
    </row>
    <row r="2219" spans="1:21" ht="16.5" x14ac:dyDescent="0.3">
      <c r="A2219" t="s">
        <v>2306</v>
      </c>
      <c r="B2219" s="1">
        <v>45626</v>
      </c>
      <c r="C2219">
        <v>2024</v>
      </c>
      <c r="D2219" t="s">
        <v>1738</v>
      </c>
      <c r="E2219" t="s">
        <v>1959</v>
      </c>
      <c r="F2219" t="s">
        <v>31</v>
      </c>
      <c r="G2219" t="s">
        <v>25</v>
      </c>
      <c r="H2219" t="s">
        <v>26</v>
      </c>
      <c r="I2219" t="s">
        <v>70</v>
      </c>
      <c r="J2219" t="s">
        <v>71</v>
      </c>
      <c r="K2219">
        <v>1</v>
      </c>
      <c r="L2219" s="2">
        <v>588.41</v>
      </c>
      <c r="M2219" s="3">
        <v>0.25</v>
      </c>
      <c r="N2219" t="s">
        <v>62</v>
      </c>
      <c r="O2219" s="2">
        <v>441.31</v>
      </c>
      <c r="P2219" s="2">
        <v>452.75</v>
      </c>
      <c r="Q2219" s="2">
        <v>-11.44</v>
      </c>
      <c r="R2219">
        <v>1</v>
      </c>
      <c r="S2219">
        <v>0</v>
      </c>
      <c r="T2219">
        <v>8</v>
      </c>
      <c r="U2219">
        <v>4</v>
      </c>
    </row>
    <row r="2220" spans="1:21" ht="16.5" x14ac:dyDescent="0.3">
      <c r="A2220" t="s">
        <v>2307</v>
      </c>
      <c r="B2220" s="1">
        <v>45626</v>
      </c>
      <c r="C2220">
        <v>2024</v>
      </c>
      <c r="D2220" t="s">
        <v>1738</v>
      </c>
      <c r="E2220" t="s">
        <v>1959</v>
      </c>
      <c r="F2220" t="s">
        <v>24</v>
      </c>
      <c r="G2220" t="s">
        <v>65</v>
      </c>
      <c r="H2220" t="s">
        <v>32</v>
      </c>
      <c r="I2220" t="s">
        <v>84</v>
      </c>
      <c r="J2220" t="s">
        <v>85</v>
      </c>
      <c r="K2220">
        <v>1</v>
      </c>
      <c r="L2220" s="2">
        <v>57.92</v>
      </c>
      <c r="M2220" s="3">
        <v>0.1</v>
      </c>
      <c r="N2220" t="s">
        <v>29</v>
      </c>
      <c r="O2220" s="2">
        <v>52.13</v>
      </c>
      <c r="P2220" s="2">
        <v>40.869999999999997</v>
      </c>
      <c r="Q2220" s="2">
        <v>11.26</v>
      </c>
      <c r="R2220">
        <v>1</v>
      </c>
      <c r="S2220">
        <v>0</v>
      </c>
      <c r="T2220">
        <v>6</v>
      </c>
      <c r="U2220">
        <v>2</v>
      </c>
    </row>
    <row r="2221" spans="1:21" ht="16.5" x14ac:dyDescent="0.3">
      <c r="A2221" t="s">
        <v>2308</v>
      </c>
      <c r="B2221" s="1">
        <v>45626</v>
      </c>
      <c r="C2221">
        <v>2024</v>
      </c>
      <c r="D2221" t="s">
        <v>1738</v>
      </c>
      <c r="E2221" t="s">
        <v>1959</v>
      </c>
      <c r="F2221" t="s">
        <v>24</v>
      </c>
      <c r="G2221" t="s">
        <v>49</v>
      </c>
      <c r="H2221" t="s">
        <v>32</v>
      </c>
      <c r="I2221" t="s">
        <v>70</v>
      </c>
      <c r="J2221" t="s">
        <v>82</v>
      </c>
      <c r="K2221">
        <v>1</v>
      </c>
      <c r="L2221" s="2">
        <v>508.8</v>
      </c>
      <c r="M2221" s="3">
        <v>0.15</v>
      </c>
      <c r="N2221" t="s">
        <v>34</v>
      </c>
      <c r="O2221" s="2">
        <v>432.48</v>
      </c>
      <c r="P2221" s="2">
        <v>400.98</v>
      </c>
      <c r="Q2221" s="2">
        <v>31.5</v>
      </c>
      <c r="R2221">
        <v>1</v>
      </c>
      <c r="S2221">
        <v>1</v>
      </c>
      <c r="T2221">
        <v>5</v>
      </c>
      <c r="U2221">
        <v>3</v>
      </c>
    </row>
    <row r="2222" spans="1:21" ht="16.5" x14ac:dyDescent="0.3">
      <c r="A2222" t="s">
        <v>2309</v>
      </c>
      <c r="B2222" s="1">
        <v>45627</v>
      </c>
      <c r="C2222">
        <v>2024</v>
      </c>
      <c r="D2222" t="s">
        <v>1738</v>
      </c>
      <c r="E2222" t="s">
        <v>2310</v>
      </c>
      <c r="F2222" t="s">
        <v>31</v>
      </c>
      <c r="G2222" t="s">
        <v>51</v>
      </c>
      <c r="H2222" t="s">
        <v>26</v>
      </c>
      <c r="I2222" t="s">
        <v>36</v>
      </c>
      <c r="J2222" t="s">
        <v>126</v>
      </c>
      <c r="K2222">
        <v>2</v>
      </c>
      <c r="L2222" s="2">
        <v>54.56</v>
      </c>
      <c r="M2222" s="3">
        <v>0.15</v>
      </c>
      <c r="N2222" t="s">
        <v>34</v>
      </c>
      <c r="O2222" s="2">
        <v>92.75</v>
      </c>
      <c r="P2222" s="2">
        <v>53.86</v>
      </c>
      <c r="Q2222" s="2">
        <v>38.89</v>
      </c>
      <c r="R2222">
        <v>1</v>
      </c>
      <c r="S2222">
        <v>0</v>
      </c>
      <c r="T2222">
        <v>4</v>
      </c>
      <c r="U2222">
        <v>5</v>
      </c>
    </row>
    <row r="2223" spans="1:21" ht="16.5" x14ac:dyDescent="0.3">
      <c r="A2223" t="s">
        <v>2311</v>
      </c>
      <c r="B2223" s="1">
        <v>45627</v>
      </c>
      <c r="C2223">
        <v>2024</v>
      </c>
      <c r="D2223" t="s">
        <v>1738</v>
      </c>
      <c r="E2223" t="s">
        <v>2310</v>
      </c>
      <c r="F2223" t="s">
        <v>24</v>
      </c>
      <c r="G2223" t="s">
        <v>65</v>
      </c>
      <c r="H2223" t="s">
        <v>32</v>
      </c>
      <c r="I2223" t="s">
        <v>27</v>
      </c>
      <c r="J2223" t="s">
        <v>47</v>
      </c>
      <c r="K2223">
        <v>3</v>
      </c>
      <c r="L2223" s="2">
        <v>33.99</v>
      </c>
      <c r="M2223" s="3">
        <v>0.25</v>
      </c>
      <c r="N2223" t="s">
        <v>62</v>
      </c>
      <c r="O2223" s="2">
        <v>76.48</v>
      </c>
      <c r="P2223" s="2">
        <v>56.51</v>
      </c>
      <c r="Q2223" s="2">
        <v>19.97</v>
      </c>
      <c r="R2223">
        <v>1</v>
      </c>
      <c r="S2223">
        <v>1</v>
      </c>
      <c r="T2223">
        <v>7</v>
      </c>
      <c r="U2223">
        <v>3</v>
      </c>
    </row>
    <row r="2224" spans="1:21" ht="16.5" x14ac:dyDescent="0.3">
      <c r="A2224" t="s">
        <v>2312</v>
      </c>
      <c r="B2224" s="1">
        <v>45627</v>
      </c>
      <c r="C2224">
        <v>2024</v>
      </c>
      <c r="D2224" t="s">
        <v>1738</v>
      </c>
      <c r="E2224" t="s">
        <v>2310</v>
      </c>
      <c r="F2224" t="s">
        <v>24</v>
      </c>
      <c r="G2224" t="s">
        <v>51</v>
      </c>
      <c r="H2224" t="s">
        <v>26</v>
      </c>
      <c r="I2224" t="s">
        <v>70</v>
      </c>
      <c r="J2224" t="s">
        <v>71</v>
      </c>
      <c r="K2224">
        <v>1</v>
      </c>
      <c r="L2224" s="2">
        <v>588.41</v>
      </c>
      <c r="M2224" s="3">
        <v>0.05</v>
      </c>
      <c r="N2224" t="s">
        <v>29</v>
      </c>
      <c r="O2224" s="2">
        <v>558.99</v>
      </c>
      <c r="P2224" s="2">
        <v>462.17</v>
      </c>
      <c r="Q2224" s="2">
        <v>96.82</v>
      </c>
      <c r="R2224">
        <v>1</v>
      </c>
      <c r="S2224">
        <v>0</v>
      </c>
      <c r="T2224">
        <v>3</v>
      </c>
      <c r="U2224">
        <v>4</v>
      </c>
    </row>
    <row r="2225" spans="1:21" ht="16.5" x14ac:dyDescent="0.3">
      <c r="A2225" t="s">
        <v>2313</v>
      </c>
      <c r="B2225" s="1">
        <v>45627</v>
      </c>
      <c r="C2225">
        <v>2024</v>
      </c>
      <c r="D2225" t="s">
        <v>1738</v>
      </c>
      <c r="E2225" t="s">
        <v>2310</v>
      </c>
      <c r="F2225" t="s">
        <v>45</v>
      </c>
      <c r="G2225" t="s">
        <v>25</v>
      </c>
      <c r="H2225" t="s">
        <v>32</v>
      </c>
      <c r="I2225" t="s">
        <v>42</v>
      </c>
      <c r="J2225" t="s">
        <v>58</v>
      </c>
      <c r="K2225">
        <v>2</v>
      </c>
      <c r="L2225" s="2">
        <v>233.81</v>
      </c>
      <c r="M2225" s="3">
        <v>0.1</v>
      </c>
      <c r="N2225" t="s">
        <v>29</v>
      </c>
      <c r="O2225" s="2">
        <v>420.86</v>
      </c>
      <c r="P2225" s="2">
        <v>302.83</v>
      </c>
      <c r="Q2225" s="2">
        <v>118.03</v>
      </c>
      <c r="R2225">
        <v>1</v>
      </c>
      <c r="S2225">
        <v>0</v>
      </c>
      <c r="T2225">
        <v>5</v>
      </c>
      <c r="U2225">
        <v>4</v>
      </c>
    </row>
    <row r="2226" spans="1:21" ht="16.5" x14ac:dyDescent="0.3">
      <c r="A2226" t="s">
        <v>2314</v>
      </c>
      <c r="B2226" s="1">
        <v>45627</v>
      </c>
      <c r="C2226">
        <v>2024</v>
      </c>
      <c r="D2226" t="s">
        <v>1738</v>
      </c>
      <c r="E2226" t="s">
        <v>2310</v>
      </c>
      <c r="F2226" t="s">
        <v>24</v>
      </c>
      <c r="G2226" t="s">
        <v>49</v>
      </c>
      <c r="H2226" t="s">
        <v>32</v>
      </c>
      <c r="I2226" t="s">
        <v>70</v>
      </c>
      <c r="J2226" t="s">
        <v>71</v>
      </c>
      <c r="K2226">
        <v>3</v>
      </c>
      <c r="L2226" s="2">
        <v>588.41</v>
      </c>
      <c r="M2226" s="3">
        <v>0.15</v>
      </c>
      <c r="N2226" t="s">
        <v>34</v>
      </c>
      <c r="O2226" s="2">
        <v>1500.45</v>
      </c>
      <c r="P2226" s="2">
        <v>1425.28</v>
      </c>
      <c r="Q2226" s="2">
        <v>75.17</v>
      </c>
      <c r="R2226">
        <v>1</v>
      </c>
      <c r="S2226">
        <v>0</v>
      </c>
      <c r="T2226">
        <v>4</v>
      </c>
      <c r="U2226">
        <v>4</v>
      </c>
    </row>
    <row r="2227" spans="1:21" ht="16.5" x14ac:dyDescent="0.3">
      <c r="A2227" t="s">
        <v>2315</v>
      </c>
      <c r="B2227" s="1">
        <v>45627</v>
      </c>
      <c r="C2227">
        <v>2024</v>
      </c>
      <c r="D2227" t="s">
        <v>1738</v>
      </c>
      <c r="E2227" t="s">
        <v>2310</v>
      </c>
      <c r="F2227" t="s">
        <v>31</v>
      </c>
      <c r="G2227" t="s">
        <v>49</v>
      </c>
      <c r="H2227" t="s">
        <v>26</v>
      </c>
      <c r="I2227" t="s">
        <v>70</v>
      </c>
      <c r="J2227" t="s">
        <v>87</v>
      </c>
      <c r="K2227">
        <v>3</v>
      </c>
      <c r="L2227" s="2">
        <v>490.3</v>
      </c>
      <c r="M2227" s="3">
        <v>0</v>
      </c>
      <c r="N2227" t="s">
        <v>38</v>
      </c>
      <c r="O2227" s="2">
        <v>1470.9</v>
      </c>
      <c r="P2227" s="2">
        <v>1194.43</v>
      </c>
      <c r="Q2227" s="2">
        <v>276.47000000000003</v>
      </c>
      <c r="R2227">
        <v>1</v>
      </c>
      <c r="S2227">
        <v>0</v>
      </c>
      <c r="T2227">
        <v>5</v>
      </c>
      <c r="U2227">
        <v>5</v>
      </c>
    </row>
    <row r="2228" spans="1:21" ht="16.5" x14ac:dyDescent="0.3">
      <c r="A2228" t="s">
        <v>2316</v>
      </c>
      <c r="B2228" s="1">
        <v>45627</v>
      </c>
      <c r="C2228">
        <v>2024</v>
      </c>
      <c r="D2228" t="s">
        <v>1738</v>
      </c>
      <c r="E2228" t="s">
        <v>2310</v>
      </c>
      <c r="F2228" t="s">
        <v>24</v>
      </c>
      <c r="G2228" t="s">
        <v>46</v>
      </c>
      <c r="H2228" t="s">
        <v>32</v>
      </c>
      <c r="I2228" t="s">
        <v>67</v>
      </c>
      <c r="J2228" t="s">
        <v>174</v>
      </c>
      <c r="K2228">
        <v>1</v>
      </c>
      <c r="L2228" s="2">
        <v>137.05000000000001</v>
      </c>
      <c r="M2228" s="3">
        <v>0.2</v>
      </c>
      <c r="N2228" t="s">
        <v>34</v>
      </c>
      <c r="O2228" s="2">
        <v>109.64</v>
      </c>
      <c r="P2228" s="2">
        <v>93.2</v>
      </c>
      <c r="Q2228" s="2">
        <v>16.440000000000001</v>
      </c>
      <c r="R2228">
        <v>1</v>
      </c>
      <c r="S2228">
        <v>0</v>
      </c>
      <c r="T2228">
        <v>9</v>
      </c>
      <c r="U2228">
        <v>4</v>
      </c>
    </row>
    <row r="2229" spans="1:21" ht="16.5" x14ac:dyDescent="0.3">
      <c r="A2229" t="s">
        <v>2317</v>
      </c>
      <c r="B2229" s="1">
        <v>45627</v>
      </c>
      <c r="C2229">
        <v>2024</v>
      </c>
      <c r="D2229" t="s">
        <v>1738</v>
      </c>
      <c r="E2229" t="s">
        <v>2310</v>
      </c>
      <c r="F2229" t="s">
        <v>24</v>
      </c>
      <c r="G2229" t="s">
        <v>51</v>
      </c>
      <c r="H2229" t="s">
        <v>26</v>
      </c>
      <c r="I2229" t="s">
        <v>42</v>
      </c>
      <c r="J2229" t="s">
        <v>54</v>
      </c>
      <c r="K2229">
        <v>1</v>
      </c>
      <c r="L2229" s="2">
        <v>148.05000000000001</v>
      </c>
      <c r="M2229" s="3">
        <v>0.15</v>
      </c>
      <c r="N2229" t="s">
        <v>34</v>
      </c>
      <c r="O2229" s="2">
        <v>125.84</v>
      </c>
      <c r="P2229" s="2">
        <v>98.05</v>
      </c>
      <c r="Q2229" s="2">
        <v>27.79</v>
      </c>
      <c r="R2229">
        <v>1</v>
      </c>
      <c r="S2229">
        <v>0</v>
      </c>
      <c r="T2229">
        <v>3</v>
      </c>
      <c r="U2229">
        <v>5</v>
      </c>
    </row>
    <row r="2230" spans="1:21" ht="16.5" x14ac:dyDescent="0.3">
      <c r="A2230" t="s">
        <v>2318</v>
      </c>
      <c r="B2230" s="1">
        <v>45627</v>
      </c>
      <c r="C2230">
        <v>2024</v>
      </c>
      <c r="D2230" t="s">
        <v>1738</v>
      </c>
      <c r="E2230" t="s">
        <v>2310</v>
      </c>
      <c r="F2230" t="s">
        <v>24</v>
      </c>
      <c r="G2230" t="s">
        <v>51</v>
      </c>
      <c r="H2230" t="s">
        <v>32</v>
      </c>
      <c r="I2230" t="s">
        <v>70</v>
      </c>
      <c r="J2230" t="s">
        <v>129</v>
      </c>
      <c r="K2230">
        <v>2</v>
      </c>
      <c r="L2230" s="2">
        <v>177.65</v>
      </c>
      <c r="M2230" s="3">
        <v>0.25</v>
      </c>
      <c r="N2230" t="s">
        <v>62</v>
      </c>
      <c r="O2230" s="2">
        <v>266.48</v>
      </c>
      <c r="P2230" s="2">
        <v>281.27999999999997</v>
      </c>
      <c r="Q2230" s="2">
        <v>-14.8</v>
      </c>
      <c r="R2230">
        <v>1</v>
      </c>
      <c r="S2230">
        <v>0</v>
      </c>
      <c r="T2230">
        <v>4</v>
      </c>
      <c r="U2230">
        <v>4</v>
      </c>
    </row>
    <row r="2231" spans="1:21" ht="16.5" x14ac:dyDescent="0.3">
      <c r="A2231" t="s">
        <v>2319</v>
      </c>
      <c r="B2231" s="1">
        <v>45628</v>
      </c>
      <c r="C2231">
        <v>2024</v>
      </c>
      <c r="D2231" t="s">
        <v>1738</v>
      </c>
      <c r="E2231" t="s">
        <v>2310</v>
      </c>
      <c r="F2231" t="s">
        <v>24</v>
      </c>
      <c r="G2231" t="s">
        <v>65</v>
      </c>
      <c r="H2231" t="s">
        <v>32</v>
      </c>
      <c r="I2231" t="s">
        <v>27</v>
      </c>
      <c r="J2231" t="s">
        <v>33</v>
      </c>
      <c r="K2231">
        <v>2</v>
      </c>
      <c r="L2231" s="2">
        <v>78.510000000000005</v>
      </c>
      <c r="M2231" s="3">
        <v>0.15</v>
      </c>
      <c r="N2231" t="s">
        <v>34</v>
      </c>
      <c r="O2231" s="2">
        <v>133.47</v>
      </c>
      <c r="P2231" s="2">
        <v>81.84</v>
      </c>
      <c r="Q2231" s="2">
        <v>51.63</v>
      </c>
      <c r="R2231">
        <v>1</v>
      </c>
      <c r="S2231">
        <v>0</v>
      </c>
      <c r="T2231">
        <v>6</v>
      </c>
      <c r="U2231">
        <v>3</v>
      </c>
    </row>
    <row r="2232" spans="1:21" ht="16.5" x14ac:dyDescent="0.3">
      <c r="A2232" t="s">
        <v>2320</v>
      </c>
      <c r="B2232" s="1">
        <v>45628</v>
      </c>
      <c r="C2232">
        <v>2024</v>
      </c>
      <c r="D2232" t="s">
        <v>1738</v>
      </c>
      <c r="E2232" t="s">
        <v>2310</v>
      </c>
      <c r="F2232" t="s">
        <v>24</v>
      </c>
      <c r="G2232" t="s">
        <v>51</v>
      </c>
      <c r="H2232" t="s">
        <v>26</v>
      </c>
      <c r="I2232" t="s">
        <v>36</v>
      </c>
      <c r="J2232" t="s">
        <v>52</v>
      </c>
      <c r="K2232">
        <v>1</v>
      </c>
      <c r="L2232" s="2">
        <v>92.54</v>
      </c>
      <c r="M2232" s="3">
        <v>0</v>
      </c>
      <c r="N2232" t="s">
        <v>38</v>
      </c>
      <c r="O2232" s="2">
        <v>92.54</v>
      </c>
      <c r="P2232" s="2">
        <v>45.56</v>
      </c>
      <c r="Q2232" s="2">
        <v>46.98</v>
      </c>
      <c r="R2232">
        <v>1</v>
      </c>
      <c r="S2232">
        <v>0</v>
      </c>
      <c r="T2232">
        <v>3</v>
      </c>
      <c r="U2232">
        <v>4</v>
      </c>
    </row>
    <row r="2233" spans="1:21" ht="16.5" x14ac:dyDescent="0.3">
      <c r="A2233" t="s">
        <v>2321</v>
      </c>
      <c r="B2233" s="1">
        <v>45628</v>
      </c>
      <c r="C2233">
        <v>2024</v>
      </c>
      <c r="D2233" t="s">
        <v>1738</v>
      </c>
      <c r="E2233" t="s">
        <v>2310</v>
      </c>
      <c r="F2233" t="s">
        <v>31</v>
      </c>
      <c r="G2233" t="s">
        <v>65</v>
      </c>
      <c r="H2233" t="s">
        <v>32</v>
      </c>
      <c r="I2233" t="s">
        <v>84</v>
      </c>
      <c r="J2233" t="s">
        <v>85</v>
      </c>
      <c r="K2233">
        <v>1</v>
      </c>
      <c r="L2233" s="2">
        <v>57.92</v>
      </c>
      <c r="M2233" s="3">
        <v>0.1</v>
      </c>
      <c r="N2233" t="s">
        <v>29</v>
      </c>
      <c r="O2233" s="2">
        <v>52.13</v>
      </c>
      <c r="P2233" s="2">
        <v>41.28</v>
      </c>
      <c r="Q2233" s="2">
        <v>10.85</v>
      </c>
      <c r="R2233">
        <v>1</v>
      </c>
      <c r="S2233">
        <v>0</v>
      </c>
      <c r="T2233">
        <v>6</v>
      </c>
      <c r="U2233">
        <v>3</v>
      </c>
    </row>
    <row r="2234" spans="1:21" ht="16.5" x14ac:dyDescent="0.3">
      <c r="A2234" t="s">
        <v>2322</v>
      </c>
      <c r="B2234" s="1">
        <v>45628</v>
      </c>
      <c r="C2234">
        <v>2024</v>
      </c>
      <c r="D2234" t="s">
        <v>1738</v>
      </c>
      <c r="E2234" t="s">
        <v>2310</v>
      </c>
      <c r="F2234" t="s">
        <v>24</v>
      </c>
      <c r="G2234" t="s">
        <v>51</v>
      </c>
      <c r="H2234" t="s">
        <v>26</v>
      </c>
      <c r="I2234" t="s">
        <v>27</v>
      </c>
      <c r="J2234" t="s">
        <v>33</v>
      </c>
      <c r="K2234">
        <v>1</v>
      </c>
      <c r="L2234" s="2">
        <v>78.510000000000005</v>
      </c>
      <c r="M2234" s="3">
        <v>0.15</v>
      </c>
      <c r="N2234" t="s">
        <v>34</v>
      </c>
      <c r="O2234" s="2">
        <v>66.73</v>
      </c>
      <c r="P2234" s="2">
        <v>41.73</v>
      </c>
      <c r="Q2234" s="2">
        <v>25</v>
      </c>
      <c r="R2234">
        <v>1</v>
      </c>
      <c r="S2234">
        <v>0</v>
      </c>
      <c r="T2234">
        <v>4</v>
      </c>
      <c r="U2234">
        <v>5</v>
      </c>
    </row>
    <row r="2235" spans="1:21" ht="16.5" x14ac:dyDescent="0.3">
      <c r="A2235" t="s">
        <v>2323</v>
      </c>
      <c r="B2235" s="1">
        <v>45628</v>
      </c>
      <c r="C2235">
        <v>2024</v>
      </c>
      <c r="D2235" t="s">
        <v>1738</v>
      </c>
      <c r="E2235" t="s">
        <v>2310</v>
      </c>
      <c r="F2235" t="s">
        <v>31</v>
      </c>
      <c r="G2235" t="s">
        <v>65</v>
      </c>
      <c r="H2235" t="s">
        <v>32</v>
      </c>
      <c r="I2235" t="s">
        <v>27</v>
      </c>
      <c r="J2235" t="s">
        <v>33</v>
      </c>
      <c r="K2235">
        <v>1</v>
      </c>
      <c r="L2235" s="2">
        <v>78.510000000000005</v>
      </c>
      <c r="M2235" s="3">
        <v>0.15</v>
      </c>
      <c r="N2235" t="s">
        <v>34</v>
      </c>
      <c r="O2235" s="2">
        <v>66.73</v>
      </c>
      <c r="P2235" s="2">
        <v>41.56</v>
      </c>
      <c r="Q2235" s="2">
        <v>25.17</v>
      </c>
      <c r="R2235">
        <v>1</v>
      </c>
      <c r="S2235">
        <v>1</v>
      </c>
      <c r="T2235">
        <v>6</v>
      </c>
      <c r="U2235">
        <v>2</v>
      </c>
    </row>
    <row r="2236" spans="1:21" ht="16.5" x14ac:dyDescent="0.3">
      <c r="A2236" t="s">
        <v>2324</v>
      </c>
      <c r="B2236" s="1">
        <v>45628</v>
      </c>
      <c r="C2236">
        <v>2024</v>
      </c>
      <c r="D2236" t="s">
        <v>1738</v>
      </c>
      <c r="E2236" t="s">
        <v>2310</v>
      </c>
      <c r="F2236" t="s">
        <v>24</v>
      </c>
      <c r="G2236" t="s">
        <v>51</v>
      </c>
      <c r="H2236" t="s">
        <v>32</v>
      </c>
      <c r="I2236" t="s">
        <v>36</v>
      </c>
      <c r="J2236" t="s">
        <v>52</v>
      </c>
      <c r="K2236">
        <v>1</v>
      </c>
      <c r="L2236" s="2">
        <v>92.54</v>
      </c>
      <c r="M2236" s="3">
        <v>0.3</v>
      </c>
      <c r="N2236" t="s">
        <v>62</v>
      </c>
      <c r="O2236" s="2">
        <v>64.78</v>
      </c>
      <c r="P2236" s="2">
        <v>44.73</v>
      </c>
      <c r="Q2236" s="2">
        <v>20.05</v>
      </c>
      <c r="R2236">
        <v>1</v>
      </c>
      <c r="S2236">
        <v>0</v>
      </c>
      <c r="T2236">
        <v>4</v>
      </c>
      <c r="U2236">
        <v>5</v>
      </c>
    </row>
    <row r="2237" spans="1:21" ht="16.5" x14ac:dyDescent="0.3">
      <c r="A2237" t="s">
        <v>2325</v>
      </c>
      <c r="B2237" s="1">
        <v>45628</v>
      </c>
      <c r="C2237">
        <v>2024</v>
      </c>
      <c r="D2237" t="s">
        <v>1738</v>
      </c>
      <c r="E2237" t="s">
        <v>2310</v>
      </c>
      <c r="F2237" t="s">
        <v>31</v>
      </c>
      <c r="G2237" t="s">
        <v>51</v>
      </c>
      <c r="H2237" t="s">
        <v>32</v>
      </c>
      <c r="I2237" t="s">
        <v>84</v>
      </c>
      <c r="J2237" t="s">
        <v>96</v>
      </c>
      <c r="K2237">
        <v>1</v>
      </c>
      <c r="L2237" s="2">
        <v>10.76</v>
      </c>
      <c r="M2237" s="3">
        <v>0.25</v>
      </c>
      <c r="N2237" t="s">
        <v>62</v>
      </c>
      <c r="O2237" s="2">
        <v>8.07</v>
      </c>
      <c r="P2237" s="2">
        <v>7.75</v>
      </c>
      <c r="Q2237" s="2">
        <v>0.32</v>
      </c>
      <c r="R2237">
        <v>1</v>
      </c>
      <c r="S2237">
        <v>0</v>
      </c>
      <c r="T2237">
        <v>3</v>
      </c>
      <c r="U2237">
        <v>4</v>
      </c>
    </row>
    <row r="2238" spans="1:21" ht="16.5" x14ac:dyDescent="0.3">
      <c r="A2238" t="s">
        <v>2326</v>
      </c>
      <c r="B2238" s="1">
        <v>45628</v>
      </c>
      <c r="C2238">
        <v>2024</v>
      </c>
      <c r="D2238" t="s">
        <v>1738</v>
      </c>
      <c r="E2238" t="s">
        <v>2310</v>
      </c>
      <c r="F2238" t="s">
        <v>24</v>
      </c>
      <c r="G2238" t="s">
        <v>25</v>
      </c>
      <c r="H2238" t="s">
        <v>32</v>
      </c>
      <c r="I2238" t="s">
        <v>70</v>
      </c>
      <c r="J2238" t="s">
        <v>162</v>
      </c>
      <c r="K2238">
        <v>1</v>
      </c>
      <c r="L2238" s="2">
        <v>636.09</v>
      </c>
      <c r="M2238" s="3">
        <v>0.2</v>
      </c>
      <c r="N2238" t="s">
        <v>34</v>
      </c>
      <c r="O2238" s="2">
        <v>508.87</v>
      </c>
      <c r="P2238" s="2">
        <v>499.93</v>
      </c>
      <c r="Q2238" s="2">
        <v>8.94</v>
      </c>
      <c r="R2238">
        <v>1</v>
      </c>
      <c r="S2238">
        <v>0</v>
      </c>
      <c r="T2238">
        <v>4</v>
      </c>
      <c r="U2238">
        <v>4</v>
      </c>
    </row>
    <row r="2239" spans="1:21" ht="16.5" x14ac:dyDescent="0.3">
      <c r="A2239" t="s">
        <v>2327</v>
      </c>
      <c r="B2239" s="1">
        <v>45629</v>
      </c>
      <c r="C2239">
        <v>2024</v>
      </c>
      <c r="D2239" t="s">
        <v>1738</v>
      </c>
      <c r="E2239" t="s">
        <v>2310</v>
      </c>
      <c r="F2239" t="s">
        <v>45</v>
      </c>
      <c r="G2239" t="s">
        <v>51</v>
      </c>
      <c r="H2239" t="s">
        <v>32</v>
      </c>
      <c r="I2239" t="s">
        <v>67</v>
      </c>
      <c r="J2239" t="s">
        <v>78</v>
      </c>
      <c r="K2239">
        <v>1</v>
      </c>
      <c r="L2239" s="2">
        <v>85.42</v>
      </c>
      <c r="M2239" s="3">
        <v>0.1</v>
      </c>
      <c r="N2239" t="s">
        <v>29</v>
      </c>
      <c r="O2239" s="2">
        <v>76.88</v>
      </c>
      <c r="P2239" s="2">
        <v>57.39</v>
      </c>
      <c r="Q2239" s="2">
        <v>19.489999999999998</v>
      </c>
      <c r="R2239">
        <v>1</v>
      </c>
      <c r="S2239">
        <v>0</v>
      </c>
      <c r="T2239">
        <v>4</v>
      </c>
      <c r="U2239">
        <v>5</v>
      </c>
    </row>
    <row r="2240" spans="1:21" ht="16.5" x14ac:dyDescent="0.3">
      <c r="A2240" t="s">
        <v>2328</v>
      </c>
      <c r="B2240" s="1">
        <v>45629</v>
      </c>
      <c r="C2240">
        <v>2024</v>
      </c>
      <c r="D2240" t="s">
        <v>1738</v>
      </c>
      <c r="E2240" t="s">
        <v>2310</v>
      </c>
      <c r="F2240" t="s">
        <v>45</v>
      </c>
      <c r="G2240" t="s">
        <v>49</v>
      </c>
      <c r="H2240" t="s">
        <v>26</v>
      </c>
      <c r="I2240" t="s">
        <v>70</v>
      </c>
      <c r="J2240" t="s">
        <v>252</v>
      </c>
      <c r="K2240">
        <v>1</v>
      </c>
      <c r="L2240" s="2">
        <v>216.08</v>
      </c>
      <c r="M2240" s="3">
        <v>0.2</v>
      </c>
      <c r="N2240" t="s">
        <v>34</v>
      </c>
      <c r="O2240" s="2">
        <v>172.86</v>
      </c>
      <c r="P2240" s="2">
        <v>177.23</v>
      </c>
      <c r="Q2240" s="2">
        <v>-4.37</v>
      </c>
      <c r="R2240">
        <v>1</v>
      </c>
      <c r="S2240">
        <v>0</v>
      </c>
      <c r="T2240">
        <v>5</v>
      </c>
      <c r="U2240">
        <v>5</v>
      </c>
    </row>
    <row r="2241" spans="1:21" ht="16.5" x14ac:dyDescent="0.3">
      <c r="A2241" t="s">
        <v>2329</v>
      </c>
      <c r="B2241" s="1">
        <v>45629</v>
      </c>
      <c r="C2241">
        <v>2024</v>
      </c>
      <c r="D2241" t="s">
        <v>1738</v>
      </c>
      <c r="E2241" t="s">
        <v>2310</v>
      </c>
      <c r="F2241" t="s">
        <v>24</v>
      </c>
      <c r="G2241" t="s">
        <v>25</v>
      </c>
      <c r="H2241" t="s">
        <v>26</v>
      </c>
      <c r="I2241" t="s">
        <v>42</v>
      </c>
      <c r="J2241" t="s">
        <v>58</v>
      </c>
      <c r="K2241">
        <v>3</v>
      </c>
      <c r="L2241" s="2">
        <v>233.81</v>
      </c>
      <c r="M2241" s="3">
        <v>0.3</v>
      </c>
      <c r="N2241" t="s">
        <v>62</v>
      </c>
      <c r="O2241" s="2">
        <v>491</v>
      </c>
      <c r="P2241" s="2">
        <v>469.16</v>
      </c>
      <c r="Q2241" s="2">
        <v>21.84</v>
      </c>
      <c r="R2241">
        <v>1</v>
      </c>
      <c r="S2241">
        <v>0</v>
      </c>
      <c r="T2241">
        <v>5</v>
      </c>
      <c r="U2241">
        <v>5</v>
      </c>
    </row>
    <row r="2242" spans="1:21" ht="16.5" x14ac:dyDescent="0.3">
      <c r="A2242" t="s">
        <v>2330</v>
      </c>
      <c r="B2242" s="1">
        <v>45629</v>
      </c>
      <c r="C2242">
        <v>2024</v>
      </c>
      <c r="D2242" t="s">
        <v>1738</v>
      </c>
      <c r="E2242" t="s">
        <v>2310</v>
      </c>
      <c r="F2242" t="s">
        <v>45</v>
      </c>
      <c r="G2242" t="s">
        <v>65</v>
      </c>
      <c r="H2242" t="s">
        <v>32</v>
      </c>
      <c r="I2242" t="s">
        <v>67</v>
      </c>
      <c r="J2242" t="s">
        <v>93</v>
      </c>
      <c r="K2242">
        <v>1</v>
      </c>
      <c r="L2242" s="2">
        <v>198.42</v>
      </c>
      <c r="M2242" s="3">
        <v>0.3</v>
      </c>
      <c r="N2242" t="s">
        <v>62</v>
      </c>
      <c r="O2242" s="2">
        <v>138.88999999999999</v>
      </c>
      <c r="P2242" s="2">
        <v>137.84</v>
      </c>
      <c r="Q2242" s="2">
        <v>1.05</v>
      </c>
      <c r="R2242">
        <v>1</v>
      </c>
      <c r="S2242">
        <v>0</v>
      </c>
      <c r="T2242">
        <v>6</v>
      </c>
      <c r="U2242">
        <v>3</v>
      </c>
    </row>
    <row r="2243" spans="1:21" ht="16.5" x14ac:dyDescent="0.3">
      <c r="A2243" t="s">
        <v>2331</v>
      </c>
      <c r="B2243" s="1">
        <v>45629</v>
      </c>
      <c r="C2243">
        <v>2024</v>
      </c>
      <c r="D2243" t="s">
        <v>1738</v>
      </c>
      <c r="E2243" t="s">
        <v>2310</v>
      </c>
      <c r="F2243" t="s">
        <v>24</v>
      </c>
      <c r="G2243" t="s">
        <v>25</v>
      </c>
      <c r="H2243" t="s">
        <v>32</v>
      </c>
      <c r="I2243" t="s">
        <v>36</v>
      </c>
      <c r="J2243" t="s">
        <v>126</v>
      </c>
      <c r="K2243">
        <v>1</v>
      </c>
      <c r="L2243" s="2">
        <v>54.56</v>
      </c>
      <c r="M2243" s="3">
        <v>0.3</v>
      </c>
      <c r="N2243" t="s">
        <v>62</v>
      </c>
      <c r="O2243" s="2">
        <v>38.19</v>
      </c>
      <c r="P2243" s="2">
        <v>26.08</v>
      </c>
      <c r="Q2243" s="2">
        <v>12.11</v>
      </c>
      <c r="R2243">
        <v>1</v>
      </c>
      <c r="S2243">
        <v>0</v>
      </c>
      <c r="T2243">
        <v>4</v>
      </c>
      <c r="U2243">
        <v>5</v>
      </c>
    </row>
    <row r="2244" spans="1:21" ht="16.5" x14ac:dyDescent="0.3">
      <c r="A2244" t="s">
        <v>2332</v>
      </c>
      <c r="B2244" s="1">
        <v>45629</v>
      </c>
      <c r="C2244">
        <v>2024</v>
      </c>
      <c r="D2244" t="s">
        <v>1738</v>
      </c>
      <c r="E2244" t="s">
        <v>2310</v>
      </c>
      <c r="F2244" t="s">
        <v>24</v>
      </c>
      <c r="G2244" t="s">
        <v>51</v>
      </c>
      <c r="H2244" t="s">
        <v>26</v>
      </c>
      <c r="I2244" t="s">
        <v>67</v>
      </c>
      <c r="J2244" t="s">
        <v>93</v>
      </c>
      <c r="K2244">
        <v>1</v>
      </c>
      <c r="L2244" s="2">
        <v>198.42</v>
      </c>
      <c r="M2244" s="3">
        <v>0.05</v>
      </c>
      <c r="N2244" t="s">
        <v>29</v>
      </c>
      <c r="O2244" s="2">
        <v>188.5</v>
      </c>
      <c r="P2244" s="2">
        <v>139.04</v>
      </c>
      <c r="Q2244" s="2">
        <v>49.46</v>
      </c>
      <c r="R2244">
        <v>1</v>
      </c>
      <c r="S2244">
        <v>0</v>
      </c>
      <c r="T2244">
        <v>4</v>
      </c>
      <c r="U2244">
        <v>4</v>
      </c>
    </row>
    <row r="2245" spans="1:21" ht="16.5" x14ac:dyDescent="0.3">
      <c r="A2245" t="s">
        <v>2333</v>
      </c>
      <c r="B2245" s="1">
        <v>45629</v>
      </c>
      <c r="C2245">
        <v>2024</v>
      </c>
      <c r="D2245" t="s">
        <v>1738</v>
      </c>
      <c r="E2245" t="s">
        <v>2310</v>
      </c>
      <c r="F2245" t="s">
        <v>24</v>
      </c>
      <c r="G2245" t="s">
        <v>49</v>
      </c>
      <c r="H2245" t="s">
        <v>26</v>
      </c>
      <c r="I2245" t="s">
        <v>84</v>
      </c>
      <c r="J2245" t="s">
        <v>96</v>
      </c>
      <c r="K2245">
        <v>2</v>
      </c>
      <c r="L2245" s="2">
        <v>10.76</v>
      </c>
      <c r="M2245" s="3">
        <v>0.05</v>
      </c>
      <c r="N2245" t="s">
        <v>29</v>
      </c>
      <c r="O2245" s="2">
        <v>20.440000000000001</v>
      </c>
      <c r="P2245" s="2">
        <v>16.260000000000002</v>
      </c>
      <c r="Q2245" s="2">
        <v>4.18</v>
      </c>
      <c r="R2245">
        <v>1</v>
      </c>
      <c r="S2245">
        <v>0</v>
      </c>
      <c r="T2245">
        <v>7</v>
      </c>
      <c r="U2245">
        <v>4</v>
      </c>
    </row>
    <row r="2246" spans="1:21" ht="16.5" x14ac:dyDescent="0.3">
      <c r="A2246" t="s">
        <v>2334</v>
      </c>
      <c r="B2246" s="1">
        <v>45629</v>
      </c>
      <c r="C2246">
        <v>2024</v>
      </c>
      <c r="D2246" t="s">
        <v>1738</v>
      </c>
      <c r="E2246" t="s">
        <v>2310</v>
      </c>
      <c r="F2246" t="s">
        <v>45</v>
      </c>
      <c r="G2246" t="s">
        <v>49</v>
      </c>
      <c r="H2246" t="s">
        <v>26</v>
      </c>
      <c r="I2246" t="s">
        <v>70</v>
      </c>
      <c r="J2246" t="s">
        <v>71</v>
      </c>
      <c r="K2246">
        <v>2</v>
      </c>
      <c r="L2246" s="2">
        <v>588.41</v>
      </c>
      <c r="M2246" s="3">
        <v>0.15</v>
      </c>
      <c r="N2246" t="s">
        <v>34</v>
      </c>
      <c r="O2246" s="2">
        <v>1000.3</v>
      </c>
      <c r="P2246" s="2">
        <v>930.82</v>
      </c>
      <c r="Q2246" s="2">
        <v>69.48</v>
      </c>
      <c r="R2246">
        <v>1</v>
      </c>
      <c r="S2246">
        <v>0</v>
      </c>
      <c r="T2246">
        <v>5</v>
      </c>
      <c r="U2246">
        <v>4</v>
      </c>
    </row>
    <row r="2247" spans="1:21" ht="16.5" x14ac:dyDescent="0.3">
      <c r="A2247" t="s">
        <v>2335</v>
      </c>
      <c r="B2247" s="1">
        <v>45629</v>
      </c>
      <c r="C2247">
        <v>2024</v>
      </c>
      <c r="D2247" t="s">
        <v>1738</v>
      </c>
      <c r="E2247" t="s">
        <v>2310</v>
      </c>
      <c r="F2247" t="s">
        <v>31</v>
      </c>
      <c r="G2247" t="s">
        <v>49</v>
      </c>
      <c r="H2247" t="s">
        <v>32</v>
      </c>
      <c r="I2247" t="s">
        <v>42</v>
      </c>
      <c r="J2247" t="s">
        <v>43</v>
      </c>
      <c r="K2247">
        <v>2</v>
      </c>
      <c r="L2247" s="2">
        <v>154.66</v>
      </c>
      <c r="M2247" s="3">
        <v>0.1</v>
      </c>
      <c r="N2247" t="s">
        <v>29</v>
      </c>
      <c r="O2247" s="2">
        <v>278.39</v>
      </c>
      <c r="P2247" s="2">
        <v>205.2</v>
      </c>
      <c r="Q2247" s="2">
        <v>73.19</v>
      </c>
      <c r="R2247">
        <v>1</v>
      </c>
      <c r="S2247">
        <v>0</v>
      </c>
      <c r="T2247">
        <v>6</v>
      </c>
      <c r="U2247">
        <v>3</v>
      </c>
    </row>
    <row r="2248" spans="1:21" ht="16.5" x14ac:dyDescent="0.3">
      <c r="A2248" t="s">
        <v>2336</v>
      </c>
      <c r="B2248" s="1">
        <v>45630</v>
      </c>
      <c r="C2248">
        <v>2024</v>
      </c>
      <c r="D2248" t="s">
        <v>1738</v>
      </c>
      <c r="E2248" t="s">
        <v>2310</v>
      </c>
      <c r="F2248" t="s">
        <v>45</v>
      </c>
      <c r="G2248" t="s">
        <v>51</v>
      </c>
      <c r="H2248" t="s">
        <v>32</v>
      </c>
      <c r="I2248" t="s">
        <v>70</v>
      </c>
      <c r="J2248" t="s">
        <v>87</v>
      </c>
      <c r="K2248">
        <v>1</v>
      </c>
      <c r="L2248" s="2">
        <v>490.3</v>
      </c>
      <c r="M2248" s="3">
        <v>0.25</v>
      </c>
      <c r="N2248" t="s">
        <v>62</v>
      </c>
      <c r="O2248" s="2">
        <v>367.72</v>
      </c>
      <c r="P2248" s="2">
        <v>373.62</v>
      </c>
      <c r="Q2248" s="2">
        <v>-5.9</v>
      </c>
      <c r="R2248">
        <v>1</v>
      </c>
      <c r="S2248">
        <v>0</v>
      </c>
      <c r="T2248">
        <v>5</v>
      </c>
      <c r="U2248">
        <v>3</v>
      </c>
    </row>
    <row r="2249" spans="1:21" ht="16.5" x14ac:dyDescent="0.3">
      <c r="A2249" t="s">
        <v>2337</v>
      </c>
      <c r="B2249" s="1">
        <v>45630</v>
      </c>
      <c r="C2249">
        <v>2024</v>
      </c>
      <c r="D2249" t="s">
        <v>1738</v>
      </c>
      <c r="E2249" t="s">
        <v>2310</v>
      </c>
      <c r="F2249" t="s">
        <v>24</v>
      </c>
      <c r="G2249" t="s">
        <v>65</v>
      </c>
      <c r="H2249" t="s">
        <v>26</v>
      </c>
      <c r="I2249" t="s">
        <v>42</v>
      </c>
      <c r="J2249" t="s">
        <v>98</v>
      </c>
      <c r="K2249">
        <v>1</v>
      </c>
      <c r="L2249" s="2">
        <v>117.63</v>
      </c>
      <c r="M2249" s="3">
        <v>0.1</v>
      </c>
      <c r="N2249" t="s">
        <v>29</v>
      </c>
      <c r="O2249" s="2">
        <v>105.87</v>
      </c>
      <c r="P2249" s="2">
        <v>76.12</v>
      </c>
      <c r="Q2249" s="2">
        <v>29.75</v>
      </c>
      <c r="R2249">
        <v>1</v>
      </c>
      <c r="S2249">
        <v>0</v>
      </c>
      <c r="T2249">
        <v>9</v>
      </c>
      <c r="U2249">
        <v>4</v>
      </c>
    </row>
    <row r="2250" spans="1:21" ht="16.5" x14ac:dyDescent="0.3">
      <c r="A2250" t="s">
        <v>2338</v>
      </c>
      <c r="B2250" s="1">
        <v>45630</v>
      </c>
      <c r="C2250">
        <v>2024</v>
      </c>
      <c r="D2250" t="s">
        <v>1738</v>
      </c>
      <c r="E2250" t="s">
        <v>2310</v>
      </c>
      <c r="F2250" t="s">
        <v>31</v>
      </c>
      <c r="G2250" t="s">
        <v>49</v>
      </c>
      <c r="H2250" t="s">
        <v>32</v>
      </c>
      <c r="I2250" t="s">
        <v>67</v>
      </c>
      <c r="J2250" t="s">
        <v>103</v>
      </c>
      <c r="K2250">
        <v>2</v>
      </c>
      <c r="L2250" s="2">
        <v>83.06</v>
      </c>
      <c r="M2250" s="3">
        <v>0.25</v>
      </c>
      <c r="N2250" t="s">
        <v>62</v>
      </c>
      <c r="O2250" s="2">
        <v>124.59</v>
      </c>
      <c r="P2250" s="2">
        <v>115.54</v>
      </c>
      <c r="Q2250" s="2">
        <v>9.0500000000000007</v>
      </c>
      <c r="R2250">
        <v>1</v>
      </c>
      <c r="S2250">
        <v>0</v>
      </c>
      <c r="T2250">
        <v>5</v>
      </c>
      <c r="U2250">
        <v>5</v>
      </c>
    </row>
    <row r="2251" spans="1:21" ht="16.5" x14ac:dyDescent="0.3">
      <c r="A2251" t="s">
        <v>2339</v>
      </c>
      <c r="B2251" s="1">
        <v>45630</v>
      </c>
      <c r="C2251">
        <v>2024</v>
      </c>
      <c r="D2251" t="s">
        <v>1738</v>
      </c>
      <c r="E2251" t="s">
        <v>2310</v>
      </c>
      <c r="F2251" t="s">
        <v>24</v>
      </c>
      <c r="G2251" t="s">
        <v>25</v>
      </c>
      <c r="H2251" t="s">
        <v>32</v>
      </c>
      <c r="I2251" t="s">
        <v>42</v>
      </c>
      <c r="J2251" t="s">
        <v>76</v>
      </c>
      <c r="K2251">
        <v>1</v>
      </c>
      <c r="L2251" s="2">
        <v>90.75</v>
      </c>
      <c r="M2251" s="3">
        <v>0.2</v>
      </c>
      <c r="N2251" t="s">
        <v>34</v>
      </c>
      <c r="O2251" s="2">
        <v>72.599999999999994</v>
      </c>
      <c r="P2251" s="2">
        <v>59.73</v>
      </c>
      <c r="Q2251" s="2">
        <v>12.87</v>
      </c>
      <c r="R2251">
        <v>1</v>
      </c>
      <c r="S2251">
        <v>0</v>
      </c>
      <c r="T2251">
        <v>4</v>
      </c>
      <c r="U2251">
        <v>4</v>
      </c>
    </row>
    <row r="2252" spans="1:21" ht="16.5" x14ac:dyDescent="0.3">
      <c r="A2252" t="s">
        <v>2340</v>
      </c>
      <c r="B2252" s="1">
        <v>45630</v>
      </c>
      <c r="C2252">
        <v>2024</v>
      </c>
      <c r="D2252" t="s">
        <v>1738</v>
      </c>
      <c r="E2252" t="s">
        <v>2310</v>
      </c>
      <c r="F2252" t="s">
        <v>31</v>
      </c>
      <c r="G2252" t="s">
        <v>46</v>
      </c>
      <c r="H2252" t="s">
        <v>32</v>
      </c>
      <c r="I2252" t="s">
        <v>36</v>
      </c>
      <c r="J2252" t="s">
        <v>52</v>
      </c>
      <c r="K2252">
        <v>1</v>
      </c>
      <c r="L2252" s="2">
        <v>92.54</v>
      </c>
      <c r="M2252" s="3">
        <v>0.2</v>
      </c>
      <c r="N2252" t="s">
        <v>34</v>
      </c>
      <c r="O2252" s="2">
        <v>74.03</v>
      </c>
      <c r="P2252" s="2">
        <v>42.79</v>
      </c>
      <c r="Q2252" s="2">
        <v>31.24</v>
      </c>
      <c r="R2252">
        <v>1</v>
      </c>
      <c r="S2252">
        <v>0</v>
      </c>
      <c r="T2252">
        <v>7</v>
      </c>
      <c r="U2252">
        <v>4</v>
      </c>
    </row>
    <row r="2253" spans="1:21" ht="16.5" x14ac:dyDescent="0.3">
      <c r="A2253" t="s">
        <v>2341</v>
      </c>
      <c r="B2253" s="1">
        <v>45630</v>
      </c>
      <c r="C2253">
        <v>2024</v>
      </c>
      <c r="D2253" t="s">
        <v>1738</v>
      </c>
      <c r="E2253" t="s">
        <v>2310</v>
      </c>
      <c r="F2253" t="s">
        <v>31</v>
      </c>
      <c r="G2253" t="s">
        <v>25</v>
      </c>
      <c r="H2253" t="s">
        <v>32</v>
      </c>
      <c r="I2253" t="s">
        <v>42</v>
      </c>
      <c r="J2253" t="s">
        <v>54</v>
      </c>
      <c r="K2253">
        <v>3</v>
      </c>
      <c r="L2253" s="2">
        <v>148.05000000000001</v>
      </c>
      <c r="M2253" s="3">
        <v>0.15</v>
      </c>
      <c r="N2253" t="s">
        <v>34</v>
      </c>
      <c r="O2253" s="2">
        <v>377.53</v>
      </c>
      <c r="P2253" s="2">
        <v>283.33999999999997</v>
      </c>
      <c r="Q2253" s="2">
        <v>94.19</v>
      </c>
      <c r="R2253">
        <v>1</v>
      </c>
      <c r="S2253">
        <v>0</v>
      </c>
      <c r="T2253">
        <v>4</v>
      </c>
      <c r="U2253">
        <v>4</v>
      </c>
    </row>
    <row r="2254" spans="1:21" ht="16.5" x14ac:dyDescent="0.3">
      <c r="A2254" t="s">
        <v>2342</v>
      </c>
      <c r="B2254" s="1">
        <v>45630</v>
      </c>
      <c r="C2254">
        <v>2024</v>
      </c>
      <c r="D2254" t="s">
        <v>1738</v>
      </c>
      <c r="E2254" t="s">
        <v>2310</v>
      </c>
      <c r="F2254" t="s">
        <v>45</v>
      </c>
      <c r="G2254" t="s">
        <v>25</v>
      </c>
      <c r="H2254" t="s">
        <v>26</v>
      </c>
      <c r="I2254" t="s">
        <v>36</v>
      </c>
      <c r="J2254" t="s">
        <v>115</v>
      </c>
      <c r="K2254">
        <v>1</v>
      </c>
      <c r="L2254" s="2">
        <v>33.479999999999997</v>
      </c>
      <c r="M2254" s="3">
        <v>0.25</v>
      </c>
      <c r="N2254" t="s">
        <v>62</v>
      </c>
      <c r="O2254" s="2">
        <v>25.11</v>
      </c>
      <c r="P2254" s="2">
        <v>16.52</v>
      </c>
      <c r="Q2254" s="2">
        <v>8.59</v>
      </c>
      <c r="R2254">
        <v>1</v>
      </c>
      <c r="S2254">
        <v>0</v>
      </c>
      <c r="T2254">
        <v>4</v>
      </c>
      <c r="U2254">
        <v>4</v>
      </c>
    </row>
    <row r="2255" spans="1:21" ht="16.5" x14ac:dyDescent="0.3">
      <c r="A2255" t="s">
        <v>2343</v>
      </c>
      <c r="B2255" s="1">
        <v>45631</v>
      </c>
      <c r="C2255">
        <v>2024</v>
      </c>
      <c r="D2255" t="s">
        <v>1738</v>
      </c>
      <c r="E2255" t="s">
        <v>2310</v>
      </c>
      <c r="F2255" t="s">
        <v>31</v>
      </c>
      <c r="G2255" t="s">
        <v>51</v>
      </c>
      <c r="H2255" t="s">
        <v>32</v>
      </c>
      <c r="I2255" t="s">
        <v>27</v>
      </c>
      <c r="J2255" t="s">
        <v>47</v>
      </c>
      <c r="K2255">
        <v>2</v>
      </c>
      <c r="L2255" s="2">
        <v>33.99</v>
      </c>
      <c r="M2255" s="3">
        <v>0.25</v>
      </c>
      <c r="N2255" t="s">
        <v>62</v>
      </c>
      <c r="O2255" s="2">
        <v>50.98</v>
      </c>
      <c r="P2255" s="2">
        <v>35.57</v>
      </c>
      <c r="Q2255" s="2">
        <v>15.41</v>
      </c>
      <c r="R2255">
        <v>1</v>
      </c>
      <c r="S2255">
        <v>0</v>
      </c>
      <c r="T2255">
        <v>3</v>
      </c>
      <c r="U2255">
        <v>5</v>
      </c>
    </row>
    <row r="2256" spans="1:21" ht="16.5" x14ac:dyDescent="0.3">
      <c r="A2256" t="s">
        <v>2344</v>
      </c>
      <c r="B2256" s="1">
        <v>45631</v>
      </c>
      <c r="C2256">
        <v>2024</v>
      </c>
      <c r="D2256" t="s">
        <v>1738</v>
      </c>
      <c r="E2256" t="s">
        <v>2310</v>
      </c>
      <c r="F2256" t="s">
        <v>31</v>
      </c>
      <c r="G2256" t="s">
        <v>51</v>
      </c>
      <c r="H2256" t="s">
        <v>32</v>
      </c>
      <c r="I2256" t="s">
        <v>84</v>
      </c>
      <c r="J2256" t="s">
        <v>106</v>
      </c>
      <c r="K2256">
        <v>1</v>
      </c>
      <c r="L2256" s="2">
        <v>45.28</v>
      </c>
      <c r="M2256" s="3">
        <v>0.1</v>
      </c>
      <c r="N2256" t="s">
        <v>29</v>
      </c>
      <c r="O2256" s="2">
        <v>40.75</v>
      </c>
      <c r="P2256" s="2">
        <v>34.36</v>
      </c>
      <c r="Q2256" s="2">
        <v>6.39</v>
      </c>
      <c r="R2256">
        <v>1</v>
      </c>
      <c r="S2256">
        <v>0</v>
      </c>
      <c r="T2256">
        <v>4</v>
      </c>
      <c r="U2256">
        <v>5</v>
      </c>
    </row>
    <row r="2257" spans="1:21" ht="16.5" x14ac:dyDescent="0.3">
      <c r="A2257" t="s">
        <v>2345</v>
      </c>
      <c r="B2257" s="1">
        <v>45631</v>
      </c>
      <c r="C2257">
        <v>2024</v>
      </c>
      <c r="D2257" t="s">
        <v>1738</v>
      </c>
      <c r="E2257" t="s">
        <v>2310</v>
      </c>
      <c r="F2257" t="s">
        <v>24</v>
      </c>
      <c r="G2257" t="s">
        <v>46</v>
      </c>
      <c r="H2257" t="s">
        <v>32</v>
      </c>
      <c r="I2257" t="s">
        <v>27</v>
      </c>
      <c r="J2257" t="s">
        <v>40</v>
      </c>
      <c r="K2257">
        <v>2</v>
      </c>
      <c r="L2257" s="2">
        <v>104.94</v>
      </c>
      <c r="M2257" s="3">
        <v>0.2</v>
      </c>
      <c r="N2257" t="s">
        <v>34</v>
      </c>
      <c r="O2257" s="2">
        <v>167.9</v>
      </c>
      <c r="P2257" s="2">
        <v>115.35</v>
      </c>
      <c r="Q2257" s="2">
        <v>52.55</v>
      </c>
      <c r="R2257">
        <v>1</v>
      </c>
      <c r="S2257">
        <v>0</v>
      </c>
      <c r="T2257">
        <v>7</v>
      </c>
      <c r="U2257">
        <v>4</v>
      </c>
    </row>
    <row r="2258" spans="1:21" ht="16.5" x14ac:dyDescent="0.3">
      <c r="A2258" t="s">
        <v>2346</v>
      </c>
      <c r="B2258" s="1">
        <v>45631</v>
      </c>
      <c r="C2258">
        <v>2024</v>
      </c>
      <c r="D2258" t="s">
        <v>1738</v>
      </c>
      <c r="E2258" t="s">
        <v>2310</v>
      </c>
      <c r="F2258" t="s">
        <v>31</v>
      </c>
      <c r="G2258" t="s">
        <v>49</v>
      </c>
      <c r="H2258" t="s">
        <v>32</v>
      </c>
      <c r="I2258" t="s">
        <v>70</v>
      </c>
      <c r="J2258" t="s">
        <v>162</v>
      </c>
      <c r="K2258">
        <v>2</v>
      </c>
      <c r="L2258" s="2">
        <v>636.09</v>
      </c>
      <c r="M2258" s="3">
        <v>0.2</v>
      </c>
      <c r="N2258" t="s">
        <v>34</v>
      </c>
      <c r="O2258" s="2">
        <v>1017.74</v>
      </c>
      <c r="P2258" s="2">
        <v>972.75</v>
      </c>
      <c r="Q2258" s="2">
        <v>44.99</v>
      </c>
      <c r="R2258">
        <v>1</v>
      </c>
      <c r="S2258">
        <v>0</v>
      </c>
      <c r="T2258">
        <v>4</v>
      </c>
      <c r="U2258">
        <v>4</v>
      </c>
    </row>
    <row r="2259" spans="1:21" ht="16.5" x14ac:dyDescent="0.3">
      <c r="A2259" t="s">
        <v>2347</v>
      </c>
      <c r="B2259" s="1">
        <v>45631</v>
      </c>
      <c r="C2259">
        <v>2024</v>
      </c>
      <c r="D2259" t="s">
        <v>1738</v>
      </c>
      <c r="E2259" t="s">
        <v>2310</v>
      </c>
      <c r="F2259" t="s">
        <v>31</v>
      </c>
      <c r="G2259" t="s">
        <v>65</v>
      </c>
      <c r="H2259" t="s">
        <v>26</v>
      </c>
      <c r="I2259" t="s">
        <v>42</v>
      </c>
      <c r="J2259" t="s">
        <v>76</v>
      </c>
      <c r="K2259">
        <v>1</v>
      </c>
      <c r="L2259" s="2">
        <v>90.75</v>
      </c>
      <c r="M2259" s="3">
        <v>0</v>
      </c>
      <c r="N2259" t="s">
        <v>38</v>
      </c>
      <c r="O2259" s="2">
        <v>90.75</v>
      </c>
      <c r="P2259" s="2">
        <v>57</v>
      </c>
      <c r="Q2259" s="2">
        <v>33.75</v>
      </c>
      <c r="R2259">
        <v>1</v>
      </c>
      <c r="S2259">
        <v>0</v>
      </c>
      <c r="T2259">
        <v>7</v>
      </c>
      <c r="U2259">
        <v>4</v>
      </c>
    </row>
    <row r="2260" spans="1:21" ht="16.5" x14ac:dyDescent="0.3">
      <c r="A2260" t="s">
        <v>2348</v>
      </c>
      <c r="B2260" s="1">
        <v>45631</v>
      </c>
      <c r="C2260">
        <v>2024</v>
      </c>
      <c r="D2260" t="s">
        <v>1738</v>
      </c>
      <c r="E2260" t="s">
        <v>2310</v>
      </c>
      <c r="F2260" t="s">
        <v>24</v>
      </c>
      <c r="G2260" t="s">
        <v>25</v>
      </c>
      <c r="H2260" t="s">
        <v>32</v>
      </c>
      <c r="I2260" t="s">
        <v>27</v>
      </c>
      <c r="J2260" t="s">
        <v>33</v>
      </c>
      <c r="K2260">
        <v>2</v>
      </c>
      <c r="L2260" s="2">
        <v>78.510000000000005</v>
      </c>
      <c r="M2260" s="3">
        <v>0.25</v>
      </c>
      <c r="N2260" t="s">
        <v>62</v>
      </c>
      <c r="O2260" s="2">
        <v>117.77</v>
      </c>
      <c r="P2260" s="2">
        <v>87.26</v>
      </c>
      <c r="Q2260" s="2">
        <v>30.51</v>
      </c>
      <c r="R2260">
        <v>1</v>
      </c>
      <c r="S2260">
        <v>0</v>
      </c>
      <c r="T2260">
        <v>4</v>
      </c>
      <c r="U2260">
        <v>3</v>
      </c>
    </row>
    <row r="2261" spans="1:21" ht="16.5" x14ac:dyDescent="0.3">
      <c r="A2261" t="s">
        <v>2349</v>
      </c>
      <c r="B2261" s="1">
        <v>45631</v>
      </c>
      <c r="C2261">
        <v>2024</v>
      </c>
      <c r="D2261" t="s">
        <v>1738</v>
      </c>
      <c r="E2261" t="s">
        <v>2310</v>
      </c>
      <c r="F2261" t="s">
        <v>24</v>
      </c>
      <c r="G2261" t="s">
        <v>51</v>
      </c>
      <c r="H2261" t="s">
        <v>32</v>
      </c>
      <c r="I2261" t="s">
        <v>67</v>
      </c>
      <c r="J2261" t="s">
        <v>174</v>
      </c>
      <c r="K2261">
        <v>1</v>
      </c>
      <c r="L2261" s="2">
        <v>137.05000000000001</v>
      </c>
      <c r="M2261" s="3">
        <v>0.1</v>
      </c>
      <c r="N2261" t="s">
        <v>29</v>
      </c>
      <c r="O2261" s="2">
        <v>123.35</v>
      </c>
      <c r="P2261" s="2">
        <v>97.03</v>
      </c>
      <c r="Q2261" s="2">
        <v>26.32</v>
      </c>
      <c r="R2261">
        <v>1</v>
      </c>
      <c r="S2261">
        <v>0</v>
      </c>
      <c r="T2261">
        <v>6</v>
      </c>
      <c r="U2261">
        <v>3</v>
      </c>
    </row>
    <row r="2262" spans="1:21" ht="16.5" x14ac:dyDescent="0.3">
      <c r="A2262" t="s">
        <v>2350</v>
      </c>
      <c r="B2262" s="1">
        <v>45631</v>
      </c>
      <c r="C2262">
        <v>2024</v>
      </c>
      <c r="D2262" t="s">
        <v>1738</v>
      </c>
      <c r="E2262" t="s">
        <v>2310</v>
      </c>
      <c r="F2262" t="s">
        <v>45</v>
      </c>
      <c r="G2262" t="s">
        <v>25</v>
      </c>
      <c r="H2262" t="s">
        <v>26</v>
      </c>
      <c r="I2262" t="s">
        <v>67</v>
      </c>
      <c r="J2262" t="s">
        <v>68</v>
      </c>
      <c r="K2262">
        <v>1</v>
      </c>
      <c r="L2262" s="2">
        <v>74.459999999999994</v>
      </c>
      <c r="M2262" s="3">
        <v>0.2</v>
      </c>
      <c r="N2262" t="s">
        <v>34</v>
      </c>
      <c r="O2262" s="2">
        <v>59.57</v>
      </c>
      <c r="P2262" s="2">
        <v>52.77</v>
      </c>
      <c r="Q2262" s="2">
        <v>6.8</v>
      </c>
      <c r="R2262">
        <v>1</v>
      </c>
      <c r="S2262">
        <v>0</v>
      </c>
      <c r="T2262">
        <v>4</v>
      </c>
      <c r="U2262">
        <v>4</v>
      </c>
    </row>
    <row r="2263" spans="1:21" ht="16.5" x14ac:dyDescent="0.3">
      <c r="A2263" t="s">
        <v>2351</v>
      </c>
      <c r="B2263" s="1">
        <v>45631</v>
      </c>
      <c r="C2263">
        <v>2024</v>
      </c>
      <c r="D2263" t="s">
        <v>1738</v>
      </c>
      <c r="E2263" t="s">
        <v>2310</v>
      </c>
      <c r="F2263" t="s">
        <v>24</v>
      </c>
      <c r="G2263" t="s">
        <v>25</v>
      </c>
      <c r="H2263" t="s">
        <v>26</v>
      </c>
      <c r="I2263" t="s">
        <v>42</v>
      </c>
      <c r="J2263" t="s">
        <v>43</v>
      </c>
      <c r="K2263">
        <v>1</v>
      </c>
      <c r="L2263" s="2">
        <v>154.66</v>
      </c>
      <c r="M2263" s="3">
        <v>0.3</v>
      </c>
      <c r="N2263" t="s">
        <v>62</v>
      </c>
      <c r="O2263" s="2">
        <v>108.26</v>
      </c>
      <c r="P2263" s="2">
        <v>102.42</v>
      </c>
      <c r="Q2263" s="2">
        <v>5.84</v>
      </c>
      <c r="R2263">
        <v>1</v>
      </c>
      <c r="S2263">
        <v>0</v>
      </c>
      <c r="T2263">
        <v>4</v>
      </c>
      <c r="U2263">
        <v>3</v>
      </c>
    </row>
    <row r="2264" spans="1:21" ht="16.5" x14ac:dyDescent="0.3">
      <c r="A2264" t="s">
        <v>2352</v>
      </c>
      <c r="B2264" s="1">
        <v>45631</v>
      </c>
      <c r="C2264">
        <v>2024</v>
      </c>
      <c r="D2264" t="s">
        <v>1738</v>
      </c>
      <c r="E2264" t="s">
        <v>2310</v>
      </c>
      <c r="F2264" t="s">
        <v>24</v>
      </c>
      <c r="G2264" t="s">
        <v>49</v>
      </c>
      <c r="H2264" t="s">
        <v>32</v>
      </c>
      <c r="I2264" t="s">
        <v>27</v>
      </c>
      <c r="J2264" t="s">
        <v>28</v>
      </c>
      <c r="K2264">
        <v>1</v>
      </c>
      <c r="L2264" s="2">
        <v>138.5</v>
      </c>
      <c r="M2264" s="3">
        <v>0.2</v>
      </c>
      <c r="N2264" t="s">
        <v>34</v>
      </c>
      <c r="O2264" s="2">
        <v>110.8</v>
      </c>
      <c r="P2264" s="2">
        <v>74.37</v>
      </c>
      <c r="Q2264" s="2">
        <v>36.43</v>
      </c>
      <c r="R2264">
        <v>1</v>
      </c>
      <c r="S2264">
        <v>0</v>
      </c>
      <c r="T2264">
        <v>5</v>
      </c>
      <c r="U2264">
        <v>4</v>
      </c>
    </row>
    <row r="2265" spans="1:21" ht="16.5" x14ac:dyDescent="0.3">
      <c r="A2265" t="s">
        <v>2353</v>
      </c>
      <c r="B2265" s="1">
        <v>45631</v>
      </c>
      <c r="C2265">
        <v>2024</v>
      </c>
      <c r="D2265" t="s">
        <v>1738</v>
      </c>
      <c r="E2265" t="s">
        <v>2310</v>
      </c>
      <c r="F2265" t="s">
        <v>24</v>
      </c>
      <c r="G2265" t="s">
        <v>51</v>
      </c>
      <c r="H2265" t="s">
        <v>26</v>
      </c>
      <c r="I2265" t="s">
        <v>42</v>
      </c>
      <c r="J2265" t="s">
        <v>89</v>
      </c>
      <c r="K2265">
        <v>1</v>
      </c>
      <c r="L2265" s="2">
        <v>68.349999999999994</v>
      </c>
      <c r="M2265" s="3">
        <v>0.2</v>
      </c>
      <c r="N2265" t="s">
        <v>34</v>
      </c>
      <c r="O2265" s="2">
        <v>54.68</v>
      </c>
      <c r="P2265" s="2">
        <v>43.81</v>
      </c>
      <c r="Q2265" s="2">
        <v>10.87</v>
      </c>
      <c r="R2265">
        <v>1</v>
      </c>
      <c r="S2265">
        <v>0</v>
      </c>
      <c r="T2265">
        <v>3</v>
      </c>
      <c r="U2265">
        <v>4</v>
      </c>
    </row>
    <row r="2266" spans="1:21" ht="16.5" x14ac:dyDescent="0.3">
      <c r="A2266" t="s">
        <v>2354</v>
      </c>
      <c r="B2266" s="1">
        <v>45632</v>
      </c>
      <c r="C2266">
        <v>2024</v>
      </c>
      <c r="D2266" t="s">
        <v>1738</v>
      </c>
      <c r="E2266" t="s">
        <v>2310</v>
      </c>
      <c r="F2266" t="s">
        <v>45</v>
      </c>
      <c r="G2266" t="s">
        <v>49</v>
      </c>
      <c r="H2266" t="s">
        <v>26</v>
      </c>
      <c r="I2266" t="s">
        <v>70</v>
      </c>
      <c r="J2266" t="s">
        <v>71</v>
      </c>
      <c r="K2266">
        <v>3</v>
      </c>
      <c r="L2266" s="2">
        <v>588.41</v>
      </c>
      <c r="M2266" s="3">
        <v>0.2</v>
      </c>
      <c r="N2266" t="s">
        <v>34</v>
      </c>
      <c r="O2266" s="2">
        <v>1412.18</v>
      </c>
      <c r="P2266" s="2">
        <v>1461.29</v>
      </c>
      <c r="Q2266" s="2">
        <v>-49.11</v>
      </c>
      <c r="R2266">
        <v>1</v>
      </c>
      <c r="S2266">
        <v>0</v>
      </c>
      <c r="T2266">
        <v>8</v>
      </c>
      <c r="U2266">
        <v>3</v>
      </c>
    </row>
    <row r="2267" spans="1:21" ht="16.5" x14ac:dyDescent="0.3">
      <c r="A2267" t="s">
        <v>2355</v>
      </c>
      <c r="B2267" s="1">
        <v>45632</v>
      </c>
      <c r="C2267">
        <v>2024</v>
      </c>
      <c r="D2267" t="s">
        <v>1738</v>
      </c>
      <c r="E2267" t="s">
        <v>2310</v>
      </c>
      <c r="F2267" t="s">
        <v>31</v>
      </c>
      <c r="G2267" t="s">
        <v>25</v>
      </c>
      <c r="H2267" t="s">
        <v>32</v>
      </c>
      <c r="I2267" t="s">
        <v>27</v>
      </c>
      <c r="J2267" t="s">
        <v>47</v>
      </c>
      <c r="K2267">
        <v>2</v>
      </c>
      <c r="L2267" s="2">
        <v>33.99</v>
      </c>
      <c r="M2267" s="3">
        <v>0.2</v>
      </c>
      <c r="N2267" t="s">
        <v>34</v>
      </c>
      <c r="O2267" s="2">
        <v>54.38</v>
      </c>
      <c r="P2267" s="2">
        <v>37.979999999999997</v>
      </c>
      <c r="Q2267" s="2">
        <v>16.399999999999999</v>
      </c>
      <c r="R2267">
        <v>1</v>
      </c>
      <c r="S2267">
        <v>0</v>
      </c>
      <c r="T2267">
        <v>5</v>
      </c>
      <c r="U2267">
        <v>4</v>
      </c>
    </row>
    <row r="2268" spans="1:21" ht="16.5" x14ac:dyDescent="0.3">
      <c r="A2268" t="s">
        <v>2356</v>
      </c>
      <c r="B2268" s="1">
        <v>45632</v>
      </c>
      <c r="C2268">
        <v>2024</v>
      </c>
      <c r="D2268" t="s">
        <v>1738</v>
      </c>
      <c r="E2268" t="s">
        <v>2310</v>
      </c>
      <c r="F2268" t="s">
        <v>45</v>
      </c>
      <c r="G2268" t="s">
        <v>51</v>
      </c>
      <c r="H2268" t="s">
        <v>26</v>
      </c>
      <c r="I2268" t="s">
        <v>42</v>
      </c>
      <c r="J2268" t="s">
        <v>43</v>
      </c>
      <c r="K2268">
        <v>1</v>
      </c>
      <c r="L2268" s="2">
        <v>154.66</v>
      </c>
      <c r="M2268" s="3">
        <v>0.1</v>
      </c>
      <c r="N2268" t="s">
        <v>29</v>
      </c>
      <c r="O2268" s="2">
        <v>139.19</v>
      </c>
      <c r="P2268" s="2">
        <v>101.34</v>
      </c>
      <c r="Q2268" s="2">
        <v>37.85</v>
      </c>
      <c r="R2268">
        <v>1</v>
      </c>
      <c r="S2268">
        <v>0</v>
      </c>
      <c r="T2268">
        <v>4</v>
      </c>
      <c r="U2268">
        <v>4</v>
      </c>
    </row>
    <row r="2269" spans="1:21" ht="16.5" x14ac:dyDescent="0.3">
      <c r="A2269" t="s">
        <v>2357</v>
      </c>
      <c r="B2269" s="1">
        <v>45632</v>
      </c>
      <c r="C2269">
        <v>2024</v>
      </c>
      <c r="D2269" t="s">
        <v>1738</v>
      </c>
      <c r="E2269" t="s">
        <v>2310</v>
      </c>
      <c r="F2269" t="s">
        <v>31</v>
      </c>
      <c r="G2269" t="s">
        <v>51</v>
      </c>
      <c r="H2269" t="s">
        <v>32</v>
      </c>
      <c r="I2269" t="s">
        <v>70</v>
      </c>
      <c r="J2269" t="s">
        <v>162</v>
      </c>
      <c r="K2269">
        <v>1</v>
      </c>
      <c r="L2269" s="2">
        <v>636.09</v>
      </c>
      <c r="M2269" s="3">
        <v>0.2</v>
      </c>
      <c r="N2269" t="s">
        <v>34</v>
      </c>
      <c r="O2269" s="2">
        <v>508.87</v>
      </c>
      <c r="P2269" s="2">
        <v>516.46</v>
      </c>
      <c r="Q2269" s="2">
        <v>-7.59</v>
      </c>
      <c r="R2269">
        <v>1</v>
      </c>
      <c r="S2269">
        <v>0</v>
      </c>
      <c r="T2269">
        <v>3</v>
      </c>
      <c r="U2269">
        <v>4</v>
      </c>
    </row>
    <row r="2270" spans="1:21" ht="16.5" x14ac:dyDescent="0.3">
      <c r="A2270" t="s">
        <v>2358</v>
      </c>
      <c r="B2270" s="1">
        <v>45632</v>
      </c>
      <c r="C2270">
        <v>2024</v>
      </c>
      <c r="D2270" t="s">
        <v>1738</v>
      </c>
      <c r="E2270" t="s">
        <v>2310</v>
      </c>
      <c r="F2270" t="s">
        <v>24</v>
      </c>
      <c r="G2270" t="s">
        <v>46</v>
      </c>
      <c r="H2270" t="s">
        <v>32</v>
      </c>
      <c r="I2270" t="s">
        <v>67</v>
      </c>
      <c r="J2270" t="s">
        <v>78</v>
      </c>
      <c r="K2270">
        <v>1</v>
      </c>
      <c r="L2270" s="2">
        <v>85.42</v>
      </c>
      <c r="M2270" s="3">
        <v>0.15</v>
      </c>
      <c r="N2270" t="s">
        <v>34</v>
      </c>
      <c r="O2270" s="2">
        <v>72.61</v>
      </c>
      <c r="P2270" s="2">
        <v>57.23</v>
      </c>
      <c r="Q2270" s="2">
        <v>15.38</v>
      </c>
      <c r="R2270">
        <v>1</v>
      </c>
      <c r="S2270">
        <v>0</v>
      </c>
      <c r="T2270">
        <v>7</v>
      </c>
      <c r="U2270">
        <v>4</v>
      </c>
    </row>
    <row r="2271" spans="1:21" ht="16.5" x14ac:dyDescent="0.3">
      <c r="A2271" t="s">
        <v>2359</v>
      </c>
      <c r="B2271" s="1">
        <v>45632</v>
      </c>
      <c r="C2271">
        <v>2024</v>
      </c>
      <c r="D2271" t="s">
        <v>1738</v>
      </c>
      <c r="E2271" t="s">
        <v>2310</v>
      </c>
      <c r="F2271" t="s">
        <v>45</v>
      </c>
      <c r="G2271" t="s">
        <v>25</v>
      </c>
      <c r="H2271" t="s">
        <v>32</v>
      </c>
      <c r="I2271" t="s">
        <v>42</v>
      </c>
      <c r="J2271" t="s">
        <v>98</v>
      </c>
      <c r="K2271">
        <v>1</v>
      </c>
      <c r="L2271" s="2">
        <v>117.63</v>
      </c>
      <c r="M2271" s="3">
        <v>0.3</v>
      </c>
      <c r="N2271" t="s">
        <v>62</v>
      </c>
      <c r="O2271" s="2">
        <v>82.34</v>
      </c>
      <c r="P2271" s="2">
        <v>74.7</v>
      </c>
      <c r="Q2271" s="2">
        <v>7.64</v>
      </c>
      <c r="R2271">
        <v>1</v>
      </c>
      <c r="S2271">
        <v>0</v>
      </c>
      <c r="T2271">
        <v>5</v>
      </c>
      <c r="U2271">
        <v>4</v>
      </c>
    </row>
    <row r="2272" spans="1:21" ht="16.5" x14ac:dyDescent="0.3">
      <c r="A2272" t="s">
        <v>2360</v>
      </c>
      <c r="B2272" s="1">
        <v>45633</v>
      </c>
      <c r="C2272">
        <v>2024</v>
      </c>
      <c r="D2272" t="s">
        <v>1738</v>
      </c>
      <c r="E2272" t="s">
        <v>2310</v>
      </c>
      <c r="F2272" t="s">
        <v>31</v>
      </c>
      <c r="G2272" t="s">
        <v>25</v>
      </c>
      <c r="H2272" t="s">
        <v>32</v>
      </c>
      <c r="I2272" t="s">
        <v>27</v>
      </c>
      <c r="J2272" t="s">
        <v>28</v>
      </c>
      <c r="K2272">
        <v>2</v>
      </c>
      <c r="L2272" s="2">
        <v>138.5</v>
      </c>
      <c r="M2272" s="3">
        <v>0.1</v>
      </c>
      <c r="N2272" t="s">
        <v>29</v>
      </c>
      <c r="O2272" s="2">
        <v>249.3</v>
      </c>
      <c r="P2272" s="2">
        <v>153.85</v>
      </c>
      <c r="Q2272" s="2">
        <v>95.45</v>
      </c>
      <c r="R2272">
        <v>1</v>
      </c>
      <c r="S2272">
        <v>0</v>
      </c>
      <c r="T2272">
        <v>5</v>
      </c>
      <c r="U2272">
        <v>4</v>
      </c>
    </row>
    <row r="2273" spans="1:21" ht="16.5" x14ac:dyDescent="0.3">
      <c r="A2273" t="s">
        <v>2361</v>
      </c>
      <c r="B2273" s="1">
        <v>45633</v>
      </c>
      <c r="C2273">
        <v>2024</v>
      </c>
      <c r="D2273" t="s">
        <v>1738</v>
      </c>
      <c r="E2273" t="s">
        <v>2310</v>
      </c>
      <c r="F2273" t="s">
        <v>31</v>
      </c>
      <c r="G2273" t="s">
        <v>25</v>
      </c>
      <c r="H2273" t="s">
        <v>26</v>
      </c>
      <c r="I2273" t="s">
        <v>67</v>
      </c>
      <c r="J2273" t="s">
        <v>68</v>
      </c>
      <c r="K2273">
        <v>1</v>
      </c>
      <c r="L2273" s="2">
        <v>74.459999999999994</v>
      </c>
      <c r="M2273" s="3">
        <v>0.15</v>
      </c>
      <c r="N2273" t="s">
        <v>34</v>
      </c>
      <c r="O2273" s="2">
        <v>63.29</v>
      </c>
      <c r="P2273" s="2">
        <v>51.36</v>
      </c>
      <c r="Q2273" s="2">
        <v>11.93</v>
      </c>
      <c r="R2273">
        <v>1</v>
      </c>
      <c r="S2273">
        <v>0</v>
      </c>
      <c r="T2273">
        <v>5</v>
      </c>
      <c r="U2273">
        <v>4</v>
      </c>
    </row>
    <row r="2274" spans="1:21" ht="16.5" x14ac:dyDescent="0.3">
      <c r="A2274" t="s">
        <v>2362</v>
      </c>
      <c r="B2274" s="1">
        <v>45633</v>
      </c>
      <c r="C2274">
        <v>2024</v>
      </c>
      <c r="D2274" t="s">
        <v>1738</v>
      </c>
      <c r="E2274" t="s">
        <v>2310</v>
      </c>
      <c r="F2274" t="s">
        <v>31</v>
      </c>
      <c r="G2274" t="s">
        <v>25</v>
      </c>
      <c r="H2274" t="s">
        <v>26</v>
      </c>
      <c r="I2274" t="s">
        <v>84</v>
      </c>
      <c r="J2274" t="s">
        <v>223</v>
      </c>
      <c r="K2274">
        <v>2</v>
      </c>
      <c r="L2274" s="2">
        <v>16.97</v>
      </c>
      <c r="M2274" s="3">
        <v>0.25</v>
      </c>
      <c r="N2274" t="s">
        <v>62</v>
      </c>
      <c r="O2274" s="2">
        <v>25.46</v>
      </c>
      <c r="P2274" s="2">
        <v>23.4</v>
      </c>
      <c r="Q2274" s="2">
        <v>2.06</v>
      </c>
      <c r="R2274">
        <v>1</v>
      </c>
      <c r="S2274">
        <v>0</v>
      </c>
      <c r="T2274">
        <v>4</v>
      </c>
      <c r="U2274">
        <v>4</v>
      </c>
    </row>
    <row r="2275" spans="1:21" ht="16.5" x14ac:dyDescent="0.3">
      <c r="A2275" t="s">
        <v>2363</v>
      </c>
      <c r="B2275" s="1">
        <v>45633</v>
      </c>
      <c r="C2275">
        <v>2024</v>
      </c>
      <c r="D2275" t="s">
        <v>1738</v>
      </c>
      <c r="E2275" t="s">
        <v>2310</v>
      </c>
      <c r="F2275" t="s">
        <v>31</v>
      </c>
      <c r="G2275" t="s">
        <v>51</v>
      </c>
      <c r="H2275" t="s">
        <v>32</v>
      </c>
      <c r="I2275" t="s">
        <v>27</v>
      </c>
      <c r="J2275" t="s">
        <v>47</v>
      </c>
      <c r="K2275">
        <v>2</v>
      </c>
      <c r="L2275" s="2">
        <v>33.99</v>
      </c>
      <c r="M2275" s="3">
        <v>0.25</v>
      </c>
      <c r="N2275" t="s">
        <v>62</v>
      </c>
      <c r="O2275" s="2">
        <v>50.98</v>
      </c>
      <c r="P2275" s="2">
        <v>36.14</v>
      </c>
      <c r="Q2275" s="2">
        <v>14.84</v>
      </c>
      <c r="R2275">
        <v>1</v>
      </c>
      <c r="S2275">
        <v>0</v>
      </c>
      <c r="T2275">
        <v>5</v>
      </c>
      <c r="U2275">
        <v>5</v>
      </c>
    </row>
    <row r="2276" spans="1:21" ht="16.5" x14ac:dyDescent="0.3">
      <c r="A2276" t="s">
        <v>2364</v>
      </c>
      <c r="B2276" s="1">
        <v>45633</v>
      </c>
      <c r="C2276">
        <v>2024</v>
      </c>
      <c r="D2276" t="s">
        <v>1738</v>
      </c>
      <c r="E2276" t="s">
        <v>2310</v>
      </c>
      <c r="F2276" t="s">
        <v>24</v>
      </c>
      <c r="G2276" t="s">
        <v>25</v>
      </c>
      <c r="H2276" t="s">
        <v>32</v>
      </c>
      <c r="I2276" t="s">
        <v>70</v>
      </c>
      <c r="J2276" t="s">
        <v>252</v>
      </c>
      <c r="K2276">
        <v>2</v>
      </c>
      <c r="L2276" s="2">
        <v>216.08</v>
      </c>
      <c r="M2276" s="3">
        <v>0.15</v>
      </c>
      <c r="N2276" t="s">
        <v>34</v>
      </c>
      <c r="O2276" s="2">
        <v>367.34</v>
      </c>
      <c r="P2276" s="2">
        <v>353.19</v>
      </c>
      <c r="Q2276" s="2">
        <v>14.15</v>
      </c>
      <c r="R2276">
        <v>1</v>
      </c>
      <c r="S2276">
        <v>0</v>
      </c>
      <c r="T2276">
        <v>7</v>
      </c>
      <c r="U2276">
        <v>3</v>
      </c>
    </row>
    <row r="2277" spans="1:21" ht="16.5" x14ac:dyDescent="0.3">
      <c r="A2277" t="s">
        <v>2365</v>
      </c>
      <c r="B2277" s="1">
        <v>45633</v>
      </c>
      <c r="C2277">
        <v>2024</v>
      </c>
      <c r="D2277" t="s">
        <v>1738</v>
      </c>
      <c r="E2277" t="s">
        <v>2310</v>
      </c>
      <c r="F2277" t="s">
        <v>24</v>
      </c>
      <c r="G2277" t="s">
        <v>25</v>
      </c>
      <c r="H2277" t="s">
        <v>32</v>
      </c>
      <c r="I2277" t="s">
        <v>84</v>
      </c>
      <c r="J2277" t="s">
        <v>85</v>
      </c>
      <c r="K2277">
        <v>1</v>
      </c>
      <c r="L2277" s="2">
        <v>57.92</v>
      </c>
      <c r="M2277" s="3">
        <v>0.1</v>
      </c>
      <c r="N2277" t="s">
        <v>29</v>
      </c>
      <c r="O2277" s="2">
        <v>52.13</v>
      </c>
      <c r="P2277" s="2">
        <v>41.51</v>
      </c>
      <c r="Q2277" s="2">
        <v>10.62</v>
      </c>
      <c r="R2277">
        <v>1</v>
      </c>
      <c r="S2277">
        <v>1</v>
      </c>
      <c r="T2277">
        <v>5</v>
      </c>
      <c r="U2277">
        <v>3</v>
      </c>
    </row>
    <row r="2278" spans="1:21" ht="16.5" x14ac:dyDescent="0.3">
      <c r="A2278" t="s">
        <v>2366</v>
      </c>
      <c r="B2278" s="1">
        <v>45634</v>
      </c>
      <c r="C2278">
        <v>2024</v>
      </c>
      <c r="D2278" t="s">
        <v>1738</v>
      </c>
      <c r="E2278" t="s">
        <v>2310</v>
      </c>
      <c r="F2278" t="s">
        <v>24</v>
      </c>
      <c r="G2278" t="s">
        <v>51</v>
      </c>
      <c r="H2278" t="s">
        <v>32</v>
      </c>
      <c r="I2278" t="s">
        <v>70</v>
      </c>
      <c r="J2278" t="s">
        <v>71</v>
      </c>
      <c r="K2278">
        <v>1</v>
      </c>
      <c r="L2278" s="2">
        <v>588.41</v>
      </c>
      <c r="M2278" s="3">
        <v>0.05</v>
      </c>
      <c r="N2278" t="s">
        <v>29</v>
      </c>
      <c r="O2278" s="2">
        <v>558.99</v>
      </c>
      <c r="P2278" s="2">
        <v>486.34</v>
      </c>
      <c r="Q2278" s="2">
        <v>72.650000000000006</v>
      </c>
      <c r="R2278">
        <v>1</v>
      </c>
      <c r="S2278">
        <v>0</v>
      </c>
      <c r="T2278">
        <v>3</v>
      </c>
      <c r="U2278">
        <v>4</v>
      </c>
    </row>
    <row r="2279" spans="1:21" ht="16.5" x14ac:dyDescent="0.3">
      <c r="A2279" t="s">
        <v>2367</v>
      </c>
      <c r="B2279" s="1">
        <v>45634</v>
      </c>
      <c r="C2279">
        <v>2024</v>
      </c>
      <c r="D2279" t="s">
        <v>1738</v>
      </c>
      <c r="E2279" t="s">
        <v>2310</v>
      </c>
      <c r="F2279" t="s">
        <v>24</v>
      </c>
      <c r="G2279" t="s">
        <v>25</v>
      </c>
      <c r="H2279" t="s">
        <v>32</v>
      </c>
      <c r="I2279" t="s">
        <v>84</v>
      </c>
      <c r="J2279" t="s">
        <v>96</v>
      </c>
      <c r="K2279">
        <v>1</v>
      </c>
      <c r="L2279" s="2">
        <v>10.76</v>
      </c>
      <c r="M2279" s="3">
        <v>0.1</v>
      </c>
      <c r="N2279" t="s">
        <v>29</v>
      </c>
      <c r="O2279" s="2">
        <v>9.68</v>
      </c>
      <c r="P2279" s="2">
        <v>7.92</v>
      </c>
      <c r="Q2279" s="2">
        <v>1.76</v>
      </c>
      <c r="R2279">
        <v>1</v>
      </c>
      <c r="S2279">
        <v>0</v>
      </c>
      <c r="T2279">
        <v>5</v>
      </c>
      <c r="U2279">
        <v>4</v>
      </c>
    </row>
    <row r="2280" spans="1:21" ht="16.5" x14ac:dyDescent="0.3">
      <c r="A2280" t="s">
        <v>2368</v>
      </c>
      <c r="B2280" s="1">
        <v>45634</v>
      </c>
      <c r="C2280">
        <v>2024</v>
      </c>
      <c r="D2280" t="s">
        <v>1738</v>
      </c>
      <c r="E2280" t="s">
        <v>2310</v>
      </c>
      <c r="F2280" t="s">
        <v>24</v>
      </c>
      <c r="G2280" t="s">
        <v>65</v>
      </c>
      <c r="H2280" t="s">
        <v>32</v>
      </c>
      <c r="I2280" t="s">
        <v>42</v>
      </c>
      <c r="J2280" t="s">
        <v>54</v>
      </c>
      <c r="K2280">
        <v>2</v>
      </c>
      <c r="L2280" s="2">
        <v>148.05000000000001</v>
      </c>
      <c r="M2280" s="3">
        <v>0.15</v>
      </c>
      <c r="N2280" t="s">
        <v>34</v>
      </c>
      <c r="O2280" s="2">
        <v>251.68</v>
      </c>
      <c r="P2280" s="2">
        <v>192.8</v>
      </c>
      <c r="Q2280" s="2">
        <v>58.88</v>
      </c>
      <c r="R2280">
        <v>1</v>
      </c>
      <c r="S2280">
        <v>0</v>
      </c>
      <c r="T2280">
        <v>7</v>
      </c>
      <c r="U2280">
        <v>4</v>
      </c>
    </row>
    <row r="2281" spans="1:21" ht="16.5" x14ac:dyDescent="0.3">
      <c r="A2281" t="s">
        <v>2369</v>
      </c>
      <c r="B2281" s="1">
        <v>45634</v>
      </c>
      <c r="C2281">
        <v>2024</v>
      </c>
      <c r="D2281" t="s">
        <v>1738</v>
      </c>
      <c r="E2281" t="s">
        <v>2310</v>
      </c>
      <c r="F2281" t="s">
        <v>24</v>
      </c>
      <c r="G2281" t="s">
        <v>25</v>
      </c>
      <c r="H2281" t="s">
        <v>32</v>
      </c>
      <c r="I2281" t="s">
        <v>36</v>
      </c>
      <c r="J2281" t="s">
        <v>37</v>
      </c>
      <c r="K2281">
        <v>2</v>
      </c>
      <c r="L2281" s="2">
        <v>33.18</v>
      </c>
      <c r="M2281" s="3">
        <v>0.15</v>
      </c>
      <c r="N2281" t="s">
        <v>34</v>
      </c>
      <c r="O2281" s="2">
        <v>56.41</v>
      </c>
      <c r="P2281" s="2">
        <v>31.42</v>
      </c>
      <c r="Q2281" s="2">
        <v>24.99</v>
      </c>
      <c r="R2281">
        <v>1</v>
      </c>
      <c r="S2281">
        <v>0</v>
      </c>
      <c r="T2281">
        <v>4</v>
      </c>
      <c r="U2281">
        <v>4</v>
      </c>
    </row>
    <row r="2282" spans="1:21" ht="16.5" x14ac:dyDescent="0.3">
      <c r="A2282" t="s">
        <v>2370</v>
      </c>
      <c r="B2282" s="1">
        <v>45634</v>
      </c>
      <c r="C2282">
        <v>2024</v>
      </c>
      <c r="D2282" t="s">
        <v>1738</v>
      </c>
      <c r="E2282" t="s">
        <v>2310</v>
      </c>
      <c r="F2282" t="s">
        <v>24</v>
      </c>
      <c r="G2282" t="s">
        <v>51</v>
      </c>
      <c r="H2282" t="s">
        <v>26</v>
      </c>
      <c r="I2282" t="s">
        <v>36</v>
      </c>
      <c r="J2282" t="s">
        <v>52</v>
      </c>
      <c r="K2282">
        <v>2</v>
      </c>
      <c r="L2282" s="2">
        <v>92.54</v>
      </c>
      <c r="M2282" s="3">
        <v>0.05</v>
      </c>
      <c r="N2282" t="s">
        <v>29</v>
      </c>
      <c r="O2282" s="2">
        <v>175.83</v>
      </c>
      <c r="P2282" s="2">
        <v>90.84</v>
      </c>
      <c r="Q2282" s="2">
        <v>84.99</v>
      </c>
      <c r="R2282">
        <v>1</v>
      </c>
      <c r="S2282">
        <v>1</v>
      </c>
      <c r="T2282">
        <v>3</v>
      </c>
      <c r="U2282">
        <v>4</v>
      </c>
    </row>
    <row r="2283" spans="1:21" ht="16.5" x14ac:dyDescent="0.3">
      <c r="A2283" t="s">
        <v>2371</v>
      </c>
      <c r="B2283" s="1">
        <v>45634</v>
      </c>
      <c r="C2283">
        <v>2024</v>
      </c>
      <c r="D2283" t="s">
        <v>1738</v>
      </c>
      <c r="E2283" t="s">
        <v>2310</v>
      </c>
      <c r="F2283" t="s">
        <v>24</v>
      </c>
      <c r="G2283" t="s">
        <v>51</v>
      </c>
      <c r="H2283" t="s">
        <v>26</v>
      </c>
      <c r="I2283" t="s">
        <v>84</v>
      </c>
      <c r="J2283" t="s">
        <v>106</v>
      </c>
      <c r="K2283">
        <v>1</v>
      </c>
      <c r="L2283" s="2">
        <v>45.28</v>
      </c>
      <c r="M2283" s="3">
        <v>0.25</v>
      </c>
      <c r="N2283" t="s">
        <v>62</v>
      </c>
      <c r="O2283" s="2">
        <v>33.96</v>
      </c>
      <c r="P2283" s="2">
        <v>32.72</v>
      </c>
      <c r="Q2283" s="2">
        <v>1.24</v>
      </c>
      <c r="R2283">
        <v>1</v>
      </c>
      <c r="S2283">
        <v>1</v>
      </c>
      <c r="T2283">
        <v>4</v>
      </c>
      <c r="U2283">
        <v>3</v>
      </c>
    </row>
    <row r="2284" spans="1:21" ht="16.5" x14ac:dyDescent="0.3">
      <c r="A2284" t="s">
        <v>2372</v>
      </c>
      <c r="B2284" s="1">
        <v>45634</v>
      </c>
      <c r="C2284">
        <v>2024</v>
      </c>
      <c r="D2284" t="s">
        <v>1738</v>
      </c>
      <c r="E2284" t="s">
        <v>2310</v>
      </c>
      <c r="F2284" t="s">
        <v>24</v>
      </c>
      <c r="G2284" t="s">
        <v>25</v>
      </c>
      <c r="H2284" t="s">
        <v>32</v>
      </c>
      <c r="I2284" t="s">
        <v>42</v>
      </c>
      <c r="J2284" t="s">
        <v>54</v>
      </c>
      <c r="K2284">
        <v>1</v>
      </c>
      <c r="L2284" s="2">
        <v>148.05000000000001</v>
      </c>
      <c r="M2284" s="3">
        <v>0.2</v>
      </c>
      <c r="N2284" t="s">
        <v>34</v>
      </c>
      <c r="O2284" s="2">
        <v>118.44</v>
      </c>
      <c r="P2284" s="2">
        <v>99.08</v>
      </c>
      <c r="Q2284" s="2">
        <v>19.36</v>
      </c>
      <c r="R2284">
        <v>1</v>
      </c>
      <c r="S2284">
        <v>0</v>
      </c>
      <c r="T2284">
        <v>5</v>
      </c>
      <c r="U2284">
        <v>3</v>
      </c>
    </row>
    <row r="2285" spans="1:21" ht="16.5" x14ac:dyDescent="0.3">
      <c r="A2285" t="s">
        <v>2373</v>
      </c>
      <c r="B2285" s="1">
        <v>45634</v>
      </c>
      <c r="C2285">
        <v>2024</v>
      </c>
      <c r="D2285" t="s">
        <v>1738</v>
      </c>
      <c r="E2285" t="s">
        <v>2310</v>
      </c>
      <c r="F2285" t="s">
        <v>31</v>
      </c>
      <c r="G2285" t="s">
        <v>51</v>
      </c>
      <c r="H2285" t="s">
        <v>32</v>
      </c>
      <c r="I2285" t="s">
        <v>27</v>
      </c>
      <c r="J2285" t="s">
        <v>110</v>
      </c>
      <c r="K2285">
        <v>4</v>
      </c>
      <c r="L2285" s="2">
        <v>19.41</v>
      </c>
      <c r="M2285" s="3">
        <v>0.2</v>
      </c>
      <c r="N2285" t="s">
        <v>34</v>
      </c>
      <c r="O2285" s="2">
        <v>62.11</v>
      </c>
      <c r="P2285" s="2">
        <v>42.31</v>
      </c>
      <c r="Q2285" s="2">
        <v>19.8</v>
      </c>
      <c r="R2285">
        <v>1</v>
      </c>
      <c r="S2285">
        <v>0</v>
      </c>
      <c r="T2285">
        <v>3</v>
      </c>
      <c r="U2285">
        <v>5</v>
      </c>
    </row>
    <row r="2286" spans="1:21" ht="16.5" x14ac:dyDescent="0.3">
      <c r="A2286" t="s">
        <v>2374</v>
      </c>
      <c r="B2286" s="1">
        <v>45634</v>
      </c>
      <c r="C2286">
        <v>2024</v>
      </c>
      <c r="D2286" t="s">
        <v>1738</v>
      </c>
      <c r="E2286" t="s">
        <v>2310</v>
      </c>
      <c r="F2286" t="s">
        <v>45</v>
      </c>
      <c r="G2286" t="s">
        <v>46</v>
      </c>
      <c r="H2286" t="s">
        <v>26</v>
      </c>
      <c r="I2286" t="s">
        <v>36</v>
      </c>
      <c r="J2286" t="s">
        <v>56</v>
      </c>
      <c r="K2286">
        <v>1</v>
      </c>
      <c r="L2286" s="2">
        <v>74.3</v>
      </c>
      <c r="M2286" s="3">
        <v>0.1</v>
      </c>
      <c r="N2286" t="s">
        <v>29</v>
      </c>
      <c r="O2286" s="2">
        <v>66.87</v>
      </c>
      <c r="P2286" s="2">
        <v>36.35</v>
      </c>
      <c r="Q2286" s="2">
        <v>30.52</v>
      </c>
      <c r="R2286">
        <v>1</v>
      </c>
      <c r="S2286">
        <v>0</v>
      </c>
      <c r="T2286">
        <v>6</v>
      </c>
      <c r="U2286">
        <v>2</v>
      </c>
    </row>
    <row r="2287" spans="1:21" ht="16.5" x14ac:dyDescent="0.3">
      <c r="A2287" t="s">
        <v>2375</v>
      </c>
      <c r="B2287" s="1">
        <v>45635</v>
      </c>
      <c r="C2287">
        <v>2024</v>
      </c>
      <c r="D2287" t="s">
        <v>1738</v>
      </c>
      <c r="E2287" t="s">
        <v>2310</v>
      </c>
      <c r="F2287" t="s">
        <v>31</v>
      </c>
      <c r="G2287" t="s">
        <v>25</v>
      </c>
      <c r="H2287" t="s">
        <v>32</v>
      </c>
      <c r="I2287" t="s">
        <v>67</v>
      </c>
      <c r="J2287" t="s">
        <v>78</v>
      </c>
      <c r="K2287">
        <v>1</v>
      </c>
      <c r="L2287" s="2">
        <v>85.42</v>
      </c>
      <c r="M2287" s="3">
        <v>0.2</v>
      </c>
      <c r="N2287" t="s">
        <v>34</v>
      </c>
      <c r="O2287" s="2">
        <v>68.34</v>
      </c>
      <c r="P2287" s="2">
        <v>60.27</v>
      </c>
      <c r="Q2287" s="2">
        <v>8.07</v>
      </c>
      <c r="R2287">
        <v>1</v>
      </c>
      <c r="S2287">
        <v>0</v>
      </c>
      <c r="T2287">
        <v>5</v>
      </c>
      <c r="U2287">
        <v>5</v>
      </c>
    </row>
    <row r="2288" spans="1:21" ht="16.5" x14ac:dyDescent="0.3">
      <c r="A2288" t="s">
        <v>2376</v>
      </c>
      <c r="B2288" s="1">
        <v>45635</v>
      </c>
      <c r="C2288">
        <v>2024</v>
      </c>
      <c r="D2288" t="s">
        <v>1738</v>
      </c>
      <c r="E2288" t="s">
        <v>2310</v>
      </c>
      <c r="F2288" t="s">
        <v>31</v>
      </c>
      <c r="G2288" t="s">
        <v>51</v>
      </c>
      <c r="H2288" t="s">
        <v>26</v>
      </c>
      <c r="I2288" t="s">
        <v>70</v>
      </c>
      <c r="J2288" t="s">
        <v>71</v>
      </c>
      <c r="K2288">
        <v>1</v>
      </c>
      <c r="L2288" s="2">
        <v>588.41</v>
      </c>
      <c r="M2288" s="3">
        <v>0.15</v>
      </c>
      <c r="N2288" t="s">
        <v>34</v>
      </c>
      <c r="O2288" s="2">
        <v>500.15</v>
      </c>
      <c r="P2288" s="2">
        <v>492.57</v>
      </c>
      <c r="Q2288" s="2">
        <v>7.58</v>
      </c>
      <c r="R2288">
        <v>1</v>
      </c>
      <c r="S2288">
        <v>0</v>
      </c>
      <c r="T2288">
        <v>5</v>
      </c>
      <c r="U2288">
        <v>5</v>
      </c>
    </row>
    <row r="2289" spans="1:21" ht="16.5" x14ac:dyDescent="0.3">
      <c r="A2289" t="s">
        <v>2377</v>
      </c>
      <c r="B2289" s="1">
        <v>45635</v>
      </c>
      <c r="C2289">
        <v>2024</v>
      </c>
      <c r="D2289" t="s">
        <v>1738</v>
      </c>
      <c r="E2289" t="s">
        <v>2310</v>
      </c>
      <c r="F2289" t="s">
        <v>31</v>
      </c>
      <c r="G2289" t="s">
        <v>46</v>
      </c>
      <c r="H2289" t="s">
        <v>32</v>
      </c>
      <c r="I2289" t="s">
        <v>42</v>
      </c>
      <c r="J2289" t="s">
        <v>98</v>
      </c>
      <c r="K2289">
        <v>1</v>
      </c>
      <c r="L2289" s="2">
        <v>117.63</v>
      </c>
      <c r="M2289" s="3">
        <v>0.25</v>
      </c>
      <c r="N2289" t="s">
        <v>62</v>
      </c>
      <c r="O2289" s="2">
        <v>88.22</v>
      </c>
      <c r="P2289" s="2">
        <v>78.930000000000007</v>
      </c>
      <c r="Q2289" s="2">
        <v>9.2899999999999991</v>
      </c>
      <c r="R2289">
        <v>1</v>
      </c>
      <c r="S2289">
        <v>0</v>
      </c>
      <c r="T2289">
        <v>7</v>
      </c>
      <c r="U2289">
        <v>4</v>
      </c>
    </row>
    <row r="2290" spans="1:21" ht="16.5" x14ac:dyDescent="0.3">
      <c r="A2290" t="s">
        <v>2378</v>
      </c>
      <c r="B2290" s="1">
        <v>45635</v>
      </c>
      <c r="C2290">
        <v>2024</v>
      </c>
      <c r="D2290" t="s">
        <v>1738</v>
      </c>
      <c r="E2290" t="s">
        <v>2310</v>
      </c>
      <c r="F2290" t="s">
        <v>24</v>
      </c>
      <c r="G2290" t="s">
        <v>25</v>
      </c>
      <c r="H2290" t="s">
        <v>32</v>
      </c>
      <c r="I2290" t="s">
        <v>42</v>
      </c>
      <c r="J2290" t="s">
        <v>98</v>
      </c>
      <c r="K2290">
        <v>2</v>
      </c>
      <c r="L2290" s="2">
        <v>117.63</v>
      </c>
      <c r="M2290" s="3">
        <v>0.1</v>
      </c>
      <c r="N2290" t="s">
        <v>29</v>
      </c>
      <c r="O2290" s="2">
        <v>211.73</v>
      </c>
      <c r="P2290" s="2">
        <v>156.4</v>
      </c>
      <c r="Q2290" s="2">
        <v>55.33</v>
      </c>
      <c r="R2290">
        <v>1</v>
      </c>
      <c r="S2290">
        <v>0</v>
      </c>
      <c r="T2290">
        <v>5</v>
      </c>
      <c r="U2290">
        <v>4</v>
      </c>
    </row>
    <row r="2291" spans="1:21" ht="16.5" x14ac:dyDescent="0.3">
      <c r="A2291" t="s">
        <v>2379</v>
      </c>
      <c r="B2291" s="1">
        <v>45635</v>
      </c>
      <c r="C2291">
        <v>2024</v>
      </c>
      <c r="D2291" t="s">
        <v>1738</v>
      </c>
      <c r="E2291" t="s">
        <v>2310</v>
      </c>
      <c r="F2291" t="s">
        <v>24</v>
      </c>
      <c r="G2291" t="s">
        <v>51</v>
      </c>
      <c r="H2291" t="s">
        <v>26</v>
      </c>
      <c r="I2291" t="s">
        <v>42</v>
      </c>
      <c r="J2291" t="s">
        <v>98</v>
      </c>
      <c r="K2291">
        <v>1</v>
      </c>
      <c r="L2291" s="2">
        <v>117.63</v>
      </c>
      <c r="M2291" s="3">
        <v>0.25</v>
      </c>
      <c r="N2291" t="s">
        <v>62</v>
      </c>
      <c r="O2291" s="2">
        <v>88.22</v>
      </c>
      <c r="P2291" s="2">
        <v>78.8</v>
      </c>
      <c r="Q2291" s="2">
        <v>9.42</v>
      </c>
      <c r="R2291">
        <v>1</v>
      </c>
      <c r="S2291">
        <v>0</v>
      </c>
      <c r="T2291">
        <v>3</v>
      </c>
      <c r="U2291">
        <v>5</v>
      </c>
    </row>
    <row r="2292" spans="1:21" ht="16.5" x14ac:dyDescent="0.3">
      <c r="A2292" t="s">
        <v>2380</v>
      </c>
      <c r="B2292" s="1">
        <v>45635</v>
      </c>
      <c r="C2292">
        <v>2024</v>
      </c>
      <c r="D2292" t="s">
        <v>1738</v>
      </c>
      <c r="E2292" t="s">
        <v>2310</v>
      </c>
      <c r="F2292" t="s">
        <v>24</v>
      </c>
      <c r="G2292" t="s">
        <v>51</v>
      </c>
      <c r="H2292" t="s">
        <v>32</v>
      </c>
      <c r="I2292" t="s">
        <v>36</v>
      </c>
      <c r="J2292" t="s">
        <v>52</v>
      </c>
      <c r="K2292">
        <v>1</v>
      </c>
      <c r="L2292" s="2">
        <v>92.54</v>
      </c>
      <c r="M2292" s="3">
        <v>0.1</v>
      </c>
      <c r="N2292" t="s">
        <v>29</v>
      </c>
      <c r="O2292" s="2">
        <v>83.29</v>
      </c>
      <c r="P2292" s="2">
        <v>45.55</v>
      </c>
      <c r="Q2292" s="2">
        <v>37.74</v>
      </c>
      <c r="R2292">
        <v>1</v>
      </c>
      <c r="S2292">
        <v>0</v>
      </c>
      <c r="T2292">
        <v>4</v>
      </c>
      <c r="U2292">
        <v>4</v>
      </c>
    </row>
    <row r="2293" spans="1:21" ht="16.5" x14ac:dyDescent="0.3">
      <c r="A2293" t="s">
        <v>2381</v>
      </c>
      <c r="B2293" s="1">
        <v>45635</v>
      </c>
      <c r="C2293">
        <v>2024</v>
      </c>
      <c r="D2293" t="s">
        <v>1738</v>
      </c>
      <c r="E2293" t="s">
        <v>2310</v>
      </c>
      <c r="F2293" t="s">
        <v>24</v>
      </c>
      <c r="G2293" t="s">
        <v>25</v>
      </c>
      <c r="H2293" t="s">
        <v>26</v>
      </c>
      <c r="I2293" t="s">
        <v>67</v>
      </c>
      <c r="J2293" t="s">
        <v>78</v>
      </c>
      <c r="K2293">
        <v>1</v>
      </c>
      <c r="L2293" s="2">
        <v>85.42</v>
      </c>
      <c r="M2293" s="3">
        <v>0.25</v>
      </c>
      <c r="N2293" t="s">
        <v>62</v>
      </c>
      <c r="O2293" s="2">
        <v>64.06</v>
      </c>
      <c r="P2293" s="2">
        <v>57.56</v>
      </c>
      <c r="Q2293" s="2">
        <v>6.5</v>
      </c>
      <c r="R2293">
        <v>1</v>
      </c>
      <c r="S2293">
        <v>0</v>
      </c>
      <c r="T2293">
        <v>5</v>
      </c>
      <c r="U2293">
        <v>4</v>
      </c>
    </row>
    <row r="2294" spans="1:21" ht="16.5" x14ac:dyDescent="0.3">
      <c r="A2294" t="s">
        <v>2382</v>
      </c>
      <c r="B2294" s="1">
        <v>45636</v>
      </c>
      <c r="C2294">
        <v>2024</v>
      </c>
      <c r="D2294" t="s">
        <v>1738</v>
      </c>
      <c r="E2294" t="s">
        <v>2310</v>
      </c>
      <c r="F2294" t="s">
        <v>31</v>
      </c>
      <c r="G2294" t="s">
        <v>25</v>
      </c>
      <c r="H2294" t="s">
        <v>32</v>
      </c>
      <c r="I2294" t="s">
        <v>84</v>
      </c>
      <c r="J2294" t="s">
        <v>85</v>
      </c>
      <c r="K2294">
        <v>1</v>
      </c>
      <c r="L2294" s="2">
        <v>57.92</v>
      </c>
      <c r="M2294" s="3">
        <v>0</v>
      </c>
      <c r="N2294" t="s">
        <v>38</v>
      </c>
      <c r="O2294" s="2">
        <v>57.92</v>
      </c>
      <c r="P2294" s="2">
        <v>39.1</v>
      </c>
      <c r="Q2294" s="2">
        <v>18.82</v>
      </c>
      <c r="R2294">
        <v>1</v>
      </c>
      <c r="S2294">
        <v>0</v>
      </c>
      <c r="T2294">
        <v>5</v>
      </c>
      <c r="U2294">
        <v>5</v>
      </c>
    </row>
    <row r="2295" spans="1:21" ht="16.5" x14ac:dyDescent="0.3">
      <c r="A2295" t="s">
        <v>2383</v>
      </c>
      <c r="B2295" s="1">
        <v>45636</v>
      </c>
      <c r="C2295">
        <v>2024</v>
      </c>
      <c r="D2295" t="s">
        <v>1738</v>
      </c>
      <c r="E2295" t="s">
        <v>2310</v>
      </c>
      <c r="F2295" t="s">
        <v>24</v>
      </c>
      <c r="G2295" t="s">
        <v>49</v>
      </c>
      <c r="H2295" t="s">
        <v>32</v>
      </c>
      <c r="I2295" t="s">
        <v>70</v>
      </c>
      <c r="J2295" t="s">
        <v>162</v>
      </c>
      <c r="K2295">
        <v>1</v>
      </c>
      <c r="L2295" s="2">
        <v>636.09</v>
      </c>
      <c r="M2295" s="3">
        <v>0.25</v>
      </c>
      <c r="N2295" t="s">
        <v>62</v>
      </c>
      <c r="O2295" s="2">
        <v>477.07</v>
      </c>
      <c r="P2295" s="2">
        <v>503.29</v>
      </c>
      <c r="Q2295" s="2">
        <v>-26.22</v>
      </c>
      <c r="R2295">
        <v>1</v>
      </c>
      <c r="S2295">
        <v>0</v>
      </c>
      <c r="T2295">
        <v>7</v>
      </c>
      <c r="U2295">
        <v>3</v>
      </c>
    </row>
    <row r="2296" spans="1:21" ht="16.5" x14ac:dyDescent="0.3">
      <c r="A2296" t="s">
        <v>2384</v>
      </c>
      <c r="B2296" s="1">
        <v>45636</v>
      </c>
      <c r="C2296">
        <v>2024</v>
      </c>
      <c r="D2296" t="s">
        <v>1738</v>
      </c>
      <c r="E2296" t="s">
        <v>2310</v>
      </c>
      <c r="F2296" t="s">
        <v>24</v>
      </c>
      <c r="G2296" t="s">
        <v>49</v>
      </c>
      <c r="H2296" t="s">
        <v>32</v>
      </c>
      <c r="I2296" t="s">
        <v>27</v>
      </c>
      <c r="J2296" t="s">
        <v>60</v>
      </c>
      <c r="K2296">
        <v>1</v>
      </c>
      <c r="L2296" s="2">
        <v>94.85</v>
      </c>
      <c r="M2296" s="3">
        <v>0</v>
      </c>
      <c r="N2296" t="s">
        <v>38</v>
      </c>
      <c r="O2296" s="2">
        <v>94.85</v>
      </c>
      <c r="P2296" s="2">
        <v>51.11</v>
      </c>
      <c r="Q2296" s="2">
        <v>43.74</v>
      </c>
      <c r="R2296">
        <v>1</v>
      </c>
      <c r="S2296">
        <v>0</v>
      </c>
      <c r="T2296">
        <v>4</v>
      </c>
      <c r="U2296">
        <v>5</v>
      </c>
    </row>
    <row r="2297" spans="1:21" ht="16.5" x14ac:dyDescent="0.3">
      <c r="A2297" t="s">
        <v>2385</v>
      </c>
      <c r="B2297" s="1">
        <v>45636</v>
      </c>
      <c r="C2297">
        <v>2024</v>
      </c>
      <c r="D2297" t="s">
        <v>1738</v>
      </c>
      <c r="E2297" t="s">
        <v>2310</v>
      </c>
      <c r="F2297" t="s">
        <v>45</v>
      </c>
      <c r="G2297" t="s">
        <v>65</v>
      </c>
      <c r="H2297" t="s">
        <v>32</v>
      </c>
      <c r="I2297" t="s">
        <v>70</v>
      </c>
      <c r="J2297" t="s">
        <v>129</v>
      </c>
      <c r="K2297">
        <v>4</v>
      </c>
      <c r="L2297" s="2">
        <v>177.65</v>
      </c>
      <c r="M2297" s="3">
        <v>0.05</v>
      </c>
      <c r="N2297" t="s">
        <v>29</v>
      </c>
      <c r="O2297" s="2">
        <v>675.07</v>
      </c>
      <c r="P2297" s="2">
        <v>564.80999999999995</v>
      </c>
      <c r="Q2297" s="2">
        <v>110.26</v>
      </c>
      <c r="R2297">
        <v>1</v>
      </c>
      <c r="S2297">
        <v>0</v>
      </c>
      <c r="T2297">
        <v>6</v>
      </c>
      <c r="U2297">
        <v>3</v>
      </c>
    </row>
    <row r="2298" spans="1:21" ht="16.5" x14ac:dyDescent="0.3">
      <c r="A2298" t="s">
        <v>2386</v>
      </c>
      <c r="B2298" s="1">
        <v>45636</v>
      </c>
      <c r="C2298">
        <v>2024</v>
      </c>
      <c r="D2298" t="s">
        <v>1738</v>
      </c>
      <c r="E2298" t="s">
        <v>2310</v>
      </c>
      <c r="F2298" t="s">
        <v>24</v>
      </c>
      <c r="G2298" t="s">
        <v>51</v>
      </c>
      <c r="H2298" t="s">
        <v>32</v>
      </c>
      <c r="I2298" t="s">
        <v>84</v>
      </c>
      <c r="J2298" t="s">
        <v>96</v>
      </c>
      <c r="K2298">
        <v>1</v>
      </c>
      <c r="L2298" s="2">
        <v>10.76</v>
      </c>
      <c r="M2298" s="3">
        <v>0.3</v>
      </c>
      <c r="N2298" t="s">
        <v>62</v>
      </c>
      <c r="O2298" s="2">
        <v>7.53</v>
      </c>
      <c r="P2298" s="2">
        <v>7.77</v>
      </c>
      <c r="Q2298" s="2">
        <v>-0.24</v>
      </c>
      <c r="R2298">
        <v>1</v>
      </c>
      <c r="S2298">
        <v>0</v>
      </c>
      <c r="T2298">
        <v>4</v>
      </c>
      <c r="U2298">
        <v>5</v>
      </c>
    </row>
    <row r="2299" spans="1:21" ht="16.5" x14ac:dyDescent="0.3">
      <c r="A2299" t="s">
        <v>2387</v>
      </c>
      <c r="B2299" s="1">
        <v>45636</v>
      </c>
      <c r="C2299">
        <v>2024</v>
      </c>
      <c r="D2299" t="s">
        <v>1738</v>
      </c>
      <c r="E2299" t="s">
        <v>2310</v>
      </c>
      <c r="F2299" t="s">
        <v>31</v>
      </c>
      <c r="G2299" t="s">
        <v>25</v>
      </c>
      <c r="H2299" t="s">
        <v>32</v>
      </c>
      <c r="I2299" t="s">
        <v>27</v>
      </c>
      <c r="J2299" t="s">
        <v>33</v>
      </c>
      <c r="K2299">
        <v>1</v>
      </c>
      <c r="L2299" s="2">
        <v>78.510000000000005</v>
      </c>
      <c r="M2299" s="3">
        <v>0.15</v>
      </c>
      <c r="N2299" t="s">
        <v>34</v>
      </c>
      <c r="O2299" s="2">
        <v>66.73</v>
      </c>
      <c r="P2299" s="2">
        <v>41.33</v>
      </c>
      <c r="Q2299" s="2">
        <v>25.4</v>
      </c>
      <c r="R2299">
        <v>1</v>
      </c>
      <c r="S2299">
        <v>0</v>
      </c>
      <c r="T2299">
        <v>6</v>
      </c>
      <c r="U2299">
        <v>3</v>
      </c>
    </row>
    <row r="2300" spans="1:21" ht="16.5" x14ac:dyDescent="0.3">
      <c r="A2300" t="s">
        <v>2388</v>
      </c>
      <c r="B2300" s="1">
        <v>45636</v>
      </c>
      <c r="C2300">
        <v>2024</v>
      </c>
      <c r="D2300" t="s">
        <v>1738</v>
      </c>
      <c r="E2300" t="s">
        <v>2310</v>
      </c>
      <c r="F2300" t="s">
        <v>24</v>
      </c>
      <c r="G2300" t="s">
        <v>25</v>
      </c>
      <c r="H2300" t="s">
        <v>32</v>
      </c>
      <c r="I2300" t="s">
        <v>27</v>
      </c>
      <c r="J2300" t="s">
        <v>60</v>
      </c>
      <c r="K2300">
        <v>1</v>
      </c>
      <c r="L2300" s="2">
        <v>94.85</v>
      </c>
      <c r="M2300" s="3">
        <v>0.05</v>
      </c>
      <c r="N2300" t="s">
        <v>29</v>
      </c>
      <c r="O2300" s="2">
        <v>90.11</v>
      </c>
      <c r="P2300" s="2">
        <v>50.21</v>
      </c>
      <c r="Q2300" s="2">
        <v>39.9</v>
      </c>
      <c r="R2300">
        <v>1</v>
      </c>
      <c r="S2300">
        <v>0</v>
      </c>
      <c r="T2300">
        <v>4</v>
      </c>
      <c r="U2300">
        <v>4</v>
      </c>
    </row>
    <row r="2301" spans="1:21" ht="16.5" x14ac:dyDescent="0.3">
      <c r="A2301" t="s">
        <v>2389</v>
      </c>
      <c r="B2301" s="1">
        <v>45636</v>
      </c>
      <c r="C2301">
        <v>2024</v>
      </c>
      <c r="D2301" t="s">
        <v>1738</v>
      </c>
      <c r="E2301" t="s">
        <v>2310</v>
      </c>
      <c r="F2301" t="s">
        <v>31</v>
      </c>
      <c r="G2301" t="s">
        <v>51</v>
      </c>
      <c r="H2301" t="s">
        <v>26</v>
      </c>
      <c r="I2301" t="s">
        <v>42</v>
      </c>
      <c r="J2301" t="s">
        <v>89</v>
      </c>
      <c r="K2301">
        <v>2</v>
      </c>
      <c r="L2301" s="2">
        <v>68.349999999999994</v>
      </c>
      <c r="M2301" s="3">
        <v>0</v>
      </c>
      <c r="N2301" t="s">
        <v>38</v>
      </c>
      <c r="O2301" s="2">
        <v>136.69999999999999</v>
      </c>
      <c r="P2301" s="2">
        <v>92.53</v>
      </c>
      <c r="Q2301" s="2">
        <v>44.17</v>
      </c>
      <c r="R2301">
        <v>1</v>
      </c>
      <c r="S2301">
        <v>0</v>
      </c>
      <c r="T2301">
        <v>5</v>
      </c>
      <c r="U2301">
        <v>4</v>
      </c>
    </row>
    <row r="2302" spans="1:21" ht="16.5" x14ac:dyDescent="0.3">
      <c r="A2302" t="s">
        <v>2390</v>
      </c>
      <c r="B2302" s="1">
        <v>45637</v>
      </c>
      <c r="C2302">
        <v>2024</v>
      </c>
      <c r="D2302" t="s">
        <v>1738</v>
      </c>
      <c r="E2302" t="s">
        <v>2310</v>
      </c>
      <c r="F2302" t="s">
        <v>24</v>
      </c>
      <c r="G2302" t="s">
        <v>25</v>
      </c>
      <c r="H2302" t="s">
        <v>26</v>
      </c>
      <c r="I2302" t="s">
        <v>67</v>
      </c>
      <c r="J2302" t="s">
        <v>103</v>
      </c>
      <c r="K2302">
        <v>2</v>
      </c>
      <c r="L2302" s="2">
        <v>83.06</v>
      </c>
      <c r="M2302" s="3">
        <v>0.1</v>
      </c>
      <c r="N2302" t="s">
        <v>29</v>
      </c>
      <c r="O2302" s="2">
        <v>149.51</v>
      </c>
      <c r="P2302" s="2">
        <v>103.39</v>
      </c>
      <c r="Q2302" s="2">
        <v>46.12</v>
      </c>
      <c r="R2302">
        <v>1</v>
      </c>
      <c r="S2302">
        <v>0</v>
      </c>
      <c r="T2302">
        <v>5</v>
      </c>
      <c r="U2302">
        <v>4</v>
      </c>
    </row>
    <row r="2303" spans="1:21" ht="16.5" x14ac:dyDescent="0.3">
      <c r="A2303" t="s">
        <v>2391</v>
      </c>
      <c r="B2303" s="1">
        <v>45637</v>
      </c>
      <c r="C2303">
        <v>2024</v>
      </c>
      <c r="D2303" t="s">
        <v>1738</v>
      </c>
      <c r="E2303" t="s">
        <v>2310</v>
      </c>
      <c r="F2303" t="s">
        <v>45</v>
      </c>
      <c r="G2303" t="s">
        <v>51</v>
      </c>
      <c r="H2303" t="s">
        <v>32</v>
      </c>
      <c r="I2303" t="s">
        <v>42</v>
      </c>
      <c r="J2303" t="s">
        <v>76</v>
      </c>
      <c r="K2303">
        <v>1</v>
      </c>
      <c r="L2303" s="2">
        <v>90.75</v>
      </c>
      <c r="M2303" s="3">
        <v>0.05</v>
      </c>
      <c r="N2303" t="s">
        <v>29</v>
      </c>
      <c r="O2303" s="2">
        <v>86.21</v>
      </c>
      <c r="P2303" s="2">
        <v>57.97</v>
      </c>
      <c r="Q2303" s="2">
        <v>28.24</v>
      </c>
      <c r="R2303">
        <v>1</v>
      </c>
      <c r="S2303">
        <v>0</v>
      </c>
      <c r="T2303">
        <v>4</v>
      </c>
      <c r="U2303">
        <v>5</v>
      </c>
    </row>
    <row r="2304" spans="1:21" ht="16.5" x14ac:dyDescent="0.3">
      <c r="A2304" t="s">
        <v>2392</v>
      </c>
      <c r="B2304" s="1">
        <v>45637</v>
      </c>
      <c r="C2304">
        <v>2024</v>
      </c>
      <c r="D2304" t="s">
        <v>1738</v>
      </c>
      <c r="E2304" t="s">
        <v>2310</v>
      </c>
      <c r="F2304" t="s">
        <v>24</v>
      </c>
      <c r="G2304" t="s">
        <v>25</v>
      </c>
      <c r="H2304" t="s">
        <v>32</v>
      </c>
      <c r="I2304" t="s">
        <v>70</v>
      </c>
      <c r="J2304" t="s">
        <v>129</v>
      </c>
      <c r="K2304">
        <v>2</v>
      </c>
      <c r="L2304" s="2">
        <v>177.65</v>
      </c>
      <c r="M2304" s="3">
        <v>0.05</v>
      </c>
      <c r="N2304" t="s">
        <v>29</v>
      </c>
      <c r="O2304" s="2">
        <v>337.54</v>
      </c>
      <c r="P2304" s="2">
        <v>281.95</v>
      </c>
      <c r="Q2304" s="2">
        <v>55.59</v>
      </c>
      <c r="R2304">
        <v>1</v>
      </c>
      <c r="S2304">
        <v>0</v>
      </c>
      <c r="T2304">
        <v>4</v>
      </c>
      <c r="U2304">
        <v>5</v>
      </c>
    </row>
    <row r="2305" spans="1:21" ht="16.5" x14ac:dyDescent="0.3">
      <c r="A2305" t="s">
        <v>2393</v>
      </c>
      <c r="B2305" s="1">
        <v>45637</v>
      </c>
      <c r="C2305">
        <v>2024</v>
      </c>
      <c r="D2305" t="s">
        <v>1738</v>
      </c>
      <c r="E2305" t="s">
        <v>2310</v>
      </c>
      <c r="F2305" t="s">
        <v>31</v>
      </c>
      <c r="G2305" t="s">
        <v>46</v>
      </c>
      <c r="H2305" t="s">
        <v>32</v>
      </c>
      <c r="I2305" t="s">
        <v>67</v>
      </c>
      <c r="J2305" t="s">
        <v>68</v>
      </c>
      <c r="K2305">
        <v>1</v>
      </c>
      <c r="L2305" s="2">
        <v>74.459999999999994</v>
      </c>
      <c r="M2305" s="3">
        <v>0.3</v>
      </c>
      <c r="N2305" t="s">
        <v>62</v>
      </c>
      <c r="O2305" s="2">
        <v>52.12</v>
      </c>
      <c r="P2305" s="2">
        <v>50.6</v>
      </c>
      <c r="Q2305" s="2">
        <v>1.52</v>
      </c>
      <c r="R2305">
        <v>1</v>
      </c>
      <c r="S2305">
        <v>0</v>
      </c>
      <c r="T2305">
        <v>9</v>
      </c>
      <c r="U2305">
        <v>3</v>
      </c>
    </row>
    <row r="2306" spans="1:21" ht="16.5" x14ac:dyDescent="0.3">
      <c r="A2306" t="s">
        <v>2394</v>
      </c>
      <c r="B2306" s="1">
        <v>45637</v>
      </c>
      <c r="C2306">
        <v>2024</v>
      </c>
      <c r="D2306" t="s">
        <v>1738</v>
      </c>
      <c r="E2306" t="s">
        <v>2310</v>
      </c>
      <c r="F2306" t="s">
        <v>24</v>
      </c>
      <c r="G2306" t="s">
        <v>51</v>
      </c>
      <c r="H2306" t="s">
        <v>32</v>
      </c>
      <c r="I2306" t="s">
        <v>70</v>
      </c>
      <c r="J2306" t="s">
        <v>252</v>
      </c>
      <c r="K2306">
        <v>4</v>
      </c>
      <c r="L2306" s="2">
        <v>216.08</v>
      </c>
      <c r="M2306" s="3">
        <v>0.2</v>
      </c>
      <c r="N2306" t="s">
        <v>34</v>
      </c>
      <c r="O2306" s="2">
        <v>691.46</v>
      </c>
      <c r="P2306" s="2">
        <v>677.75</v>
      </c>
      <c r="Q2306" s="2">
        <v>13.71</v>
      </c>
      <c r="R2306">
        <v>1</v>
      </c>
      <c r="S2306">
        <v>0</v>
      </c>
      <c r="T2306">
        <v>5</v>
      </c>
      <c r="U2306">
        <v>4</v>
      </c>
    </row>
    <row r="2307" spans="1:21" ht="16.5" x14ac:dyDescent="0.3">
      <c r="A2307" t="s">
        <v>2395</v>
      </c>
      <c r="B2307" s="1">
        <v>45638</v>
      </c>
      <c r="C2307">
        <v>2024</v>
      </c>
      <c r="D2307" t="s">
        <v>1738</v>
      </c>
      <c r="E2307" t="s">
        <v>2310</v>
      </c>
      <c r="F2307" t="s">
        <v>31</v>
      </c>
      <c r="G2307" t="s">
        <v>46</v>
      </c>
      <c r="H2307" t="s">
        <v>26</v>
      </c>
      <c r="I2307" t="s">
        <v>42</v>
      </c>
      <c r="J2307" t="s">
        <v>54</v>
      </c>
      <c r="K2307">
        <v>2</v>
      </c>
      <c r="L2307" s="2">
        <v>148.05000000000001</v>
      </c>
      <c r="M2307" s="3">
        <v>0.15</v>
      </c>
      <c r="N2307" t="s">
        <v>34</v>
      </c>
      <c r="O2307" s="2">
        <v>251.68</v>
      </c>
      <c r="P2307" s="2">
        <v>198.88</v>
      </c>
      <c r="Q2307" s="2">
        <v>52.8</v>
      </c>
      <c r="R2307">
        <v>1</v>
      </c>
      <c r="S2307">
        <v>0</v>
      </c>
      <c r="T2307">
        <v>6</v>
      </c>
      <c r="U2307">
        <v>4</v>
      </c>
    </row>
    <row r="2308" spans="1:21" ht="16.5" x14ac:dyDescent="0.3">
      <c r="A2308" t="s">
        <v>2396</v>
      </c>
      <c r="B2308" s="1">
        <v>45638</v>
      </c>
      <c r="C2308">
        <v>2024</v>
      </c>
      <c r="D2308" t="s">
        <v>1738</v>
      </c>
      <c r="E2308" t="s">
        <v>2310</v>
      </c>
      <c r="F2308" t="s">
        <v>31</v>
      </c>
      <c r="G2308" t="s">
        <v>25</v>
      </c>
      <c r="H2308" t="s">
        <v>32</v>
      </c>
      <c r="I2308" t="s">
        <v>84</v>
      </c>
      <c r="J2308" t="s">
        <v>96</v>
      </c>
      <c r="K2308">
        <v>1</v>
      </c>
      <c r="L2308" s="2">
        <v>10.76</v>
      </c>
      <c r="M2308" s="3">
        <v>0.25</v>
      </c>
      <c r="N2308" t="s">
        <v>62</v>
      </c>
      <c r="O2308" s="2">
        <v>8.07</v>
      </c>
      <c r="P2308" s="2">
        <v>8.1</v>
      </c>
      <c r="Q2308" s="2">
        <v>-0.03</v>
      </c>
      <c r="R2308">
        <v>1</v>
      </c>
      <c r="S2308">
        <v>0</v>
      </c>
      <c r="T2308">
        <v>4</v>
      </c>
      <c r="U2308">
        <v>4</v>
      </c>
    </row>
    <row r="2309" spans="1:21" ht="16.5" x14ac:dyDescent="0.3">
      <c r="A2309" t="s">
        <v>2397</v>
      </c>
      <c r="B2309" s="1">
        <v>45638</v>
      </c>
      <c r="C2309">
        <v>2024</v>
      </c>
      <c r="D2309" t="s">
        <v>1738</v>
      </c>
      <c r="E2309" t="s">
        <v>2310</v>
      </c>
      <c r="F2309" t="s">
        <v>24</v>
      </c>
      <c r="G2309" t="s">
        <v>46</v>
      </c>
      <c r="H2309" t="s">
        <v>32</v>
      </c>
      <c r="I2309" t="s">
        <v>36</v>
      </c>
      <c r="J2309" t="s">
        <v>56</v>
      </c>
      <c r="K2309">
        <v>1</v>
      </c>
      <c r="L2309" s="2">
        <v>74.3</v>
      </c>
      <c r="M2309" s="3">
        <v>0.25</v>
      </c>
      <c r="N2309" t="s">
        <v>62</v>
      </c>
      <c r="O2309" s="2">
        <v>55.72</v>
      </c>
      <c r="P2309" s="2">
        <v>34.22</v>
      </c>
      <c r="Q2309" s="2">
        <v>21.5</v>
      </c>
      <c r="R2309">
        <v>1</v>
      </c>
      <c r="S2309">
        <v>0</v>
      </c>
      <c r="T2309">
        <v>7</v>
      </c>
      <c r="U2309">
        <v>4</v>
      </c>
    </row>
    <row r="2310" spans="1:21" ht="16.5" x14ac:dyDescent="0.3">
      <c r="A2310" t="s">
        <v>2398</v>
      </c>
      <c r="B2310" s="1">
        <v>45638</v>
      </c>
      <c r="C2310">
        <v>2024</v>
      </c>
      <c r="D2310" t="s">
        <v>1738</v>
      </c>
      <c r="E2310" t="s">
        <v>2310</v>
      </c>
      <c r="F2310" t="s">
        <v>31</v>
      </c>
      <c r="G2310" t="s">
        <v>25</v>
      </c>
      <c r="H2310" t="s">
        <v>32</v>
      </c>
      <c r="I2310" t="s">
        <v>36</v>
      </c>
      <c r="J2310" t="s">
        <v>37</v>
      </c>
      <c r="K2310">
        <v>1</v>
      </c>
      <c r="L2310" s="2">
        <v>33.18</v>
      </c>
      <c r="M2310" s="3">
        <v>0.05</v>
      </c>
      <c r="N2310" t="s">
        <v>29</v>
      </c>
      <c r="O2310" s="2">
        <v>31.52</v>
      </c>
      <c r="P2310" s="2">
        <v>15.62</v>
      </c>
      <c r="Q2310" s="2">
        <v>15.9</v>
      </c>
      <c r="R2310">
        <v>1</v>
      </c>
      <c r="S2310">
        <v>0</v>
      </c>
      <c r="T2310">
        <v>4</v>
      </c>
      <c r="U2310">
        <v>5</v>
      </c>
    </row>
    <row r="2311" spans="1:21" ht="16.5" x14ac:dyDescent="0.3">
      <c r="A2311" t="s">
        <v>2399</v>
      </c>
      <c r="B2311" s="1">
        <v>45638</v>
      </c>
      <c r="C2311">
        <v>2024</v>
      </c>
      <c r="D2311" t="s">
        <v>1738</v>
      </c>
      <c r="E2311" t="s">
        <v>2310</v>
      </c>
      <c r="F2311" t="s">
        <v>24</v>
      </c>
      <c r="G2311" t="s">
        <v>51</v>
      </c>
      <c r="H2311" t="s">
        <v>32</v>
      </c>
      <c r="I2311" t="s">
        <v>42</v>
      </c>
      <c r="J2311" t="s">
        <v>54</v>
      </c>
      <c r="K2311">
        <v>1</v>
      </c>
      <c r="L2311" s="2">
        <v>148.05000000000001</v>
      </c>
      <c r="M2311" s="3">
        <v>0.1</v>
      </c>
      <c r="N2311" t="s">
        <v>29</v>
      </c>
      <c r="O2311" s="2">
        <v>133.24</v>
      </c>
      <c r="P2311" s="2">
        <v>100</v>
      </c>
      <c r="Q2311" s="2">
        <v>33.24</v>
      </c>
      <c r="R2311">
        <v>1</v>
      </c>
      <c r="S2311">
        <v>0</v>
      </c>
      <c r="T2311">
        <v>3</v>
      </c>
      <c r="U2311">
        <v>5</v>
      </c>
    </row>
    <row r="2312" spans="1:21" ht="16.5" x14ac:dyDescent="0.3">
      <c r="A2312" t="s">
        <v>2400</v>
      </c>
      <c r="B2312" s="1">
        <v>45638</v>
      </c>
      <c r="C2312">
        <v>2024</v>
      </c>
      <c r="D2312" t="s">
        <v>1738</v>
      </c>
      <c r="E2312" t="s">
        <v>2310</v>
      </c>
      <c r="F2312" t="s">
        <v>24</v>
      </c>
      <c r="G2312" t="s">
        <v>51</v>
      </c>
      <c r="H2312" t="s">
        <v>26</v>
      </c>
      <c r="I2312" t="s">
        <v>27</v>
      </c>
      <c r="J2312" t="s">
        <v>60</v>
      </c>
      <c r="K2312">
        <v>3</v>
      </c>
      <c r="L2312" s="2">
        <v>94.85</v>
      </c>
      <c r="M2312" s="3">
        <v>0.25</v>
      </c>
      <c r="N2312" t="s">
        <v>62</v>
      </c>
      <c r="O2312" s="2">
        <v>213.41</v>
      </c>
      <c r="P2312" s="2">
        <v>157.91999999999999</v>
      </c>
      <c r="Q2312" s="2">
        <v>55.49</v>
      </c>
      <c r="R2312">
        <v>1</v>
      </c>
      <c r="S2312">
        <v>0</v>
      </c>
      <c r="T2312">
        <v>4</v>
      </c>
      <c r="U2312">
        <v>5</v>
      </c>
    </row>
    <row r="2313" spans="1:21" ht="16.5" x14ac:dyDescent="0.3">
      <c r="A2313" t="s">
        <v>2401</v>
      </c>
      <c r="B2313" s="1">
        <v>45638</v>
      </c>
      <c r="C2313">
        <v>2024</v>
      </c>
      <c r="D2313" t="s">
        <v>1738</v>
      </c>
      <c r="E2313" t="s">
        <v>2310</v>
      </c>
      <c r="F2313" t="s">
        <v>45</v>
      </c>
      <c r="G2313" t="s">
        <v>51</v>
      </c>
      <c r="H2313" t="s">
        <v>32</v>
      </c>
      <c r="I2313" t="s">
        <v>70</v>
      </c>
      <c r="J2313" t="s">
        <v>129</v>
      </c>
      <c r="K2313">
        <v>1</v>
      </c>
      <c r="L2313" s="2">
        <v>177.65</v>
      </c>
      <c r="M2313" s="3">
        <v>0.05</v>
      </c>
      <c r="N2313" t="s">
        <v>29</v>
      </c>
      <c r="O2313" s="2">
        <v>168.77</v>
      </c>
      <c r="P2313" s="2">
        <v>143.19</v>
      </c>
      <c r="Q2313" s="2">
        <v>25.58</v>
      </c>
      <c r="R2313">
        <v>1</v>
      </c>
      <c r="S2313">
        <v>0</v>
      </c>
      <c r="T2313">
        <v>3</v>
      </c>
      <c r="U2313">
        <v>4</v>
      </c>
    </row>
    <row r="2314" spans="1:21" ht="16.5" x14ac:dyDescent="0.3">
      <c r="A2314" t="s">
        <v>2402</v>
      </c>
      <c r="B2314" s="1">
        <v>45638</v>
      </c>
      <c r="C2314">
        <v>2024</v>
      </c>
      <c r="D2314" t="s">
        <v>1738</v>
      </c>
      <c r="E2314" t="s">
        <v>2310</v>
      </c>
      <c r="F2314" t="s">
        <v>45</v>
      </c>
      <c r="G2314" t="s">
        <v>46</v>
      </c>
      <c r="H2314" t="s">
        <v>32</v>
      </c>
      <c r="I2314" t="s">
        <v>70</v>
      </c>
      <c r="J2314" t="s">
        <v>87</v>
      </c>
      <c r="K2314">
        <v>3</v>
      </c>
      <c r="L2314" s="2">
        <v>490.3</v>
      </c>
      <c r="M2314" s="3">
        <v>0.25</v>
      </c>
      <c r="N2314" t="s">
        <v>62</v>
      </c>
      <c r="O2314" s="2">
        <v>1103.18</v>
      </c>
      <c r="P2314" s="2">
        <v>1148.03</v>
      </c>
      <c r="Q2314" s="2">
        <v>-44.85</v>
      </c>
      <c r="R2314">
        <v>1</v>
      </c>
      <c r="S2314">
        <v>0</v>
      </c>
      <c r="T2314">
        <v>7</v>
      </c>
      <c r="U2314">
        <v>3</v>
      </c>
    </row>
    <row r="2315" spans="1:21" ht="16.5" x14ac:dyDescent="0.3">
      <c r="A2315" t="s">
        <v>2403</v>
      </c>
      <c r="B2315" s="1">
        <v>45639</v>
      </c>
      <c r="C2315">
        <v>2024</v>
      </c>
      <c r="D2315" t="s">
        <v>1738</v>
      </c>
      <c r="E2315" t="s">
        <v>2310</v>
      </c>
      <c r="F2315" t="s">
        <v>31</v>
      </c>
      <c r="G2315" t="s">
        <v>49</v>
      </c>
      <c r="H2315" t="s">
        <v>26</v>
      </c>
      <c r="I2315" t="s">
        <v>42</v>
      </c>
      <c r="J2315" t="s">
        <v>54</v>
      </c>
      <c r="K2315">
        <v>2</v>
      </c>
      <c r="L2315" s="2">
        <v>148.05000000000001</v>
      </c>
      <c r="M2315" s="3">
        <v>0.25</v>
      </c>
      <c r="N2315" t="s">
        <v>62</v>
      </c>
      <c r="O2315" s="2">
        <v>222.08</v>
      </c>
      <c r="P2315" s="2">
        <v>189.22</v>
      </c>
      <c r="Q2315" s="2">
        <v>32.86</v>
      </c>
      <c r="R2315">
        <v>1</v>
      </c>
      <c r="S2315">
        <v>0</v>
      </c>
      <c r="T2315">
        <v>5</v>
      </c>
      <c r="U2315">
        <v>5</v>
      </c>
    </row>
    <row r="2316" spans="1:21" ht="16.5" x14ac:dyDescent="0.3">
      <c r="A2316" t="s">
        <v>2404</v>
      </c>
      <c r="B2316" s="1">
        <v>45639</v>
      </c>
      <c r="C2316">
        <v>2024</v>
      </c>
      <c r="D2316" t="s">
        <v>1738</v>
      </c>
      <c r="E2316" t="s">
        <v>2310</v>
      </c>
      <c r="F2316" t="s">
        <v>31</v>
      </c>
      <c r="G2316" t="s">
        <v>51</v>
      </c>
      <c r="H2316" t="s">
        <v>26</v>
      </c>
      <c r="I2316" t="s">
        <v>42</v>
      </c>
      <c r="J2316" t="s">
        <v>98</v>
      </c>
      <c r="K2316">
        <v>4</v>
      </c>
      <c r="L2316" s="2">
        <v>117.63</v>
      </c>
      <c r="M2316" s="3">
        <v>0.05</v>
      </c>
      <c r="N2316" t="s">
        <v>29</v>
      </c>
      <c r="O2316" s="2">
        <v>446.99</v>
      </c>
      <c r="P2316" s="2">
        <v>317.39</v>
      </c>
      <c r="Q2316" s="2">
        <v>129.6</v>
      </c>
      <c r="R2316">
        <v>1</v>
      </c>
      <c r="S2316">
        <v>0</v>
      </c>
      <c r="T2316">
        <v>3</v>
      </c>
      <c r="U2316">
        <v>4</v>
      </c>
    </row>
    <row r="2317" spans="1:21" ht="16.5" x14ac:dyDescent="0.3">
      <c r="A2317" t="s">
        <v>2405</v>
      </c>
      <c r="B2317" s="1">
        <v>45639</v>
      </c>
      <c r="C2317">
        <v>2024</v>
      </c>
      <c r="D2317" t="s">
        <v>1738</v>
      </c>
      <c r="E2317" t="s">
        <v>2310</v>
      </c>
      <c r="F2317" t="s">
        <v>24</v>
      </c>
      <c r="G2317" t="s">
        <v>49</v>
      </c>
      <c r="H2317" t="s">
        <v>26</v>
      </c>
      <c r="I2317" t="s">
        <v>36</v>
      </c>
      <c r="J2317" t="s">
        <v>56</v>
      </c>
      <c r="K2317">
        <v>1</v>
      </c>
      <c r="L2317" s="2">
        <v>74.3</v>
      </c>
      <c r="M2317" s="3">
        <v>0.15</v>
      </c>
      <c r="N2317" t="s">
        <v>34</v>
      </c>
      <c r="O2317" s="2">
        <v>63.15</v>
      </c>
      <c r="P2317" s="2">
        <v>33.340000000000003</v>
      </c>
      <c r="Q2317" s="2">
        <v>29.81</v>
      </c>
      <c r="R2317">
        <v>1</v>
      </c>
      <c r="S2317">
        <v>0</v>
      </c>
      <c r="T2317">
        <v>6</v>
      </c>
      <c r="U2317">
        <v>4</v>
      </c>
    </row>
    <row r="2318" spans="1:21" ht="16.5" x14ac:dyDescent="0.3">
      <c r="A2318" t="s">
        <v>2406</v>
      </c>
      <c r="B2318" s="1">
        <v>45639</v>
      </c>
      <c r="C2318">
        <v>2024</v>
      </c>
      <c r="D2318" t="s">
        <v>1738</v>
      </c>
      <c r="E2318" t="s">
        <v>2310</v>
      </c>
      <c r="F2318" t="s">
        <v>31</v>
      </c>
      <c r="G2318" t="s">
        <v>65</v>
      </c>
      <c r="H2318" t="s">
        <v>26</v>
      </c>
      <c r="I2318" t="s">
        <v>27</v>
      </c>
      <c r="J2318" t="s">
        <v>47</v>
      </c>
      <c r="K2318">
        <v>2</v>
      </c>
      <c r="L2318" s="2">
        <v>33.99</v>
      </c>
      <c r="M2318" s="3">
        <v>0.05</v>
      </c>
      <c r="N2318" t="s">
        <v>29</v>
      </c>
      <c r="O2318" s="2">
        <v>64.58</v>
      </c>
      <c r="P2318" s="2">
        <v>35.94</v>
      </c>
      <c r="Q2318" s="2">
        <v>28.64</v>
      </c>
      <c r="R2318">
        <v>1</v>
      </c>
      <c r="S2318">
        <v>0</v>
      </c>
      <c r="T2318">
        <v>7</v>
      </c>
      <c r="U2318">
        <v>3</v>
      </c>
    </row>
    <row r="2319" spans="1:21" ht="16.5" x14ac:dyDescent="0.3">
      <c r="A2319" t="s">
        <v>2407</v>
      </c>
      <c r="B2319" s="1">
        <v>45639</v>
      </c>
      <c r="C2319">
        <v>2024</v>
      </c>
      <c r="D2319" t="s">
        <v>1738</v>
      </c>
      <c r="E2319" t="s">
        <v>2310</v>
      </c>
      <c r="F2319" t="s">
        <v>45</v>
      </c>
      <c r="G2319" t="s">
        <v>46</v>
      </c>
      <c r="H2319" t="s">
        <v>32</v>
      </c>
      <c r="I2319" t="s">
        <v>42</v>
      </c>
      <c r="J2319" t="s">
        <v>76</v>
      </c>
      <c r="K2319">
        <v>2</v>
      </c>
      <c r="L2319" s="2">
        <v>90.75</v>
      </c>
      <c r="M2319" s="3">
        <v>0.2</v>
      </c>
      <c r="N2319" t="s">
        <v>34</v>
      </c>
      <c r="O2319" s="2">
        <v>145.19999999999999</v>
      </c>
      <c r="P2319" s="2">
        <v>118.13</v>
      </c>
      <c r="Q2319" s="2">
        <v>27.07</v>
      </c>
      <c r="R2319">
        <v>1</v>
      </c>
      <c r="S2319">
        <v>0</v>
      </c>
      <c r="T2319">
        <v>7</v>
      </c>
      <c r="U2319">
        <v>4</v>
      </c>
    </row>
    <row r="2320" spans="1:21" ht="16.5" x14ac:dyDescent="0.3">
      <c r="A2320" t="s">
        <v>2408</v>
      </c>
      <c r="B2320" s="1">
        <v>45639</v>
      </c>
      <c r="C2320">
        <v>2024</v>
      </c>
      <c r="D2320" t="s">
        <v>1738</v>
      </c>
      <c r="E2320" t="s">
        <v>2310</v>
      </c>
      <c r="F2320" t="s">
        <v>45</v>
      </c>
      <c r="G2320" t="s">
        <v>65</v>
      </c>
      <c r="H2320" t="s">
        <v>32</v>
      </c>
      <c r="I2320" t="s">
        <v>84</v>
      </c>
      <c r="J2320" t="s">
        <v>96</v>
      </c>
      <c r="K2320">
        <v>1</v>
      </c>
      <c r="L2320" s="2">
        <v>10.76</v>
      </c>
      <c r="M2320" s="3">
        <v>0.1</v>
      </c>
      <c r="N2320" t="s">
        <v>29</v>
      </c>
      <c r="O2320" s="2">
        <v>9.68</v>
      </c>
      <c r="P2320" s="2">
        <v>7.84</v>
      </c>
      <c r="Q2320" s="2">
        <v>1.84</v>
      </c>
      <c r="R2320">
        <v>1</v>
      </c>
      <c r="S2320">
        <v>0</v>
      </c>
      <c r="T2320">
        <v>6</v>
      </c>
      <c r="U2320">
        <v>4</v>
      </c>
    </row>
    <row r="2321" spans="1:21" ht="16.5" x14ac:dyDescent="0.3">
      <c r="A2321" t="s">
        <v>2409</v>
      </c>
      <c r="B2321" s="1">
        <v>45639</v>
      </c>
      <c r="C2321">
        <v>2024</v>
      </c>
      <c r="D2321" t="s">
        <v>1738</v>
      </c>
      <c r="E2321" t="s">
        <v>2310</v>
      </c>
      <c r="F2321" t="s">
        <v>24</v>
      </c>
      <c r="G2321" t="s">
        <v>49</v>
      </c>
      <c r="H2321" t="s">
        <v>26</v>
      </c>
      <c r="I2321" t="s">
        <v>42</v>
      </c>
      <c r="J2321" t="s">
        <v>58</v>
      </c>
      <c r="K2321">
        <v>2</v>
      </c>
      <c r="L2321" s="2">
        <v>233.81</v>
      </c>
      <c r="M2321" s="3">
        <v>0.2</v>
      </c>
      <c r="N2321" t="s">
        <v>34</v>
      </c>
      <c r="O2321" s="2">
        <v>374.1</v>
      </c>
      <c r="P2321" s="2">
        <v>308.92</v>
      </c>
      <c r="Q2321" s="2">
        <v>65.180000000000007</v>
      </c>
      <c r="R2321">
        <v>1</v>
      </c>
      <c r="S2321">
        <v>0</v>
      </c>
      <c r="T2321">
        <v>5</v>
      </c>
      <c r="U2321">
        <v>5</v>
      </c>
    </row>
    <row r="2322" spans="1:21" ht="16.5" x14ac:dyDescent="0.3">
      <c r="A2322" t="s">
        <v>2410</v>
      </c>
      <c r="B2322" s="1">
        <v>45639</v>
      </c>
      <c r="C2322">
        <v>2024</v>
      </c>
      <c r="D2322" t="s">
        <v>1738</v>
      </c>
      <c r="E2322" t="s">
        <v>2310</v>
      </c>
      <c r="F2322" t="s">
        <v>24</v>
      </c>
      <c r="G2322" t="s">
        <v>65</v>
      </c>
      <c r="H2322" t="s">
        <v>32</v>
      </c>
      <c r="I2322" t="s">
        <v>36</v>
      </c>
      <c r="J2322" t="s">
        <v>56</v>
      </c>
      <c r="K2322">
        <v>3</v>
      </c>
      <c r="L2322" s="2">
        <v>74.3</v>
      </c>
      <c r="M2322" s="3">
        <v>0.05</v>
      </c>
      <c r="N2322" t="s">
        <v>29</v>
      </c>
      <c r="O2322" s="2">
        <v>211.75</v>
      </c>
      <c r="P2322" s="2">
        <v>110.13</v>
      </c>
      <c r="Q2322" s="2">
        <v>101.62</v>
      </c>
      <c r="R2322">
        <v>1</v>
      </c>
      <c r="S2322">
        <v>0</v>
      </c>
      <c r="T2322">
        <v>7</v>
      </c>
      <c r="U2322">
        <v>3</v>
      </c>
    </row>
    <row r="2323" spans="1:21" ht="16.5" x14ac:dyDescent="0.3">
      <c r="A2323" t="s">
        <v>2411</v>
      </c>
      <c r="B2323" s="1">
        <v>45639</v>
      </c>
      <c r="C2323">
        <v>2024</v>
      </c>
      <c r="D2323" t="s">
        <v>1738</v>
      </c>
      <c r="E2323" t="s">
        <v>2310</v>
      </c>
      <c r="F2323" t="s">
        <v>45</v>
      </c>
      <c r="G2323" t="s">
        <v>51</v>
      </c>
      <c r="H2323" t="s">
        <v>32</v>
      </c>
      <c r="I2323" t="s">
        <v>70</v>
      </c>
      <c r="J2323" t="s">
        <v>162</v>
      </c>
      <c r="K2323">
        <v>2</v>
      </c>
      <c r="L2323" s="2">
        <v>636.09</v>
      </c>
      <c r="M2323" s="3">
        <v>0.25</v>
      </c>
      <c r="N2323" t="s">
        <v>62</v>
      </c>
      <c r="O2323" s="2">
        <v>954.14</v>
      </c>
      <c r="P2323" s="2">
        <v>943.71</v>
      </c>
      <c r="Q2323" s="2">
        <v>10.43</v>
      </c>
      <c r="R2323">
        <v>1</v>
      </c>
      <c r="S2323">
        <v>0</v>
      </c>
      <c r="T2323">
        <v>5</v>
      </c>
      <c r="U2323">
        <v>5</v>
      </c>
    </row>
    <row r="2324" spans="1:21" ht="16.5" x14ac:dyDescent="0.3">
      <c r="A2324" t="s">
        <v>2412</v>
      </c>
      <c r="B2324" s="1">
        <v>45639</v>
      </c>
      <c r="C2324">
        <v>2024</v>
      </c>
      <c r="D2324" t="s">
        <v>1738</v>
      </c>
      <c r="E2324" t="s">
        <v>2310</v>
      </c>
      <c r="F2324" t="s">
        <v>31</v>
      </c>
      <c r="G2324" t="s">
        <v>51</v>
      </c>
      <c r="H2324" t="s">
        <v>26</v>
      </c>
      <c r="I2324" t="s">
        <v>42</v>
      </c>
      <c r="J2324" t="s">
        <v>89</v>
      </c>
      <c r="K2324">
        <v>1</v>
      </c>
      <c r="L2324" s="2">
        <v>68.349999999999994</v>
      </c>
      <c r="M2324" s="3">
        <v>0.3</v>
      </c>
      <c r="N2324" t="s">
        <v>62</v>
      </c>
      <c r="O2324" s="2">
        <v>47.84</v>
      </c>
      <c r="P2324" s="2">
        <v>45.26</v>
      </c>
      <c r="Q2324" s="2">
        <v>2.58</v>
      </c>
      <c r="R2324">
        <v>1</v>
      </c>
      <c r="S2324">
        <v>0</v>
      </c>
      <c r="T2324">
        <v>4</v>
      </c>
      <c r="U2324">
        <v>4</v>
      </c>
    </row>
    <row r="2325" spans="1:21" ht="16.5" x14ac:dyDescent="0.3">
      <c r="A2325" t="s">
        <v>2413</v>
      </c>
      <c r="B2325" s="1">
        <v>45640</v>
      </c>
      <c r="C2325">
        <v>2024</v>
      </c>
      <c r="D2325" t="s">
        <v>1738</v>
      </c>
      <c r="E2325" t="s">
        <v>2310</v>
      </c>
      <c r="F2325" t="s">
        <v>31</v>
      </c>
      <c r="G2325" t="s">
        <v>49</v>
      </c>
      <c r="H2325" t="s">
        <v>32</v>
      </c>
      <c r="I2325" t="s">
        <v>42</v>
      </c>
      <c r="J2325" t="s">
        <v>89</v>
      </c>
      <c r="K2325">
        <v>1</v>
      </c>
      <c r="L2325" s="2">
        <v>68.349999999999994</v>
      </c>
      <c r="M2325" s="3">
        <v>0</v>
      </c>
      <c r="N2325" t="s">
        <v>38</v>
      </c>
      <c r="O2325" s="2">
        <v>68.349999999999994</v>
      </c>
      <c r="P2325" s="2">
        <v>45.05</v>
      </c>
      <c r="Q2325" s="2">
        <v>23.3</v>
      </c>
      <c r="R2325">
        <v>1</v>
      </c>
      <c r="S2325">
        <v>0</v>
      </c>
      <c r="T2325">
        <v>5</v>
      </c>
      <c r="U2325">
        <v>4</v>
      </c>
    </row>
    <row r="2326" spans="1:21" ht="16.5" x14ac:dyDescent="0.3">
      <c r="A2326" t="s">
        <v>2414</v>
      </c>
      <c r="B2326" s="1">
        <v>45640</v>
      </c>
      <c r="C2326">
        <v>2024</v>
      </c>
      <c r="D2326" t="s">
        <v>1738</v>
      </c>
      <c r="E2326" t="s">
        <v>2310</v>
      </c>
      <c r="F2326" t="s">
        <v>31</v>
      </c>
      <c r="G2326" t="s">
        <v>65</v>
      </c>
      <c r="H2326" t="s">
        <v>32</v>
      </c>
      <c r="I2326" t="s">
        <v>27</v>
      </c>
      <c r="J2326" t="s">
        <v>40</v>
      </c>
      <c r="K2326">
        <v>1</v>
      </c>
      <c r="L2326" s="2">
        <v>104.94</v>
      </c>
      <c r="M2326" s="3">
        <v>0.1</v>
      </c>
      <c r="N2326" t="s">
        <v>29</v>
      </c>
      <c r="O2326" s="2">
        <v>94.45</v>
      </c>
      <c r="P2326" s="2">
        <v>55.89</v>
      </c>
      <c r="Q2326" s="2">
        <v>38.56</v>
      </c>
      <c r="R2326">
        <v>1</v>
      </c>
      <c r="S2326">
        <v>0</v>
      </c>
      <c r="T2326">
        <v>7</v>
      </c>
      <c r="U2326">
        <v>3</v>
      </c>
    </row>
    <row r="2327" spans="1:21" ht="16.5" x14ac:dyDescent="0.3">
      <c r="A2327" t="s">
        <v>2415</v>
      </c>
      <c r="B2327" s="1">
        <v>45640</v>
      </c>
      <c r="C2327">
        <v>2024</v>
      </c>
      <c r="D2327" t="s">
        <v>1738</v>
      </c>
      <c r="E2327" t="s">
        <v>2310</v>
      </c>
      <c r="F2327" t="s">
        <v>24</v>
      </c>
      <c r="G2327" t="s">
        <v>25</v>
      </c>
      <c r="H2327" t="s">
        <v>26</v>
      </c>
      <c r="I2327" t="s">
        <v>27</v>
      </c>
      <c r="J2327" t="s">
        <v>47</v>
      </c>
      <c r="K2327">
        <v>1</v>
      </c>
      <c r="L2327" s="2">
        <v>33.99</v>
      </c>
      <c r="M2327" s="3">
        <v>0.3</v>
      </c>
      <c r="N2327" t="s">
        <v>62</v>
      </c>
      <c r="O2327" s="2">
        <v>23.79</v>
      </c>
      <c r="P2327" s="2">
        <v>18.96</v>
      </c>
      <c r="Q2327" s="2">
        <v>4.83</v>
      </c>
      <c r="R2327">
        <v>1</v>
      </c>
      <c r="S2327">
        <v>0</v>
      </c>
      <c r="T2327">
        <v>5</v>
      </c>
      <c r="U2327">
        <v>4</v>
      </c>
    </row>
    <row r="2328" spans="1:21" ht="16.5" x14ac:dyDescent="0.3">
      <c r="A2328" t="s">
        <v>2416</v>
      </c>
      <c r="B2328" s="1">
        <v>45640</v>
      </c>
      <c r="C2328">
        <v>2024</v>
      </c>
      <c r="D2328" t="s">
        <v>1738</v>
      </c>
      <c r="E2328" t="s">
        <v>2310</v>
      </c>
      <c r="F2328" t="s">
        <v>24</v>
      </c>
      <c r="G2328" t="s">
        <v>46</v>
      </c>
      <c r="H2328" t="s">
        <v>32</v>
      </c>
      <c r="I2328" t="s">
        <v>42</v>
      </c>
      <c r="J2328" t="s">
        <v>98</v>
      </c>
      <c r="K2328">
        <v>4</v>
      </c>
      <c r="L2328" s="2">
        <v>117.63</v>
      </c>
      <c r="M2328" s="3">
        <v>0.15</v>
      </c>
      <c r="N2328" t="s">
        <v>34</v>
      </c>
      <c r="O2328" s="2">
        <v>399.94</v>
      </c>
      <c r="P2328" s="2">
        <v>305.2</v>
      </c>
      <c r="Q2328" s="2">
        <v>94.74</v>
      </c>
      <c r="R2328">
        <v>1</v>
      </c>
      <c r="S2328">
        <v>0</v>
      </c>
      <c r="T2328">
        <v>6</v>
      </c>
      <c r="U2328">
        <v>3</v>
      </c>
    </row>
    <row r="2329" spans="1:21" ht="16.5" x14ac:dyDescent="0.3">
      <c r="A2329" t="s">
        <v>2417</v>
      </c>
      <c r="B2329" s="1">
        <v>45640</v>
      </c>
      <c r="C2329">
        <v>2024</v>
      </c>
      <c r="D2329" t="s">
        <v>1738</v>
      </c>
      <c r="E2329" t="s">
        <v>2310</v>
      </c>
      <c r="F2329" t="s">
        <v>24</v>
      </c>
      <c r="G2329" t="s">
        <v>49</v>
      </c>
      <c r="H2329" t="s">
        <v>32</v>
      </c>
      <c r="I2329" t="s">
        <v>70</v>
      </c>
      <c r="J2329" t="s">
        <v>162</v>
      </c>
      <c r="K2329">
        <v>1</v>
      </c>
      <c r="L2329" s="2">
        <v>636.09</v>
      </c>
      <c r="M2329" s="3">
        <v>0.1</v>
      </c>
      <c r="N2329" t="s">
        <v>29</v>
      </c>
      <c r="O2329" s="2">
        <v>572.48</v>
      </c>
      <c r="P2329" s="2">
        <v>522.21</v>
      </c>
      <c r="Q2329" s="2">
        <v>50.27</v>
      </c>
      <c r="R2329">
        <v>1</v>
      </c>
      <c r="S2329">
        <v>0</v>
      </c>
      <c r="T2329">
        <v>5</v>
      </c>
      <c r="U2329">
        <v>5</v>
      </c>
    </row>
    <row r="2330" spans="1:21" ht="16.5" x14ac:dyDescent="0.3">
      <c r="A2330" t="s">
        <v>2418</v>
      </c>
      <c r="B2330" s="1">
        <v>45640</v>
      </c>
      <c r="C2330">
        <v>2024</v>
      </c>
      <c r="D2330" t="s">
        <v>1738</v>
      </c>
      <c r="E2330" t="s">
        <v>2310</v>
      </c>
      <c r="F2330" t="s">
        <v>24</v>
      </c>
      <c r="G2330" t="s">
        <v>25</v>
      </c>
      <c r="H2330" t="s">
        <v>32</v>
      </c>
      <c r="I2330" t="s">
        <v>27</v>
      </c>
      <c r="J2330" t="s">
        <v>60</v>
      </c>
      <c r="K2330">
        <v>2</v>
      </c>
      <c r="L2330" s="2">
        <v>94.85</v>
      </c>
      <c r="M2330" s="3">
        <v>0</v>
      </c>
      <c r="N2330" t="s">
        <v>38</v>
      </c>
      <c r="O2330" s="2">
        <v>189.7</v>
      </c>
      <c r="P2330" s="2">
        <v>100.3</v>
      </c>
      <c r="Q2330" s="2">
        <v>89.4</v>
      </c>
      <c r="R2330">
        <v>1</v>
      </c>
      <c r="S2330">
        <v>0</v>
      </c>
      <c r="T2330">
        <v>4</v>
      </c>
      <c r="U2330">
        <v>5</v>
      </c>
    </row>
    <row r="2331" spans="1:21" ht="16.5" x14ac:dyDescent="0.3">
      <c r="A2331" t="s">
        <v>2419</v>
      </c>
      <c r="B2331" s="1">
        <v>45640</v>
      </c>
      <c r="C2331">
        <v>2024</v>
      </c>
      <c r="D2331" t="s">
        <v>1738</v>
      </c>
      <c r="E2331" t="s">
        <v>2310</v>
      </c>
      <c r="F2331" t="s">
        <v>24</v>
      </c>
      <c r="G2331" t="s">
        <v>65</v>
      </c>
      <c r="H2331" t="s">
        <v>26</v>
      </c>
      <c r="I2331" t="s">
        <v>70</v>
      </c>
      <c r="J2331" t="s">
        <v>87</v>
      </c>
      <c r="K2331">
        <v>1</v>
      </c>
      <c r="L2331" s="2">
        <v>490.3</v>
      </c>
      <c r="M2331" s="3">
        <v>0.25</v>
      </c>
      <c r="N2331" t="s">
        <v>62</v>
      </c>
      <c r="O2331" s="2">
        <v>367.72</v>
      </c>
      <c r="P2331" s="2">
        <v>390.14</v>
      </c>
      <c r="Q2331" s="2">
        <v>-22.42</v>
      </c>
      <c r="R2331">
        <v>1</v>
      </c>
      <c r="S2331">
        <v>0</v>
      </c>
      <c r="T2331">
        <v>6</v>
      </c>
      <c r="U2331">
        <v>3</v>
      </c>
    </row>
    <row r="2332" spans="1:21" ht="16.5" x14ac:dyDescent="0.3">
      <c r="A2332" t="s">
        <v>2420</v>
      </c>
      <c r="B2332" s="1">
        <v>45640</v>
      </c>
      <c r="C2332">
        <v>2024</v>
      </c>
      <c r="D2332" t="s">
        <v>1738</v>
      </c>
      <c r="E2332" t="s">
        <v>2310</v>
      </c>
      <c r="F2332" t="s">
        <v>24</v>
      </c>
      <c r="G2332" t="s">
        <v>49</v>
      </c>
      <c r="H2332" t="s">
        <v>26</v>
      </c>
      <c r="I2332" t="s">
        <v>70</v>
      </c>
      <c r="J2332" t="s">
        <v>252</v>
      </c>
      <c r="K2332">
        <v>1</v>
      </c>
      <c r="L2332" s="2">
        <v>216.08</v>
      </c>
      <c r="M2332" s="3">
        <v>0.15</v>
      </c>
      <c r="N2332" t="s">
        <v>34</v>
      </c>
      <c r="O2332" s="2">
        <v>183.67</v>
      </c>
      <c r="P2332" s="2">
        <v>174.2</v>
      </c>
      <c r="Q2332" s="2">
        <v>9.4700000000000006</v>
      </c>
      <c r="R2332">
        <v>1</v>
      </c>
      <c r="S2332">
        <v>0</v>
      </c>
      <c r="T2332">
        <v>5</v>
      </c>
      <c r="U2332">
        <v>4</v>
      </c>
    </row>
    <row r="2333" spans="1:21" ht="16.5" x14ac:dyDescent="0.3">
      <c r="A2333" t="s">
        <v>2421</v>
      </c>
      <c r="B2333" s="1">
        <v>45640</v>
      </c>
      <c r="C2333">
        <v>2024</v>
      </c>
      <c r="D2333" t="s">
        <v>1738</v>
      </c>
      <c r="E2333" t="s">
        <v>2310</v>
      </c>
      <c r="F2333" t="s">
        <v>31</v>
      </c>
      <c r="G2333" t="s">
        <v>25</v>
      </c>
      <c r="H2333" t="s">
        <v>26</v>
      </c>
      <c r="I2333" t="s">
        <v>84</v>
      </c>
      <c r="J2333" t="s">
        <v>132</v>
      </c>
      <c r="K2333">
        <v>1</v>
      </c>
      <c r="L2333" s="2">
        <v>48.86</v>
      </c>
      <c r="M2333" s="3">
        <v>0.05</v>
      </c>
      <c r="N2333" t="s">
        <v>29</v>
      </c>
      <c r="O2333" s="2">
        <v>46.42</v>
      </c>
      <c r="P2333" s="2">
        <v>34.619999999999997</v>
      </c>
      <c r="Q2333" s="2">
        <v>11.8</v>
      </c>
      <c r="R2333">
        <v>1</v>
      </c>
      <c r="S2333">
        <v>0</v>
      </c>
      <c r="T2333">
        <v>6</v>
      </c>
      <c r="U2333">
        <v>3</v>
      </c>
    </row>
    <row r="2334" spans="1:21" ht="16.5" x14ac:dyDescent="0.3">
      <c r="A2334" t="s">
        <v>2422</v>
      </c>
      <c r="B2334" s="1">
        <v>45640</v>
      </c>
      <c r="C2334">
        <v>2024</v>
      </c>
      <c r="D2334" t="s">
        <v>1738</v>
      </c>
      <c r="E2334" t="s">
        <v>2310</v>
      </c>
      <c r="F2334" t="s">
        <v>24</v>
      </c>
      <c r="G2334" t="s">
        <v>49</v>
      </c>
      <c r="H2334" t="s">
        <v>32</v>
      </c>
      <c r="I2334" t="s">
        <v>84</v>
      </c>
      <c r="J2334" t="s">
        <v>132</v>
      </c>
      <c r="K2334">
        <v>2</v>
      </c>
      <c r="L2334" s="2">
        <v>48.86</v>
      </c>
      <c r="M2334" s="3">
        <v>0.05</v>
      </c>
      <c r="N2334" t="s">
        <v>29</v>
      </c>
      <c r="O2334" s="2">
        <v>92.83</v>
      </c>
      <c r="P2334" s="2">
        <v>68.28</v>
      </c>
      <c r="Q2334" s="2">
        <v>24.55</v>
      </c>
      <c r="R2334">
        <v>1</v>
      </c>
      <c r="S2334">
        <v>0</v>
      </c>
      <c r="T2334">
        <v>5</v>
      </c>
      <c r="U2334">
        <v>5</v>
      </c>
    </row>
    <row r="2335" spans="1:21" ht="16.5" x14ac:dyDescent="0.3">
      <c r="A2335" t="s">
        <v>2423</v>
      </c>
      <c r="B2335" s="1">
        <v>45640</v>
      </c>
      <c r="C2335">
        <v>2024</v>
      </c>
      <c r="D2335" t="s">
        <v>1738</v>
      </c>
      <c r="E2335" t="s">
        <v>2310</v>
      </c>
      <c r="F2335" t="s">
        <v>24</v>
      </c>
      <c r="G2335" t="s">
        <v>49</v>
      </c>
      <c r="H2335" t="s">
        <v>32</v>
      </c>
      <c r="I2335" t="s">
        <v>27</v>
      </c>
      <c r="J2335" t="s">
        <v>33</v>
      </c>
      <c r="K2335">
        <v>3</v>
      </c>
      <c r="L2335" s="2">
        <v>78.510000000000005</v>
      </c>
      <c r="M2335" s="3">
        <v>0</v>
      </c>
      <c r="N2335" t="s">
        <v>38</v>
      </c>
      <c r="O2335" s="2">
        <v>235.53</v>
      </c>
      <c r="P2335" s="2">
        <v>129.96</v>
      </c>
      <c r="Q2335" s="2">
        <v>105.57</v>
      </c>
      <c r="R2335">
        <v>1</v>
      </c>
      <c r="S2335">
        <v>0</v>
      </c>
      <c r="T2335">
        <v>4</v>
      </c>
      <c r="U2335">
        <v>4</v>
      </c>
    </row>
    <row r="2336" spans="1:21" ht="16.5" x14ac:dyDescent="0.3">
      <c r="A2336" t="s">
        <v>2424</v>
      </c>
      <c r="B2336" s="1">
        <v>45640</v>
      </c>
      <c r="C2336">
        <v>2024</v>
      </c>
      <c r="D2336" t="s">
        <v>1738</v>
      </c>
      <c r="E2336" t="s">
        <v>2310</v>
      </c>
      <c r="F2336" t="s">
        <v>24</v>
      </c>
      <c r="G2336" t="s">
        <v>51</v>
      </c>
      <c r="H2336" t="s">
        <v>26</v>
      </c>
      <c r="I2336" t="s">
        <v>27</v>
      </c>
      <c r="J2336" t="s">
        <v>33</v>
      </c>
      <c r="K2336">
        <v>1</v>
      </c>
      <c r="L2336" s="2">
        <v>78.510000000000005</v>
      </c>
      <c r="M2336" s="3">
        <v>0.25</v>
      </c>
      <c r="N2336" t="s">
        <v>62</v>
      </c>
      <c r="O2336" s="2">
        <v>58.88</v>
      </c>
      <c r="P2336" s="2">
        <v>40.43</v>
      </c>
      <c r="Q2336" s="2">
        <v>18.45</v>
      </c>
      <c r="R2336">
        <v>1</v>
      </c>
      <c r="S2336">
        <v>0</v>
      </c>
      <c r="T2336">
        <v>5</v>
      </c>
      <c r="U2336">
        <v>4</v>
      </c>
    </row>
    <row r="2337" spans="1:21" ht="16.5" x14ac:dyDescent="0.3">
      <c r="A2337" t="s">
        <v>2425</v>
      </c>
      <c r="B2337" s="1">
        <v>45641</v>
      </c>
      <c r="C2337">
        <v>2024</v>
      </c>
      <c r="D2337" t="s">
        <v>1738</v>
      </c>
      <c r="E2337" t="s">
        <v>2310</v>
      </c>
      <c r="F2337" t="s">
        <v>24</v>
      </c>
      <c r="G2337" t="s">
        <v>51</v>
      </c>
      <c r="H2337" t="s">
        <v>32</v>
      </c>
      <c r="I2337" t="s">
        <v>70</v>
      </c>
      <c r="J2337" t="s">
        <v>71</v>
      </c>
      <c r="K2337">
        <v>1</v>
      </c>
      <c r="L2337" s="2">
        <v>588.41</v>
      </c>
      <c r="M2337" s="3">
        <v>0.15</v>
      </c>
      <c r="N2337" t="s">
        <v>34</v>
      </c>
      <c r="O2337" s="2">
        <v>500.15</v>
      </c>
      <c r="P2337" s="2">
        <v>465.51</v>
      </c>
      <c r="Q2337" s="2">
        <v>34.64</v>
      </c>
      <c r="R2337">
        <v>1</v>
      </c>
      <c r="S2337">
        <v>0</v>
      </c>
      <c r="T2337">
        <v>3</v>
      </c>
      <c r="U2337">
        <v>5</v>
      </c>
    </row>
    <row r="2338" spans="1:21" ht="16.5" x14ac:dyDescent="0.3">
      <c r="A2338" t="s">
        <v>2426</v>
      </c>
      <c r="B2338" s="1">
        <v>45641</v>
      </c>
      <c r="C2338">
        <v>2024</v>
      </c>
      <c r="D2338" t="s">
        <v>1738</v>
      </c>
      <c r="E2338" t="s">
        <v>2310</v>
      </c>
      <c r="F2338" t="s">
        <v>24</v>
      </c>
      <c r="G2338" t="s">
        <v>51</v>
      </c>
      <c r="H2338" t="s">
        <v>26</v>
      </c>
      <c r="I2338" t="s">
        <v>42</v>
      </c>
      <c r="J2338" t="s">
        <v>89</v>
      </c>
      <c r="K2338">
        <v>1</v>
      </c>
      <c r="L2338" s="2">
        <v>68.349999999999994</v>
      </c>
      <c r="M2338" s="3">
        <v>0.25</v>
      </c>
      <c r="N2338" t="s">
        <v>62</v>
      </c>
      <c r="O2338" s="2">
        <v>51.26</v>
      </c>
      <c r="P2338" s="2">
        <v>44.43</v>
      </c>
      <c r="Q2338" s="2">
        <v>6.83</v>
      </c>
      <c r="R2338">
        <v>1</v>
      </c>
      <c r="S2338">
        <v>0</v>
      </c>
      <c r="T2338">
        <v>4</v>
      </c>
      <c r="U2338">
        <v>4</v>
      </c>
    </row>
    <row r="2339" spans="1:21" ht="16.5" x14ac:dyDescent="0.3">
      <c r="A2339" t="s">
        <v>2427</v>
      </c>
      <c r="B2339" s="1">
        <v>45641</v>
      </c>
      <c r="C2339">
        <v>2024</v>
      </c>
      <c r="D2339" t="s">
        <v>1738</v>
      </c>
      <c r="E2339" t="s">
        <v>2310</v>
      </c>
      <c r="F2339" t="s">
        <v>24</v>
      </c>
      <c r="G2339" t="s">
        <v>51</v>
      </c>
      <c r="H2339" t="s">
        <v>32</v>
      </c>
      <c r="I2339" t="s">
        <v>42</v>
      </c>
      <c r="J2339" t="s">
        <v>98</v>
      </c>
      <c r="K2339">
        <v>1</v>
      </c>
      <c r="L2339" s="2">
        <v>117.63</v>
      </c>
      <c r="M2339" s="3">
        <v>0.3</v>
      </c>
      <c r="N2339" t="s">
        <v>62</v>
      </c>
      <c r="O2339" s="2">
        <v>82.34</v>
      </c>
      <c r="P2339" s="2">
        <v>78.11</v>
      </c>
      <c r="Q2339" s="2">
        <v>4.2300000000000004</v>
      </c>
      <c r="R2339">
        <v>1</v>
      </c>
      <c r="S2339">
        <v>0</v>
      </c>
      <c r="T2339">
        <v>4</v>
      </c>
      <c r="U2339">
        <v>4</v>
      </c>
    </row>
    <row r="2340" spans="1:21" ht="16.5" x14ac:dyDescent="0.3">
      <c r="A2340" t="s">
        <v>2428</v>
      </c>
      <c r="B2340" s="1">
        <v>45641</v>
      </c>
      <c r="C2340">
        <v>2024</v>
      </c>
      <c r="D2340" t="s">
        <v>1738</v>
      </c>
      <c r="E2340" t="s">
        <v>2310</v>
      </c>
      <c r="F2340" t="s">
        <v>31</v>
      </c>
      <c r="G2340" t="s">
        <v>49</v>
      </c>
      <c r="H2340" t="s">
        <v>26</v>
      </c>
      <c r="I2340" t="s">
        <v>84</v>
      </c>
      <c r="J2340" t="s">
        <v>85</v>
      </c>
      <c r="K2340">
        <v>2</v>
      </c>
      <c r="L2340" s="2">
        <v>57.92</v>
      </c>
      <c r="M2340" s="3">
        <v>0.2</v>
      </c>
      <c r="N2340" t="s">
        <v>34</v>
      </c>
      <c r="O2340" s="2">
        <v>92.67</v>
      </c>
      <c r="P2340" s="2">
        <v>83.67</v>
      </c>
      <c r="Q2340" s="2">
        <v>9</v>
      </c>
      <c r="R2340">
        <v>1</v>
      </c>
      <c r="S2340">
        <v>0</v>
      </c>
      <c r="T2340">
        <v>4</v>
      </c>
      <c r="U2340">
        <v>4</v>
      </c>
    </row>
    <row r="2341" spans="1:21" ht="16.5" x14ac:dyDescent="0.3">
      <c r="A2341" t="s">
        <v>2429</v>
      </c>
      <c r="B2341" s="1">
        <v>45641</v>
      </c>
      <c r="C2341">
        <v>2024</v>
      </c>
      <c r="D2341" t="s">
        <v>1738</v>
      </c>
      <c r="E2341" t="s">
        <v>2310</v>
      </c>
      <c r="F2341" t="s">
        <v>24</v>
      </c>
      <c r="G2341" t="s">
        <v>49</v>
      </c>
      <c r="H2341" t="s">
        <v>32</v>
      </c>
      <c r="I2341" t="s">
        <v>36</v>
      </c>
      <c r="J2341" t="s">
        <v>126</v>
      </c>
      <c r="K2341">
        <v>1</v>
      </c>
      <c r="L2341" s="2">
        <v>54.56</v>
      </c>
      <c r="M2341" s="3">
        <v>0.15</v>
      </c>
      <c r="N2341" t="s">
        <v>34</v>
      </c>
      <c r="O2341" s="2">
        <v>46.38</v>
      </c>
      <c r="P2341" s="2">
        <v>25.39</v>
      </c>
      <c r="Q2341" s="2">
        <v>20.99</v>
      </c>
      <c r="R2341">
        <v>1</v>
      </c>
      <c r="S2341">
        <v>0</v>
      </c>
      <c r="T2341">
        <v>7</v>
      </c>
      <c r="U2341">
        <v>4</v>
      </c>
    </row>
    <row r="2342" spans="1:21" ht="16.5" x14ac:dyDescent="0.3">
      <c r="A2342" t="s">
        <v>2430</v>
      </c>
      <c r="B2342" s="1">
        <v>45641</v>
      </c>
      <c r="C2342">
        <v>2024</v>
      </c>
      <c r="D2342" t="s">
        <v>1738</v>
      </c>
      <c r="E2342" t="s">
        <v>2310</v>
      </c>
      <c r="F2342" t="s">
        <v>24</v>
      </c>
      <c r="G2342" t="s">
        <v>51</v>
      </c>
      <c r="H2342" t="s">
        <v>26</v>
      </c>
      <c r="I2342" t="s">
        <v>67</v>
      </c>
      <c r="J2342" t="s">
        <v>78</v>
      </c>
      <c r="K2342">
        <v>4</v>
      </c>
      <c r="L2342" s="2">
        <v>85.42</v>
      </c>
      <c r="M2342" s="3">
        <v>0.25</v>
      </c>
      <c r="N2342" t="s">
        <v>62</v>
      </c>
      <c r="O2342" s="2">
        <v>256.26</v>
      </c>
      <c r="P2342" s="2">
        <v>222.03</v>
      </c>
      <c r="Q2342" s="2">
        <v>34.229999999999997</v>
      </c>
      <c r="R2342">
        <v>1</v>
      </c>
      <c r="S2342">
        <v>1</v>
      </c>
      <c r="T2342">
        <v>4</v>
      </c>
      <c r="U2342">
        <v>4</v>
      </c>
    </row>
    <row r="2343" spans="1:21" ht="16.5" x14ac:dyDescent="0.3">
      <c r="A2343" t="s">
        <v>2431</v>
      </c>
      <c r="B2343" s="1">
        <v>45641</v>
      </c>
      <c r="C2343">
        <v>2024</v>
      </c>
      <c r="D2343" t="s">
        <v>1738</v>
      </c>
      <c r="E2343" t="s">
        <v>2310</v>
      </c>
      <c r="F2343" t="s">
        <v>24</v>
      </c>
      <c r="G2343" t="s">
        <v>25</v>
      </c>
      <c r="H2343" t="s">
        <v>32</v>
      </c>
      <c r="I2343" t="s">
        <v>70</v>
      </c>
      <c r="J2343" t="s">
        <v>129</v>
      </c>
      <c r="K2343">
        <v>2</v>
      </c>
      <c r="L2343" s="2">
        <v>177.65</v>
      </c>
      <c r="M2343" s="3">
        <v>0.3</v>
      </c>
      <c r="N2343" t="s">
        <v>62</v>
      </c>
      <c r="O2343" s="2">
        <v>248.71</v>
      </c>
      <c r="P2343" s="2">
        <v>282.25</v>
      </c>
      <c r="Q2343" s="2">
        <v>-33.54</v>
      </c>
      <c r="R2343">
        <v>1</v>
      </c>
      <c r="S2343">
        <v>0</v>
      </c>
      <c r="T2343">
        <v>6</v>
      </c>
      <c r="U2343">
        <v>4</v>
      </c>
    </row>
    <row r="2344" spans="1:21" ht="16.5" x14ac:dyDescent="0.3">
      <c r="A2344" t="s">
        <v>2432</v>
      </c>
      <c r="B2344" s="1">
        <v>45641</v>
      </c>
      <c r="C2344">
        <v>2024</v>
      </c>
      <c r="D2344" t="s">
        <v>1738</v>
      </c>
      <c r="E2344" t="s">
        <v>2310</v>
      </c>
      <c r="F2344" t="s">
        <v>24</v>
      </c>
      <c r="G2344" t="s">
        <v>49</v>
      </c>
      <c r="H2344" t="s">
        <v>32</v>
      </c>
      <c r="I2344" t="s">
        <v>36</v>
      </c>
      <c r="J2344" t="s">
        <v>115</v>
      </c>
      <c r="K2344">
        <v>1</v>
      </c>
      <c r="L2344" s="2">
        <v>33.479999999999997</v>
      </c>
      <c r="M2344" s="3">
        <v>0.25</v>
      </c>
      <c r="N2344" t="s">
        <v>62</v>
      </c>
      <c r="O2344" s="2">
        <v>25.11</v>
      </c>
      <c r="P2344" s="2">
        <v>15.81</v>
      </c>
      <c r="Q2344" s="2">
        <v>9.3000000000000007</v>
      </c>
      <c r="R2344">
        <v>1</v>
      </c>
      <c r="S2344">
        <v>0</v>
      </c>
      <c r="T2344">
        <v>5</v>
      </c>
      <c r="U2344">
        <v>4</v>
      </c>
    </row>
    <row r="2345" spans="1:21" ht="16.5" x14ac:dyDescent="0.3">
      <c r="A2345" t="s">
        <v>2433</v>
      </c>
      <c r="B2345" s="1">
        <v>45641</v>
      </c>
      <c r="C2345">
        <v>2024</v>
      </c>
      <c r="D2345" t="s">
        <v>1738</v>
      </c>
      <c r="E2345" t="s">
        <v>2310</v>
      </c>
      <c r="F2345" t="s">
        <v>24</v>
      </c>
      <c r="G2345" t="s">
        <v>25</v>
      </c>
      <c r="H2345" t="s">
        <v>26</v>
      </c>
      <c r="I2345" t="s">
        <v>27</v>
      </c>
      <c r="J2345" t="s">
        <v>33</v>
      </c>
      <c r="K2345">
        <v>1</v>
      </c>
      <c r="L2345" s="2">
        <v>78.510000000000005</v>
      </c>
      <c r="M2345" s="3">
        <v>0.1</v>
      </c>
      <c r="N2345" t="s">
        <v>29</v>
      </c>
      <c r="O2345" s="2">
        <v>70.66</v>
      </c>
      <c r="P2345" s="2">
        <v>43.08</v>
      </c>
      <c r="Q2345" s="2">
        <v>27.58</v>
      </c>
      <c r="R2345">
        <v>1</v>
      </c>
      <c r="S2345">
        <v>1</v>
      </c>
      <c r="T2345">
        <v>5</v>
      </c>
      <c r="U2345">
        <v>2</v>
      </c>
    </row>
    <row r="2346" spans="1:21" ht="16.5" x14ac:dyDescent="0.3">
      <c r="A2346" t="s">
        <v>2434</v>
      </c>
      <c r="B2346" s="1">
        <v>45641</v>
      </c>
      <c r="C2346">
        <v>2024</v>
      </c>
      <c r="D2346" t="s">
        <v>1738</v>
      </c>
      <c r="E2346" t="s">
        <v>2310</v>
      </c>
      <c r="F2346" t="s">
        <v>31</v>
      </c>
      <c r="G2346" t="s">
        <v>51</v>
      </c>
      <c r="H2346" t="s">
        <v>32</v>
      </c>
      <c r="I2346" t="s">
        <v>42</v>
      </c>
      <c r="J2346" t="s">
        <v>76</v>
      </c>
      <c r="K2346">
        <v>1</v>
      </c>
      <c r="L2346" s="2">
        <v>90.75</v>
      </c>
      <c r="M2346" s="3">
        <v>0.3</v>
      </c>
      <c r="N2346" t="s">
        <v>62</v>
      </c>
      <c r="O2346" s="2">
        <v>63.52</v>
      </c>
      <c r="P2346" s="2">
        <v>60.89</v>
      </c>
      <c r="Q2346" s="2">
        <v>2.63</v>
      </c>
      <c r="R2346">
        <v>1</v>
      </c>
      <c r="S2346">
        <v>0</v>
      </c>
      <c r="T2346">
        <v>3</v>
      </c>
      <c r="U2346">
        <v>5</v>
      </c>
    </row>
    <row r="2347" spans="1:21" ht="16.5" x14ac:dyDescent="0.3">
      <c r="A2347" t="s">
        <v>2435</v>
      </c>
      <c r="B2347" s="1">
        <v>45641</v>
      </c>
      <c r="C2347">
        <v>2024</v>
      </c>
      <c r="D2347" t="s">
        <v>1738</v>
      </c>
      <c r="E2347" t="s">
        <v>2310</v>
      </c>
      <c r="F2347" t="s">
        <v>24</v>
      </c>
      <c r="G2347" t="s">
        <v>46</v>
      </c>
      <c r="H2347" t="s">
        <v>32</v>
      </c>
      <c r="I2347" t="s">
        <v>27</v>
      </c>
      <c r="J2347" t="s">
        <v>60</v>
      </c>
      <c r="K2347">
        <v>1</v>
      </c>
      <c r="L2347" s="2">
        <v>94.85</v>
      </c>
      <c r="M2347" s="3">
        <v>0.2</v>
      </c>
      <c r="N2347" t="s">
        <v>34</v>
      </c>
      <c r="O2347" s="2">
        <v>75.88</v>
      </c>
      <c r="P2347" s="2">
        <v>49.11</v>
      </c>
      <c r="Q2347" s="2">
        <v>26.77</v>
      </c>
      <c r="R2347">
        <v>1</v>
      </c>
      <c r="S2347">
        <v>1</v>
      </c>
      <c r="T2347">
        <v>6</v>
      </c>
      <c r="U2347">
        <v>2</v>
      </c>
    </row>
    <row r="2348" spans="1:21" ht="16.5" x14ac:dyDescent="0.3">
      <c r="A2348" t="s">
        <v>2436</v>
      </c>
      <c r="B2348" s="1">
        <v>45642</v>
      </c>
      <c r="C2348">
        <v>2024</v>
      </c>
      <c r="D2348" t="s">
        <v>1738</v>
      </c>
      <c r="E2348" t="s">
        <v>2310</v>
      </c>
      <c r="F2348" t="s">
        <v>24</v>
      </c>
      <c r="G2348" t="s">
        <v>65</v>
      </c>
      <c r="H2348" t="s">
        <v>26</v>
      </c>
      <c r="I2348" t="s">
        <v>42</v>
      </c>
      <c r="J2348" t="s">
        <v>58</v>
      </c>
      <c r="K2348">
        <v>1</v>
      </c>
      <c r="L2348" s="2">
        <v>233.81</v>
      </c>
      <c r="M2348" s="3">
        <v>0.15</v>
      </c>
      <c r="N2348" t="s">
        <v>34</v>
      </c>
      <c r="O2348" s="2">
        <v>198.74</v>
      </c>
      <c r="P2348" s="2">
        <v>154.34</v>
      </c>
      <c r="Q2348" s="2">
        <v>44.4</v>
      </c>
      <c r="R2348">
        <v>1</v>
      </c>
      <c r="S2348">
        <v>0</v>
      </c>
      <c r="T2348">
        <v>6</v>
      </c>
      <c r="U2348">
        <v>4</v>
      </c>
    </row>
    <row r="2349" spans="1:21" ht="16.5" x14ac:dyDescent="0.3">
      <c r="A2349" t="s">
        <v>2437</v>
      </c>
      <c r="B2349" s="1">
        <v>45642</v>
      </c>
      <c r="C2349">
        <v>2024</v>
      </c>
      <c r="D2349" t="s">
        <v>1738</v>
      </c>
      <c r="E2349" t="s">
        <v>2310</v>
      </c>
      <c r="F2349" t="s">
        <v>31</v>
      </c>
      <c r="G2349" t="s">
        <v>51</v>
      </c>
      <c r="H2349" t="s">
        <v>32</v>
      </c>
      <c r="I2349" t="s">
        <v>42</v>
      </c>
      <c r="J2349" t="s">
        <v>98</v>
      </c>
      <c r="K2349">
        <v>1</v>
      </c>
      <c r="L2349" s="2">
        <v>117.63</v>
      </c>
      <c r="M2349" s="3">
        <v>0.15</v>
      </c>
      <c r="N2349" t="s">
        <v>34</v>
      </c>
      <c r="O2349" s="2">
        <v>99.99</v>
      </c>
      <c r="P2349" s="2">
        <v>77.11</v>
      </c>
      <c r="Q2349" s="2">
        <v>22.88</v>
      </c>
      <c r="R2349">
        <v>1</v>
      </c>
      <c r="S2349">
        <v>0</v>
      </c>
      <c r="T2349">
        <v>4</v>
      </c>
      <c r="U2349">
        <v>4</v>
      </c>
    </row>
    <row r="2350" spans="1:21" ht="16.5" x14ac:dyDescent="0.3">
      <c r="A2350" t="s">
        <v>2438</v>
      </c>
      <c r="B2350" s="1">
        <v>45642</v>
      </c>
      <c r="C2350">
        <v>2024</v>
      </c>
      <c r="D2350" t="s">
        <v>1738</v>
      </c>
      <c r="E2350" t="s">
        <v>2310</v>
      </c>
      <c r="F2350" t="s">
        <v>31</v>
      </c>
      <c r="G2350" t="s">
        <v>65</v>
      </c>
      <c r="H2350" t="s">
        <v>32</v>
      </c>
      <c r="I2350" t="s">
        <v>27</v>
      </c>
      <c r="J2350" t="s">
        <v>40</v>
      </c>
      <c r="K2350">
        <v>1</v>
      </c>
      <c r="L2350" s="2">
        <v>104.94</v>
      </c>
      <c r="M2350" s="3">
        <v>0</v>
      </c>
      <c r="N2350" t="s">
        <v>38</v>
      </c>
      <c r="O2350" s="2">
        <v>104.94</v>
      </c>
      <c r="P2350" s="2">
        <v>56.11</v>
      </c>
      <c r="Q2350" s="2">
        <v>48.83</v>
      </c>
      <c r="R2350">
        <v>1</v>
      </c>
      <c r="S2350">
        <v>0</v>
      </c>
      <c r="T2350">
        <v>8</v>
      </c>
      <c r="U2350">
        <v>3</v>
      </c>
    </row>
    <row r="2351" spans="1:21" ht="16.5" x14ac:dyDescent="0.3">
      <c r="A2351" t="s">
        <v>2439</v>
      </c>
      <c r="B2351" s="1">
        <v>45642</v>
      </c>
      <c r="C2351">
        <v>2024</v>
      </c>
      <c r="D2351" t="s">
        <v>1738</v>
      </c>
      <c r="E2351" t="s">
        <v>2310</v>
      </c>
      <c r="F2351" t="s">
        <v>24</v>
      </c>
      <c r="G2351" t="s">
        <v>25</v>
      </c>
      <c r="H2351" t="s">
        <v>26</v>
      </c>
      <c r="I2351" t="s">
        <v>42</v>
      </c>
      <c r="J2351" t="s">
        <v>89</v>
      </c>
      <c r="K2351">
        <v>1</v>
      </c>
      <c r="L2351" s="2">
        <v>68.349999999999994</v>
      </c>
      <c r="M2351" s="3">
        <v>0.1</v>
      </c>
      <c r="N2351" t="s">
        <v>29</v>
      </c>
      <c r="O2351" s="2">
        <v>61.51</v>
      </c>
      <c r="P2351" s="2">
        <v>45.96</v>
      </c>
      <c r="Q2351" s="2">
        <v>15.55</v>
      </c>
      <c r="R2351">
        <v>1</v>
      </c>
      <c r="S2351">
        <v>1</v>
      </c>
      <c r="T2351">
        <v>4</v>
      </c>
      <c r="U2351">
        <v>4</v>
      </c>
    </row>
    <row r="2352" spans="1:21" ht="16.5" x14ac:dyDescent="0.3">
      <c r="A2352" t="s">
        <v>2440</v>
      </c>
      <c r="B2352" s="1">
        <v>45642</v>
      </c>
      <c r="C2352">
        <v>2024</v>
      </c>
      <c r="D2352" t="s">
        <v>1738</v>
      </c>
      <c r="E2352" t="s">
        <v>2310</v>
      </c>
      <c r="F2352" t="s">
        <v>45</v>
      </c>
      <c r="G2352" t="s">
        <v>49</v>
      </c>
      <c r="H2352" t="s">
        <v>26</v>
      </c>
      <c r="I2352" t="s">
        <v>27</v>
      </c>
      <c r="J2352" t="s">
        <v>110</v>
      </c>
      <c r="K2352">
        <v>1</v>
      </c>
      <c r="L2352" s="2">
        <v>19.41</v>
      </c>
      <c r="M2352" s="3">
        <v>0.1</v>
      </c>
      <c r="N2352" t="s">
        <v>29</v>
      </c>
      <c r="O2352" s="2">
        <v>17.47</v>
      </c>
      <c r="P2352" s="2">
        <v>10.39</v>
      </c>
      <c r="Q2352" s="2">
        <v>7.08</v>
      </c>
      <c r="R2352">
        <v>1</v>
      </c>
      <c r="S2352">
        <v>0</v>
      </c>
      <c r="T2352">
        <v>6</v>
      </c>
      <c r="U2352">
        <v>3</v>
      </c>
    </row>
    <row r="2353" spans="1:21" ht="16.5" x14ac:dyDescent="0.3">
      <c r="A2353" t="s">
        <v>2441</v>
      </c>
      <c r="B2353" s="1">
        <v>45642</v>
      </c>
      <c r="C2353">
        <v>2024</v>
      </c>
      <c r="D2353" t="s">
        <v>1738</v>
      </c>
      <c r="E2353" t="s">
        <v>2310</v>
      </c>
      <c r="F2353" t="s">
        <v>45</v>
      </c>
      <c r="G2353" t="s">
        <v>49</v>
      </c>
      <c r="H2353" t="s">
        <v>32</v>
      </c>
      <c r="I2353" t="s">
        <v>42</v>
      </c>
      <c r="J2353" t="s">
        <v>54</v>
      </c>
      <c r="K2353">
        <v>2</v>
      </c>
      <c r="L2353" s="2">
        <v>148.05000000000001</v>
      </c>
      <c r="M2353" s="3">
        <v>0.25</v>
      </c>
      <c r="N2353" t="s">
        <v>62</v>
      </c>
      <c r="O2353" s="2">
        <v>222.08</v>
      </c>
      <c r="P2353" s="2">
        <v>190.54</v>
      </c>
      <c r="Q2353" s="2">
        <v>31.54</v>
      </c>
      <c r="R2353">
        <v>1</v>
      </c>
      <c r="S2353">
        <v>0</v>
      </c>
      <c r="T2353">
        <v>6</v>
      </c>
      <c r="U2353">
        <v>4</v>
      </c>
    </row>
    <row r="2354" spans="1:21" ht="16.5" x14ac:dyDescent="0.3">
      <c r="A2354" t="s">
        <v>2442</v>
      </c>
      <c r="B2354" s="1">
        <v>45643</v>
      </c>
      <c r="C2354">
        <v>2024</v>
      </c>
      <c r="D2354" t="s">
        <v>1738</v>
      </c>
      <c r="E2354" t="s">
        <v>2310</v>
      </c>
      <c r="F2354" t="s">
        <v>45</v>
      </c>
      <c r="G2354" t="s">
        <v>65</v>
      </c>
      <c r="H2354" t="s">
        <v>26</v>
      </c>
      <c r="I2354" t="s">
        <v>84</v>
      </c>
      <c r="J2354" t="s">
        <v>106</v>
      </c>
      <c r="K2354">
        <v>2</v>
      </c>
      <c r="L2354" s="2">
        <v>45.28</v>
      </c>
      <c r="M2354" s="3">
        <v>0.05</v>
      </c>
      <c r="N2354" t="s">
        <v>29</v>
      </c>
      <c r="O2354" s="2">
        <v>86.03</v>
      </c>
      <c r="P2354" s="2">
        <v>66.180000000000007</v>
      </c>
      <c r="Q2354" s="2">
        <v>19.850000000000001</v>
      </c>
      <c r="R2354">
        <v>1</v>
      </c>
      <c r="S2354">
        <v>0</v>
      </c>
      <c r="T2354">
        <v>6</v>
      </c>
      <c r="U2354">
        <v>5</v>
      </c>
    </row>
    <row r="2355" spans="1:21" ht="16.5" x14ac:dyDescent="0.3">
      <c r="A2355" t="s">
        <v>2443</v>
      </c>
      <c r="B2355" s="1">
        <v>45643</v>
      </c>
      <c r="C2355">
        <v>2024</v>
      </c>
      <c r="D2355" t="s">
        <v>1738</v>
      </c>
      <c r="E2355" t="s">
        <v>2310</v>
      </c>
      <c r="F2355" t="s">
        <v>24</v>
      </c>
      <c r="G2355" t="s">
        <v>46</v>
      </c>
      <c r="H2355" t="s">
        <v>26</v>
      </c>
      <c r="I2355" t="s">
        <v>42</v>
      </c>
      <c r="J2355" t="s">
        <v>58</v>
      </c>
      <c r="K2355">
        <v>3</v>
      </c>
      <c r="L2355" s="2">
        <v>233.81</v>
      </c>
      <c r="M2355" s="3">
        <v>0.3</v>
      </c>
      <c r="N2355" t="s">
        <v>62</v>
      </c>
      <c r="O2355" s="2">
        <v>491</v>
      </c>
      <c r="P2355" s="2">
        <v>460.28</v>
      </c>
      <c r="Q2355" s="2">
        <v>30.72</v>
      </c>
      <c r="R2355">
        <v>1</v>
      </c>
      <c r="S2355">
        <v>0</v>
      </c>
      <c r="T2355">
        <v>7</v>
      </c>
      <c r="U2355">
        <v>3</v>
      </c>
    </row>
    <row r="2356" spans="1:21" ht="16.5" x14ac:dyDescent="0.3">
      <c r="A2356" t="s">
        <v>2444</v>
      </c>
      <c r="B2356" s="1">
        <v>45643</v>
      </c>
      <c r="C2356">
        <v>2024</v>
      </c>
      <c r="D2356" t="s">
        <v>1738</v>
      </c>
      <c r="E2356" t="s">
        <v>2310</v>
      </c>
      <c r="F2356" t="s">
        <v>24</v>
      </c>
      <c r="G2356" t="s">
        <v>51</v>
      </c>
      <c r="H2356" t="s">
        <v>32</v>
      </c>
      <c r="I2356" t="s">
        <v>42</v>
      </c>
      <c r="J2356" t="s">
        <v>76</v>
      </c>
      <c r="K2356">
        <v>1</v>
      </c>
      <c r="L2356" s="2">
        <v>90.75</v>
      </c>
      <c r="M2356" s="3">
        <v>0.05</v>
      </c>
      <c r="N2356" t="s">
        <v>29</v>
      </c>
      <c r="O2356" s="2">
        <v>86.21</v>
      </c>
      <c r="P2356" s="2">
        <v>58.55</v>
      </c>
      <c r="Q2356" s="2">
        <v>27.66</v>
      </c>
      <c r="R2356">
        <v>1</v>
      </c>
      <c r="S2356">
        <v>0</v>
      </c>
      <c r="T2356">
        <v>3</v>
      </c>
      <c r="U2356">
        <v>4</v>
      </c>
    </row>
    <row r="2357" spans="1:21" ht="16.5" x14ac:dyDescent="0.3">
      <c r="A2357" t="s">
        <v>2445</v>
      </c>
      <c r="B2357" s="1">
        <v>45643</v>
      </c>
      <c r="C2357">
        <v>2024</v>
      </c>
      <c r="D2357" t="s">
        <v>1738</v>
      </c>
      <c r="E2357" t="s">
        <v>2310</v>
      </c>
      <c r="F2357" t="s">
        <v>31</v>
      </c>
      <c r="G2357" t="s">
        <v>25</v>
      </c>
      <c r="H2357" t="s">
        <v>32</v>
      </c>
      <c r="I2357" t="s">
        <v>42</v>
      </c>
      <c r="J2357" t="s">
        <v>98</v>
      </c>
      <c r="K2357">
        <v>1</v>
      </c>
      <c r="L2357" s="2">
        <v>117.63</v>
      </c>
      <c r="M2357" s="3">
        <v>0</v>
      </c>
      <c r="N2357" t="s">
        <v>38</v>
      </c>
      <c r="O2357" s="2">
        <v>117.63</v>
      </c>
      <c r="P2357" s="2">
        <v>81.89</v>
      </c>
      <c r="Q2357" s="2">
        <v>35.74</v>
      </c>
      <c r="R2357">
        <v>1</v>
      </c>
      <c r="S2357">
        <v>1</v>
      </c>
      <c r="T2357">
        <v>4</v>
      </c>
      <c r="U2357">
        <v>3</v>
      </c>
    </row>
    <row r="2358" spans="1:21" ht="16.5" x14ac:dyDescent="0.3">
      <c r="A2358" t="s">
        <v>2446</v>
      </c>
      <c r="B2358" s="1">
        <v>45643</v>
      </c>
      <c r="C2358">
        <v>2024</v>
      </c>
      <c r="D2358" t="s">
        <v>1738</v>
      </c>
      <c r="E2358" t="s">
        <v>2310</v>
      </c>
      <c r="F2358" t="s">
        <v>31</v>
      </c>
      <c r="G2358" t="s">
        <v>51</v>
      </c>
      <c r="H2358" t="s">
        <v>32</v>
      </c>
      <c r="I2358" t="s">
        <v>27</v>
      </c>
      <c r="J2358" t="s">
        <v>40</v>
      </c>
      <c r="K2358">
        <v>1</v>
      </c>
      <c r="L2358" s="2">
        <v>104.94</v>
      </c>
      <c r="M2358" s="3">
        <v>0.2</v>
      </c>
      <c r="N2358" t="s">
        <v>34</v>
      </c>
      <c r="O2358" s="2">
        <v>83.95</v>
      </c>
      <c r="P2358" s="2">
        <v>56.98</v>
      </c>
      <c r="Q2358" s="2">
        <v>26.97</v>
      </c>
      <c r="R2358">
        <v>1</v>
      </c>
      <c r="S2358">
        <v>0</v>
      </c>
      <c r="T2358">
        <v>5</v>
      </c>
      <c r="U2358">
        <v>4</v>
      </c>
    </row>
    <row r="2359" spans="1:21" ht="16.5" x14ac:dyDescent="0.3">
      <c r="A2359" t="s">
        <v>2447</v>
      </c>
      <c r="B2359" s="1">
        <v>45643</v>
      </c>
      <c r="C2359">
        <v>2024</v>
      </c>
      <c r="D2359" t="s">
        <v>1738</v>
      </c>
      <c r="E2359" t="s">
        <v>2310</v>
      </c>
      <c r="F2359" t="s">
        <v>24</v>
      </c>
      <c r="G2359" t="s">
        <v>49</v>
      </c>
      <c r="H2359" t="s">
        <v>32</v>
      </c>
      <c r="I2359" t="s">
        <v>67</v>
      </c>
      <c r="J2359" t="s">
        <v>103</v>
      </c>
      <c r="K2359">
        <v>1</v>
      </c>
      <c r="L2359" s="2">
        <v>83.06</v>
      </c>
      <c r="M2359" s="3">
        <v>0.2</v>
      </c>
      <c r="N2359" t="s">
        <v>34</v>
      </c>
      <c r="O2359" s="2">
        <v>66.45</v>
      </c>
      <c r="P2359" s="2">
        <v>55.77</v>
      </c>
      <c r="Q2359" s="2">
        <v>10.68</v>
      </c>
      <c r="R2359">
        <v>1</v>
      </c>
      <c r="S2359">
        <v>0</v>
      </c>
      <c r="T2359">
        <v>5</v>
      </c>
      <c r="U2359">
        <v>4</v>
      </c>
    </row>
    <row r="2360" spans="1:21" ht="16.5" x14ac:dyDescent="0.3">
      <c r="A2360" t="s">
        <v>2448</v>
      </c>
      <c r="B2360" s="1">
        <v>45643</v>
      </c>
      <c r="C2360">
        <v>2024</v>
      </c>
      <c r="D2360" t="s">
        <v>1738</v>
      </c>
      <c r="E2360" t="s">
        <v>2310</v>
      </c>
      <c r="F2360" t="s">
        <v>24</v>
      </c>
      <c r="G2360" t="s">
        <v>51</v>
      </c>
      <c r="H2360" t="s">
        <v>32</v>
      </c>
      <c r="I2360" t="s">
        <v>70</v>
      </c>
      <c r="J2360" t="s">
        <v>252</v>
      </c>
      <c r="K2360">
        <v>3</v>
      </c>
      <c r="L2360" s="2">
        <v>216.08</v>
      </c>
      <c r="M2360" s="3">
        <v>0.05</v>
      </c>
      <c r="N2360" t="s">
        <v>29</v>
      </c>
      <c r="O2360" s="2">
        <v>615.83000000000004</v>
      </c>
      <c r="P2360" s="2">
        <v>518.47</v>
      </c>
      <c r="Q2360" s="2">
        <v>97.36</v>
      </c>
      <c r="R2360">
        <v>1</v>
      </c>
      <c r="S2360">
        <v>0</v>
      </c>
      <c r="T2360">
        <v>5</v>
      </c>
      <c r="U2360">
        <v>5</v>
      </c>
    </row>
    <row r="2361" spans="1:21" ht="16.5" x14ac:dyDescent="0.3">
      <c r="A2361" t="s">
        <v>2449</v>
      </c>
      <c r="B2361" s="1">
        <v>45643</v>
      </c>
      <c r="C2361">
        <v>2024</v>
      </c>
      <c r="D2361" t="s">
        <v>1738</v>
      </c>
      <c r="E2361" t="s">
        <v>2310</v>
      </c>
      <c r="F2361" t="s">
        <v>24</v>
      </c>
      <c r="G2361" t="s">
        <v>51</v>
      </c>
      <c r="H2361" t="s">
        <v>32</v>
      </c>
      <c r="I2361" t="s">
        <v>70</v>
      </c>
      <c r="J2361" t="s">
        <v>71</v>
      </c>
      <c r="K2361">
        <v>1</v>
      </c>
      <c r="L2361" s="2">
        <v>588.41</v>
      </c>
      <c r="M2361" s="3">
        <v>0</v>
      </c>
      <c r="N2361" t="s">
        <v>38</v>
      </c>
      <c r="O2361" s="2">
        <v>588.41</v>
      </c>
      <c r="P2361" s="2">
        <v>464.36</v>
      </c>
      <c r="Q2361" s="2">
        <v>124.05</v>
      </c>
      <c r="R2361">
        <v>1</v>
      </c>
      <c r="S2361">
        <v>0</v>
      </c>
      <c r="T2361">
        <v>3</v>
      </c>
      <c r="U2361">
        <v>4</v>
      </c>
    </row>
    <row r="2362" spans="1:21" ht="16.5" x14ac:dyDescent="0.3">
      <c r="A2362" t="s">
        <v>2450</v>
      </c>
      <c r="B2362" s="1">
        <v>45643</v>
      </c>
      <c r="C2362">
        <v>2024</v>
      </c>
      <c r="D2362" t="s">
        <v>1738</v>
      </c>
      <c r="E2362" t="s">
        <v>2310</v>
      </c>
      <c r="F2362" t="s">
        <v>24</v>
      </c>
      <c r="G2362" t="s">
        <v>49</v>
      </c>
      <c r="H2362" t="s">
        <v>32</v>
      </c>
      <c r="I2362" t="s">
        <v>70</v>
      </c>
      <c r="J2362" t="s">
        <v>129</v>
      </c>
      <c r="K2362">
        <v>1</v>
      </c>
      <c r="L2362" s="2">
        <v>177.65</v>
      </c>
      <c r="M2362" s="3">
        <v>0.3</v>
      </c>
      <c r="N2362" t="s">
        <v>62</v>
      </c>
      <c r="O2362" s="2">
        <v>124.35</v>
      </c>
      <c r="P2362" s="2">
        <v>135.9</v>
      </c>
      <c r="Q2362" s="2">
        <v>-11.55</v>
      </c>
      <c r="R2362">
        <v>1</v>
      </c>
      <c r="S2362">
        <v>0</v>
      </c>
      <c r="T2362">
        <v>6</v>
      </c>
      <c r="U2362">
        <v>2</v>
      </c>
    </row>
    <row r="2363" spans="1:21" ht="16.5" x14ac:dyDescent="0.3">
      <c r="A2363" t="s">
        <v>2451</v>
      </c>
      <c r="B2363" s="1">
        <v>45643</v>
      </c>
      <c r="C2363">
        <v>2024</v>
      </c>
      <c r="D2363" t="s">
        <v>1738</v>
      </c>
      <c r="E2363" t="s">
        <v>2310</v>
      </c>
      <c r="F2363" t="s">
        <v>24</v>
      </c>
      <c r="G2363" t="s">
        <v>51</v>
      </c>
      <c r="H2363" t="s">
        <v>32</v>
      </c>
      <c r="I2363" t="s">
        <v>27</v>
      </c>
      <c r="J2363" t="s">
        <v>40</v>
      </c>
      <c r="K2363">
        <v>2</v>
      </c>
      <c r="L2363" s="2">
        <v>104.94</v>
      </c>
      <c r="M2363" s="3">
        <v>0.1</v>
      </c>
      <c r="N2363" t="s">
        <v>29</v>
      </c>
      <c r="O2363" s="2">
        <v>188.89</v>
      </c>
      <c r="P2363" s="2">
        <v>111.15</v>
      </c>
      <c r="Q2363" s="2">
        <v>77.739999999999995</v>
      </c>
      <c r="R2363">
        <v>1</v>
      </c>
      <c r="S2363">
        <v>1</v>
      </c>
      <c r="T2363">
        <v>4</v>
      </c>
      <c r="U2363">
        <v>4</v>
      </c>
    </row>
    <row r="2364" spans="1:21" ht="16.5" x14ac:dyDescent="0.3">
      <c r="A2364" t="s">
        <v>2452</v>
      </c>
      <c r="B2364" s="1">
        <v>45644</v>
      </c>
      <c r="C2364">
        <v>2024</v>
      </c>
      <c r="D2364" t="s">
        <v>1738</v>
      </c>
      <c r="E2364" t="s">
        <v>2310</v>
      </c>
      <c r="F2364" t="s">
        <v>31</v>
      </c>
      <c r="G2364" t="s">
        <v>25</v>
      </c>
      <c r="H2364" t="s">
        <v>32</v>
      </c>
      <c r="I2364" t="s">
        <v>67</v>
      </c>
      <c r="J2364" t="s">
        <v>68</v>
      </c>
      <c r="K2364">
        <v>1</v>
      </c>
      <c r="L2364" s="2">
        <v>74.459999999999994</v>
      </c>
      <c r="M2364" s="3">
        <v>0.25</v>
      </c>
      <c r="N2364" t="s">
        <v>62</v>
      </c>
      <c r="O2364" s="2">
        <v>55.84</v>
      </c>
      <c r="P2364" s="2">
        <v>50.38</v>
      </c>
      <c r="Q2364" s="2">
        <v>5.46</v>
      </c>
      <c r="R2364">
        <v>1</v>
      </c>
      <c r="S2364">
        <v>0</v>
      </c>
      <c r="T2364">
        <v>4</v>
      </c>
      <c r="U2364">
        <v>5</v>
      </c>
    </row>
    <row r="2365" spans="1:21" ht="16.5" x14ac:dyDescent="0.3">
      <c r="A2365" t="s">
        <v>2453</v>
      </c>
      <c r="B2365" s="1">
        <v>45644</v>
      </c>
      <c r="C2365">
        <v>2024</v>
      </c>
      <c r="D2365" t="s">
        <v>1738</v>
      </c>
      <c r="E2365" t="s">
        <v>2310</v>
      </c>
      <c r="F2365" t="s">
        <v>24</v>
      </c>
      <c r="G2365" t="s">
        <v>51</v>
      </c>
      <c r="H2365" t="s">
        <v>32</v>
      </c>
      <c r="I2365" t="s">
        <v>67</v>
      </c>
      <c r="J2365" t="s">
        <v>174</v>
      </c>
      <c r="K2365">
        <v>3</v>
      </c>
      <c r="L2365" s="2">
        <v>137.05000000000001</v>
      </c>
      <c r="M2365" s="3">
        <v>0.25</v>
      </c>
      <c r="N2365" t="s">
        <v>62</v>
      </c>
      <c r="O2365" s="2">
        <v>308.36</v>
      </c>
      <c r="P2365" s="2">
        <v>280.19</v>
      </c>
      <c r="Q2365" s="2">
        <v>28.17</v>
      </c>
      <c r="R2365">
        <v>1</v>
      </c>
      <c r="S2365">
        <v>0</v>
      </c>
      <c r="T2365">
        <v>5</v>
      </c>
      <c r="U2365">
        <v>4</v>
      </c>
    </row>
    <row r="2366" spans="1:21" ht="16.5" x14ac:dyDescent="0.3">
      <c r="A2366" t="s">
        <v>2454</v>
      </c>
      <c r="B2366" s="1">
        <v>45644</v>
      </c>
      <c r="C2366">
        <v>2024</v>
      </c>
      <c r="D2366" t="s">
        <v>1738</v>
      </c>
      <c r="E2366" t="s">
        <v>2310</v>
      </c>
      <c r="F2366" t="s">
        <v>24</v>
      </c>
      <c r="G2366" t="s">
        <v>51</v>
      </c>
      <c r="H2366" t="s">
        <v>32</v>
      </c>
      <c r="I2366" t="s">
        <v>36</v>
      </c>
      <c r="J2366" t="s">
        <v>52</v>
      </c>
      <c r="K2366">
        <v>1</v>
      </c>
      <c r="L2366" s="2">
        <v>92.54</v>
      </c>
      <c r="M2366" s="3">
        <v>0.1</v>
      </c>
      <c r="N2366" t="s">
        <v>29</v>
      </c>
      <c r="O2366" s="2">
        <v>83.29</v>
      </c>
      <c r="P2366" s="2">
        <v>43.39</v>
      </c>
      <c r="Q2366" s="2">
        <v>39.9</v>
      </c>
      <c r="R2366">
        <v>1</v>
      </c>
      <c r="S2366">
        <v>0</v>
      </c>
      <c r="T2366">
        <v>4</v>
      </c>
      <c r="U2366">
        <v>5</v>
      </c>
    </row>
    <row r="2367" spans="1:21" ht="16.5" x14ac:dyDescent="0.3">
      <c r="A2367" t="s">
        <v>2455</v>
      </c>
      <c r="B2367" s="1">
        <v>45644</v>
      </c>
      <c r="C2367">
        <v>2024</v>
      </c>
      <c r="D2367" t="s">
        <v>1738</v>
      </c>
      <c r="E2367" t="s">
        <v>2310</v>
      </c>
      <c r="F2367" t="s">
        <v>24</v>
      </c>
      <c r="G2367" t="s">
        <v>51</v>
      </c>
      <c r="H2367" t="s">
        <v>32</v>
      </c>
      <c r="I2367" t="s">
        <v>70</v>
      </c>
      <c r="J2367" t="s">
        <v>71</v>
      </c>
      <c r="K2367">
        <v>1</v>
      </c>
      <c r="L2367" s="2">
        <v>588.41</v>
      </c>
      <c r="M2367" s="3">
        <v>0.1</v>
      </c>
      <c r="N2367" t="s">
        <v>29</v>
      </c>
      <c r="O2367" s="2">
        <v>529.57000000000005</v>
      </c>
      <c r="P2367" s="2">
        <v>471.56</v>
      </c>
      <c r="Q2367" s="2">
        <v>58.01</v>
      </c>
      <c r="R2367">
        <v>1</v>
      </c>
      <c r="S2367">
        <v>0</v>
      </c>
      <c r="T2367">
        <v>4</v>
      </c>
      <c r="U2367">
        <v>4</v>
      </c>
    </row>
    <row r="2368" spans="1:21" ht="16.5" x14ac:dyDescent="0.3">
      <c r="A2368" t="s">
        <v>2456</v>
      </c>
      <c r="B2368" s="1">
        <v>45644</v>
      </c>
      <c r="C2368">
        <v>2024</v>
      </c>
      <c r="D2368" t="s">
        <v>1738</v>
      </c>
      <c r="E2368" t="s">
        <v>2310</v>
      </c>
      <c r="F2368" t="s">
        <v>24</v>
      </c>
      <c r="G2368" t="s">
        <v>25</v>
      </c>
      <c r="H2368" t="s">
        <v>26</v>
      </c>
      <c r="I2368" t="s">
        <v>36</v>
      </c>
      <c r="J2368" t="s">
        <v>52</v>
      </c>
      <c r="K2368">
        <v>1</v>
      </c>
      <c r="L2368" s="2">
        <v>92.54</v>
      </c>
      <c r="M2368" s="3">
        <v>0.3</v>
      </c>
      <c r="N2368" t="s">
        <v>62</v>
      </c>
      <c r="O2368" s="2">
        <v>64.78</v>
      </c>
      <c r="P2368" s="2">
        <v>43.49</v>
      </c>
      <c r="Q2368" s="2">
        <v>21.29</v>
      </c>
      <c r="R2368">
        <v>1</v>
      </c>
      <c r="S2368">
        <v>0</v>
      </c>
      <c r="T2368">
        <v>4</v>
      </c>
      <c r="U2368">
        <v>4</v>
      </c>
    </row>
    <row r="2369" spans="1:21" ht="16.5" x14ac:dyDescent="0.3">
      <c r="A2369" t="s">
        <v>2457</v>
      </c>
      <c r="B2369" s="1">
        <v>45644</v>
      </c>
      <c r="C2369">
        <v>2024</v>
      </c>
      <c r="D2369" t="s">
        <v>1738</v>
      </c>
      <c r="E2369" t="s">
        <v>2310</v>
      </c>
      <c r="F2369" t="s">
        <v>45</v>
      </c>
      <c r="G2369" t="s">
        <v>25</v>
      </c>
      <c r="H2369" t="s">
        <v>26</v>
      </c>
      <c r="I2369" t="s">
        <v>36</v>
      </c>
      <c r="J2369" t="s">
        <v>126</v>
      </c>
      <c r="K2369">
        <v>2</v>
      </c>
      <c r="L2369" s="2">
        <v>54.56</v>
      </c>
      <c r="M2369" s="3">
        <v>0.15</v>
      </c>
      <c r="N2369" t="s">
        <v>34</v>
      </c>
      <c r="O2369" s="2">
        <v>92.75</v>
      </c>
      <c r="P2369" s="2">
        <v>52.09</v>
      </c>
      <c r="Q2369" s="2">
        <v>40.659999999999997</v>
      </c>
      <c r="R2369">
        <v>1</v>
      </c>
      <c r="S2369">
        <v>0</v>
      </c>
      <c r="T2369">
        <v>4</v>
      </c>
      <c r="U2369">
        <v>4</v>
      </c>
    </row>
    <row r="2370" spans="1:21" ht="16.5" x14ac:dyDescent="0.3">
      <c r="A2370" t="s">
        <v>2458</v>
      </c>
      <c r="B2370" s="1">
        <v>45644</v>
      </c>
      <c r="C2370">
        <v>2024</v>
      </c>
      <c r="D2370" t="s">
        <v>1738</v>
      </c>
      <c r="E2370" t="s">
        <v>2310</v>
      </c>
      <c r="F2370" t="s">
        <v>24</v>
      </c>
      <c r="G2370" t="s">
        <v>51</v>
      </c>
      <c r="H2370" t="s">
        <v>26</v>
      </c>
      <c r="I2370" t="s">
        <v>42</v>
      </c>
      <c r="J2370" t="s">
        <v>43</v>
      </c>
      <c r="K2370">
        <v>4</v>
      </c>
      <c r="L2370" s="2">
        <v>154.66</v>
      </c>
      <c r="M2370" s="3">
        <v>0.25</v>
      </c>
      <c r="N2370" t="s">
        <v>62</v>
      </c>
      <c r="O2370" s="2">
        <v>463.98</v>
      </c>
      <c r="P2370" s="2">
        <v>418.88</v>
      </c>
      <c r="Q2370" s="2">
        <v>45.1</v>
      </c>
      <c r="R2370">
        <v>1</v>
      </c>
      <c r="S2370">
        <v>0</v>
      </c>
      <c r="T2370">
        <v>3</v>
      </c>
      <c r="U2370">
        <v>4</v>
      </c>
    </row>
    <row r="2371" spans="1:21" ht="16.5" x14ac:dyDescent="0.3">
      <c r="A2371" t="s">
        <v>2459</v>
      </c>
      <c r="B2371" s="1">
        <v>45645</v>
      </c>
      <c r="C2371">
        <v>2024</v>
      </c>
      <c r="D2371" t="s">
        <v>1738</v>
      </c>
      <c r="E2371" t="s">
        <v>2310</v>
      </c>
      <c r="F2371" t="s">
        <v>24</v>
      </c>
      <c r="G2371" t="s">
        <v>49</v>
      </c>
      <c r="H2371" t="s">
        <v>32</v>
      </c>
      <c r="I2371" t="s">
        <v>27</v>
      </c>
      <c r="J2371" t="s">
        <v>47</v>
      </c>
      <c r="K2371">
        <v>1</v>
      </c>
      <c r="L2371" s="2">
        <v>33.99</v>
      </c>
      <c r="M2371" s="3">
        <v>0.25</v>
      </c>
      <c r="N2371" t="s">
        <v>62</v>
      </c>
      <c r="O2371" s="2">
        <v>25.49</v>
      </c>
      <c r="P2371" s="2">
        <v>19.309999999999999</v>
      </c>
      <c r="Q2371" s="2">
        <v>6.18</v>
      </c>
      <c r="R2371">
        <v>1</v>
      </c>
      <c r="S2371">
        <v>0</v>
      </c>
      <c r="T2371">
        <v>5</v>
      </c>
      <c r="U2371">
        <v>4</v>
      </c>
    </row>
    <row r="2372" spans="1:21" ht="16.5" x14ac:dyDescent="0.3">
      <c r="A2372" t="s">
        <v>2460</v>
      </c>
      <c r="B2372" s="1">
        <v>45645</v>
      </c>
      <c r="C2372">
        <v>2024</v>
      </c>
      <c r="D2372" t="s">
        <v>1738</v>
      </c>
      <c r="E2372" t="s">
        <v>2310</v>
      </c>
      <c r="F2372" t="s">
        <v>24</v>
      </c>
      <c r="G2372" t="s">
        <v>25</v>
      </c>
      <c r="H2372" t="s">
        <v>32</v>
      </c>
      <c r="I2372" t="s">
        <v>70</v>
      </c>
      <c r="J2372" t="s">
        <v>162</v>
      </c>
      <c r="K2372">
        <v>3</v>
      </c>
      <c r="L2372" s="2">
        <v>636.09</v>
      </c>
      <c r="M2372" s="3">
        <v>0.25</v>
      </c>
      <c r="N2372" t="s">
        <v>62</v>
      </c>
      <c r="O2372" s="2">
        <v>1431.2</v>
      </c>
      <c r="P2372" s="2">
        <v>1485.37</v>
      </c>
      <c r="Q2372" s="2">
        <v>-54.17</v>
      </c>
      <c r="R2372">
        <v>1</v>
      </c>
      <c r="S2372">
        <v>0</v>
      </c>
      <c r="T2372">
        <v>6</v>
      </c>
      <c r="U2372">
        <v>4</v>
      </c>
    </row>
    <row r="2373" spans="1:21" ht="16.5" x14ac:dyDescent="0.3">
      <c r="A2373" t="s">
        <v>2461</v>
      </c>
      <c r="B2373" s="1">
        <v>45645</v>
      </c>
      <c r="C2373">
        <v>2024</v>
      </c>
      <c r="D2373" t="s">
        <v>1738</v>
      </c>
      <c r="E2373" t="s">
        <v>2310</v>
      </c>
      <c r="F2373" t="s">
        <v>31</v>
      </c>
      <c r="G2373" t="s">
        <v>25</v>
      </c>
      <c r="H2373" t="s">
        <v>32</v>
      </c>
      <c r="I2373" t="s">
        <v>36</v>
      </c>
      <c r="J2373" t="s">
        <v>126</v>
      </c>
      <c r="K2373">
        <v>1</v>
      </c>
      <c r="L2373" s="2">
        <v>54.56</v>
      </c>
      <c r="M2373" s="3">
        <v>0.3</v>
      </c>
      <c r="N2373" t="s">
        <v>62</v>
      </c>
      <c r="O2373" s="2">
        <v>38.19</v>
      </c>
      <c r="P2373" s="2">
        <v>26.49</v>
      </c>
      <c r="Q2373" s="2">
        <v>11.7</v>
      </c>
      <c r="R2373">
        <v>1</v>
      </c>
      <c r="S2373">
        <v>0</v>
      </c>
      <c r="T2373">
        <v>5</v>
      </c>
      <c r="U2373">
        <v>4</v>
      </c>
    </row>
    <row r="2374" spans="1:21" ht="16.5" x14ac:dyDescent="0.3">
      <c r="A2374" t="s">
        <v>2462</v>
      </c>
      <c r="B2374" s="1">
        <v>45645</v>
      </c>
      <c r="C2374">
        <v>2024</v>
      </c>
      <c r="D2374" t="s">
        <v>1738</v>
      </c>
      <c r="E2374" t="s">
        <v>2310</v>
      </c>
      <c r="F2374" t="s">
        <v>45</v>
      </c>
      <c r="G2374" t="s">
        <v>25</v>
      </c>
      <c r="H2374" t="s">
        <v>26</v>
      </c>
      <c r="I2374" t="s">
        <v>70</v>
      </c>
      <c r="J2374" t="s">
        <v>129</v>
      </c>
      <c r="K2374">
        <v>4</v>
      </c>
      <c r="L2374" s="2">
        <v>177.65</v>
      </c>
      <c r="M2374" s="3">
        <v>0.25</v>
      </c>
      <c r="N2374" t="s">
        <v>62</v>
      </c>
      <c r="O2374" s="2">
        <v>532.95000000000005</v>
      </c>
      <c r="P2374" s="2">
        <v>552.29</v>
      </c>
      <c r="Q2374" s="2">
        <v>-19.34</v>
      </c>
      <c r="R2374">
        <v>1</v>
      </c>
      <c r="S2374">
        <v>0</v>
      </c>
      <c r="T2374">
        <v>4</v>
      </c>
      <c r="U2374">
        <v>4</v>
      </c>
    </row>
    <row r="2375" spans="1:21" ht="16.5" x14ac:dyDescent="0.3">
      <c r="A2375" t="s">
        <v>2463</v>
      </c>
      <c r="B2375" s="1">
        <v>45645</v>
      </c>
      <c r="C2375">
        <v>2024</v>
      </c>
      <c r="D2375" t="s">
        <v>1738</v>
      </c>
      <c r="E2375" t="s">
        <v>2310</v>
      </c>
      <c r="F2375" t="s">
        <v>24</v>
      </c>
      <c r="G2375" t="s">
        <v>65</v>
      </c>
      <c r="H2375" t="s">
        <v>26</v>
      </c>
      <c r="I2375" t="s">
        <v>84</v>
      </c>
      <c r="J2375" t="s">
        <v>85</v>
      </c>
      <c r="K2375">
        <v>3</v>
      </c>
      <c r="L2375" s="2">
        <v>57.92</v>
      </c>
      <c r="M2375" s="3">
        <v>0.2</v>
      </c>
      <c r="N2375" t="s">
        <v>34</v>
      </c>
      <c r="O2375" s="2">
        <v>139.01</v>
      </c>
      <c r="P2375" s="2">
        <v>123.25</v>
      </c>
      <c r="Q2375" s="2">
        <v>15.76</v>
      </c>
      <c r="R2375">
        <v>1</v>
      </c>
      <c r="S2375">
        <v>0</v>
      </c>
      <c r="T2375">
        <v>6</v>
      </c>
      <c r="U2375">
        <v>4</v>
      </c>
    </row>
    <row r="2376" spans="1:21" ht="16.5" x14ac:dyDescent="0.3">
      <c r="A2376" t="s">
        <v>2464</v>
      </c>
      <c r="B2376" s="1">
        <v>45645</v>
      </c>
      <c r="C2376">
        <v>2024</v>
      </c>
      <c r="D2376" t="s">
        <v>1738</v>
      </c>
      <c r="E2376" t="s">
        <v>2310</v>
      </c>
      <c r="F2376" t="s">
        <v>24</v>
      </c>
      <c r="G2376" t="s">
        <v>25</v>
      </c>
      <c r="H2376" t="s">
        <v>26</v>
      </c>
      <c r="I2376" t="s">
        <v>27</v>
      </c>
      <c r="J2376" t="s">
        <v>60</v>
      </c>
      <c r="K2376">
        <v>2</v>
      </c>
      <c r="L2376" s="2">
        <v>94.85</v>
      </c>
      <c r="M2376" s="3">
        <v>0.25</v>
      </c>
      <c r="N2376" t="s">
        <v>62</v>
      </c>
      <c r="O2376" s="2">
        <v>142.27000000000001</v>
      </c>
      <c r="P2376" s="2">
        <v>105.2</v>
      </c>
      <c r="Q2376" s="2">
        <v>37.07</v>
      </c>
      <c r="R2376">
        <v>1</v>
      </c>
      <c r="S2376">
        <v>0</v>
      </c>
      <c r="T2376">
        <v>4</v>
      </c>
      <c r="U2376">
        <v>4</v>
      </c>
    </row>
    <row r="2377" spans="1:21" ht="16.5" x14ac:dyDescent="0.3">
      <c r="A2377" t="s">
        <v>2465</v>
      </c>
      <c r="B2377" s="1">
        <v>45645</v>
      </c>
      <c r="C2377">
        <v>2024</v>
      </c>
      <c r="D2377" t="s">
        <v>1738</v>
      </c>
      <c r="E2377" t="s">
        <v>2310</v>
      </c>
      <c r="F2377" t="s">
        <v>31</v>
      </c>
      <c r="G2377" t="s">
        <v>49</v>
      </c>
      <c r="H2377" t="s">
        <v>32</v>
      </c>
      <c r="I2377" t="s">
        <v>70</v>
      </c>
      <c r="J2377" t="s">
        <v>129</v>
      </c>
      <c r="K2377">
        <v>2</v>
      </c>
      <c r="L2377" s="2">
        <v>177.65</v>
      </c>
      <c r="M2377" s="3">
        <v>0.15</v>
      </c>
      <c r="N2377" t="s">
        <v>34</v>
      </c>
      <c r="O2377" s="2">
        <v>302</v>
      </c>
      <c r="P2377" s="2">
        <v>274.14</v>
      </c>
      <c r="Q2377" s="2">
        <v>27.86</v>
      </c>
      <c r="R2377">
        <v>1</v>
      </c>
      <c r="S2377">
        <v>0</v>
      </c>
      <c r="T2377">
        <v>5</v>
      </c>
      <c r="U2377">
        <v>4</v>
      </c>
    </row>
    <row r="2378" spans="1:21" ht="16.5" x14ac:dyDescent="0.3">
      <c r="A2378" t="s">
        <v>2466</v>
      </c>
      <c r="B2378" s="1">
        <v>45646</v>
      </c>
      <c r="C2378">
        <v>2024</v>
      </c>
      <c r="D2378" t="s">
        <v>1738</v>
      </c>
      <c r="E2378" t="s">
        <v>2310</v>
      </c>
      <c r="F2378" t="s">
        <v>45</v>
      </c>
      <c r="G2378" t="s">
        <v>51</v>
      </c>
      <c r="H2378" t="s">
        <v>32</v>
      </c>
      <c r="I2378" t="s">
        <v>67</v>
      </c>
      <c r="J2378" t="s">
        <v>93</v>
      </c>
      <c r="K2378">
        <v>1</v>
      </c>
      <c r="L2378" s="2">
        <v>198.42</v>
      </c>
      <c r="M2378" s="3">
        <v>0.05</v>
      </c>
      <c r="N2378" t="s">
        <v>29</v>
      </c>
      <c r="O2378" s="2">
        <v>188.5</v>
      </c>
      <c r="P2378" s="2">
        <v>126.08</v>
      </c>
      <c r="Q2378" s="2">
        <v>62.42</v>
      </c>
      <c r="R2378">
        <v>1</v>
      </c>
      <c r="S2378">
        <v>0</v>
      </c>
      <c r="T2378">
        <v>5</v>
      </c>
      <c r="U2378">
        <v>3</v>
      </c>
    </row>
    <row r="2379" spans="1:21" ht="16.5" x14ac:dyDescent="0.3">
      <c r="A2379" t="s">
        <v>2467</v>
      </c>
      <c r="B2379" s="1">
        <v>45646</v>
      </c>
      <c r="C2379">
        <v>2024</v>
      </c>
      <c r="D2379" t="s">
        <v>1738</v>
      </c>
      <c r="E2379" t="s">
        <v>2310</v>
      </c>
      <c r="F2379" t="s">
        <v>24</v>
      </c>
      <c r="G2379" t="s">
        <v>65</v>
      </c>
      <c r="H2379" t="s">
        <v>32</v>
      </c>
      <c r="I2379" t="s">
        <v>42</v>
      </c>
      <c r="J2379" t="s">
        <v>58</v>
      </c>
      <c r="K2379">
        <v>4</v>
      </c>
      <c r="L2379" s="2">
        <v>233.81</v>
      </c>
      <c r="M2379" s="3">
        <v>0.25</v>
      </c>
      <c r="N2379" t="s">
        <v>62</v>
      </c>
      <c r="O2379" s="2">
        <v>701.43</v>
      </c>
      <c r="P2379" s="2">
        <v>630.94000000000005</v>
      </c>
      <c r="Q2379" s="2">
        <v>70.489999999999995</v>
      </c>
      <c r="R2379">
        <v>1</v>
      </c>
      <c r="S2379">
        <v>0</v>
      </c>
      <c r="T2379">
        <v>6</v>
      </c>
      <c r="U2379">
        <v>4</v>
      </c>
    </row>
    <row r="2380" spans="1:21" ht="16.5" x14ac:dyDescent="0.3">
      <c r="A2380" t="s">
        <v>2468</v>
      </c>
      <c r="B2380" s="1">
        <v>45646</v>
      </c>
      <c r="C2380">
        <v>2024</v>
      </c>
      <c r="D2380" t="s">
        <v>1738</v>
      </c>
      <c r="E2380" t="s">
        <v>2310</v>
      </c>
      <c r="F2380" t="s">
        <v>31</v>
      </c>
      <c r="G2380" t="s">
        <v>51</v>
      </c>
      <c r="H2380" t="s">
        <v>32</v>
      </c>
      <c r="I2380" t="s">
        <v>84</v>
      </c>
      <c r="J2380" t="s">
        <v>85</v>
      </c>
      <c r="K2380">
        <v>3</v>
      </c>
      <c r="L2380" s="2">
        <v>57.92</v>
      </c>
      <c r="M2380" s="3">
        <v>0.2</v>
      </c>
      <c r="N2380" t="s">
        <v>34</v>
      </c>
      <c r="O2380" s="2">
        <v>139.01</v>
      </c>
      <c r="P2380" s="2">
        <v>128.63999999999999</v>
      </c>
      <c r="Q2380" s="2">
        <v>10.37</v>
      </c>
      <c r="R2380">
        <v>1</v>
      </c>
      <c r="S2380">
        <v>0</v>
      </c>
      <c r="T2380">
        <v>3</v>
      </c>
      <c r="U2380">
        <v>4</v>
      </c>
    </row>
    <row r="2381" spans="1:21" ht="16.5" x14ac:dyDescent="0.3">
      <c r="A2381" t="s">
        <v>2469</v>
      </c>
      <c r="B2381" s="1">
        <v>45646</v>
      </c>
      <c r="C2381">
        <v>2024</v>
      </c>
      <c r="D2381" t="s">
        <v>1738</v>
      </c>
      <c r="E2381" t="s">
        <v>2310</v>
      </c>
      <c r="F2381" t="s">
        <v>24</v>
      </c>
      <c r="G2381" t="s">
        <v>51</v>
      </c>
      <c r="H2381" t="s">
        <v>32</v>
      </c>
      <c r="I2381" t="s">
        <v>42</v>
      </c>
      <c r="J2381" t="s">
        <v>98</v>
      </c>
      <c r="K2381">
        <v>1</v>
      </c>
      <c r="L2381" s="2">
        <v>117.63</v>
      </c>
      <c r="M2381" s="3">
        <v>0.2</v>
      </c>
      <c r="N2381" t="s">
        <v>34</v>
      </c>
      <c r="O2381" s="2">
        <v>94.1</v>
      </c>
      <c r="P2381" s="2">
        <v>75.56</v>
      </c>
      <c r="Q2381" s="2">
        <v>18.54</v>
      </c>
      <c r="R2381">
        <v>1</v>
      </c>
      <c r="S2381">
        <v>0</v>
      </c>
      <c r="T2381">
        <v>3</v>
      </c>
      <c r="U2381">
        <v>4</v>
      </c>
    </row>
    <row r="2382" spans="1:21" ht="16.5" x14ac:dyDescent="0.3">
      <c r="A2382" t="s">
        <v>2470</v>
      </c>
      <c r="B2382" s="1">
        <v>45646</v>
      </c>
      <c r="C2382">
        <v>2024</v>
      </c>
      <c r="D2382" t="s">
        <v>1738</v>
      </c>
      <c r="E2382" t="s">
        <v>2310</v>
      </c>
      <c r="F2382" t="s">
        <v>24</v>
      </c>
      <c r="G2382" t="s">
        <v>25</v>
      </c>
      <c r="H2382" t="s">
        <v>32</v>
      </c>
      <c r="I2382" t="s">
        <v>42</v>
      </c>
      <c r="J2382" t="s">
        <v>58</v>
      </c>
      <c r="K2382">
        <v>4</v>
      </c>
      <c r="L2382" s="2">
        <v>233.81</v>
      </c>
      <c r="M2382" s="3">
        <v>0</v>
      </c>
      <c r="N2382" t="s">
        <v>38</v>
      </c>
      <c r="O2382" s="2">
        <v>935.24</v>
      </c>
      <c r="P2382" s="2">
        <v>611.79999999999995</v>
      </c>
      <c r="Q2382" s="2">
        <v>323.44</v>
      </c>
      <c r="R2382">
        <v>1</v>
      </c>
      <c r="S2382">
        <v>0</v>
      </c>
      <c r="T2382">
        <v>4</v>
      </c>
      <c r="U2382">
        <v>4</v>
      </c>
    </row>
    <row r="2383" spans="1:21" ht="16.5" x14ac:dyDescent="0.3">
      <c r="A2383" t="s">
        <v>2471</v>
      </c>
      <c r="B2383" s="1">
        <v>45646</v>
      </c>
      <c r="C2383">
        <v>2024</v>
      </c>
      <c r="D2383" t="s">
        <v>1738</v>
      </c>
      <c r="E2383" t="s">
        <v>2310</v>
      </c>
      <c r="F2383" t="s">
        <v>24</v>
      </c>
      <c r="G2383" t="s">
        <v>51</v>
      </c>
      <c r="H2383" t="s">
        <v>26</v>
      </c>
      <c r="I2383" t="s">
        <v>70</v>
      </c>
      <c r="J2383" t="s">
        <v>87</v>
      </c>
      <c r="K2383">
        <v>1</v>
      </c>
      <c r="L2383" s="2">
        <v>490.3</v>
      </c>
      <c r="M2383" s="3">
        <v>0.2</v>
      </c>
      <c r="N2383" t="s">
        <v>34</v>
      </c>
      <c r="O2383" s="2">
        <v>392.24</v>
      </c>
      <c r="P2383" s="2">
        <v>391.94</v>
      </c>
      <c r="Q2383" s="2">
        <v>0.3</v>
      </c>
      <c r="R2383">
        <v>1</v>
      </c>
      <c r="S2383">
        <v>0</v>
      </c>
      <c r="T2383">
        <v>3</v>
      </c>
      <c r="U2383">
        <v>5</v>
      </c>
    </row>
    <row r="2384" spans="1:21" ht="16.5" x14ac:dyDescent="0.3">
      <c r="A2384" t="s">
        <v>2472</v>
      </c>
      <c r="B2384" s="1">
        <v>45647</v>
      </c>
      <c r="C2384">
        <v>2024</v>
      </c>
      <c r="D2384" t="s">
        <v>1738</v>
      </c>
      <c r="E2384" t="s">
        <v>2310</v>
      </c>
      <c r="F2384" t="s">
        <v>24</v>
      </c>
      <c r="G2384" t="s">
        <v>25</v>
      </c>
      <c r="H2384" t="s">
        <v>32</v>
      </c>
      <c r="I2384" t="s">
        <v>70</v>
      </c>
      <c r="J2384" t="s">
        <v>252</v>
      </c>
      <c r="K2384">
        <v>1</v>
      </c>
      <c r="L2384" s="2">
        <v>216.08</v>
      </c>
      <c r="M2384" s="3">
        <v>0.2</v>
      </c>
      <c r="N2384" t="s">
        <v>34</v>
      </c>
      <c r="O2384" s="2">
        <v>172.86</v>
      </c>
      <c r="P2384" s="2">
        <v>180.77</v>
      </c>
      <c r="Q2384" s="2">
        <v>-7.91</v>
      </c>
      <c r="R2384">
        <v>1</v>
      </c>
      <c r="S2384">
        <v>0</v>
      </c>
      <c r="T2384">
        <v>6</v>
      </c>
      <c r="U2384">
        <v>3</v>
      </c>
    </row>
    <row r="2385" spans="1:21" ht="16.5" x14ac:dyDescent="0.3">
      <c r="A2385" t="s">
        <v>2473</v>
      </c>
      <c r="B2385" s="1">
        <v>45647</v>
      </c>
      <c r="C2385">
        <v>2024</v>
      </c>
      <c r="D2385" t="s">
        <v>1738</v>
      </c>
      <c r="E2385" t="s">
        <v>2310</v>
      </c>
      <c r="F2385" t="s">
        <v>24</v>
      </c>
      <c r="G2385" t="s">
        <v>51</v>
      </c>
      <c r="H2385" t="s">
        <v>32</v>
      </c>
      <c r="I2385" t="s">
        <v>67</v>
      </c>
      <c r="J2385" t="s">
        <v>103</v>
      </c>
      <c r="K2385">
        <v>2</v>
      </c>
      <c r="L2385" s="2">
        <v>83.06</v>
      </c>
      <c r="M2385" s="3">
        <v>0.15</v>
      </c>
      <c r="N2385" t="s">
        <v>34</v>
      </c>
      <c r="O2385" s="2">
        <v>141.19999999999999</v>
      </c>
      <c r="P2385" s="2">
        <v>114.59</v>
      </c>
      <c r="Q2385" s="2">
        <v>26.61</v>
      </c>
      <c r="R2385">
        <v>1</v>
      </c>
      <c r="S2385">
        <v>0</v>
      </c>
      <c r="T2385">
        <v>4</v>
      </c>
      <c r="U2385">
        <v>4</v>
      </c>
    </row>
    <row r="2386" spans="1:21" ht="16.5" x14ac:dyDescent="0.3">
      <c r="A2386" t="s">
        <v>2474</v>
      </c>
      <c r="B2386" s="1">
        <v>45647</v>
      </c>
      <c r="C2386">
        <v>2024</v>
      </c>
      <c r="D2386" t="s">
        <v>1738</v>
      </c>
      <c r="E2386" t="s">
        <v>2310</v>
      </c>
      <c r="F2386" t="s">
        <v>31</v>
      </c>
      <c r="G2386" t="s">
        <v>49</v>
      </c>
      <c r="H2386" t="s">
        <v>32</v>
      </c>
      <c r="I2386" t="s">
        <v>36</v>
      </c>
      <c r="J2386" t="s">
        <v>37</v>
      </c>
      <c r="K2386">
        <v>1</v>
      </c>
      <c r="L2386" s="2">
        <v>33.18</v>
      </c>
      <c r="M2386" s="3">
        <v>0.25</v>
      </c>
      <c r="N2386" t="s">
        <v>62</v>
      </c>
      <c r="O2386" s="2">
        <v>24.88</v>
      </c>
      <c r="P2386" s="2">
        <v>16.63</v>
      </c>
      <c r="Q2386" s="2">
        <v>8.25</v>
      </c>
      <c r="R2386">
        <v>1</v>
      </c>
      <c r="S2386">
        <v>0</v>
      </c>
      <c r="T2386">
        <v>4</v>
      </c>
      <c r="U2386">
        <v>5</v>
      </c>
    </row>
    <row r="2387" spans="1:21" ht="16.5" x14ac:dyDescent="0.3">
      <c r="A2387" t="s">
        <v>2475</v>
      </c>
      <c r="B2387" s="1">
        <v>45647</v>
      </c>
      <c r="C2387">
        <v>2024</v>
      </c>
      <c r="D2387" t="s">
        <v>1738</v>
      </c>
      <c r="E2387" t="s">
        <v>2310</v>
      </c>
      <c r="F2387" t="s">
        <v>31</v>
      </c>
      <c r="G2387" t="s">
        <v>51</v>
      </c>
      <c r="H2387" t="s">
        <v>26</v>
      </c>
      <c r="I2387" t="s">
        <v>70</v>
      </c>
      <c r="J2387" t="s">
        <v>129</v>
      </c>
      <c r="K2387">
        <v>3</v>
      </c>
      <c r="L2387" s="2">
        <v>177.65</v>
      </c>
      <c r="M2387" s="3">
        <v>0.25</v>
      </c>
      <c r="N2387" t="s">
        <v>62</v>
      </c>
      <c r="O2387" s="2">
        <v>399.71</v>
      </c>
      <c r="P2387" s="2">
        <v>432.5</v>
      </c>
      <c r="Q2387" s="2">
        <v>-32.79</v>
      </c>
      <c r="R2387">
        <v>1</v>
      </c>
      <c r="S2387">
        <v>0</v>
      </c>
      <c r="T2387">
        <v>3</v>
      </c>
      <c r="U2387">
        <v>5</v>
      </c>
    </row>
    <row r="2388" spans="1:21" ht="16.5" x14ac:dyDescent="0.3">
      <c r="A2388" t="s">
        <v>2476</v>
      </c>
      <c r="B2388" s="1">
        <v>45647</v>
      </c>
      <c r="C2388">
        <v>2024</v>
      </c>
      <c r="D2388" t="s">
        <v>1738</v>
      </c>
      <c r="E2388" t="s">
        <v>2310</v>
      </c>
      <c r="F2388" t="s">
        <v>24</v>
      </c>
      <c r="G2388" t="s">
        <v>25</v>
      </c>
      <c r="H2388" t="s">
        <v>32</v>
      </c>
      <c r="I2388" t="s">
        <v>67</v>
      </c>
      <c r="J2388" t="s">
        <v>78</v>
      </c>
      <c r="K2388">
        <v>1</v>
      </c>
      <c r="L2388" s="2">
        <v>85.42</v>
      </c>
      <c r="M2388" s="3">
        <v>0.2</v>
      </c>
      <c r="N2388" t="s">
        <v>34</v>
      </c>
      <c r="O2388" s="2">
        <v>68.34</v>
      </c>
      <c r="P2388" s="2">
        <v>55.85</v>
      </c>
      <c r="Q2388" s="2">
        <v>12.49</v>
      </c>
      <c r="R2388">
        <v>1</v>
      </c>
      <c r="S2388">
        <v>1</v>
      </c>
      <c r="T2388">
        <v>5</v>
      </c>
      <c r="U2388">
        <v>4</v>
      </c>
    </row>
    <row r="2389" spans="1:21" ht="16.5" x14ac:dyDescent="0.3">
      <c r="A2389" t="s">
        <v>2477</v>
      </c>
      <c r="B2389" s="1">
        <v>45647</v>
      </c>
      <c r="C2389">
        <v>2024</v>
      </c>
      <c r="D2389" t="s">
        <v>1738</v>
      </c>
      <c r="E2389" t="s">
        <v>2310</v>
      </c>
      <c r="F2389" t="s">
        <v>31</v>
      </c>
      <c r="G2389" t="s">
        <v>51</v>
      </c>
      <c r="H2389" t="s">
        <v>32</v>
      </c>
      <c r="I2389" t="s">
        <v>36</v>
      </c>
      <c r="J2389" t="s">
        <v>115</v>
      </c>
      <c r="K2389">
        <v>2</v>
      </c>
      <c r="L2389" s="2">
        <v>33.479999999999997</v>
      </c>
      <c r="M2389" s="3">
        <v>0</v>
      </c>
      <c r="N2389" t="s">
        <v>38</v>
      </c>
      <c r="O2389" s="2">
        <v>66.959999999999994</v>
      </c>
      <c r="P2389" s="2">
        <v>32.15</v>
      </c>
      <c r="Q2389" s="2">
        <v>34.81</v>
      </c>
      <c r="R2389">
        <v>1</v>
      </c>
      <c r="S2389">
        <v>0</v>
      </c>
      <c r="T2389">
        <v>4</v>
      </c>
      <c r="U2389">
        <v>4</v>
      </c>
    </row>
    <row r="2390" spans="1:21" ht="16.5" x14ac:dyDescent="0.3">
      <c r="A2390" t="s">
        <v>2478</v>
      </c>
      <c r="B2390" s="1">
        <v>45647</v>
      </c>
      <c r="C2390">
        <v>2024</v>
      </c>
      <c r="D2390" t="s">
        <v>1738</v>
      </c>
      <c r="E2390" t="s">
        <v>2310</v>
      </c>
      <c r="F2390" t="s">
        <v>31</v>
      </c>
      <c r="G2390" t="s">
        <v>25</v>
      </c>
      <c r="H2390" t="s">
        <v>26</v>
      </c>
      <c r="I2390" t="s">
        <v>42</v>
      </c>
      <c r="J2390" t="s">
        <v>43</v>
      </c>
      <c r="K2390">
        <v>1</v>
      </c>
      <c r="L2390" s="2">
        <v>154.66</v>
      </c>
      <c r="M2390" s="3">
        <v>0.1</v>
      </c>
      <c r="N2390" t="s">
        <v>29</v>
      </c>
      <c r="O2390" s="2">
        <v>139.19</v>
      </c>
      <c r="P2390" s="2">
        <v>105.84</v>
      </c>
      <c r="Q2390" s="2">
        <v>33.35</v>
      </c>
      <c r="R2390">
        <v>1</v>
      </c>
      <c r="S2390">
        <v>0</v>
      </c>
      <c r="T2390">
        <v>5</v>
      </c>
      <c r="U2390">
        <v>5</v>
      </c>
    </row>
    <row r="2391" spans="1:21" ht="16.5" x14ac:dyDescent="0.3">
      <c r="A2391" t="s">
        <v>2479</v>
      </c>
      <c r="B2391" s="1">
        <v>45647</v>
      </c>
      <c r="C2391">
        <v>2024</v>
      </c>
      <c r="D2391" t="s">
        <v>1738</v>
      </c>
      <c r="E2391" t="s">
        <v>2310</v>
      </c>
      <c r="F2391" t="s">
        <v>24</v>
      </c>
      <c r="G2391" t="s">
        <v>49</v>
      </c>
      <c r="H2391" t="s">
        <v>26</v>
      </c>
      <c r="I2391" t="s">
        <v>70</v>
      </c>
      <c r="J2391" t="s">
        <v>252</v>
      </c>
      <c r="K2391">
        <v>1</v>
      </c>
      <c r="L2391" s="2">
        <v>216.08</v>
      </c>
      <c r="M2391" s="3">
        <v>0.1</v>
      </c>
      <c r="N2391" t="s">
        <v>29</v>
      </c>
      <c r="O2391" s="2">
        <v>194.47</v>
      </c>
      <c r="P2391" s="2">
        <v>172.47</v>
      </c>
      <c r="Q2391" s="2">
        <v>22</v>
      </c>
      <c r="R2391">
        <v>1</v>
      </c>
      <c r="S2391">
        <v>0</v>
      </c>
      <c r="T2391">
        <v>4</v>
      </c>
      <c r="U2391">
        <v>5</v>
      </c>
    </row>
    <row r="2392" spans="1:21" ht="16.5" x14ac:dyDescent="0.3">
      <c r="A2392" t="s">
        <v>2480</v>
      </c>
      <c r="B2392" s="1">
        <v>45648</v>
      </c>
      <c r="C2392">
        <v>2024</v>
      </c>
      <c r="D2392" t="s">
        <v>1738</v>
      </c>
      <c r="E2392" t="s">
        <v>2310</v>
      </c>
      <c r="F2392" t="s">
        <v>24</v>
      </c>
      <c r="G2392" t="s">
        <v>51</v>
      </c>
      <c r="H2392" t="s">
        <v>32</v>
      </c>
      <c r="I2392" t="s">
        <v>42</v>
      </c>
      <c r="J2392" t="s">
        <v>58</v>
      </c>
      <c r="K2392">
        <v>2</v>
      </c>
      <c r="L2392" s="2">
        <v>233.81</v>
      </c>
      <c r="M2392" s="3">
        <v>0.1</v>
      </c>
      <c r="N2392" t="s">
        <v>29</v>
      </c>
      <c r="O2392" s="2">
        <v>420.86</v>
      </c>
      <c r="P2392" s="2">
        <v>309.02999999999997</v>
      </c>
      <c r="Q2392" s="2">
        <v>111.83</v>
      </c>
      <c r="R2392">
        <v>1</v>
      </c>
      <c r="S2392">
        <v>0</v>
      </c>
      <c r="T2392">
        <v>3</v>
      </c>
      <c r="U2392">
        <v>5</v>
      </c>
    </row>
    <row r="2393" spans="1:21" ht="16.5" x14ac:dyDescent="0.3">
      <c r="A2393" t="s">
        <v>2481</v>
      </c>
      <c r="B2393" s="1">
        <v>45648</v>
      </c>
      <c r="C2393">
        <v>2024</v>
      </c>
      <c r="D2393" t="s">
        <v>1738</v>
      </c>
      <c r="E2393" t="s">
        <v>2310</v>
      </c>
      <c r="F2393" t="s">
        <v>45</v>
      </c>
      <c r="G2393" t="s">
        <v>51</v>
      </c>
      <c r="H2393" t="s">
        <v>32</v>
      </c>
      <c r="I2393" t="s">
        <v>70</v>
      </c>
      <c r="J2393" t="s">
        <v>129</v>
      </c>
      <c r="K2393">
        <v>2</v>
      </c>
      <c r="L2393" s="2">
        <v>177.65</v>
      </c>
      <c r="M2393" s="3">
        <v>0.1</v>
      </c>
      <c r="N2393" t="s">
        <v>29</v>
      </c>
      <c r="O2393" s="2">
        <v>319.77</v>
      </c>
      <c r="P2393" s="2">
        <v>271.2</v>
      </c>
      <c r="Q2393" s="2">
        <v>48.57</v>
      </c>
      <c r="R2393">
        <v>1</v>
      </c>
      <c r="S2393">
        <v>1</v>
      </c>
      <c r="T2393">
        <v>4</v>
      </c>
      <c r="U2393">
        <v>4</v>
      </c>
    </row>
    <row r="2394" spans="1:21" ht="16.5" x14ac:dyDescent="0.3">
      <c r="A2394" t="s">
        <v>2482</v>
      </c>
      <c r="B2394" s="1">
        <v>45648</v>
      </c>
      <c r="C2394">
        <v>2024</v>
      </c>
      <c r="D2394" t="s">
        <v>1738</v>
      </c>
      <c r="E2394" t="s">
        <v>2310</v>
      </c>
      <c r="F2394" t="s">
        <v>45</v>
      </c>
      <c r="G2394" t="s">
        <v>25</v>
      </c>
      <c r="H2394" t="s">
        <v>32</v>
      </c>
      <c r="I2394" t="s">
        <v>84</v>
      </c>
      <c r="J2394" t="s">
        <v>132</v>
      </c>
      <c r="K2394">
        <v>2</v>
      </c>
      <c r="L2394" s="2">
        <v>48.86</v>
      </c>
      <c r="M2394" s="3">
        <v>0.25</v>
      </c>
      <c r="N2394" t="s">
        <v>62</v>
      </c>
      <c r="O2394" s="2">
        <v>73.290000000000006</v>
      </c>
      <c r="P2394" s="2">
        <v>67.67</v>
      </c>
      <c r="Q2394" s="2">
        <v>5.62</v>
      </c>
      <c r="R2394">
        <v>1</v>
      </c>
      <c r="S2394">
        <v>0</v>
      </c>
      <c r="T2394">
        <v>4</v>
      </c>
      <c r="U2394">
        <v>4</v>
      </c>
    </row>
    <row r="2395" spans="1:21" ht="16.5" x14ac:dyDescent="0.3">
      <c r="A2395" t="s">
        <v>2483</v>
      </c>
      <c r="B2395" s="1">
        <v>45648</v>
      </c>
      <c r="C2395">
        <v>2024</v>
      </c>
      <c r="D2395" t="s">
        <v>1738</v>
      </c>
      <c r="E2395" t="s">
        <v>2310</v>
      </c>
      <c r="F2395" t="s">
        <v>45</v>
      </c>
      <c r="G2395" t="s">
        <v>51</v>
      </c>
      <c r="H2395" t="s">
        <v>26</v>
      </c>
      <c r="I2395" t="s">
        <v>67</v>
      </c>
      <c r="J2395" t="s">
        <v>78</v>
      </c>
      <c r="K2395">
        <v>1</v>
      </c>
      <c r="L2395" s="2">
        <v>85.42</v>
      </c>
      <c r="M2395" s="3">
        <v>0.1</v>
      </c>
      <c r="N2395" t="s">
        <v>29</v>
      </c>
      <c r="O2395" s="2">
        <v>76.88</v>
      </c>
      <c r="P2395" s="2">
        <v>60.57</v>
      </c>
      <c r="Q2395" s="2">
        <v>16.309999999999999</v>
      </c>
      <c r="R2395">
        <v>1</v>
      </c>
      <c r="S2395">
        <v>0</v>
      </c>
      <c r="T2395">
        <v>3</v>
      </c>
      <c r="U2395">
        <v>4</v>
      </c>
    </row>
    <row r="2396" spans="1:21" ht="16.5" x14ac:dyDescent="0.3">
      <c r="A2396" t="s">
        <v>2484</v>
      </c>
      <c r="B2396" s="1">
        <v>45648</v>
      </c>
      <c r="C2396">
        <v>2024</v>
      </c>
      <c r="D2396" t="s">
        <v>1738</v>
      </c>
      <c r="E2396" t="s">
        <v>2310</v>
      </c>
      <c r="F2396" t="s">
        <v>24</v>
      </c>
      <c r="G2396" t="s">
        <v>65</v>
      </c>
      <c r="H2396" t="s">
        <v>32</v>
      </c>
      <c r="I2396" t="s">
        <v>36</v>
      </c>
      <c r="J2396" t="s">
        <v>52</v>
      </c>
      <c r="K2396">
        <v>1</v>
      </c>
      <c r="L2396" s="2">
        <v>92.54</v>
      </c>
      <c r="M2396" s="3">
        <v>0.3</v>
      </c>
      <c r="N2396" t="s">
        <v>62</v>
      </c>
      <c r="O2396" s="2">
        <v>64.78</v>
      </c>
      <c r="P2396" s="2">
        <v>42.59</v>
      </c>
      <c r="Q2396" s="2">
        <v>22.19</v>
      </c>
      <c r="R2396">
        <v>1</v>
      </c>
      <c r="S2396">
        <v>0</v>
      </c>
      <c r="T2396">
        <v>6</v>
      </c>
      <c r="U2396">
        <v>3</v>
      </c>
    </row>
    <row r="2397" spans="1:21" ht="16.5" x14ac:dyDescent="0.3">
      <c r="A2397" t="s">
        <v>2485</v>
      </c>
      <c r="B2397" s="1">
        <v>45648</v>
      </c>
      <c r="C2397">
        <v>2024</v>
      </c>
      <c r="D2397" t="s">
        <v>1738</v>
      </c>
      <c r="E2397" t="s">
        <v>2310</v>
      </c>
      <c r="F2397" t="s">
        <v>24</v>
      </c>
      <c r="G2397" t="s">
        <v>49</v>
      </c>
      <c r="H2397" t="s">
        <v>32</v>
      </c>
      <c r="I2397" t="s">
        <v>42</v>
      </c>
      <c r="J2397" t="s">
        <v>43</v>
      </c>
      <c r="K2397">
        <v>1</v>
      </c>
      <c r="L2397" s="2">
        <v>154.66</v>
      </c>
      <c r="M2397" s="3">
        <v>0.2</v>
      </c>
      <c r="N2397" t="s">
        <v>34</v>
      </c>
      <c r="O2397" s="2">
        <v>123.73</v>
      </c>
      <c r="P2397" s="2">
        <v>101.61</v>
      </c>
      <c r="Q2397" s="2">
        <v>22.12</v>
      </c>
      <c r="R2397">
        <v>1</v>
      </c>
      <c r="S2397">
        <v>0</v>
      </c>
      <c r="T2397">
        <v>4</v>
      </c>
      <c r="U2397">
        <v>5</v>
      </c>
    </row>
    <row r="2398" spans="1:21" ht="16.5" x14ac:dyDescent="0.3">
      <c r="A2398" t="s">
        <v>2486</v>
      </c>
      <c r="B2398" s="1">
        <v>45648</v>
      </c>
      <c r="C2398">
        <v>2024</v>
      </c>
      <c r="D2398" t="s">
        <v>1738</v>
      </c>
      <c r="E2398" t="s">
        <v>2310</v>
      </c>
      <c r="F2398" t="s">
        <v>31</v>
      </c>
      <c r="G2398" t="s">
        <v>49</v>
      </c>
      <c r="H2398" t="s">
        <v>32</v>
      </c>
      <c r="I2398" t="s">
        <v>36</v>
      </c>
      <c r="J2398" t="s">
        <v>37</v>
      </c>
      <c r="K2398">
        <v>1</v>
      </c>
      <c r="L2398" s="2">
        <v>33.18</v>
      </c>
      <c r="M2398" s="3">
        <v>0.05</v>
      </c>
      <c r="N2398" t="s">
        <v>29</v>
      </c>
      <c r="O2398" s="2">
        <v>31.52</v>
      </c>
      <c r="P2398" s="2">
        <v>16.14</v>
      </c>
      <c r="Q2398" s="2">
        <v>15.38</v>
      </c>
      <c r="R2398">
        <v>1</v>
      </c>
      <c r="S2398">
        <v>0</v>
      </c>
      <c r="T2398">
        <v>4</v>
      </c>
      <c r="U2398">
        <v>4</v>
      </c>
    </row>
    <row r="2399" spans="1:21" ht="16.5" x14ac:dyDescent="0.3">
      <c r="A2399" t="s">
        <v>2487</v>
      </c>
      <c r="B2399" s="1">
        <v>45648</v>
      </c>
      <c r="C2399">
        <v>2024</v>
      </c>
      <c r="D2399" t="s">
        <v>1738</v>
      </c>
      <c r="E2399" t="s">
        <v>2310</v>
      </c>
      <c r="F2399" t="s">
        <v>24</v>
      </c>
      <c r="G2399" t="s">
        <v>51</v>
      </c>
      <c r="H2399" t="s">
        <v>26</v>
      </c>
      <c r="I2399" t="s">
        <v>70</v>
      </c>
      <c r="J2399" t="s">
        <v>162</v>
      </c>
      <c r="K2399">
        <v>1</v>
      </c>
      <c r="L2399" s="2">
        <v>636.09</v>
      </c>
      <c r="M2399" s="3">
        <v>0.1</v>
      </c>
      <c r="N2399" t="s">
        <v>29</v>
      </c>
      <c r="O2399" s="2">
        <v>572.48</v>
      </c>
      <c r="P2399" s="2">
        <v>482.95</v>
      </c>
      <c r="Q2399" s="2">
        <v>89.53</v>
      </c>
      <c r="R2399">
        <v>1</v>
      </c>
      <c r="S2399">
        <v>0</v>
      </c>
      <c r="T2399">
        <v>4</v>
      </c>
      <c r="U2399">
        <v>4</v>
      </c>
    </row>
    <row r="2400" spans="1:21" ht="16.5" x14ac:dyDescent="0.3">
      <c r="A2400" t="s">
        <v>2488</v>
      </c>
      <c r="B2400" s="1">
        <v>45648</v>
      </c>
      <c r="C2400">
        <v>2024</v>
      </c>
      <c r="D2400" t="s">
        <v>1738</v>
      </c>
      <c r="E2400" t="s">
        <v>2310</v>
      </c>
      <c r="F2400" t="s">
        <v>24</v>
      </c>
      <c r="G2400" t="s">
        <v>49</v>
      </c>
      <c r="H2400" t="s">
        <v>26</v>
      </c>
      <c r="I2400" t="s">
        <v>42</v>
      </c>
      <c r="J2400" t="s">
        <v>43</v>
      </c>
      <c r="K2400">
        <v>1</v>
      </c>
      <c r="L2400" s="2">
        <v>154.66</v>
      </c>
      <c r="M2400" s="3">
        <v>0.1</v>
      </c>
      <c r="N2400" t="s">
        <v>29</v>
      </c>
      <c r="O2400" s="2">
        <v>139.19</v>
      </c>
      <c r="P2400" s="2">
        <v>101.77</v>
      </c>
      <c r="Q2400" s="2">
        <v>37.42</v>
      </c>
      <c r="R2400">
        <v>1</v>
      </c>
      <c r="S2400">
        <v>0</v>
      </c>
      <c r="T2400">
        <v>5</v>
      </c>
      <c r="U2400">
        <v>5</v>
      </c>
    </row>
    <row r="2401" spans="1:21" ht="16.5" x14ac:dyDescent="0.3">
      <c r="A2401" t="s">
        <v>2489</v>
      </c>
      <c r="B2401" s="1">
        <v>45648</v>
      </c>
      <c r="C2401">
        <v>2024</v>
      </c>
      <c r="D2401" t="s">
        <v>1738</v>
      </c>
      <c r="E2401" t="s">
        <v>2310</v>
      </c>
      <c r="F2401" t="s">
        <v>24</v>
      </c>
      <c r="G2401" t="s">
        <v>51</v>
      </c>
      <c r="H2401" t="s">
        <v>26</v>
      </c>
      <c r="I2401" t="s">
        <v>27</v>
      </c>
      <c r="J2401" t="s">
        <v>33</v>
      </c>
      <c r="K2401">
        <v>2</v>
      </c>
      <c r="L2401" s="2">
        <v>78.510000000000005</v>
      </c>
      <c r="M2401" s="3">
        <v>0.1</v>
      </c>
      <c r="N2401" t="s">
        <v>29</v>
      </c>
      <c r="O2401" s="2">
        <v>141.32</v>
      </c>
      <c r="P2401" s="2">
        <v>82.18</v>
      </c>
      <c r="Q2401" s="2">
        <v>59.14</v>
      </c>
      <c r="R2401">
        <v>1</v>
      </c>
      <c r="S2401">
        <v>0</v>
      </c>
      <c r="T2401">
        <v>4</v>
      </c>
      <c r="U2401">
        <v>5</v>
      </c>
    </row>
    <row r="2402" spans="1:21" ht="16.5" x14ac:dyDescent="0.3">
      <c r="A2402" t="s">
        <v>2490</v>
      </c>
      <c r="B2402" s="1">
        <v>45648</v>
      </c>
      <c r="C2402">
        <v>2024</v>
      </c>
      <c r="D2402" t="s">
        <v>1738</v>
      </c>
      <c r="E2402" t="s">
        <v>2310</v>
      </c>
      <c r="F2402" t="s">
        <v>31</v>
      </c>
      <c r="G2402" t="s">
        <v>51</v>
      </c>
      <c r="H2402" t="s">
        <v>26</v>
      </c>
      <c r="I2402" t="s">
        <v>36</v>
      </c>
      <c r="J2402" t="s">
        <v>126</v>
      </c>
      <c r="K2402">
        <v>1</v>
      </c>
      <c r="L2402" s="2">
        <v>54.56</v>
      </c>
      <c r="M2402" s="3">
        <v>0.3</v>
      </c>
      <c r="N2402" t="s">
        <v>62</v>
      </c>
      <c r="O2402" s="2">
        <v>38.19</v>
      </c>
      <c r="P2402" s="2">
        <v>26.78</v>
      </c>
      <c r="Q2402" s="2">
        <v>11.41</v>
      </c>
      <c r="R2402">
        <v>1</v>
      </c>
      <c r="S2402">
        <v>0</v>
      </c>
      <c r="T2402">
        <v>4</v>
      </c>
      <c r="U2402">
        <v>5</v>
      </c>
    </row>
    <row r="2403" spans="1:21" ht="16.5" x14ac:dyDescent="0.3">
      <c r="A2403" t="s">
        <v>2491</v>
      </c>
      <c r="B2403" s="1">
        <v>45648</v>
      </c>
      <c r="C2403">
        <v>2024</v>
      </c>
      <c r="D2403" t="s">
        <v>1738</v>
      </c>
      <c r="E2403" t="s">
        <v>2310</v>
      </c>
      <c r="F2403" t="s">
        <v>24</v>
      </c>
      <c r="G2403" t="s">
        <v>25</v>
      </c>
      <c r="H2403" t="s">
        <v>26</v>
      </c>
      <c r="I2403" t="s">
        <v>36</v>
      </c>
      <c r="J2403" t="s">
        <v>56</v>
      </c>
      <c r="K2403">
        <v>1</v>
      </c>
      <c r="L2403" s="2">
        <v>74.3</v>
      </c>
      <c r="M2403" s="3">
        <v>0.15</v>
      </c>
      <c r="N2403" t="s">
        <v>34</v>
      </c>
      <c r="O2403" s="2">
        <v>63.15</v>
      </c>
      <c r="P2403" s="2">
        <v>35.17</v>
      </c>
      <c r="Q2403" s="2">
        <v>27.98</v>
      </c>
      <c r="R2403">
        <v>1</v>
      </c>
      <c r="S2403">
        <v>0</v>
      </c>
      <c r="T2403">
        <v>7</v>
      </c>
      <c r="U2403">
        <v>4</v>
      </c>
    </row>
    <row r="2404" spans="1:21" ht="16.5" x14ac:dyDescent="0.3">
      <c r="A2404" t="s">
        <v>2492</v>
      </c>
      <c r="B2404" s="1">
        <v>45648</v>
      </c>
      <c r="C2404">
        <v>2024</v>
      </c>
      <c r="D2404" t="s">
        <v>1738</v>
      </c>
      <c r="E2404" t="s">
        <v>2310</v>
      </c>
      <c r="F2404" t="s">
        <v>31</v>
      </c>
      <c r="G2404" t="s">
        <v>25</v>
      </c>
      <c r="H2404" t="s">
        <v>32</v>
      </c>
      <c r="I2404" t="s">
        <v>70</v>
      </c>
      <c r="J2404" t="s">
        <v>87</v>
      </c>
      <c r="K2404">
        <v>1</v>
      </c>
      <c r="L2404" s="2">
        <v>490.3</v>
      </c>
      <c r="M2404" s="3">
        <v>0.2</v>
      </c>
      <c r="N2404" t="s">
        <v>34</v>
      </c>
      <c r="O2404" s="2">
        <v>392.24</v>
      </c>
      <c r="P2404" s="2">
        <v>383.84</v>
      </c>
      <c r="Q2404" s="2">
        <v>8.4</v>
      </c>
      <c r="R2404">
        <v>1</v>
      </c>
      <c r="S2404">
        <v>0</v>
      </c>
      <c r="T2404">
        <v>5</v>
      </c>
      <c r="U2404">
        <v>5</v>
      </c>
    </row>
    <row r="2405" spans="1:21" ht="16.5" x14ac:dyDescent="0.3">
      <c r="A2405" t="s">
        <v>2493</v>
      </c>
      <c r="B2405" s="1">
        <v>45648</v>
      </c>
      <c r="C2405">
        <v>2024</v>
      </c>
      <c r="D2405" t="s">
        <v>1738</v>
      </c>
      <c r="E2405" t="s">
        <v>2310</v>
      </c>
      <c r="F2405" t="s">
        <v>24</v>
      </c>
      <c r="G2405" t="s">
        <v>25</v>
      </c>
      <c r="H2405" t="s">
        <v>32</v>
      </c>
      <c r="I2405" t="s">
        <v>27</v>
      </c>
      <c r="J2405" t="s">
        <v>60</v>
      </c>
      <c r="K2405">
        <v>1</v>
      </c>
      <c r="L2405" s="2">
        <v>94.85</v>
      </c>
      <c r="M2405" s="3">
        <v>0.05</v>
      </c>
      <c r="N2405" t="s">
        <v>29</v>
      </c>
      <c r="O2405" s="2">
        <v>90.11</v>
      </c>
      <c r="P2405" s="2">
        <v>50.96</v>
      </c>
      <c r="Q2405" s="2">
        <v>39.15</v>
      </c>
      <c r="R2405">
        <v>1</v>
      </c>
      <c r="S2405">
        <v>0</v>
      </c>
      <c r="T2405">
        <v>5</v>
      </c>
      <c r="U2405">
        <v>5</v>
      </c>
    </row>
    <row r="2406" spans="1:21" ht="16.5" x14ac:dyDescent="0.3">
      <c r="A2406" t="s">
        <v>2494</v>
      </c>
      <c r="B2406" s="1">
        <v>45648</v>
      </c>
      <c r="C2406">
        <v>2024</v>
      </c>
      <c r="D2406" t="s">
        <v>1738</v>
      </c>
      <c r="E2406" t="s">
        <v>2310</v>
      </c>
      <c r="F2406" t="s">
        <v>31</v>
      </c>
      <c r="G2406" t="s">
        <v>25</v>
      </c>
      <c r="H2406" t="s">
        <v>32</v>
      </c>
      <c r="I2406" t="s">
        <v>67</v>
      </c>
      <c r="J2406" t="s">
        <v>68</v>
      </c>
      <c r="K2406">
        <v>4</v>
      </c>
      <c r="L2406" s="2">
        <v>74.459999999999994</v>
      </c>
      <c r="M2406" s="3">
        <v>0.05</v>
      </c>
      <c r="N2406" t="s">
        <v>29</v>
      </c>
      <c r="O2406" s="2">
        <v>282.95</v>
      </c>
      <c r="P2406" s="2">
        <v>201.57</v>
      </c>
      <c r="Q2406" s="2">
        <v>81.38</v>
      </c>
      <c r="R2406">
        <v>1</v>
      </c>
      <c r="S2406">
        <v>0</v>
      </c>
      <c r="T2406">
        <v>5</v>
      </c>
      <c r="U2406">
        <v>3</v>
      </c>
    </row>
    <row r="2407" spans="1:21" ht="16.5" x14ac:dyDescent="0.3">
      <c r="A2407" t="s">
        <v>2495</v>
      </c>
      <c r="B2407" s="1">
        <v>45648</v>
      </c>
      <c r="C2407">
        <v>2024</v>
      </c>
      <c r="D2407" t="s">
        <v>1738</v>
      </c>
      <c r="E2407" t="s">
        <v>2310</v>
      </c>
      <c r="F2407" t="s">
        <v>45</v>
      </c>
      <c r="G2407" t="s">
        <v>25</v>
      </c>
      <c r="H2407" t="s">
        <v>32</v>
      </c>
      <c r="I2407" t="s">
        <v>27</v>
      </c>
      <c r="J2407" t="s">
        <v>110</v>
      </c>
      <c r="K2407">
        <v>1</v>
      </c>
      <c r="L2407" s="2">
        <v>19.41</v>
      </c>
      <c r="M2407" s="3">
        <v>0.1</v>
      </c>
      <c r="N2407" t="s">
        <v>29</v>
      </c>
      <c r="O2407" s="2">
        <v>17.47</v>
      </c>
      <c r="P2407" s="2">
        <v>11.01</v>
      </c>
      <c r="Q2407" s="2">
        <v>6.46</v>
      </c>
      <c r="R2407">
        <v>1</v>
      </c>
      <c r="S2407">
        <v>0</v>
      </c>
      <c r="T2407">
        <v>6</v>
      </c>
      <c r="U2407">
        <v>3</v>
      </c>
    </row>
    <row r="2408" spans="1:21" ht="16.5" x14ac:dyDescent="0.3">
      <c r="A2408" t="s">
        <v>2496</v>
      </c>
      <c r="B2408" s="1">
        <v>45648</v>
      </c>
      <c r="C2408">
        <v>2024</v>
      </c>
      <c r="D2408" t="s">
        <v>1738</v>
      </c>
      <c r="E2408" t="s">
        <v>2310</v>
      </c>
      <c r="F2408" t="s">
        <v>31</v>
      </c>
      <c r="G2408" t="s">
        <v>25</v>
      </c>
      <c r="H2408" t="s">
        <v>26</v>
      </c>
      <c r="I2408" t="s">
        <v>67</v>
      </c>
      <c r="J2408" t="s">
        <v>103</v>
      </c>
      <c r="K2408">
        <v>2</v>
      </c>
      <c r="L2408" s="2">
        <v>83.06</v>
      </c>
      <c r="M2408" s="3">
        <v>0.25</v>
      </c>
      <c r="N2408" t="s">
        <v>62</v>
      </c>
      <c r="O2408" s="2">
        <v>124.59</v>
      </c>
      <c r="P2408" s="2">
        <v>106.82</v>
      </c>
      <c r="Q2408" s="2">
        <v>17.77</v>
      </c>
      <c r="R2408">
        <v>1</v>
      </c>
      <c r="S2408">
        <v>0</v>
      </c>
      <c r="T2408">
        <v>4</v>
      </c>
      <c r="U2408">
        <v>5</v>
      </c>
    </row>
    <row r="2409" spans="1:21" ht="16.5" x14ac:dyDescent="0.3">
      <c r="A2409" t="s">
        <v>2497</v>
      </c>
      <c r="B2409" s="1">
        <v>45648</v>
      </c>
      <c r="C2409">
        <v>2024</v>
      </c>
      <c r="D2409" t="s">
        <v>1738</v>
      </c>
      <c r="E2409" t="s">
        <v>2310</v>
      </c>
      <c r="F2409" t="s">
        <v>24</v>
      </c>
      <c r="G2409" t="s">
        <v>46</v>
      </c>
      <c r="H2409" t="s">
        <v>32</v>
      </c>
      <c r="I2409" t="s">
        <v>70</v>
      </c>
      <c r="J2409" t="s">
        <v>252</v>
      </c>
      <c r="K2409">
        <v>1</v>
      </c>
      <c r="L2409" s="2">
        <v>216.08</v>
      </c>
      <c r="M2409" s="3">
        <v>0.15</v>
      </c>
      <c r="N2409" t="s">
        <v>34</v>
      </c>
      <c r="O2409" s="2">
        <v>183.67</v>
      </c>
      <c r="P2409" s="2">
        <v>172.5</v>
      </c>
      <c r="Q2409" s="2">
        <v>11.17</v>
      </c>
      <c r="R2409">
        <v>1</v>
      </c>
      <c r="S2409">
        <v>0</v>
      </c>
      <c r="T2409">
        <v>7</v>
      </c>
      <c r="U2409">
        <v>3</v>
      </c>
    </row>
    <row r="2410" spans="1:21" ht="16.5" x14ac:dyDescent="0.3">
      <c r="A2410" t="s">
        <v>2498</v>
      </c>
      <c r="B2410" s="1">
        <v>45648</v>
      </c>
      <c r="C2410">
        <v>2024</v>
      </c>
      <c r="D2410" t="s">
        <v>1738</v>
      </c>
      <c r="E2410" t="s">
        <v>2310</v>
      </c>
      <c r="F2410" t="s">
        <v>31</v>
      </c>
      <c r="G2410" t="s">
        <v>51</v>
      </c>
      <c r="H2410" t="s">
        <v>32</v>
      </c>
      <c r="I2410" t="s">
        <v>27</v>
      </c>
      <c r="J2410" t="s">
        <v>33</v>
      </c>
      <c r="K2410">
        <v>3</v>
      </c>
      <c r="L2410" s="2">
        <v>78.510000000000005</v>
      </c>
      <c r="M2410" s="3">
        <v>0.2</v>
      </c>
      <c r="N2410" t="s">
        <v>34</v>
      </c>
      <c r="O2410" s="2">
        <v>188.42</v>
      </c>
      <c r="P2410" s="2">
        <v>128</v>
      </c>
      <c r="Q2410" s="2">
        <v>60.42</v>
      </c>
      <c r="R2410">
        <v>1</v>
      </c>
      <c r="S2410">
        <v>0</v>
      </c>
      <c r="T2410">
        <v>7</v>
      </c>
      <c r="U2410">
        <v>4</v>
      </c>
    </row>
    <row r="2411" spans="1:21" ht="16.5" x14ac:dyDescent="0.3">
      <c r="A2411" t="s">
        <v>2499</v>
      </c>
      <c r="B2411" s="1">
        <v>45648</v>
      </c>
      <c r="C2411">
        <v>2024</v>
      </c>
      <c r="D2411" t="s">
        <v>1738</v>
      </c>
      <c r="E2411" t="s">
        <v>2310</v>
      </c>
      <c r="F2411" t="s">
        <v>24</v>
      </c>
      <c r="G2411" t="s">
        <v>46</v>
      </c>
      <c r="H2411" t="s">
        <v>32</v>
      </c>
      <c r="I2411" t="s">
        <v>70</v>
      </c>
      <c r="J2411" t="s">
        <v>162</v>
      </c>
      <c r="K2411">
        <v>1</v>
      </c>
      <c r="L2411" s="2">
        <v>636.09</v>
      </c>
      <c r="M2411" s="3">
        <v>0.3</v>
      </c>
      <c r="N2411" t="s">
        <v>62</v>
      </c>
      <c r="O2411" s="2">
        <v>445.26</v>
      </c>
      <c r="P2411" s="2">
        <v>493.47</v>
      </c>
      <c r="Q2411" s="2">
        <v>-48.21</v>
      </c>
      <c r="R2411">
        <v>1</v>
      </c>
      <c r="S2411">
        <v>0</v>
      </c>
      <c r="T2411">
        <v>7</v>
      </c>
      <c r="U2411">
        <v>4</v>
      </c>
    </row>
    <row r="2412" spans="1:21" ht="16.5" x14ac:dyDescent="0.3">
      <c r="A2412" t="s">
        <v>2500</v>
      </c>
      <c r="B2412" s="1">
        <v>45648</v>
      </c>
      <c r="C2412">
        <v>2024</v>
      </c>
      <c r="D2412" t="s">
        <v>1738</v>
      </c>
      <c r="E2412" t="s">
        <v>2310</v>
      </c>
      <c r="F2412" t="s">
        <v>24</v>
      </c>
      <c r="G2412" t="s">
        <v>51</v>
      </c>
      <c r="H2412" t="s">
        <v>32</v>
      </c>
      <c r="I2412" t="s">
        <v>36</v>
      </c>
      <c r="J2412" t="s">
        <v>37</v>
      </c>
      <c r="K2412">
        <v>1</v>
      </c>
      <c r="L2412" s="2">
        <v>33.18</v>
      </c>
      <c r="M2412" s="3">
        <v>0.2</v>
      </c>
      <c r="N2412" t="s">
        <v>34</v>
      </c>
      <c r="O2412" s="2">
        <v>26.54</v>
      </c>
      <c r="P2412" s="2">
        <v>16.329999999999998</v>
      </c>
      <c r="Q2412" s="2">
        <v>10.210000000000001</v>
      </c>
      <c r="R2412">
        <v>1</v>
      </c>
      <c r="S2412">
        <v>0</v>
      </c>
      <c r="T2412">
        <v>4</v>
      </c>
      <c r="U2412">
        <v>5</v>
      </c>
    </row>
    <row r="2413" spans="1:21" ht="16.5" x14ac:dyDescent="0.3">
      <c r="A2413" t="s">
        <v>2501</v>
      </c>
      <c r="B2413" s="1">
        <v>45649</v>
      </c>
      <c r="C2413">
        <v>2024</v>
      </c>
      <c r="D2413" t="s">
        <v>1738</v>
      </c>
      <c r="E2413" t="s">
        <v>2310</v>
      </c>
      <c r="F2413" t="s">
        <v>45</v>
      </c>
      <c r="G2413" t="s">
        <v>49</v>
      </c>
      <c r="H2413" t="s">
        <v>26</v>
      </c>
      <c r="I2413" t="s">
        <v>27</v>
      </c>
      <c r="J2413" t="s">
        <v>110</v>
      </c>
      <c r="K2413">
        <v>1</v>
      </c>
      <c r="L2413" s="2">
        <v>19.41</v>
      </c>
      <c r="M2413" s="3">
        <v>0.2</v>
      </c>
      <c r="N2413" t="s">
        <v>34</v>
      </c>
      <c r="O2413" s="2">
        <v>15.53</v>
      </c>
      <c r="P2413" s="2">
        <v>10.97</v>
      </c>
      <c r="Q2413" s="2">
        <v>4.5599999999999996</v>
      </c>
      <c r="R2413">
        <v>1</v>
      </c>
      <c r="S2413">
        <v>0</v>
      </c>
      <c r="T2413">
        <v>5</v>
      </c>
      <c r="U2413">
        <v>5</v>
      </c>
    </row>
    <row r="2414" spans="1:21" ht="16.5" x14ac:dyDescent="0.3">
      <c r="A2414" t="s">
        <v>2502</v>
      </c>
      <c r="B2414" s="1">
        <v>45649</v>
      </c>
      <c r="C2414">
        <v>2024</v>
      </c>
      <c r="D2414" t="s">
        <v>1738</v>
      </c>
      <c r="E2414" t="s">
        <v>2310</v>
      </c>
      <c r="F2414" t="s">
        <v>24</v>
      </c>
      <c r="G2414" t="s">
        <v>46</v>
      </c>
      <c r="H2414" t="s">
        <v>32</v>
      </c>
      <c r="I2414" t="s">
        <v>42</v>
      </c>
      <c r="J2414" t="s">
        <v>58</v>
      </c>
      <c r="K2414">
        <v>4</v>
      </c>
      <c r="L2414" s="2">
        <v>233.81</v>
      </c>
      <c r="M2414" s="3">
        <v>0.15</v>
      </c>
      <c r="N2414" t="s">
        <v>34</v>
      </c>
      <c r="O2414" s="2">
        <v>794.95</v>
      </c>
      <c r="P2414" s="2">
        <v>599.79</v>
      </c>
      <c r="Q2414" s="2">
        <v>195.16</v>
      </c>
      <c r="R2414">
        <v>1</v>
      </c>
      <c r="S2414">
        <v>1</v>
      </c>
      <c r="T2414">
        <v>8</v>
      </c>
      <c r="U2414">
        <v>2</v>
      </c>
    </row>
    <row r="2415" spans="1:21" ht="16.5" x14ac:dyDescent="0.3">
      <c r="A2415" t="s">
        <v>2503</v>
      </c>
      <c r="B2415" s="1">
        <v>45649</v>
      </c>
      <c r="C2415">
        <v>2024</v>
      </c>
      <c r="D2415" t="s">
        <v>1738</v>
      </c>
      <c r="E2415" t="s">
        <v>2310</v>
      </c>
      <c r="F2415" t="s">
        <v>24</v>
      </c>
      <c r="G2415" t="s">
        <v>49</v>
      </c>
      <c r="H2415" t="s">
        <v>26</v>
      </c>
      <c r="I2415" t="s">
        <v>84</v>
      </c>
      <c r="J2415" t="s">
        <v>106</v>
      </c>
      <c r="K2415">
        <v>4</v>
      </c>
      <c r="L2415" s="2">
        <v>45.28</v>
      </c>
      <c r="M2415" s="3">
        <v>0.3</v>
      </c>
      <c r="N2415" t="s">
        <v>62</v>
      </c>
      <c r="O2415" s="2">
        <v>126.78</v>
      </c>
      <c r="P2415" s="2">
        <v>136.21</v>
      </c>
      <c r="Q2415" s="2">
        <v>-9.43</v>
      </c>
      <c r="R2415">
        <v>1</v>
      </c>
      <c r="S2415">
        <v>0</v>
      </c>
      <c r="T2415">
        <v>5</v>
      </c>
      <c r="U2415">
        <v>4</v>
      </c>
    </row>
    <row r="2416" spans="1:21" ht="16.5" x14ac:dyDescent="0.3">
      <c r="A2416" t="s">
        <v>2504</v>
      </c>
      <c r="B2416" s="1">
        <v>45649</v>
      </c>
      <c r="C2416">
        <v>2024</v>
      </c>
      <c r="D2416" t="s">
        <v>1738</v>
      </c>
      <c r="E2416" t="s">
        <v>2310</v>
      </c>
      <c r="F2416" t="s">
        <v>45</v>
      </c>
      <c r="G2416" t="s">
        <v>51</v>
      </c>
      <c r="H2416" t="s">
        <v>32</v>
      </c>
      <c r="I2416" t="s">
        <v>27</v>
      </c>
      <c r="J2416" t="s">
        <v>40</v>
      </c>
      <c r="K2416">
        <v>1</v>
      </c>
      <c r="L2416" s="2">
        <v>104.94</v>
      </c>
      <c r="M2416" s="3">
        <v>0.05</v>
      </c>
      <c r="N2416" t="s">
        <v>29</v>
      </c>
      <c r="O2416" s="2">
        <v>99.69</v>
      </c>
      <c r="P2416" s="2">
        <v>56.92</v>
      </c>
      <c r="Q2416" s="2">
        <v>42.77</v>
      </c>
      <c r="R2416">
        <v>1</v>
      </c>
      <c r="S2416">
        <v>0</v>
      </c>
      <c r="T2416">
        <v>6</v>
      </c>
      <c r="U2416">
        <v>3</v>
      </c>
    </row>
    <row r="2417" spans="1:21" ht="16.5" x14ac:dyDescent="0.3">
      <c r="A2417" t="s">
        <v>2505</v>
      </c>
      <c r="B2417" s="1">
        <v>45649</v>
      </c>
      <c r="C2417">
        <v>2024</v>
      </c>
      <c r="D2417" t="s">
        <v>1738</v>
      </c>
      <c r="E2417" t="s">
        <v>2310</v>
      </c>
      <c r="F2417" t="s">
        <v>24</v>
      </c>
      <c r="G2417" t="s">
        <v>51</v>
      </c>
      <c r="H2417" t="s">
        <v>32</v>
      </c>
      <c r="I2417" t="s">
        <v>84</v>
      </c>
      <c r="J2417" t="s">
        <v>106</v>
      </c>
      <c r="K2417">
        <v>1</v>
      </c>
      <c r="L2417" s="2">
        <v>45.28</v>
      </c>
      <c r="M2417" s="3">
        <v>0.1</v>
      </c>
      <c r="N2417" t="s">
        <v>29</v>
      </c>
      <c r="O2417" s="2">
        <v>40.75</v>
      </c>
      <c r="P2417" s="2">
        <v>32.83</v>
      </c>
      <c r="Q2417" s="2">
        <v>7.92</v>
      </c>
      <c r="R2417">
        <v>1</v>
      </c>
      <c r="S2417">
        <v>0</v>
      </c>
      <c r="T2417">
        <v>5</v>
      </c>
      <c r="U2417">
        <v>4</v>
      </c>
    </row>
    <row r="2418" spans="1:21" ht="16.5" x14ac:dyDescent="0.3">
      <c r="A2418" t="s">
        <v>2506</v>
      </c>
      <c r="B2418" s="1">
        <v>45649</v>
      </c>
      <c r="C2418">
        <v>2024</v>
      </c>
      <c r="D2418" t="s">
        <v>1738</v>
      </c>
      <c r="E2418" t="s">
        <v>2310</v>
      </c>
      <c r="F2418" t="s">
        <v>31</v>
      </c>
      <c r="G2418" t="s">
        <v>65</v>
      </c>
      <c r="H2418" t="s">
        <v>32</v>
      </c>
      <c r="I2418" t="s">
        <v>36</v>
      </c>
      <c r="J2418" t="s">
        <v>115</v>
      </c>
      <c r="K2418">
        <v>1</v>
      </c>
      <c r="L2418" s="2">
        <v>33.479999999999997</v>
      </c>
      <c r="M2418" s="3">
        <v>0.25</v>
      </c>
      <c r="N2418" t="s">
        <v>62</v>
      </c>
      <c r="O2418" s="2">
        <v>25.11</v>
      </c>
      <c r="P2418" s="2">
        <v>16.690000000000001</v>
      </c>
      <c r="Q2418" s="2">
        <v>8.42</v>
      </c>
      <c r="R2418">
        <v>1</v>
      </c>
      <c r="S2418">
        <v>0</v>
      </c>
      <c r="T2418">
        <v>7</v>
      </c>
      <c r="U2418">
        <v>3</v>
      </c>
    </row>
    <row r="2419" spans="1:21" ht="16.5" x14ac:dyDescent="0.3">
      <c r="A2419" t="s">
        <v>2507</v>
      </c>
      <c r="B2419" s="1">
        <v>45650</v>
      </c>
      <c r="C2419">
        <v>2024</v>
      </c>
      <c r="D2419" t="s">
        <v>1738</v>
      </c>
      <c r="E2419" t="s">
        <v>2310</v>
      </c>
      <c r="F2419" t="s">
        <v>24</v>
      </c>
      <c r="G2419" t="s">
        <v>49</v>
      </c>
      <c r="H2419" t="s">
        <v>26</v>
      </c>
      <c r="I2419" t="s">
        <v>70</v>
      </c>
      <c r="J2419" t="s">
        <v>129</v>
      </c>
      <c r="K2419">
        <v>2</v>
      </c>
      <c r="L2419" s="2">
        <v>177.65</v>
      </c>
      <c r="M2419" s="3">
        <v>0.25</v>
      </c>
      <c r="N2419" t="s">
        <v>62</v>
      </c>
      <c r="O2419" s="2">
        <v>266.48</v>
      </c>
      <c r="P2419" s="2">
        <v>281.19</v>
      </c>
      <c r="Q2419" s="2">
        <v>-14.71</v>
      </c>
      <c r="R2419">
        <v>1</v>
      </c>
      <c r="S2419">
        <v>0</v>
      </c>
      <c r="T2419">
        <v>7</v>
      </c>
      <c r="U2419">
        <v>4</v>
      </c>
    </row>
    <row r="2420" spans="1:21" ht="16.5" x14ac:dyDescent="0.3">
      <c r="A2420" t="s">
        <v>2508</v>
      </c>
      <c r="B2420" s="1">
        <v>45650</v>
      </c>
      <c r="C2420">
        <v>2024</v>
      </c>
      <c r="D2420" t="s">
        <v>1738</v>
      </c>
      <c r="E2420" t="s">
        <v>2310</v>
      </c>
      <c r="F2420" t="s">
        <v>31</v>
      </c>
      <c r="G2420" t="s">
        <v>25</v>
      </c>
      <c r="H2420" t="s">
        <v>26</v>
      </c>
      <c r="I2420" t="s">
        <v>27</v>
      </c>
      <c r="J2420" t="s">
        <v>33</v>
      </c>
      <c r="K2420">
        <v>2</v>
      </c>
      <c r="L2420" s="2">
        <v>78.510000000000005</v>
      </c>
      <c r="M2420" s="3">
        <v>0.2</v>
      </c>
      <c r="N2420" t="s">
        <v>34</v>
      </c>
      <c r="O2420" s="2">
        <v>125.62</v>
      </c>
      <c r="P2420" s="2">
        <v>86.75</v>
      </c>
      <c r="Q2420" s="2">
        <v>38.869999999999997</v>
      </c>
      <c r="R2420">
        <v>1</v>
      </c>
      <c r="S2420">
        <v>0</v>
      </c>
      <c r="T2420">
        <v>5</v>
      </c>
      <c r="U2420">
        <v>5</v>
      </c>
    </row>
    <row r="2421" spans="1:21" ht="16.5" x14ac:dyDescent="0.3">
      <c r="A2421" t="s">
        <v>2509</v>
      </c>
      <c r="B2421" s="1">
        <v>45650</v>
      </c>
      <c r="C2421">
        <v>2024</v>
      </c>
      <c r="D2421" t="s">
        <v>1738</v>
      </c>
      <c r="E2421" t="s">
        <v>2310</v>
      </c>
      <c r="F2421" t="s">
        <v>24</v>
      </c>
      <c r="G2421" t="s">
        <v>49</v>
      </c>
      <c r="H2421" t="s">
        <v>32</v>
      </c>
      <c r="I2421" t="s">
        <v>36</v>
      </c>
      <c r="J2421" t="s">
        <v>115</v>
      </c>
      <c r="K2421">
        <v>2</v>
      </c>
      <c r="L2421" s="2">
        <v>33.479999999999997</v>
      </c>
      <c r="M2421" s="3">
        <v>0.1</v>
      </c>
      <c r="N2421" t="s">
        <v>29</v>
      </c>
      <c r="O2421" s="2">
        <v>60.26</v>
      </c>
      <c r="P2421" s="2">
        <v>32.520000000000003</v>
      </c>
      <c r="Q2421" s="2">
        <v>27.74</v>
      </c>
      <c r="R2421">
        <v>1</v>
      </c>
      <c r="S2421">
        <v>0</v>
      </c>
      <c r="T2421">
        <v>4</v>
      </c>
      <c r="U2421">
        <v>4</v>
      </c>
    </row>
    <row r="2422" spans="1:21" ht="16.5" x14ac:dyDescent="0.3">
      <c r="A2422" t="s">
        <v>2510</v>
      </c>
      <c r="B2422" s="1">
        <v>45650</v>
      </c>
      <c r="C2422">
        <v>2024</v>
      </c>
      <c r="D2422" t="s">
        <v>1738</v>
      </c>
      <c r="E2422" t="s">
        <v>2310</v>
      </c>
      <c r="F2422" t="s">
        <v>24</v>
      </c>
      <c r="G2422" t="s">
        <v>51</v>
      </c>
      <c r="H2422" t="s">
        <v>26</v>
      </c>
      <c r="I2422" t="s">
        <v>70</v>
      </c>
      <c r="J2422" t="s">
        <v>82</v>
      </c>
      <c r="K2422">
        <v>1</v>
      </c>
      <c r="L2422" s="2">
        <v>508.8</v>
      </c>
      <c r="M2422" s="3">
        <v>0.15</v>
      </c>
      <c r="N2422" t="s">
        <v>34</v>
      </c>
      <c r="O2422" s="2">
        <v>432.48</v>
      </c>
      <c r="P2422" s="2">
        <v>423.72</v>
      </c>
      <c r="Q2422" s="2">
        <v>8.76</v>
      </c>
      <c r="R2422">
        <v>1</v>
      </c>
      <c r="S2422">
        <v>0</v>
      </c>
      <c r="T2422">
        <v>5</v>
      </c>
      <c r="U2422">
        <v>5</v>
      </c>
    </row>
    <row r="2423" spans="1:21" ht="16.5" x14ac:dyDescent="0.3">
      <c r="A2423" t="s">
        <v>2511</v>
      </c>
      <c r="B2423" s="1">
        <v>45650</v>
      </c>
      <c r="C2423">
        <v>2024</v>
      </c>
      <c r="D2423" t="s">
        <v>1738</v>
      </c>
      <c r="E2423" t="s">
        <v>2310</v>
      </c>
      <c r="F2423" t="s">
        <v>24</v>
      </c>
      <c r="G2423" t="s">
        <v>51</v>
      </c>
      <c r="H2423" t="s">
        <v>32</v>
      </c>
      <c r="I2423" t="s">
        <v>27</v>
      </c>
      <c r="J2423" t="s">
        <v>60</v>
      </c>
      <c r="K2423">
        <v>1</v>
      </c>
      <c r="L2423" s="2">
        <v>94.85</v>
      </c>
      <c r="M2423" s="3">
        <v>0.05</v>
      </c>
      <c r="N2423" t="s">
        <v>29</v>
      </c>
      <c r="O2423" s="2">
        <v>90.11</v>
      </c>
      <c r="P2423" s="2">
        <v>50.75</v>
      </c>
      <c r="Q2423" s="2">
        <v>39.36</v>
      </c>
      <c r="R2423">
        <v>1</v>
      </c>
      <c r="S2423">
        <v>0</v>
      </c>
      <c r="T2423">
        <v>4</v>
      </c>
      <c r="U2423">
        <v>4</v>
      </c>
    </row>
    <row r="2424" spans="1:21" ht="16.5" x14ac:dyDescent="0.3">
      <c r="A2424" t="s">
        <v>2512</v>
      </c>
      <c r="B2424" s="1">
        <v>45650</v>
      </c>
      <c r="C2424">
        <v>2024</v>
      </c>
      <c r="D2424" t="s">
        <v>1738</v>
      </c>
      <c r="E2424" t="s">
        <v>2310</v>
      </c>
      <c r="F2424" t="s">
        <v>45</v>
      </c>
      <c r="G2424" t="s">
        <v>49</v>
      </c>
      <c r="H2424" t="s">
        <v>26</v>
      </c>
      <c r="I2424" t="s">
        <v>70</v>
      </c>
      <c r="J2424" t="s">
        <v>129</v>
      </c>
      <c r="K2424">
        <v>3</v>
      </c>
      <c r="L2424" s="2">
        <v>177.65</v>
      </c>
      <c r="M2424" s="3">
        <v>0.05</v>
      </c>
      <c r="N2424" t="s">
        <v>29</v>
      </c>
      <c r="O2424" s="2">
        <v>506.3</v>
      </c>
      <c r="P2424" s="2">
        <v>419.05</v>
      </c>
      <c r="Q2424" s="2">
        <v>87.25</v>
      </c>
      <c r="R2424">
        <v>1</v>
      </c>
      <c r="S2424">
        <v>1</v>
      </c>
      <c r="T2424">
        <v>4</v>
      </c>
      <c r="U2424">
        <v>4</v>
      </c>
    </row>
    <row r="2425" spans="1:21" ht="16.5" x14ac:dyDescent="0.3">
      <c r="A2425" t="s">
        <v>2513</v>
      </c>
      <c r="B2425" s="1">
        <v>45650</v>
      </c>
      <c r="C2425">
        <v>2024</v>
      </c>
      <c r="D2425" t="s">
        <v>1738</v>
      </c>
      <c r="E2425" t="s">
        <v>2310</v>
      </c>
      <c r="F2425" t="s">
        <v>45</v>
      </c>
      <c r="G2425" t="s">
        <v>46</v>
      </c>
      <c r="H2425" t="s">
        <v>32</v>
      </c>
      <c r="I2425" t="s">
        <v>70</v>
      </c>
      <c r="J2425" t="s">
        <v>82</v>
      </c>
      <c r="K2425">
        <v>2</v>
      </c>
      <c r="L2425" s="2">
        <v>508.8</v>
      </c>
      <c r="M2425" s="3">
        <v>0.3</v>
      </c>
      <c r="N2425" t="s">
        <v>62</v>
      </c>
      <c r="O2425" s="2">
        <v>712.32</v>
      </c>
      <c r="P2425" s="2">
        <v>826.64</v>
      </c>
      <c r="Q2425" s="2">
        <v>-114.32</v>
      </c>
      <c r="R2425">
        <v>1</v>
      </c>
      <c r="S2425">
        <v>0</v>
      </c>
      <c r="T2425">
        <v>7</v>
      </c>
      <c r="U2425">
        <v>3</v>
      </c>
    </row>
    <row r="2426" spans="1:21" ht="16.5" x14ac:dyDescent="0.3">
      <c r="A2426" t="s">
        <v>2514</v>
      </c>
      <c r="B2426" s="1">
        <v>45651</v>
      </c>
      <c r="C2426">
        <v>2024</v>
      </c>
      <c r="D2426" t="s">
        <v>1738</v>
      </c>
      <c r="E2426" t="s">
        <v>2310</v>
      </c>
      <c r="F2426" t="s">
        <v>24</v>
      </c>
      <c r="G2426" t="s">
        <v>51</v>
      </c>
      <c r="H2426" t="s">
        <v>26</v>
      </c>
      <c r="I2426" t="s">
        <v>70</v>
      </c>
      <c r="J2426" t="s">
        <v>252</v>
      </c>
      <c r="K2426">
        <v>2</v>
      </c>
      <c r="L2426" s="2">
        <v>216.08</v>
      </c>
      <c r="M2426" s="3">
        <v>0.15</v>
      </c>
      <c r="N2426" t="s">
        <v>34</v>
      </c>
      <c r="O2426" s="2">
        <v>367.34</v>
      </c>
      <c r="P2426" s="2">
        <v>347.76</v>
      </c>
      <c r="Q2426" s="2">
        <v>19.579999999999998</v>
      </c>
      <c r="R2426">
        <v>1</v>
      </c>
      <c r="S2426">
        <v>0</v>
      </c>
      <c r="T2426">
        <v>5</v>
      </c>
      <c r="U2426">
        <v>4</v>
      </c>
    </row>
    <row r="2427" spans="1:21" ht="16.5" x14ac:dyDescent="0.3">
      <c r="A2427" t="s">
        <v>2515</v>
      </c>
      <c r="B2427" s="1">
        <v>45651</v>
      </c>
      <c r="C2427">
        <v>2024</v>
      </c>
      <c r="D2427" t="s">
        <v>1738</v>
      </c>
      <c r="E2427" t="s">
        <v>2310</v>
      </c>
      <c r="F2427" t="s">
        <v>24</v>
      </c>
      <c r="G2427" t="s">
        <v>25</v>
      </c>
      <c r="H2427" t="s">
        <v>32</v>
      </c>
      <c r="I2427" t="s">
        <v>70</v>
      </c>
      <c r="J2427" t="s">
        <v>87</v>
      </c>
      <c r="K2427">
        <v>2</v>
      </c>
      <c r="L2427" s="2">
        <v>490.3</v>
      </c>
      <c r="M2427" s="3">
        <v>0</v>
      </c>
      <c r="N2427" t="s">
        <v>38</v>
      </c>
      <c r="O2427" s="2">
        <v>980.6</v>
      </c>
      <c r="P2427" s="2">
        <v>755.69</v>
      </c>
      <c r="Q2427" s="2">
        <v>224.91</v>
      </c>
      <c r="R2427">
        <v>1</v>
      </c>
      <c r="S2427">
        <v>0</v>
      </c>
      <c r="T2427">
        <v>5</v>
      </c>
      <c r="U2427">
        <v>5</v>
      </c>
    </row>
    <row r="2428" spans="1:21" ht="16.5" x14ac:dyDescent="0.3">
      <c r="A2428" t="s">
        <v>2516</v>
      </c>
      <c r="B2428" s="1">
        <v>45651</v>
      </c>
      <c r="C2428">
        <v>2024</v>
      </c>
      <c r="D2428" t="s">
        <v>1738</v>
      </c>
      <c r="E2428" t="s">
        <v>2310</v>
      </c>
      <c r="F2428" t="s">
        <v>24</v>
      </c>
      <c r="G2428" t="s">
        <v>51</v>
      </c>
      <c r="H2428" t="s">
        <v>32</v>
      </c>
      <c r="I2428" t="s">
        <v>42</v>
      </c>
      <c r="J2428" t="s">
        <v>43</v>
      </c>
      <c r="K2428">
        <v>2</v>
      </c>
      <c r="L2428" s="2">
        <v>154.66</v>
      </c>
      <c r="M2428" s="3">
        <v>0.3</v>
      </c>
      <c r="N2428" t="s">
        <v>62</v>
      </c>
      <c r="O2428" s="2">
        <v>216.52</v>
      </c>
      <c r="P2428" s="2">
        <v>204.32</v>
      </c>
      <c r="Q2428" s="2">
        <v>12.2</v>
      </c>
      <c r="R2428">
        <v>1</v>
      </c>
      <c r="S2428">
        <v>0</v>
      </c>
      <c r="T2428">
        <v>3</v>
      </c>
      <c r="U2428">
        <v>4</v>
      </c>
    </row>
    <row r="2429" spans="1:21" ht="16.5" x14ac:dyDescent="0.3">
      <c r="A2429" t="s">
        <v>2517</v>
      </c>
      <c r="B2429" s="1">
        <v>45651</v>
      </c>
      <c r="C2429">
        <v>2024</v>
      </c>
      <c r="D2429" t="s">
        <v>1738</v>
      </c>
      <c r="E2429" t="s">
        <v>2310</v>
      </c>
      <c r="F2429" t="s">
        <v>45</v>
      </c>
      <c r="G2429" t="s">
        <v>25</v>
      </c>
      <c r="H2429" t="s">
        <v>32</v>
      </c>
      <c r="I2429" t="s">
        <v>70</v>
      </c>
      <c r="J2429" t="s">
        <v>87</v>
      </c>
      <c r="K2429">
        <v>1</v>
      </c>
      <c r="L2429" s="2">
        <v>490.3</v>
      </c>
      <c r="M2429" s="3">
        <v>0.3</v>
      </c>
      <c r="N2429" t="s">
        <v>62</v>
      </c>
      <c r="O2429" s="2">
        <v>343.21</v>
      </c>
      <c r="P2429" s="2">
        <v>398.31</v>
      </c>
      <c r="Q2429" s="2">
        <v>-55.1</v>
      </c>
      <c r="R2429">
        <v>1</v>
      </c>
      <c r="S2429">
        <v>0</v>
      </c>
      <c r="T2429">
        <v>4</v>
      </c>
      <c r="U2429">
        <v>5</v>
      </c>
    </row>
    <row r="2430" spans="1:21" ht="16.5" x14ac:dyDescent="0.3">
      <c r="A2430" t="s">
        <v>2518</v>
      </c>
      <c r="B2430" s="1">
        <v>45651</v>
      </c>
      <c r="C2430">
        <v>2024</v>
      </c>
      <c r="D2430" t="s">
        <v>1738</v>
      </c>
      <c r="E2430" t="s">
        <v>2310</v>
      </c>
      <c r="F2430" t="s">
        <v>45</v>
      </c>
      <c r="G2430" t="s">
        <v>51</v>
      </c>
      <c r="H2430" t="s">
        <v>32</v>
      </c>
      <c r="I2430" t="s">
        <v>27</v>
      </c>
      <c r="J2430" t="s">
        <v>28</v>
      </c>
      <c r="K2430">
        <v>1</v>
      </c>
      <c r="L2430" s="2">
        <v>138.5</v>
      </c>
      <c r="M2430" s="3">
        <v>0.25</v>
      </c>
      <c r="N2430" t="s">
        <v>62</v>
      </c>
      <c r="O2430" s="2">
        <v>103.88</v>
      </c>
      <c r="P2430" s="2">
        <v>75.459999999999994</v>
      </c>
      <c r="Q2430" s="2">
        <v>28.42</v>
      </c>
      <c r="R2430">
        <v>1</v>
      </c>
      <c r="S2430">
        <v>1</v>
      </c>
      <c r="T2430">
        <v>5</v>
      </c>
      <c r="U2430">
        <v>3</v>
      </c>
    </row>
    <row r="2431" spans="1:21" ht="16.5" x14ac:dyDescent="0.3">
      <c r="A2431" t="s">
        <v>2519</v>
      </c>
      <c r="B2431" s="1">
        <v>45651</v>
      </c>
      <c r="C2431">
        <v>2024</v>
      </c>
      <c r="D2431" t="s">
        <v>1738</v>
      </c>
      <c r="E2431" t="s">
        <v>2310</v>
      </c>
      <c r="F2431" t="s">
        <v>31</v>
      </c>
      <c r="G2431" t="s">
        <v>25</v>
      </c>
      <c r="H2431" t="s">
        <v>32</v>
      </c>
      <c r="I2431" t="s">
        <v>42</v>
      </c>
      <c r="J2431" t="s">
        <v>89</v>
      </c>
      <c r="K2431">
        <v>1</v>
      </c>
      <c r="L2431" s="2">
        <v>68.349999999999994</v>
      </c>
      <c r="M2431" s="3">
        <v>0.05</v>
      </c>
      <c r="N2431" t="s">
        <v>29</v>
      </c>
      <c r="O2431" s="2">
        <v>64.930000000000007</v>
      </c>
      <c r="P2431" s="2">
        <v>44.31</v>
      </c>
      <c r="Q2431" s="2">
        <v>20.62</v>
      </c>
      <c r="R2431">
        <v>1</v>
      </c>
      <c r="S2431">
        <v>0</v>
      </c>
      <c r="T2431">
        <v>5</v>
      </c>
      <c r="U2431">
        <v>5</v>
      </c>
    </row>
    <row r="2432" spans="1:21" ht="16.5" x14ac:dyDescent="0.3">
      <c r="A2432" t="s">
        <v>2520</v>
      </c>
      <c r="B2432" s="1">
        <v>45651</v>
      </c>
      <c r="C2432">
        <v>2024</v>
      </c>
      <c r="D2432" t="s">
        <v>1738</v>
      </c>
      <c r="E2432" t="s">
        <v>2310</v>
      </c>
      <c r="F2432" t="s">
        <v>24</v>
      </c>
      <c r="G2432" t="s">
        <v>51</v>
      </c>
      <c r="H2432" t="s">
        <v>26</v>
      </c>
      <c r="I2432" t="s">
        <v>42</v>
      </c>
      <c r="J2432" t="s">
        <v>89</v>
      </c>
      <c r="K2432">
        <v>1</v>
      </c>
      <c r="L2432" s="2">
        <v>68.349999999999994</v>
      </c>
      <c r="M2432" s="3">
        <v>0.1</v>
      </c>
      <c r="N2432" t="s">
        <v>29</v>
      </c>
      <c r="O2432" s="2">
        <v>61.51</v>
      </c>
      <c r="P2432" s="2">
        <v>44.62</v>
      </c>
      <c r="Q2432" s="2">
        <v>16.89</v>
      </c>
      <c r="R2432">
        <v>1</v>
      </c>
      <c r="S2432">
        <v>0</v>
      </c>
      <c r="T2432">
        <v>4</v>
      </c>
      <c r="U2432">
        <v>4</v>
      </c>
    </row>
    <row r="2433" spans="1:21" ht="16.5" x14ac:dyDescent="0.3">
      <c r="A2433" t="s">
        <v>2521</v>
      </c>
      <c r="B2433" s="1">
        <v>45651</v>
      </c>
      <c r="C2433">
        <v>2024</v>
      </c>
      <c r="D2433" t="s">
        <v>1738</v>
      </c>
      <c r="E2433" t="s">
        <v>2310</v>
      </c>
      <c r="F2433" t="s">
        <v>45</v>
      </c>
      <c r="G2433" t="s">
        <v>51</v>
      </c>
      <c r="H2433" t="s">
        <v>32</v>
      </c>
      <c r="I2433" t="s">
        <v>27</v>
      </c>
      <c r="J2433" t="s">
        <v>28</v>
      </c>
      <c r="K2433">
        <v>3</v>
      </c>
      <c r="L2433" s="2">
        <v>138.5</v>
      </c>
      <c r="M2433" s="3">
        <v>0.25</v>
      </c>
      <c r="N2433" t="s">
        <v>62</v>
      </c>
      <c r="O2433" s="2">
        <v>311.62</v>
      </c>
      <c r="P2433" s="2">
        <v>228.25</v>
      </c>
      <c r="Q2433" s="2">
        <v>83.37</v>
      </c>
      <c r="R2433">
        <v>1</v>
      </c>
      <c r="S2433">
        <v>0</v>
      </c>
      <c r="T2433">
        <v>3</v>
      </c>
      <c r="U2433">
        <v>4</v>
      </c>
    </row>
    <row r="2434" spans="1:21" ht="16.5" x14ac:dyDescent="0.3">
      <c r="A2434" t="s">
        <v>2522</v>
      </c>
      <c r="B2434" s="1">
        <v>45651</v>
      </c>
      <c r="C2434">
        <v>2024</v>
      </c>
      <c r="D2434" t="s">
        <v>1738</v>
      </c>
      <c r="E2434" t="s">
        <v>2310</v>
      </c>
      <c r="F2434" t="s">
        <v>24</v>
      </c>
      <c r="G2434" t="s">
        <v>46</v>
      </c>
      <c r="H2434" t="s">
        <v>26</v>
      </c>
      <c r="I2434" t="s">
        <v>36</v>
      </c>
      <c r="J2434" t="s">
        <v>37</v>
      </c>
      <c r="K2434">
        <v>3</v>
      </c>
      <c r="L2434" s="2">
        <v>33.18</v>
      </c>
      <c r="M2434" s="3">
        <v>0</v>
      </c>
      <c r="N2434" t="s">
        <v>38</v>
      </c>
      <c r="O2434" s="2">
        <v>99.54</v>
      </c>
      <c r="P2434" s="2">
        <v>48.4</v>
      </c>
      <c r="Q2434" s="2">
        <v>51.14</v>
      </c>
      <c r="R2434">
        <v>1</v>
      </c>
      <c r="S2434">
        <v>0</v>
      </c>
      <c r="T2434">
        <v>6</v>
      </c>
      <c r="U2434">
        <v>5</v>
      </c>
    </row>
    <row r="2435" spans="1:21" ht="16.5" x14ac:dyDescent="0.3">
      <c r="A2435" t="s">
        <v>2523</v>
      </c>
      <c r="B2435" s="1">
        <v>45652</v>
      </c>
      <c r="C2435">
        <v>2024</v>
      </c>
      <c r="D2435" t="s">
        <v>1738</v>
      </c>
      <c r="E2435" t="s">
        <v>2310</v>
      </c>
      <c r="F2435" t="s">
        <v>45</v>
      </c>
      <c r="G2435" t="s">
        <v>49</v>
      </c>
      <c r="H2435" t="s">
        <v>32</v>
      </c>
      <c r="I2435" t="s">
        <v>70</v>
      </c>
      <c r="J2435" t="s">
        <v>71</v>
      </c>
      <c r="K2435">
        <v>3</v>
      </c>
      <c r="L2435" s="2">
        <v>588.41</v>
      </c>
      <c r="M2435" s="3">
        <v>0.25</v>
      </c>
      <c r="N2435" t="s">
        <v>62</v>
      </c>
      <c r="O2435" s="2">
        <v>1323.92</v>
      </c>
      <c r="P2435" s="2">
        <v>1395.38</v>
      </c>
      <c r="Q2435" s="2">
        <v>-71.459999999999994</v>
      </c>
      <c r="R2435">
        <v>1</v>
      </c>
      <c r="S2435">
        <v>0</v>
      </c>
      <c r="T2435">
        <v>4</v>
      </c>
      <c r="U2435">
        <v>4</v>
      </c>
    </row>
    <row r="2436" spans="1:21" ht="16.5" x14ac:dyDescent="0.3">
      <c r="A2436" t="s">
        <v>2524</v>
      </c>
      <c r="B2436" s="1">
        <v>45652</v>
      </c>
      <c r="C2436">
        <v>2024</v>
      </c>
      <c r="D2436" t="s">
        <v>1738</v>
      </c>
      <c r="E2436" t="s">
        <v>2310</v>
      </c>
      <c r="F2436" t="s">
        <v>24</v>
      </c>
      <c r="G2436" t="s">
        <v>51</v>
      </c>
      <c r="H2436" t="s">
        <v>32</v>
      </c>
      <c r="I2436" t="s">
        <v>84</v>
      </c>
      <c r="J2436" t="s">
        <v>96</v>
      </c>
      <c r="K2436">
        <v>1</v>
      </c>
      <c r="L2436" s="2">
        <v>10.76</v>
      </c>
      <c r="M2436" s="3">
        <v>0.3</v>
      </c>
      <c r="N2436" t="s">
        <v>62</v>
      </c>
      <c r="O2436" s="2">
        <v>7.53</v>
      </c>
      <c r="P2436" s="2">
        <v>7.41</v>
      </c>
      <c r="Q2436" s="2">
        <v>0.12</v>
      </c>
      <c r="R2436">
        <v>1</v>
      </c>
      <c r="S2436">
        <v>0</v>
      </c>
      <c r="T2436">
        <v>4</v>
      </c>
      <c r="U2436">
        <v>4</v>
      </c>
    </row>
    <row r="2437" spans="1:21" ht="16.5" x14ac:dyDescent="0.3">
      <c r="A2437" t="s">
        <v>2525</v>
      </c>
      <c r="B2437" s="1">
        <v>45652</v>
      </c>
      <c r="C2437">
        <v>2024</v>
      </c>
      <c r="D2437" t="s">
        <v>1738</v>
      </c>
      <c r="E2437" t="s">
        <v>2310</v>
      </c>
      <c r="F2437" t="s">
        <v>31</v>
      </c>
      <c r="G2437" t="s">
        <v>51</v>
      </c>
      <c r="H2437" t="s">
        <v>26</v>
      </c>
      <c r="I2437" t="s">
        <v>36</v>
      </c>
      <c r="J2437" t="s">
        <v>37</v>
      </c>
      <c r="K2437">
        <v>1</v>
      </c>
      <c r="L2437" s="2">
        <v>33.18</v>
      </c>
      <c r="M2437" s="3">
        <v>0.2</v>
      </c>
      <c r="N2437" t="s">
        <v>34</v>
      </c>
      <c r="O2437" s="2">
        <v>26.54</v>
      </c>
      <c r="P2437" s="2">
        <v>15.09</v>
      </c>
      <c r="Q2437" s="2">
        <v>11.45</v>
      </c>
      <c r="R2437">
        <v>1</v>
      </c>
      <c r="S2437">
        <v>0</v>
      </c>
      <c r="T2437">
        <v>3</v>
      </c>
      <c r="U2437">
        <v>4</v>
      </c>
    </row>
    <row r="2438" spans="1:21" ht="16.5" x14ac:dyDescent="0.3">
      <c r="A2438" t="s">
        <v>2526</v>
      </c>
      <c r="B2438" s="1">
        <v>45652</v>
      </c>
      <c r="C2438">
        <v>2024</v>
      </c>
      <c r="D2438" t="s">
        <v>1738</v>
      </c>
      <c r="E2438" t="s">
        <v>2310</v>
      </c>
      <c r="F2438" t="s">
        <v>45</v>
      </c>
      <c r="G2438" t="s">
        <v>46</v>
      </c>
      <c r="H2438" t="s">
        <v>32</v>
      </c>
      <c r="I2438" t="s">
        <v>27</v>
      </c>
      <c r="J2438" t="s">
        <v>47</v>
      </c>
      <c r="K2438">
        <v>1</v>
      </c>
      <c r="L2438" s="2">
        <v>33.99</v>
      </c>
      <c r="M2438" s="3">
        <v>0.2</v>
      </c>
      <c r="N2438" t="s">
        <v>34</v>
      </c>
      <c r="O2438" s="2">
        <v>27.19</v>
      </c>
      <c r="P2438" s="2">
        <v>19.11</v>
      </c>
      <c r="Q2438" s="2">
        <v>8.08</v>
      </c>
      <c r="R2438">
        <v>1</v>
      </c>
      <c r="S2438">
        <v>0</v>
      </c>
      <c r="T2438">
        <v>7</v>
      </c>
      <c r="U2438">
        <v>3</v>
      </c>
    </row>
    <row r="2439" spans="1:21" ht="16.5" x14ac:dyDescent="0.3">
      <c r="A2439" t="s">
        <v>2527</v>
      </c>
      <c r="B2439" s="1">
        <v>45653</v>
      </c>
      <c r="C2439">
        <v>2024</v>
      </c>
      <c r="D2439" t="s">
        <v>1738</v>
      </c>
      <c r="E2439" t="s">
        <v>2310</v>
      </c>
      <c r="F2439" t="s">
        <v>24</v>
      </c>
      <c r="G2439" t="s">
        <v>49</v>
      </c>
      <c r="H2439" t="s">
        <v>26</v>
      </c>
      <c r="I2439" t="s">
        <v>42</v>
      </c>
      <c r="J2439" t="s">
        <v>54</v>
      </c>
      <c r="K2439">
        <v>1</v>
      </c>
      <c r="L2439" s="2">
        <v>148.05000000000001</v>
      </c>
      <c r="M2439" s="3">
        <v>0.2</v>
      </c>
      <c r="N2439" t="s">
        <v>34</v>
      </c>
      <c r="O2439" s="2">
        <v>118.44</v>
      </c>
      <c r="P2439" s="2">
        <v>98.09</v>
      </c>
      <c r="Q2439" s="2">
        <v>20.350000000000001</v>
      </c>
      <c r="R2439">
        <v>1</v>
      </c>
      <c r="S2439">
        <v>0</v>
      </c>
      <c r="T2439">
        <v>4</v>
      </c>
      <c r="U2439">
        <v>4</v>
      </c>
    </row>
    <row r="2440" spans="1:21" ht="16.5" x14ac:dyDescent="0.3">
      <c r="A2440" t="s">
        <v>2528</v>
      </c>
      <c r="B2440" s="1">
        <v>45653</v>
      </c>
      <c r="C2440">
        <v>2024</v>
      </c>
      <c r="D2440" t="s">
        <v>1738</v>
      </c>
      <c r="E2440" t="s">
        <v>2310</v>
      </c>
      <c r="F2440" t="s">
        <v>24</v>
      </c>
      <c r="G2440" t="s">
        <v>46</v>
      </c>
      <c r="H2440" t="s">
        <v>32</v>
      </c>
      <c r="I2440" t="s">
        <v>27</v>
      </c>
      <c r="J2440" t="s">
        <v>110</v>
      </c>
      <c r="K2440">
        <v>2</v>
      </c>
      <c r="L2440" s="2">
        <v>19.41</v>
      </c>
      <c r="M2440" s="3">
        <v>0.1</v>
      </c>
      <c r="N2440" t="s">
        <v>29</v>
      </c>
      <c r="O2440" s="2">
        <v>34.94</v>
      </c>
      <c r="P2440" s="2">
        <v>20.72</v>
      </c>
      <c r="Q2440" s="2">
        <v>14.22</v>
      </c>
      <c r="R2440">
        <v>1</v>
      </c>
      <c r="S2440">
        <v>0</v>
      </c>
      <c r="T2440">
        <v>8</v>
      </c>
      <c r="U2440">
        <v>3</v>
      </c>
    </row>
    <row r="2441" spans="1:21" ht="16.5" x14ac:dyDescent="0.3">
      <c r="A2441" t="s">
        <v>2529</v>
      </c>
      <c r="B2441" s="1">
        <v>45653</v>
      </c>
      <c r="C2441">
        <v>2024</v>
      </c>
      <c r="D2441" t="s">
        <v>1738</v>
      </c>
      <c r="E2441" t="s">
        <v>2310</v>
      </c>
      <c r="F2441" t="s">
        <v>24</v>
      </c>
      <c r="G2441" t="s">
        <v>49</v>
      </c>
      <c r="H2441" t="s">
        <v>32</v>
      </c>
      <c r="I2441" t="s">
        <v>42</v>
      </c>
      <c r="J2441" t="s">
        <v>98</v>
      </c>
      <c r="K2441">
        <v>1</v>
      </c>
      <c r="L2441" s="2">
        <v>117.63</v>
      </c>
      <c r="M2441" s="3">
        <v>0.3</v>
      </c>
      <c r="N2441" t="s">
        <v>62</v>
      </c>
      <c r="O2441" s="2">
        <v>82.34</v>
      </c>
      <c r="P2441" s="2">
        <v>79.599999999999994</v>
      </c>
      <c r="Q2441" s="2">
        <v>2.74</v>
      </c>
      <c r="R2441">
        <v>1</v>
      </c>
      <c r="S2441">
        <v>0</v>
      </c>
      <c r="T2441">
        <v>4</v>
      </c>
      <c r="U2441">
        <v>5</v>
      </c>
    </row>
    <row r="2442" spans="1:21" ht="16.5" x14ac:dyDescent="0.3">
      <c r="A2442" t="s">
        <v>2530</v>
      </c>
      <c r="B2442" s="1">
        <v>45653</v>
      </c>
      <c r="C2442">
        <v>2024</v>
      </c>
      <c r="D2442" t="s">
        <v>1738</v>
      </c>
      <c r="E2442" t="s">
        <v>2310</v>
      </c>
      <c r="F2442" t="s">
        <v>45</v>
      </c>
      <c r="G2442" t="s">
        <v>25</v>
      </c>
      <c r="H2442" t="s">
        <v>32</v>
      </c>
      <c r="I2442" t="s">
        <v>67</v>
      </c>
      <c r="J2442" t="s">
        <v>78</v>
      </c>
      <c r="K2442">
        <v>2</v>
      </c>
      <c r="L2442" s="2">
        <v>85.42</v>
      </c>
      <c r="M2442" s="3">
        <v>0.05</v>
      </c>
      <c r="N2442" t="s">
        <v>29</v>
      </c>
      <c r="O2442" s="2">
        <v>162.30000000000001</v>
      </c>
      <c r="P2442" s="2">
        <v>111.5</v>
      </c>
      <c r="Q2442" s="2">
        <v>50.8</v>
      </c>
      <c r="R2442">
        <v>1</v>
      </c>
      <c r="S2442">
        <v>1</v>
      </c>
      <c r="T2442">
        <v>4</v>
      </c>
      <c r="U2442">
        <v>2</v>
      </c>
    </row>
    <row r="2443" spans="1:21" ht="16.5" x14ac:dyDescent="0.3">
      <c r="A2443" t="s">
        <v>2531</v>
      </c>
      <c r="B2443" s="1">
        <v>45653</v>
      </c>
      <c r="C2443">
        <v>2024</v>
      </c>
      <c r="D2443" t="s">
        <v>1738</v>
      </c>
      <c r="E2443" t="s">
        <v>2310</v>
      </c>
      <c r="F2443" t="s">
        <v>45</v>
      </c>
      <c r="G2443" t="s">
        <v>25</v>
      </c>
      <c r="H2443" t="s">
        <v>26</v>
      </c>
      <c r="I2443" t="s">
        <v>27</v>
      </c>
      <c r="J2443" t="s">
        <v>110</v>
      </c>
      <c r="K2443">
        <v>1</v>
      </c>
      <c r="L2443" s="2">
        <v>19.41</v>
      </c>
      <c r="M2443" s="3">
        <v>0.2</v>
      </c>
      <c r="N2443" t="s">
        <v>34</v>
      </c>
      <c r="O2443" s="2">
        <v>15.53</v>
      </c>
      <c r="P2443" s="2">
        <v>10.46</v>
      </c>
      <c r="Q2443" s="2">
        <v>5.07</v>
      </c>
      <c r="R2443">
        <v>1</v>
      </c>
      <c r="S2443">
        <v>1</v>
      </c>
      <c r="T2443">
        <v>9</v>
      </c>
      <c r="U2443">
        <v>2</v>
      </c>
    </row>
    <row r="2444" spans="1:21" ht="16.5" x14ac:dyDescent="0.3">
      <c r="A2444" t="s">
        <v>2532</v>
      </c>
      <c r="B2444" s="1">
        <v>45653</v>
      </c>
      <c r="C2444">
        <v>2024</v>
      </c>
      <c r="D2444" t="s">
        <v>1738</v>
      </c>
      <c r="E2444" t="s">
        <v>2310</v>
      </c>
      <c r="F2444" t="s">
        <v>31</v>
      </c>
      <c r="G2444" t="s">
        <v>51</v>
      </c>
      <c r="H2444" t="s">
        <v>32</v>
      </c>
      <c r="I2444" t="s">
        <v>42</v>
      </c>
      <c r="J2444" t="s">
        <v>89</v>
      </c>
      <c r="K2444">
        <v>1</v>
      </c>
      <c r="L2444" s="2">
        <v>68.349999999999994</v>
      </c>
      <c r="M2444" s="3">
        <v>0</v>
      </c>
      <c r="N2444" t="s">
        <v>38</v>
      </c>
      <c r="O2444" s="2">
        <v>68.349999999999994</v>
      </c>
      <c r="P2444" s="2">
        <v>46.88</v>
      </c>
      <c r="Q2444" s="2">
        <v>21.47</v>
      </c>
      <c r="R2444">
        <v>1</v>
      </c>
      <c r="S2444">
        <v>0</v>
      </c>
      <c r="T2444">
        <v>4</v>
      </c>
      <c r="U2444">
        <v>5</v>
      </c>
    </row>
    <row r="2445" spans="1:21" ht="16.5" x14ac:dyDescent="0.3">
      <c r="A2445" t="s">
        <v>2533</v>
      </c>
      <c r="B2445" s="1">
        <v>45653</v>
      </c>
      <c r="C2445">
        <v>2024</v>
      </c>
      <c r="D2445" t="s">
        <v>1738</v>
      </c>
      <c r="E2445" t="s">
        <v>2310</v>
      </c>
      <c r="F2445" t="s">
        <v>24</v>
      </c>
      <c r="G2445" t="s">
        <v>49</v>
      </c>
      <c r="H2445" t="s">
        <v>32</v>
      </c>
      <c r="I2445" t="s">
        <v>27</v>
      </c>
      <c r="J2445" t="s">
        <v>47</v>
      </c>
      <c r="K2445">
        <v>1</v>
      </c>
      <c r="L2445" s="2">
        <v>33.99</v>
      </c>
      <c r="M2445" s="3">
        <v>0.3</v>
      </c>
      <c r="N2445" t="s">
        <v>62</v>
      </c>
      <c r="O2445" s="2">
        <v>23.79</v>
      </c>
      <c r="P2445" s="2">
        <v>17.440000000000001</v>
      </c>
      <c r="Q2445" s="2">
        <v>6.35</v>
      </c>
      <c r="R2445">
        <v>1</v>
      </c>
      <c r="S2445">
        <v>0</v>
      </c>
      <c r="T2445">
        <v>5</v>
      </c>
      <c r="U2445">
        <v>5</v>
      </c>
    </row>
    <row r="2446" spans="1:21" ht="16.5" x14ac:dyDescent="0.3">
      <c r="A2446" t="s">
        <v>2534</v>
      </c>
      <c r="B2446" s="1">
        <v>45653</v>
      </c>
      <c r="C2446">
        <v>2024</v>
      </c>
      <c r="D2446" t="s">
        <v>1738</v>
      </c>
      <c r="E2446" t="s">
        <v>2310</v>
      </c>
      <c r="F2446" t="s">
        <v>45</v>
      </c>
      <c r="G2446" t="s">
        <v>51</v>
      </c>
      <c r="H2446" t="s">
        <v>32</v>
      </c>
      <c r="I2446" t="s">
        <v>27</v>
      </c>
      <c r="J2446" t="s">
        <v>28</v>
      </c>
      <c r="K2446">
        <v>1</v>
      </c>
      <c r="L2446" s="2">
        <v>138.5</v>
      </c>
      <c r="M2446" s="3">
        <v>0.05</v>
      </c>
      <c r="N2446" t="s">
        <v>29</v>
      </c>
      <c r="O2446" s="2">
        <v>131.57</v>
      </c>
      <c r="P2446" s="2">
        <v>74.89</v>
      </c>
      <c r="Q2446" s="2">
        <v>56.68</v>
      </c>
      <c r="R2446">
        <v>1</v>
      </c>
      <c r="S2446">
        <v>0</v>
      </c>
      <c r="T2446">
        <v>3</v>
      </c>
      <c r="U2446">
        <v>5</v>
      </c>
    </row>
    <row r="2447" spans="1:21" ht="16.5" x14ac:dyDescent="0.3">
      <c r="A2447" t="s">
        <v>2535</v>
      </c>
      <c r="B2447" s="1">
        <v>45653</v>
      </c>
      <c r="C2447">
        <v>2024</v>
      </c>
      <c r="D2447" t="s">
        <v>1738</v>
      </c>
      <c r="E2447" t="s">
        <v>2310</v>
      </c>
      <c r="F2447" t="s">
        <v>45</v>
      </c>
      <c r="G2447" t="s">
        <v>25</v>
      </c>
      <c r="H2447" t="s">
        <v>32</v>
      </c>
      <c r="I2447" t="s">
        <v>67</v>
      </c>
      <c r="J2447" t="s">
        <v>78</v>
      </c>
      <c r="K2447">
        <v>2</v>
      </c>
      <c r="L2447" s="2">
        <v>85.42</v>
      </c>
      <c r="M2447" s="3">
        <v>0.3</v>
      </c>
      <c r="N2447" t="s">
        <v>62</v>
      </c>
      <c r="O2447" s="2">
        <v>119.59</v>
      </c>
      <c r="P2447" s="2">
        <v>109.84</v>
      </c>
      <c r="Q2447" s="2">
        <v>9.75</v>
      </c>
      <c r="R2447">
        <v>1</v>
      </c>
      <c r="S2447">
        <v>0</v>
      </c>
      <c r="T2447">
        <v>6</v>
      </c>
      <c r="U2447">
        <v>4</v>
      </c>
    </row>
    <row r="2448" spans="1:21" ht="16.5" x14ac:dyDescent="0.3">
      <c r="A2448" t="s">
        <v>2536</v>
      </c>
      <c r="B2448" s="1">
        <v>45653</v>
      </c>
      <c r="C2448">
        <v>2024</v>
      </c>
      <c r="D2448" t="s">
        <v>1738</v>
      </c>
      <c r="E2448" t="s">
        <v>2310</v>
      </c>
      <c r="F2448" t="s">
        <v>45</v>
      </c>
      <c r="G2448" t="s">
        <v>49</v>
      </c>
      <c r="H2448" t="s">
        <v>32</v>
      </c>
      <c r="I2448" t="s">
        <v>84</v>
      </c>
      <c r="J2448" t="s">
        <v>132</v>
      </c>
      <c r="K2448">
        <v>3</v>
      </c>
      <c r="L2448" s="2">
        <v>48.86</v>
      </c>
      <c r="M2448" s="3">
        <v>0.1</v>
      </c>
      <c r="N2448" t="s">
        <v>29</v>
      </c>
      <c r="O2448" s="2">
        <v>131.91999999999999</v>
      </c>
      <c r="P2448" s="2">
        <v>103.63</v>
      </c>
      <c r="Q2448" s="2">
        <v>28.29</v>
      </c>
      <c r="R2448">
        <v>1</v>
      </c>
      <c r="S2448">
        <v>0</v>
      </c>
      <c r="T2448">
        <v>6</v>
      </c>
      <c r="U2448">
        <v>3</v>
      </c>
    </row>
    <row r="2449" spans="1:21" ht="16.5" x14ac:dyDescent="0.3">
      <c r="A2449" t="s">
        <v>2537</v>
      </c>
      <c r="B2449" s="1">
        <v>45653</v>
      </c>
      <c r="C2449">
        <v>2024</v>
      </c>
      <c r="D2449" t="s">
        <v>1738</v>
      </c>
      <c r="E2449" t="s">
        <v>2310</v>
      </c>
      <c r="F2449" t="s">
        <v>24</v>
      </c>
      <c r="G2449" t="s">
        <v>25</v>
      </c>
      <c r="H2449" t="s">
        <v>32</v>
      </c>
      <c r="I2449" t="s">
        <v>42</v>
      </c>
      <c r="J2449" t="s">
        <v>76</v>
      </c>
      <c r="K2449">
        <v>2</v>
      </c>
      <c r="L2449" s="2">
        <v>90.75</v>
      </c>
      <c r="M2449" s="3">
        <v>0.1</v>
      </c>
      <c r="N2449" t="s">
        <v>29</v>
      </c>
      <c r="O2449" s="2">
        <v>163.35</v>
      </c>
      <c r="P2449" s="2">
        <v>116.06</v>
      </c>
      <c r="Q2449" s="2">
        <v>47.29</v>
      </c>
      <c r="R2449">
        <v>1</v>
      </c>
      <c r="S2449">
        <v>0</v>
      </c>
      <c r="T2449">
        <v>5</v>
      </c>
      <c r="U2449">
        <v>4</v>
      </c>
    </row>
    <row r="2450" spans="1:21" ht="16.5" x14ac:dyDescent="0.3">
      <c r="A2450" t="s">
        <v>2538</v>
      </c>
      <c r="B2450" s="1">
        <v>45653</v>
      </c>
      <c r="C2450">
        <v>2024</v>
      </c>
      <c r="D2450" t="s">
        <v>1738</v>
      </c>
      <c r="E2450" t="s">
        <v>2310</v>
      </c>
      <c r="F2450" t="s">
        <v>24</v>
      </c>
      <c r="G2450" t="s">
        <v>25</v>
      </c>
      <c r="H2450" t="s">
        <v>26</v>
      </c>
      <c r="I2450" t="s">
        <v>67</v>
      </c>
      <c r="J2450" t="s">
        <v>103</v>
      </c>
      <c r="K2450">
        <v>2</v>
      </c>
      <c r="L2450" s="2">
        <v>83.06</v>
      </c>
      <c r="M2450" s="3">
        <v>0.3</v>
      </c>
      <c r="N2450" t="s">
        <v>62</v>
      </c>
      <c r="O2450" s="2">
        <v>116.28</v>
      </c>
      <c r="P2450" s="2">
        <v>110.34</v>
      </c>
      <c r="Q2450" s="2">
        <v>5.94</v>
      </c>
      <c r="R2450">
        <v>1</v>
      </c>
      <c r="S2450">
        <v>0</v>
      </c>
      <c r="T2450">
        <v>5</v>
      </c>
      <c r="U2450">
        <v>4</v>
      </c>
    </row>
    <row r="2451" spans="1:21" ht="16.5" x14ac:dyDescent="0.3">
      <c r="A2451" t="s">
        <v>2539</v>
      </c>
      <c r="B2451" s="1">
        <v>45653</v>
      </c>
      <c r="C2451">
        <v>2024</v>
      </c>
      <c r="D2451" t="s">
        <v>1738</v>
      </c>
      <c r="E2451" t="s">
        <v>2310</v>
      </c>
      <c r="F2451" t="s">
        <v>24</v>
      </c>
      <c r="G2451" t="s">
        <v>65</v>
      </c>
      <c r="H2451" t="s">
        <v>26</v>
      </c>
      <c r="I2451" t="s">
        <v>36</v>
      </c>
      <c r="J2451" t="s">
        <v>52</v>
      </c>
      <c r="K2451">
        <v>2</v>
      </c>
      <c r="L2451" s="2">
        <v>92.54</v>
      </c>
      <c r="M2451" s="3">
        <v>0.25</v>
      </c>
      <c r="N2451" t="s">
        <v>62</v>
      </c>
      <c r="O2451" s="2">
        <v>138.81</v>
      </c>
      <c r="P2451" s="2">
        <v>93.26</v>
      </c>
      <c r="Q2451" s="2">
        <v>45.55</v>
      </c>
      <c r="R2451">
        <v>1</v>
      </c>
      <c r="S2451">
        <v>0</v>
      </c>
      <c r="T2451">
        <v>6</v>
      </c>
      <c r="U2451">
        <v>4</v>
      </c>
    </row>
    <row r="2452" spans="1:21" ht="16.5" x14ac:dyDescent="0.3">
      <c r="A2452" t="s">
        <v>2540</v>
      </c>
      <c r="B2452" s="1">
        <v>45653</v>
      </c>
      <c r="C2452">
        <v>2024</v>
      </c>
      <c r="D2452" t="s">
        <v>1738</v>
      </c>
      <c r="E2452" t="s">
        <v>2310</v>
      </c>
      <c r="F2452" t="s">
        <v>24</v>
      </c>
      <c r="G2452" t="s">
        <v>51</v>
      </c>
      <c r="H2452" t="s">
        <v>32</v>
      </c>
      <c r="I2452" t="s">
        <v>27</v>
      </c>
      <c r="J2452" t="s">
        <v>33</v>
      </c>
      <c r="K2452">
        <v>3</v>
      </c>
      <c r="L2452" s="2">
        <v>78.510000000000005</v>
      </c>
      <c r="M2452" s="3">
        <v>0.05</v>
      </c>
      <c r="N2452" t="s">
        <v>29</v>
      </c>
      <c r="O2452" s="2">
        <v>223.75</v>
      </c>
      <c r="P2452" s="2">
        <v>123.81</v>
      </c>
      <c r="Q2452" s="2">
        <v>99.94</v>
      </c>
      <c r="R2452">
        <v>1</v>
      </c>
      <c r="S2452">
        <v>0</v>
      </c>
      <c r="T2452">
        <v>4</v>
      </c>
      <c r="U2452">
        <v>3</v>
      </c>
    </row>
    <row r="2453" spans="1:21" ht="16.5" x14ac:dyDescent="0.3">
      <c r="A2453" t="s">
        <v>2541</v>
      </c>
      <c r="B2453" s="1">
        <v>45654</v>
      </c>
      <c r="C2453">
        <v>2024</v>
      </c>
      <c r="D2453" t="s">
        <v>1738</v>
      </c>
      <c r="E2453" t="s">
        <v>2310</v>
      </c>
      <c r="F2453" t="s">
        <v>45</v>
      </c>
      <c r="G2453" t="s">
        <v>49</v>
      </c>
      <c r="H2453" t="s">
        <v>32</v>
      </c>
      <c r="I2453" t="s">
        <v>67</v>
      </c>
      <c r="J2453" t="s">
        <v>103</v>
      </c>
      <c r="K2453">
        <v>1</v>
      </c>
      <c r="L2453" s="2">
        <v>83.06</v>
      </c>
      <c r="M2453" s="3">
        <v>0.1</v>
      </c>
      <c r="N2453" t="s">
        <v>29</v>
      </c>
      <c r="O2453" s="2">
        <v>74.75</v>
      </c>
      <c r="P2453" s="2">
        <v>55.8</v>
      </c>
      <c r="Q2453" s="2">
        <v>18.95</v>
      </c>
      <c r="R2453">
        <v>1</v>
      </c>
      <c r="S2453">
        <v>0</v>
      </c>
      <c r="T2453">
        <v>6</v>
      </c>
      <c r="U2453">
        <v>3</v>
      </c>
    </row>
    <row r="2454" spans="1:21" ht="16.5" x14ac:dyDescent="0.3">
      <c r="A2454" t="s">
        <v>2542</v>
      </c>
      <c r="B2454" s="1">
        <v>45654</v>
      </c>
      <c r="C2454">
        <v>2024</v>
      </c>
      <c r="D2454" t="s">
        <v>1738</v>
      </c>
      <c r="E2454" t="s">
        <v>2310</v>
      </c>
      <c r="F2454" t="s">
        <v>24</v>
      </c>
      <c r="G2454" t="s">
        <v>25</v>
      </c>
      <c r="H2454" t="s">
        <v>32</v>
      </c>
      <c r="I2454" t="s">
        <v>36</v>
      </c>
      <c r="J2454" t="s">
        <v>126</v>
      </c>
      <c r="K2454">
        <v>1</v>
      </c>
      <c r="L2454" s="2">
        <v>54.56</v>
      </c>
      <c r="M2454" s="3">
        <v>0.25</v>
      </c>
      <c r="N2454" t="s">
        <v>62</v>
      </c>
      <c r="O2454" s="2">
        <v>40.92</v>
      </c>
      <c r="P2454" s="2">
        <v>27.38</v>
      </c>
      <c r="Q2454" s="2">
        <v>13.54</v>
      </c>
      <c r="R2454">
        <v>1</v>
      </c>
      <c r="S2454">
        <v>0</v>
      </c>
      <c r="T2454">
        <v>5</v>
      </c>
      <c r="U2454">
        <v>5</v>
      </c>
    </row>
    <row r="2455" spans="1:21" ht="16.5" x14ac:dyDescent="0.3">
      <c r="A2455" t="s">
        <v>2543</v>
      </c>
      <c r="B2455" s="1">
        <v>45654</v>
      </c>
      <c r="C2455">
        <v>2024</v>
      </c>
      <c r="D2455" t="s">
        <v>1738</v>
      </c>
      <c r="E2455" t="s">
        <v>2310</v>
      </c>
      <c r="F2455" t="s">
        <v>45</v>
      </c>
      <c r="G2455" t="s">
        <v>51</v>
      </c>
      <c r="H2455" t="s">
        <v>32</v>
      </c>
      <c r="I2455" t="s">
        <v>84</v>
      </c>
      <c r="J2455" t="s">
        <v>85</v>
      </c>
      <c r="K2455">
        <v>1</v>
      </c>
      <c r="L2455" s="2">
        <v>57.92</v>
      </c>
      <c r="M2455" s="3">
        <v>0.1</v>
      </c>
      <c r="N2455" t="s">
        <v>29</v>
      </c>
      <c r="O2455" s="2">
        <v>52.13</v>
      </c>
      <c r="P2455" s="2">
        <v>42.78</v>
      </c>
      <c r="Q2455" s="2">
        <v>9.35</v>
      </c>
      <c r="R2455">
        <v>1</v>
      </c>
      <c r="S2455">
        <v>0</v>
      </c>
      <c r="T2455">
        <v>4</v>
      </c>
      <c r="U2455">
        <v>4</v>
      </c>
    </row>
    <row r="2456" spans="1:21" ht="16.5" x14ac:dyDescent="0.3">
      <c r="A2456" t="s">
        <v>2544</v>
      </c>
      <c r="B2456" s="1">
        <v>45654</v>
      </c>
      <c r="C2456">
        <v>2024</v>
      </c>
      <c r="D2456" t="s">
        <v>1738</v>
      </c>
      <c r="E2456" t="s">
        <v>2310</v>
      </c>
      <c r="F2456" t="s">
        <v>31</v>
      </c>
      <c r="G2456" t="s">
        <v>51</v>
      </c>
      <c r="H2456" t="s">
        <v>26</v>
      </c>
      <c r="I2456" t="s">
        <v>27</v>
      </c>
      <c r="J2456" t="s">
        <v>47</v>
      </c>
      <c r="K2456">
        <v>1</v>
      </c>
      <c r="L2456" s="2">
        <v>33.99</v>
      </c>
      <c r="M2456" s="3">
        <v>0.2</v>
      </c>
      <c r="N2456" t="s">
        <v>34</v>
      </c>
      <c r="O2456" s="2">
        <v>27.19</v>
      </c>
      <c r="P2456" s="2">
        <v>18.760000000000002</v>
      </c>
      <c r="Q2456" s="2">
        <v>8.43</v>
      </c>
      <c r="R2456">
        <v>1</v>
      </c>
      <c r="S2456">
        <v>1</v>
      </c>
      <c r="T2456">
        <v>3</v>
      </c>
      <c r="U2456">
        <v>5</v>
      </c>
    </row>
    <row r="2457" spans="1:21" ht="16.5" x14ac:dyDescent="0.3">
      <c r="A2457" t="s">
        <v>2545</v>
      </c>
      <c r="B2457" s="1">
        <v>45654</v>
      </c>
      <c r="C2457">
        <v>2024</v>
      </c>
      <c r="D2457" t="s">
        <v>1738</v>
      </c>
      <c r="E2457" t="s">
        <v>2310</v>
      </c>
      <c r="F2457" t="s">
        <v>24</v>
      </c>
      <c r="G2457" t="s">
        <v>65</v>
      </c>
      <c r="H2457" t="s">
        <v>26</v>
      </c>
      <c r="I2457" t="s">
        <v>42</v>
      </c>
      <c r="J2457" t="s">
        <v>58</v>
      </c>
      <c r="K2457">
        <v>3</v>
      </c>
      <c r="L2457" s="2">
        <v>233.81</v>
      </c>
      <c r="M2457" s="3">
        <v>0.25</v>
      </c>
      <c r="N2457" t="s">
        <v>62</v>
      </c>
      <c r="O2457" s="2">
        <v>526.07000000000005</v>
      </c>
      <c r="P2457" s="2">
        <v>454.4</v>
      </c>
      <c r="Q2457" s="2">
        <v>71.67</v>
      </c>
      <c r="R2457">
        <v>1</v>
      </c>
      <c r="S2457">
        <v>0</v>
      </c>
      <c r="T2457">
        <v>6</v>
      </c>
      <c r="U2457">
        <v>5</v>
      </c>
    </row>
    <row r="2458" spans="1:21" ht="16.5" x14ac:dyDescent="0.3">
      <c r="A2458" t="s">
        <v>2546</v>
      </c>
      <c r="B2458" s="1">
        <v>45655</v>
      </c>
      <c r="C2458">
        <v>2024</v>
      </c>
      <c r="D2458" t="s">
        <v>1738</v>
      </c>
      <c r="E2458" t="s">
        <v>2310</v>
      </c>
      <c r="F2458" t="s">
        <v>31</v>
      </c>
      <c r="G2458" t="s">
        <v>51</v>
      </c>
      <c r="H2458" t="s">
        <v>32</v>
      </c>
      <c r="I2458" t="s">
        <v>27</v>
      </c>
      <c r="J2458" t="s">
        <v>40</v>
      </c>
      <c r="K2458">
        <v>2</v>
      </c>
      <c r="L2458" s="2">
        <v>104.94</v>
      </c>
      <c r="M2458" s="3">
        <v>0.05</v>
      </c>
      <c r="N2458" t="s">
        <v>29</v>
      </c>
      <c r="O2458" s="2">
        <v>199.39</v>
      </c>
      <c r="P2458" s="2">
        <v>109.96</v>
      </c>
      <c r="Q2458" s="2">
        <v>89.43</v>
      </c>
      <c r="R2458">
        <v>1</v>
      </c>
      <c r="S2458">
        <v>0</v>
      </c>
      <c r="T2458">
        <v>3</v>
      </c>
      <c r="U2458">
        <v>3</v>
      </c>
    </row>
    <row r="2459" spans="1:21" ht="16.5" x14ac:dyDescent="0.3">
      <c r="A2459" t="s">
        <v>2547</v>
      </c>
      <c r="B2459" s="1">
        <v>45655</v>
      </c>
      <c r="C2459">
        <v>2024</v>
      </c>
      <c r="D2459" t="s">
        <v>1738</v>
      </c>
      <c r="E2459" t="s">
        <v>2310</v>
      </c>
      <c r="F2459" t="s">
        <v>24</v>
      </c>
      <c r="G2459" t="s">
        <v>65</v>
      </c>
      <c r="H2459" t="s">
        <v>32</v>
      </c>
      <c r="I2459" t="s">
        <v>42</v>
      </c>
      <c r="J2459" t="s">
        <v>76</v>
      </c>
      <c r="K2459">
        <v>1</v>
      </c>
      <c r="L2459" s="2">
        <v>90.75</v>
      </c>
      <c r="M2459" s="3">
        <v>0.2</v>
      </c>
      <c r="N2459" t="s">
        <v>34</v>
      </c>
      <c r="O2459" s="2">
        <v>72.599999999999994</v>
      </c>
      <c r="P2459" s="2">
        <v>59.42</v>
      </c>
      <c r="Q2459" s="2">
        <v>13.18</v>
      </c>
      <c r="R2459">
        <v>1</v>
      </c>
      <c r="S2459">
        <v>0</v>
      </c>
      <c r="T2459">
        <v>6</v>
      </c>
      <c r="U2459">
        <v>4</v>
      </c>
    </row>
    <row r="2460" spans="1:21" ht="16.5" x14ac:dyDescent="0.3">
      <c r="A2460" t="s">
        <v>2548</v>
      </c>
      <c r="B2460" s="1">
        <v>45655</v>
      </c>
      <c r="C2460">
        <v>2024</v>
      </c>
      <c r="D2460" t="s">
        <v>1738</v>
      </c>
      <c r="E2460" t="s">
        <v>2310</v>
      </c>
      <c r="F2460" t="s">
        <v>24</v>
      </c>
      <c r="G2460" t="s">
        <v>49</v>
      </c>
      <c r="H2460" t="s">
        <v>26</v>
      </c>
      <c r="I2460" t="s">
        <v>70</v>
      </c>
      <c r="J2460" t="s">
        <v>82</v>
      </c>
      <c r="K2460">
        <v>1</v>
      </c>
      <c r="L2460" s="2">
        <v>508.8</v>
      </c>
      <c r="M2460" s="3">
        <v>0.15</v>
      </c>
      <c r="N2460" t="s">
        <v>34</v>
      </c>
      <c r="O2460" s="2">
        <v>432.48</v>
      </c>
      <c r="P2460" s="2">
        <v>395.65</v>
      </c>
      <c r="Q2460" s="2">
        <v>36.83</v>
      </c>
      <c r="R2460">
        <v>1</v>
      </c>
      <c r="S2460">
        <v>0</v>
      </c>
      <c r="T2460">
        <v>5</v>
      </c>
      <c r="U2460">
        <v>4</v>
      </c>
    </row>
    <row r="2461" spans="1:21" ht="16.5" x14ac:dyDescent="0.3">
      <c r="A2461" t="s">
        <v>2549</v>
      </c>
      <c r="B2461" s="1">
        <v>45655</v>
      </c>
      <c r="C2461">
        <v>2024</v>
      </c>
      <c r="D2461" t="s">
        <v>1738</v>
      </c>
      <c r="E2461" t="s">
        <v>2310</v>
      </c>
      <c r="F2461" t="s">
        <v>31</v>
      </c>
      <c r="G2461" t="s">
        <v>49</v>
      </c>
      <c r="H2461" t="s">
        <v>32</v>
      </c>
      <c r="I2461" t="s">
        <v>27</v>
      </c>
      <c r="J2461" t="s">
        <v>47</v>
      </c>
      <c r="K2461">
        <v>2</v>
      </c>
      <c r="L2461" s="2">
        <v>33.99</v>
      </c>
      <c r="M2461" s="3">
        <v>0.1</v>
      </c>
      <c r="N2461" t="s">
        <v>29</v>
      </c>
      <c r="O2461" s="2">
        <v>61.18</v>
      </c>
      <c r="P2461" s="2">
        <v>33.229999999999997</v>
      </c>
      <c r="Q2461" s="2">
        <v>27.95</v>
      </c>
      <c r="R2461">
        <v>1</v>
      </c>
      <c r="S2461">
        <v>0</v>
      </c>
      <c r="T2461">
        <v>5</v>
      </c>
      <c r="U2461">
        <v>5</v>
      </c>
    </row>
    <row r="2462" spans="1:21" ht="16.5" x14ac:dyDescent="0.3">
      <c r="A2462" t="s">
        <v>2550</v>
      </c>
      <c r="B2462" s="1">
        <v>45655</v>
      </c>
      <c r="C2462">
        <v>2024</v>
      </c>
      <c r="D2462" t="s">
        <v>1738</v>
      </c>
      <c r="E2462" t="s">
        <v>2310</v>
      </c>
      <c r="F2462" t="s">
        <v>31</v>
      </c>
      <c r="G2462" t="s">
        <v>25</v>
      </c>
      <c r="H2462" t="s">
        <v>32</v>
      </c>
      <c r="I2462" t="s">
        <v>27</v>
      </c>
      <c r="J2462" t="s">
        <v>47</v>
      </c>
      <c r="K2462">
        <v>1</v>
      </c>
      <c r="L2462" s="2">
        <v>33.99</v>
      </c>
      <c r="M2462" s="3">
        <v>0.2</v>
      </c>
      <c r="N2462" t="s">
        <v>34</v>
      </c>
      <c r="O2462" s="2">
        <v>27.19</v>
      </c>
      <c r="P2462" s="2">
        <v>17.53</v>
      </c>
      <c r="Q2462" s="2">
        <v>9.66</v>
      </c>
      <c r="R2462">
        <v>1</v>
      </c>
      <c r="S2462">
        <v>0</v>
      </c>
      <c r="T2462">
        <v>4</v>
      </c>
      <c r="U2462">
        <v>5</v>
      </c>
    </row>
    <row r="2463" spans="1:21" ht="16.5" x14ac:dyDescent="0.3">
      <c r="A2463" t="s">
        <v>2551</v>
      </c>
      <c r="B2463" s="1">
        <v>45655</v>
      </c>
      <c r="C2463">
        <v>2024</v>
      </c>
      <c r="D2463" t="s">
        <v>1738</v>
      </c>
      <c r="E2463" t="s">
        <v>2310</v>
      </c>
      <c r="F2463" t="s">
        <v>24</v>
      </c>
      <c r="G2463" t="s">
        <v>25</v>
      </c>
      <c r="H2463" t="s">
        <v>32</v>
      </c>
      <c r="I2463" t="s">
        <v>70</v>
      </c>
      <c r="J2463" t="s">
        <v>82</v>
      </c>
      <c r="K2463">
        <v>1</v>
      </c>
      <c r="L2463" s="2">
        <v>508.8</v>
      </c>
      <c r="M2463" s="3">
        <v>0.3</v>
      </c>
      <c r="N2463" t="s">
        <v>62</v>
      </c>
      <c r="O2463" s="2">
        <v>356.16</v>
      </c>
      <c r="P2463" s="2">
        <v>411.33</v>
      </c>
      <c r="Q2463" s="2">
        <v>-55.17</v>
      </c>
      <c r="R2463">
        <v>1</v>
      </c>
      <c r="S2463">
        <v>0</v>
      </c>
      <c r="T2463">
        <v>4</v>
      </c>
      <c r="U2463">
        <v>4</v>
      </c>
    </row>
    <row r="2464" spans="1:21" ht="16.5" x14ac:dyDescent="0.3">
      <c r="A2464" t="s">
        <v>2552</v>
      </c>
      <c r="B2464" s="1">
        <v>45655</v>
      </c>
      <c r="C2464">
        <v>2024</v>
      </c>
      <c r="D2464" t="s">
        <v>1738</v>
      </c>
      <c r="E2464" t="s">
        <v>2310</v>
      </c>
      <c r="F2464" t="s">
        <v>31</v>
      </c>
      <c r="G2464" t="s">
        <v>25</v>
      </c>
      <c r="H2464" t="s">
        <v>32</v>
      </c>
      <c r="I2464" t="s">
        <v>67</v>
      </c>
      <c r="J2464" t="s">
        <v>78</v>
      </c>
      <c r="K2464">
        <v>1</v>
      </c>
      <c r="L2464" s="2">
        <v>85.42</v>
      </c>
      <c r="M2464" s="3">
        <v>0.15</v>
      </c>
      <c r="N2464" t="s">
        <v>34</v>
      </c>
      <c r="O2464" s="2">
        <v>72.61</v>
      </c>
      <c r="P2464" s="2">
        <v>59.54</v>
      </c>
      <c r="Q2464" s="2">
        <v>13.07</v>
      </c>
      <c r="R2464">
        <v>1</v>
      </c>
      <c r="S2464">
        <v>0</v>
      </c>
      <c r="T2464">
        <v>6</v>
      </c>
      <c r="U2464">
        <v>5</v>
      </c>
    </row>
    <row r="2465" spans="1:21" ht="16.5" x14ac:dyDescent="0.3">
      <c r="A2465" t="s">
        <v>2553</v>
      </c>
      <c r="B2465" s="1">
        <v>45655</v>
      </c>
      <c r="C2465">
        <v>2024</v>
      </c>
      <c r="D2465" t="s">
        <v>1738</v>
      </c>
      <c r="E2465" t="s">
        <v>2310</v>
      </c>
      <c r="F2465" t="s">
        <v>24</v>
      </c>
      <c r="G2465" t="s">
        <v>51</v>
      </c>
      <c r="H2465" t="s">
        <v>32</v>
      </c>
      <c r="I2465" t="s">
        <v>67</v>
      </c>
      <c r="J2465" t="s">
        <v>174</v>
      </c>
      <c r="K2465">
        <v>1</v>
      </c>
      <c r="L2465" s="2">
        <v>137.05000000000001</v>
      </c>
      <c r="M2465" s="3">
        <v>0.15</v>
      </c>
      <c r="N2465" t="s">
        <v>34</v>
      </c>
      <c r="O2465" s="2">
        <v>116.49</v>
      </c>
      <c r="P2465" s="2">
        <v>95.41</v>
      </c>
      <c r="Q2465" s="2">
        <v>21.08</v>
      </c>
      <c r="R2465">
        <v>1</v>
      </c>
      <c r="S2465">
        <v>0</v>
      </c>
      <c r="T2465">
        <v>3</v>
      </c>
      <c r="U2465">
        <v>5</v>
      </c>
    </row>
    <row r="2466" spans="1:21" ht="16.5" x14ac:dyDescent="0.3">
      <c r="A2466" t="s">
        <v>2554</v>
      </c>
      <c r="B2466" s="1">
        <v>45655</v>
      </c>
      <c r="C2466">
        <v>2024</v>
      </c>
      <c r="D2466" t="s">
        <v>1738</v>
      </c>
      <c r="E2466" t="s">
        <v>2310</v>
      </c>
      <c r="F2466" t="s">
        <v>31</v>
      </c>
      <c r="G2466" t="s">
        <v>65</v>
      </c>
      <c r="H2466" t="s">
        <v>32</v>
      </c>
      <c r="I2466" t="s">
        <v>36</v>
      </c>
      <c r="J2466" t="s">
        <v>56</v>
      </c>
      <c r="K2466">
        <v>2</v>
      </c>
      <c r="L2466" s="2">
        <v>74.3</v>
      </c>
      <c r="M2466" s="3">
        <v>0.2</v>
      </c>
      <c r="N2466" t="s">
        <v>34</v>
      </c>
      <c r="O2466" s="2">
        <v>118.88</v>
      </c>
      <c r="P2466" s="2">
        <v>72.8</v>
      </c>
      <c r="Q2466" s="2">
        <v>46.08</v>
      </c>
      <c r="R2466">
        <v>1</v>
      </c>
      <c r="S2466">
        <v>0</v>
      </c>
      <c r="T2466">
        <v>6</v>
      </c>
      <c r="U2466">
        <v>4</v>
      </c>
    </row>
    <row r="2467" spans="1:21" ht="16.5" x14ac:dyDescent="0.3">
      <c r="A2467" t="s">
        <v>2555</v>
      </c>
      <c r="B2467" s="1">
        <v>45656</v>
      </c>
      <c r="C2467">
        <v>2024</v>
      </c>
      <c r="D2467" t="s">
        <v>1738</v>
      </c>
      <c r="E2467" t="s">
        <v>2310</v>
      </c>
      <c r="F2467" t="s">
        <v>31</v>
      </c>
      <c r="G2467" t="s">
        <v>65</v>
      </c>
      <c r="H2467" t="s">
        <v>32</v>
      </c>
      <c r="I2467" t="s">
        <v>67</v>
      </c>
      <c r="J2467" t="s">
        <v>174</v>
      </c>
      <c r="K2467">
        <v>2</v>
      </c>
      <c r="L2467" s="2">
        <v>137.05000000000001</v>
      </c>
      <c r="M2467" s="3">
        <v>0.25</v>
      </c>
      <c r="N2467" t="s">
        <v>62</v>
      </c>
      <c r="O2467" s="2">
        <v>205.58</v>
      </c>
      <c r="P2467" s="2">
        <v>188.23</v>
      </c>
      <c r="Q2467" s="2">
        <v>17.350000000000001</v>
      </c>
      <c r="R2467">
        <v>1</v>
      </c>
      <c r="S2467">
        <v>0</v>
      </c>
      <c r="T2467">
        <v>6</v>
      </c>
      <c r="U2467">
        <v>3</v>
      </c>
    </row>
    <row r="2468" spans="1:21" ht="16.5" x14ac:dyDescent="0.3">
      <c r="A2468" t="s">
        <v>2556</v>
      </c>
      <c r="B2468" s="1">
        <v>45656</v>
      </c>
      <c r="C2468">
        <v>2024</v>
      </c>
      <c r="D2468" t="s">
        <v>1738</v>
      </c>
      <c r="E2468" t="s">
        <v>2310</v>
      </c>
      <c r="F2468" t="s">
        <v>45</v>
      </c>
      <c r="G2468" t="s">
        <v>25</v>
      </c>
      <c r="H2468" t="s">
        <v>32</v>
      </c>
      <c r="I2468" t="s">
        <v>36</v>
      </c>
      <c r="J2468" t="s">
        <v>115</v>
      </c>
      <c r="K2468">
        <v>1</v>
      </c>
      <c r="L2468" s="2">
        <v>33.479999999999997</v>
      </c>
      <c r="M2468" s="3">
        <v>0.25</v>
      </c>
      <c r="N2468" t="s">
        <v>62</v>
      </c>
      <c r="O2468" s="2">
        <v>25.11</v>
      </c>
      <c r="P2468" s="2">
        <v>15.89</v>
      </c>
      <c r="Q2468" s="2">
        <v>9.2200000000000006</v>
      </c>
      <c r="R2468">
        <v>1</v>
      </c>
      <c r="S2468">
        <v>0</v>
      </c>
      <c r="T2468">
        <v>5</v>
      </c>
      <c r="U2468">
        <v>5</v>
      </c>
    </row>
    <row r="2469" spans="1:21" ht="16.5" x14ac:dyDescent="0.3">
      <c r="A2469" t="s">
        <v>2557</v>
      </c>
      <c r="B2469" s="1">
        <v>45656</v>
      </c>
      <c r="C2469">
        <v>2024</v>
      </c>
      <c r="D2469" t="s">
        <v>1738</v>
      </c>
      <c r="E2469" t="s">
        <v>2310</v>
      </c>
      <c r="F2469" t="s">
        <v>24</v>
      </c>
      <c r="G2469" t="s">
        <v>25</v>
      </c>
      <c r="H2469" t="s">
        <v>32</v>
      </c>
      <c r="I2469" t="s">
        <v>70</v>
      </c>
      <c r="J2469" t="s">
        <v>129</v>
      </c>
      <c r="K2469">
        <v>2</v>
      </c>
      <c r="L2469" s="2">
        <v>177.65</v>
      </c>
      <c r="M2469" s="3">
        <v>0</v>
      </c>
      <c r="N2469" t="s">
        <v>38</v>
      </c>
      <c r="O2469" s="2">
        <v>355.3</v>
      </c>
      <c r="P2469" s="2">
        <v>291.36</v>
      </c>
      <c r="Q2469" s="2">
        <v>63.94</v>
      </c>
      <c r="R2469">
        <v>1</v>
      </c>
      <c r="S2469">
        <v>1</v>
      </c>
      <c r="T2469">
        <v>5</v>
      </c>
      <c r="U2469">
        <v>4</v>
      </c>
    </row>
    <row r="2470" spans="1:21" ht="16.5" x14ac:dyDescent="0.3">
      <c r="A2470" t="s">
        <v>2558</v>
      </c>
      <c r="B2470" s="1">
        <v>45656</v>
      </c>
      <c r="C2470">
        <v>2024</v>
      </c>
      <c r="D2470" t="s">
        <v>1738</v>
      </c>
      <c r="E2470" t="s">
        <v>2310</v>
      </c>
      <c r="F2470" t="s">
        <v>45</v>
      </c>
      <c r="G2470" t="s">
        <v>51</v>
      </c>
      <c r="H2470" t="s">
        <v>26</v>
      </c>
      <c r="I2470" t="s">
        <v>84</v>
      </c>
      <c r="J2470" t="s">
        <v>223</v>
      </c>
      <c r="K2470">
        <v>1</v>
      </c>
      <c r="L2470" s="2">
        <v>16.97</v>
      </c>
      <c r="M2470" s="3">
        <v>0.25</v>
      </c>
      <c r="N2470" t="s">
        <v>62</v>
      </c>
      <c r="O2470" s="2">
        <v>12.73</v>
      </c>
      <c r="P2470" s="2">
        <v>12.68</v>
      </c>
      <c r="Q2470" s="2">
        <v>0.05</v>
      </c>
      <c r="R2470">
        <v>1</v>
      </c>
      <c r="S2470">
        <v>0</v>
      </c>
      <c r="T2470">
        <v>3</v>
      </c>
      <c r="U2470">
        <v>5</v>
      </c>
    </row>
    <row r="2471" spans="1:21" ht="16.5" x14ac:dyDescent="0.3">
      <c r="A2471" t="s">
        <v>2559</v>
      </c>
      <c r="B2471" s="1">
        <v>45656</v>
      </c>
      <c r="C2471">
        <v>2024</v>
      </c>
      <c r="D2471" t="s">
        <v>1738</v>
      </c>
      <c r="E2471" t="s">
        <v>2310</v>
      </c>
      <c r="F2471" t="s">
        <v>31</v>
      </c>
      <c r="G2471" t="s">
        <v>49</v>
      </c>
      <c r="H2471" t="s">
        <v>32</v>
      </c>
      <c r="I2471" t="s">
        <v>27</v>
      </c>
      <c r="J2471" t="s">
        <v>40</v>
      </c>
      <c r="K2471">
        <v>1</v>
      </c>
      <c r="L2471" s="2">
        <v>104.94</v>
      </c>
      <c r="M2471" s="3">
        <v>0.2</v>
      </c>
      <c r="N2471" t="s">
        <v>34</v>
      </c>
      <c r="O2471" s="2">
        <v>83.95</v>
      </c>
      <c r="P2471" s="2">
        <v>53.94</v>
      </c>
      <c r="Q2471" s="2">
        <v>30.01</v>
      </c>
      <c r="R2471">
        <v>1</v>
      </c>
      <c r="S2471">
        <v>0</v>
      </c>
      <c r="T2471">
        <v>7</v>
      </c>
      <c r="U2471">
        <v>3</v>
      </c>
    </row>
    <row r="2472" spans="1:21" ht="16.5" x14ac:dyDescent="0.3">
      <c r="A2472" t="s">
        <v>2560</v>
      </c>
      <c r="B2472" s="1">
        <v>45656</v>
      </c>
      <c r="C2472">
        <v>2024</v>
      </c>
      <c r="D2472" t="s">
        <v>1738</v>
      </c>
      <c r="E2472" t="s">
        <v>2310</v>
      </c>
      <c r="F2472" t="s">
        <v>31</v>
      </c>
      <c r="G2472" t="s">
        <v>51</v>
      </c>
      <c r="H2472" t="s">
        <v>26</v>
      </c>
      <c r="I2472" t="s">
        <v>42</v>
      </c>
      <c r="J2472" t="s">
        <v>76</v>
      </c>
      <c r="K2472">
        <v>1</v>
      </c>
      <c r="L2472" s="2">
        <v>90.75</v>
      </c>
      <c r="M2472" s="3">
        <v>0.25</v>
      </c>
      <c r="N2472" t="s">
        <v>62</v>
      </c>
      <c r="O2472" s="2">
        <v>68.06</v>
      </c>
      <c r="P2472" s="2">
        <v>54.41</v>
      </c>
      <c r="Q2472" s="2">
        <v>13.65</v>
      </c>
      <c r="R2472">
        <v>1</v>
      </c>
      <c r="S2472">
        <v>0</v>
      </c>
      <c r="T2472">
        <v>3</v>
      </c>
      <c r="U2472">
        <v>4</v>
      </c>
    </row>
    <row r="2473" spans="1:21" ht="16.5" x14ac:dyDescent="0.3">
      <c r="A2473" t="s">
        <v>2561</v>
      </c>
      <c r="B2473" s="1">
        <v>45656</v>
      </c>
      <c r="C2473">
        <v>2024</v>
      </c>
      <c r="D2473" t="s">
        <v>1738</v>
      </c>
      <c r="E2473" t="s">
        <v>2310</v>
      </c>
      <c r="F2473" t="s">
        <v>45</v>
      </c>
      <c r="G2473" t="s">
        <v>25</v>
      </c>
      <c r="H2473" t="s">
        <v>32</v>
      </c>
      <c r="I2473" t="s">
        <v>27</v>
      </c>
      <c r="J2473" t="s">
        <v>47</v>
      </c>
      <c r="K2473">
        <v>1</v>
      </c>
      <c r="L2473" s="2">
        <v>33.99</v>
      </c>
      <c r="M2473" s="3">
        <v>0.15</v>
      </c>
      <c r="N2473" t="s">
        <v>34</v>
      </c>
      <c r="O2473" s="2">
        <v>28.89</v>
      </c>
      <c r="P2473" s="2">
        <v>17.38</v>
      </c>
      <c r="Q2473" s="2">
        <v>11.51</v>
      </c>
      <c r="R2473">
        <v>1</v>
      </c>
      <c r="S2473">
        <v>0</v>
      </c>
      <c r="T2473">
        <v>6</v>
      </c>
      <c r="U2473">
        <v>3</v>
      </c>
    </row>
    <row r="2474" spans="1:21" ht="16.5" x14ac:dyDescent="0.3">
      <c r="A2474" t="s">
        <v>2562</v>
      </c>
      <c r="B2474" s="1">
        <v>45657</v>
      </c>
      <c r="C2474">
        <v>2024</v>
      </c>
      <c r="D2474" t="s">
        <v>1738</v>
      </c>
      <c r="E2474" t="s">
        <v>2310</v>
      </c>
      <c r="F2474" t="s">
        <v>45</v>
      </c>
      <c r="G2474" t="s">
        <v>51</v>
      </c>
      <c r="H2474" t="s">
        <v>32</v>
      </c>
      <c r="I2474" t="s">
        <v>36</v>
      </c>
      <c r="J2474" t="s">
        <v>37</v>
      </c>
      <c r="K2474">
        <v>1</v>
      </c>
      <c r="L2474" s="2">
        <v>33.18</v>
      </c>
      <c r="M2474" s="3">
        <v>0.1</v>
      </c>
      <c r="N2474" t="s">
        <v>29</v>
      </c>
      <c r="O2474" s="2">
        <v>29.86</v>
      </c>
      <c r="P2474" s="2">
        <v>16.47</v>
      </c>
      <c r="Q2474" s="2">
        <v>13.39</v>
      </c>
      <c r="R2474">
        <v>1</v>
      </c>
      <c r="S2474">
        <v>0</v>
      </c>
      <c r="T2474">
        <v>3</v>
      </c>
      <c r="U2474">
        <v>5</v>
      </c>
    </row>
    <row r="2475" spans="1:21" ht="16.5" x14ac:dyDescent="0.3">
      <c r="A2475" t="s">
        <v>2563</v>
      </c>
      <c r="B2475" s="1">
        <v>45657</v>
      </c>
      <c r="C2475">
        <v>2024</v>
      </c>
      <c r="D2475" t="s">
        <v>1738</v>
      </c>
      <c r="E2475" t="s">
        <v>2310</v>
      </c>
      <c r="F2475" t="s">
        <v>24</v>
      </c>
      <c r="G2475" t="s">
        <v>51</v>
      </c>
      <c r="H2475" t="s">
        <v>32</v>
      </c>
      <c r="I2475" t="s">
        <v>42</v>
      </c>
      <c r="J2475" t="s">
        <v>58</v>
      </c>
      <c r="K2475">
        <v>1</v>
      </c>
      <c r="L2475" s="2">
        <v>233.81</v>
      </c>
      <c r="M2475" s="3">
        <v>0.25</v>
      </c>
      <c r="N2475" t="s">
        <v>62</v>
      </c>
      <c r="O2475" s="2">
        <v>175.36</v>
      </c>
      <c r="P2475" s="2">
        <v>149.56</v>
      </c>
      <c r="Q2475" s="2">
        <v>25.8</v>
      </c>
      <c r="R2475">
        <v>1</v>
      </c>
      <c r="S2475">
        <v>0</v>
      </c>
      <c r="T2475">
        <v>3</v>
      </c>
      <c r="U2475">
        <v>4</v>
      </c>
    </row>
    <row r="2476" spans="1:21" ht="16.5" x14ac:dyDescent="0.3">
      <c r="A2476" t="s">
        <v>2564</v>
      </c>
      <c r="B2476" s="1">
        <v>45657</v>
      </c>
      <c r="C2476">
        <v>2024</v>
      </c>
      <c r="D2476" t="s">
        <v>1738</v>
      </c>
      <c r="E2476" t="s">
        <v>2310</v>
      </c>
      <c r="F2476" t="s">
        <v>31</v>
      </c>
      <c r="G2476" t="s">
        <v>51</v>
      </c>
      <c r="H2476" t="s">
        <v>26</v>
      </c>
      <c r="I2476" t="s">
        <v>36</v>
      </c>
      <c r="J2476" t="s">
        <v>52</v>
      </c>
      <c r="K2476">
        <v>1</v>
      </c>
      <c r="L2476" s="2">
        <v>92.54</v>
      </c>
      <c r="M2476" s="3">
        <v>0.3</v>
      </c>
      <c r="N2476" t="s">
        <v>62</v>
      </c>
      <c r="O2476" s="2">
        <v>64.78</v>
      </c>
      <c r="P2476" s="2">
        <v>44.21</v>
      </c>
      <c r="Q2476" s="2">
        <v>20.57</v>
      </c>
      <c r="R2476">
        <v>1</v>
      </c>
      <c r="S2476">
        <v>0</v>
      </c>
      <c r="T2476">
        <v>3</v>
      </c>
      <c r="U2476">
        <v>3</v>
      </c>
    </row>
    <row r="2477" spans="1:21" ht="16.5" x14ac:dyDescent="0.3">
      <c r="A2477" t="s">
        <v>2565</v>
      </c>
      <c r="B2477" s="1">
        <v>45657</v>
      </c>
      <c r="C2477">
        <v>2024</v>
      </c>
      <c r="D2477" t="s">
        <v>1738</v>
      </c>
      <c r="E2477" t="s">
        <v>2310</v>
      </c>
      <c r="F2477" t="s">
        <v>45</v>
      </c>
      <c r="G2477" t="s">
        <v>51</v>
      </c>
      <c r="H2477" t="s">
        <v>26</v>
      </c>
      <c r="I2477" t="s">
        <v>70</v>
      </c>
      <c r="J2477" t="s">
        <v>82</v>
      </c>
      <c r="K2477">
        <v>2</v>
      </c>
      <c r="L2477" s="2">
        <v>508.8</v>
      </c>
      <c r="M2477" s="3">
        <v>0.25</v>
      </c>
      <c r="N2477" t="s">
        <v>62</v>
      </c>
      <c r="O2477" s="2">
        <v>763.2</v>
      </c>
      <c r="P2477" s="2">
        <v>810.17</v>
      </c>
      <c r="Q2477" s="2">
        <v>-46.97</v>
      </c>
      <c r="R2477">
        <v>1</v>
      </c>
      <c r="S2477">
        <v>0</v>
      </c>
      <c r="T2477">
        <v>4</v>
      </c>
      <c r="U2477">
        <v>4</v>
      </c>
    </row>
    <row r="2478" spans="1:21" ht="16.5" x14ac:dyDescent="0.3">
      <c r="A2478" t="s">
        <v>2566</v>
      </c>
      <c r="B2478" s="1">
        <v>45657</v>
      </c>
      <c r="C2478">
        <v>2024</v>
      </c>
      <c r="D2478" t="s">
        <v>1738</v>
      </c>
      <c r="E2478" t="s">
        <v>2310</v>
      </c>
      <c r="F2478" t="s">
        <v>24</v>
      </c>
      <c r="G2478" t="s">
        <v>65</v>
      </c>
      <c r="H2478" t="s">
        <v>32</v>
      </c>
      <c r="I2478" t="s">
        <v>27</v>
      </c>
      <c r="J2478" t="s">
        <v>33</v>
      </c>
      <c r="K2478">
        <v>1</v>
      </c>
      <c r="L2478" s="2">
        <v>78.510000000000005</v>
      </c>
      <c r="M2478" s="3">
        <v>0.2</v>
      </c>
      <c r="N2478" t="s">
        <v>34</v>
      </c>
      <c r="O2478" s="2">
        <v>62.81</v>
      </c>
      <c r="P2478" s="2">
        <v>42.74</v>
      </c>
      <c r="Q2478" s="2">
        <v>20.07</v>
      </c>
      <c r="R2478">
        <v>1</v>
      </c>
      <c r="S2478">
        <v>0</v>
      </c>
      <c r="T2478">
        <v>9</v>
      </c>
      <c r="U2478">
        <v>3</v>
      </c>
    </row>
    <row r="2479" spans="1:21" ht="16.5" x14ac:dyDescent="0.3">
      <c r="A2479" t="s">
        <v>2567</v>
      </c>
      <c r="B2479" s="1">
        <v>45657</v>
      </c>
      <c r="C2479">
        <v>2024</v>
      </c>
      <c r="D2479" t="s">
        <v>1738</v>
      </c>
      <c r="E2479" t="s">
        <v>2310</v>
      </c>
      <c r="F2479" t="s">
        <v>24</v>
      </c>
      <c r="G2479" t="s">
        <v>51</v>
      </c>
      <c r="H2479" t="s">
        <v>26</v>
      </c>
      <c r="I2479" t="s">
        <v>36</v>
      </c>
      <c r="J2479" t="s">
        <v>37</v>
      </c>
      <c r="K2479">
        <v>2</v>
      </c>
      <c r="L2479" s="2">
        <v>33.18</v>
      </c>
      <c r="M2479" s="3">
        <v>0.15</v>
      </c>
      <c r="N2479" t="s">
        <v>34</v>
      </c>
      <c r="O2479" s="2">
        <v>56.41</v>
      </c>
      <c r="P2479" s="2">
        <v>32.130000000000003</v>
      </c>
      <c r="Q2479" s="2">
        <v>24.28</v>
      </c>
      <c r="R2479">
        <v>1</v>
      </c>
      <c r="S2479">
        <v>0</v>
      </c>
      <c r="T2479">
        <v>4</v>
      </c>
      <c r="U2479">
        <v>4</v>
      </c>
    </row>
    <row r="2480" spans="1:21" ht="16.5" x14ac:dyDescent="0.3">
      <c r="A2480" t="s">
        <v>2568</v>
      </c>
      <c r="B2480" s="1">
        <v>45657</v>
      </c>
      <c r="C2480">
        <v>2024</v>
      </c>
      <c r="D2480" t="s">
        <v>1738</v>
      </c>
      <c r="E2480" t="s">
        <v>2310</v>
      </c>
      <c r="F2480" t="s">
        <v>31</v>
      </c>
      <c r="G2480" t="s">
        <v>49</v>
      </c>
      <c r="H2480" t="s">
        <v>26</v>
      </c>
      <c r="I2480" t="s">
        <v>84</v>
      </c>
      <c r="J2480" t="s">
        <v>96</v>
      </c>
      <c r="K2480">
        <v>1</v>
      </c>
      <c r="L2480" s="2">
        <v>10.76</v>
      </c>
      <c r="M2480" s="3">
        <v>0.2</v>
      </c>
      <c r="N2480" t="s">
        <v>34</v>
      </c>
      <c r="O2480" s="2">
        <v>8.61</v>
      </c>
      <c r="P2480" s="2">
        <v>7.68</v>
      </c>
      <c r="Q2480" s="2">
        <v>0.93</v>
      </c>
      <c r="R2480">
        <v>1</v>
      </c>
      <c r="S2480">
        <v>0</v>
      </c>
      <c r="T2480">
        <v>6</v>
      </c>
      <c r="U2480">
        <v>4</v>
      </c>
    </row>
    <row r="2481" spans="1:21" ht="16.5" x14ac:dyDescent="0.3">
      <c r="A2481" t="s">
        <v>2569</v>
      </c>
      <c r="B2481" s="1">
        <v>45657</v>
      </c>
      <c r="C2481">
        <v>2024</v>
      </c>
      <c r="D2481" t="s">
        <v>1738</v>
      </c>
      <c r="E2481" t="s">
        <v>2310</v>
      </c>
      <c r="F2481" t="s">
        <v>24</v>
      </c>
      <c r="G2481" t="s">
        <v>51</v>
      </c>
      <c r="H2481" t="s">
        <v>26</v>
      </c>
      <c r="I2481" t="s">
        <v>70</v>
      </c>
      <c r="J2481" t="s">
        <v>252</v>
      </c>
      <c r="K2481">
        <v>2</v>
      </c>
      <c r="L2481" s="2">
        <v>216.08</v>
      </c>
      <c r="M2481" s="3">
        <v>0.2</v>
      </c>
      <c r="N2481" t="s">
        <v>34</v>
      </c>
      <c r="O2481" s="2">
        <v>345.73</v>
      </c>
      <c r="P2481" s="2">
        <v>341.33</v>
      </c>
      <c r="Q2481" s="2">
        <v>4.4000000000000004</v>
      </c>
      <c r="R2481">
        <v>1</v>
      </c>
      <c r="S2481">
        <v>0</v>
      </c>
      <c r="T2481">
        <v>6</v>
      </c>
      <c r="U2481">
        <v>3</v>
      </c>
    </row>
    <row r="2482" spans="1:21" ht="16.5" x14ac:dyDescent="0.3">
      <c r="A2482" t="s">
        <v>2570</v>
      </c>
      <c r="B2482" s="1">
        <v>45657</v>
      </c>
      <c r="C2482">
        <v>2024</v>
      </c>
      <c r="D2482" t="s">
        <v>1738</v>
      </c>
      <c r="E2482" t="s">
        <v>2310</v>
      </c>
      <c r="F2482" t="s">
        <v>24</v>
      </c>
      <c r="G2482" t="s">
        <v>25</v>
      </c>
      <c r="H2482" t="s">
        <v>26</v>
      </c>
      <c r="I2482" t="s">
        <v>27</v>
      </c>
      <c r="J2482" t="s">
        <v>47</v>
      </c>
      <c r="K2482">
        <v>3</v>
      </c>
      <c r="L2482" s="2">
        <v>33.99</v>
      </c>
      <c r="M2482" s="3">
        <v>0.2</v>
      </c>
      <c r="N2482" t="s">
        <v>34</v>
      </c>
      <c r="O2482" s="2">
        <v>81.58</v>
      </c>
      <c r="P2482" s="2">
        <v>52.84</v>
      </c>
      <c r="Q2482" s="2">
        <v>28.74</v>
      </c>
      <c r="R2482">
        <v>1</v>
      </c>
      <c r="S2482">
        <v>0</v>
      </c>
      <c r="T2482">
        <v>5</v>
      </c>
      <c r="U2482">
        <v>5</v>
      </c>
    </row>
    <row r="2483" spans="1:21" ht="16.5" x14ac:dyDescent="0.3">
      <c r="A2483" t="s">
        <v>2571</v>
      </c>
      <c r="B2483" s="1">
        <v>45657</v>
      </c>
      <c r="C2483">
        <v>2024</v>
      </c>
      <c r="D2483" t="s">
        <v>1738</v>
      </c>
      <c r="E2483" t="s">
        <v>2310</v>
      </c>
      <c r="F2483" t="s">
        <v>45</v>
      </c>
      <c r="G2483" t="s">
        <v>49</v>
      </c>
      <c r="H2483" t="s">
        <v>26</v>
      </c>
      <c r="I2483" t="s">
        <v>84</v>
      </c>
      <c r="J2483" t="s">
        <v>96</v>
      </c>
      <c r="K2483">
        <v>1</v>
      </c>
      <c r="L2483" s="2">
        <v>10.76</v>
      </c>
      <c r="M2483" s="3">
        <v>0.15</v>
      </c>
      <c r="N2483" t="s">
        <v>34</v>
      </c>
      <c r="O2483" s="2">
        <v>9.15</v>
      </c>
      <c r="P2483" s="2">
        <v>7.81</v>
      </c>
      <c r="Q2483" s="2">
        <v>1.34</v>
      </c>
      <c r="R2483">
        <v>1</v>
      </c>
      <c r="S2483">
        <v>1</v>
      </c>
      <c r="T2483">
        <v>5</v>
      </c>
      <c r="U2483">
        <v>3</v>
      </c>
    </row>
    <row r="2484" spans="1:21" ht="16.5" x14ac:dyDescent="0.3">
      <c r="A2484" t="s">
        <v>2572</v>
      </c>
      <c r="B2484" s="1">
        <v>45657</v>
      </c>
      <c r="C2484">
        <v>2024</v>
      </c>
      <c r="D2484" t="s">
        <v>1738</v>
      </c>
      <c r="E2484" t="s">
        <v>2310</v>
      </c>
      <c r="F2484" t="s">
        <v>24</v>
      </c>
      <c r="G2484" t="s">
        <v>49</v>
      </c>
      <c r="H2484" t="s">
        <v>32</v>
      </c>
      <c r="I2484" t="s">
        <v>36</v>
      </c>
      <c r="J2484" t="s">
        <v>56</v>
      </c>
      <c r="K2484">
        <v>2</v>
      </c>
      <c r="L2484" s="2">
        <v>74.3</v>
      </c>
      <c r="M2484" s="3">
        <v>0.15</v>
      </c>
      <c r="N2484" t="s">
        <v>34</v>
      </c>
      <c r="O2484" s="2">
        <v>126.31</v>
      </c>
      <c r="P2484" s="2">
        <v>66.94</v>
      </c>
      <c r="Q2484" s="2">
        <v>59.37</v>
      </c>
      <c r="R2484">
        <v>1</v>
      </c>
      <c r="S2484">
        <v>0</v>
      </c>
      <c r="T2484">
        <v>6</v>
      </c>
      <c r="U2484">
        <v>2</v>
      </c>
    </row>
    <row r="2485" spans="1:21" ht="16.5" x14ac:dyDescent="0.3">
      <c r="A2485" t="s">
        <v>2573</v>
      </c>
      <c r="B2485" s="1">
        <v>45657</v>
      </c>
      <c r="C2485">
        <v>2024</v>
      </c>
      <c r="D2485" t="s">
        <v>1738</v>
      </c>
      <c r="E2485" t="s">
        <v>2310</v>
      </c>
      <c r="F2485" t="s">
        <v>31</v>
      </c>
      <c r="G2485" t="s">
        <v>49</v>
      </c>
      <c r="H2485" t="s">
        <v>26</v>
      </c>
      <c r="I2485" t="s">
        <v>67</v>
      </c>
      <c r="J2485" t="s">
        <v>68</v>
      </c>
      <c r="K2485">
        <v>1</v>
      </c>
      <c r="L2485" s="2">
        <v>74.459999999999994</v>
      </c>
      <c r="M2485" s="3">
        <v>0.2</v>
      </c>
      <c r="N2485" t="s">
        <v>34</v>
      </c>
      <c r="O2485" s="2">
        <v>59.57</v>
      </c>
      <c r="P2485" s="2">
        <v>51.89</v>
      </c>
      <c r="Q2485" s="2">
        <v>7.68</v>
      </c>
      <c r="R2485">
        <v>1</v>
      </c>
      <c r="S2485">
        <v>0</v>
      </c>
      <c r="T2485">
        <v>7</v>
      </c>
      <c r="U2485">
        <v>3</v>
      </c>
    </row>
    <row r="2486" spans="1:21" ht="16.5" x14ac:dyDescent="0.3">
      <c r="A2486" t="s">
        <v>2574</v>
      </c>
      <c r="B2486" s="1">
        <v>45657</v>
      </c>
      <c r="C2486">
        <v>2024</v>
      </c>
      <c r="D2486" t="s">
        <v>1738</v>
      </c>
      <c r="E2486" t="s">
        <v>2310</v>
      </c>
      <c r="F2486" t="s">
        <v>45</v>
      </c>
      <c r="G2486" t="s">
        <v>25</v>
      </c>
      <c r="H2486" t="s">
        <v>32</v>
      </c>
      <c r="I2486" t="s">
        <v>27</v>
      </c>
      <c r="J2486" t="s">
        <v>110</v>
      </c>
      <c r="K2486">
        <v>2</v>
      </c>
      <c r="L2486" s="2">
        <v>19.41</v>
      </c>
      <c r="M2486" s="3">
        <v>0.1</v>
      </c>
      <c r="N2486" t="s">
        <v>29</v>
      </c>
      <c r="O2486" s="2">
        <v>34.94</v>
      </c>
      <c r="P2486" s="2">
        <v>21.23</v>
      </c>
      <c r="Q2486" s="2">
        <v>13.71</v>
      </c>
      <c r="R2486">
        <v>1</v>
      </c>
      <c r="S2486">
        <v>0</v>
      </c>
      <c r="T2486">
        <v>4</v>
      </c>
      <c r="U2486">
        <v>5</v>
      </c>
    </row>
    <row r="2487" spans="1:21" ht="16.5" x14ac:dyDescent="0.3">
      <c r="A2487" t="s">
        <v>2575</v>
      </c>
      <c r="B2487" s="1">
        <v>45658</v>
      </c>
      <c r="C2487">
        <v>2025</v>
      </c>
      <c r="D2487" t="s">
        <v>22</v>
      </c>
      <c r="E2487" t="s">
        <v>23</v>
      </c>
      <c r="F2487" t="s">
        <v>45</v>
      </c>
      <c r="G2487" t="s">
        <v>25</v>
      </c>
      <c r="H2487" t="s">
        <v>26</v>
      </c>
      <c r="I2487" t="s">
        <v>36</v>
      </c>
      <c r="J2487" t="s">
        <v>56</v>
      </c>
      <c r="K2487">
        <v>1</v>
      </c>
      <c r="L2487" s="2">
        <v>74.3</v>
      </c>
      <c r="M2487" s="3">
        <v>0.1</v>
      </c>
      <c r="N2487" t="s">
        <v>29</v>
      </c>
      <c r="O2487" s="2">
        <v>66.87</v>
      </c>
      <c r="P2487" s="2">
        <v>36.78</v>
      </c>
      <c r="Q2487" s="2">
        <v>30.09</v>
      </c>
      <c r="R2487">
        <v>1</v>
      </c>
      <c r="S2487">
        <v>0</v>
      </c>
      <c r="T2487">
        <v>3</v>
      </c>
      <c r="U2487">
        <v>5</v>
      </c>
    </row>
    <row r="2488" spans="1:21" ht="16.5" x14ac:dyDescent="0.3">
      <c r="A2488" t="s">
        <v>2576</v>
      </c>
      <c r="B2488" s="1">
        <v>45658</v>
      </c>
      <c r="C2488">
        <v>2025</v>
      </c>
      <c r="D2488" t="s">
        <v>22</v>
      </c>
      <c r="E2488" t="s">
        <v>23</v>
      </c>
      <c r="F2488" t="s">
        <v>31</v>
      </c>
      <c r="G2488" t="s">
        <v>25</v>
      </c>
      <c r="H2488" t="s">
        <v>26</v>
      </c>
      <c r="I2488" t="s">
        <v>84</v>
      </c>
      <c r="J2488" t="s">
        <v>132</v>
      </c>
      <c r="K2488">
        <v>1</v>
      </c>
      <c r="L2488" s="2">
        <v>48.86</v>
      </c>
      <c r="M2488" s="3">
        <v>0</v>
      </c>
      <c r="N2488" t="s">
        <v>38</v>
      </c>
      <c r="O2488" s="2">
        <v>48.86</v>
      </c>
      <c r="P2488" s="2">
        <v>34.270000000000003</v>
      </c>
      <c r="Q2488" s="2">
        <v>14.59</v>
      </c>
      <c r="R2488">
        <v>1</v>
      </c>
      <c r="S2488">
        <v>0</v>
      </c>
      <c r="T2488">
        <v>4</v>
      </c>
      <c r="U2488">
        <v>4</v>
      </c>
    </row>
    <row r="2489" spans="1:21" ht="16.5" x14ac:dyDescent="0.3">
      <c r="A2489" t="s">
        <v>2577</v>
      </c>
      <c r="B2489" s="1">
        <v>45658</v>
      </c>
      <c r="C2489">
        <v>2025</v>
      </c>
      <c r="D2489" t="s">
        <v>22</v>
      </c>
      <c r="E2489" t="s">
        <v>23</v>
      </c>
      <c r="F2489" t="s">
        <v>45</v>
      </c>
      <c r="G2489" t="s">
        <v>65</v>
      </c>
      <c r="H2489" t="s">
        <v>32</v>
      </c>
      <c r="I2489" t="s">
        <v>27</v>
      </c>
      <c r="J2489" t="s">
        <v>28</v>
      </c>
      <c r="K2489">
        <v>1</v>
      </c>
      <c r="L2489" s="2">
        <v>138.5</v>
      </c>
      <c r="M2489" s="3">
        <v>0.15</v>
      </c>
      <c r="N2489" t="s">
        <v>34</v>
      </c>
      <c r="O2489" s="2">
        <v>117.72</v>
      </c>
      <c r="P2489" s="2">
        <v>73.540000000000006</v>
      </c>
      <c r="Q2489" s="2">
        <v>44.18</v>
      </c>
      <c r="R2489">
        <v>1</v>
      </c>
      <c r="S2489">
        <v>0</v>
      </c>
      <c r="T2489">
        <v>5</v>
      </c>
      <c r="U2489">
        <v>4</v>
      </c>
    </row>
    <row r="2490" spans="1:21" ht="16.5" x14ac:dyDescent="0.3">
      <c r="A2490" t="s">
        <v>2578</v>
      </c>
      <c r="B2490" s="1">
        <v>45659</v>
      </c>
      <c r="C2490">
        <v>2025</v>
      </c>
      <c r="D2490" t="s">
        <v>22</v>
      </c>
      <c r="E2490" t="s">
        <v>23</v>
      </c>
      <c r="F2490" t="s">
        <v>24</v>
      </c>
      <c r="G2490" t="s">
        <v>25</v>
      </c>
      <c r="H2490" t="s">
        <v>32</v>
      </c>
      <c r="I2490" t="s">
        <v>27</v>
      </c>
      <c r="J2490" t="s">
        <v>110</v>
      </c>
      <c r="K2490">
        <v>2</v>
      </c>
      <c r="L2490" s="2">
        <v>19.41</v>
      </c>
      <c r="M2490" s="3">
        <v>0</v>
      </c>
      <c r="N2490" t="s">
        <v>38</v>
      </c>
      <c r="O2490" s="2">
        <v>38.82</v>
      </c>
      <c r="P2490" s="2">
        <v>21.26</v>
      </c>
      <c r="Q2490" s="2">
        <v>17.559999999999999</v>
      </c>
      <c r="R2490">
        <v>1</v>
      </c>
      <c r="S2490">
        <v>0</v>
      </c>
      <c r="T2490">
        <v>5</v>
      </c>
      <c r="U2490">
        <v>5</v>
      </c>
    </row>
    <row r="2491" spans="1:21" ht="16.5" x14ac:dyDescent="0.3">
      <c r="A2491" t="s">
        <v>2579</v>
      </c>
      <c r="B2491" s="1">
        <v>45659</v>
      </c>
      <c r="C2491">
        <v>2025</v>
      </c>
      <c r="D2491" t="s">
        <v>22</v>
      </c>
      <c r="E2491" t="s">
        <v>23</v>
      </c>
      <c r="F2491" t="s">
        <v>24</v>
      </c>
      <c r="G2491" t="s">
        <v>49</v>
      </c>
      <c r="H2491" t="s">
        <v>32</v>
      </c>
      <c r="I2491" t="s">
        <v>27</v>
      </c>
      <c r="J2491" t="s">
        <v>47</v>
      </c>
      <c r="K2491">
        <v>1</v>
      </c>
      <c r="L2491" s="2">
        <v>33.99</v>
      </c>
      <c r="M2491" s="3">
        <v>0.2</v>
      </c>
      <c r="N2491" t="s">
        <v>34</v>
      </c>
      <c r="O2491" s="2">
        <v>27.19</v>
      </c>
      <c r="P2491" s="2">
        <v>19.53</v>
      </c>
      <c r="Q2491" s="2">
        <v>7.66</v>
      </c>
      <c r="R2491">
        <v>1</v>
      </c>
      <c r="S2491">
        <v>0</v>
      </c>
      <c r="T2491">
        <v>6</v>
      </c>
      <c r="U2491">
        <v>3</v>
      </c>
    </row>
    <row r="2492" spans="1:21" ht="16.5" x14ac:dyDescent="0.3">
      <c r="A2492" t="s">
        <v>2580</v>
      </c>
      <c r="B2492" s="1">
        <v>45659</v>
      </c>
      <c r="C2492">
        <v>2025</v>
      </c>
      <c r="D2492" t="s">
        <v>22</v>
      </c>
      <c r="E2492" t="s">
        <v>23</v>
      </c>
      <c r="F2492" t="s">
        <v>24</v>
      </c>
      <c r="G2492" t="s">
        <v>51</v>
      </c>
      <c r="H2492" t="s">
        <v>32</v>
      </c>
      <c r="I2492" t="s">
        <v>67</v>
      </c>
      <c r="J2492" t="s">
        <v>174</v>
      </c>
      <c r="K2492">
        <v>1</v>
      </c>
      <c r="L2492" s="2">
        <v>137.05000000000001</v>
      </c>
      <c r="M2492" s="3">
        <v>0.05</v>
      </c>
      <c r="N2492" t="s">
        <v>29</v>
      </c>
      <c r="O2492" s="2">
        <v>130.19999999999999</v>
      </c>
      <c r="P2492" s="2">
        <v>95.03</v>
      </c>
      <c r="Q2492" s="2">
        <v>35.17</v>
      </c>
      <c r="R2492">
        <v>1</v>
      </c>
      <c r="S2492">
        <v>0</v>
      </c>
      <c r="T2492">
        <v>2</v>
      </c>
      <c r="U2492">
        <v>3</v>
      </c>
    </row>
    <row r="2493" spans="1:21" ht="16.5" x14ac:dyDescent="0.3">
      <c r="A2493" t="s">
        <v>2581</v>
      </c>
      <c r="B2493" s="1">
        <v>45659</v>
      </c>
      <c r="C2493">
        <v>2025</v>
      </c>
      <c r="D2493" t="s">
        <v>22</v>
      </c>
      <c r="E2493" t="s">
        <v>23</v>
      </c>
      <c r="F2493" t="s">
        <v>31</v>
      </c>
      <c r="G2493" t="s">
        <v>49</v>
      </c>
      <c r="H2493" t="s">
        <v>32</v>
      </c>
      <c r="I2493" t="s">
        <v>36</v>
      </c>
      <c r="J2493" t="s">
        <v>56</v>
      </c>
      <c r="K2493">
        <v>1</v>
      </c>
      <c r="L2493" s="2">
        <v>74.3</v>
      </c>
      <c r="M2493" s="3">
        <v>0.2</v>
      </c>
      <c r="N2493" t="s">
        <v>34</v>
      </c>
      <c r="O2493" s="2">
        <v>59.44</v>
      </c>
      <c r="P2493" s="2">
        <v>36.409999999999997</v>
      </c>
      <c r="Q2493" s="2">
        <v>23.03</v>
      </c>
      <c r="R2493">
        <v>1</v>
      </c>
      <c r="S2493">
        <v>0</v>
      </c>
      <c r="T2493">
        <v>4</v>
      </c>
      <c r="U2493">
        <v>5</v>
      </c>
    </row>
    <row r="2494" spans="1:21" ht="16.5" x14ac:dyDescent="0.3">
      <c r="A2494" t="s">
        <v>2582</v>
      </c>
      <c r="B2494" s="1">
        <v>45659</v>
      </c>
      <c r="C2494">
        <v>2025</v>
      </c>
      <c r="D2494" t="s">
        <v>22</v>
      </c>
      <c r="E2494" t="s">
        <v>23</v>
      </c>
      <c r="F2494" t="s">
        <v>31</v>
      </c>
      <c r="G2494" t="s">
        <v>49</v>
      </c>
      <c r="H2494" t="s">
        <v>32</v>
      </c>
      <c r="I2494" t="s">
        <v>36</v>
      </c>
      <c r="J2494" t="s">
        <v>56</v>
      </c>
      <c r="K2494">
        <v>1</v>
      </c>
      <c r="L2494" s="2">
        <v>74.3</v>
      </c>
      <c r="M2494" s="3">
        <v>0</v>
      </c>
      <c r="N2494" t="s">
        <v>38</v>
      </c>
      <c r="O2494" s="2">
        <v>74.3</v>
      </c>
      <c r="P2494" s="2">
        <v>34.08</v>
      </c>
      <c r="Q2494" s="2">
        <v>40.22</v>
      </c>
      <c r="R2494">
        <v>1</v>
      </c>
      <c r="S2494">
        <v>0</v>
      </c>
      <c r="T2494">
        <v>4</v>
      </c>
      <c r="U2494">
        <v>5</v>
      </c>
    </row>
    <row r="2495" spans="1:21" ht="16.5" x14ac:dyDescent="0.3">
      <c r="A2495" t="s">
        <v>2583</v>
      </c>
      <c r="B2495" s="1">
        <v>45659</v>
      </c>
      <c r="C2495">
        <v>2025</v>
      </c>
      <c r="D2495" t="s">
        <v>22</v>
      </c>
      <c r="E2495" t="s">
        <v>23</v>
      </c>
      <c r="F2495" t="s">
        <v>24</v>
      </c>
      <c r="G2495" t="s">
        <v>46</v>
      </c>
      <c r="H2495" t="s">
        <v>32</v>
      </c>
      <c r="I2495" t="s">
        <v>27</v>
      </c>
      <c r="J2495" t="s">
        <v>47</v>
      </c>
      <c r="K2495">
        <v>1</v>
      </c>
      <c r="L2495" s="2">
        <v>33.99</v>
      </c>
      <c r="M2495" s="3">
        <v>0</v>
      </c>
      <c r="N2495" t="s">
        <v>38</v>
      </c>
      <c r="O2495" s="2">
        <v>33.99</v>
      </c>
      <c r="P2495" s="2">
        <v>18.3</v>
      </c>
      <c r="Q2495" s="2">
        <v>15.69</v>
      </c>
      <c r="R2495">
        <v>1</v>
      </c>
      <c r="S2495">
        <v>0</v>
      </c>
      <c r="T2495">
        <v>5</v>
      </c>
      <c r="U2495">
        <v>4</v>
      </c>
    </row>
    <row r="2496" spans="1:21" ht="16.5" x14ac:dyDescent="0.3">
      <c r="A2496" t="s">
        <v>2584</v>
      </c>
      <c r="B2496" s="1">
        <v>45659</v>
      </c>
      <c r="C2496">
        <v>2025</v>
      </c>
      <c r="D2496" t="s">
        <v>22</v>
      </c>
      <c r="E2496" t="s">
        <v>23</v>
      </c>
      <c r="F2496" t="s">
        <v>45</v>
      </c>
      <c r="G2496" t="s">
        <v>49</v>
      </c>
      <c r="H2496" t="s">
        <v>32</v>
      </c>
      <c r="I2496" t="s">
        <v>42</v>
      </c>
      <c r="J2496" t="s">
        <v>98</v>
      </c>
      <c r="K2496">
        <v>2</v>
      </c>
      <c r="L2496" s="2">
        <v>117.63</v>
      </c>
      <c r="M2496" s="3">
        <v>0</v>
      </c>
      <c r="N2496" t="s">
        <v>38</v>
      </c>
      <c r="O2496" s="2">
        <v>235.26</v>
      </c>
      <c r="P2496" s="2">
        <v>150.04</v>
      </c>
      <c r="Q2496" s="2">
        <v>85.22</v>
      </c>
      <c r="R2496">
        <v>1</v>
      </c>
      <c r="S2496">
        <v>0</v>
      </c>
      <c r="T2496">
        <v>3</v>
      </c>
      <c r="U2496">
        <v>4</v>
      </c>
    </row>
    <row r="2497" spans="1:21" ht="16.5" x14ac:dyDescent="0.3">
      <c r="A2497" t="s">
        <v>2585</v>
      </c>
      <c r="B2497" s="1">
        <v>45659</v>
      </c>
      <c r="C2497">
        <v>2025</v>
      </c>
      <c r="D2497" t="s">
        <v>22</v>
      </c>
      <c r="E2497" t="s">
        <v>23</v>
      </c>
      <c r="F2497" t="s">
        <v>31</v>
      </c>
      <c r="G2497" t="s">
        <v>51</v>
      </c>
      <c r="H2497" t="s">
        <v>26</v>
      </c>
      <c r="I2497" t="s">
        <v>36</v>
      </c>
      <c r="J2497" t="s">
        <v>52</v>
      </c>
      <c r="K2497">
        <v>1</v>
      </c>
      <c r="L2497" s="2">
        <v>92.54</v>
      </c>
      <c r="M2497" s="3">
        <v>0.15</v>
      </c>
      <c r="N2497" t="s">
        <v>34</v>
      </c>
      <c r="O2497" s="2">
        <v>78.66</v>
      </c>
      <c r="P2497" s="2">
        <v>45.55</v>
      </c>
      <c r="Q2497" s="2">
        <v>33.11</v>
      </c>
      <c r="R2497">
        <v>1</v>
      </c>
      <c r="S2497">
        <v>0</v>
      </c>
      <c r="T2497">
        <v>4</v>
      </c>
      <c r="U2497">
        <v>4</v>
      </c>
    </row>
    <row r="2498" spans="1:21" ht="16.5" x14ac:dyDescent="0.3">
      <c r="A2498" t="s">
        <v>2586</v>
      </c>
      <c r="B2498" s="1">
        <v>45659</v>
      </c>
      <c r="C2498">
        <v>2025</v>
      </c>
      <c r="D2498" t="s">
        <v>22</v>
      </c>
      <c r="E2498" t="s">
        <v>23</v>
      </c>
      <c r="F2498" t="s">
        <v>31</v>
      </c>
      <c r="G2498" t="s">
        <v>46</v>
      </c>
      <c r="H2498" t="s">
        <v>32</v>
      </c>
      <c r="I2498" t="s">
        <v>27</v>
      </c>
      <c r="J2498" t="s">
        <v>33</v>
      </c>
      <c r="K2498">
        <v>1</v>
      </c>
      <c r="L2498" s="2">
        <v>78.510000000000005</v>
      </c>
      <c r="M2498" s="3">
        <v>0.1</v>
      </c>
      <c r="N2498" t="s">
        <v>29</v>
      </c>
      <c r="O2498" s="2">
        <v>70.66</v>
      </c>
      <c r="P2498" s="2">
        <v>42.96</v>
      </c>
      <c r="Q2498" s="2">
        <v>27.7</v>
      </c>
      <c r="R2498">
        <v>1</v>
      </c>
      <c r="S2498">
        <v>0</v>
      </c>
      <c r="T2498">
        <v>5</v>
      </c>
      <c r="U2498">
        <v>4</v>
      </c>
    </row>
    <row r="2499" spans="1:21" ht="16.5" x14ac:dyDescent="0.3">
      <c r="A2499" t="s">
        <v>2587</v>
      </c>
      <c r="B2499" s="1">
        <v>45660</v>
      </c>
      <c r="C2499">
        <v>2025</v>
      </c>
      <c r="D2499" t="s">
        <v>22</v>
      </c>
      <c r="E2499" t="s">
        <v>23</v>
      </c>
      <c r="F2499" t="s">
        <v>45</v>
      </c>
      <c r="G2499" t="s">
        <v>46</v>
      </c>
      <c r="H2499" t="s">
        <v>32</v>
      </c>
      <c r="I2499" t="s">
        <v>36</v>
      </c>
      <c r="J2499" t="s">
        <v>56</v>
      </c>
      <c r="K2499">
        <v>2</v>
      </c>
      <c r="L2499" s="2">
        <v>74.3</v>
      </c>
      <c r="M2499" s="3">
        <v>0</v>
      </c>
      <c r="N2499" t="s">
        <v>38</v>
      </c>
      <c r="O2499" s="2">
        <v>148.6</v>
      </c>
      <c r="P2499" s="2">
        <v>74.45</v>
      </c>
      <c r="Q2499" s="2">
        <v>74.150000000000006</v>
      </c>
      <c r="R2499">
        <v>1</v>
      </c>
      <c r="S2499">
        <v>0</v>
      </c>
      <c r="T2499">
        <v>5</v>
      </c>
      <c r="U2499">
        <v>4</v>
      </c>
    </row>
    <row r="2500" spans="1:21" ht="16.5" x14ac:dyDescent="0.3">
      <c r="A2500" t="s">
        <v>2588</v>
      </c>
      <c r="B2500" s="1">
        <v>45660</v>
      </c>
      <c r="C2500">
        <v>2025</v>
      </c>
      <c r="D2500" t="s">
        <v>22</v>
      </c>
      <c r="E2500" t="s">
        <v>23</v>
      </c>
      <c r="F2500" t="s">
        <v>24</v>
      </c>
      <c r="G2500" t="s">
        <v>49</v>
      </c>
      <c r="H2500" t="s">
        <v>32</v>
      </c>
      <c r="I2500" t="s">
        <v>42</v>
      </c>
      <c r="J2500" t="s">
        <v>98</v>
      </c>
      <c r="K2500">
        <v>2</v>
      </c>
      <c r="L2500" s="2">
        <v>117.63</v>
      </c>
      <c r="M2500" s="3">
        <v>0.1</v>
      </c>
      <c r="N2500" t="s">
        <v>29</v>
      </c>
      <c r="O2500" s="2">
        <v>211.73</v>
      </c>
      <c r="P2500" s="2">
        <v>152.38999999999999</v>
      </c>
      <c r="Q2500" s="2">
        <v>59.34</v>
      </c>
      <c r="R2500">
        <v>1</v>
      </c>
      <c r="S2500">
        <v>1</v>
      </c>
      <c r="T2500">
        <v>4</v>
      </c>
      <c r="U2500">
        <v>3</v>
      </c>
    </row>
    <row r="2501" spans="1:21" ht="16.5" x14ac:dyDescent="0.3">
      <c r="A2501" t="s">
        <v>2589</v>
      </c>
      <c r="B2501" s="1">
        <v>45660</v>
      </c>
      <c r="C2501">
        <v>2025</v>
      </c>
      <c r="D2501" t="s">
        <v>22</v>
      </c>
      <c r="E2501" t="s">
        <v>23</v>
      </c>
      <c r="F2501" t="s">
        <v>31</v>
      </c>
      <c r="G2501" t="s">
        <v>25</v>
      </c>
      <c r="H2501" t="s">
        <v>26</v>
      </c>
      <c r="I2501" t="s">
        <v>27</v>
      </c>
      <c r="J2501" t="s">
        <v>40</v>
      </c>
      <c r="K2501">
        <v>1</v>
      </c>
      <c r="L2501" s="2">
        <v>104.94</v>
      </c>
      <c r="M2501" s="3">
        <v>0</v>
      </c>
      <c r="N2501" t="s">
        <v>38</v>
      </c>
      <c r="O2501" s="2">
        <v>104.94</v>
      </c>
      <c r="P2501" s="2">
        <v>56.35</v>
      </c>
      <c r="Q2501" s="2">
        <v>48.59</v>
      </c>
      <c r="R2501">
        <v>1</v>
      </c>
      <c r="S2501">
        <v>0</v>
      </c>
      <c r="T2501">
        <v>3</v>
      </c>
      <c r="U2501">
        <v>4</v>
      </c>
    </row>
    <row r="2502" spans="1:21" ht="16.5" x14ac:dyDescent="0.3">
      <c r="A2502" t="s">
        <v>2590</v>
      </c>
      <c r="B2502" s="1">
        <v>45660</v>
      </c>
      <c r="C2502">
        <v>2025</v>
      </c>
      <c r="D2502" t="s">
        <v>22</v>
      </c>
      <c r="E2502" t="s">
        <v>23</v>
      </c>
      <c r="F2502" t="s">
        <v>24</v>
      </c>
      <c r="G2502" t="s">
        <v>51</v>
      </c>
      <c r="H2502" t="s">
        <v>26</v>
      </c>
      <c r="I2502" t="s">
        <v>36</v>
      </c>
      <c r="J2502" t="s">
        <v>37</v>
      </c>
      <c r="K2502">
        <v>1</v>
      </c>
      <c r="L2502" s="2">
        <v>33.18</v>
      </c>
      <c r="M2502" s="3">
        <v>0</v>
      </c>
      <c r="N2502" t="s">
        <v>38</v>
      </c>
      <c r="O2502" s="2">
        <v>33.18</v>
      </c>
      <c r="P2502" s="2">
        <v>16.16</v>
      </c>
      <c r="Q2502" s="2">
        <v>17.02</v>
      </c>
      <c r="R2502">
        <v>1</v>
      </c>
      <c r="S2502">
        <v>0</v>
      </c>
      <c r="T2502">
        <v>5</v>
      </c>
      <c r="U2502">
        <v>4</v>
      </c>
    </row>
    <row r="2503" spans="1:21" ht="16.5" x14ac:dyDescent="0.3">
      <c r="A2503" t="s">
        <v>2591</v>
      </c>
      <c r="B2503" s="1">
        <v>45660</v>
      </c>
      <c r="C2503">
        <v>2025</v>
      </c>
      <c r="D2503" t="s">
        <v>22</v>
      </c>
      <c r="E2503" t="s">
        <v>23</v>
      </c>
      <c r="F2503" t="s">
        <v>24</v>
      </c>
      <c r="G2503" t="s">
        <v>46</v>
      </c>
      <c r="H2503" t="s">
        <v>32</v>
      </c>
      <c r="I2503" t="s">
        <v>36</v>
      </c>
      <c r="J2503" t="s">
        <v>37</v>
      </c>
      <c r="K2503">
        <v>3</v>
      </c>
      <c r="L2503" s="2">
        <v>33.18</v>
      </c>
      <c r="M2503" s="3">
        <v>0.1</v>
      </c>
      <c r="N2503" t="s">
        <v>29</v>
      </c>
      <c r="O2503" s="2">
        <v>89.59</v>
      </c>
      <c r="P2503" s="2">
        <v>49.76</v>
      </c>
      <c r="Q2503" s="2">
        <v>39.83</v>
      </c>
      <c r="R2503">
        <v>1</v>
      </c>
      <c r="S2503">
        <v>0</v>
      </c>
      <c r="T2503">
        <v>5</v>
      </c>
      <c r="U2503">
        <v>5</v>
      </c>
    </row>
    <row r="2504" spans="1:21" ht="16.5" x14ac:dyDescent="0.3">
      <c r="A2504" t="s">
        <v>2592</v>
      </c>
      <c r="B2504" s="1">
        <v>45661</v>
      </c>
      <c r="C2504">
        <v>2025</v>
      </c>
      <c r="D2504" t="s">
        <v>22</v>
      </c>
      <c r="E2504" t="s">
        <v>23</v>
      </c>
      <c r="F2504" t="s">
        <v>24</v>
      </c>
      <c r="G2504" t="s">
        <v>49</v>
      </c>
      <c r="H2504" t="s">
        <v>26</v>
      </c>
      <c r="I2504" t="s">
        <v>84</v>
      </c>
      <c r="J2504" t="s">
        <v>96</v>
      </c>
      <c r="K2504">
        <v>1</v>
      </c>
      <c r="L2504" s="2">
        <v>10.76</v>
      </c>
      <c r="M2504" s="3">
        <v>0.1</v>
      </c>
      <c r="N2504" t="s">
        <v>29</v>
      </c>
      <c r="O2504" s="2">
        <v>9.68</v>
      </c>
      <c r="P2504" s="2">
        <v>7.84</v>
      </c>
      <c r="Q2504" s="2">
        <v>1.84</v>
      </c>
      <c r="R2504">
        <v>1</v>
      </c>
      <c r="S2504">
        <v>0</v>
      </c>
      <c r="T2504">
        <v>3</v>
      </c>
      <c r="U2504">
        <v>4</v>
      </c>
    </row>
    <row r="2505" spans="1:21" ht="16.5" x14ac:dyDescent="0.3">
      <c r="A2505" t="s">
        <v>2593</v>
      </c>
      <c r="B2505" s="1">
        <v>45661</v>
      </c>
      <c r="C2505">
        <v>2025</v>
      </c>
      <c r="D2505" t="s">
        <v>22</v>
      </c>
      <c r="E2505" t="s">
        <v>23</v>
      </c>
      <c r="F2505" t="s">
        <v>45</v>
      </c>
      <c r="G2505" t="s">
        <v>25</v>
      </c>
      <c r="H2505" t="s">
        <v>32</v>
      </c>
      <c r="I2505" t="s">
        <v>27</v>
      </c>
      <c r="J2505" t="s">
        <v>110</v>
      </c>
      <c r="K2505">
        <v>1</v>
      </c>
      <c r="L2505" s="2">
        <v>19.41</v>
      </c>
      <c r="M2505" s="3">
        <v>0.05</v>
      </c>
      <c r="N2505" t="s">
        <v>29</v>
      </c>
      <c r="O2505" s="2">
        <v>18.440000000000001</v>
      </c>
      <c r="P2505" s="2">
        <v>10.37</v>
      </c>
      <c r="Q2505" s="2">
        <v>8.07</v>
      </c>
      <c r="R2505">
        <v>1</v>
      </c>
      <c r="S2505">
        <v>0</v>
      </c>
      <c r="T2505">
        <v>3</v>
      </c>
      <c r="U2505">
        <v>4</v>
      </c>
    </row>
    <row r="2506" spans="1:21" ht="16.5" x14ac:dyDescent="0.3">
      <c r="A2506" t="s">
        <v>2594</v>
      </c>
      <c r="B2506" s="1">
        <v>45661</v>
      </c>
      <c r="C2506">
        <v>2025</v>
      </c>
      <c r="D2506" t="s">
        <v>22</v>
      </c>
      <c r="E2506" t="s">
        <v>23</v>
      </c>
      <c r="F2506" t="s">
        <v>24</v>
      </c>
      <c r="G2506" t="s">
        <v>49</v>
      </c>
      <c r="H2506" t="s">
        <v>26</v>
      </c>
      <c r="I2506" t="s">
        <v>70</v>
      </c>
      <c r="J2506" t="s">
        <v>87</v>
      </c>
      <c r="K2506">
        <v>1</v>
      </c>
      <c r="L2506" s="2">
        <v>490.3</v>
      </c>
      <c r="M2506" s="3">
        <v>0.2</v>
      </c>
      <c r="N2506" t="s">
        <v>34</v>
      </c>
      <c r="O2506" s="2">
        <v>392.24</v>
      </c>
      <c r="P2506" s="2">
        <v>399.99</v>
      </c>
      <c r="Q2506" s="2">
        <v>-7.75</v>
      </c>
      <c r="R2506">
        <v>1</v>
      </c>
      <c r="S2506">
        <v>0</v>
      </c>
      <c r="T2506">
        <v>3</v>
      </c>
      <c r="U2506">
        <v>5</v>
      </c>
    </row>
    <row r="2507" spans="1:21" ht="16.5" x14ac:dyDescent="0.3">
      <c r="A2507" t="s">
        <v>2595</v>
      </c>
      <c r="B2507" s="1">
        <v>45661</v>
      </c>
      <c r="C2507">
        <v>2025</v>
      </c>
      <c r="D2507" t="s">
        <v>22</v>
      </c>
      <c r="E2507" t="s">
        <v>23</v>
      </c>
      <c r="F2507" t="s">
        <v>24</v>
      </c>
      <c r="G2507" t="s">
        <v>46</v>
      </c>
      <c r="H2507" t="s">
        <v>26</v>
      </c>
      <c r="I2507" t="s">
        <v>42</v>
      </c>
      <c r="J2507" t="s">
        <v>54</v>
      </c>
      <c r="K2507">
        <v>2</v>
      </c>
      <c r="L2507" s="2">
        <v>148.05000000000001</v>
      </c>
      <c r="M2507" s="3">
        <v>0.1</v>
      </c>
      <c r="N2507" t="s">
        <v>29</v>
      </c>
      <c r="O2507" s="2">
        <v>266.49</v>
      </c>
      <c r="P2507" s="2">
        <v>187.8</v>
      </c>
      <c r="Q2507" s="2">
        <v>78.69</v>
      </c>
      <c r="R2507">
        <v>1</v>
      </c>
      <c r="S2507">
        <v>0</v>
      </c>
      <c r="T2507">
        <v>6</v>
      </c>
      <c r="U2507">
        <v>3</v>
      </c>
    </row>
    <row r="2508" spans="1:21" ht="16.5" x14ac:dyDescent="0.3">
      <c r="A2508" t="s">
        <v>2596</v>
      </c>
      <c r="B2508" s="1">
        <v>45661</v>
      </c>
      <c r="C2508">
        <v>2025</v>
      </c>
      <c r="D2508" t="s">
        <v>22</v>
      </c>
      <c r="E2508" t="s">
        <v>23</v>
      </c>
      <c r="F2508" t="s">
        <v>31</v>
      </c>
      <c r="G2508" t="s">
        <v>49</v>
      </c>
      <c r="H2508" t="s">
        <v>32</v>
      </c>
      <c r="I2508" t="s">
        <v>27</v>
      </c>
      <c r="J2508" t="s">
        <v>60</v>
      </c>
      <c r="K2508">
        <v>2</v>
      </c>
      <c r="L2508" s="2">
        <v>94.85</v>
      </c>
      <c r="M2508" s="3">
        <v>0.05</v>
      </c>
      <c r="N2508" t="s">
        <v>29</v>
      </c>
      <c r="O2508" s="2">
        <v>180.21</v>
      </c>
      <c r="P2508" s="2">
        <v>102.96</v>
      </c>
      <c r="Q2508" s="2">
        <v>77.25</v>
      </c>
      <c r="R2508">
        <v>1</v>
      </c>
      <c r="S2508">
        <v>0</v>
      </c>
      <c r="T2508">
        <v>5</v>
      </c>
      <c r="U2508">
        <v>4</v>
      </c>
    </row>
    <row r="2509" spans="1:21" ht="16.5" x14ac:dyDescent="0.3">
      <c r="A2509" t="s">
        <v>2597</v>
      </c>
      <c r="B2509" s="1">
        <v>45661</v>
      </c>
      <c r="C2509">
        <v>2025</v>
      </c>
      <c r="D2509" t="s">
        <v>22</v>
      </c>
      <c r="E2509" t="s">
        <v>23</v>
      </c>
      <c r="F2509" t="s">
        <v>31</v>
      </c>
      <c r="G2509" t="s">
        <v>25</v>
      </c>
      <c r="H2509" t="s">
        <v>32</v>
      </c>
      <c r="I2509" t="s">
        <v>27</v>
      </c>
      <c r="J2509" t="s">
        <v>60</v>
      </c>
      <c r="K2509">
        <v>1</v>
      </c>
      <c r="L2509" s="2">
        <v>94.85</v>
      </c>
      <c r="M2509" s="3">
        <v>0</v>
      </c>
      <c r="N2509" t="s">
        <v>38</v>
      </c>
      <c r="O2509" s="2">
        <v>94.85</v>
      </c>
      <c r="P2509" s="2">
        <v>51.59</v>
      </c>
      <c r="Q2509" s="2">
        <v>43.26</v>
      </c>
      <c r="R2509">
        <v>1</v>
      </c>
      <c r="S2509">
        <v>1</v>
      </c>
      <c r="T2509">
        <v>3</v>
      </c>
      <c r="U2509">
        <v>2</v>
      </c>
    </row>
    <row r="2510" spans="1:21" ht="16.5" x14ac:dyDescent="0.3">
      <c r="A2510" t="s">
        <v>2598</v>
      </c>
      <c r="B2510" s="1">
        <v>45661</v>
      </c>
      <c r="C2510">
        <v>2025</v>
      </c>
      <c r="D2510" t="s">
        <v>22</v>
      </c>
      <c r="E2510" t="s">
        <v>23</v>
      </c>
      <c r="F2510" t="s">
        <v>31</v>
      </c>
      <c r="G2510" t="s">
        <v>51</v>
      </c>
      <c r="H2510" t="s">
        <v>26</v>
      </c>
      <c r="I2510" t="s">
        <v>70</v>
      </c>
      <c r="J2510" t="s">
        <v>71</v>
      </c>
      <c r="K2510">
        <v>1</v>
      </c>
      <c r="L2510" s="2">
        <v>588.41</v>
      </c>
      <c r="M2510" s="3">
        <v>0.05</v>
      </c>
      <c r="N2510" t="s">
        <v>29</v>
      </c>
      <c r="O2510" s="2">
        <v>558.99</v>
      </c>
      <c r="P2510" s="2">
        <v>460.11</v>
      </c>
      <c r="Q2510" s="2">
        <v>98.88</v>
      </c>
      <c r="R2510">
        <v>1</v>
      </c>
      <c r="S2510">
        <v>0</v>
      </c>
      <c r="T2510">
        <v>3</v>
      </c>
      <c r="U2510">
        <v>5</v>
      </c>
    </row>
    <row r="2511" spans="1:21" ht="16.5" x14ac:dyDescent="0.3">
      <c r="A2511" t="s">
        <v>2599</v>
      </c>
      <c r="B2511" s="1">
        <v>45661</v>
      </c>
      <c r="C2511">
        <v>2025</v>
      </c>
      <c r="D2511" t="s">
        <v>22</v>
      </c>
      <c r="E2511" t="s">
        <v>23</v>
      </c>
      <c r="F2511" t="s">
        <v>31</v>
      </c>
      <c r="G2511" t="s">
        <v>49</v>
      </c>
      <c r="H2511" t="s">
        <v>26</v>
      </c>
      <c r="I2511" t="s">
        <v>67</v>
      </c>
      <c r="J2511" t="s">
        <v>103</v>
      </c>
      <c r="K2511">
        <v>1</v>
      </c>
      <c r="L2511" s="2">
        <v>83.06</v>
      </c>
      <c r="M2511" s="3">
        <v>0.1</v>
      </c>
      <c r="N2511" t="s">
        <v>29</v>
      </c>
      <c r="O2511" s="2">
        <v>74.75</v>
      </c>
      <c r="P2511" s="2">
        <v>57.28</v>
      </c>
      <c r="Q2511" s="2">
        <v>17.47</v>
      </c>
      <c r="R2511">
        <v>1</v>
      </c>
      <c r="S2511">
        <v>0</v>
      </c>
      <c r="T2511">
        <v>3</v>
      </c>
      <c r="U2511">
        <v>5</v>
      </c>
    </row>
    <row r="2512" spans="1:21" ht="16.5" x14ac:dyDescent="0.3">
      <c r="A2512" t="s">
        <v>2600</v>
      </c>
      <c r="B2512" s="1">
        <v>45661</v>
      </c>
      <c r="C2512">
        <v>2025</v>
      </c>
      <c r="D2512" t="s">
        <v>22</v>
      </c>
      <c r="E2512" t="s">
        <v>23</v>
      </c>
      <c r="F2512" t="s">
        <v>31</v>
      </c>
      <c r="G2512" t="s">
        <v>51</v>
      </c>
      <c r="H2512" t="s">
        <v>32</v>
      </c>
      <c r="I2512" t="s">
        <v>42</v>
      </c>
      <c r="J2512" t="s">
        <v>58</v>
      </c>
      <c r="K2512">
        <v>2</v>
      </c>
      <c r="L2512" s="2">
        <v>233.81</v>
      </c>
      <c r="M2512" s="3">
        <v>0.05</v>
      </c>
      <c r="N2512" t="s">
        <v>29</v>
      </c>
      <c r="O2512" s="2">
        <v>444.24</v>
      </c>
      <c r="P2512" s="2">
        <v>310.10000000000002</v>
      </c>
      <c r="Q2512" s="2">
        <v>134.13999999999999</v>
      </c>
      <c r="R2512">
        <v>1</v>
      </c>
      <c r="S2512">
        <v>0</v>
      </c>
      <c r="T2512">
        <v>3</v>
      </c>
      <c r="U2512">
        <v>3</v>
      </c>
    </row>
    <row r="2513" spans="1:21" ht="16.5" x14ac:dyDescent="0.3">
      <c r="A2513" t="s">
        <v>2601</v>
      </c>
      <c r="B2513" s="1">
        <v>45661</v>
      </c>
      <c r="C2513">
        <v>2025</v>
      </c>
      <c r="D2513" t="s">
        <v>22</v>
      </c>
      <c r="E2513" t="s">
        <v>23</v>
      </c>
      <c r="F2513" t="s">
        <v>45</v>
      </c>
      <c r="G2513" t="s">
        <v>51</v>
      </c>
      <c r="H2513" t="s">
        <v>26</v>
      </c>
      <c r="I2513" t="s">
        <v>42</v>
      </c>
      <c r="J2513" t="s">
        <v>89</v>
      </c>
      <c r="K2513">
        <v>1</v>
      </c>
      <c r="L2513" s="2">
        <v>68.349999999999994</v>
      </c>
      <c r="M2513" s="3">
        <v>0.15</v>
      </c>
      <c r="N2513" t="s">
        <v>34</v>
      </c>
      <c r="O2513" s="2">
        <v>58.1</v>
      </c>
      <c r="P2513" s="2">
        <v>45.4</v>
      </c>
      <c r="Q2513" s="2">
        <v>12.7</v>
      </c>
      <c r="R2513">
        <v>1</v>
      </c>
      <c r="S2513">
        <v>0</v>
      </c>
      <c r="T2513">
        <v>4</v>
      </c>
      <c r="U2513">
        <v>5</v>
      </c>
    </row>
    <row r="2514" spans="1:21" ht="16.5" x14ac:dyDescent="0.3">
      <c r="A2514" t="s">
        <v>2602</v>
      </c>
      <c r="B2514" s="1">
        <v>45662</v>
      </c>
      <c r="C2514">
        <v>2025</v>
      </c>
      <c r="D2514" t="s">
        <v>22</v>
      </c>
      <c r="E2514" t="s">
        <v>23</v>
      </c>
      <c r="F2514" t="s">
        <v>45</v>
      </c>
      <c r="G2514" t="s">
        <v>25</v>
      </c>
      <c r="H2514" t="s">
        <v>32</v>
      </c>
      <c r="I2514" t="s">
        <v>27</v>
      </c>
      <c r="J2514" t="s">
        <v>47</v>
      </c>
      <c r="K2514">
        <v>2</v>
      </c>
      <c r="L2514" s="2">
        <v>33.99</v>
      </c>
      <c r="M2514" s="3">
        <v>0.25</v>
      </c>
      <c r="N2514" t="s">
        <v>62</v>
      </c>
      <c r="O2514" s="2">
        <v>50.98</v>
      </c>
      <c r="P2514" s="2">
        <v>37.83</v>
      </c>
      <c r="Q2514" s="2">
        <v>13.15</v>
      </c>
      <c r="R2514">
        <v>1</v>
      </c>
      <c r="S2514">
        <v>1</v>
      </c>
      <c r="T2514">
        <v>5</v>
      </c>
      <c r="U2514">
        <v>3</v>
      </c>
    </row>
    <row r="2515" spans="1:21" ht="16.5" x14ac:dyDescent="0.3">
      <c r="A2515" t="s">
        <v>2603</v>
      </c>
      <c r="B2515" s="1">
        <v>45662</v>
      </c>
      <c r="C2515">
        <v>2025</v>
      </c>
      <c r="D2515" t="s">
        <v>22</v>
      </c>
      <c r="E2515" t="s">
        <v>23</v>
      </c>
      <c r="F2515" t="s">
        <v>45</v>
      </c>
      <c r="G2515" t="s">
        <v>25</v>
      </c>
      <c r="H2515" t="s">
        <v>32</v>
      </c>
      <c r="I2515" t="s">
        <v>70</v>
      </c>
      <c r="J2515" t="s">
        <v>82</v>
      </c>
      <c r="K2515">
        <v>1</v>
      </c>
      <c r="L2515" s="2">
        <v>508.8</v>
      </c>
      <c r="M2515" s="3">
        <v>0</v>
      </c>
      <c r="N2515" t="s">
        <v>38</v>
      </c>
      <c r="O2515" s="2">
        <v>508.8</v>
      </c>
      <c r="P2515" s="2">
        <v>412.92</v>
      </c>
      <c r="Q2515" s="2">
        <v>95.88</v>
      </c>
      <c r="R2515">
        <v>1</v>
      </c>
      <c r="S2515">
        <v>0</v>
      </c>
      <c r="T2515">
        <v>4</v>
      </c>
      <c r="U2515">
        <v>4</v>
      </c>
    </row>
    <row r="2516" spans="1:21" ht="16.5" x14ac:dyDescent="0.3">
      <c r="A2516" t="s">
        <v>2604</v>
      </c>
      <c r="B2516" s="1">
        <v>45662</v>
      </c>
      <c r="C2516">
        <v>2025</v>
      </c>
      <c r="D2516" t="s">
        <v>22</v>
      </c>
      <c r="E2516" t="s">
        <v>23</v>
      </c>
      <c r="F2516" t="s">
        <v>45</v>
      </c>
      <c r="G2516" t="s">
        <v>49</v>
      </c>
      <c r="H2516" t="s">
        <v>32</v>
      </c>
      <c r="I2516" t="s">
        <v>36</v>
      </c>
      <c r="J2516" t="s">
        <v>52</v>
      </c>
      <c r="K2516">
        <v>1</v>
      </c>
      <c r="L2516" s="2">
        <v>92.54</v>
      </c>
      <c r="M2516" s="3">
        <v>0</v>
      </c>
      <c r="N2516" t="s">
        <v>38</v>
      </c>
      <c r="O2516" s="2">
        <v>92.54</v>
      </c>
      <c r="P2516" s="2">
        <v>44.87</v>
      </c>
      <c r="Q2516" s="2">
        <v>47.67</v>
      </c>
      <c r="R2516">
        <v>1</v>
      </c>
      <c r="S2516">
        <v>0</v>
      </c>
      <c r="T2516">
        <v>5</v>
      </c>
      <c r="U2516">
        <v>4</v>
      </c>
    </row>
    <row r="2517" spans="1:21" ht="16.5" x14ac:dyDescent="0.3">
      <c r="A2517" t="s">
        <v>2605</v>
      </c>
      <c r="B2517" s="1">
        <v>45662</v>
      </c>
      <c r="C2517">
        <v>2025</v>
      </c>
      <c r="D2517" t="s">
        <v>22</v>
      </c>
      <c r="E2517" t="s">
        <v>23</v>
      </c>
      <c r="F2517" t="s">
        <v>45</v>
      </c>
      <c r="G2517" t="s">
        <v>51</v>
      </c>
      <c r="H2517" t="s">
        <v>32</v>
      </c>
      <c r="I2517" t="s">
        <v>42</v>
      </c>
      <c r="J2517" t="s">
        <v>76</v>
      </c>
      <c r="K2517">
        <v>1</v>
      </c>
      <c r="L2517" s="2">
        <v>90.75</v>
      </c>
      <c r="M2517" s="3">
        <v>0</v>
      </c>
      <c r="N2517" t="s">
        <v>38</v>
      </c>
      <c r="O2517" s="2">
        <v>90.75</v>
      </c>
      <c r="P2517" s="2">
        <v>60.58</v>
      </c>
      <c r="Q2517" s="2">
        <v>30.17</v>
      </c>
      <c r="R2517">
        <v>1</v>
      </c>
      <c r="S2517">
        <v>1</v>
      </c>
      <c r="T2517">
        <v>3</v>
      </c>
      <c r="U2517">
        <v>4</v>
      </c>
    </row>
    <row r="2518" spans="1:21" ht="16.5" x14ac:dyDescent="0.3">
      <c r="A2518" t="s">
        <v>2606</v>
      </c>
      <c r="B2518" s="1">
        <v>45662</v>
      </c>
      <c r="C2518">
        <v>2025</v>
      </c>
      <c r="D2518" t="s">
        <v>22</v>
      </c>
      <c r="E2518" t="s">
        <v>23</v>
      </c>
      <c r="F2518" t="s">
        <v>24</v>
      </c>
      <c r="G2518" t="s">
        <v>25</v>
      </c>
      <c r="H2518" t="s">
        <v>32</v>
      </c>
      <c r="I2518" t="s">
        <v>27</v>
      </c>
      <c r="J2518" t="s">
        <v>40</v>
      </c>
      <c r="K2518">
        <v>1</v>
      </c>
      <c r="L2518" s="2">
        <v>104.94</v>
      </c>
      <c r="M2518" s="3">
        <v>0.05</v>
      </c>
      <c r="N2518" t="s">
        <v>29</v>
      </c>
      <c r="O2518" s="2">
        <v>99.69</v>
      </c>
      <c r="P2518" s="2">
        <v>58.06</v>
      </c>
      <c r="Q2518" s="2">
        <v>41.63</v>
      </c>
      <c r="R2518">
        <v>1</v>
      </c>
      <c r="S2518">
        <v>0</v>
      </c>
      <c r="T2518">
        <v>3</v>
      </c>
      <c r="U2518">
        <v>3</v>
      </c>
    </row>
    <row r="2519" spans="1:21" ht="16.5" x14ac:dyDescent="0.3">
      <c r="A2519" t="s">
        <v>2607</v>
      </c>
      <c r="B2519" s="1">
        <v>45663</v>
      </c>
      <c r="C2519">
        <v>2025</v>
      </c>
      <c r="D2519" t="s">
        <v>22</v>
      </c>
      <c r="E2519" t="s">
        <v>23</v>
      </c>
      <c r="F2519" t="s">
        <v>31</v>
      </c>
      <c r="G2519" t="s">
        <v>49</v>
      </c>
      <c r="H2519" t="s">
        <v>32</v>
      </c>
      <c r="I2519" t="s">
        <v>70</v>
      </c>
      <c r="J2519" t="s">
        <v>87</v>
      </c>
      <c r="K2519">
        <v>1</v>
      </c>
      <c r="L2519" s="2">
        <v>490.3</v>
      </c>
      <c r="M2519" s="3">
        <v>0.1</v>
      </c>
      <c r="N2519" t="s">
        <v>29</v>
      </c>
      <c r="O2519" s="2">
        <v>441.27</v>
      </c>
      <c r="P2519" s="2">
        <v>390.07</v>
      </c>
      <c r="Q2519" s="2">
        <v>51.2</v>
      </c>
      <c r="R2519">
        <v>1</v>
      </c>
      <c r="S2519">
        <v>0</v>
      </c>
      <c r="T2519">
        <v>4</v>
      </c>
      <c r="U2519">
        <v>5</v>
      </c>
    </row>
    <row r="2520" spans="1:21" ht="16.5" x14ac:dyDescent="0.3">
      <c r="A2520" t="s">
        <v>2608</v>
      </c>
      <c r="B2520" s="1">
        <v>45663</v>
      </c>
      <c r="C2520">
        <v>2025</v>
      </c>
      <c r="D2520" t="s">
        <v>22</v>
      </c>
      <c r="E2520" t="s">
        <v>23</v>
      </c>
      <c r="F2520" t="s">
        <v>31</v>
      </c>
      <c r="G2520" t="s">
        <v>46</v>
      </c>
      <c r="H2520" t="s">
        <v>26</v>
      </c>
      <c r="I2520" t="s">
        <v>42</v>
      </c>
      <c r="J2520" t="s">
        <v>98</v>
      </c>
      <c r="K2520">
        <v>2</v>
      </c>
      <c r="L2520" s="2">
        <v>117.63</v>
      </c>
      <c r="M2520" s="3">
        <v>0</v>
      </c>
      <c r="N2520" t="s">
        <v>38</v>
      </c>
      <c r="O2520" s="2">
        <v>235.26</v>
      </c>
      <c r="P2520" s="2">
        <v>149.94999999999999</v>
      </c>
      <c r="Q2520" s="2">
        <v>85.31</v>
      </c>
      <c r="R2520">
        <v>1</v>
      </c>
      <c r="S2520">
        <v>0</v>
      </c>
      <c r="T2520">
        <v>6</v>
      </c>
      <c r="U2520">
        <v>4</v>
      </c>
    </row>
    <row r="2521" spans="1:21" ht="16.5" x14ac:dyDescent="0.3">
      <c r="A2521" t="s">
        <v>2609</v>
      </c>
      <c r="B2521" s="1">
        <v>45663</v>
      </c>
      <c r="C2521">
        <v>2025</v>
      </c>
      <c r="D2521" t="s">
        <v>22</v>
      </c>
      <c r="E2521" t="s">
        <v>23</v>
      </c>
      <c r="F2521" t="s">
        <v>24</v>
      </c>
      <c r="G2521" t="s">
        <v>25</v>
      </c>
      <c r="H2521" t="s">
        <v>32</v>
      </c>
      <c r="I2521" t="s">
        <v>42</v>
      </c>
      <c r="J2521" t="s">
        <v>98</v>
      </c>
      <c r="K2521">
        <v>2</v>
      </c>
      <c r="L2521" s="2">
        <v>117.63</v>
      </c>
      <c r="M2521" s="3">
        <v>0.05</v>
      </c>
      <c r="N2521" t="s">
        <v>29</v>
      </c>
      <c r="O2521" s="2">
        <v>223.5</v>
      </c>
      <c r="P2521" s="2">
        <v>154.30000000000001</v>
      </c>
      <c r="Q2521" s="2">
        <v>69.2</v>
      </c>
      <c r="R2521">
        <v>1</v>
      </c>
      <c r="S2521">
        <v>0</v>
      </c>
      <c r="T2521">
        <v>3</v>
      </c>
      <c r="U2521">
        <v>5</v>
      </c>
    </row>
    <row r="2522" spans="1:21" ht="16.5" x14ac:dyDescent="0.3">
      <c r="A2522" t="s">
        <v>2610</v>
      </c>
      <c r="B2522" s="1">
        <v>45663</v>
      </c>
      <c r="C2522">
        <v>2025</v>
      </c>
      <c r="D2522" t="s">
        <v>22</v>
      </c>
      <c r="E2522" t="s">
        <v>23</v>
      </c>
      <c r="F2522" t="s">
        <v>31</v>
      </c>
      <c r="G2522" t="s">
        <v>65</v>
      </c>
      <c r="H2522" t="s">
        <v>26</v>
      </c>
      <c r="I2522" t="s">
        <v>27</v>
      </c>
      <c r="J2522" t="s">
        <v>33</v>
      </c>
      <c r="K2522">
        <v>1</v>
      </c>
      <c r="L2522" s="2">
        <v>78.510000000000005</v>
      </c>
      <c r="M2522" s="3">
        <v>0.05</v>
      </c>
      <c r="N2522" t="s">
        <v>29</v>
      </c>
      <c r="O2522" s="2">
        <v>74.58</v>
      </c>
      <c r="P2522" s="2">
        <v>42.61</v>
      </c>
      <c r="Q2522" s="2">
        <v>31.97</v>
      </c>
      <c r="R2522">
        <v>1</v>
      </c>
      <c r="S2522">
        <v>0</v>
      </c>
      <c r="T2522">
        <v>7</v>
      </c>
      <c r="U2522">
        <v>4</v>
      </c>
    </row>
    <row r="2523" spans="1:21" ht="16.5" x14ac:dyDescent="0.3">
      <c r="A2523" t="s">
        <v>2611</v>
      </c>
      <c r="B2523" s="1">
        <v>45664</v>
      </c>
      <c r="C2523">
        <v>2025</v>
      </c>
      <c r="D2523" t="s">
        <v>22</v>
      </c>
      <c r="E2523" t="s">
        <v>23</v>
      </c>
      <c r="F2523" t="s">
        <v>45</v>
      </c>
      <c r="G2523" t="s">
        <v>46</v>
      </c>
      <c r="H2523" t="s">
        <v>26</v>
      </c>
      <c r="I2523" t="s">
        <v>27</v>
      </c>
      <c r="J2523" t="s">
        <v>60</v>
      </c>
      <c r="K2523">
        <v>1</v>
      </c>
      <c r="L2523" s="2">
        <v>94.85</v>
      </c>
      <c r="M2523" s="3">
        <v>0</v>
      </c>
      <c r="N2523" t="s">
        <v>38</v>
      </c>
      <c r="O2523" s="2">
        <v>94.85</v>
      </c>
      <c r="P2523" s="2">
        <v>53.18</v>
      </c>
      <c r="Q2523" s="2">
        <v>41.67</v>
      </c>
      <c r="R2523">
        <v>1</v>
      </c>
      <c r="S2523">
        <v>0</v>
      </c>
      <c r="T2523">
        <v>6</v>
      </c>
      <c r="U2523">
        <v>4</v>
      </c>
    </row>
    <row r="2524" spans="1:21" ht="16.5" x14ac:dyDescent="0.3">
      <c r="A2524" t="s">
        <v>2612</v>
      </c>
      <c r="B2524" s="1">
        <v>45664</v>
      </c>
      <c r="C2524">
        <v>2025</v>
      </c>
      <c r="D2524" t="s">
        <v>22</v>
      </c>
      <c r="E2524" t="s">
        <v>23</v>
      </c>
      <c r="F2524" t="s">
        <v>24</v>
      </c>
      <c r="G2524" t="s">
        <v>51</v>
      </c>
      <c r="H2524" t="s">
        <v>32</v>
      </c>
      <c r="I2524" t="s">
        <v>70</v>
      </c>
      <c r="J2524" t="s">
        <v>129</v>
      </c>
      <c r="K2524">
        <v>2</v>
      </c>
      <c r="L2524" s="2">
        <v>177.65</v>
      </c>
      <c r="M2524" s="3">
        <v>0</v>
      </c>
      <c r="N2524" t="s">
        <v>38</v>
      </c>
      <c r="O2524" s="2">
        <v>355.3</v>
      </c>
      <c r="P2524" s="2">
        <v>279.99</v>
      </c>
      <c r="Q2524" s="2">
        <v>75.31</v>
      </c>
      <c r="R2524">
        <v>1</v>
      </c>
      <c r="S2524">
        <v>0</v>
      </c>
      <c r="T2524">
        <v>4</v>
      </c>
      <c r="U2524">
        <v>4</v>
      </c>
    </row>
    <row r="2525" spans="1:21" ht="16.5" x14ac:dyDescent="0.3">
      <c r="A2525" t="s">
        <v>2613</v>
      </c>
      <c r="B2525" s="1">
        <v>45664</v>
      </c>
      <c r="C2525">
        <v>2025</v>
      </c>
      <c r="D2525" t="s">
        <v>22</v>
      </c>
      <c r="E2525" t="s">
        <v>23</v>
      </c>
      <c r="F2525" t="s">
        <v>24</v>
      </c>
      <c r="G2525" t="s">
        <v>46</v>
      </c>
      <c r="H2525" t="s">
        <v>32</v>
      </c>
      <c r="I2525" t="s">
        <v>27</v>
      </c>
      <c r="J2525" t="s">
        <v>47</v>
      </c>
      <c r="K2525">
        <v>1</v>
      </c>
      <c r="L2525" s="2">
        <v>33.99</v>
      </c>
      <c r="M2525" s="3">
        <v>0</v>
      </c>
      <c r="N2525" t="s">
        <v>38</v>
      </c>
      <c r="O2525" s="2">
        <v>33.99</v>
      </c>
      <c r="P2525" s="2">
        <v>18.38</v>
      </c>
      <c r="Q2525" s="2">
        <v>15.61</v>
      </c>
      <c r="R2525">
        <v>1</v>
      </c>
      <c r="S2525">
        <v>1</v>
      </c>
      <c r="T2525">
        <v>7</v>
      </c>
      <c r="U2525">
        <v>4</v>
      </c>
    </row>
    <row r="2526" spans="1:21" ht="16.5" x14ac:dyDescent="0.3">
      <c r="A2526" t="s">
        <v>2614</v>
      </c>
      <c r="B2526" s="1">
        <v>45664</v>
      </c>
      <c r="C2526">
        <v>2025</v>
      </c>
      <c r="D2526" t="s">
        <v>22</v>
      </c>
      <c r="E2526" t="s">
        <v>23</v>
      </c>
      <c r="F2526" t="s">
        <v>45</v>
      </c>
      <c r="G2526" t="s">
        <v>25</v>
      </c>
      <c r="H2526" t="s">
        <v>32</v>
      </c>
      <c r="I2526" t="s">
        <v>67</v>
      </c>
      <c r="J2526" t="s">
        <v>68</v>
      </c>
      <c r="K2526">
        <v>1</v>
      </c>
      <c r="L2526" s="2">
        <v>74.459999999999994</v>
      </c>
      <c r="M2526" s="3">
        <v>0.05</v>
      </c>
      <c r="N2526" t="s">
        <v>29</v>
      </c>
      <c r="O2526" s="2">
        <v>70.739999999999995</v>
      </c>
      <c r="P2526" s="2">
        <v>48.64</v>
      </c>
      <c r="Q2526" s="2">
        <v>22.1</v>
      </c>
      <c r="R2526">
        <v>1</v>
      </c>
      <c r="S2526">
        <v>0</v>
      </c>
      <c r="T2526">
        <v>3</v>
      </c>
      <c r="U2526">
        <v>4</v>
      </c>
    </row>
    <row r="2527" spans="1:21" ht="16.5" x14ac:dyDescent="0.3">
      <c r="A2527" t="s">
        <v>2615</v>
      </c>
      <c r="B2527" s="1">
        <v>45664</v>
      </c>
      <c r="C2527">
        <v>2025</v>
      </c>
      <c r="D2527" t="s">
        <v>22</v>
      </c>
      <c r="E2527" t="s">
        <v>23</v>
      </c>
      <c r="F2527" t="s">
        <v>31</v>
      </c>
      <c r="G2527" t="s">
        <v>49</v>
      </c>
      <c r="H2527" t="s">
        <v>32</v>
      </c>
      <c r="I2527" t="s">
        <v>67</v>
      </c>
      <c r="J2527" t="s">
        <v>103</v>
      </c>
      <c r="K2527">
        <v>1</v>
      </c>
      <c r="L2527" s="2">
        <v>83.06</v>
      </c>
      <c r="M2527" s="3">
        <v>0.3</v>
      </c>
      <c r="N2527" t="s">
        <v>62</v>
      </c>
      <c r="O2527" s="2">
        <v>58.14</v>
      </c>
      <c r="P2527" s="2">
        <v>55.21</v>
      </c>
      <c r="Q2527" s="2">
        <v>2.93</v>
      </c>
      <c r="R2527">
        <v>1</v>
      </c>
      <c r="S2527">
        <v>0</v>
      </c>
      <c r="T2527">
        <v>5</v>
      </c>
      <c r="U2527">
        <v>4</v>
      </c>
    </row>
    <row r="2528" spans="1:21" ht="16.5" x14ac:dyDescent="0.3">
      <c r="A2528" t="s">
        <v>2616</v>
      </c>
      <c r="B2528" s="1">
        <v>45665</v>
      </c>
      <c r="C2528">
        <v>2025</v>
      </c>
      <c r="D2528" t="s">
        <v>22</v>
      </c>
      <c r="E2528" t="s">
        <v>23</v>
      </c>
      <c r="F2528" t="s">
        <v>31</v>
      </c>
      <c r="G2528" t="s">
        <v>49</v>
      </c>
      <c r="H2528" t="s">
        <v>32</v>
      </c>
      <c r="I2528" t="s">
        <v>42</v>
      </c>
      <c r="J2528" t="s">
        <v>76</v>
      </c>
      <c r="K2528">
        <v>2</v>
      </c>
      <c r="L2528" s="2">
        <v>90.75</v>
      </c>
      <c r="M2528" s="3">
        <v>0</v>
      </c>
      <c r="N2528" t="s">
        <v>38</v>
      </c>
      <c r="O2528" s="2">
        <v>181.5</v>
      </c>
      <c r="P2528" s="2">
        <v>122.18</v>
      </c>
      <c r="Q2528" s="2">
        <v>59.32</v>
      </c>
      <c r="R2528">
        <v>1</v>
      </c>
      <c r="S2528">
        <v>0</v>
      </c>
      <c r="T2528">
        <v>4</v>
      </c>
      <c r="U2528">
        <v>4</v>
      </c>
    </row>
    <row r="2529" spans="1:21" ht="16.5" x14ac:dyDescent="0.3">
      <c r="A2529" t="s">
        <v>2617</v>
      </c>
      <c r="B2529" s="1">
        <v>45665</v>
      </c>
      <c r="C2529">
        <v>2025</v>
      </c>
      <c r="D2529" t="s">
        <v>22</v>
      </c>
      <c r="E2529" t="s">
        <v>23</v>
      </c>
      <c r="F2529" t="s">
        <v>31</v>
      </c>
      <c r="G2529" t="s">
        <v>25</v>
      </c>
      <c r="H2529" t="s">
        <v>32</v>
      </c>
      <c r="I2529" t="s">
        <v>27</v>
      </c>
      <c r="J2529" t="s">
        <v>47</v>
      </c>
      <c r="K2529">
        <v>2</v>
      </c>
      <c r="L2529" s="2">
        <v>33.99</v>
      </c>
      <c r="M2529" s="3">
        <v>0.1</v>
      </c>
      <c r="N2529" t="s">
        <v>29</v>
      </c>
      <c r="O2529" s="2">
        <v>61.18</v>
      </c>
      <c r="P2529" s="2">
        <v>35.89</v>
      </c>
      <c r="Q2529" s="2">
        <v>25.29</v>
      </c>
      <c r="R2529">
        <v>1</v>
      </c>
      <c r="S2529">
        <v>0</v>
      </c>
      <c r="T2529">
        <v>5</v>
      </c>
      <c r="U2529">
        <v>4</v>
      </c>
    </row>
    <row r="2530" spans="1:21" ht="16.5" x14ac:dyDescent="0.3">
      <c r="A2530" t="s">
        <v>2618</v>
      </c>
      <c r="B2530" s="1">
        <v>45665</v>
      </c>
      <c r="C2530">
        <v>2025</v>
      </c>
      <c r="D2530" t="s">
        <v>22</v>
      </c>
      <c r="E2530" t="s">
        <v>23</v>
      </c>
      <c r="F2530" t="s">
        <v>31</v>
      </c>
      <c r="G2530" t="s">
        <v>49</v>
      </c>
      <c r="H2530" t="s">
        <v>26</v>
      </c>
      <c r="I2530" t="s">
        <v>27</v>
      </c>
      <c r="J2530" t="s">
        <v>33</v>
      </c>
      <c r="K2530">
        <v>1</v>
      </c>
      <c r="L2530" s="2">
        <v>78.510000000000005</v>
      </c>
      <c r="M2530" s="3">
        <v>0.15</v>
      </c>
      <c r="N2530" t="s">
        <v>34</v>
      </c>
      <c r="O2530" s="2">
        <v>66.73</v>
      </c>
      <c r="P2530" s="2">
        <v>42.87</v>
      </c>
      <c r="Q2530" s="2">
        <v>23.86</v>
      </c>
      <c r="R2530">
        <v>1</v>
      </c>
      <c r="S2530">
        <v>0</v>
      </c>
      <c r="T2530">
        <v>5</v>
      </c>
      <c r="U2530">
        <v>5</v>
      </c>
    </row>
    <row r="2531" spans="1:21" ht="16.5" x14ac:dyDescent="0.3">
      <c r="A2531" t="s">
        <v>2619</v>
      </c>
      <c r="B2531" s="1">
        <v>45665</v>
      </c>
      <c r="C2531">
        <v>2025</v>
      </c>
      <c r="D2531" t="s">
        <v>22</v>
      </c>
      <c r="E2531" t="s">
        <v>23</v>
      </c>
      <c r="F2531" t="s">
        <v>24</v>
      </c>
      <c r="G2531" t="s">
        <v>65</v>
      </c>
      <c r="H2531" t="s">
        <v>32</v>
      </c>
      <c r="I2531" t="s">
        <v>84</v>
      </c>
      <c r="J2531" t="s">
        <v>85</v>
      </c>
      <c r="K2531">
        <v>1</v>
      </c>
      <c r="L2531" s="2">
        <v>57.92</v>
      </c>
      <c r="M2531" s="3">
        <v>0.15</v>
      </c>
      <c r="N2531" t="s">
        <v>34</v>
      </c>
      <c r="O2531" s="2">
        <v>49.23</v>
      </c>
      <c r="P2531" s="2">
        <v>40.51</v>
      </c>
      <c r="Q2531" s="2">
        <v>8.7200000000000006</v>
      </c>
      <c r="R2531">
        <v>1</v>
      </c>
      <c r="S2531">
        <v>0</v>
      </c>
      <c r="T2531">
        <v>5</v>
      </c>
      <c r="U2531">
        <v>4</v>
      </c>
    </row>
    <row r="2532" spans="1:21" ht="16.5" x14ac:dyDescent="0.3">
      <c r="A2532" t="s">
        <v>2620</v>
      </c>
      <c r="B2532" s="1">
        <v>45665</v>
      </c>
      <c r="C2532">
        <v>2025</v>
      </c>
      <c r="D2532" t="s">
        <v>22</v>
      </c>
      <c r="E2532" t="s">
        <v>23</v>
      </c>
      <c r="F2532" t="s">
        <v>24</v>
      </c>
      <c r="G2532" t="s">
        <v>49</v>
      </c>
      <c r="H2532" t="s">
        <v>26</v>
      </c>
      <c r="I2532" t="s">
        <v>70</v>
      </c>
      <c r="J2532" t="s">
        <v>71</v>
      </c>
      <c r="K2532">
        <v>2</v>
      </c>
      <c r="L2532" s="2">
        <v>588.41</v>
      </c>
      <c r="M2532" s="3">
        <v>0</v>
      </c>
      <c r="N2532" t="s">
        <v>38</v>
      </c>
      <c r="O2532" s="2">
        <v>1176.82</v>
      </c>
      <c r="P2532" s="2">
        <v>1001.52</v>
      </c>
      <c r="Q2532" s="2">
        <v>175.3</v>
      </c>
      <c r="R2532">
        <v>1</v>
      </c>
      <c r="S2532">
        <v>0</v>
      </c>
      <c r="T2532">
        <v>3</v>
      </c>
      <c r="U2532">
        <v>4</v>
      </c>
    </row>
    <row r="2533" spans="1:21" ht="16.5" x14ac:dyDescent="0.3">
      <c r="A2533" t="s">
        <v>2621</v>
      </c>
      <c r="B2533" s="1">
        <v>45665</v>
      </c>
      <c r="C2533">
        <v>2025</v>
      </c>
      <c r="D2533" t="s">
        <v>22</v>
      </c>
      <c r="E2533" t="s">
        <v>23</v>
      </c>
      <c r="F2533" t="s">
        <v>31</v>
      </c>
      <c r="G2533" t="s">
        <v>25</v>
      </c>
      <c r="H2533" t="s">
        <v>32</v>
      </c>
      <c r="I2533" t="s">
        <v>70</v>
      </c>
      <c r="J2533" t="s">
        <v>162</v>
      </c>
      <c r="K2533">
        <v>1</v>
      </c>
      <c r="L2533" s="2">
        <v>636.09</v>
      </c>
      <c r="M2533" s="3">
        <v>0</v>
      </c>
      <c r="N2533" t="s">
        <v>38</v>
      </c>
      <c r="O2533" s="2">
        <v>636.09</v>
      </c>
      <c r="P2533" s="2">
        <v>503.49</v>
      </c>
      <c r="Q2533" s="2">
        <v>132.6</v>
      </c>
      <c r="R2533">
        <v>1</v>
      </c>
      <c r="S2533">
        <v>0</v>
      </c>
      <c r="T2533">
        <v>5</v>
      </c>
      <c r="U2533">
        <v>5</v>
      </c>
    </row>
    <row r="2534" spans="1:21" ht="16.5" x14ac:dyDescent="0.3">
      <c r="A2534" t="s">
        <v>2622</v>
      </c>
      <c r="B2534" s="1">
        <v>45666</v>
      </c>
      <c r="C2534">
        <v>2025</v>
      </c>
      <c r="D2534" t="s">
        <v>22</v>
      </c>
      <c r="E2534" t="s">
        <v>23</v>
      </c>
      <c r="F2534" t="s">
        <v>24</v>
      </c>
      <c r="G2534" t="s">
        <v>51</v>
      </c>
      <c r="H2534" t="s">
        <v>32</v>
      </c>
      <c r="I2534" t="s">
        <v>27</v>
      </c>
      <c r="J2534" t="s">
        <v>110</v>
      </c>
      <c r="K2534">
        <v>2</v>
      </c>
      <c r="L2534" s="2">
        <v>19.41</v>
      </c>
      <c r="M2534" s="3">
        <v>0.25</v>
      </c>
      <c r="N2534" t="s">
        <v>62</v>
      </c>
      <c r="O2534" s="2">
        <v>29.12</v>
      </c>
      <c r="P2534" s="2">
        <v>22.35</v>
      </c>
      <c r="Q2534" s="2">
        <v>6.77</v>
      </c>
      <c r="R2534">
        <v>1</v>
      </c>
      <c r="S2534">
        <v>0</v>
      </c>
      <c r="T2534">
        <v>2</v>
      </c>
      <c r="U2534">
        <v>4</v>
      </c>
    </row>
    <row r="2535" spans="1:21" ht="16.5" x14ac:dyDescent="0.3">
      <c r="A2535" t="s">
        <v>2623</v>
      </c>
      <c r="B2535" s="1">
        <v>45666</v>
      </c>
      <c r="C2535">
        <v>2025</v>
      </c>
      <c r="D2535" t="s">
        <v>22</v>
      </c>
      <c r="E2535" t="s">
        <v>23</v>
      </c>
      <c r="F2535" t="s">
        <v>31</v>
      </c>
      <c r="G2535" t="s">
        <v>51</v>
      </c>
      <c r="H2535" t="s">
        <v>26</v>
      </c>
      <c r="I2535" t="s">
        <v>70</v>
      </c>
      <c r="J2535" t="s">
        <v>162</v>
      </c>
      <c r="K2535">
        <v>1</v>
      </c>
      <c r="L2535" s="2">
        <v>636.09</v>
      </c>
      <c r="M2535" s="3">
        <v>0.15</v>
      </c>
      <c r="N2535" t="s">
        <v>34</v>
      </c>
      <c r="O2535" s="2">
        <v>540.67999999999995</v>
      </c>
      <c r="P2535" s="2">
        <v>501.14</v>
      </c>
      <c r="Q2535" s="2">
        <v>39.54</v>
      </c>
      <c r="R2535">
        <v>1</v>
      </c>
      <c r="S2535">
        <v>0</v>
      </c>
      <c r="T2535">
        <v>5</v>
      </c>
      <c r="U2535">
        <v>4</v>
      </c>
    </row>
    <row r="2536" spans="1:21" ht="16.5" x14ac:dyDescent="0.3">
      <c r="A2536" t="s">
        <v>2624</v>
      </c>
      <c r="B2536" s="1">
        <v>45666</v>
      </c>
      <c r="C2536">
        <v>2025</v>
      </c>
      <c r="D2536" t="s">
        <v>22</v>
      </c>
      <c r="E2536" t="s">
        <v>23</v>
      </c>
      <c r="F2536" t="s">
        <v>24</v>
      </c>
      <c r="G2536" t="s">
        <v>49</v>
      </c>
      <c r="H2536" t="s">
        <v>32</v>
      </c>
      <c r="I2536" t="s">
        <v>27</v>
      </c>
      <c r="J2536" t="s">
        <v>28</v>
      </c>
      <c r="K2536">
        <v>2</v>
      </c>
      <c r="L2536" s="2">
        <v>138.5</v>
      </c>
      <c r="M2536" s="3">
        <v>0.1</v>
      </c>
      <c r="N2536" t="s">
        <v>29</v>
      </c>
      <c r="O2536" s="2">
        <v>249.3</v>
      </c>
      <c r="P2536" s="2">
        <v>149.26</v>
      </c>
      <c r="Q2536" s="2">
        <v>100.04</v>
      </c>
      <c r="R2536">
        <v>1</v>
      </c>
      <c r="S2536">
        <v>0</v>
      </c>
      <c r="T2536">
        <v>4</v>
      </c>
      <c r="U2536">
        <v>4</v>
      </c>
    </row>
    <row r="2537" spans="1:21" ht="16.5" x14ac:dyDescent="0.3">
      <c r="A2537" t="s">
        <v>2625</v>
      </c>
      <c r="B2537" s="1">
        <v>45666</v>
      </c>
      <c r="C2537">
        <v>2025</v>
      </c>
      <c r="D2537" t="s">
        <v>22</v>
      </c>
      <c r="E2537" t="s">
        <v>23</v>
      </c>
      <c r="F2537" t="s">
        <v>31</v>
      </c>
      <c r="G2537" t="s">
        <v>65</v>
      </c>
      <c r="H2537" t="s">
        <v>32</v>
      </c>
      <c r="I2537" t="s">
        <v>42</v>
      </c>
      <c r="J2537" t="s">
        <v>76</v>
      </c>
      <c r="K2537">
        <v>1</v>
      </c>
      <c r="L2537" s="2">
        <v>90.75</v>
      </c>
      <c r="M2537" s="3">
        <v>0.25</v>
      </c>
      <c r="N2537" t="s">
        <v>62</v>
      </c>
      <c r="O2537" s="2">
        <v>68.06</v>
      </c>
      <c r="P2537" s="2">
        <v>60.17</v>
      </c>
      <c r="Q2537" s="2">
        <v>7.89</v>
      </c>
      <c r="R2537">
        <v>1</v>
      </c>
      <c r="S2537">
        <v>0</v>
      </c>
      <c r="T2537">
        <v>6</v>
      </c>
      <c r="U2537">
        <v>4</v>
      </c>
    </row>
    <row r="2538" spans="1:21" ht="16.5" x14ac:dyDescent="0.3">
      <c r="A2538" t="s">
        <v>2626</v>
      </c>
      <c r="B2538" s="1">
        <v>45666</v>
      </c>
      <c r="C2538">
        <v>2025</v>
      </c>
      <c r="D2538" t="s">
        <v>22</v>
      </c>
      <c r="E2538" t="s">
        <v>23</v>
      </c>
      <c r="F2538" t="s">
        <v>31</v>
      </c>
      <c r="G2538" t="s">
        <v>65</v>
      </c>
      <c r="H2538" t="s">
        <v>26</v>
      </c>
      <c r="I2538" t="s">
        <v>84</v>
      </c>
      <c r="J2538" t="s">
        <v>85</v>
      </c>
      <c r="K2538">
        <v>1</v>
      </c>
      <c r="L2538" s="2">
        <v>57.92</v>
      </c>
      <c r="M2538" s="3">
        <v>0.2</v>
      </c>
      <c r="N2538" t="s">
        <v>34</v>
      </c>
      <c r="O2538" s="2">
        <v>46.34</v>
      </c>
      <c r="P2538" s="2">
        <v>40.39</v>
      </c>
      <c r="Q2538" s="2">
        <v>5.95</v>
      </c>
      <c r="R2538">
        <v>1</v>
      </c>
      <c r="S2538">
        <v>0</v>
      </c>
      <c r="T2538">
        <v>7</v>
      </c>
      <c r="U2538">
        <v>3</v>
      </c>
    </row>
    <row r="2539" spans="1:21" ht="16.5" x14ac:dyDescent="0.3">
      <c r="A2539" t="s">
        <v>2627</v>
      </c>
      <c r="B2539" s="1">
        <v>45666</v>
      </c>
      <c r="C2539">
        <v>2025</v>
      </c>
      <c r="D2539" t="s">
        <v>22</v>
      </c>
      <c r="E2539" t="s">
        <v>23</v>
      </c>
      <c r="F2539" t="s">
        <v>31</v>
      </c>
      <c r="G2539" t="s">
        <v>46</v>
      </c>
      <c r="H2539" t="s">
        <v>32</v>
      </c>
      <c r="I2539" t="s">
        <v>42</v>
      </c>
      <c r="J2539" t="s">
        <v>89</v>
      </c>
      <c r="K2539">
        <v>2</v>
      </c>
      <c r="L2539" s="2">
        <v>68.349999999999994</v>
      </c>
      <c r="M2539" s="3">
        <v>0.15</v>
      </c>
      <c r="N2539" t="s">
        <v>34</v>
      </c>
      <c r="O2539" s="2">
        <v>116.2</v>
      </c>
      <c r="P2539" s="2">
        <v>90.89</v>
      </c>
      <c r="Q2539" s="2">
        <v>25.31</v>
      </c>
      <c r="R2539">
        <v>1</v>
      </c>
      <c r="S2539">
        <v>0</v>
      </c>
      <c r="T2539">
        <v>7</v>
      </c>
      <c r="U2539">
        <v>4</v>
      </c>
    </row>
    <row r="2540" spans="1:21" ht="16.5" x14ac:dyDescent="0.3">
      <c r="A2540" t="s">
        <v>2628</v>
      </c>
      <c r="B2540" s="1">
        <v>45666</v>
      </c>
      <c r="C2540">
        <v>2025</v>
      </c>
      <c r="D2540" t="s">
        <v>22</v>
      </c>
      <c r="E2540" t="s">
        <v>23</v>
      </c>
      <c r="F2540" t="s">
        <v>31</v>
      </c>
      <c r="G2540" t="s">
        <v>65</v>
      </c>
      <c r="H2540" t="s">
        <v>32</v>
      </c>
      <c r="I2540" t="s">
        <v>70</v>
      </c>
      <c r="J2540" t="s">
        <v>252</v>
      </c>
      <c r="K2540">
        <v>4</v>
      </c>
      <c r="L2540" s="2">
        <v>216.08</v>
      </c>
      <c r="M2540" s="3">
        <v>0</v>
      </c>
      <c r="N2540" t="s">
        <v>38</v>
      </c>
      <c r="O2540" s="2">
        <v>864.32</v>
      </c>
      <c r="P2540" s="2">
        <v>702.24</v>
      </c>
      <c r="Q2540" s="2">
        <v>162.08000000000001</v>
      </c>
      <c r="R2540">
        <v>1</v>
      </c>
      <c r="S2540">
        <v>0</v>
      </c>
      <c r="T2540">
        <v>5</v>
      </c>
      <c r="U2540">
        <v>5</v>
      </c>
    </row>
    <row r="2541" spans="1:21" ht="16.5" x14ac:dyDescent="0.3">
      <c r="A2541" t="s">
        <v>2629</v>
      </c>
      <c r="B2541" s="1">
        <v>45666</v>
      </c>
      <c r="C2541">
        <v>2025</v>
      </c>
      <c r="D2541" t="s">
        <v>22</v>
      </c>
      <c r="E2541" t="s">
        <v>23</v>
      </c>
      <c r="F2541" t="s">
        <v>31</v>
      </c>
      <c r="G2541" t="s">
        <v>46</v>
      </c>
      <c r="H2541" t="s">
        <v>26</v>
      </c>
      <c r="I2541" t="s">
        <v>42</v>
      </c>
      <c r="J2541" t="s">
        <v>43</v>
      </c>
      <c r="K2541">
        <v>1</v>
      </c>
      <c r="L2541" s="2">
        <v>154.66</v>
      </c>
      <c r="M2541" s="3">
        <v>0.1</v>
      </c>
      <c r="N2541" t="s">
        <v>29</v>
      </c>
      <c r="O2541" s="2">
        <v>139.19</v>
      </c>
      <c r="P2541" s="2">
        <v>97.51</v>
      </c>
      <c r="Q2541" s="2">
        <v>41.68</v>
      </c>
      <c r="R2541">
        <v>1</v>
      </c>
      <c r="S2541">
        <v>0</v>
      </c>
      <c r="T2541">
        <v>5</v>
      </c>
      <c r="U2541">
        <v>3</v>
      </c>
    </row>
    <row r="2542" spans="1:21" ht="16.5" x14ac:dyDescent="0.3">
      <c r="A2542" t="s">
        <v>2630</v>
      </c>
      <c r="B2542" s="1">
        <v>45666</v>
      </c>
      <c r="C2542">
        <v>2025</v>
      </c>
      <c r="D2542" t="s">
        <v>22</v>
      </c>
      <c r="E2542" t="s">
        <v>23</v>
      </c>
      <c r="F2542" t="s">
        <v>45</v>
      </c>
      <c r="G2542" t="s">
        <v>49</v>
      </c>
      <c r="H2542" t="s">
        <v>26</v>
      </c>
      <c r="I2542" t="s">
        <v>70</v>
      </c>
      <c r="J2542" t="s">
        <v>71</v>
      </c>
      <c r="K2542">
        <v>1</v>
      </c>
      <c r="L2542" s="2">
        <v>588.41</v>
      </c>
      <c r="M2542" s="3">
        <v>0.15</v>
      </c>
      <c r="N2542" t="s">
        <v>34</v>
      </c>
      <c r="O2542" s="2">
        <v>500.15</v>
      </c>
      <c r="P2542" s="2">
        <v>472.35</v>
      </c>
      <c r="Q2542" s="2">
        <v>27.8</v>
      </c>
      <c r="R2542">
        <v>1</v>
      </c>
      <c r="S2542">
        <v>0</v>
      </c>
      <c r="T2542">
        <v>4</v>
      </c>
      <c r="U2542">
        <v>5</v>
      </c>
    </row>
    <row r="2543" spans="1:21" ht="16.5" x14ac:dyDescent="0.3">
      <c r="A2543" t="s">
        <v>2631</v>
      </c>
      <c r="B2543" s="1">
        <v>45667</v>
      </c>
      <c r="C2543">
        <v>2025</v>
      </c>
      <c r="D2543" t="s">
        <v>22</v>
      </c>
      <c r="E2543" t="s">
        <v>23</v>
      </c>
      <c r="F2543" t="s">
        <v>24</v>
      </c>
      <c r="G2543" t="s">
        <v>49</v>
      </c>
      <c r="H2543" t="s">
        <v>26</v>
      </c>
      <c r="I2543" t="s">
        <v>27</v>
      </c>
      <c r="J2543" t="s">
        <v>110</v>
      </c>
      <c r="K2543">
        <v>2</v>
      </c>
      <c r="L2543" s="2">
        <v>19.41</v>
      </c>
      <c r="M2543" s="3">
        <v>0.15</v>
      </c>
      <c r="N2543" t="s">
        <v>34</v>
      </c>
      <c r="O2543" s="2">
        <v>33</v>
      </c>
      <c r="P2543" s="2">
        <v>21.77</v>
      </c>
      <c r="Q2543" s="2">
        <v>11.23</v>
      </c>
      <c r="R2543">
        <v>1</v>
      </c>
      <c r="S2543">
        <v>0</v>
      </c>
      <c r="T2543">
        <v>3</v>
      </c>
      <c r="U2543">
        <v>5</v>
      </c>
    </row>
    <row r="2544" spans="1:21" ht="16.5" x14ac:dyDescent="0.3">
      <c r="A2544" t="s">
        <v>2632</v>
      </c>
      <c r="B2544" s="1">
        <v>45667</v>
      </c>
      <c r="C2544">
        <v>2025</v>
      </c>
      <c r="D2544" t="s">
        <v>22</v>
      </c>
      <c r="E2544" t="s">
        <v>23</v>
      </c>
      <c r="F2544" t="s">
        <v>45</v>
      </c>
      <c r="G2544" t="s">
        <v>25</v>
      </c>
      <c r="H2544" t="s">
        <v>32</v>
      </c>
      <c r="I2544" t="s">
        <v>67</v>
      </c>
      <c r="J2544" t="s">
        <v>78</v>
      </c>
      <c r="K2544">
        <v>2</v>
      </c>
      <c r="L2544" s="2">
        <v>85.42</v>
      </c>
      <c r="M2544" s="3">
        <v>0.1</v>
      </c>
      <c r="N2544" t="s">
        <v>29</v>
      </c>
      <c r="O2544" s="2">
        <v>153.76</v>
      </c>
      <c r="P2544" s="2">
        <v>110.79</v>
      </c>
      <c r="Q2544" s="2">
        <v>42.97</v>
      </c>
      <c r="R2544">
        <v>1</v>
      </c>
      <c r="S2544">
        <v>0</v>
      </c>
      <c r="T2544">
        <v>4</v>
      </c>
      <c r="U2544">
        <v>4</v>
      </c>
    </row>
    <row r="2545" spans="1:21" ht="16.5" x14ac:dyDescent="0.3">
      <c r="A2545" t="s">
        <v>2633</v>
      </c>
      <c r="B2545" s="1">
        <v>45667</v>
      </c>
      <c r="C2545">
        <v>2025</v>
      </c>
      <c r="D2545" t="s">
        <v>22</v>
      </c>
      <c r="E2545" t="s">
        <v>23</v>
      </c>
      <c r="F2545" t="s">
        <v>24</v>
      </c>
      <c r="G2545" t="s">
        <v>46</v>
      </c>
      <c r="H2545" t="s">
        <v>32</v>
      </c>
      <c r="I2545" t="s">
        <v>27</v>
      </c>
      <c r="J2545" t="s">
        <v>28</v>
      </c>
      <c r="K2545">
        <v>1</v>
      </c>
      <c r="L2545" s="2">
        <v>138.5</v>
      </c>
      <c r="M2545" s="3">
        <v>0.05</v>
      </c>
      <c r="N2545" t="s">
        <v>29</v>
      </c>
      <c r="O2545" s="2">
        <v>131.57</v>
      </c>
      <c r="P2545" s="2">
        <v>72.11</v>
      </c>
      <c r="Q2545" s="2">
        <v>59.46</v>
      </c>
      <c r="R2545">
        <v>1</v>
      </c>
      <c r="S2545">
        <v>0</v>
      </c>
      <c r="T2545">
        <v>7</v>
      </c>
      <c r="U2545">
        <v>4</v>
      </c>
    </row>
    <row r="2546" spans="1:21" ht="16.5" x14ac:dyDescent="0.3">
      <c r="A2546" t="s">
        <v>2634</v>
      </c>
      <c r="B2546" s="1">
        <v>45667</v>
      </c>
      <c r="C2546">
        <v>2025</v>
      </c>
      <c r="D2546" t="s">
        <v>22</v>
      </c>
      <c r="E2546" t="s">
        <v>23</v>
      </c>
      <c r="F2546" t="s">
        <v>24</v>
      </c>
      <c r="G2546" t="s">
        <v>25</v>
      </c>
      <c r="H2546" t="s">
        <v>32</v>
      </c>
      <c r="I2546" t="s">
        <v>36</v>
      </c>
      <c r="J2546" t="s">
        <v>56</v>
      </c>
      <c r="K2546">
        <v>1</v>
      </c>
      <c r="L2546" s="2">
        <v>74.3</v>
      </c>
      <c r="M2546" s="3">
        <v>0.1</v>
      </c>
      <c r="N2546" t="s">
        <v>29</v>
      </c>
      <c r="O2546" s="2">
        <v>66.87</v>
      </c>
      <c r="P2546" s="2">
        <v>34.96</v>
      </c>
      <c r="Q2546" s="2">
        <v>31.91</v>
      </c>
      <c r="R2546">
        <v>1</v>
      </c>
      <c r="S2546">
        <v>0</v>
      </c>
      <c r="T2546">
        <v>5</v>
      </c>
      <c r="U2546">
        <v>5</v>
      </c>
    </row>
    <row r="2547" spans="1:21" ht="16.5" x14ac:dyDescent="0.3">
      <c r="A2547" t="s">
        <v>2635</v>
      </c>
      <c r="B2547" s="1">
        <v>45667</v>
      </c>
      <c r="C2547">
        <v>2025</v>
      </c>
      <c r="D2547" t="s">
        <v>22</v>
      </c>
      <c r="E2547" t="s">
        <v>23</v>
      </c>
      <c r="F2547" t="s">
        <v>31</v>
      </c>
      <c r="G2547" t="s">
        <v>51</v>
      </c>
      <c r="H2547" t="s">
        <v>32</v>
      </c>
      <c r="I2547" t="s">
        <v>27</v>
      </c>
      <c r="J2547" t="s">
        <v>60</v>
      </c>
      <c r="K2547">
        <v>1</v>
      </c>
      <c r="L2547" s="2">
        <v>94.85</v>
      </c>
      <c r="M2547" s="3">
        <v>0.1</v>
      </c>
      <c r="N2547" t="s">
        <v>29</v>
      </c>
      <c r="O2547" s="2">
        <v>85.36</v>
      </c>
      <c r="P2547" s="2">
        <v>51.84</v>
      </c>
      <c r="Q2547" s="2">
        <v>33.520000000000003</v>
      </c>
      <c r="R2547">
        <v>1</v>
      </c>
      <c r="S2547">
        <v>0</v>
      </c>
      <c r="T2547">
        <v>3</v>
      </c>
      <c r="U2547">
        <v>4</v>
      </c>
    </row>
    <row r="2548" spans="1:21" ht="16.5" x14ac:dyDescent="0.3">
      <c r="A2548" t="s">
        <v>2636</v>
      </c>
      <c r="B2548" s="1">
        <v>45668</v>
      </c>
      <c r="C2548">
        <v>2025</v>
      </c>
      <c r="D2548" t="s">
        <v>22</v>
      </c>
      <c r="E2548" t="s">
        <v>23</v>
      </c>
      <c r="F2548" t="s">
        <v>31</v>
      </c>
      <c r="G2548" t="s">
        <v>25</v>
      </c>
      <c r="H2548" t="s">
        <v>26</v>
      </c>
      <c r="I2548" t="s">
        <v>70</v>
      </c>
      <c r="J2548" t="s">
        <v>129</v>
      </c>
      <c r="K2548">
        <v>2</v>
      </c>
      <c r="L2548" s="2">
        <v>177.65</v>
      </c>
      <c r="M2548" s="3">
        <v>0.3</v>
      </c>
      <c r="N2548" t="s">
        <v>62</v>
      </c>
      <c r="O2548" s="2">
        <v>248.71</v>
      </c>
      <c r="P2548" s="2">
        <v>277.99</v>
      </c>
      <c r="Q2548" s="2">
        <v>-29.28</v>
      </c>
      <c r="R2548">
        <v>1</v>
      </c>
      <c r="S2548">
        <v>0</v>
      </c>
      <c r="T2548">
        <v>4</v>
      </c>
      <c r="U2548">
        <v>4</v>
      </c>
    </row>
    <row r="2549" spans="1:21" ht="16.5" x14ac:dyDescent="0.3">
      <c r="A2549" t="s">
        <v>2637</v>
      </c>
      <c r="B2549" s="1">
        <v>45668</v>
      </c>
      <c r="C2549">
        <v>2025</v>
      </c>
      <c r="D2549" t="s">
        <v>22</v>
      </c>
      <c r="E2549" t="s">
        <v>23</v>
      </c>
      <c r="F2549" t="s">
        <v>31</v>
      </c>
      <c r="G2549" t="s">
        <v>51</v>
      </c>
      <c r="H2549" t="s">
        <v>26</v>
      </c>
      <c r="I2549" t="s">
        <v>36</v>
      </c>
      <c r="J2549" t="s">
        <v>56</v>
      </c>
      <c r="K2549">
        <v>1</v>
      </c>
      <c r="L2549" s="2">
        <v>74.3</v>
      </c>
      <c r="M2549" s="3">
        <v>0.15</v>
      </c>
      <c r="N2549" t="s">
        <v>34</v>
      </c>
      <c r="O2549" s="2">
        <v>63.15</v>
      </c>
      <c r="P2549" s="2">
        <v>32.89</v>
      </c>
      <c r="Q2549" s="2">
        <v>30.26</v>
      </c>
      <c r="R2549">
        <v>1</v>
      </c>
      <c r="S2549">
        <v>0</v>
      </c>
      <c r="T2549">
        <v>3</v>
      </c>
      <c r="U2549">
        <v>5</v>
      </c>
    </row>
    <row r="2550" spans="1:21" ht="16.5" x14ac:dyDescent="0.3">
      <c r="A2550" t="s">
        <v>2638</v>
      </c>
      <c r="B2550" s="1">
        <v>45668</v>
      </c>
      <c r="C2550">
        <v>2025</v>
      </c>
      <c r="D2550" t="s">
        <v>22</v>
      </c>
      <c r="E2550" t="s">
        <v>23</v>
      </c>
      <c r="F2550" t="s">
        <v>31</v>
      </c>
      <c r="G2550" t="s">
        <v>65</v>
      </c>
      <c r="H2550" t="s">
        <v>26</v>
      </c>
      <c r="I2550" t="s">
        <v>27</v>
      </c>
      <c r="J2550" t="s">
        <v>33</v>
      </c>
      <c r="K2550">
        <v>1</v>
      </c>
      <c r="L2550" s="2">
        <v>78.510000000000005</v>
      </c>
      <c r="M2550" s="3">
        <v>0.05</v>
      </c>
      <c r="N2550" t="s">
        <v>29</v>
      </c>
      <c r="O2550" s="2">
        <v>74.58</v>
      </c>
      <c r="P2550" s="2">
        <v>42.79</v>
      </c>
      <c r="Q2550" s="2">
        <v>31.79</v>
      </c>
      <c r="R2550">
        <v>1</v>
      </c>
      <c r="S2550">
        <v>1</v>
      </c>
      <c r="T2550">
        <v>6</v>
      </c>
      <c r="U2550">
        <v>2</v>
      </c>
    </row>
    <row r="2551" spans="1:21" ht="16.5" x14ac:dyDescent="0.3">
      <c r="A2551" t="s">
        <v>2639</v>
      </c>
      <c r="B2551" s="1">
        <v>45668</v>
      </c>
      <c r="C2551">
        <v>2025</v>
      </c>
      <c r="D2551" t="s">
        <v>22</v>
      </c>
      <c r="E2551" t="s">
        <v>23</v>
      </c>
      <c r="F2551" t="s">
        <v>24</v>
      </c>
      <c r="G2551" t="s">
        <v>51</v>
      </c>
      <c r="H2551" t="s">
        <v>26</v>
      </c>
      <c r="I2551" t="s">
        <v>70</v>
      </c>
      <c r="J2551" t="s">
        <v>129</v>
      </c>
      <c r="K2551">
        <v>1</v>
      </c>
      <c r="L2551" s="2">
        <v>177.65</v>
      </c>
      <c r="M2551" s="3">
        <v>0.15</v>
      </c>
      <c r="N2551" t="s">
        <v>34</v>
      </c>
      <c r="O2551" s="2">
        <v>151</v>
      </c>
      <c r="P2551" s="2">
        <v>137.63</v>
      </c>
      <c r="Q2551" s="2">
        <v>13.37</v>
      </c>
      <c r="R2551">
        <v>1</v>
      </c>
      <c r="S2551">
        <v>0</v>
      </c>
      <c r="T2551">
        <v>2</v>
      </c>
      <c r="U2551">
        <v>5</v>
      </c>
    </row>
    <row r="2552" spans="1:21" ht="16.5" x14ac:dyDescent="0.3">
      <c r="A2552" t="s">
        <v>2640</v>
      </c>
      <c r="B2552" s="1">
        <v>45668</v>
      </c>
      <c r="C2552">
        <v>2025</v>
      </c>
      <c r="D2552" t="s">
        <v>22</v>
      </c>
      <c r="E2552" t="s">
        <v>23</v>
      </c>
      <c r="F2552" t="s">
        <v>24</v>
      </c>
      <c r="G2552" t="s">
        <v>25</v>
      </c>
      <c r="H2552" t="s">
        <v>26</v>
      </c>
      <c r="I2552" t="s">
        <v>84</v>
      </c>
      <c r="J2552" t="s">
        <v>132</v>
      </c>
      <c r="K2552">
        <v>1</v>
      </c>
      <c r="L2552" s="2">
        <v>48.86</v>
      </c>
      <c r="M2552" s="3">
        <v>0.3</v>
      </c>
      <c r="N2552" t="s">
        <v>62</v>
      </c>
      <c r="O2552" s="2">
        <v>34.200000000000003</v>
      </c>
      <c r="P2552" s="2">
        <v>34.33</v>
      </c>
      <c r="Q2552" s="2">
        <v>-0.13</v>
      </c>
      <c r="R2552">
        <v>1</v>
      </c>
      <c r="S2552">
        <v>0</v>
      </c>
      <c r="T2552">
        <v>6</v>
      </c>
      <c r="U2552">
        <v>4</v>
      </c>
    </row>
    <row r="2553" spans="1:21" ht="16.5" x14ac:dyDescent="0.3">
      <c r="A2553" t="s">
        <v>2641</v>
      </c>
      <c r="B2553" s="1">
        <v>45668</v>
      </c>
      <c r="C2553">
        <v>2025</v>
      </c>
      <c r="D2553" t="s">
        <v>22</v>
      </c>
      <c r="E2553" t="s">
        <v>23</v>
      </c>
      <c r="F2553" t="s">
        <v>24</v>
      </c>
      <c r="G2553" t="s">
        <v>51</v>
      </c>
      <c r="H2553" t="s">
        <v>32</v>
      </c>
      <c r="I2553" t="s">
        <v>36</v>
      </c>
      <c r="J2553" t="s">
        <v>126</v>
      </c>
      <c r="K2553">
        <v>1</v>
      </c>
      <c r="L2553" s="2">
        <v>54.56</v>
      </c>
      <c r="M2553" s="3">
        <v>0.15</v>
      </c>
      <c r="N2553" t="s">
        <v>34</v>
      </c>
      <c r="O2553" s="2">
        <v>46.38</v>
      </c>
      <c r="P2553" s="2">
        <v>27.81</v>
      </c>
      <c r="Q2553" s="2">
        <v>18.57</v>
      </c>
      <c r="R2553">
        <v>1</v>
      </c>
      <c r="S2553">
        <v>0</v>
      </c>
      <c r="T2553">
        <v>3</v>
      </c>
      <c r="U2553">
        <v>3</v>
      </c>
    </row>
    <row r="2554" spans="1:21" ht="16.5" x14ac:dyDescent="0.3">
      <c r="A2554" t="s">
        <v>2642</v>
      </c>
      <c r="B2554" s="1">
        <v>45668</v>
      </c>
      <c r="C2554">
        <v>2025</v>
      </c>
      <c r="D2554" t="s">
        <v>22</v>
      </c>
      <c r="E2554" t="s">
        <v>23</v>
      </c>
      <c r="F2554" t="s">
        <v>24</v>
      </c>
      <c r="G2554" t="s">
        <v>25</v>
      </c>
      <c r="H2554" t="s">
        <v>26</v>
      </c>
      <c r="I2554" t="s">
        <v>70</v>
      </c>
      <c r="J2554" t="s">
        <v>82</v>
      </c>
      <c r="K2554">
        <v>2</v>
      </c>
      <c r="L2554" s="2">
        <v>508.8</v>
      </c>
      <c r="M2554" s="3">
        <v>0</v>
      </c>
      <c r="N2554" t="s">
        <v>38</v>
      </c>
      <c r="O2554" s="2">
        <v>1017.6</v>
      </c>
      <c r="P2554" s="2">
        <v>846.28</v>
      </c>
      <c r="Q2554" s="2">
        <v>171.32</v>
      </c>
      <c r="R2554">
        <v>1</v>
      </c>
      <c r="S2554">
        <v>0</v>
      </c>
      <c r="T2554">
        <v>4</v>
      </c>
      <c r="U2554">
        <v>5</v>
      </c>
    </row>
    <row r="2555" spans="1:21" ht="16.5" x14ac:dyDescent="0.3">
      <c r="A2555" t="s">
        <v>2643</v>
      </c>
      <c r="B2555" s="1">
        <v>45668</v>
      </c>
      <c r="C2555">
        <v>2025</v>
      </c>
      <c r="D2555" t="s">
        <v>22</v>
      </c>
      <c r="E2555" t="s">
        <v>23</v>
      </c>
      <c r="F2555" t="s">
        <v>31</v>
      </c>
      <c r="G2555" t="s">
        <v>51</v>
      </c>
      <c r="H2555" t="s">
        <v>26</v>
      </c>
      <c r="I2555" t="s">
        <v>70</v>
      </c>
      <c r="J2555" t="s">
        <v>71</v>
      </c>
      <c r="K2555">
        <v>2</v>
      </c>
      <c r="L2555" s="2">
        <v>588.41</v>
      </c>
      <c r="M2555" s="3">
        <v>0</v>
      </c>
      <c r="N2555" t="s">
        <v>38</v>
      </c>
      <c r="O2555" s="2">
        <v>1176.82</v>
      </c>
      <c r="P2555" s="2">
        <v>950.45</v>
      </c>
      <c r="Q2555" s="2">
        <v>226.37</v>
      </c>
      <c r="R2555">
        <v>1</v>
      </c>
      <c r="S2555">
        <v>0</v>
      </c>
      <c r="T2555">
        <v>3</v>
      </c>
      <c r="U2555">
        <v>5</v>
      </c>
    </row>
    <row r="2556" spans="1:21" ht="16.5" x14ac:dyDescent="0.3">
      <c r="A2556" t="s">
        <v>2644</v>
      </c>
      <c r="B2556" s="1">
        <v>45669</v>
      </c>
      <c r="C2556">
        <v>2025</v>
      </c>
      <c r="D2556" t="s">
        <v>22</v>
      </c>
      <c r="E2556" t="s">
        <v>23</v>
      </c>
      <c r="F2556" t="s">
        <v>31</v>
      </c>
      <c r="G2556" t="s">
        <v>49</v>
      </c>
      <c r="H2556" t="s">
        <v>26</v>
      </c>
      <c r="I2556" t="s">
        <v>42</v>
      </c>
      <c r="J2556" t="s">
        <v>89</v>
      </c>
      <c r="K2556">
        <v>1</v>
      </c>
      <c r="L2556" s="2">
        <v>68.349999999999994</v>
      </c>
      <c r="M2556" s="3">
        <v>0</v>
      </c>
      <c r="N2556" t="s">
        <v>38</v>
      </c>
      <c r="O2556" s="2">
        <v>68.349999999999994</v>
      </c>
      <c r="P2556" s="2">
        <v>46.11</v>
      </c>
      <c r="Q2556" s="2">
        <v>22.24</v>
      </c>
      <c r="R2556">
        <v>1</v>
      </c>
      <c r="S2556">
        <v>0</v>
      </c>
      <c r="T2556">
        <v>4</v>
      </c>
      <c r="U2556">
        <v>4</v>
      </c>
    </row>
    <row r="2557" spans="1:21" ht="16.5" x14ac:dyDescent="0.3">
      <c r="A2557" t="s">
        <v>2645</v>
      </c>
      <c r="B2557" s="1">
        <v>45669</v>
      </c>
      <c r="C2557">
        <v>2025</v>
      </c>
      <c r="D2557" t="s">
        <v>22</v>
      </c>
      <c r="E2557" t="s">
        <v>23</v>
      </c>
      <c r="F2557" t="s">
        <v>24</v>
      </c>
      <c r="G2557" t="s">
        <v>49</v>
      </c>
      <c r="H2557" t="s">
        <v>26</v>
      </c>
      <c r="I2557" t="s">
        <v>36</v>
      </c>
      <c r="J2557" t="s">
        <v>56</v>
      </c>
      <c r="K2557">
        <v>1</v>
      </c>
      <c r="L2557" s="2">
        <v>74.3</v>
      </c>
      <c r="M2557" s="3">
        <v>0.1</v>
      </c>
      <c r="N2557" t="s">
        <v>29</v>
      </c>
      <c r="O2557" s="2">
        <v>66.87</v>
      </c>
      <c r="P2557" s="2">
        <v>33.9</v>
      </c>
      <c r="Q2557" s="2">
        <v>32.97</v>
      </c>
      <c r="R2557">
        <v>1</v>
      </c>
      <c r="S2557">
        <v>0</v>
      </c>
      <c r="T2557">
        <v>4</v>
      </c>
      <c r="U2557">
        <v>4</v>
      </c>
    </row>
    <row r="2558" spans="1:21" ht="16.5" x14ac:dyDescent="0.3">
      <c r="A2558" t="s">
        <v>2646</v>
      </c>
      <c r="B2558" s="1">
        <v>45669</v>
      </c>
      <c r="C2558">
        <v>2025</v>
      </c>
      <c r="D2558" t="s">
        <v>22</v>
      </c>
      <c r="E2558" t="s">
        <v>23</v>
      </c>
      <c r="F2558" t="s">
        <v>31</v>
      </c>
      <c r="G2558" t="s">
        <v>25</v>
      </c>
      <c r="H2558" t="s">
        <v>26</v>
      </c>
      <c r="I2558" t="s">
        <v>42</v>
      </c>
      <c r="J2558" t="s">
        <v>58</v>
      </c>
      <c r="K2558">
        <v>1</v>
      </c>
      <c r="L2558" s="2">
        <v>233.81</v>
      </c>
      <c r="M2558" s="3">
        <v>0.2</v>
      </c>
      <c r="N2558" t="s">
        <v>34</v>
      </c>
      <c r="O2558" s="2">
        <v>187.05</v>
      </c>
      <c r="P2558" s="2">
        <v>153.97999999999999</v>
      </c>
      <c r="Q2558" s="2">
        <v>33.07</v>
      </c>
      <c r="R2558">
        <v>1</v>
      </c>
      <c r="S2558">
        <v>0</v>
      </c>
      <c r="T2558">
        <v>3</v>
      </c>
      <c r="U2558">
        <v>4</v>
      </c>
    </row>
    <row r="2559" spans="1:21" ht="16.5" x14ac:dyDescent="0.3">
      <c r="A2559" t="s">
        <v>2647</v>
      </c>
      <c r="B2559" s="1">
        <v>45669</v>
      </c>
      <c r="C2559">
        <v>2025</v>
      </c>
      <c r="D2559" t="s">
        <v>22</v>
      </c>
      <c r="E2559" t="s">
        <v>23</v>
      </c>
      <c r="F2559" t="s">
        <v>31</v>
      </c>
      <c r="G2559" t="s">
        <v>25</v>
      </c>
      <c r="H2559" t="s">
        <v>32</v>
      </c>
      <c r="I2559" t="s">
        <v>70</v>
      </c>
      <c r="J2559" t="s">
        <v>162</v>
      </c>
      <c r="K2559">
        <v>3</v>
      </c>
      <c r="L2559" s="2">
        <v>636.09</v>
      </c>
      <c r="M2559" s="3">
        <v>0</v>
      </c>
      <c r="N2559" t="s">
        <v>38</v>
      </c>
      <c r="O2559" s="2">
        <v>1908.27</v>
      </c>
      <c r="P2559" s="2">
        <v>1542.46</v>
      </c>
      <c r="Q2559" s="2">
        <v>365.81</v>
      </c>
      <c r="R2559">
        <v>1</v>
      </c>
      <c r="S2559">
        <v>0</v>
      </c>
      <c r="T2559">
        <v>6</v>
      </c>
      <c r="U2559">
        <v>4</v>
      </c>
    </row>
    <row r="2560" spans="1:21" ht="16.5" x14ac:dyDescent="0.3">
      <c r="A2560" t="s">
        <v>2648</v>
      </c>
      <c r="B2560" s="1">
        <v>45669</v>
      </c>
      <c r="C2560">
        <v>2025</v>
      </c>
      <c r="D2560" t="s">
        <v>22</v>
      </c>
      <c r="E2560" t="s">
        <v>23</v>
      </c>
      <c r="F2560" t="s">
        <v>24</v>
      </c>
      <c r="G2560" t="s">
        <v>25</v>
      </c>
      <c r="H2560" t="s">
        <v>32</v>
      </c>
      <c r="I2560" t="s">
        <v>67</v>
      </c>
      <c r="J2560" t="s">
        <v>93</v>
      </c>
      <c r="K2560">
        <v>1</v>
      </c>
      <c r="L2560" s="2">
        <v>198.42</v>
      </c>
      <c r="M2560" s="3">
        <v>0</v>
      </c>
      <c r="N2560" t="s">
        <v>38</v>
      </c>
      <c r="O2560" s="2">
        <v>198.42</v>
      </c>
      <c r="P2560" s="2">
        <v>125.66</v>
      </c>
      <c r="Q2560" s="2">
        <v>72.760000000000005</v>
      </c>
      <c r="R2560">
        <v>1</v>
      </c>
      <c r="S2560">
        <v>0</v>
      </c>
      <c r="T2560">
        <v>5</v>
      </c>
      <c r="U2560">
        <v>5</v>
      </c>
    </row>
    <row r="2561" spans="1:21" ht="16.5" x14ac:dyDescent="0.3">
      <c r="A2561" t="s">
        <v>2649</v>
      </c>
      <c r="B2561" s="1">
        <v>45669</v>
      </c>
      <c r="C2561">
        <v>2025</v>
      </c>
      <c r="D2561" t="s">
        <v>22</v>
      </c>
      <c r="E2561" t="s">
        <v>23</v>
      </c>
      <c r="F2561" t="s">
        <v>24</v>
      </c>
      <c r="G2561" t="s">
        <v>51</v>
      </c>
      <c r="H2561" t="s">
        <v>32</v>
      </c>
      <c r="I2561" t="s">
        <v>27</v>
      </c>
      <c r="J2561" t="s">
        <v>28</v>
      </c>
      <c r="K2561">
        <v>1</v>
      </c>
      <c r="L2561" s="2">
        <v>138.5</v>
      </c>
      <c r="M2561" s="3">
        <v>0.1</v>
      </c>
      <c r="N2561" t="s">
        <v>29</v>
      </c>
      <c r="O2561" s="2">
        <v>124.65</v>
      </c>
      <c r="P2561" s="2">
        <v>74.95</v>
      </c>
      <c r="Q2561" s="2">
        <v>49.7</v>
      </c>
      <c r="R2561">
        <v>1</v>
      </c>
      <c r="S2561">
        <v>0</v>
      </c>
      <c r="T2561">
        <v>3</v>
      </c>
      <c r="U2561">
        <v>4</v>
      </c>
    </row>
    <row r="2562" spans="1:21" ht="16.5" x14ac:dyDescent="0.3">
      <c r="A2562" t="s">
        <v>2650</v>
      </c>
      <c r="B2562" s="1">
        <v>45669</v>
      </c>
      <c r="C2562">
        <v>2025</v>
      </c>
      <c r="D2562" t="s">
        <v>22</v>
      </c>
      <c r="E2562" t="s">
        <v>23</v>
      </c>
      <c r="F2562" t="s">
        <v>24</v>
      </c>
      <c r="G2562" t="s">
        <v>49</v>
      </c>
      <c r="H2562" t="s">
        <v>32</v>
      </c>
      <c r="I2562" t="s">
        <v>70</v>
      </c>
      <c r="J2562" t="s">
        <v>82</v>
      </c>
      <c r="K2562">
        <v>1</v>
      </c>
      <c r="L2562" s="2">
        <v>508.8</v>
      </c>
      <c r="M2562" s="3">
        <v>0</v>
      </c>
      <c r="N2562" t="s">
        <v>38</v>
      </c>
      <c r="O2562" s="2">
        <v>508.8</v>
      </c>
      <c r="P2562" s="2">
        <v>405.57</v>
      </c>
      <c r="Q2562" s="2">
        <v>103.23</v>
      </c>
      <c r="R2562">
        <v>1</v>
      </c>
      <c r="S2562">
        <v>0</v>
      </c>
      <c r="T2562">
        <v>5</v>
      </c>
      <c r="U2562">
        <v>4</v>
      </c>
    </row>
    <row r="2563" spans="1:21" ht="16.5" x14ac:dyDescent="0.3">
      <c r="A2563" t="s">
        <v>2651</v>
      </c>
      <c r="B2563" s="1">
        <v>45669</v>
      </c>
      <c r="C2563">
        <v>2025</v>
      </c>
      <c r="D2563" t="s">
        <v>22</v>
      </c>
      <c r="E2563" t="s">
        <v>23</v>
      </c>
      <c r="F2563" t="s">
        <v>31</v>
      </c>
      <c r="G2563" t="s">
        <v>51</v>
      </c>
      <c r="H2563" t="s">
        <v>32</v>
      </c>
      <c r="I2563" t="s">
        <v>36</v>
      </c>
      <c r="J2563" t="s">
        <v>56</v>
      </c>
      <c r="K2563">
        <v>2</v>
      </c>
      <c r="L2563" s="2">
        <v>74.3</v>
      </c>
      <c r="M2563" s="3">
        <v>0.2</v>
      </c>
      <c r="N2563" t="s">
        <v>34</v>
      </c>
      <c r="O2563" s="2">
        <v>118.88</v>
      </c>
      <c r="P2563" s="2">
        <v>71.739999999999995</v>
      </c>
      <c r="Q2563" s="2">
        <v>47.14</v>
      </c>
      <c r="R2563">
        <v>1</v>
      </c>
      <c r="S2563">
        <v>0</v>
      </c>
      <c r="T2563">
        <v>3</v>
      </c>
      <c r="U2563">
        <v>5</v>
      </c>
    </row>
    <row r="2564" spans="1:21" ht="16.5" x14ac:dyDescent="0.3">
      <c r="A2564" t="s">
        <v>2652</v>
      </c>
      <c r="B2564" s="1">
        <v>45669</v>
      </c>
      <c r="C2564">
        <v>2025</v>
      </c>
      <c r="D2564" t="s">
        <v>22</v>
      </c>
      <c r="E2564" t="s">
        <v>23</v>
      </c>
      <c r="F2564" t="s">
        <v>31</v>
      </c>
      <c r="G2564" t="s">
        <v>51</v>
      </c>
      <c r="H2564" t="s">
        <v>32</v>
      </c>
      <c r="I2564" t="s">
        <v>70</v>
      </c>
      <c r="J2564" t="s">
        <v>82</v>
      </c>
      <c r="K2564">
        <v>1</v>
      </c>
      <c r="L2564" s="2">
        <v>508.8</v>
      </c>
      <c r="M2564" s="3">
        <v>0</v>
      </c>
      <c r="N2564" t="s">
        <v>38</v>
      </c>
      <c r="O2564" s="2">
        <v>508.8</v>
      </c>
      <c r="P2564" s="2">
        <v>399.02</v>
      </c>
      <c r="Q2564" s="2">
        <v>109.78</v>
      </c>
      <c r="R2564">
        <v>1</v>
      </c>
      <c r="S2564">
        <v>0</v>
      </c>
      <c r="T2564">
        <v>2</v>
      </c>
      <c r="U2564">
        <v>5</v>
      </c>
    </row>
    <row r="2565" spans="1:21" ht="16.5" x14ac:dyDescent="0.3">
      <c r="A2565" t="s">
        <v>2653</v>
      </c>
      <c r="B2565" s="1">
        <v>45669</v>
      </c>
      <c r="C2565">
        <v>2025</v>
      </c>
      <c r="D2565" t="s">
        <v>22</v>
      </c>
      <c r="E2565" t="s">
        <v>23</v>
      </c>
      <c r="F2565" t="s">
        <v>31</v>
      </c>
      <c r="G2565" t="s">
        <v>51</v>
      </c>
      <c r="H2565" t="s">
        <v>32</v>
      </c>
      <c r="I2565" t="s">
        <v>27</v>
      </c>
      <c r="J2565" t="s">
        <v>33</v>
      </c>
      <c r="K2565">
        <v>1</v>
      </c>
      <c r="L2565" s="2">
        <v>78.510000000000005</v>
      </c>
      <c r="M2565" s="3">
        <v>0.1</v>
      </c>
      <c r="N2565" t="s">
        <v>29</v>
      </c>
      <c r="O2565" s="2">
        <v>70.66</v>
      </c>
      <c r="P2565" s="2">
        <v>41.66</v>
      </c>
      <c r="Q2565" s="2">
        <v>29</v>
      </c>
      <c r="R2565">
        <v>1</v>
      </c>
      <c r="S2565">
        <v>0</v>
      </c>
      <c r="T2565">
        <v>2</v>
      </c>
      <c r="U2565">
        <v>5</v>
      </c>
    </row>
    <row r="2566" spans="1:21" ht="16.5" x14ac:dyDescent="0.3">
      <c r="A2566" t="s">
        <v>2654</v>
      </c>
      <c r="B2566" s="1">
        <v>45669</v>
      </c>
      <c r="C2566">
        <v>2025</v>
      </c>
      <c r="D2566" t="s">
        <v>22</v>
      </c>
      <c r="E2566" t="s">
        <v>23</v>
      </c>
      <c r="F2566" t="s">
        <v>24</v>
      </c>
      <c r="G2566" t="s">
        <v>49</v>
      </c>
      <c r="H2566" t="s">
        <v>32</v>
      </c>
      <c r="I2566" t="s">
        <v>42</v>
      </c>
      <c r="J2566" t="s">
        <v>76</v>
      </c>
      <c r="K2566">
        <v>1</v>
      </c>
      <c r="L2566" s="2">
        <v>90.75</v>
      </c>
      <c r="M2566" s="3">
        <v>0.15</v>
      </c>
      <c r="N2566" t="s">
        <v>34</v>
      </c>
      <c r="O2566" s="2">
        <v>77.14</v>
      </c>
      <c r="P2566" s="2">
        <v>59.1</v>
      </c>
      <c r="Q2566" s="2">
        <v>18.04</v>
      </c>
      <c r="R2566">
        <v>1</v>
      </c>
      <c r="S2566">
        <v>0</v>
      </c>
      <c r="T2566">
        <v>7</v>
      </c>
      <c r="U2566">
        <v>4</v>
      </c>
    </row>
    <row r="2567" spans="1:21" ht="16.5" x14ac:dyDescent="0.3">
      <c r="A2567" t="s">
        <v>2655</v>
      </c>
      <c r="B2567" s="1">
        <v>45669</v>
      </c>
      <c r="C2567">
        <v>2025</v>
      </c>
      <c r="D2567" t="s">
        <v>22</v>
      </c>
      <c r="E2567" t="s">
        <v>23</v>
      </c>
      <c r="F2567" t="s">
        <v>24</v>
      </c>
      <c r="G2567" t="s">
        <v>46</v>
      </c>
      <c r="H2567" t="s">
        <v>32</v>
      </c>
      <c r="I2567" t="s">
        <v>27</v>
      </c>
      <c r="J2567" t="s">
        <v>110</v>
      </c>
      <c r="K2567">
        <v>2</v>
      </c>
      <c r="L2567" s="2">
        <v>19.41</v>
      </c>
      <c r="M2567" s="3">
        <v>0.2</v>
      </c>
      <c r="N2567" t="s">
        <v>34</v>
      </c>
      <c r="O2567" s="2">
        <v>31.06</v>
      </c>
      <c r="P2567" s="2">
        <v>20.51</v>
      </c>
      <c r="Q2567" s="2">
        <v>10.55</v>
      </c>
      <c r="R2567">
        <v>1</v>
      </c>
      <c r="S2567">
        <v>0</v>
      </c>
      <c r="T2567">
        <v>5</v>
      </c>
      <c r="U2567">
        <v>5</v>
      </c>
    </row>
    <row r="2568" spans="1:21" ht="16.5" x14ac:dyDescent="0.3">
      <c r="A2568" t="s">
        <v>2656</v>
      </c>
      <c r="B2568" s="1">
        <v>45669</v>
      </c>
      <c r="C2568">
        <v>2025</v>
      </c>
      <c r="D2568" t="s">
        <v>22</v>
      </c>
      <c r="E2568" t="s">
        <v>23</v>
      </c>
      <c r="F2568" t="s">
        <v>45</v>
      </c>
      <c r="G2568" t="s">
        <v>49</v>
      </c>
      <c r="H2568" t="s">
        <v>32</v>
      </c>
      <c r="I2568" t="s">
        <v>70</v>
      </c>
      <c r="J2568" t="s">
        <v>252</v>
      </c>
      <c r="K2568">
        <v>1</v>
      </c>
      <c r="L2568" s="2">
        <v>216.08</v>
      </c>
      <c r="M2568" s="3">
        <v>0.1</v>
      </c>
      <c r="N2568" t="s">
        <v>29</v>
      </c>
      <c r="O2568" s="2">
        <v>194.47</v>
      </c>
      <c r="P2568" s="2">
        <v>174.88</v>
      </c>
      <c r="Q2568" s="2">
        <v>19.59</v>
      </c>
      <c r="R2568">
        <v>1</v>
      </c>
      <c r="S2568">
        <v>0</v>
      </c>
      <c r="T2568">
        <v>3</v>
      </c>
      <c r="U2568">
        <v>5</v>
      </c>
    </row>
    <row r="2569" spans="1:21" ht="16.5" x14ac:dyDescent="0.3">
      <c r="A2569" t="s">
        <v>2657</v>
      </c>
      <c r="B2569" s="1">
        <v>45669</v>
      </c>
      <c r="C2569">
        <v>2025</v>
      </c>
      <c r="D2569" t="s">
        <v>22</v>
      </c>
      <c r="E2569" t="s">
        <v>23</v>
      </c>
      <c r="F2569" t="s">
        <v>31</v>
      </c>
      <c r="G2569" t="s">
        <v>51</v>
      </c>
      <c r="H2569" t="s">
        <v>26</v>
      </c>
      <c r="I2569" t="s">
        <v>42</v>
      </c>
      <c r="J2569" t="s">
        <v>54</v>
      </c>
      <c r="K2569">
        <v>1</v>
      </c>
      <c r="L2569" s="2">
        <v>148.05000000000001</v>
      </c>
      <c r="M2569" s="3">
        <v>0</v>
      </c>
      <c r="N2569" t="s">
        <v>38</v>
      </c>
      <c r="O2569" s="2">
        <v>148.05000000000001</v>
      </c>
      <c r="P2569" s="2">
        <v>103.08</v>
      </c>
      <c r="Q2569" s="2">
        <v>44.97</v>
      </c>
      <c r="R2569">
        <v>1</v>
      </c>
      <c r="S2569">
        <v>0</v>
      </c>
      <c r="T2569">
        <v>5</v>
      </c>
      <c r="U2569">
        <v>4</v>
      </c>
    </row>
    <row r="2570" spans="1:21" ht="16.5" x14ac:dyDescent="0.3">
      <c r="A2570" t="s">
        <v>2658</v>
      </c>
      <c r="B2570" s="1">
        <v>45670</v>
      </c>
      <c r="C2570">
        <v>2025</v>
      </c>
      <c r="D2570" t="s">
        <v>22</v>
      </c>
      <c r="E2570" t="s">
        <v>23</v>
      </c>
      <c r="F2570" t="s">
        <v>24</v>
      </c>
      <c r="G2570" t="s">
        <v>46</v>
      </c>
      <c r="H2570" t="s">
        <v>26</v>
      </c>
      <c r="I2570" t="s">
        <v>27</v>
      </c>
      <c r="J2570" t="s">
        <v>28</v>
      </c>
      <c r="K2570">
        <v>1</v>
      </c>
      <c r="L2570" s="2">
        <v>138.5</v>
      </c>
      <c r="M2570" s="3">
        <v>0.15</v>
      </c>
      <c r="N2570" t="s">
        <v>34</v>
      </c>
      <c r="O2570" s="2">
        <v>117.72</v>
      </c>
      <c r="P2570" s="2">
        <v>76.180000000000007</v>
      </c>
      <c r="Q2570" s="2">
        <v>41.54</v>
      </c>
      <c r="R2570">
        <v>1</v>
      </c>
      <c r="S2570">
        <v>0</v>
      </c>
      <c r="T2570">
        <v>10</v>
      </c>
      <c r="U2570">
        <v>4</v>
      </c>
    </row>
    <row r="2571" spans="1:21" ht="16.5" x14ac:dyDescent="0.3">
      <c r="A2571" t="s">
        <v>2659</v>
      </c>
      <c r="B2571" s="1">
        <v>45670</v>
      </c>
      <c r="C2571">
        <v>2025</v>
      </c>
      <c r="D2571" t="s">
        <v>22</v>
      </c>
      <c r="E2571" t="s">
        <v>23</v>
      </c>
      <c r="F2571" t="s">
        <v>24</v>
      </c>
      <c r="G2571" t="s">
        <v>65</v>
      </c>
      <c r="H2571" t="s">
        <v>32</v>
      </c>
      <c r="I2571" t="s">
        <v>84</v>
      </c>
      <c r="J2571" t="s">
        <v>223</v>
      </c>
      <c r="K2571">
        <v>1</v>
      </c>
      <c r="L2571" s="2">
        <v>16.97</v>
      </c>
      <c r="M2571" s="3">
        <v>0</v>
      </c>
      <c r="N2571" t="s">
        <v>38</v>
      </c>
      <c r="O2571" s="2">
        <v>16.97</v>
      </c>
      <c r="P2571" s="2">
        <v>12.59</v>
      </c>
      <c r="Q2571" s="2">
        <v>4.38</v>
      </c>
      <c r="R2571">
        <v>1</v>
      </c>
      <c r="S2571">
        <v>0</v>
      </c>
      <c r="T2571">
        <v>6</v>
      </c>
      <c r="U2571">
        <v>4</v>
      </c>
    </row>
    <row r="2572" spans="1:21" ht="16.5" x14ac:dyDescent="0.3">
      <c r="A2572" t="s">
        <v>2660</v>
      </c>
      <c r="B2572" s="1">
        <v>45670</v>
      </c>
      <c r="C2572">
        <v>2025</v>
      </c>
      <c r="D2572" t="s">
        <v>22</v>
      </c>
      <c r="E2572" t="s">
        <v>23</v>
      </c>
      <c r="F2572" t="s">
        <v>31</v>
      </c>
      <c r="G2572" t="s">
        <v>49</v>
      </c>
      <c r="H2572" t="s">
        <v>26</v>
      </c>
      <c r="I2572" t="s">
        <v>70</v>
      </c>
      <c r="J2572" t="s">
        <v>87</v>
      </c>
      <c r="K2572">
        <v>1</v>
      </c>
      <c r="L2572" s="2">
        <v>490.3</v>
      </c>
      <c r="M2572" s="3">
        <v>0</v>
      </c>
      <c r="N2572" t="s">
        <v>38</v>
      </c>
      <c r="O2572" s="2">
        <v>490.3</v>
      </c>
      <c r="P2572" s="2">
        <v>392.53</v>
      </c>
      <c r="Q2572" s="2">
        <v>97.77</v>
      </c>
      <c r="R2572">
        <v>1</v>
      </c>
      <c r="S2572">
        <v>0</v>
      </c>
      <c r="T2572">
        <v>5</v>
      </c>
      <c r="U2572">
        <v>4</v>
      </c>
    </row>
    <row r="2573" spans="1:21" ht="16.5" x14ac:dyDescent="0.3">
      <c r="A2573" t="s">
        <v>2661</v>
      </c>
      <c r="B2573" s="1">
        <v>45670</v>
      </c>
      <c r="C2573">
        <v>2025</v>
      </c>
      <c r="D2573" t="s">
        <v>22</v>
      </c>
      <c r="E2573" t="s">
        <v>23</v>
      </c>
      <c r="F2573" t="s">
        <v>31</v>
      </c>
      <c r="G2573" t="s">
        <v>65</v>
      </c>
      <c r="H2573" t="s">
        <v>32</v>
      </c>
      <c r="I2573" t="s">
        <v>27</v>
      </c>
      <c r="J2573" t="s">
        <v>110</v>
      </c>
      <c r="K2573">
        <v>1</v>
      </c>
      <c r="L2573" s="2">
        <v>19.41</v>
      </c>
      <c r="M2573" s="3">
        <v>0.15</v>
      </c>
      <c r="N2573" t="s">
        <v>34</v>
      </c>
      <c r="O2573" s="2">
        <v>16.5</v>
      </c>
      <c r="P2573" s="2">
        <v>10.38</v>
      </c>
      <c r="Q2573" s="2">
        <v>6.12</v>
      </c>
      <c r="R2573">
        <v>1</v>
      </c>
      <c r="S2573">
        <v>0</v>
      </c>
      <c r="T2573">
        <v>6</v>
      </c>
      <c r="U2573">
        <v>4</v>
      </c>
    </row>
    <row r="2574" spans="1:21" ht="16.5" x14ac:dyDescent="0.3">
      <c r="A2574" t="s">
        <v>2662</v>
      </c>
      <c r="B2574" s="1">
        <v>45670</v>
      </c>
      <c r="C2574">
        <v>2025</v>
      </c>
      <c r="D2574" t="s">
        <v>22</v>
      </c>
      <c r="E2574" t="s">
        <v>23</v>
      </c>
      <c r="F2574" t="s">
        <v>31</v>
      </c>
      <c r="G2574" t="s">
        <v>25</v>
      </c>
      <c r="H2574" t="s">
        <v>32</v>
      </c>
      <c r="I2574" t="s">
        <v>27</v>
      </c>
      <c r="J2574" t="s">
        <v>60</v>
      </c>
      <c r="K2574">
        <v>1</v>
      </c>
      <c r="L2574" s="2">
        <v>94.85</v>
      </c>
      <c r="M2574" s="3">
        <v>0</v>
      </c>
      <c r="N2574" t="s">
        <v>38</v>
      </c>
      <c r="O2574" s="2">
        <v>94.85</v>
      </c>
      <c r="P2574" s="2">
        <v>48.65</v>
      </c>
      <c r="Q2574" s="2">
        <v>46.2</v>
      </c>
      <c r="R2574">
        <v>1</v>
      </c>
      <c r="S2574">
        <v>0</v>
      </c>
      <c r="T2574">
        <v>4</v>
      </c>
      <c r="U2574">
        <v>5</v>
      </c>
    </row>
    <row r="2575" spans="1:21" ht="16.5" x14ac:dyDescent="0.3">
      <c r="A2575" t="s">
        <v>2663</v>
      </c>
      <c r="B2575" s="1">
        <v>45670</v>
      </c>
      <c r="C2575">
        <v>2025</v>
      </c>
      <c r="D2575" t="s">
        <v>22</v>
      </c>
      <c r="E2575" t="s">
        <v>23</v>
      </c>
      <c r="F2575" t="s">
        <v>24</v>
      </c>
      <c r="G2575" t="s">
        <v>49</v>
      </c>
      <c r="H2575" t="s">
        <v>26</v>
      </c>
      <c r="I2575" t="s">
        <v>84</v>
      </c>
      <c r="J2575" t="s">
        <v>106</v>
      </c>
      <c r="K2575">
        <v>1</v>
      </c>
      <c r="L2575" s="2">
        <v>45.28</v>
      </c>
      <c r="M2575" s="3">
        <v>0.15</v>
      </c>
      <c r="N2575" t="s">
        <v>34</v>
      </c>
      <c r="O2575" s="2">
        <v>38.49</v>
      </c>
      <c r="P2575" s="2">
        <v>31.99</v>
      </c>
      <c r="Q2575" s="2">
        <v>6.5</v>
      </c>
      <c r="R2575">
        <v>1</v>
      </c>
      <c r="S2575">
        <v>0</v>
      </c>
      <c r="T2575">
        <v>4</v>
      </c>
      <c r="U2575">
        <v>4</v>
      </c>
    </row>
    <row r="2576" spans="1:21" ht="16.5" x14ac:dyDescent="0.3">
      <c r="A2576" t="s">
        <v>2664</v>
      </c>
      <c r="B2576" s="1">
        <v>45670</v>
      </c>
      <c r="C2576">
        <v>2025</v>
      </c>
      <c r="D2576" t="s">
        <v>22</v>
      </c>
      <c r="E2576" t="s">
        <v>23</v>
      </c>
      <c r="F2576" t="s">
        <v>24</v>
      </c>
      <c r="G2576" t="s">
        <v>49</v>
      </c>
      <c r="H2576" t="s">
        <v>26</v>
      </c>
      <c r="I2576" t="s">
        <v>36</v>
      </c>
      <c r="J2576" t="s">
        <v>126</v>
      </c>
      <c r="K2576">
        <v>2</v>
      </c>
      <c r="L2576" s="2">
        <v>54.56</v>
      </c>
      <c r="M2576" s="3">
        <v>0.1</v>
      </c>
      <c r="N2576" t="s">
        <v>29</v>
      </c>
      <c r="O2576" s="2">
        <v>98.21</v>
      </c>
      <c r="P2576" s="2">
        <v>51.75</v>
      </c>
      <c r="Q2576" s="2">
        <v>46.46</v>
      </c>
      <c r="R2576">
        <v>1</v>
      </c>
      <c r="S2576">
        <v>0</v>
      </c>
      <c r="T2576">
        <v>5</v>
      </c>
      <c r="U2576">
        <v>5</v>
      </c>
    </row>
    <row r="2577" spans="1:21" ht="16.5" x14ac:dyDescent="0.3">
      <c r="A2577" t="s">
        <v>2665</v>
      </c>
      <c r="B2577" s="1">
        <v>45671</v>
      </c>
      <c r="C2577">
        <v>2025</v>
      </c>
      <c r="D2577" t="s">
        <v>22</v>
      </c>
      <c r="E2577" t="s">
        <v>23</v>
      </c>
      <c r="F2577" t="s">
        <v>31</v>
      </c>
      <c r="G2577" t="s">
        <v>51</v>
      </c>
      <c r="H2577" t="s">
        <v>26</v>
      </c>
      <c r="I2577" t="s">
        <v>42</v>
      </c>
      <c r="J2577" t="s">
        <v>43</v>
      </c>
      <c r="K2577">
        <v>1</v>
      </c>
      <c r="L2577" s="2">
        <v>154.66</v>
      </c>
      <c r="M2577" s="3">
        <v>0.05</v>
      </c>
      <c r="N2577" t="s">
        <v>29</v>
      </c>
      <c r="O2577" s="2">
        <v>146.93</v>
      </c>
      <c r="P2577" s="2">
        <v>103.01</v>
      </c>
      <c r="Q2577" s="2">
        <v>43.92</v>
      </c>
      <c r="R2577">
        <v>1</v>
      </c>
      <c r="S2577">
        <v>0</v>
      </c>
      <c r="T2577">
        <v>2</v>
      </c>
      <c r="U2577">
        <v>4</v>
      </c>
    </row>
    <row r="2578" spans="1:21" ht="16.5" x14ac:dyDescent="0.3">
      <c r="A2578" t="s">
        <v>2666</v>
      </c>
      <c r="B2578" s="1">
        <v>45671</v>
      </c>
      <c r="C2578">
        <v>2025</v>
      </c>
      <c r="D2578" t="s">
        <v>22</v>
      </c>
      <c r="E2578" t="s">
        <v>23</v>
      </c>
      <c r="F2578" t="s">
        <v>31</v>
      </c>
      <c r="G2578" t="s">
        <v>49</v>
      </c>
      <c r="H2578" t="s">
        <v>26</v>
      </c>
      <c r="I2578" t="s">
        <v>27</v>
      </c>
      <c r="J2578" t="s">
        <v>110</v>
      </c>
      <c r="K2578">
        <v>1</v>
      </c>
      <c r="L2578" s="2">
        <v>19.41</v>
      </c>
      <c r="M2578" s="3">
        <v>0.1</v>
      </c>
      <c r="N2578" t="s">
        <v>29</v>
      </c>
      <c r="O2578" s="2">
        <v>17.47</v>
      </c>
      <c r="P2578" s="2">
        <v>10.98</v>
      </c>
      <c r="Q2578" s="2">
        <v>6.49</v>
      </c>
      <c r="R2578">
        <v>1</v>
      </c>
      <c r="S2578">
        <v>0</v>
      </c>
      <c r="T2578">
        <v>4</v>
      </c>
      <c r="U2578">
        <v>4</v>
      </c>
    </row>
    <row r="2579" spans="1:21" ht="16.5" x14ac:dyDescent="0.3">
      <c r="A2579" t="s">
        <v>2667</v>
      </c>
      <c r="B2579" s="1">
        <v>45671</v>
      </c>
      <c r="C2579">
        <v>2025</v>
      </c>
      <c r="D2579" t="s">
        <v>22</v>
      </c>
      <c r="E2579" t="s">
        <v>23</v>
      </c>
      <c r="F2579" t="s">
        <v>45</v>
      </c>
      <c r="G2579" t="s">
        <v>65</v>
      </c>
      <c r="H2579" t="s">
        <v>32</v>
      </c>
      <c r="I2579" t="s">
        <v>70</v>
      </c>
      <c r="J2579" t="s">
        <v>82</v>
      </c>
      <c r="K2579">
        <v>1</v>
      </c>
      <c r="L2579" s="2">
        <v>508.8</v>
      </c>
      <c r="M2579" s="3">
        <v>0</v>
      </c>
      <c r="N2579" t="s">
        <v>38</v>
      </c>
      <c r="O2579" s="2">
        <v>508.8</v>
      </c>
      <c r="P2579" s="2">
        <v>407.19</v>
      </c>
      <c r="Q2579" s="2">
        <v>101.61</v>
      </c>
      <c r="R2579">
        <v>1</v>
      </c>
      <c r="S2579">
        <v>0</v>
      </c>
      <c r="T2579">
        <v>6</v>
      </c>
      <c r="U2579">
        <v>4</v>
      </c>
    </row>
    <row r="2580" spans="1:21" ht="16.5" x14ac:dyDescent="0.3">
      <c r="A2580" t="s">
        <v>2668</v>
      </c>
      <c r="B2580" s="1">
        <v>45671</v>
      </c>
      <c r="C2580">
        <v>2025</v>
      </c>
      <c r="D2580" t="s">
        <v>22</v>
      </c>
      <c r="E2580" t="s">
        <v>23</v>
      </c>
      <c r="F2580" t="s">
        <v>24</v>
      </c>
      <c r="G2580" t="s">
        <v>25</v>
      </c>
      <c r="H2580" t="s">
        <v>26</v>
      </c>
      <c r="I2580" t="s">
        <v>27</v>
      </c>
      <c r="J2580" t="s">
        <v>110</v>
      </c>
      <c r="K2580">
        <v>1</v>
      </c>
      <c r="L2580" s="2">
        <v>19.41</v>
      </c>
      <c r="M2580" s="3">
        <v>0.25</v>
      </c>
      <c r="N2580" t="s">
        <v>62</v>
      </c>
      <c r="O2580" s="2">
        <v>14.56</v>
      </c>
      <c r="P2580" s="2">
        <v>10.86</v>
      </c>
      <c r="Q2580" s="2">
        <v>3.7</v>
      </c>
      <c r="R2580">
        <v>1</v>
      </c>
      <c r="S2580">
        <v>0</v>
      </c>
      <c r="T2580">
        <v>5</v>
      </c>
      <c r="U2580">
        <v>5</v>
      </c>
    </row>
    <row r="2581" spans="1:21" ht="16.5" x14ac:dyDescent="0.3">
      <c r="A2581" t="s">
        <v>2669</v>
      </c>
      <c r="B2581" s="1">
        <v>45671</v>
      </c>
      <c r="C2581">
        <v>2025</v>
      </c>
      <c r="D2581" t="s">
        <v>22</v>
      </c>
      <c r="E2581" t="s">
        <v>23</v>
      </c>
      <c r="F2581" t="s">
        <v>24</v>
      </c>
      <c r="G2581" t="s">
        <v>51</v>
      </c>
      <c r="H2581" t="s">
        <v>26</v>
      </c>
      <c r="I2581" t="s">
        <v>70</v>
      </c>
      <c r="J2581" t="s">
        <v>71</v>
      </c>
      <c r="K2581">
        <v>2</v>
      </c>
      <c r="L2581" s="2">
        <v>588.41</v>
      </c>
      <c r="M2581" s="3">
        <v>0.05</v>
      </c>
      <c r="N2581" t="s">
        <v>29</v>
      </c>
      <c r="O2581" s="2">
        <v>1117.98</v>
      </c>
      <c r="P2581" s="2">
        <v>894.87</v>
      </c>
      <c r="Q2581" s="2">
        <v>223.11</v>
      </c>
      <c r="R2581">
        <v>1</v>
      </c>
      <c r="S2581">
        <v>0</v>
      </c>
      <c r="T2581">
        <v>2</v>
      </c>
      <c r="U2581">
        <v>4</v>
      </c>
    </row>
    <row r="2582" spans="1:21" ht="16.5" x14ac:dyDescent="0.3">
      <c r="A2582" t="s">
        <v>2670</v>
      </c>
      <c r="B2582" s="1">
        <v>45671</v>
      </c>
      <c r="C2582">
        <v>2025</v>
      </c>
      <c r="D2582" t="s">
        <v>22</v>
      </c>
      <c r="E2582" t="s">
        <v>23</v>
      </c>
      <c r="F2582" t="s">
        <v>45</v>
      </c>
      <c r="G2582" t="s">
        <v>65</v>
      </c>
      <c r="H2582" t="s">
        <v>26</v>
      </c>
      <c r="I2582" t="s">
        <v>42</v>
      </c>
      <c r="J2582" t="s">
        <v>98</v>
      </c>
      <c r="K2582">
        <v>1</v>
      </c>
      <c r="L2582" s="2">
        <v>117.63</v>
      </c>
      <c r="M2582" s="3">
        <v>0.05</v>
      </c>
      <c r="N2582" t="s">
        <v>29</v>
      </c>
      <c r="O2582" s="2">
        <v>111.75</v>
      </c>
      <c r="P2582" s="2">
        <v>77.16</v>
      </c>
      <c r="Q2582" s="2">
        <v>34.590000000000003</v>
      </c>
      <c r="R2582">
        <v>1</v>
      </c>
      <c r="S2582">
        <v>0</v>
      </c>
      <c r="T2582">
        <v>5</v>
      </c>
      <c r="U2582">
        <v>5</v>
      </c>
    </row>
    <row r="2583" spans="1:21" ht="16.5" x14ac:dyDescent="0.3">
      <c r="A2583" t="s">
        <v>2671</v>
      </c>
      <c r="B2583" s="1">
        <v>45671</v>
      </c>
      <c r="C2583">
        <v>2025</v>
      </c>
      <c r="D2583" t="s">
        <v>22</v>
      </c>
      <c r="E2583" t="s">
        <v>23</v>
      </c>
      <c r="F2583" t="s">
        <v>31</v>
      </c>
      <c r="G2583" t="s">
        <v>51</v>
      </c>
      <c r="H2583" t="s">
        <v>32</v>
      </c>
      <c r="I2583" t="s">
        <v>70</v>
      </c>
      <c r="J2583" t="s">
        <v>71</v>
      </c>
      <c r="K2583">
        <v>1</v>
      </c>
      <c r="L2583" s="2">
        <v>588.41</v>
      </c>
      <c r="M2583" s="3">
        <v>0.2</v>
      </c>
      <c r="N2583" t="s">
        <v>34</v>
      </c>
      <c r="O2583" s="2">
        <v>470.73</v>
      </c>
      <c r="P2583" s="2">
        <v>473.08</v>
      </c>
      <c r="Q2583" s="2">
        <v>-2.35</v>
      </c>
      <c r="R2583">
        <v>1</v>
      </c>
      <c r="S2583">
        <v>0</v>
      </c>
      <c r="T2583">
        <v>2</v>
      </c>
      <c r="U2583">
        <v>3</v>
      </c>
    </row>
    <row r="2584" spans="1:21" ht="16.5" x14ac:dyDescent="0.3">
      <c r="A2584" t="s">
        <v>2672</v>
      </c>
      <c r="B2584" s="1">
        <v>45671</v>
      </c>
      <c r="C2584">
        <v>2025</v>
      </c>
      <c r="D2584" t="s">
        <v>22</v>
      </c>
      <c r="E2584" t="s">
        <v>23</v>
      </c>
      <c r="F2584" t="s">
        <v>31</v>
      </c>
      <c r="G2584" t="s">
        <v>65</v>
      </c>
      <c r="H2584" t="s">
        <v>26</v>
      </c>
      <c r="I2584" t="s">
        <v>70</v>
      </c>
      <c r="J2584" t="s">
        <v>162</v>
      </c>
      <c r="K2584">
        <v>2</v>
      </c>
      <c r="L2584" s="2">
        <v>636.09</v>
      </c>
      <c r="M2584" s="3">
        <v>0</v>
      </c>
      <c r="N2584" t="s">
        <v>38</v>
      </c>
      <c r="O2584" s="2">
        <v>1272.18</v>
      </c>
      <c r="P2584" s="2">
        <v>1008.9</v>
      </c>
      <c r="Q2584" s="2">
        <v>263.27999999999997</v>
      </c>
      <c r="R2584">
        <v>1</v>
      </c>
      <c r="S2584">
        <v>0</v>
      </c>
      <c r="T2584">
        <v>5</v>
      </c>
      <c r="U2584">
        <v>4</v>
      </c>
    </row>
    <row r="2585" spans="1:21" ht="16.5" x14ac:dyDescent="0.3">
      <c r="A2585" t="s">
        <v>2673</v>
      </c>
      <c r="B2585" s="1">
        <v>45671</v>
      </c>
      <c r="C2585">
        <v>2025</v>
      </c>
      <c r="D2585" t="s">
        <v>22</v>
      </c>
      <c r="E2585" t="s">
        <v>23</v>
      </c>
      <c r="F2585" t="s">
        <v>24</v>
      </c>
      <c r="G2585" t="s">
        <v>65</v>
      </c>
      <c r="H2585" t="s">
        <v>32</v>
      </c>
      <c r="I2585" t="s">
        <v>70</v>
      </c>
      <c r="J2585" t="s">
        <v>82</v>
      </c>
      <c r="K2585">
        <v>1</v>
      </c>
      <c r="L2585" s="2">
        <v>508.8</v>
      </c>
      <c r="M2585" s="3">
        <v>0.05</v>
      </c>
      <c r="N2585" t="s">
        <v>29</v>
      </c>
      <c r="O2585" s="2">
        <v>483.36</v>
      </c>
      <c r="P2585" s="2">
        <v>414.31</v>
      </c>
      <c r="Q2585" s="2">
        <v>69.05</v>
      </c>
      <c r="R2585">
        <v>1</v>
      </c>
      <c r="S2585">
        <v>0</v>
      </c>
      <c r="T2585">
        <v>5</v>
      </c>
      <c r="U2585">
        <v>4</v>
      </c>
    </row>
    <row r="2586" spans="1:21" ht="16.5" x14ac:dyDescent="0.3">
      <c r="A2586" t="s">
        <v>2674</v>
      </c>
      <c r="B2586" s="1">
        <v>45671</v>
      </c>
      <c r="C2586">
        <v>2025</v>
      </c>
      <c r="D2586" t="s">
        <v>22</v>
      </c>
      <c r="E2586" t="s">
        <v>23</v>
      </c>
      <c r="F2586" t="s">
        <v>31</v>
      </c>
      <c r="G2586" t="s">
        <v>51</v>
      </c>
      <c r="H2586" t="s">
        <v>32</v>
      </c>
      <c r="I2586" t="s">
        <v>36</v>
      </c>
      <c r="J2586" t="s">
        <v>56</v>
      </c>
      <c r="K2586">
        <v>2</v>
      </c>
      <c r="L2586" s="2">
        <v>74.3</v>
      </c>
      <c r="M2586" s="3">
        <v>0.05</v>
      </c>
      <c r="N2586" t="s">
        <v>29</v>
      </c>
      <c r="O2586" s="2">
        <v>141.16999999999999</v>
      </c>
      <c r="P2586" s="2">
        <v>74.709999999999994</v>
      </c>
      <c r="Q2586" s="2">
        <v>66.459999999999994</v>
      </c>
      <c r="R2586">
        <v>1</v>
      </c>
      <c r="S2586">
        <v>0</v>
      </c>
      <c r="T2586">
        <v>5</v>
      </c>
      <c r="U2586">
        <v>5</v>
      </c>
    </row>
    <row r="2587" spans="1:21" ht="16.5" x14ac:dyDescent="0.3">
      <c r="A2587" t="s">
        <v>2675</v>
      </c>
      <c r="B2587" s="1">
        <v>45672</v>
      </c>
      <c r="C2587">
        <v>2025</v>
      </c>
      <c r="D2587" t="s">
        <v>22</v>
      </c>
      <c r="E2587" t="s">
        <v>23</v>
      </c>
      <c r="F2587" t="s">
        <v>31</v>
      </c>
      <c r="G2587" t="s">
        <v>51</v>
      </c>
      <c r="H2587" t="s">
        <v>26</v>
      </c>
      <c r="I2587" t="s">
        <v>42</v>
      </c>
      <c r="J2587" t="s">
        <v>76</v>
      </c>
      <c r="K2587">
        <v>1</v>
      </c>
      <c r="L2587" s="2">
        <v>90.75</v>
      </c>
      <c r="M2587" s="3">
        <v>0.05</v>
      </c>
      <c r="N2587" t="s">
        <v>29</v>
      </c>
      <c r="O2587" s="2">
        <v>86.21</v>
      </c>
      <c r="P2587" s="2">
        <v>59.01</v>
      </c>
      <c r="Q2587" s="2">
        <v>27.2</v>
      </c>
      <c r="R2587">
        <v>1</v>
      </c>
      <c r="S2587">
        <v>0</v>
      </c>
      <c r="T2587">
        <v>3</v>
      </c>
      <c r="U2587">
        <v>5</v>
      </c>
    </row>
    <row r="2588" spans="1:21" ht="16.5" x14ac:dyDescent="0.3">
      <c r="A2588" t="s">
        <v>2676</v>
      </c>
      <c r="B2588" s="1">
        <v>45672</v>
      </c>
      <c r="C2588">
        <v>2025</v>
      </c>
      <c r="D2588" t="s">
        <v>22</v>
      </c>
      <c r="E2588" t="s">
        <v>23</v>
      </c>
      <c r="F2588" t="s">
        <v>31</v>
      </c>
      <c r="G2588" t="s">
        <v>49</v>
      </c>
      <c r="H2588" t="s">
        <v>26</v>
      </c>
      <c r="I2588" t="s">
        <v>36</v>
      </c>
      <c r="J2588" t="s">
        <v>52</v>
      </c>
      <c r="K2588">
        <v>4</v>
      </c>
      <c r="L2588" s="2">
        <v>92.54</v>
      </c>
      <c r="M2588" s="3">
        <v>0.2</v>
      </c>
      <c r="N2588" t="s">
        <v>34</v>
      </c>
      <c r="O2588" s="2">
        <v>296.13</v>
      </c>
      <c r="P2588" s="2">
        <v>177.07</v>
      </c>
      <c r="Q2588" s="2">
        <v>119.06</v>
      </c>
      <c r="R2588">
        <v>1</v>
      </c>
      <c r="S2588">
        <v>0</v>
      </c>
      <c r="T2588">
        <v>5</v>
      </c>
      <c r="U2588">
        <v>4</v>
      </c>
    </row>
    <row r="2589" spans="1:21" ht="16.5" x14ac:dyDescent="0.3">
      <c r="A2589" t="s">
        <v>2677</v>
      </c>
      <c r="B2589" s="1">
        <v>45672</v>
      </c>
      <c r="C2589">
        <v>2025</v>
      </c>
      <c r="D2589" t="s">
        <v>22</v>
      </c>
      <c r="E2589" t="s">
        <v>23</v>
      </c>
      <c r="F2589" t="s">
        <v>31</v>
      </c>
      <c r="G2589" t="s">
        <v>51</v>
      </c>
      <c r="H2589" t="s">
        <v>26</v>
      </c>
      <c r="I2589" t="s">
        <v>42</v>
      </c>
      <c r="J2589" t="s">
        <v>98</v>
      </c>
      <c r="K2589">
        <v>2</v>
      </c>
      <c r="L2589" s="2">
        <v>117.63</v>
      </c>
      <c r="M2589" s="3">
        <v>0.1</v>
      </c>
      <c r="N2589" t="s">
        <v>29</v>
      </c>
      <c r="O2589" s="2">
        <v>211.73</v>
      </c>
      <c r="P2589" s="2">
        <v>161.71</v>
      </c>
      <c r="Q2589" s="2">
        <v>50.02</v>
      </c>
      <c r="R2589">
        <v>1</v>
      </c>
      <c r="S2589">
        <v>0</v>
      </c>
      <c r="T2589">
        <v>2</v>
      </c>
      <c r="U2589">
        <v>3</v>
      </c>
    </row>
    <row r="2590" spans="1:21" ht="16.5" x14ac:dyDescent="0.3">
      <c r="A2590" t="s">
        <v>2678</v>
      </c>
      <c r="B2590" s="1">
        <v>45672</v>
      </c>
      <c r="C2590">
        <v>2025</v>
      </c>
      <c r="D2590" t="s">
        <v>22</v>
      </c>
      <c r="E2590" t="s">
        <v>23</v>
      </c>
      <c r="F2590" t="s">
        <v>24</v>
      </c>
      <c r="G2590" t="s">
        <v>25</v>
      </c>
      <c r="H2590" t="s">
        <v>26</v>
      </c>
      <c r="I2590" t="s">
        <v>84</v>
      </c>
      <c r="J2590" t="s">
        <v>223</v>
      </c>
      <c r="K2590">
        <v>1</v>
      </c>
      <c r="L2590" s="2">
        <v>16.97</v>
      </c>
      <c r="M2590" s="3">
        <v>0</v>
      </c>
      <c r="N2590" t="s">
        <v>38</v>
      </c>
      <c r="O2590" s="2">
        <v>16.97</v>
      </c>
      <c r="P2590" s="2">
        <v>12.25</v>
      </c>
      <c r="Q2590" s="2">
        <v>4.72</v>
      </c>
      <c r="R2590">
        <v>1</v>
      </c>
      <c r="S2590">
        <v>0</v>
      </c>
      <c r="T2590">
        <v>3</v>
      </c>
      <c r="U2590">
        <v>4</v>
      </c>
    </row>
    <row r="2591" spans="1:21" ht="16.5" x14ac:dyDescent="0.3">
      <c r="A2591" t="s">
        <v>2679</v>
      </c>
      <c r="B2591" s="1">
        <v>45672</v>
      </c>
      <c r="C2591">
        <v>2025</v>
      </c>
      <c r="D2591" t="s">
        <v>22</v>
      </c>
      <c r="E2591" t="s">
        <v>23</v>
      </c>
      <c r="F2591" t="s">
        <v>24</v>
      </c>
      <c r="G2591" t="s">
        <v>49</v>
      </c>
      <c r="H2591" t="s">
        <v>32</v>
      </c>
      <c r="I2591" t="s">
        <v>27</v>
      </c>
      <c r="J2591" t="s">
        <v>47</v>
      </c>
      <c r="K2591">
        <v>1</v>
      </c>
      <c r="L2591" s="2">
        <v>33.99</v>
      </c>
      <c r="M2591" s="3">
        <v>0</v>
      </c>
      <c r="N2591" t="s">
        <v>38</v>
      </c>
      <c r="O2591" s="2">
        <v>33.99</v>
      </c>
      <c r="P2591" s="2">
        <v>17.88</v>
      </c>
      <c r="Q2591" s="2">
        <v>16.11</v>
      </c>
      <c r="R2591">
        <v>1</v>
      </c>
      <c r="S2591">
        <v>0</v>
      </c>
      <c r="T2591">
        <v>5</v>
      </c>
      <c r="U2591">
        <v>4</v>
      </c>
    </row>
    <row r="2592" spans="1:21" ht="16.5" x14ac:dyDescent="0.3">
      <c r="A2592" t="s">
        <v>2680</v>
      </c>
      <c r="B2592" s="1">
        <v>45672</v>
      </c>
      <c r="C2592">
        <v>2025</v>
      </c>
      <c r="D2592" t="s">
        <v>22</v>
      </c>
      <c r="E2592" t="s">
        <v>23</v>
      </c>
      <c r="F2592" t="s">
        <v>24</v>
      </c>
      <c r="G2592" t="s">
        <v>49</v>
      </c>
      <c r="H2592" t="s">
        <v>32</v>
      </c>
      <c r="I2592" t="s">
        <v>67</v>
      </c>
      <c r="J2592" t="s">
        <v>78</v>
      </c>
      <c r="K2592">
        <v>1</v>
      </c>
      <c r="L2592" s="2">
        <v>85.42</v>
      </c>
      <c r="M2592" s="3">
        <v>0.05</v>
      </c>
      <c r="N2592" t="s">
        <v>29</v>
      </c>
      <c r="O2592" s="2">
        <v>81.150000000000006</v>
      </c>
      <c r="P2592" s="2">
        <v>59.89</v>
      </c>
      <c r="Q2592" s="2">
        <v>21.26</v>
      </c>
      <c r="R2592">
        <v>1</v>
      </c>
      <c r="S2592">
        <v>0</v>
      </c>
      <c r="T2592">
        <v>4</v>
      </c>
      <c r="U2592">
        <v>4</v>
      </c>
    </row>
    <row r="2593" spans="1:21" ht="16.5" x14ac:dyDescent="0.3">
      <c r="A2593" t="s">
        <v>2681</v>
      </c>
      <c r="B2593" s="1">
        <v>45673</v>
      </c>
      <c r="C2593">
        <v>2025</v>
      </c>
      <c r="D2593" t="s">
        <v>22</v>
      </c>
      <c r="E2593" t="s">
        <v>23</v>
      </c>
      <c r="F2593" t="s">
        <v>45</v>
      </c>
      <c r="G2593" t="s">
        <v>46</v>
      </c>
      <c r="H2593" t="s">
        <v>26</v>
      </c>
      <c r="I2593" t="s">
        <v>70</v>
      </c>
      <c r="J2593" t="s">
        <v>71</v>
      </c>
      <c r="K2593">
        <v>1</v>
      </c>
      <c r="L2593" s="2">
        <v>588.41</v>
      </c>
      <c r="M2593" s="3">
        <v>0</v>
      </c>
      <c r="N2593" t="s">
        <v>38</v>
      </c>
      <c r="O2593" s="2">
        <v>588.41</v>
      </c>
      <c r="P2593" s="2">
        <v>463.2</v>
      </c>
      <c r="Q2593" s="2">
        <v>125.21</v>
      </c>
      <c r="R2593">
        <v>1</v>
      </c>
      <c r="S2593">
        <v>0</v>
      </c>
      <c r="T2593">
        <v>6</v>
      </c>
      <c r="U2593">
        <v>4</v>
      </c>
    </row>
    <row r="2594" spans="1:21" ht="16.5" x14ac:dyDescent="0.3">
      <c r="A2594" t="s">
        <v>2682</v>
      </c>
      <c r="B2594" s="1">
        <v>45673</v>
      </c>
      <c r="C2594">
        <v>2025</v>
      </c>
      <c r="D2594" t="s">
        <v>22</v>
      </c>
      <c r="E2594" t="s">
        <v>23</v>
      </c>
      <c r="F2594" t="s">
        <v>24</v>
      </c>
      <c r="G2594" t="s">
        <v>25</v>
      </c>
      <c r="H2594" t="s">
        <v>26</v>
      </c>
      <c r="I2594" t="s">
        <v>27</v>
      </c>
      <c r="J2594" t="s">
        <v>33</v>
      </c>
      <c r="K2594">
        <v>1</v>
      </c>
      <c r="L2594" s="2">
        <v>78.510000000000005</v>
      </c>
      <c r="M2594" s="3">
        <v>0.1</v>
      </c>
      <c r="N2594" t="s">
        <v>29</v>
      </c>
      <c r="O2594" s="2">
        <v>70.66</v>
      </c>
      <c r="P2594" s="2">
        <v>42.91</v>
      </c>
      <c r="Q2594" s="2">
        <v>27.75</v>
      </c>
      <c r="R2594">
        <v>1</v>
      </c>
      <c r="S2594">
        <v>0</v>
      </c>
      <c r="T2594">
        <v>3</v>
      </c>
      <c r="U2594">
        <v>5</v>
      </c>
    </row>
    <row r="2595" spans="1:21" ht="16.5" x14ac:dyDescent="0.3">
      <c r="A2595" t="s">
        <v>2683</v>
      </c>
      <c r="B2595" s="1">
        <v>45673</v>
      </c>
      <c r="C2595">
        <v>2025</v>
      </c>
      <c r="D2595" t="s">
        <v>22</v>
      </c>
      <c r="E2595" t="s">
        <v>23</v>
      </c>
      <c r="F2595" t="s">
        <v>31</v>
      </c>
      <c r="G2595" t="s">
        <v>65</v>
      </c>
      <c r="H2595" t="s">
        <v>32</v>
      </c>
      <c r="I2595" t="s">
        <v>42</v>
      </c>
      <c r="J2595" t="s">
        <v>76</v>
      </c>
      <c r="K2595">
        <v>1</v>
      </c>
      <c r="L2595" s="2">
        <v>90.75</v>
      </c>
      <c r="M2595" s="3">
        <v>0.2</v>
      </c>
      <c r="N2595" t="s">
        <v>34</v>
      </c>
      <c r="O2595" s="2">
        <v>72.599999999999994</v>
      </c>
      <c r="P2595" s="2">
        <v>60.26</v>
      </c>
      <c r="Q2595" s="2">
        <v>12.34</v>
      </c>
      <c r="R2595">
        <v>1</v>
      </c>
      <c r="S2595">
        <v>0</v>
      </c>
      <c r="T2595">
        <v>5</v>
      </c>
      <c r="U2595">
        <v>5</v>
      </c>
    </row>
    <row r="2596" spans="1:21" ht="16.5" x14ac:dyDescent="0.3">
      <c r="A2596" t="s">
        <v>2684</v>
      </c>
      <c r="B2596" s="1">
        <v>45673</v>
      </c>
      <c r="C2596">
        <v>2025</v>
      </c>
      <c r="D2596" t="s">
        <v>22</v>
      </c>
      <c r="E2596" t="s">
        <v>23</v>
      </c>
      <c r="F2596" t="s">
        <v>31</v>
      </c>
      <c r="G2596" t="s">
        <v>65</v>
      </c>
      <c r="H2596" t="s">
        <v>32</v>
      </c>
      <c r="I2596" t="s">
        <v>27</v>
      </c>
      <c r="J2596" t="s">
        <v>60</v>
      </c>
      <c r="K2596">
        <v>2</v>
      </c>
      <c r="L2596" s="2">
        <v>94.85</v>
      </c>
      <c r="M2596" s="3">
        <v>0.1</v>
      </c>
      <c r="N2596" t="s">
        <v>29</v>
      </c>
      <c r="O2596" s="2">
        <v>170.73</v>
      </c>
      <c r="P2596" s="2">
        <v>101.48</v>
      </c>
      <c r="Q2596" s="2">
        <v>69.25</v>
      </c>
      <c r="R2596">
        <v>1</v>
      </c>
      <c r="S2596">
        <v>0</v>
      </c>
      <c r="T2596">
        <v>7</v>
      </c>
      <c r="U2596">
        <v>4</v>
      </c>
    </row>
    <row r="2597" spans="1:21" ht="16.5" x14ac:dyDescent="0.3">
      <c r="A2597" t="s">
        <v>2685</v>
      </c>
      <c r="B2597" s="1">
        <v>45673</v>
      </c>
      <c r="C2597">
        <v>2025</v>
      </c>
      <c r="D2597" t="s">
        <v>22</v>
      </c>
      <c r="E2597" t="s">
        <v>23</v>
      </c>
      <c r="F2597" t="s">
        <v>24</v>
      </c>
      <c r="G2597" t="s">
        <v>46</v>
      </c>
      <c r="H2597" t="s">
        <v>26</v>
      </c>
      <c r="I2597" t="s">
        <v>84</v>
      </c>
      <c r="J2597" t="s">
        <v>106</v>
      </c>
      <c r="K2597">
        <v>1</v>
      </c>
      <c r="L2597" s="2">
        <v>45.28</v>
      </c>
      <c r="M2597" s="3">
        <v>0.1</v>
      </c>
      <c r="N2597" t="s">
        <v>29</v>
      </c>
      <c r="O2597" s="2">
        <v>40.75</v>
      </c>
      <c r="P2597" s="2">
        <v>32.21</v>
      </c>
      <c r="Q2597" s="2">
        <v>8.5399999999999991</v>
      </c>
      <c r="R2597">
        <v>1</v>
      </c>
      <c r="S2597">
        <v>0</v>
      </c>
      <c r="T2597">
        <v>7</v>
      </c>
      <c r="U2597">
        <v>2</v>
      </c>
    </row>
    <row r="2598" spans="1:21" ht="16.5" x14ac:dyDescent="0.3">
      <c r="A2598" t="s">
        <v>2686</v>
      </c>
      <c r="B2598" s="1">
        <v>45673</v>
      </c>
      <c r="C2598">
        <v>2025</v>
      </c>
      <c r="D2598" t="s">
        <v>22</v>
      </c>
      <c r="E2598" t="s">
        <v>23</v>
      </c>
      <c r="F2598" t="s">
        <v>45</v>
      </c>
      <c r="G2598" t="s">
        <v>25</v>
      </c>
      <c r="H2598" t="s">
        <v>26</v>
      </c>
      <c r="I2598" t="s">
        <v>84</v>
      </c>
      <c r="J2598" t="s">
        <v>106</v>
      </c>
      <c r="K2598">
        <v>1</v>
      </c>
      <c r="L2598" s="2">
        <v>45.28</v>
      </c>
      <c r="M2598" s="3">
        <v>0.1</v>
      </c>
      <c r="N2598" t="s">
        <v>29</v>
      </c>
      <c r="O2598" s="2">
        <v>40.75</v>
      </c>
      <c r="P2598" s="2">
        <v>32.42</v>
      </c>
      <c r="Q2598" s="2">
        <v>8.33</v>
      </c>
      <c r="R2598">
        <v>1</v>
      </c>
      <c r="S2598">
        <v>0</v>
      </c>
      <c r="T2598">
        <v>4</v>
      </c>
      <c r="U2598">
        <v>4</v>
      </c>
    </row>
    <row r="2599" spans="1:21" ht="16.5" x14ac:dyDescent="0.3">
      <c r="A2599" t="s">
        <v>2687</v>
      </c>
      <c r="B2599" s="1">
        <v>45673</v>
      </c>
      <c r="C2599">
        <v>2025</v>
      </c>
      <c r="D2599" t="s">
        <v>22</v>
      </c>
      <c r="E2599" t="s">
        <v>23</v>
      </c>
      <c r="F2599" t="s">
        <v>31</v>
      </c>
      <c r="G2599" t="s">
        <v>25</v>
      </c>
      <c r="H2599" t="s">
        <v>26</v>
      </c>
      <c r="I2599" t="s">
        <v>42</v>
      </c>
      <c r="J2599" t="s">
        <v>54</v>
      </c>
      <c r="K2599">
        <v>1</v>
      </c>
      <c r="L2599" s="2">
        <v>148.05000000000001</v>
      </c>
      <c r="M2599" s="3">
        <v>0.1</v>
      </c>
      <c r="N2599" t="s">
        <v>29</v>
      </c>
      <c r="O2599" s="2">
        <v>133.24</v>
      </c>
      <c r="P2599" s="2">
        <v>98.06</v>
      </c>
      <c r="Q2599" s="2">
        <v>35.18</v>
      </c>
      <c r="R2599">
        <v>1</v>
      </c>
      <c r="S2599">
        <v>0</v>
      </c>
      <c r="T2599">
        <v>4</v>
      </c>
      <c r="U2599">
        <v>4</v>
      </c>
    </row>
    <row r="2600" spans="1:21" ht="16.5" x14ac:dyDescent="0.3">
      <c r="A2600" t="s">
        <v>2688</v>
      </c>
      <c r="B2600" s="1">
        <v>45673</v>
      </c>
      <c r="C2600">
        <v>2025</v>
      </c>
      <c r="D2600" t="s">
        <v>22</v>
      </c>
      <c r="E2600" t="s">
        <v>23</v>
      </c>
      <c r="F2600" t="s">
        <v>45</v>
      </c>
      <c r="G2600" t="s">
        <v>25</v>
      </c>
      <c r="H2600" t="s">
        <v>26</v>
      </c>
      <c r="I2600" t="s">
        <v>42</v>
      </c>
      <c r="J2600" t="s">
        <v>89</v>
      </c>
      <c r="K2600">
        <v>4</v>
      </c>
      <c r="L2600" s="2">
        <v>68.349999999999994</v>
      </c>
      <c r="M2600" s="3">
        <v>0.2</v>
      </c>
      <c r="N2600" t="s">
        <v>34</v>
      </c>
      <c r="O2600" s="2">
        <v>218.72</v>
      </c>
      <c r="P2600" s="2">
        <v>178.07</v>
      </c>
      <c r="Q2600" s="2">
        <v>40.65</v>
      </c>
      <c r="R2600">
        <v>1</v>
      </c>
      <c r="S2600">
        <v>0</v>
      </c>
      <c r="T2600">
        <v>4</v>
      </c>
      <c r="U2600">
        <v>4</v>
      </c>
    </row>
    <row r="2601" spans="1:21" ht="16.5" x14ac:dyDescent="0.3">
      <c r="A2601" t="s">
        <v>2689</v>
      </c>
      <c r="B2601" s="1">
        <v>45673</v>
      </c>
      <c r="C2601">
        <v>2025</v>
      </c>
      <c r="D2601" t="s">
        <v>22</v>
      </c>
      <c r="E2601" t="s">
        <v>23</v>
      </c>
      <c r="F2601" t="s">
        <v>31</v>
      </c>
      <c r="G2601" t="s">
        <v>25</v>
      </c>
      <c r="H2601" t="s">
        <v>32</v>
      </c>
      <c r="I2601" t="s">
        <v>70</v>
      </c>
      <c r="J2601" t="s">
        <v>82</v>
      </c>
      <c r="K2601">
        <v>2</v>
      </c>
      <c r="L2601" s="2">
        <v>508.8</v>
      </c>
      <c r="M2601" s="3">
        <v>0.3</v>
      </c>
      <c r="N2601" t="s">
        <v>62</v>
      </c>
      <c r="O2601" s="2">
        <v>712.32</v>
      </c>
      <c r="P2601" s="2">
        <v>874.07</v>
      </c>
      <c r="Q2601" s="2">
        <v>-161.75</v>
      </c>
      <c r="R2601">
        <v>1</v>
      </c>
      <c r="S2601">
        <v>0</v>
      </c>
      <c r="T2601">
        <v>7</v>
      </c>
      <c r="U2601">
        <v>4</v>
      </c>
    </row>
    <row r="2602" spans="1:21" ht="16.5" x14ac:dyDescent="0.3">
      <c r="A2602" t="s">
        <v>2690</v>
      </c>
      <c r="B2602" s="1">
        <v>45673</v>
      </c>
      <c r="C2602">
        <v>2025</v>
      </c>
      <c r="D2602" t="s">
        <v>22</v>
      </c>
      <c r="E2602" t="s">
        <v>23</v>
      </c>
      <c r="F2602" t="s">
        <v>31</v>
      </c>
      <c r="G2602" t="s">
        <v>51</v>
      </c>
      <c r="H2602" t="s">
        <v>32</v>
      </c>
      <c r="I2602" t="s">
        <v>27</v>
      </c>
      <c r="J2602" t="s">
        <v>60</v>
      </c>
      <c r="K2602">
        <v>2</v>
      </c>
      <c r="L2602" s="2">
        <v>94.85</v>
      </c>
      <c r="M2602" s="3">
        <v>0.2</v>
      </c>
      <c r="N2602" t="s">
        <v>34</v>
      </c>
      <c r="O2602" s="2">
        <v>151.76</v>
      </c>
      <c r="P2602" s="2">
        <v>101.12</v>
      </c>
      <c r="Q2602" s="2">
        <v>50.64</v>
      </c>
      <c r="R2602">
        <v>1</v>
      </c>
      <c r="S2602">
        <v>0</v>
      </c>
      <c r="T2602">
        <v>2</v>
      </c>
      <c r="U2602">
        <v>5</v>
      </c>
    </row>
    <row r="2603" spans="1:21" ht="16.5" x14ac:dyDescent="0.3">
      <c r="A2603" t="s">
        <v>2691</v>
      </c>
      <c r="B2603" s="1">
        <v>45673</v>
      </c>
      <c r="C2603">
        <v>2025</v>
      </c>
      <c r="D2603" t="s">
        <v>22</v>
      </c>
      <c r="E2603" t="s">
        <v>23</v>
      </c>
      <c r="F2603" t="s">
        <v>31</v>
      </c>
      <c r="G2603" t="s">
        <v>25</v>
      </c>
      <c r="H2603" t="s">
        <v>26</v>
      </c>
      <c r="I2603" t="s">
        <v>27</v>
      </c>
      <c r="J2603" t="s">
        <v>60</v>
      </c>
      <c r="K2603">
        <v>1</v>
      </c>
      <c r="L2603" s="2">
        <v>94.85</v>
      </c>
      <c r="M2603" s="3">
        <v>0.15</v>
      </c>
      <c r="N2603" t="s">
        <v>34</v>
      </c>
      <c r="O2603" s="2">
        <v>80.62</v>
      </c>
      <c r="P2603" s="2">
        <v>53.01</v>
      </c>
      <c r="Q2603" s="2">
        <v>27.61</v>
      </c>
      <c r="R2603">
        <v>1</v>
      </c>
      <c r="S2603">
        <v>0</v>
      </c>
      <c r="T2603">
        <v>5</v>
      </c>
      <c r="U2603">
        <v>5</v>
      </c>
    </row>
    <row r="2604" spans="1:21" ht="16.5" x14ac:dyDescent="0.3">
      <c r="A2604" t="s">
        <v>2692</v>
      </c>
      <c r="B2604" s="1">
        <v>45674</v>
      </c>
      <c r="C2604">
        <v>2025</v>
      </c>
      <c r="D2604" t="s">
        <v>22</v>
      </c>
      <c r="E2604" t="s">
        <v>23</v>
      </c>
      <c r="F2604" t="s">
        <v>31</v>
      </c>
      <c r="G2604" t="s">
        <v>46</v>
      </c>
      <c r="H2604" t="s">
        <v>26</v>
      </c>
      <c r="I2604" t="s">
        <v>42</v>
      </c>
      <c r="J2604" t="s">
        <v>54</v>
      </c>
      <c r="K2604">
        <v>2</v>
      </c>
      <c r="L2604" s="2">
        <v>148.05000000000001</v>
      </c>
      <c r="M2604" s="3">
        <v>0.2</v>
      </c>
      <c r="N2604" t="s">
        <v>34</v>
      </c>
      <c r="O2604" s="2">
        <v>236.88</v>
      </c>
      <c r="P2604" s="2">
        <v>207.98</v>
      </c>
      <c r="Q2604" s="2">
        <v>28.9</v>
      </c>
      <c r="R2604">
        <v>1</v>
      </c>
      <c r="S2604">
        <v>0</v>
      </c>
      <c r="T2604">
        <v>5</v>
      </c>
      <c r="U2604">
        <v>4</v>
      </c>
    </row>
    <row r="2605" spans="1:21" ht="16.5" x14ac:dyDescent="0.3">
      <c r="A2605" t="s">
        <v>2693</v>
      </c>
      <c r="B2605" s="1">
        <v>45674</v>
      </c>
      <c r="C2605">
        <v>2025</v>
      </c>
      <c r="D2605" t="s">
        <v>22</v>
      </c>
      <c r="E2605" t="s">
        <v>23</v>
      </c>
      <c r="F2605" t="s">
        <v>31</v>
      </c>
      <c r="G2605" t="s">
        <v>51</v>
      </c>
      <c r="H2605" t="s">
        <v>26</v>
      </c>
      <c r="I2605" t="s">
        <v>84</v>
      </c>
      <c r="J2605" t="s">
        <v>132</v>
      </c>
      <c r="K2605">
        <v>1</v>
      </c>
      <c r="L2605" s="2">
        <v>48.86</v>
      </c>
      <c r="M2605" s="3">
        <v>0</v>
      </c>
      <c r="N2605" t="s">
        <v>38</v>
      </c>
      <c r="O2605" s="2">
        <v>48.86</v>
      </c>
      <c r="P2605" s="2">
        <v>34.39</v>
      </c>
      <c r="Q2605" s="2">
        <v>14.47</v>
      </c>
      <c r="R2605">
        <v>1</v>
      </c>
      <c r="S2605">
        <v>0</v>
      </c>
      <c r="T2605">
        <v>2</v>
      </c>
      <c r="U2605">
        <v>4</v>
      </c>
    </row>
    <row r="2606" spans="1:21" ht="16.5" x14ac:dyDescent="0.3">
      <c r="A2606" t="s">
        <v>2694</v>
      </c>
      <c r="B2606" s="1">
        <v>45674</v>
      </c>
      <c r="C2606">
        <v>2025</v>
      </c>
      <c r="D2606" t="s">
        <v>22</v>
      </c>
      <c r="E2606" t="s">
        <v>23</v>
      </c>
      <c r="F2606" t="s">
        <v>45</v>
      </c>
      <c r="G2606" t="s">
        <v>65</v>
      </c>
      <c r="H2606" t="s">
        <v>26</v>
      </c>
      <c r="I2606" t="s">
        <v>27</v>
      </c>
      <c r="J2606" t="s">
        <v>110</v>
      </c>
      <c r="K2606">
        <v>2</v>
      </c>
      <c r="L2606" s="2">
        <v>19.41</v>
      </c>
      <c r="M2606" s="3">
        <v>0.05</v>
      </c>
      <c r="N2606" t="s">
        <v>29</v>
      </c>
      <c r="O2606" s="2">
        <v>36.880000000000003</v>
      </c>
      <c r="P2606" s="2">
        <v>21.03</v>
      </c>
      <c r="Q2606" s="2">
        <v>15.85</v>
      </c>
      <c r="R2606">
        <v>1</v>
      </c>
      <c r="S2606">
        <v>0</v>
      </c>
      <c r="T2606">
        <v>10</v>
      </c>
      <c r="U2606">
        <v>3</v>
      </c>
    </row>
    <row r="2607" spans="1:21" ht="16.5" x14ac:dyDescent="0.3">
      <c r="A2607" t="s">
        <v>2695</v>
      </c>
      <c r="B2607" s="1">
        <v>45674</v>
      </c>
      <c r="C2607">
        <v>2025</v>
      </c>
      <c r="D2607" t="s">
        <v>22</v>
      </c>
      <c r="E2607" t="s">
        <v>23</v>
      </c>
      <c r="F2607" t="s">
        <v>45</v>
      </c>
      <c r="G2607" t="s">
        <v>51</v>
      </c>
      <c r="H2607" t="s">
        <v>32</v>
      </c>
      <c r="I2607" t="s">
        <v>42</v>
      </c>
      <c r="J2607" t="s">
        <v>58</v>
      </c>
      <c r="K2607">
        <v>2</v>
      </c>
      <c r="L2607" s="2">
        <v>233.81</v>
      </c>
      <c r="M2607" s="3">
        <v>0.05</v>
      </c>
      <c r="N2607" t="s">
        <v>29</v>
      </c>
      <c r="O2607" s="2">
        <v>444.24</v>
      </c>
      <c r="P2607" s="2">
        <v>301.92</v>
      </c>
      <c r="Q2607" s="2">
        <v>142.32</v>
      </c>
      <c r="R2607">
        <v>1</v>
      </c>
      <c r="S2607">
        <v>0</v>
      </c>
      <c r="T2607">
        <v>2</v>
      </c>
      <c r="U2607">
        <v>5</v>
      </c>
    </row>
    <row r="2608" spans="1:21" ht="16.5" x14ac:dyDescent="0.3">
      <c r="A2608" t="s">
        <v>2696</v>
      </c>
      <c r="B2608" s="1">
        <v>45674</v>
      </c>
      <c r="C2608">
        <v>2025</v>
      </c>
      <c r="D2608" t="s">
        <v>22</v>
      </c>
      <c r="E2608" t="s">
        <v>23</v>
      </c>
      <c r="F2608" t="s">
        <v>31</v>
      </c>
      <c r="G2608" t="s">
        <v>65</v>
      </c>
      <c r="H2608" t="s">
        <v>32</v>
      </c>
      <c r="I2608" t="s">
        <v>67</v>
      </c>
      <c r="J2608" t="s">
        <v>103</v>
      </c>
      <c r="K2608">
        <v>2</v>
      </c>
      <c r="L2608" s="2">
        <v>83.06</v>
      </c>
      <c r="M2608" s="3">
        <v>0</v>
      </c>
      <c r="N2608" t="s">
        <v>38</v>
      </c>
      <c r="O2608" s="2">
        <v>166.12</v>
      </c>
      <c r="P2608" s="2">
        <v>110.34</v>
      </c>
      <c r="Q2608" s="2">
        <v>55.78</v>
      </c>
      <c r="R2608">
        <v>1</v>
      </c>
      <c r="S2608">
        <v>1</v>
      </c>
      <c r="T2608">
        <v>6</v>
      </c>
      <c r="U2608">
        <v>3</v>
      </c>
    </row>
    <row r="2609" spans="1:21" ht="16.5" x14ac:dyDescent="0.3">
      <c r="A2609" t="s">
        <v>2697</v>
      </c>
      <c r="B2609" s="1">
        <v>45674</v>
      </c>
      <c r="C2609">
        <v>2025</v>
      </c>
      <c r="D2609" t="s">
        <v>22</v>
      </c>
      <c r="E2609" t="s">
        <v>23</v>
      </c>
      <c r="F2609" t="s">
        <v>31</v>
      </c>
      <c r="G2609" t="s">
        <v>49</v>
      </c>
      <c r="H2609" t="s">
        <v>26</v>
      </c>
      <c r="I2609" t="s">
        <v>42</v>
      </c>
      <c r="J2609" t="s">
        <v>54</v>
      </c>
      <c r="K2609">
        <v>2</v>
      </c>
      <c r="L2609" s="2">
        <v>148.05000000000001</v>
      </c>
      <c r="M2609" s="3">
        <v>0.15</v>
      </c>
      <c r="N2609" t="s">
        <v>34</v>
      </c>
      <c r="O2609" s="2">
        <v>251.68</v>
      </c>
      <c r="P2609" s="2">
        <v>195.58</v>
      </c>
      <c r="Q2609" s="2">
        <v>56.1</v>
      </c>
      <c r="R2609">
        <v>1</v>
      </c>
      <c r="S2609">
        <v>0</v>
      </c>
      <c r="T2609">
        <v>5</v>
      </c>
      <c r="U2609">
        <v>5</v>
      </c>
    </row>
    <row r="2610" spans="1:21" ht="16.5" x14ac:dyDescent="0.3">
      <c r="A2610" t="s">
        <v>2698</v>
      </c>
      <c r="B2610" s="1">
        <v>45675</v>
      </c>
      <c r="C2610">
        <v>2025</v>
      </c>
      <c r="D2610" t="s">
        <v>22</v>
      </c>
      <c r="E2610" t="s">
        <v>23</v>
      </c>
      <c r="F2610" t="s">
        <v>45</v>
      </c>
      <c r="G2610" t="s">
        <v>49</v>
      </c>
      <c r="H2610" t="s">
        <v>32</v>
      </c>
      <c r="I2610" t="s">
        <v>36</v>
      </c>
      <c r="J2610" t="s">
        <v>115</v>
      </c>
      <c r="K2610">
        <v>1</v>
      </c>
      <c r="L2610" s="2">
        <v>33.479999999999997</v>
      </c>
      <c r="M2610" s="3">
        <v>0.1</v>
      </c>
      <c r="N2610" t="s">
        <v>29</v>
      </c>
      <c r="O2610" s="2">
        <v>30.13</v>
      </c>
      <c r="P2610" s="2">
        <v>15.98</v>
      </c>
      <c r="Q2610" s="2">
        <v>14.15</v>
      </c>
      <c r="R2610">
        <v>1</v>
      </c>
      <c r="S2610">
        <v>0</v>
      </c>
      <c r="T2610">
        <v>4</v>
      </c>
      <c r="U2610">
        <v>5</v>
      </c>
    </row>
    <row r="2611" spans="1:21" ht="16.5" x14ac:dyDescent="0.3">
      <c r="A2611" t="s">
        <v>2699</v>
      </c>
      <c r="B2611" s="1">
        <v>45675</v>
      </c>
      <c r="C2611">
        <v>2025</v>
      </c>
      <c r="D2611" t="s">
        <v>22</v>
      </c>
      <c r="E2611" t="s">
        <v>23</v>
      </c>
      <c r="F2611" t="s">
        <v>24</v>
      </c>
      <c r="G2611" t="s">
        <v>65</v>
      </c>
      <c r="H2611" t="s">
        <v>32</v>
      </c>
      <c r="I2611" t="s">
        <v>84</v>
      </c>
      <c r="J2611" t="s">
        <v>132</v>
      </c>
      <c r="K2611">
        <v>1</v>
      </c>
      <c r="L2611" s="2">
        <v>48.86</v>
      </c>
      <c r="M2611" s="3">
        <v>0</v>
      </c>
      <c r="N2611" t="s">
        <v>38</v>
      </c>
      <c r="O2611" s="2">
        <v>48.86</v>
      </c>
      <c r="P2611" s="2">
        <v>34.159999999999997</v>
      </c>
      <c r="Q2611" s="2">
        <v>14.7</v>
      </c>
      <c r="R2611">
        <v>1</v>
      </c>
      <c r="S2611">
        <v>0</v>
      </c>
      <c r="T2611">
        <v>6</v>
      </c>
      <c r="U2611">
        <v>5</v>
      </c>
    </row>
    <row r="2612" spans="1:21" ht="16.5" x14ac:dyDescent="0.3">
      <c r="A2612" t="s">
        <v>2700</v>
      </c>
      <c r="B2612" s="1">
        <v>45675</v>
      </c>
      <c r="C2612">
        <v>2025</v>
      </c>
      <c r="D2612" t="s">
        <v>22</v>
      </c>
      <c r="E2612" t="s">
        <v>23</v>
      </c>
      <c r="F2612" t="s">
        <v>31</v>
      </c>
      <c r="G2612" t="s">
        <v>51</v>
      </c>
      <c r="H2612" t="s">
        <v>32</v>
      </c>
      <c r="I2612" t="s">
        <v>27</v>
      </c>
      <c r="J2612" t="s">
        <v>40</v>
      </c>
      <c r="K2612">
        <v>1</v>
      </c>
      <c r="L2612" s="2">
        <v>104.94</v>
      </c>
      <c r="M2612" s="3">
        <v>0.2</v>
      </c>
      <c r="N2612" t="s">
        <v>34</v>
      </c>
      <c r="O2612" s="2">
        <v>83.95</v>
      </c>
      <c r="P2612" s="2">
        <v>57.2</v>
      </c>
      <c r="Q2612" s="2">
        <v>26.75</v>
      </c>
      <c r="R2612">
        <v>1</v>
      </c>
      <c r="S2612">
        <v>0</v>
      </c>
      <c r="T2612">
        <v>3</v>
      </c>
      <c r="U2612">
        <v>4</v>
      </c>
    </row>
    <row r="2613" spans="1:21" ht="16.5" x14ac:dyDescent="0.3">
      <c r="A2613" t="s">
        <v>2701</v>
      </c>
      <c r="B2613" s="1">
        <v>45675</v>
      </c>
      <c r="C2613">
        <v>2025</v>
      </c>
      <c r="D2613" t="s">
        <v>22</v>
      </c>
      <c r="E2613" t="s">
        <v>23</v>
      </c>
      <c r="F2613" t="s">
        <v>31</v>
      </c>
      <c r="G2613" t="s">
        <v>49</v>
      </c>
      <c r="H2613" t="s">
        <v>32</v>
      </c>
      <c r="I2613" t="s">
        <v>36</v>
      </c>
      <c r="J2613" t="s">
        <v>52</v>
      </c>
      <c r="K2613">
        <v>2</v>
      </c>
      <c r="L2613" s="2">
        <v>92.54</v>
      </c>
      <c r="M2613" s="3">
        <v>0</v>
      </c>
      <c r="N2613" t="s">
        <v>38</v>
      </c>
      <c r="O2613" s="2">
        <v>185.08</v>
      </c>
      <c r="P2613" s="2">
        <v>87.95</v>
      </c>
      <c r="Q2613" s="2">
        <v>97.13</v>
      </c>
      <c r="R2613">
        <v>1</v>
      </c>
      <c r="S2613">
        <v>0</v>
      </c>
      <c r="T2613">
        <v>3</v>
      </c>
      <c r="U2613">
        <v>5</v>
      </c>
    </row>
    <row r="2614" spans="1:21" ht="16.5" x14ac:dyDescent="0.3">
      <c r="A2614" t="s">
        <v>2702</v>
      </c>
      <c r="B2614" s="1">
        <v>45675</v>
      </c>
      <c r="C2614">
        <v>2025</v>
      </c>
      <c r="D2614" t="s">
        <v>22</v>
      </c>
      <c r="E2614" t="s">
        <v>23</v>
      </c>
      <c r="F2614" t="s">
        <v>45</v>
      </c>
      <c r="G2614" t="s">
        <v>46</v>
      </c>
      <c r="H2614" t="s">
        <v>32</v>
      </c>
      <c r="I2614" t="s">
        <v>42</v>
      </c>
      <c r="J2614" t="s">
        <v>43</v>
      </c>
      <c r="K2614">
        <v>1</v>
      </c>
      <c r="L2614" s="2">
        <v>154.66</v>
      </c>
      <c r="M2614" s="3">
        <v>0.05</v>
      </c>
      <c r="N2614" t="s">
        <v>29</v>
      </c>
      <c r="O2614" s="2">
        <v>146.93</v>
      </c>
      <c r="P2614" s="2">
        <v>100.2</v>
      </c>
      <c r="Q2614" s="2">
        <v>46.73</v>
      </c>
      <c r="R2614">
        <v>1</v>
      </c>
      <c r="S2614">
        <v>0</v>
      </c>
      <c r="T2614">
        <v>8</v>
      </c>
      <c r="U2614">
        <v>4</v>
      </c>
    </row>
    <row r="2615" spans="1:21" ht="16.5" x14ac:dyDescent="0.3">
      <c r="A2615" t="s">
        <v>2703</v>
      </c>
      <c r="B2615" s="1">
        <v>45675</v>
      </c>
      <c r="C2615">
        <v>2025</v>
      </c>
      <c r="D2615" t="s">
        <v>22</v>
      </c>
      <c r="E2615" t="s">
        <v>23</v>
      </c>
      <c r="F2615" t="s">
        <v>45</v>
      </c>
      <c r="G2615" t="s">
        <v>65</v>
      </c>
      <c r="H2615" t="s">
        <v>32</v>
      </c>
      <c r="I2615" t="s">
        <v>70</v>
      </c>
      <c r="J2615" t="s">
        <v>252</v>
      </c>
      <c r="K2615">
        <v>1</v>
      </c>
      <c r="L2615" s="2">
        <v>216.08</v>
      </c>
      <c r="M2615" s="3">
        <v>0.05</v>
      </c>
      <c r="N2615" t="s">
        <v>29</v>
      </c>
      <c r="O2615" s="2">
        <v>205.28</v>
      </c>
      <c r="P2615" s="2">
        <v>179.95</v>
      </c>
      <c r="Q2615" s="2">
        <v>25.33</v>
      </c>
      <c r="R2615">
        <v>1</v>
      </c>
      <c r="S2615">
        <v>0</v>
      </c>
      <c r="T2615">
        <v>5</v>
      </c>
      <c r="U2615">
        <v>4</v>
      </c>
    </row>
    <row r="2616" spans="1:21" ht="16.5" x14ac:dyDescent="0.3">
      <c r="A2616" t="s">
        <v>2704</v>
      </c>
      <c r="B2616" s="1">
        <v>45675</v>
      </c>
      <c r="C2616">
        <v>2025</v>
      </c>
      <c r="D2616" t="s">
        <v>22</v>
      </c>
      <c r="E2616" t="s">
        <v>23</v>
      </c>
      <c r="F2616" t="s">
        <v>45</v>
      </c>
      <c r="G2616" t="s">
        <v>25</v>
      </c>
      <c r="H2616" t="s">
        <v>32</v>
      </c>
      <c r="I2616" t="s">
        <v>70</v>
      </c>
      <c r="J2616" t="s">
        <v>82</v>
      </c>
      <c r="K2616">
        <v>2</v>
      </c>
      <c r="L2616" s="2">
        <v>508.8</v>
      </c>
      <c r="M2616" s="3">
        <v>0.05</v>
      </c>
      <c r="N2616" t="s">
        <v>29</v>
      </c>
      <c r="O2616" s="2">
        <v>966.72</v>
      </c>
      <c r="P2616" s="2">
        <v>807.11</v>
      </c>
      <c r="Q2616" s="2">
        <v>159.61000000000001</v>
      </c>
      <c r="R2616">
        <v>1</v>
      </c>
      <c r="S2616">
        <v>0</v>
      </c>
      <c r="T2616">
        <v>4</v>
      </c>
      <c r="U2616">
        <v>5</v>
      </c>
    </row>
    <row r="2617" spans="1:21" ht="16.5" x14ac:dyDescent="0.3">
      <c r="A2617" t="s">
        <v>2705</v>
      </c>
      <c r="B2617" s="1">
        <v>45676</v>
      </c>
      <c r="C2617">
        <v>2025</v>
      </c>
      <c r="D2617" t="s">
        <v>22</v>
      </c>
      <c r="E2617" t="s">
        <v>23</v>
      </c>
      <c r="F2617" t="s">
        <v>45</v>
      </c>
      <c r="G2617" t="s">
        <v>49</v>
      </c>
      <c r="H2617" t="s">
        <v>26</v>
      </c>
      <c r="I2617" t="s">
        <v>36</v>
      </c>
      <c r="J2617" t="s">
        <v>52</v>
      </c>
      <c r="K2617">
        <v>1</v>
      </c>
      <c r="L2617" s="2">
        <v>92.54</v>
      </c>
      <c r="M2617" s="3">
        <v>0</v>
      </c>
      <c r="N2617" t="s">
        <v>38</v>
      </c>
      <c r="O2617" s="2">
        <v>92.54</v>
      </c>
      <c r="P2617" s="2">
        <v>43</v>
      </c>
      <c r="Q2617" s="2">
        <v>49.54</v>
      </c>
      <c r="R2617">
        <v>1</v>
      </c>
      <c r="S2617">
        <v>0</v>
      </c>
      <c r="T2617">
        <v>7</v>
      </c>
      <c r="U2617">
        <v>4</v>
      </c>
    </row>
    <row r="2618" spans="1:21" ht="16.5" x14ac:dyDescent="0.3">
      <c r="A2618" t="s">
        <v>2706</v>
      </c>
      <c r="B2618" s="1">
        <v>45676</v>
      </c>
      <c r="C2618">
        <v>2025</v>
      </c>
      <c r="D2618" t="s">
        <v>22</v>
      </c>
      <c r="E2618" t="s">
        <v>23</v>
      </c>
      <c r="F2618" t="s">
        <v>31</v>
      </c>
      <c r="G2618" t="s">
        <v>25</v>
      </c>
      <c r="H2618" t="s">
        <v>32</v>
      </c>
      <c r="I2618" t="s">
        <v>27</v>
      </c>
      <c r="J2618" t="s">
        <v>28</v>
      </c>
      <c r="K2618">
        <v>4</v>
      </c>
      <c r="L2618" s="2">
        <v>138.5</v>
      </c>
      <c r="M2618" s="3">
        <v>0.05</v>
      </c>
      <c r="N2618" t="s">
        <v>29</v>
      </c>
      <c r="O2618" s="2">
        <v>526.29999999999995</v>
      </c>
      <c r="P2618" s="2">
        <v>301.95</v>
      </c>
      <c r="Q2618" s="2">
        <v>224.35</v>
      </c>
      <c r="R2618">
        <v>1</v>
      </c>
      <c r="S2618">
        <v>0</v>
      </c>
      <c r="T2618">
        <v>3</v>
      </c>
      <c r="U2618">
        <v>5</v>
      </c>
    </row>
    <row r="2619" spans="1:21" ht="16.5" x14ac:dyDescent="0.3">
      <c r="A2619" t="s">
        <v>2707</v>
      </c>
      <c r="B2619" s="1">
        <v>45677</v>
      </c>
      <c r="C2619">
        <v>2025</v>
      </c>
      <c r="D2619" t="s">
        <v>22</v>
      </c>
      <c r="E2619" t="s">
        <v>23</v>
      </c>
      <c r="F2619" t="s">
        <v>31</v>
      </c>
      <c r="G2619" t="s">
        <v>49</v>
      </c>
      <c r="H2619" t="s">
        <v>32</v>
      </c>
      <c r="I2619" t="s">
        <v>70</v>
      </c>
      <c r="J2619" t="s">
        <v>129</v>
      </c>
      <c r="K2619">
        <v>1</v>
      </c>
      <c r="L2619" s="2">
        <v>177.65</v>
      </c>
      <c r="M2619" s="3">
        <v>0.3</v>
      </c>
      <c r="N2619" t="s">
        <v>62</v>
      </c>
      <c r="O2619" s="2">
        <v>124.35</v>
      </c>
      <c r="P2619" s="2">
        <v>143.31</v>
      </c>
      <c r="Q2619" s="2">
        <v>-18.96</v>
      </c>
      <c r="R2619">
        <v>1</v>
      </c>
      <c r="S2619">
        <v>0</v>
      </c>
      <c r="T2619">
        <v>4</v>
      </c>
      <c r="U2619">
        <v>5</v>
      </c>
    </row>
    <row r="2620" spans="1:21" ht="16.5" x14ac:dyDescent="0.3">
      <c r="A2620" t="s">
        <v>2708</v>
      </c>
      <c r="B2620" s="1">
        <v>45677</v>
      </c>
      <c r="C2620">
        <v>2025</v>
      </c>
      <c r="D2620" t="s">
        <v>22</v>
      </c>
      <c r="E2620" t="s">
        <v>23</v>
      </c>
      <c r="F2620" t="s">
        <v>24</v>
      </c>
      <c r="G2620" t="s">
        <v>25</v>
      </c>
      <c r="H2620" t="s">
        <v>32</v>
      </c>
      <c r="I2620" t="s">
        <v>84</v>
      </c>
      <c r="J2620" t="s">
        <v>132</v>
      </c>
      <c r="K2620">
        <v>1</v>
      </c>
      <c r="L2620" s="2">
        <v>48.86</v>
      </c>
      <c r="M2620" s="3">
        <v>0.25</v>
      </c>
      <c r="N2620" t="s">
        <v>62</v>
      </c>
      <c r="O2620" s="2">
        <v>36.64</v>
      </c>
      <c r="P2620" s="2">
        <v>33.72</v>
      </c>
      <c r="Q2620" s="2">
        <v>2.92</v>
      </c>
      <c r="R2620">
        <v>1</v>
      </c>
      <c r="S2620">
        <v>0</v>
      </c>
      <c r="T2620">
        <v>4</v>
      </c>
      <c r="U2620">
        <v>4</v>
      </c>
    </row>
    <row r="2621" spans="1:21" ht="16.5" x14ac:dyDescent="0.3">
      <c r="A2621" t="s">
        <v>2709</v>
      </c>
      <c r="B2621" s="1">
        <v>45677</v>
      </c>
      <c r="C2621">
        <v>2025</v>
      </c>
      <c r="D2621" t="s">
        <v>22</v>
      </c>
      <c r="E2621" t="s">
        <v>23</v>
      </c>
      <c r="F2621" t="s">
        <v>45</v>
      </c>
      <c r="G2621" t="s">
        <v>46</v>
      </c>
      <c r="H2621" t="s">
        <v>26</v>
      </c>
      <c r="I2621" t="s">
        <v>70</v>
      </c>
      <c r="J2621" t="s">
        <v>71</v>
      </c>
      <c r="K2621">
        <v>1</v>
      </c>
      <c r="L2621" s="2">
        <v>588.41</v>
      </c>
      <c r="M2621" s="3">
        <v>0.1</v>
      </c>
      <c r="N2621" t="s">
        <v>29</v>
      </c>
      <c r="O2621" s="2">
        <v>529.57000000000005</v>
      </c>
      <c r="P2621" s="2">
        <v>455.81</v>
      </c>
      <c r="Q2621" s="2">
        <v>73.760000000000005</v>
      </c>
      <c r="R2621">
        <v>1</v>
      </c>
      <c r="S2621">
        <v>0</v>
      </c>
      <c r="T2621">
        <v>6</v>
      </c>
      <c r="U2621">
        <v>3</v>
      </c>
    </row>
    <row r="2622" spans="1:21" ht="16.5" x14ac:dyDescent="0.3">
      <c r="A2622" t="s">
        <v>2710</v>
      </c>
      <c r="B2622" s="1">
        <v>45677</v>
      </c>
      <c r="C2622">
        <v>2025</v>
      </c>
      <c r="D2622" t="s">
        <v>22</v>
      </c>
      <c r="E2622" t="s">
        <v>23</v>
      </c>
      <c r="F2622" t="s">
        <v>24</v>
      </c>
      <c r="G2622" t="s">
        <v>25</v>
      </c>
      <c r="H2622" t="s">
        <v>32</v>
      </c>
      <c r="I2622" t="s">
        <v>27</v>
      </c>
      <c r="J2622" t="s">
        <v>28</v>
      </c>
      <c r="K2622">
        <v>1</v>
      </c>
      <c r="L2622" s="2">
        <v>138.5</v>
      </c>
      <c r="M2622" s="3">
        <v>0.2</v>
      </c>
      <c r="N2622" t="s">
        <v>34</v>
      </c>
      <c r="O2622" s="2">
        <v>110.8</v>
      </c>
      <c r="P2622" s="2">
        <v>74.97</v>
      </c>
      <c r="Q2622" s="2">
        <v>35.83</v>
      </c>
      <c r="R2622">
        <v>1</v>
      </c>
      <c r="S2622">
        <v>0</v>
      </c>
      <c r="T2622">
        <v>4</v>
      </c>
      <c r="U2622">
        <v>4</v>
      </c>
    </row>
    <row r="2623" spans="1:21" ht="16.5" x14ac:dyDescent="0.3">
      <c r="A2623" t="s">
        <v>2711</v>
      </c>
      <c r="B2623" s="1">
        <v>45677</v>
      </c>
      <c r="C2623">
        <v>2025</v>
      </c>
      <c r="D2623" t="s">
        <v>22</v>
      </c>
      <c r="E2623" t="s">
        <v>23</v>
      </c>
      <c r="F2623" t="s">
        <v>45</v>
      </c>
      <c r="G2623" t="s">
        <v>51</v>
      </c>
      <c r="H2623" t="s">
        <v>26</v>
      </c>
      <c r="I2623" t="s">
        <v>42</v>
      </c>
      <c r="J2623" t="s">
        <v>58</v>
      </c>
      <c r="K2623">
        <v>1</v>
      </c>
      <c r="L2623" s="2">
        <v>233.81</v>
      </c>
      <c r="M2623" s="3">
        <v>0</v>
      </c>
      <c r="N2623" t="s">
        <v>38</v>
      </c>
      <c r="O2623" s="2">
        <v>233.81</v>
      </c>
      <c r="P2623" s="2">
        <v>158.77000000000001</v>
      </c>
      <c r="Q2623" s="2">
        <v>75.040000000000006</v>
      </c>
      <c r="R2623">
        <v>1</v>
      </c>
      <c r="S2623">
        <v>0</v>
      </c>
      <c r="T2623">
        <v>3</v>
      </c>
      <c r="U2623">
        <v>5</v>
      </c>
    </row>
    <row r="2624" spans="1:21" ht="16.5" x14ac:dyDescent="0.3">
      <c r="A2624" t="s">
        <v>2712</v>
      </c>
      <c r="B2624" s="1">
        <v>45677</v>
      </c>
      <c r="C2624">
        <v>2025</v>
      </c>
      <c r="D2624" t="s">
        <v>22</v>
      </c>
      <c r="E2624" t="s">
        <v>23</v>
      </c>
      <c r="F2624" t="s">
        <v>31</v>
      </c>
      <c r="G2624" t="s">
        <v>49</v>
      </c>
      <c r="H2624" t="s">
        <v>26</v>
      </c>
      <c r="I2624" t="s">
        <v>70</v>
      </c>
      <c r="J2624" t="s">
        <v>129</v>
      </c>
      <c r="K2624">
        <v>1</v>
      </c>
      <c r="L2624" s="2">
        <v>177.65</v>
      </c>
      <c r="M2624" s="3">
        <v>0.05</v>
      </c>
      <c r="N2624" t="s">
        <v>29</v>
      </c>
      <c r="O2624" s="2">
        <v>168.77</v>
      </c>
      <c r="P2624" s="2">
        <v>145.33000000000001</v>
      </c>
      <c r="Q2624" s="2">
        <v>23.44</v>
      </c>
      <c r="R2624">
        <v>1</v>
      </c>
      <c r="S2624">
        <v>0</v>
      </c>
      <c r="T2624">
        <v>4</v>
      </c>
      <c r="U2624">
        <v>4</v>
      </c>
    </row>
    <row r="2625" spans="1:21" ht="16.5" x14ac:dyDescent="0.3">
      <c r="A2625" t="s">
        <v>2713</v>
      </c>
      <c r="B2625" s="1">
        <v>45678</v>
      </c>
      <c r="C2625">
        <v>2025</v>
      </c>
      <c r="D2625" t="s">
        <v>22</v>
      </c>
      <c r="E2625" t="s">
        <v>23</v>
      </c>
      <c r="F2625" t="s">
        <v>24</v>
      </c>
      <c r="G2625" t="s">
        <v>51</v>
      </c>
      <c r="H2625" t="s">
        <v>26</v>
      </c>
      <c r="I2625" t="s">
        <v>36</v>
      </c>
      <c r="J2625" t="s">
        <v>56</v>
      </c>
      <c r="K2625">
        <v>2</v>
      </c>
      <c r="L2625" s="2">
        <v>74.3</v>
      </c>
      <c r="M2625" s="3">
        <v>0.25</v>
      </c>
      <c r="N2625" t="s">
        <v>62</v>
      </c>
      <c r="O2625" s="2">
        <v>111.45</v>
      </c>
      <c r="P2625" s="2">
        <v>70.73</v>
      </c>
      <c r="Q2625" s="2">
        <v>40.72</v>
      </c>
      <c r="R2625">
        <v>1</v>
      </c>
      <c r="S2625">
        <v>0</v>
      </c>
      <c r="T2625">
        <v>2</v>
      </c>
      <c r="U2625">
        <v>4</v>
      </c>
    </row>
    <row r="2626" spans="1:21" ht="16.5" x14ac:dyDescent="0.3">
      <c r="A2626" t="s">
        <v>2714</v>
      </c>
      <c r="B2626" s="1">
        <v>45678</v>
      </c>
      <c r="C2626">
        <v>2025</v>
      </c>
      <c r="D2626" t="s">
        <v>22</v>
      </c>
      <c r="E2626" t="s">
        <v>23</v>
      </c>
      <c r="F2626" t="s">
        <v>24</v>
      </c>
      <c r="G2626" t="s">
        <v>25</v>
      </c>
      <c r="H2626" t="s">
        <v>32</v>
      </c>
      <c r="I2626" t="s">
        <v>36</v>
      </c>
      <c r="J2626" t="s">
        <v>37</v>
      </c>
      <c r="K2626">
        <v>3</v>
      </c>
      <c r="L2626" s="2">
        <v>33.18</v>
      </c>
      <c r="M2626" s="3">
        <v>0</v>
      </c>
      <c r="N2626" t="s">
        <v>38</v>
      </c>
      <c r="O2626" s="2">
        <v>99.54</v>
      </c>
      <c r="P2626" s="2">
        <v>46.8</v>
      </c>
      <c r="Q2626" s="2">
        <v>52.74</v>
      </c>
      <c r="R2626">
        <v>1</v>
      </c>
      <c r="S2626">
        <v>0</v>
      </c>
      <c r="T2626">
        <v>4</v>
      </c>
      <c r="U2626">
        <v>4</v>
      </c>
    </row>
    <row r="2627" spans="1:21" ht="16.5" x14ac:dyDescent="0.3">
      <c r="A2627" t="s">
        <v>2715</v>
      </c>
      <c r="B2627" s="1">
        <v>45678</v>
      </c>
      <c r="C2627">
        <v>2025</v>
      </c>
      <c r="D2627" t="s">
        <v>22</v>
      </c>
      <c r="E2627" t="s">
        <v>23</v>
      </c>
      <c r="F2627" t="s">
        <v>31</v>
      </c>
      <c r="G2627" t="s">
        <v>65</v>
      </c>
      <c r="H2627" t="s">
        <v>26</v>
      </c>
      <c r="I2627" t="s">
        <v>42</v>
      </c>
      <c r="J2627" t="s">
        <v>89</v>
      </c>
      <c r="K2627">
        <v>1</v>
      </c>
      <c r="L2627" s="2">
        <v>68.349999999999994</v>
      </c>
      <c r="M2627" s="3">
        <v>0.05</v>
      </c>
      <c r="N2627" t="s">
        <v>29</v>
      </c>
      <c r="O2627" s="2">
        <v>64.930000000000007</v>
      </c>
      <c r="P2627" s="2">
        <v>45.64</v>
      </c>
      <c r="Q2627" s="2">
        <v>19.29</v>
      </c>
      <c r="R2627">
        <v>1</v>
      </c>
      <c r="S2627">
        <v>0</v>
      </c>
      <c r="T2627">
        <v>6</v>
      </c>
      <c r="U2627">
        <v>4</v>
      </c>
    </row>
    <row r="2628" spans="1:21" ht="16.5" x14ac:dyDescent="0.3">
      <c r="A2628" t="s">
        <v>2716</v>
      </c>
      <c r="B2628" s="1">
        <v>45678</v>
      </c>
      <c r="C2628">
        <v>2025</v>
      </c>
      <c r="D2628" t="s">
        <v>22</v>
      </c>
      <c r="E2628" t="s">
        <v>23</v>
      </c>
      <c r="F2628" t="s">
        <v>24</v>
      </c>
      <c r="G2628" t="s">
        <v>25</v>
      </c>
      <c r="H2628" t="s">
        <v>32</v>
      </c>
      <c r="I2628" t="s">
        <v>27</v>
      </c>
      <c r="J2628" t="s">
        <v>28</v>
      </c>
      <c r="K2628">
        <v>1</v>
      </c>
      <c r="L2628" s="2">
        <v>138.5</v>
      </c>
      <c r="M2628" s="3">
        <v>0</v>
      </c>
      <c r="N2628" t="s">
        <v>38</v>
      </c>
      <c r="O2628" s="2">
        <v>138.5</v>
      </c>
      <c r="P2628" s="2">
        <v>71.73</v>
      </c>
      <c r="Q2628" s="2">
        <v>66.77</v>
      </c>
      <c r="R2628">
        <v>1</v>
      </c>
      <c r="S2628">
        <v>0</v>
      </c>
      <c r="T2628">
        <v>3</v>
      </c>
      <c r="U2628">
        <v>4</v>
      </c>
    </row>
    <row r="2629" spans="1:21" ht="16.5" x14ac:dyDescent="0.3">
      <c r="A2629" t="s">
        <v>2717</v>
      </c>
      <c r="B2629" s="1">
        <v>45678</v>
      </c>
      <c r="C2629">
        <v>2025</v>
      </c>
      <c r="D2629" t="s">
        <v>22</v>
      </c>
      <c r="E2629" t="s">
        <v>23</v>
      </c>
      <c r="F2629" t="s">
        <v>45</v>
      </c>
      <c r="G2629" t="s">
        <v>65</v>
      </c>
      <c r="H2629" t="s">
        <v>32</v>
      </c>
      <c r="I2629" t="s">
        <v>36</v>
      </c>
      <c r="J2629" t="s">
        <v>52</v>
      </c>
      <c r="K2629">
        <v>2</v>
      </c>
      <c r="L2629" s="2">
        <v>92.54</v>
      </c>
      <c r="M2629" s="3">
        <v>0.1</v>
      </c>
      <c r="N2629" t="s">
        <v>29</v>
      </c>
      <c r="O2629" s="2">
        <v>166.57</v>
      </c>
      <c r="P2629" s="2">
        <v>84.24</v>
      </c>
      <c r="Q2629" s="2">
        <v>82.33</v>
      </c>
      <c r="R2629">
        <v>1</v>
      </c>
      <c r="S2629">
        <v>0</v>
      </c>
      <c r="T2629">
        <v>7</v>
      </c>
      <c r="U2629">
        <v>4</v>
      </c>
    </row>
    <row r="2630" spans="1:21" ht="16.5" x14ac:dyDescent="0.3">
      <c r="A2630" t="s">
        <v>2718</v>
      </c>
      <c r="B2630" s="1">
        <v>45678</v>
      </c>
      <c r="C2630">
        <v>2025</v>
      </c>
      <c r="D2630" t="s">
        <v>22</v>
      </c>
      <c r="E2630" t="s">
        <v>23</v>
      </c>
      <c r="F2630" t="s">
        <v>24</v>
      </c>
      <c r="G2630" t="s">
        <v>49</v>
      </c>
      <c r="H2630" t="s">
        <v>32</v>
      </c>
      <c r="I2630" t="s">
        <v>27</v>
      </c>
      <c r="J2630" t="s">
        <v>28</v>
      </c>
      <c r="K2630">
        <v>1</v>
      </c>
      <c r="L2630" s="2">
        <v>138.5</v>
      </c>
      <c r="M2630" s="3">
        <v>0.1</v>
      </c>
      <c r="N2630" t="s">
        <v>29</v>
      </c>
      <c r="O2630" s="2">
        <v>124.65</v>
      </c>
      <c r="P2630" s="2">
        <v>78.209999999999994</v>
      </c>
      <c r="Q2630" s="2">
        <v>46.44</v>
      </c>
      <c r="R2630">
        <v>1</v>
      </c>
      <c r="S2630">
        <v>0</v>
      </c>
      <c r="T2630">
        <v>4</v>
      </c>
      <c r="U2630">
        <v>5</v>
      </c>
    </row>
    <row r="2631" spans="1:21" ht="16.5" x14ac:dyDescent="0.3">
      <c r="A2631" t="s">
        <v>2719</v>
      </c>
      <c r="B2631" s="1">
        <v>45678</v>
      </c>
      <c r="C2631">
        <v>2025</v>
      </c>
      <c r="D2631" t="s">
        <v>22</v>
      </c>
      <c r="E2631" t="s">
        <v>23</v>
      </c>
      <c r="F2631" t="s">
        <v>31</v>
      </c>
      <c r="G2631" t="s">
        <v>46</v>
      </c>
      <c r="H2631" t="s">
        <v>32</v>
      </c>
      <c r="I2631" t="s">
        <v>84</v>
      </c>
      <c r="J2631" t="s">
        <v>223</v>
      </c>
      <c r="K2631">
        <v>1</v>
      </c>
      <c r="L2631" s="2">
        <v>16.97</v>
      </c>
      <c r="M2631" s="3">
        <v>0.15</v>
      </c>
      <c r="N2631" t="s">
        <v>34</v>
      </c>
      <c r="O2631" s="2">
        <v>14.42</v>
      </c>
      <c r="P2631" s="2">
        <v>11.77</v>
      </c>
      <c r="Q2631" s="2">
        <v>2.65</v>
      </c>
      <c r="R2631">
        <v>1</v>
      </c>
      <c r="S2631">
        <v>0</v>
      </c>
      <c r="T2631">
        <v>5</v>
      </c>
      <c r="U2631">
        <v>5</v>
      </c>
    </row>
    <row r="2632" spans="1:21" ht="16.5" x14ac:dyDescent="0.3">
      <c r="A2632" t="s">
        <v>2720</v>
      </c>
      <c r="B2632" s="1">
        <v>45678</v>
      </c>
      <c r="C2632">
        <v>2025</v>
      </c>
      <c r="D2632" t="s">
        <v>22</v>
      </c>
      <c r="E2632" t="s">
        <v>23</v>
      </c>
      <c r="F2632" t="s">
        <v>24</v>
      </c>
      <c r="G2632" t="s">
        <v>25</v>
      </c>
      <c r="H2632" t="s">
        <v>26</v>
      </c>
      <c r="I2632" t="s">
        <v>27</v>
      </c>
      <c r="J2632" t="s">
        <v>33</v>
      </c>
      <c r="K2632">
        <v>1</v>
      </c>
      <c r="L2632" s="2">
        <v>78.510000000000005</v>
      </c>
      <c r="M2632" s="3">
        <v>0</v>
      </c>
      <c r="N2632" t="s">
        <v>38</v>
      </c>
      <c r="O2632" s="2">
        <v>78.510000000000005</v>
      </c>
      <c r="P2632" s="2">
        <v>41.6</v>
      </c>
      <c r="Q2632" s="2">
        <v>36.909999999999997</v>
      </c>
      <c r="R2632">
        <v>1</v>
      </c>
      <c r="S2632">
        <v>0</v>
      </c>
      <c r="T2632">
        <v>3</v>
      </c>
      <c r="U2632">
        <v>4</v>
      </c>
    </row>
    <row r="2633" spans="1:21" ht="16.5" x14ac:dyDescent="0.3">
      <c r="A2633" t="s">
        <v>2721</v>
      </c>
      <c r="B2633" s="1">
        <v>45678</v>
      </c>
      <c r="C2633">
        <v>2025</v>
      </c>
      <c r="D2633" t="s">
        <v>22</v>
      </c>
      <c r="E2633" t="s">
        <v>23</v>
      </c>
      <c r="F2633" t="s">
        <v>31</v>
      </c>
      <c r="G2633" t="s">
        <v>49</v>
      </c>
      <c r="H2633" t="s">
        <v>26</v>
      </c>
      <c r="I2633" t="s">
        <v>84</v>
      </c>
      <c r="J2633" t="s">
        <v>106</v>
      </c>
      <c r="K2633">
        <v>2</v>
      </c>
      <c r="L2633" s="2">
        <v>45.28</v>
      </c>
      <c r="M2633" s="3">
        <v>0.25</v>
      </c>
      <c r="N2633" t="s">
        <v>62</v>
      </c>
      <c r="O2633" s="2">
        <v>67.92</v>
      </c>
      <c r="P2633" s="2">
        <v>64.64</v>
      </c>
      <c r="Q2633" s="2">
        <v>3.28</v>
      </c>
      <c r="R2633">
        <v>1</v>
      </c>
      <c r="S2633">
        <v>0</v>
      </c>
      <c r="T2633">
        <v>3</v>
      </c>
      <c r="U2633">
        <v>4</v>
      </c>
    </row>
    <row r="2634" spans="1:21" ht="16.5" x14ac:dyDescent="0.3">
      <c r="A2634" t="s">
        <v>2722</v>
      </c>
      <c r="B2634" s="1">
        <v>45679</v>
      </c>
      <c r="C2634">
        <v>2025</v>
      </c>
      <c r="D2634" t="s">
        <v>22</v>
      </c>
      <c r="E2634" t="s">
        <v>23</v>
      </c>
      <c r="F2634" t="s">
        <v>31</v>
      </c>
      <c r="G2634" t="s">
        <v>51</v>
      </c>
      <c r="H2634" t="s">
        <v>26</v>
      </c>
      <c r="I2634" t="s">
        <v>67</v>
      </c>
      <c r="J2634" t="s">
        <v>174</v>
      </c>
      <c r="K2634">
        <v>3</v>
      </c>
      <c r="L2634" s="2">
        <v>137.05000000000001</v>
      </c>
      <c r="M2634" s="3">
        <v>0.05</v>
      </c>
      <c r="N2634" t="s">
        <v>29</v>
      </c>
      <c r="O2634" s="2">
        <v>390.59</v>
      </c>
      <c r="P2634" s="2">
        <v>265.33999999999997</v>
      </c>
      <c r="Q2634" s="2">
        <v>125.25</v>
      </c>
      <c r="R2634">
        <v>1</v>
      </c>
      <c r="S2634">
        <v>0</v>
      </c>
      <c r="T2634">
        <v>3</v>
      </c>
      <c r="U2634">
        <v>4</v>
      </c>
    </row>
    <row r="2635" spans="1:21" ht="16.5" x14ac:dyDescent="0.3">
      <c r="A2635" t="s">
        <v>2723</v>
      </c>
      <c r="B2635" s="1">
        <v>45679</v>
      </c>
      <c r="C2635">
        <v>2025</v>
      </c>
      <c r="D2635" t="s">
        <v>22</v>
      </c>
      <c r="E2635" t="s">
        <v>23</v>
      </c>
      <c r="F2635" t="s">
        <v>24</v>
      </c>
      <c r="G2635" t="s">
        <v>49</v>
      </c>
      <c r="H2635" t="s">
        <v>26</v>
      </c>
      <c r="I2635" t="s">
        <v>42</v>
      </c>
      <c r="J2635" t="s">
        <v>76</v>
      </c>
      <c r="K2635">
        <v>2</v>
      </c>
      <c r="L2635" s="2">
        <v>90.75</v>
      </c>
      <c r="M2635" s="3">
        <v>0.05</v>
      </c>
      <c r="N2635" t="s">
        <v>29</v>
      </c>
      <c r="O2635" s="2">
        <v>172.42</v>
      </c>
      <c r="P2635" s="2">
        <v>120.63</v>
      </c>
      <c r="Q2635" s="2">
        <v>51.79</v>
      </c>
      <c r="R2635">
        <v>1</v>
      </c>
      <c r="S2635">
        <v>0</v>
      </c>
      <c r="T2635">
        <v>4</v>
      </c>
      <c r="U2635">
        <v>5</v>
      </c>
    </row>
    <row r="2636" spans="1:21" ht="16.5" x14ac:dyDescent="0.3">
      <c r="A2636" t="s">
        <v>2724</v>
      </c>
      <c r="B2636" s="1">
        <v>45679</v>
      </c>
      <c r="C2636">
        <v>2025</v>
      </c>
      <c r="D2636" t="s">
        <v>22</v>
      </c>
      <c r="E2636" t="s">
        <v>23</v>
      </c>
      <c r="F2636" t="s">
        <v>31</v>
      </c>
      <c r="G2636" t="s">
        <v>49</v>
      </c>
      <c r="H2636" t="s">
        <v>26</v>
      </c>
      <c r="I2636" t="s">
        <v>27</v>
      </c>
      <c r="J2636" t="s">
        <v>40</v>
      </c>
      <c r="K2636">
        <v>1</v>
      </c>
      <c r="L2636" s="2">
        <v>104.94</v>
      </c>
      <c r="M2636" s="3">
        <v>0.15</v>
      </c>
      <c r="N2636" t="s">
        <v>34</v>
      </c>
      <c r="O2636" s="2">
        <v>89.2</v>
      </c>
      <c r="P2636" s="2">
        <v>57.44</v>
      </c>
      <c r="Q2636" s="2">
        <v>31.76</v>
      </c>
      <c r="R2636">
        <v>1</v>
      </c>
      <c r="S2636">
        <v>0</v>
      </c>
      <c r="T2636">
        <v>4</v>
      </c>
      <c r="U2636">
        <v>4</v>
      </c>
    </row>
    <row r="2637" spans="1:21" ht="16.5" x14ac:dyDescent="0.3">
      <c r="A2637" t="s">
        <v>2725</v>
      </c>
      <c r="B2637" s="1">
        <v>45679</v>
      </c>
      <c r="C2637">
        <v>2025</v>
      </c>
      <c r="D2637" t="s">
        <v>22</v>
      </c>
      <c r="E2637" t="s">
        <v>23</v>
      </c>
      <c r="F2637" t="s">
        <v>31</v>
      </c>
      <c r="G2637" t="s">
        <v>51</v>
      </c>
      <c r="H2637" t="s">
        <v>32</v>
      </c>
      <c r="I2637" t="s">
        <v>36</v>
      </c>
      <c r="J2637" t="s">
        <v>37</v>
      </c>
      <c r="K2637">
        <v>2</v>
      </c>
      <c r="L2637" s="2">
        <v>33.18</v>
      </c>
      <c r="M2637" s="3">
        <v>0</v>
      </c>
      <c r="N2637" t="s">
        <v>38</v>
      </c>
      <c r="O2637" s="2">
        <v>66.36</v>
      </c>
      <c r="P2637" s="2">
        <v>32.090000000000003</v>
      </c>
      <c r="Q2637" s="2">
        <v>34.270000000000003</v>
      </c>
      <c r="R2637">
        <v>1</v>
      </c>
      <c r="S2637">
        <v>0</v>
      </c>
      <c r="T2637">
        <v>3</v>
      </c>
      <c r="U2637">
        <v>4</v>
      </c>
    </row>
    <row r="2638" spans="1:21" ht="16.5" x14ac:dyDescent="0.3">
      <c r="A2638" t="s">
        <v>2726</v>
      </c>
      <c r="B2638" s="1">
        <v>45680</v>
      </c>
      <c r="C2638">
        <v>2025</v>
      </c>
      <c r="D2638" t="s">
        <v>22</v>
      </c>
      <c r="E2638" t="s">
        <v>23</v>
      </c>
      <c r="F2638" t="s">
        <v>31</v>
      </c>
      <c r="G2638" t="s">
        <v>51</v>
      </c>
      <c r="H2638" t="s">
        <v>32</v>
      </c>
      <c r="I2638" t="s">
        <v>36</v>
      </c>
      <c r="J2638" t="s">
        <v>52</v>
      </c>
      <c r="K2638">
        <v>1</v>
      </c>
      <c r="L2638" s="2">
        <v>92.54</v>
      </c>
      <c r="M2638" s="3">
        <v>0.05</v>
      </c>
      <c r="N2638" t="s">
        <v>29</v>
      </c>
      <c r="O2638" s="2">
        <v>87.91</v>
      </c>
      <c r="P2638" s="2">
        <v>42.15</v>
      </c>
      <c r="Q2638" s="2">
        <v>45.76</v>
      </c>
      <c r="R2638">
        <v>1</v>
      </c>
      <c r="S2638">
        <v>1</v>
      </c>
      <c r="T2638">
        <v>3</v>
      </c>
      <c r="U2638">
        <v>4</v>
      </c>
    </row>
    <row r="2639" spans="1:21" ht="16.5" x14ac:dyDescent="0.3">
      <c r="A2639" t="s">
        <v>2727</v>
      </c>
      <c r="B2639" s="1">
        <v>45680</v>
      </c>
      <c r="C2639">
        <v>2025</v>
      </c>
      <c r="D2639" t="s">
        <v>22</v>
      </c>
      <c r="E2639" t="s">
        <v>23</v>
      </c>
      <c r="F2639" t="s">
        <v>31</v>
      </c>
      <c r="G2639" t="s">
        <v>65</v>
      </c>
      <c r="H2639" t="s">
        <v>26</v>
      </c>
      <c r="I2639" t="s">
        <v>84</v>
      </c>
      <c r="J2639" t="s">
        <v>106</v>
      </c>
      <c r="K2639">
        <v>1</v>
      </c>
      <c r="L2639" s="2">
        <v>45.28</v>
      </c>
      <c r="M2639" s="3">
        <v>0</v>
      </c>
      <c r="N2639" t="s">
        <v>38</v>
      </c>
      <c r="O2639" s="2">
        <v>45.28</v>
      </c>
      <c r="P2639" s="2">
        <v>31.97</v>
      </c>
      <c r="Q2639" s="2">
        <v>13.31</v>
      </c>
      <c r="R2639">
        <v>1</v>
      </c>
      <c r="S2639">
        <v>0</v>
      </c>
      <c r="T2639">
        <v>6</v>
      </c>
      <c r="U2639">
        <v>4</v>
      </c>
    </row>
    <row r="2640" spans="1:21" ht="16.5" x14ac:dyDescent="0.3">
      <c r="A2640" t="s">
        <v>2728</v>
      </c>
      <c r="B2640" s="1">
        <v>45680</v>
      </c>
      <c r="C2640">
        <v>2025</v>
      </c>
      <c r="D2640" t="s">
        <v>22</v>
      </c>
      <c r="E2640" t="s">
        <v>23</v>
      </c>
      <c r="F2640" t="s">
        <v>24</v>
      </c>
      <c r="G2640" t="s">
        <v>51</v>
      </c>
      <c r="H2640" t="s">
        <v>26</v>
      </c>
      <c r="I2640" t="s">
        <v>84</v>
      </c>
      <c r="J2640" t="s">
        <v>106</v>
      </c>
      <c r="K2640">
        <v>1</v>
      </c>
      <c r="L2640" s="2">
        <v>45.28</v>
      </c>
      <c r="M2640" s="3">
        <v>0</v>
      </c>
      <c r="N2640" t="s">
        <v>38</v>
      </c>
      <c r="O2640" s="2">
        <v>45.28</v>
      </c>
      <c r="P2640" s="2">
        <v>34.43</v>
      </c>
      <c r="Q2640" s="2">
        <v>10.85</v>
      </c>
      <c r="R2640">
        <v>1</v>
      </c>
      <c r="S2640">
        <v>0</v>
      </c>
      <c r="T2640">
        <v>4</v>
      </c>
      <c r="U2640">
        <v>4</v>
      </c>
    </row>
    <row r="2641" spans="1:21" ht="16.5" x14ac:dyDescent="0.3">
      <c r="A2641" t="s">
        <v>2729</v>
      </c>
      <c r="B2641" s="1">
        <v>45680</v>
      </c>
      <c r="C2641">
        <v>2025</v>
      </c>
      <c r="D2641" t="s">
        <v>22</v>
      </c>
      <c r="E2641" t="s">
        <v>23</v>
      </c>
      <c r="F2641" t="s">
        <v>45</v>
      </c>
      <c r="G2641" t="s">
        <v>25</v>
      </c>
      <c r="H2641" t="s">
        <v>32</v>
      </c>
      <c r="I2641" t="s">
        <v>27</v>
      </c>
      <c r="J2641" t="s">
        <v>28</v>
      </c>
      <c r="K2641">
        <v>3</v>
      </c>
      <c r="L2641" s="2">
        <v>138.5</v>
      </c>
      <c r="M2641" s="3">
        <v>0</v>
      </c>
      <c r="N2641" t="s">
        <v>38</v>
      </c>
      <c r="O2641" s="2">
        <v>415.5</v>
      </c>
      <c r="P2641" s="2">
        <v>222.47</v>
      </c>
      <c r="Q2641" s="2">
        <v>193.03</v>
      </c>
      <c r="R2641">
        <v>1</v>
      </c>
      <c r="S2641">
        <v>1</v>
      </c>
      <c r="T2641">
        <v>3</v>
      </c>
      <c r="U2641">
        <v>3</v>
      </c>
    </row>
    <row r="2642" spans="1:21" ht="16.5" x14ac:dyDescent="0.3">
      <c r="A2642" t="s">
        <v>2730</v>
      </c>
      <c r="B2642" s="1">
        <v>45680</v>
      </c>
      <c r="C2642">
        <v>2025</v>
      </c>
      <c r="D2642" t="s">
        <v>22</v>
      </c>
      <c r="E2642" t="s">
        <v>23</v>
      </c>
      <c r="F2642" t="s">
        <v>31</v>
      </c>
      <c r="G2642" t="s">
        <v>49</v>
      </c>
      <c r="H2642" t="s">
        <v>32</v>
      </c>
      <c r="I2642" t="s">
        <v>67</v>
      </c>
      <c r="J2642" t="s">
        <v>78</v>
      </c>
      <c r="K2642">
        <v>1</v>
      </c>
      <c r="L2642" s="2">
        <v>85.42</v>
      </c>
      <c r="M2642" s="3">
        <v>0.05</v>
      </c>
      <c r="N2642" t="s">
        <v>29</v>
      </c>
      <c r="O2642" s="2">
        <v>81.150000000000006</v>
      </c>
      <c r="P2642" s="2">
        <v>60.73</v>
      </c>
      <c r="Q2642" s="2">
        <v>20.420000000000002</v>
      </c>
      <c r="R2642">
        <v>1</v>
      </c>
      <c r="S2642">
        <v>0</v>
      </c>
      <c r="T2642">
        <v>4</v>
      </c>
      <c r="U2642">
        <v>4</v>
      </c>
    </row>
    <row r="2643" spans="1:21" ht="16.5" x14ac:dyDescent="0.3">
      <c r="A2643" t="s">
        <v>2731</v>
      </c>
      <c r="B2643" s="1">
        <v>45680</v>
      </c>
      <c r="C2643">
        <v>2025</v>
      </c>
      <c r="D2643" t="s">
        <v>22</v>
      </c>
      <c r="E2643" t="s">
        <v>23</v>
      </c>
      <c r="F2643" t="s">
        <v>31</v>
      </c>
      <c r="G2643" t="s">
        <v>51</v>
      </c>
      <c r="H2643" t="s">
        <v>26</v>
      </c>
      <c r="I2643" t="s">
        <v>27</v>
      </c>
      <c r="J2643" t="s">
        <v>47</v>
      </c>
      <c r="K2643">
        <v>2</v>
      </c>
      <c r="L2643" s="2">
        <v>33.99</v>
      </c>
      <c r="M2643" s="3">
        <v>0.1</v>
      </c>
      <c r="N2643" t="s">
        <v>29</v>
      </c>
      <c r="O2643" s="2">
        <v>61.18</v>
      </c>
      <c r="P2643" s="2">
        <v>36.450000000000003</v>
      </c>
      <c r="Q2643" s="2">
        <v>24.73</v>
      </c>
      <c r="R2643">
        <v>1</v>
      </c>
      <c r="S2643">
        <v>0</v>
      </c>
      <c r="T2643">
        <v>3</v>
      </c>
      <c r="U2643">
        <v>4</v>
      </c>
    </row>
    <row r="2644" spans="1:21" ht="16.5" x14ac:dyDescent="0.3">
      <c r="A2644" t="s">
        <v>2732</v>
      </c>
      <c r="B2644" s="1">
        <v>45681</v>
      </c>
      <c r="C2644">
        <v>2025</v>
      </c>
      <c r="D2644" t="s">
        <v>22</v>
      </c>
      <c r="E2644" t="s">
        <v>23</v>
      </c>
      <c r="F2644" t="s">
        <v>31</v>
      </c>
      <c r="G2644" t="s">
        <v>51</v>
      </c>
      <c r="H2644" t="s">
        <v>32</v>
      </c>
      <c r="I2644" t="s">
        <v>42</v>
      </c>
      <c r="J2644" t="s">
        <v>43</v>
      </c>
      <c r="K2644">
        <v>2</v>
      </c>
      <c r="L2644" s="2">
        <v>154.66</v>
      </c>
      <c r="M2644" s="3">
        <v>0</v>
      </c>
      <c r="N2644" t="s">
        <v>38</v>
      </c>
      <c r="O2644" s="2">
        <v>309.32</v>
      </c>
      <c r="P2644" s="2">
        <v>200.65</v>
      </c>
      <c r="Q2644" s="2">
        <v>108.67</v>
      </c>
      <c r="R2644">
        <v>1</v>
      </c>
      <c r="S2644">
        <v>0</v>
      </c>
      <c r="T2644">
        <v>3</v>
      </c>
      <c r="U2644">
        <v>5</v>
      </c>
    </row>
    <row r="2645" spans="1:21" ht="16.5" x14ac:dyDescent="0.3">
      <c r="A2645" t="s">
        <v>2733</v>
      </c>
      <c r="B2645" s="1">
        <v>45681</v>
      </c>
      <c r="C2645">
        <v>2025</v>
      </c>
      <c r="D2645" t="s">
        <v>22</v>
      </c>
      <c r="E2645" t="s">
        <v>23</v>
      </c>
      <c r="F2645" t="s">
        <v>24</v>
      </c>
      <c r="G2645" t="s">
        <v>51</v>
      </c>
      <c r="H2645" t="s">
        <v>26</v>
      </c>
      <c r="I2645" t="s">
        <v>27</v>
      </c>
      <c r="J2645" t="s">
        <v>40</v>
      </c>
      <c r="K2645">
        <v>1</v>
      </c>
      <c r="L2645" s="2">
        <v>104.94</v>
      </c>
      <c r="M2645" s="3">
        <v>0</v>
      </c>
      <c r="N2645" t="s">
        <v>38</v>
      </c>
      <c r="O2645" s="2">
        <v>104.94</v>
      </c>
      <c r="P2645" s="2">
        <v>54.07</v>
      </c>
      <c r="Q2645" s="2">
        <v>50.87</v>
      </c>
      <c r="R2645">
        <v>1</v>
      </c>
      <c r="S2645">
        <v>0</v>
      </c>
      <c r="T2645">
        <v>4</v>
      </c>
      <c r="U2645">
        <v>4</v>
      </c>
    </row>
    <row r="2646" spans="1:21" ht="16.5" x14ac:dyDescent="0.3">
      <c r="A2646" t="s">
        <v>2734</v>
      </c>
      <c r="B2646" s="1">
        <v>45681</v>
      </c>
      <c r="C2646">
        <v>2025</v>
      </c>
      <c r="D2646" t="s">
        <v>22</v>
      </c>
      <c r="E2646" t="s">
        <v>23</v>
      </c>
      <c r="F2646" t="s">
        <v>24</v>
      </c>
      <c r="G2646" t="s">
        <v>51</v>
      </c>
      <c r="H2646" t="s">
        <v>26</v>
      </c>
      <c r="I2646" t="s">
        <v>27</v>
      </c>
      <c r="J2646" t="s">
        <v>110</v>
      </c>
      <c r="K2646">
        <v>2</v>
      </c>
      <c r="L2646" s="2">
        <v>19.41</v>
      </c>
      <c r="M2646" s="3">
        <v>0.2</v>
      </c>
      <c r="N2646" t="s">
        <v>34</v>
      </c>
      <c r="O2646" s="2">
        <v>31.06</v>
      </c>
      <c r="P2646" s="2">
        <v>20.65</v>
      </c>
      <c r="Q2646" s="2">
        <v>10.41</v>
      </c>
      <c r="R2646">
        <v>1</v>
      </c>
      <c r="S2646">
        <v>0</v>
      </c>
      <c r="T2646">
        <v>2</v>
      </c>
      <c r="U2646">
        <v>4</v>
      </c>
    </row>
    <row r="2647" spans="1:21" ht="16.5" x14ac:dyDescent="0.3">
      <c r="A2647" t="s">
        <v>2735</v>
      </c>
      <c r="B2647" s="1">
        <v>45681</v>
      </c>
      <c r="C2647">
        <v>2025</v>
      </c>
      <c r="D2647" t="s">
        <v>22</v>
      </c>
      <c r="E2647" t="s">
        <v>23</v>
      </c>
      <c r="F2647" t="s">
        <v>24</v>
      </c>
      <c r="G2647" t="s">
        <v>51</v>
      </c>
      <c r="H2647" t="s">
        <v>26</v>
      </c>
      <c r="I2647" t="s">
        <v>67</v>
      </c>
      <c r="J2647" t="s">
        <v>68</v>
      </c>
      <c r="K2647">
        <v>1</v>
      </c>
      <c r="L2647" s="2">
        <v>74.459999999999994</v>
      </c>
      <c r="M2647" s="3">
        <v>0</v>
      </c>
      <c r="N2647" t="s">
        <v>38</v>
      </c>
      <c r="O2647" s="2">
        <v>74.459999999999994</v>
      </c>
      <c r="P2647" s="2">
        <v>49.79</v>
      </c>
      <c r="Q2647" s="2">
        <v>24.67</v>
      </c>
      <c r="R2647">
        <v>1</v>
      </c>
      <c r="S2647">
        <v>0</v>
      </c>
      <c r="T2647">
        <v>5</v>
      </c>
      <c r="U2647">
        <v>5</v>
      </c>
    </row>
    <row r="2648" spans="1:21" ht="16.5" x14ac:dyDescent="0.3">
      <c r="A2648" t="s">
        <v>2736</v>
      </c>
      <c r="B2648" s="1">
        <v>45682</v>
      </c>
      <c r="C2648">
        <v>2025</v>
      </c>
      <c r="D2648" t="s">
        <v>22</v>
      </c>
      <c r="E2648" t="s">
        <v>23</v>
      </c>
      <c r="F2648" t="s">
        <v>31</v>
      </c>
      <c r="G2648" t="s">
        <v>51</v>
      </c>
      <c r="H2648" t="s">
        <v>26</v>
      </c>
      <c r="I2648" t="s">
        <v>27</v>
      </c>
      <c r="J2648" t="s">
        <v>47</v>
      </c>
      <c r="K2648">
        <v>1</v>
      </c>
      <c r="L2648" s="2">
        <v>33.99</v>
      </c>
      <c r="M2648" s="3">
        <v>0</v>
      </c>
      <c r="N2648" t="s">
        <v>38</v>
      </c>
      <c r="O2648" s="2">
        <v>33.99</v>
      </c>
      <c r="P2648" s="2">
        <v>18.22</v>
      </c>
      <c r="Q2648" s="2">
        <v>15.77</v>
      </c>
      <c r="R2648">
        <v>1</v>
      </c>
      <c r="S2648">
        <v>0</v>
      </c>
      <c r="T2648">
        <v>2</v>
      </c>
      <c r="U2648">
        <v>3</v>
      </c>
    </row>
    <row r="2649" spans="1:21" ht="16.5" x14ac:dyDescent="0.3">
      <c r="A2649" t="s">
        <v>2737</v>
      </c>
      <c r="B2649" s="1">
        <v>45682</v>
      </c>
      <c r="C2649">
        <v>2025</v>
      </c>
      <c r="D2649" t="s">
        <v>22</v>
      </c>
      <c r="E2649" t="s">
        <v>23</v>
      </c>
      <c r="F2649" t="s">
        <v>31</v>
      </c>
      <c r="G2649" t="s">
        <v>25</v>
      </c>
      <c r="H2649" t="s">
        <v>26</v>
      </c>
      <c r="I2649" t="s">
        <v>27</v>
      </c>
      <c r="J2649" t="s">
        <v>40</v>
      </c>
      <c r="K2649">
        <v>1</v>
      </c>
      <c r="L2649" s="2">
        <v>104.94</v>
      </c>
      <c r="M2649" s="3">
        <v>0.1</v>
      </c>
      <c r="N2649" t="s">
        <v>29</v>
      </c>
      <c r="O2649" s="2">
        <v>94.45</v>
      </c>
      <c r="P2649" s="2">
        <v>55.74</v>
      </c>
      <c r="Q2649" s="2">
        <v>38.71</v>
      </c>
      <c r="R2649">
        <v>1</v>
      </c>
      <c r="S2649">
        <v>0</v>
      </c>
      <c r="T2649">
        <v>7</v>
      </c>
      <c r="U2649">
        <v>4</v>
      </c>
    </row>
    <row r="2650" spans="1:21" ht="16.5" x14ac:dyDescent="0.3">
      <c r="A2650" t="s">
        <v>2738</v>
      </c>
      <c r="B2650" s="1">
        <v>45682</v>
      </c>
      <c r="C2650">
        <v>2025</v>
      </c>
      <c r="D2650" t="s">
        <v>22</v>
      </c>
      <c r="E2650" t="s">
        <v>23</v>
      </c>
      <c r="F2650" t="s">
        <v>31</v>
      </c>
      <c r="G2650" t="s">
        <v>51</v>
      </c>
      <c r="H2650" t="s">
        <v>32</v>
      </c>
      <c r="I2650" t="s">
        <v>42</v>
      </c>
      <c r="J2650" t="s">
        <v>76</v>
      </c>
      <c r="K2650">
        <v>2</v>
      </c>
      <c r="L2650" s="2">
        <v>90.75</v>
      </c>
      <c r="M2650" s="3">
        <v>0.1</v>
      </c>
      <c r="N2650" t="s">
        <v>29</v>
      </c>
      <c r="O2650" s="2">
        <v>163.35</v>
      </c>
      <c r="P2650" s="2">
        <v>119.27</v>
      </c>
      <c r="Q2650" s="2">
        <v>44.08</v>
      </c>
      <c r="R2650">
        <v>1</v>
      </c>
      <c r="S2650">
        <v>0</v>
      </c>
      <c r="T2650">
        <v>3</v>
      </c>
      <c r="U2650">
        <v>5</v>
      </c>
    </row>
    <row r="2651" spans="1:21" ht="16.5" x14ac:dyDescent="0.3">
      <c r="A2651" t="s">
        <v>2739</v>
      </c>
      <c r="B2651" s="1">
        <v>45682</v>
      </c>
      <c r="C2651">
        <v>2025</v>
      </c>
      <c r="D2651" t="s">
        <v>22</v>
      </c>
      <c r="E2651" t="s">
        <v>23</v>
      </c>
      <c r="F2651" t="s">
        <v>45</v>
      </c>
      <c r="G2651" t="s">
        <v>25</v>
      </c>
      <c r="H2651" t="s">
        <v>26</v>
      </c>
      <c r="I2651" t="s">
        <v>84</v>
      </c>
      <c r="J2651" t="s">
        <v>132</v>
      </c>
      <c r="K2651">
        <v>1</v>
      </c>
      <c r="L2651" s="2">
        <v>48.86</v>
      </c>
      <c r="M2651" s="3">
        <v>0.1</v>
      </c>
      <c r="N2651" t="s">
        <v>29</v>
      </c>
      <c r="O2651" s="2">
        <v>43.97</v>
      </c>
      <c r="P2651" s="2">
        <v>37.090000000000003</v>
      </c>
      <c r="Q2651" s="2">
        <v>6.88</v>
      </c>
      <c r="R2651">
        <v>1</v>
      </c>
      <c r="S2651">
        <v>0</v>
      </c>
      <c r="T2651">
        <v>4</v>
      </c>
      <c r="U2651">
        <v>5</v>
      </c>
    </row>
    <row r="2652" spans="1:21" ht="16.5" x14ac:dyDescent="0.3">
      <c r="A2652" t="s">
        <v>2740</v>
      </c>
      <c r="B2652" s="1">
        <v>45682</v>
      </c>
      <c r="C2652">
        <v>2025</v>
      </c>
      <c r="D2652" t="s">
        <v>22</v>
      </c>
      <c r="E2652" t="s">
        <v>23</v>
      </c>
      <c r="F2652" t="s">
        <v>24</v>
      </c>
      <c r="G2652" t="s">
        <v>49</v>
      </c>
      <c r="H2652" t="s">
        <v>32</v>
      </c>
      <c r="I2652" t="s">
        <v>70</v>
      </c>
      <c r="J2652" t="s">
        <v>252</v>
      </c>
      <c r="K2652">
        <v>1</v>
      </c>
      <c r="L2652" s="2">
        <v>216.08</v>
      </c>
      <c r="M2652" s="3">
        <v>0.3</v>
      </c>
      <c r="N2652" t="s">
        <v>62</v>
      </c>
      <c r="O2652" s="2">
        <v>151.26</v>
      </c>
      <c r="P2652" s="2">
        <v>171.1</v>
      </c>
      <c r="Q2652" s="2">
        <v>-19.84</v>
      </c>
      <c r="R2652">
        <v>1</v>
      </c>
      <c r="S2652">
        <v>0</v>
      </c>
      <c r="T2652">
        <v>3</v>
      </c>
      <c r="U2652">
        <v>4</v>
      </c>
    </row>
    <row r="2653" spans="1:21" ht="16.5" x14ac:dyDescent="0.3">
      <c r="A2653" t="s">
        <v>2741</v>
      </c>
      <c r="B2653" s="1">
        <v>45682</v>
      </c>
      <c r="C2653">
        <v>2025</v>
      </c>
      <c r="D2653" t="s">
        <v>22</v>
      </c>
      <c r="E2653" t="s">
        <v>23</v>
      </c>
      <c r="F2653" t="s">
        <v>31</v>
      </c>
      <c r="G2653" t="s">
        <v>25</v>
      </c>
      <c r="H2653" t="s">
        <v>26</v>
      </c>
      <c r="I2653" t="s">
        <v>27</v>
      </c>
      <c r="J2653" t="s">
        <v>40</v>
      </c>
      <c r="K2653">
        <v>2</v>
      </c>
      <c r="L2653" s="2">
        <v>104.94</v>
      </c>
      <c r="M2653" s="3">
        <v>0</v>
      </c>
      <c r="N2653" t="s">
        <v>38</v>
      </c>
      <c r="O2653" s="2">
        <v>209.88</v>
      </c>
      <c r="P2653" s="2">
        <v>112.3</v>
      </c>
      <c r="Q2653" s="2">
        <v>97.58</v>
      </c>
      <c r="R2653">
        <v>1</v>
      </c>
      <c r="S2653">
        <v>0</v>
      </c>
      <c r="T2653">
        <v>4</v>
      </c>
      <c r="U2653">
        <v>5</v>
      </c>
    </row>
    <row r="2654" spans="1:21" ht="16.5" x14ac:dyDescent="0.3">
      <c r="A2654" t="s">
        <v>2742</v>
      </c>
      <c r="B2654" s="1">
        <v>45682</v>
      </c>
      <c r="C2654">
        <v>2025</v>
      </c>
      <c r="D2654" t="s">
        <v>22</v>
      </c>
      <c r="E2654" t="s">
        <v>23</v>
      </c>
      <c r="F2654" t="s">
        <v>45</v>
      </c>
      <c r="G2654" t="s">
        <v>51</v>
      </c>
      <c r="H2654" t="s">
        <v>26</v>
      </c>
      <c r="I2654" t="s">
        <v>36</v>
      </c>
      <c r="J2654" t="s">
        <v>52</v>
      </c>
      <c r="K2654">
        <v>1</v>
      </c>
      <c r="L2654" s="2">
        <v>92.54</v>
      </c>
      <c r="M2654" s="3">
        <v>0.05</v>
      </c>
      <c r="N2654" t="s">
        <v>29</v>
      </c>
      <c r="O2654" s="2">
        <v>87.91</v>
      </c>
      <c r="P2654" s="2">
        <v>44.72</v>
      </c>
      <c r="Q2654" s="2">
        <v>43.19</v>
      </c>
      <c r="R2654">
        <v>1</v>
      </c>
      <c r="S2654">
        <v>0</v>
      </c>
      <c r="T2654">
        <v>4</v>
      </c>
      <c r="U2654">
        <v>4</v>
      </c>
    </row>
    <row r="2655" spans="1:21" ht="16.5" x14ac:dyDescent="0.3">
      <c r="A2655" t="s">
        <v>2743</v>
      </c>
      <c r="B2655" s="1">
        <v>45683</v>
      </c>
      <c r="C2655">
        <v>2025</v>
      </c>
      <c r="D2655" t="s">
        <v>22</v>
      </c>
      <c r="E2655" t="s">
        <v>23</v>
      </c>
      <c r="F2655" t="s">
        <v>45</v>
      </c>
      <c r="G2655" t="s">
        <v>49</v>
      </c>
      <c r="H2655" t="s">
        <v>26</v>
      </c>
      <c r="I2655" t="s">
        <v>67</v>
      </c>
      <c r="J2655" t="s">
        <v>68</v>
      </c>
      <c r="K2655">
        <v>1</v>
      </c>
      <c r="L2655" s="2">
        <v>74.459999999999994</v>
      </c>
      <c r="M2655" s="3">
        <v>0.05</v>
      </c>
      <c r="N2655" t="s">
        <v>29</v>
      </c>
      <c r="O2655" s="2">
        <v>70.739999999999995</v>
      </c>
      <c r="P2655" s="2">
        <v>50.81</v>
      </c>
      <c r="Q2655" s="2">
        <v>19.93</v>
      </c>
      <c r="R2655">
        <v>1</v>
      </c>
      <c r="S2655">
        <v>0</v>
      </c>
      <c r="T2655">
        <v>7</v>
      </c>
      <c r="U2655">
        <v>3</v>
      </c>
    </row>
    <row r="2656" spans="1:21" ht="16.5" x14ac:dyDescent="0.3">
      <c r="A2656" t="s">
        <v>2744</v>
      </c>
      <c r="B2656" s="1">
        <v>45683</v>
      </c>
      <c r="C2656">
        <v>2025</v>
      </c>
      <c r="D2656" t="s">
        <v>22</v>
      </c>
      <c r="E2656" t="s">
        <v>23</v>
      </c>
      <c r="F2656" t="s">
        <v>24</v>
      </c>
      <c r="G2656" t="s">
        <v>51</v>
      </c>
      <c r="H2656" t="s">
        <v>32</v>
      </c>
      <c r="I2656" t="s">
        <v>67</v>
      </c>
      <c r="J2656" t="s">
        <v>93</v>
      </c>
      <c r="K2656">
        <v>1</v>
      </c>
      <c r="L2656" s="2">
        <v>198.42</v>
      </c>
      <c r="M2656" s="3">
        <v>0.15</v>
      </c>
      <c r="N2656" t="s">
        <v>34</v>
      </c>
      <c r="O2656" s="2">
        <v>168.66</v>
      </c>
      <c r="P2656" s="2">
        <v>134.21</v>
      </c>
      <c r="Q2656" s="2">
        <v>34.450000000000003</v>
      </c>
      <c r="R2656">
        <v>1</v>
      </c>
      <c r="S2656">
        <v>0</v>
      </c>
      <c r="T2656">
        <v>3</v>
      </c>
      <c r="U2656">
        <v>5</v>
      </c>
    </row>
    <row r="2657" spans="1:21" ht="16.5" x14ac:dyDescent="0.3">
      <c r="A2657" t="s">
        <v>2745</v>
      </c>
      <c r="B2657" s="1">
        <v>45683</v>
      </c>
      <c r="C2657">
        <v>2025</v>
      </c>
      <c r="D2657" t="s">
        <v>22</v>
      </c>
      <c r="E2657" t="s">
        <v>23</v>
      </c>
      <c r="F2657" t="s">
        <v>31</v>
      </c>
      <c r="G2657" t="s">
        <v>25</v>
      </c>
      <c r="H2657" t="s">
        <v>32</v>
      </c>
      <c r="I2657" t="s">
        <v>27</v>
      </c>
      <c r="J2657" t="s">
        <v>28</v>
      </c>
      <c r="K2657">
        <v>1</v>
      </c>
      <c r="L2657" s="2">
        <v>138.5</v>
      </c>
      <c r="M2657" s="3">
        <v>0.05</v>
      </c>
      <c r="N2657" t="s">
        <v>29</v>
      </c>
      <c r="O2657" s="2">
        <v>131.57</v>
      </c>
      <c r="P2657" s="2">
        <v>71.98</v>
      </c>
      <c r="Q2657" s="2">
        <v>59.59</v>
      </c>
      <c r="R2657">
        <v>1</v>
      </c>
      <c r="S2657">
        <v>0</v>
      </c>
      <c r="T2657">
        <v>5</v>
      </c>
      <c r="U2657">
        <v>4</v>
      </c>
    </row>
    <row r="2658" spans="1:21" ht="16.5" x14ac:dyDescent="0.3">
      <c r="A2658" t="s">
        <v>2746</v>
      </c>
      <c r="B2658" s="1">
        <v>45683</v>
      </c>
      <c r="C2658">
        <v>2025</v>
      </c>
      <c r="D2658" t="s">
        <v>22</v>
      </c>
      <c r="E2658" t="s">
        <v>23</v>
      </c>
      <c r="F2658" t="s">
        <v>31</v>
      </c>
      <c r="G2658" t="s">
        <v>25</v>
      </c>
      <c r="H2658" t="s">
        <v>26</v>
      </c>
      <c r="I2658" t="s">
        <v>36</v>
      </c>
      <c r="J2658" t="s">
        <v>126</v>
      </c>
      <c r="K2658">
        <v>1</v>
      </c>
      <c r="L2658" s="2">
        <v>54.56</v>
      </c>
      <c r="M2658" s="3">
        <v>0</v>
      </c>
      <c r="N2658" t="s">
        <v>38</v>
      </c>
      <c r="O2658" s="2">
        <v>54.56</v>
      </c>
      <c r="P2658" s="2">
        <v>26.22</v>
      </c>
      <c r="Q2658" s="2">
        <v>28.34</v>
      </c>
      <c r="R2658">
        <v>1</v>
      </c>
      <c r="S2658">
        <v>0</v>
      </c>
      <c r="T2658">
        <v>6</v>
      </c>
      <c r="U2658">
        <v>2</v>
      </c>
    </row>
    <row r="2659" spans="1:21" ht="16.5" x14ac:dyDescent="0.3">
      <c r="A2659" t="s">
        <v>2747</v>
      </c>
      <c r="B2659" s="1">
        <v>45683</v>
      </c>
      <c r="C2659">
        <v>2025</v>
      </c>
      <c r="D2659" t="s">
        <v>22</v>
      </c>
      <c r="E2659" t="s">
        <v>23</v>
      </c>
      <c r="F2659" t="s">
        <v>24</v>
      </c>
      <c r="G2659" t="s">
        <v>51</v>
      </c>
      <c r="H2659" t="s">
        <v>32</v>
      </c>
      <c r="I2659" t="s">
        <v>27</v>
      </c>
      <c r="J2659" t="s">
        <v>60</v>
      </c>
      <c r="K2659">
        <v>1</v>
      </c>
      <c r="L2659" s="2">
        <v>94.85</v>
      </c>
      <c r="M2659" s="3">
        <v>0</v>
      </c>
      <c r="N2659" t="s">
        <v>38</v>
      </c>
      <c r="O2659" s="2">
        <v>94.85</v>
      </c>
      <c r="P2659" s="2">
        <v>51.5</v>
      </c>
      <c r="Q2659" s="2">
        <v>43.35</v>
      </c>
      <c r="R2659">
        <v>1</v>
      </c>
      <c r="S2659">
        <v>0</v>
      </c>
      <c r="T2659">
        <v>3</v>
      </c>
      <c r="U2659">
        <v>5</v>
      </c>
    </row>
    <row r="2660" spans="1:21" ht="16.5" x14ac:dyDescent="0.3">
      <c r="A2660" t="s">
        <v>2748</v>
      </c>
      <c r="B2660" s="1">
        <v>45683</v>
      </c>
      <c r="C2660">
        <v>2025</v>
      </c>
      <c r="D2660" t="s">
        <v>22</v>
      </c>
      <c r="E2660" t="s">
        <v>23</v>
      </c>
      <c r="F2660" t="s">
        <v>31</v>
      </c>
      <c r="G2660" t="s">
        <v>25</v>
      </c>
      <c r="H2660" t="s">
        <v>32</v>
      </c>
      <c r="I2660" t="s">
        <v>42</v>
      </c>
      <c r="J2660" t="s">
        <v>98</v>
      </c>
      <c r="K2660">
        <v>1</v>
      </c>
      <c r="L2660" s="2">
        <v>117.63</v>
      </c>
      <c r="M2660" s="3">
        <v>0</v>
      </c>
      <c r="N2660" t="s">
        <v>38</v>
      </c>
      <c r="O2660" s="2">
        <v>117.63</v>
      </c>
      <c r="P2660" s="2">
        <v>78.180000000000007</v>
      </c>
      <c r="Q2660" s="2">
        <v>39.450000000000003</v>
      </c>
      <c r="R2660">
        <v>1</v>
      </c>
      <c r="S2660">
        <v>0</v>
      </c>
      <c r="T2660">
        <v>4</v>
      </c>
      <c r="U2660">
        <v>5</v>
      </c>
    </row>
    <row r="2661" spans="1:21" ht="16.5" x14ac:dyDescent="0.3">
      <c r="A2661" t="s">
        <v>2749</v>
      </c>
      <c r="B2661" s="1">
        <v>45683</v>
      </c>
      <c r="C2661">
        <v>2025</v>
      </c>
      <c r="D2661" t="s">
        <v>22</v>
      </c>
      <c r="E2661" t="s">
        <v>23</v>
      </c>
      <c r="F2661" t="s">
        <v>24</v>
      </c>
      <c r="G2661" t="s">
        <v>51</v>
      </c>
      <c r="H2661" t="s">
        <v>26</v>
      </c>
      <c r="I2661" t="s">
        <v>42</v>
      </c>
      <c r="J2661" t="s">
        <v>98</v>
      </c>
      <c r="K2661">
        <v>1</v>
      </c>
      <c r="L2661" s="2">
        <v>117.63</v>
      </c>
      <c r="M2661" s="3">
        <v>0.1</v>
      </c>
      <c r="N2661" t="s">
        <v>29</v>
      </c>
      <c r="O2661" s="2">
        <v>105.87</v>
      </c>
      <c r="P2661" s="2">
        <v>77.08</v>
      </c>
      <c r="Q2661" s="2">
        <v>28.79</v>
      </c>
      <c r="R2661">
        <v>1</v>
      </c>
      <c r="S2661">
        <v>0</v>
      </c>
      <c r="T2661">
        <v>3</v>
      </c>
      <c r="U2661">
        <v>5</v>
      </c>
    </row>
    <row r="2662" spans="1:21" ht="16.5" x14ac:dyDescent="0.3">
      <c r="A2662" t="s">
        <v>2750</v>
      </c>
      <c r="B2662" s="1">
        <v>45683</v>
      </c>
      <c r="C2662">
        <v>2025</v>
      </c>
      <c r="D2662" t="s">
        <v>22</v>
      </c>
      <c r="E2662" t="s">
        <v>23</v>
      </c>
      <c r="F2662" t="s">
        <v>31</v>
      </c>
      <c r="G2662" t="s">
        <v>65</v>
      </c>
      <c r="H2662" t="s">
        <v>32</v>
      </c>
      <c r="I2662" t="s">
        <v>70</v>
      </c>
      <c r="J2662" t="s">
        <v>82</v>
      </c>
      <c r="K2662">
        <v>4</v>
      </c>
      <c r="L2662" s="2">
        <v>508.8</v>
      </c>
      <c r="M2662" s="3">
        <v>0</v>
      </c>
      <c r="N2662" t="s">
        <v>38</v>
      </c>
      <c r="O2662" s="2">
        <v>2035.2</v>
      </c>
      <c r="P2662" s="2">
        <v>1633.3</v>
      </c>
      <c r="Q2662" s="2">
        <v>401.9</v>
      </c>
      <c r="R2662">
        <v>1</v>
      </c>
      <c r="S2662">
        <v>0</v>
      </c>
      <c r="T2662">
        <v>5</v>
      </c>
      <c r="U2662">
        <v>3</v>
      </c>
    </row>
    <row r="2663" spans="1:21" ht="16.5" x14ac:dyDescent="0.3">
      <c r="A2663" t="s">
        <v>2751</v>
      </c>
      <c r="B2663" s="1">
        <v>45684</v>
      </c>
      <c r="C2663">
        <v>2025</v>
      </c>
      <c r="D2663" t="s">
        <v>22</v>
      </c>
      <c r="E2663" t="s">
        <v>23</v>
      </c>
      <c r="F2663" t="s">
        <v>31</v>
      </c>
      <c r="G2663" t="s">
        <v>49</v>
      </c>
      <c r="H2663" t="s">
        <v>26</v>
      </c>
      <c r="I2663" t="s">
        <v>67</v>
      </c>
      <c r="J2663" t="s">
        <v>93</v>
      </c>
      <c r="K2663">
        <v>1</v>
      </c>
      <c r="L2663" s="2">
        <v>198.42</v>
      </c>
      <c r="M2663" s="3">
        <v>0.05</v>
      </c>
      <c r="N2663" t="s">
        <v>29</v>
      </c>
      <c r="O2663" s="2">
        <v>188.5</v>
      </c>
      <c r="P2663" s="2">
        <v>131.81</v>
      </c>
      <c r="Q2663" s="2">
        <v>56.69</v>
      </c>
      <c r="R2663">
        <v>1</v>
      </c>
      <c r="S2663">
        <v>0</v>
      </c>
      <c r="T2663">
        <v>4</v>
      </c>
      <c r="U2663">
        <v>5</v>
      </c>
    </row>
    <row r="2664" spans="1:21" ht="16.5" x14ac:dyDescent="0.3">
      <c r="A2664" t="s">
        <v>2752</v>
      </c>
      <c r="B2664" s="1">
        <v>45684</v>
      </c>
      <c r="C2664">
        <v>2025</v>
      </c>
      <c r="D2664" t="s">
        <v>22</v>
      </c>
      <c r="E2664" t="s">
        <v>23</v>
      </c>
      <c r="F2664" t="s">
        <v>31</v>
      </c>
      <c r="G2664" t="s">
        <v>51</v>
      </c>
      <c r="H2664" t="s">
        <v>32</v>
      </c>
      <c r="I2664" t="s">
        <v>84</v>
      </c>
      <c r="J2664" t="s">
        <v>85</v>
      </c>
      <c r="K2664">
        <v>1</v>
      </c>
      <c r="L2664" s="2">
        <v>57.92</v>
      </c>
      <c r="M2664" s="3">
        <v>0</v>
      </c>
      <c r="N2664" t="s">
        <v>38</v>
      </c>
      <c r="O2664" s="2">
        <v>57.92</v>
      </c>
      <c r="P2664" s="2">
        <v>40.26</v>
      </c>
      <c r="Q2664" s="2">
        <v>17.66</v>
      </c>
      <c r="R2664">
        <v>1</v>
      </c>
      <c r="S2664">
        <v>0</v>
      </c>
      <c r="T2664">
        <v>3</v>
      </c>
      <c r="U2664">
        <v>5</v>
      </c>
    </row>
    <row r="2665" spans="1:21" ht="16.5" x14ac:dyDescent="0.3">
      <c r="A2665" t="s">
        <v>2753</v>
      </c>
      <c r="B2665" s="1">
        <v>45684</v>
      </c>
      <c r="C2665">
        <v>2025</v>
      </c>
      <c r="D2665" t="s">
        <v>22</v>
      </c>
      <c r="E2665" t="s">
        <v>23</v>
      </c>
      <c r="F2665" t="s">
        <v>31</v>
      </c>
      <c r="G2665" t="s">
        <v>51</v>
      </c>
      <c r="H2665" t="s">
        <v>26</v>
      </c>
      <c r="I2665" t="s">
        <v>36</v>
      </c>
      <c r="J2665" t="s">
        <v>52</v>
      </c>
      <c r="K2665">
        <v>1</v>
      </c>
      <c r="L2665" s="2">
        <v>92.54</v>
      </c>
      <c r="M2665" s="3">
        <v>0.05</v>
      </c>
      <c r="N2665" t="s">
        <v>29</v>
      </c>
      <c r="O2665" s="2">
        <v>87.91</v>
      </c>
      <c r="P2665" s="2">
        <v>45.07</v>
      </c>
      <c r="Q2665" s="2">
        <v>42.84</v>
      </c>
      <c r="R2665">
        <v>1</v>
      </c>
      <c r="S2665">
        <v>0</v>
      </c>
      <c r="T2665">
        <v>3</v>
      </c>
      <c r="U2665">
        <v>3</v>
      </c>
    </row>
    <row r="2666" spans="1:21" ht="16.5" x14ac:dyDescent="0.3">
      <c r="A2666" t="s">
        <v>2754</v>
      </c>
      <c r="B2666" s="1">
        <v>45684</v>
      </c>
      <c r="C2666">
        <v>2025</v>
      </c>
      <c r="D2666" t="s">
        <v>22</v>
      </c>
      <c r="E2666" t="s">
        <v>23</v>
      </c>
      <c r="F2666" t="s">
        <v>31</v>
      </c>
      <c r="G2666" t="s">
        <v>51</v>
      </c>
      <c r="H2666" t="s">
        <v>32</v>
      </c>
      <c r="I2666" t="s">
        <v>42</v>
      </c>
      <c r="J2666" t="s">
        <v>98</v>
      </c>
      <c r="K2666">
        <v>1</v>
      </c>
      <c r="L2666" s="2">
        <v>117.63</v>
      </c>
      <c r="M2666" s="3">
        <v>0</v>
      </c>
      <c r="N2666" t="s">
        <v>38</v>
      </c>
      <c r="O2666" s="2">
        <v>117.63</v>
      </c>
      <c r="P2666" s="2">
        <v>75.78</v>
      </c>
      <c r="Q2666" s="2">
        <v>41.85</v>
      </c>
      <c r="R2666">
        <v>1</v>
      </c>
      <c r="S2666">
        <v>0</v>
      </c>
      <c r="T2666">
        <v>2</v>
      </c>
      <c r="U2666">
        <v>5</v>
      </c>
    </row>
    <row r="2667" spans="1:21" ht="16.5" x14ac:dyDescent="0.3">
      <c r="A2667" t="s">
        <v>2755</v>
      </c>
      <c r="B2667" s="1">
        <v>45684</v>
      </c>
      <c r="C2667">
        <v>2025</v>
      </c>
      <c r="D2667" t="s">
        <v>22</v>
      </c>
      <c r="E2667" t="s">
        <v>23</v>
      </c>
      <c r="F2667" t="s">
        <v>31</v>
      </c>
      <c r="G2667" t="s">
        <v>65</v>
      </c>
      <c r="H2667" t="s">
        <v>26</v>
      </c>
      <c r="I2667" t="s">
        <v>36</v>
      </c>
      <c r="J2667" t="s">
        <v>126</v>
      </c>
      <c r="K2667">
        <v>4</v>
      </c>
      <c r="L2667" s="2">
        <v>54.56</v>
      </c>
      <c r="M2667" s="3">
        <v>0.1</v>
      </c>
      <c r="N2667" t="s">
        <v>29</v>
      </c>
      <c r="O2667" s="2">
        <v>196.42</v>
      </c>
      <c r="P2667" s="2">
        <v>103.56</v>
      </c>
      <c r="Q2667" s="2">
        <v>92.86</v>
      </c>
      <c r="R2667">
        <v>1</v>
      </c>
      <c r="S2667">
        <v>0</v>
      </c>
      <c r="T2667">
        <v>7</v>
      </c>
      <c r="U2667">
        <v>4</v>
      </c>
    </row>
    <row r="2668" spans="1:21" ht="16.5" x14ac:dyDescent="0.3">
      <c r="A2668" t="s">
        <v>2756</v>
      </c>
      <c r="B2668" s="1">
        <v>45684</v>
      </c>
      <c r="C2668">
        <v>2025</v>
      </c>
      <c r="D2668" t="s">
        <v>22</v>
      </c>
      <c r="E2668" t="s">
        <v>23</v>
      </c>
      <c r="F2668" t="s">
        <v>24</v>
      </c>
      <c r="G2668" t="s">
        <v>51</v>
      </c>
      <c r="H2668" t="s">
        <v>32</v>
      </c>
      <c r="I2668" t="s">
        <v>36</v>
      </c>
      <c r="J2668" t="s">
        <v>52</v>
      </c>
      <c r="K2668">
        <v>2</v>
      </c>
      <c r="L2668" s="2">
        <v>92.54</v>
      </c>
      <c r="M2668" s="3">
        <v>0</v>
      </c>
      <c r="N2668" t="s">
        <v>38</v>
      </c>
      <c r="O2668" s="2">
        <v>185.08</v>
      </c>
      <c r="P2668" s="2">
        <v>85.11</v>
      </c>
      <c r="Q2668" s="2">
        <v>99.97</v>
      </c>
      <c r="R2668">
        <v>1</v>
      </c>
      <c r="S2668">
        <v>0</v>
      </c>
      <c r="T2668">
        <v>4</v>
      </c>
      <c r="U2668">
        <v>5</v>
      </c>
    </row>
    <row r="2669" spans="1:21" ht="16.5" x14ac:dyDescent="0.3">
      <c r="A2669" t="s">
        <v>2757</v>
      </c>
      <c r="B2669" s="1">
        <v>45685</v>
      </c>
      <c r="C2669">
        <v>2025</v>
      </c>
      <c r="D2669" t="s">
        <v>22</v>
      </c>
      <c r="E2669" t="s">
        <v>23</v>
      </c>
      <c r="F2669" t="s">
        <v>24</v>
      </c>
      <c r="G2669" t="s">
        <v>51</v>
      </c>
      <c r="H2669" t="s">
        <v>26</v>
      </c>
      <c r="I2669" t="s">
        <v>27</v>
      </c>
      <c r="J2669" t="s">
        <v>47</v>
      </c>
      <c r="K2669">
        <v>1</v>
      </c>
      <c r="L2669" s="2">
        <v>33.99</v>
      </c>
      <c r="M2669" s="3">
        <v>0.05</v>
      </c>
      <c r="N2669" t="s">
        <v>29</v>
      </c>
      <c r="O2669" s="2">
        <v>32.29</v>
      </c>
      <c r="P2669" s="2">
        <v>19.75</v>
      </c>
      <c r="Q2669" s="2">
        <v>12.54</v>
      </c>
      <c r="R2669">
        <v>1</v>
      </c>
      <c r="S2669">
        <v>0</v>
      </c>
      <c r="T2669">
        <v>3</v>
      </c>
      <c r="U2669">
        <v>5</v>
      </c>
    </row>
    <row r="2670" spans="1:21" ht="16.5" x14ac:dyDescent="0.3">
      <c r="A2670" t="s">
        <v>2758</v>
      </c>
      <c r="B2670" s="1">
        <v>45685</v>
      </c>
      <c r="C2670">
        <v>2025</v>
      </c>
      <c r="D2670" t="s">
        <v>22</v>
      </c>
      <c r="E2670" t="s">
        <v>23</v>
      </c>
      <c r="F2670" t="s">
        <v>24</v>
      </c>
      <c r="G2670" t="s">
        <v>25</v>
      </c>
      <c r="H2670" t="s">
        <v>26</v>
      </c>
      <c r="I2670" t="s">
        <v>27</v>
      </c>
      <c r="J2670" t="s">
        <v>28</v>
      </c>
      <c r="K2670">
        <v>2</v>
      </c>
      <c r="L2670" s="2">
        <v>138.5</v>
      </c>
      <c r="M2670" s="3">
        <v>0.1</v>
      </c>
      <c r="N2670" t="s">
        <v>29</v>
      </c>
      <c r="O2670" s="2">
        <v>249.3</v>
      </c>
      <c r="P2670" s="2">
        <v>149.08000000000001</v>
      </c>
      <c r="Q2670" s="2">
        <v>100.22</v>
      </c>
      <c r="R2670">
        <v>1</v>
      </c>
      <c r="S2670">
        <v>0</v>
      </c>
      <c r="T2670">
        <v>3</v>
      </c>
      <c r="U2670">
        <v>5</v>
      </c>
    </row>
    <row r="2671" spans="1:21" ht="16.5" x14ac:dyDescent="0.3">
      <c r="A2671" t="s">
        <v>2759</v>
      </c>
      <c r="B2671" s="1">
        <v>45685</v>
      </c>
      <c r="C2671">
        <v>2025</v>
      </c>
      <c r="D2671" t="s">
        <v>22</v>
      </c>
      <c r="E2671" t="s">
        <v>23</v>
      </c>
      <c r="F2671" t="s">
        <v>24</v>
      </c>
      <c r="G2671" t="s">
        <v>51</v>
      </c>
      <c r="H2671" t="s">
        <v>26</v>
      </c>
      <c r="I2671" t="s">
        <v>70</v>
      </c>
      <c r="J2671" t="s">
        <v>82</v>
      </c>
      <c r="K2671">
        <v>1</v>
      </c>
      <c r="L2671" s="2">
        <v>508.8</v>
      </c>
      <c r="M2671" s="3">
        <v>0.05</v>
      </c>
      <c r="N2671" t="s">
        <v>29</v>
      </c>
      <c r="O2671" s="2">
        <v>483.36</v>
      </c>
      <c r="P2671" s="2">
        <v>397.39</v>
      </c>
      <c r="Q2671" s="2">
        <v>85.97</v>
      </c>
      <c r="R2671">
        <v>1</v>
      </c>
      <c r="S2671">
        <v>0</v>
      </c>
      <c r="T2671">
        <v>3</v>
      </c>
      <c r="U2671">
        <v>5</v>
      </c>
    </row>
    <row r="2672" spans="1:21" ht="16.5" x14ac:dyDescent="0.3">
      <c r="A2672" t="s">
        <v>2760</v>
      </c>
      <c r="B2672" s="1">
        <v>45685</v>
      </c>
      <c r="C2672">
        <v>2025</v>
      </c>
      <c r="D2672" t="s">
        <v>22</v>
      </c>
      <c r="E2672" t="s">
        <v>23</v>
      </c>
      <c r="F2672" t="s">
        <v>45</v>
      </c>
      <c r="G2672" t="s">
        <v>65</v>
      </c>
      <c r="H2672" t="s">
        <v>32</v>
      </c>
      <c r="I2672" t="s">
        <v>84</v>
      </c>
      <c r="J2672" t="s">
        <v>223</v>
      </c>
      <c r="K2672">
        <v>1</v>
      </c>
      <c r="L2672" s="2">
        <v>16.97</v>
      </c>
      <c r="M2672" s="3">
        <v>0.15</v>
      </c>
      <c r="N2672" t="s">
        <v>34</v>
      </c>
      <c r="O2672" s="2">
        <v>14.42</v>
      </c>
      <c r="P2672" s="2">
        <v>12.38</v>
      </c>
      <c r="Q2672" s="2">
        <v>2.04</v>
      </c>
      <c r="R2672">
        <v>1</v>
      </c>
      <c r="S2672">
        <v>0</v>
      </c>
      <c r="T2672">
        <v>5</v>
      </c>
      <c r="U2672">
        <v>5</v>
      </c>
    </row>
    <row r="2673" spans="1:21" ht="16.5" x14ac:dyDescent="0.3">
      <c r="A2673" t="s">
        <v>2761</v>
      </c>
      <c r="B2673" s="1">
        <v>45685</v>
      </c>
      <c r="C2673">
        <v>2025</v>
      </c>
      <c r="D2673" t="s">
        <v>22</v>
      </c>
      <c r="E2673" t="s">
        <v>23</v>
      </c>
      <c r="F2673" t="s">
        <v>24</v>
      </c>
      <c r="G2673" t="s">
        <v>49</v>
      </c>
      <c r="H2673" t="s">
        <v>26</v>
      </c>
      <c r="I2673" t="s">
        <v>70</v>
      </c>
      <c r="J2673" t="s">
        <v>87</v>
      </c>
      <c r="K2673">
        <v>2</v>
      </c>
      <c r="L2673" s="2">
        <v>490.3</v>
      </c>
      <c r="M2673" s="3">
        <v>0.05</v>
      </c>
      <c r="N2673" t="s">
        <v>29</v>
      </c>
      <c r="O2673" s="2">
        <v>931.57</v>
      </c>
      <c r="P2673" s="2">
        <v>828.17</v>
      </c>
      <c r="Q2673" s="2">
        <v>103.4</v>
      </c>
      <c r="R2673">
        <v>1</v>
      </c>
      <c r="S2673">
        <v>0</v>
      </c>
      <c r="T2673">
        <v>4</v>
      </c>
      <c r="U2673">
        <v>5</v>
      </c>
    </row>
    <row r="2674" spans="1:21" ht="16.5" x14ac:dyDescent="0.3">
      <c r="A2674" t="s">
        <v>2762</v>
      </c>
      <c r="B2674" s="1">
        <v>45685</v>
      </c>
      <c r="C2674">
        <v>2025</v>
      </c>
      <c r="D2674" t="s">
        <v>22</v>
      </c>
      <c r="E2674" t="s">
        <v>23</v>
      </c>
      <c r="F2674" t="s">
        <v>31</v>
      </c>
      <c r="G2674" t="s">
        <v>25</v>
      </c>
      <c r="H2674" t="s">
        <v>32</v>
      </c>
      <c r="I2674" t="s">
        <v>36</v>
      </c>
      <c r="J2674" t="s">
        <v>37</v>
      </c>
      <c r="K2674">
        <v>1</v>
      </c>
      <c r="L2674" s="2">
        <v>33.18</v>
      </c>
      <c r="M2674" s="3">
        <v>0.05</v>
      </c>
      <c r="N2674" t="s">
        <v>29</v>
      </c>
      <c r="O2674" s="2">
        <v>31.52</v>
      </c>
      <c r="P2674" s="2">
        <v>14.84</v>
      </c>
      <c r="Q2674" s="2">
        <v>16.68</v>
      </c>
      <c r="R2674">
        <v>1</v>
      </c>
      <c r="S2674">
        <v>0</v>
      </c>
      <c r="T2674">
        <v>6</v>
      </c>
      <c r="U2674">
        <v>3</v>
      </c>
    </row>
    <row r="2675" spans="1:21" ht="16.5" x14ac:dyDescent="0.3">
      <c r="A2675" t="s">
        <v>2763</v>
      </c>
      <c r="B2675" s="1">
        <v>45686</v>
      </c>
      <c r="C2675">
        <v>2025</v>
      </c>
      <c r="D2675" t="s">
        <v>22</v>
      </c>
      <c r="E2675" t="s">
        <v>23</v>
      </c>
      <c r="F2675" t="s">
        <v>24</v>
      </c>
      <c r="G2675" t="s">
        <v>51</v>
      </c>
      <c r="H2675" t="s">
        <v>32</v>
      </c>
      <c r="I2675" t="s">
        <v>36</v>
      </c>
      <c r="J2675" t="s">
        <v>56</v>
      </c>
      <c r="K2675">
        <v>1</v>
      </c>
      <c r="L2675" s="2">
        <v>74.3</v>
      </c>
      <c r="M2675" s="3">
        <v>0</v>
      </c>
      <c r="N2675" t="s">
        <v>38</v>
      </c>
      <c r="O2675" s="2">
        <v>74.3</v>
      </c>
      <c r="P2675" s="2">
        <v>35.85</v>
      </c>
      <c r="Q2675" s="2">
        <v>38.450000000000003</v>
      </c>
      <c r="R2675">
        <v>1</v>
      </c>
      <c r="S2675">
        <v>0</v>
      </c>
      <c r="T2675">
        <v>3</v>
      </c>
      <c r="U2675">
        <v>4</v>
      </c>
    </row>
    <row r="2676" spans="1:21" ht="16.5" x14ac:dyDescent="0.3">
      <c r="A2676" t="s">
        <v>2764</v>
      </c>
      <c r="B2676" s="1">
        <v>45686</v>
      </c>
      <c r="C2676">
        <v>2025</v>
      </c>
      <c r="D2676" t="s">
        <v>22</v>
      </c>
      <c r="E2676" t="s">
        <v>23</v>
      </c>
      <c r="F2676" t="s">
        <v>24</v>
      </c>
      <c r="G2676" t="s">
        <v>51</v>
      </c>
      <c r="H2676" t="s">
        <v>26</v>
      </c>
      <c r="I2676" t="s">
        <v>27</v>
      </c>
      <c r="J2676" t="s">
        <v>40</v>
      </c>
      <c r="K2676">
        <v>1</v>
      </c>
      <c r="L2676" s="2">
        <v>104.94</v>
      </c>
      <c r="M2676" s="3">
        <v>0.05</v>
      </c>
      <c r="N2676" t="s">
        <v>29</v>
      </c>
      <c r="O2676" s="2">
        <v>99.69</v>
      </c>
      <c r="P2676" s="2">
        <v>57.91</v>
      </c>
      <c r="Q2676" s="2">
        <v>41.78</v>
      </c>
      <c r="R2676">
        <v>1</v>
      </c>
      <c r="S2676">
        <v>0</v>
      </c>
      <c r="T2676">
        <v>2</v>
      </c>
      <c r="U2676">
        <v>4</v>
      </c>
    </row>
    <row r="2677" spans="1:21" ht="16.5" x14ac:dyDescent="0.3">
      <c r="A2677" t="s">
        <v>2765</v>
      </c>
      <c r="B2677" s="1">
        <v>45686</v>
      </c>
      <c r="C2677">
        <v>2025</v>
      </c>
      <c r="D2677" t="s">
        <v>22</v>
      </c>
      <c r="E2677" t="s">
        <v>23</v>
      </c>
      <c r="F2677" t="s">
        <v>24</v>
      </c>
      <c r="G2677" t="s">
        <v>25</v>
      </c>
      <c r="H2677" t="s">
        <v>32</v>
      </c>
      <c r="I2677" t="s">
        <v>27</v>
      </c>
      <c r="J2677" t="s">
        <v>47</v>
      </c>
      <c r="K2677">
        <v>4</v>
      </c>
      <c r="L2677" s="2">
        <v>33.99</v>
      </c>
      <c r="M2677" s="3">
        <v>0.2</v>
      </c>
      <c r="N2677" t="s">
        <v>34</v>
      </c>
      <c r="O2677" s="2">
        <v>108.77</v>
      </c>
      <c r="P2677" s="2">
        <v>75.8</v>
      </c>
      <c r="Q2677" s="2">
        <v>32.97</v>
      </c>
      <c r="R2677">
        <v>1</v>
      </c>
      <c r="S2677">
        <v>0</v>
      </c>
      <c r="T2677">
        <v>3</v>
      </c>
      <c r="U2677">
        <v>5</v>
      </c>
    </row>
    <row r="2678" spans="1:21" ht="16.5" x14ac:dyDescent="0.3">
      <c r="A2678" t="s">
        <v>2766</v>
      </c>
      <c r="B2678" s="1">
        <v>45686</v>
      </c>
      <c r="C2678">
        <v>2025</v>
      </c>
      <c r="D2678" t="s">
        <v>22</v>
      </c>
      <c r="E2678" t="s">
        <v>23</v>
      </c>
      <c r="F2678" t="s">
        <v>24</v>
      </c>
      <c r="G2678" t="s">
        <v>51</v>
      </c>
      <c r="H2678" t="s">
        <v>32</v>
      </c>
      <c r="I2678" t="s">
        <v>27</v>
      </c>
      <c r="J2678" t="s">
        <v>110</v>
      </c>
      <c r="K2678">
        <v>1</v>
      </c>
      <c r="L2678" s="2">
        <v>19.41</v>
      </c>
      <c r="M2678" s="3">
        <v>0</v>
      </c>
      <c r="N2678" t="s">
        <v>38</v>
      </c>
      <c r="O2678" s="2">
        <v>19.41</v>
      </c>
      <c r="P2678" s="2">
        <v>10.31</v>
      </c>
      <c r="Q2678" s="2">
        <v>9.1</v>
      </c>
      <c r="R2678">
        <v>1</v>
      </c>
      <c r="S2678">
        <v>0</v>
      </c>
      <c r="T2678">
        <v>3</v>
      </c>
      <c r="U2678">
        <v>4</v>
      </c>
    </row>
    <row r="2679" spans="1:21" ht="16.5" x14ac:dyDescent="0.3">
      <c r="A2679" t="s">
        <v>2767</v>
      </c>
      <c r="B2679" s="1">
        <v>45686</v>
      </c>
      <c r="C2679">
        <v>2025</v>
      </c>
      <c r="D2679" t="s">
        <v>22</v>
      </c>
      <c r="E2679" t="s">
        <v>23</v>
      </c>
      <c r="F2679" t="s">
        <v>24</v>
      </c>
      <c r="G2679" t="s">
        <v>49</v>
      </c>
      <c r="H2679" t="s">
        <v>26</v>
      </c>
      <c r="I2679" t="s">
        <v>27</v>
      </c>
      <c r="J2679" t="s">
        <v>47</v>
      </c>
      <c r="K2679">
        <v>2</v>
      </c>
      <c r="L2679" s="2">
        <v>33.99</v>
      </c>
      <c r="M2679" s="3">
        <v>0.3</v>
      </c>
      <c r="N2679" t="s">
        <v>62</v>
      </c>
      <c r="O2679" s="2">
        <v>47.59</v>
      </c>
      <c r="P2679" s="2">
        <v>36.83</v>
      </c>
      <c r="Q2679" s="2">
        <v>10.76</v>
      </c>
      <c r="R2679">
        <v>1</v>
      </c>
      <c r="S2679">
        <v>0</v>
      </c>
      <c r="T2679">
        <v>3</v>
      </c>
      <c r="U2679">
        <v>5</v>
      </c>
    </row>
    <row r="2680" spans="1:21" ht="16.5" x14ac:dyDescent="0.3">
      <c r="A2680" t="s">
        <v>2768</v>
      </c>
      <c r="B2680" s="1">
        <v>45687</v>
      </c>
      <c r="C2680">
        <v>2025</v>
      </c>
      <c r="D2680" t="s">
        <v>22</v>
      </c>
      <c r="E2680" t="s">
        <v>23</v>
      </c>
      <c r="F2680" t="s">
        <v>24</v>
      </c>
      <c r="G2680" t="s">
        <v>25</v>
      </c>
      <c r="H2680" t="s">
        <v>26</v>
      </c>
      <c r="I2680" t="s">
        <v>70</v>
      </c>
      <c r="J2680" t="s">
        <v>162</v>
      </c>
      <c r="K2680">
        <v>2</v>
      </c>
      <c r="L2680" s="2">
        <v>636.09</v>
      </c>
      <c r="M2680" s="3">
        <v>0</v>
      </c>
      <c r="N2680" t="s">
        <v>38</v>
      </c>
      <c r="O2680" s="2">
        <v>1272.18</v>
      </c>
      <c r="P2680" s="2">
        <v>1035</v>
      </c>
      <c r="Q2680" s="2">
        <v>237.18</v>
      </c>
      <c r="R2680">
        <v>1</v>
      </c>
      <c r="S2680">
        <v>0</v>
      </c>
      <c r="T2680">
        <v>4</v>
      </c>
      <c r="U2680">
        <v>4</v>
      </c>
    </row>
    <row r="2681" spans="1:21" ht="16.5" x14ac:dyDescent="0.3">
      <c r="A2681" t="s">
        <v>2769</v>
      </c>
      <c r="B2681" s="1">
        <v>45687</v>
      </c>
      <c r="C2681">
        <v>2025</v>
      </c>
      <c r="D2681" t="s">
        <v>22</v>
      </c>
      <c r="E2681" t="s">
        <v>23</v>
      </c>
      <c r="F2681" t="s">
        <v>24</v>
      </c>
      <c r="G2681" t="s">
        <v>51</v>
      </c>
      <c r="H2681" t="s">
        <v>26</v>
      </c>
      <c r="I2681" t="s">
        <v>27</v>
      </c>
      <c r="J2681" t="s">
        <v>60</v>
      </c>
      <c r="K2681">
        <v>4</v>
      </c>
      <c r="L2681" s="2">
        <v>94.85</v>
      </c>
      <c r="M2681" s="3">
        <v>0.1</v>
      </c>
      <c r="N2681" t="s">
        <v>29</v>
      </c>
      <c r="O2681" s="2">
        <v>341.46</v>
      </c>
      <c r="P2681" s="2">
        <v>208.05</v>
      </c>
      <c r="Q2681" s="2">
        <v>133.41</v>
      </c>
      <c r="R2681">
        <v>1</v>
      </c>
      <c r="S2681">
        <v>0</v>
      </c>
      <c r="T2681">
        <v>2</v>
      </c>
      <c r="U2681">
        <v>5</v>
      </c>
    </row>
    <row r="2682" spans="1:21" ht="16.5" x14ac:dyDescent="0.3">
      <c r="A2682" t="s">
        <v>2770</v>
      </c>
      <c r="B2682" s="1">
        <v>45687</v>
      </c>
      <c r="C2682">
        <v>2025</v>
      </c>
      <c r="D2682" t="s">
        <v>22</v>
      </c>
      <c r="E2682" t="s">
        <v>23</v>
      </c>
      <c r="F2682" t="s">
        <v>31</v>
      </c>
      <c r="G2682" t="s">
        <v>51</v>
      </c>
      <c r="H2682" t="s">
        <v>32</v>
      </c>
      <c r="I2682" t="s">
        <v>84</v>
      </c>
      <c r="J2682" t="s">
        <v>85</v>
      </c>
      <c r="K2682">
        <v>1</v>
      </c>
      <c r="L2682" s="2">
        <v>57.92</v>
      </c>
      <c r="M2682" s="3">
        <v>0.1</v>
      </c>
      <c r="N2682" t="s">
        <v>29</v>
      </c>
      <c r="O2682" s="2">
        <v>52.13</v>
      </c>
      <c r="P2682" s="2">
        <v>42.71</v>
      </c>
      <c r="Q2682" s="2">
        <v>9.42</v>
      </c>
      <c r="R2682">
        <v>1</v>
      </c>
      <c r="S2682">
        <v>0</v>
      </c>
      <c r="T2682">
        <v>3</v>
      </c>
      <c r="U2682">
        <v>4</v>
      </c>
    </row>
    <row r="2683" spans="1:21" ht="16.5" x14ac:dyDescent="0.3">
      <c r="A2683" t="s">
        <v>2771</v>
      </c>
      <c r="B2683" s="1">
        <v>45687</v>
      </c>
      <c r="C2683">
        <v>2025</v>
      </c>
      <c r="D2683" t="s">
        <v>22</v>
      </c>
      <c r="E2683" t="s">
        <v>23</v>
      </c>
      <c r="F2683" t="s">
        <v>31</v>
      </c>
      <c r="G2683" t="s">
        <v>25</v>
      </c>
      <c r="H2683" t="s">
        <v>26</v>
      </c>
      <c r="I2683" t="s">
        <v>42</v>
      </c>
      <c r="J2683" t="s">
        <v>58</v>
      </c>
      <c r="K2683">
        <v>2</v>
      </c>
      <c r="L2683" s="2">
        <v>233.81</v>
      </c>
      <c r="M2683" s="3">
        <v>0</v>
      </c>
      <c r="N2683" t="s">
        <v>38</v>
      </c>
      <c r="O2683" s="2">
        <v>467.62</v>
      </c>
      <c r="P2683" s="2">
        <v>310.22000000000003</v>
      </c>
      <c r="Q2683" s="2">
        <v>157.4</v>
      </c>
      <c r="R2683">
        <v>1</v>
      </c>
      <c r="S2683">
        <v>0</v>
      </c>
      <c r="T2683">
        <v>3</v>
      </c>
      <c r="U2683">
        <v>5</v>
      </c>
    </row>
    <row r="2684" spans="1:21" ht="16.5" x14ac:dyDescent="0.3">
      <c r="A2684" t="s">
        <v>2772</v>
      </c>
      <c r="B2684" s="1">
        <v>45687</v>
      </c>
      <c r="C2684">
        <v>2025</v>
      </c>
      <c r="D2684" t="s">
        <v>22</v>
      </c>
      <c r="E2684" t="s">
        <v>23</v>
      </c>
      <c r="F2684" t="s">
        <v>24</v>
      </c>
      <c r="G2684" t="s">
        <v>51</v>
      </c>
      <c r="H2684" t="s">
        <v>32</v>
      </c>
      <c r="I2684" t="s">
        <v>70</v>
      </c>
      <c r="J2684" t="s">
        <v>87</v>
      </c>
      <c r="K2684">
        <v>2</v>
      </c>
      <c r="L2684" s="2">
        <v>490.3</v>
      </c>
      <c r="M2684" s="3">
        <v>0</v>
      </c>
      <c r="N2684" t="s">
        <v>38</v>
      </c>
      <c r="O2684" s="2">
        <v>980.6</v>
      </c>
      <c r="P2684" s="2">
        <v>829.18</v>
      </c>
      <c r="Q2684" s="2">
        <v>151.41999999999999</v>
      </c>
      <c r="R2684">
        <v>1</v>
      </c>
      <c r="S2684">
        <v>0</v>
      </c>
      <c r="T2684">
        <v>2</v>
      </c>
      <c r="U2684">
        <v>5</v>
      </c>
    </row>
    <row r="2685" spans="1:21" ht="16.5" x14ac:dyDescent="0.3">
      <c r="A2685" t="s">
        <v>2773</v>
      </c>
      <c r="B2685" s="1">
        <v>45687</v>
      </c>
      <c r="C2685">
        <v>2025</v>
      </c>
      <c r="D2685" t="s">
        <v>22</v>
      </c>
      <c r="E2685" t="s">
        <v>23</v>
      </c>
      <c r="F2685" t="s">
        <v>31</v>
      </c>
      <c r="G2685" t="s">
        <v>49</v>
      </c>
      <c r="H2685" t="s">
        <v>32</v>
      </c>
      <c r="I2685" t="s">
        <v>70</v>
      </c>
      <c r="J2685" t="s">
        <v>82</v>
      </c>
      <c r="K2685">
        <v>1</v>
      </c>
      <c r="L2685" s="2">
        <v>508.8</v>
      </c>
      <c r="M2685" s="3">
        <v>0.05</v>
      </c>
      <c r="N2685" t="s">
        <v>29</v>
      </c>
      <c r="O2685" s="2">
        <v>483.36</v>
      </c>
      <c r="P2685" s="2">
        <v>393.4</v>
      </c>
      <c r="Q2685" s="2">
        <v>89.96</v>
      </c>
      <c r="R2685">
        <v>1</v>
      </c>
      <c r="S2685">
        <v>0</v>
      </c>
      <c r="T2685">
        <v>5</v>
      </c>
      <c r="U2685">
        <v>4</v>
      </c>
    </row>
    <row r="2686" spans="1:21" ht="16.5" x14ac:dyDescent="0.3">
      <c r="A2686" t="s">
        <v>2774</v>
      </c>
      <c r="B2686" s="1">
        <v>45687</v>
      </c>
      <c r="C2686">
        <v>2025</v>
      </c>
      <c r="D2686" t="s">
        <v>22</v>
      </c>
      <c r="E2686" t="s">
        <v>23</v>
      </c>
      <c r="F2686" t="s">
        <v>24</v>
      </c>
      <c r="G2686" t="s">
        <v>49</v>
      </c>
      <c r="H2686" t="s">
        <v>26</v>
      </c>
      <c r="I2686" t="s">
        <v>27</v>
      </c>
      <c r="J2686" t="s">
        <v>28</v>
      </c>
      <c r="K2686">
        <v>1</v>
      </c>
      <c r="L2686" s="2">
        <v>138.5</v>
      </c>
      <c r="M2686" s="3">
        <v>0.25</v>
      </c>
      <c r="N2686" t="s">
        <v>62</v>
      </c>
      <c r="O2686" s="2">
        <v>103.88</v>
      </c>
      <c r="P2686" s="2">
        <v>74.95</v>
      </c>
      <c r="Q2686" s="2">
        <v>28.93</v>
      </c>
      <c r="R2686">
        <v>1</v>
      </c>
      <c r="S2686">
        <v>0</v>
      </c>
      <c r="T2686">
        <v>4</v>
      </c>
      <c r="U2686">
        <v>5</v>
      </c>
    </row>
    <row r="2687" spans="1:21" ht="16.5" x14ac:dyDescent="0.3">
      <c r="A2687" t="s">
        <v>2775</v>
      </c>
      <c r="B2687" s="1">
        <v>45688</v>
      </c>
      <c r="C2687">
        <v>2025</v>
      </c>
      <c r="D2687" t="s">
        <v>22</v>
      </c>
      <c r="E2687" t="s">
        <v>23</v>
      </c>
      <c r="F2687" t="s">
        <v>45</v>
      </c>
      <c r="G2687" t="s">
        <v>25</v>
      </c>
      <c r="H2687" t="s">
        <v>32</v>
      </c>
      <c r="I2687" t="s">
        <v>70</v>
      </c>
      <c r="J2687" t="s">
        <v>71</v>
      </c>
      <c r="K2687">
        <v>1</v>
      </c>
      <c r="L2687" s="2">
        <v>588.41</v>
      </c>
      <c r="M2687" s="3">
        <v>0.05</v>
      </c>
      <c r="N2687" t="s">
        <v>29</v>
      </c>
      <c r="O2687" s="2">
        <v>558.99</v>
      </c>
      <c r="P2687" s="2">
        <v>487.78</v>
      </c>
      <c r="Q2687" s="2">
        <v>71.209999999999994</v>
      </c>
      <c r="R2687">
        <v>1</v>
      </c>
      <c r="S2687">
        <v>0</v>
      </c>
      <c r="T2687">
        <v>3</v>
      </c>
      <c r="U2687">
        <v>4</v>
      </c>
    </row>
    <row r="2688" spans="1:21" ht="16.5" x14ac:dyDescent="0.3">
      <c r="A2688" t="s">
        <v>2776</v>
      </c>
      <c r="B2688" s="1">
        <v>45688</v>
      </c>
      <c r="C2688">
        <v>2025</v>
      </c>
      <c r="D2688" t="s">
        <v>22</v>
      </c>
      <c r="E2688" t="s">
        <v>23</v>
      </c>
      <c r="F2688" t="s">
        <v>24</v>
      </c>
      <c r="G2688" t="s">
        <v>25</v>
      </c>
      <c r="H2688" t="s">
        <v>32</v>
      </c>
      <c r="I2688" t="s">
        <v>27</v>
      </c>
      <c r="J2688" t="s">
        <v>40</v>
      </c>
      <c r="K2688">
        <v>1</v>
      </c>
      <c r="L2688" s="2">
        <v>104.94</v>
      </c>
      <c r="M2688" s="3">
        <v>0.15</v>
      </c>
      <c r="N2688" t="s">
        <v>34</v>
      </c>
      <c r="O2688" s="2">
        <v>89.2</v>
      </c>
      <c r="P2688" s="2">
        <v>57.85</v>
      </c>
      <c r="Q2688" s="2">
        <v>31.35</v>
      </c>
      <c r="R2688">
        <v>1</v>
      </c>
      <c r="S2688">
        <v>0</v>
      </c>
      <c r="T2688">
        <v>4</v>
      </c>
      <c r="U2688">
        <v>4</v>
      </c>
    </row>
    <row r="2689" spans="1:21" ht="16.5" x14ac:dyDescent="0.3">
      <c r="A2689" t="s">
        <v>2777</v>
      </c>
      <c r="B2689" s="1">
        <v>45688</v>
      </c>
      <c r="C2689">
        <v>2025</v>
      </c>
      <c r="D2689" t="s">
        <v>22</v>
      </c>
      <c r="E2689" t="s">
        <v>23</v>
      </c>
      <c r="F2689" t="s">
        <v>31</v>
      </c>
      <c r="G2689" t="s">
        <v>25</v>
      </c>
      <c r="H2689" t="s">
        <v>32</v>
      </c>
      <c r="I2689" t="s">
        <v>27</v>
      </c>
      <c r="J2689" t="s">
        <v>47</v>
      </c>
      <c r="K2689">
        <v>3</v>
      </c>
      <c r="L2689" s="2">
        <v>33.99</v>
      </c>
      <c r="M2689" s="3">
        <v>0</v>
      </c>
      <c r="N2689" t="s">
        <v>38</v>
      </c>
      <c r="O2689" s="2">
        <v>101.97</v>
      </c>
      <c r="P2689" s="2">
        <v>54.79</v>
      </c>
      <c r="Q2689" s="2">
        <v>47.18</v>
      </c>
      <c r="R2689">
        <v>1</v>
      </c>
      <c r="S2689">
        <v>0</v>
      </c>
      <c r="T2689">
        <v>5</v>
      </c>
      <c r="U2689">
        <v>4</v>
      </c>
    </row>
    <row r="2690" spans="1:21" ht="16.5" x14ac:dyDescent="0.3">
      <c r="A2690" t="s">
        <v>2778</v>
      </c>
      <c r="B2690" s="1">
        <v>45688</v>
      </c>
      <c r="C2690">
        <v>2025</v>
      </c>
      <c r="D2690" t="s">
        <v>22</v>
      </c>
      <c r="E2690" t="s">
        <v>23</v>
      </c>
      <c r="F2690" t="s">
        <v>45</v>
      </c>
      <c r="G2690" t="s">
        <v>25</v>
      </c>
      <c r="H2690" t="s">
        <v>32</v>
      </c>
      <c r="I2690" t="s">
        <v>42</v>
      </c>
      <c r="J2690" t="s">
        <v>89</v>
      </c>
      <c r="K2690">
        <v>4</v>
      </c>
      <c r="L2690" s="2">
        <v>68.349999999999994</v>
      </c>
      <c r="M2690" s="3">
        <v>0.1</v>
      </c>
      <c r="N2690" t="s">
        <v>29</v>
      </c>
      <c r="O2690" s="2">
        <v>246.06</v>
      </c>
      <c r="P2690" s="2">
        <v>187.6</v>
      </c>
      <c r="Q2690" s="2">
        <v>58.46</v>
      </c>
      <c r="R2690">
        <v>1</v>
      </c>
      <c r="S2690">
        <v>0</v>
      </c>
      <c r="T2690">
        <v>5</v>
      </c>
      <c r="U2690">
        <v>4</v>
      </c>
    </row>
    <row r="2691" spans="1:21" ht="16.5" x14ac:dyDescent="0.3">
      <c r="A2691" t="s">
        <v>2779</v>
      </c>
      <c r="B2691" s="1">
        <v>45688</v>
      </c>
      <c r="C2691">
        <v>2025</v>
      </c>
      <c r="D2691" t="s">
        <v>22</v>
      </c>
      <c r="E2691" t="s">
        <v>23</v>
      </c>
      <c r="F2691" t="s">
        <v>31</v>
      </c>
      <c r="G2691" t="s">
        <v>65</v>
      </c>
      <c r="H2691" t="s">
        <v>32</v>
      </c>
      <c r="I2691" t="s">
        <v>27</v>
      </c>
      <c r="J2691" t="s">
        <v>60</v>
      </c>
      <c r="K2691">
        <v>1</v>
      </c>
      <c r="L2691" s="2">
        <v>94.85</v>
      </c>
      <c r="M2691" s="3">
        <v>0</v>
      </c>
      <c r="N2691" t="s">
        <v>38</v>
      </c>
      <c r="O2691" s="2">
        <v>94.85</v>
      </c>
      <c r="P2691" s="2">
        <v>52.55</v>
      </c>
      <c r="Q2691" s="2">
        <v>42.3</v>
      </c>
      <c r="R2691">
        <v>1</v>
      </c>
      <c r="S2691">
        <v>0</v>
      </c>
      <c r="T2691">
        <v>7</v>
      </c>
      <c r="U2691">
        <v>4</v>
      </c>
    </row>
    <row r="2692" spans="1:21" ht="16.5" x14ac:dyDescent="0.3">
      <c r="A2692" t="s">
        <v>2780</v>
      </c>
      <c r="B2692" s="1">
        <v>45688</v>
      </c>
      <c r="C2692">
        <v>2025</v>
      </c>
      <c r="D2692" t="s">
        <v>22</v>
      </c>
      <c r="E2692" t="s">
        <v>23</v>
      </c>
      <c r="F2692" t="s">
        <v>31</v>
      </c>
      <c r="G2692" t="s">
        <v>25</v>
      </c>
      <c r="H2692" t="s">
        <v>26</v>
      </c>
      <c r="I2692" t="s">
        <v>42</v>
      </c>
      <c r="J2692" t="s">
        <v>98</v>
      </c>
      <c r="K2692">
        <v>1</v>
      </c>
      <c r="L2692" s="2">
        <v>117.63</v>
      </c>
      <c r="M2692" s="3">
        <v>0.05</v>
      </c>
      <c r="N2692" t="s">
        <v>29</v>
      </c>
      <c r="O2692" s="2">
        <v>111.75</v>
      </c>
      <c r="P2692" s="2">
        <v>79.930000000000007</v>
      </c>
      <c r="Q2692" s="2">
        <v>31.82</v>
      </c>
      <c r="R2692">
        <v>1</v>
      </c>
      <c r="S2692">
        <v>0</v>
      </c>
      <c r="T2692">
        <v>5</v>
      </c>
      <c r="U2692">
        <v>5</v>
      </c>
    </row>
    <row r="2693" spans="1:21" ht="16.5" x14ac:dyDescent="0.3">
      <c r="A2693" t="s">
        <v>2781</v>
      </c>
      <c r="B2693" s="1">
        <v>45688</v>
      </c>
      <c r="C2693">
        <v>2025</v>
      </c>
      <c r="D2693" t="s">
        <v>22</v>
      </c>
      <c r="E2693" t="s">
        <v>23</v>
      </c>
      <c r="F2693" t="s">
        <v>31</v>
      </c>
      <c r="G2693" t="s">
        <v>51</v>
      </c>
      <c r="H2693" t="s">
        <v>26</v>
      </c>
      <c r="I2693" t="s">
        <v>27</v>
      </c>
      <c r="J2693" t="s">
        <v>28</v>
      </c>
      <c r="K2693">
        <v>1</v>
      </c>
      <c r="L2693" s="2">
        <v>138.5</v>
      </c>
      <c r="M2693" s="3">
        <v>0.2</v>
      </c>
      <c r="N2693" t="s">
        <v>34</v>
      </c>
      <c r="O2693" s="2">
        <v>110.8</v>
      </c>
      <c r="P2693" s="2">
        <v>68.86</v>
      </c>
      <c r="Q2693" s="2">
        <v>41.94</v>
      </c>
      <c r="R2693">
        <v>1</v>
      </c>
      <c r="S2693">
        <v>1</v>
      </c>
      <c r="T2693">
        <v>3</v>
      </c>
      <c r="U2693">
        <v>3</v>
      </c>
    </row>
    <row r="2694" spans="1:21" ht="16.5" x14ac:dyDescent="0.3">
      <c r="A2694" t="s">
        <v>2782</v>
      </c>
      <c r="B2694" s="1">
        <v>45688</v>
      </c>
      <c r="C2694">
        <v>2025</v>
      </c>
      <c r="D2694" t="s">
        <v>22</v>
      </c>
      <c r="E2694" t="s">
        <v>23</v>
      </c>
      <c r="F2694" t="s">
        <v>45</v>
      </c>
      <c r="G2694" t="s">
        <v>49</v>
      </c>
      <c r="H2694" t="s">
        <v>32</v>
      </c>
      <c r="I2694" t="s">
        <v>36</v>
      </c>
      <c r="J2694" t="s">
        <v>37</v>
      </c>
      <c r="K2694">
        <v>1</v>
      </c>
      <c r="L2694" s="2">
        <v>33.18</v>
      </c>
      <c r="M2694" s="3">
        <v>0.05</v>
      </c>
      <c r="N2694" t="s">
        <v>29</v>
      </c>
      <c r="O2694" s="2">
        <v>31.52</v>
      </c>
      <c r="P2694" s="2">
        <v>16.55</v>
      </c>
      <c r="Q2694" s="2">
        <v>14.97</v>
      </c>
      <c r="R2694">
        <v>1</v>
      </c>
      <c r="S2694">
        <v>0</v>
      </c>
      <c r="T2694">
        <v>3</v>
      </c>
      <c r="U2694">
        <v>5</v>
      </c>
    </row>
    <row r="2695" spans="1:21" ht="16.5" x14ac:dyDescent="0.3">
      <c r="A2695" t="s">
        <v>2783</v>
      </c>
      <c r="B2695" s="1">
        <v>45689</v>
      </c>
      <c r="C2695">
        <v>2025</v>
      </c>
      <c r="D2695" t="s">
        <v>22</v>
      </c>
      <c r="E2695" t="s">
        <v>242</v>
      </c>
      <c r="F2695" t="s">
        <v>24</v>
      </c>
      <c r="G2695" t="s">
        <v>65</v>
      </c>
      <c r="H2695" t="s">
        <v>32</v>
      </c>
      <c r="I2695" t="s">
        <v>27</v>
      </c>
      <c r="J2695" t="s">
        <v>40</v>
      </c>
      <c r="K2695">
        <v>1</v>
      </c>
      <c r="L2695" s="2">
        <v>104.94</v>
      </c>
      <c r="M2695" s="3">
        <v>0</v>
      </c>
      <c r="N2695" t="s">
        <v>38</v>
      </c>
      <c r="O2695" s="2">
        <v>104.94</v>
      </c>
      <c r="P2695" s="2">
        <v>53.53</v>
      </c>
      <c r="Q2695" s="2">
        <v>51.41</v>
      </c>
      <c r="R2695">
        <v>1</v>
      </c>
      <c r="S2695">
        <v>0</v>
      </c>
      <c r="T2695">
        <v>6</v>
      </c>
      <c r="U2695">
        <v>4</v>
      </c>
    </row>
    <row r="2696" spans="1:21" ht="16.5" x14ac:dyDescent="0.3">
      <c r="A2696" t="s">
        <v>2784</v>
      </c>
      <c r="B2696" s="1">
        <v>45689</v>
      </c>
      <c r="C2696">
        <v>2025</v>
      </c>
      <c r="D2696" t="s">
        <v>22</v>
      </c>
      <c r="E2696" t="s">
        <v>242</v>
      </c>
      <c r="F2696" t="s">
        <v>31</v>
      </c>
      <c r="G2696" t="s">
        <v>49</v>
      </c>
      <c r="H2696" t="s">
        <v>26</v>
      </c>
      <c r="I2696" t="s">
        <v>70</v>
      </c>
      <c r="J2696" t="s">
        <v>82</v>
      </c>
      <c r="K2696">
        <v>2</v>
      </c>
      <c r="L2696" s="2">
        <v>508.8</v>
      </c>
      <c r="M2696" s="3">
        <v>0.05</v>
      </c>
      <c r="N2696" t="s">
        <v>29</v>
      </c>
      <c r="O2696" s="2">
        <v>966.72</v>
      </c>
      <c r="P2696" s="2">
        <v>783.66</v>
      </c>
      <c r="Q2696" s="2">
        <v>183.06</v>
      </c>
      <c r="R2696">
        <v>1</v>
      </c>
      <c r="S2696">
        <v>0</v>
      </c>
      <c r="T2696">
        <v>3</v>
      </c>
      <c r="U2696">
        <v>5</v>
      </c>
    </row>
    <row r="2697" spans="1:21" ht="16.5" x14ac:dyDescent="0.3">
      <c r="A2697" t="s">
        <v>2785</v>
      </c>
      <c r="B2697" s="1">
        <v>45689</v>
      </c>
      <c r="C2697">
        <v>2025</v>
      </c>
      <c r="D2697" t="s">
        <v>22</v>
      </c>
      <c r="E2697" t="s">
        <v>242</v>
      </c>
      <c r="F2697" t="s">
        <v>31</v>
      </c>
      <c r="G2697" t="s">
        <v>25</v>
      </c>
      <c r="H2697" t="s">
        <v>26</v>
      </c>
      <c r="I2697" t="s">
        <v>42</v>
      </c>
      <c r="J2697" t="s">
        <v>54</v>
      </c>
      <c r="K2697">
        <v>1</v>
      </c>
      <c r="L2697" s="2">
        <v>148.05000000000001</v>
      </c>
      <c r="M2697" s="3">
        <v>0.25</v>
      </c>
      <c r="N2697" t="s">
        <v>62</v>
      </c>
      <c r="O2697" s="2">
        <v>111.04</v>
      </c>
      <c r="P2697" s="2">
        <v>97.04</v>
      </c>
      <c r="Q2697" s="2">
        <v>14</v>
      </c>
      <c r="R2697">
        <v>1</v>
      </c>
      <c r="S2697">
        <v>0</v>
      </c>
      <c r="T2697">
        <v>3</v>
      </c>
      <c r="U2697">
        <v>4</v>
      </c>
    </row>
    <row r="2698" spans="1:21" ht="16.5" x14ac:dyDescent="0.3">
      <c r="A2698" t="s">
        <v>2786</v>
      </c>
      <c r="B2698" s="1">
        <v>45689</v>
      </c>
      <c r="C2698">
        <v>2025</v>
      </c>
      <c r="D2698" t="s">
        <v>22</v>
      </c>
      <c r="E2698" t="s">
        <v>242</v>
      </c>
      <c r="F2698" t="s">
        <v>45</v>
      </c>
      <c r="G2698" t="s">
        <v>25</v>
      </c>
      <c r="H2698" t="s">
        <v>26</v>
      </c>
      <c r="I2698" t="s">
        <v>84</v>
      </c>
      <c r="J2698" t="s">
        <v>132</v>
      </c>
      <c r="K2698">
        <v>1</v>
      </c>
      <c r="L2698" s="2">
        <v>48.86</v>
      </c>
      <c r="M2698" s="3">
        <v>0</v>
      </c>
      <c r="N2698" t="s">
        <v>38</v>
      </c>
      <c r="O2698" s="2">
        <v>48.86</v>
      </c>
      <c r="P2698" s="2">
        <v>35.85</v>
      </c>
      <c r="Q2698" s="2">
        <v>13.01</v>
      </c>
      <c r="R2698">
        <v>1</v>
      </c>
      <c r="S2698">
        <v>0</v>
      </c>
      <c r="T2698">
        <v>9</v>
      </c>
      <c r="U2698">
        <v>4</v>
      </c>
    </row>
    <row r="2699" spans="1:21" ht="16.5" x14ac:dyDescent="0.3">
      <c r="A2699" t="s">
        <v>2787</v>
      </c>
      <c r="B2699" s="1">
        <v>45689</v>
      </c>
      <c r="C2699">
        <v>2025</v>
      </c>
      <c r="D2699" t="s">
        <v>22</v>
      </c>
      <c r="E2699" t="s">
        <v>242</v>
      </c>
      <c r="F2699" t="s">
        <v>31</v>
      </c>
      <c r="G2699" t="s">
        <v>51</v>
      </c>
      <c r="H2699" t="s">
        <v>32</v>
      </c>
      <c r="I2699" t="s">
        <v>42</v>
      </c>
      <c r="J2699" t="s">
        <v>89</v>
      </c>
      <c r="K2699">
        <v>1</v>
      </c>
      <c r="L2699" s="2">
        <v>68.349999999999994</v>
      </c>
      <c r="M2699" s="3">
        <v>0.2</v>
      </c>
      <c r="N2699" t="s">
        <v>34</v>
      </c>
      <c r="O2699" s="2">
        <v>54.68</v>
      </c>
      <c r="P2699" s="2">
        <v>45.55</v>
      </c>
      <c r="Q2699" s="2">
        <v>9.1300000000000008</v>
      </c>
      <c r="R2699">
        <v>1</v>
      </c>
      <c r="S2699">
        <v>0</v>
      </c>
      <c r="T2699">
        <v>3</v>
      </c>
      <c r="U2699">
        <v>5</v>
      </c>
    </row>
    <row r="2700" spans="1:21" ht="16.5" x14ac:dyDescent="0.3">
      <c r="A2700" t="s">
        <v>2788</v>
      </c>
      <c r="B2700" s="1">
        <v>45689</v>
      </c>
      <c r="C2700">
        <v>2025</v>
      </c>
      <c r="D2700" t="s">
        <v>22</v>
      </c>
      <c r="E2700" t="s">
        <v>242</v>
      </c>
      <c r="F2700" t="s">
        <v>24</v>
      </c>
      <c r="G2700" t="s">
        <v>46</v>
      </c>
      <c r="H2700" t="s">
        <v>32</v>
      </c>
      <c r="I2700" t="s">
        <v>84</v>
      </c>
      <c r="J2700" t="s">
        <v>85</v>
      </c>
      <c r="K2700">
        <v>1</v>
      </c>
      <c r="L2700" s="2">
        <v>57.92</v>
      </c>
      <c r="M2700" s="3">
        <v>0.1</v>
      </c>
      <c r="N2700" t="s">
        <v>29</v>
      </c>
      <c r="O2700" s="2">
        <v>52.13</v>
      </c>
      <c r="P2700" s="2">
        <v>42.04</v>
      </c>
      <c r="Q2700" s="2">
        <v>10.09</v>
      </c>
      <c r="R2700">
        <v>1</v>
      </c>
      <c r="S2700">
        <v>0</v>
      </c>
      <c r="T2700">
        <v>6</v>
      </c>
      <c r="U2700">
        <v>4</v>
      </c>
    </row>
    <row r="2701" spans="1:21" ht="16.5" x14ac:dyDescent="0.3">
      <c r="A2701" t="s">
        <v>2789</v>
      </c>
      <c r="B2701" s="1">
        <v>45689</v>
      </c>
      <c r="C2701">
        <v>2025</v>
      </c>
      <c r="D2701" t="s">
        <v>22</v>
      </c>
      <c r="E2701" t="s">
        <v>242</v>
      </c>
      <c r="F2701" t="s">
        <v>31</v>
      </c>
      <c r="G2701" t="s">
        <v>49</v>
      </c>
      <c r="H2701" t="s">
        <v>32</v>
      </c>
      <c r="I2701" t="s">
        <v>27</v>
      </c>
      <c r="J2701" t="s">
        <v>33</v>
      </c>
      <c r="K2701">
        <v>2</v>
      </c>
      <c r="L2701" s="2">
        <v>78.510000000000005</v>
      </c>
      <c r="M2701" s="3">
        <v>0.2</v>
      </c>
      <c r="N2701" t="s">
        <v>34</v>
      </c>
      <c r="O2701" s="2">
        <v>125.62</v>
      </c>
      <c r="P2701" s="2">
        <v>79.22</v>
      </c>
      <c r="Q2701" s="2">
        <v>46.4</v>
      </c>
      <c r="R2701">
        <v>1</v>
      </c>
      <c r="S2701">
        <v>0</v>
      </c>
      <c r="T2701">
        <v>3</v>
      </c>
      <c r="U2701">
        <v>4</v>
      </c>
    </row>
    <row r="2702" spans="1:21" ht="16.5" x14ac:dyDescent="0.3">
      <c r="A2702" t="s">
        <v>2790</v>
      </c>
      <c r="B2702" s="1">
        <v>45689</v>
      </c>
      <c r="C2702">
        <v>2025</v>
      </c>
      <c r="D2702" t="s">
        <v>22</v>
      </c>
      <c r="E2702" t="s">
        <v>242</v>
      </c>
      <c r="F2702" t="s">
        <v>31</v>
      </c>
      <c r="G2702" t="s">
        <v>51</v>
      </c>
      <c r="H2702" t="s">
        <v>32</v>
      </c>
      <c r="I2702" t="s">
        <v>27</v>
      </c>
      <c r="J2702" t="s">
        <v>28</v>
      </c>
      <c r="K2702">
        <v>1</v>
      </c>
      <c r="L2702" s="2">
        <v>138.5</v>
      </c>
      <c r="M2702" s="3">
        <v>0</v>
      </c>
      <c r="N2702" t="s">
        <v>38</v>
      </c>
      <c r="O2702" s="2">
        <v>138.5</v>
      </c>
      <c r="P2702" s="2">
        <v>74.56</v>
      </c>
      <c r="Q2702" s="2">
        <v>63.94</v>
      </c>
      <c r="R2702">
        <v>1</v>
      </c>
      <c r="S2702">
        <v>0</v>
      </c>
      <c r="T2702">
        <v>2</v>
      </c>
      <c r="U2702">
        <v>4</v>
      </c>
    </row>
    <row r="2703" spans="1:21" ht="16.5" x14ac:dyDescent="0.3">
      <c r="A2703" t="s">
        <v>2791</v>
      </c>
      <c r="B2703" s="1">
        <v>45689</v>
      </c>
      <c r="C2703">
        <v>2025</v>
      </c>
      <c r="D2703" t="s">
        <v>22</v>
      </c>
      <c r="E2703" t="s">
        <v>242</v>
      </c>
      <c r="F2703" t="s">
        <v>31</v>
      </c>
      <c r="G2703" t="s">
        <v>49</v>
      </c>
      <c r="H2703" t="s">
        <v>26</v>
      </c>
      <c r="I2703" t="s">
        <v>36</v>
      </c>
      <c r="J2703" t="s">
        <v>52</v>
      </c>
      <c r="K2703">
        <v>1</v>
      </c>
      <c r="L2703" s="2">
        <v>92.54</v>
      </c>
      <c r="M2703" s="3">
        <v>0.15</v>
      </c>
      <c r="N2703" t="s">
        <v>34</v>
      </c>
      <c r="O2703" s="2">
        <v>78.66</v>
      </c>
      <c r="P2703" s="2">
        <v>44.51</v>
      </c>
      <c r="Q2703" s="2">
        <v>34.15</v>
      </c>
      <c r="R2703">
        <v>1</v>
      </c>
      <c r="S2703">
        <v>0</v>
      </c>
      <c r="T2703">
        <v>3</v>
      </c>
      <c r="U2703">
        <v>5</v>
      </c>
    </row>
    <row r="2704" spans="1:21" ht="16.5" x14ac:dyDescent="0.3">
      <c r="A2704" t="s">
        <v>2792</v>
      </c>
      <c r="B2704" s="1">
        <v>45689</v>
      </c>
      <c r="C2704">
        <v>2025</v>
      </c>
      <c r="D2704" t="s">
        <v>22</v>
      </c>
      <c r="E2704" t="s">
        <v>242</v>
      </c>
      <c r="F2704" t="s">
        <v>31</v>
      </c>
      <c r="G2704" t="s">
        <v>51</v>
      </c>
      <c r="H2704" t="s">
        <v>26</v>
      </c>
      <c r="I2704" t="s">
        <v>70</v>
      </c>
      <c r="J2704" t="s">
        <v>162</v>
      </c>
      <c r="K2704">
        <v>2</v>
      </c>
      <c r="L2704" s="2">
        <v>636.09</v>
      </c>
      <c r="M2704" s="3">
        <v>0</v>
      </c>
      <c r="N2704" t="s">
        <v>38</v>
      </c>
      <c r="O2704" s="2">
        <v>1272.18</v>
      </c>
      <c r="P2704" s="2">
        <v>1054.22</v>
      </c>
      <c r="Q2704" s="2">
        <v>217.96</v>
      </c>
      <c r="R2704">
        <v>1</v>
      </c>
      <c r="S2704">
        <v>0</v>
      </c>
      <c r="T2704">
        <v>2</v>
      </c>
      <c r="U2704">
        <v>5</v>
      </c>
    </row>
    <row r="2705" spans="1:21" ht="16.5" x14ac:dyDescent="0.3">
      <c r="A2705" t="s">
        <v>2793</v>
      </c>
      <c r="B2705" s="1">
        <v>45690</v>
      </c>
      <c r="C2705">
        <v>2025</v>
      </c>
      <c r="D2705" t="s">
        <v>22</v>
      </c>
      <c r="E2705" t="s">
        <v>242</v>
      </c>
      <c r="F2705" t="s">
        <v>31</v>
      </c>
      <c r="G2705" t="s">
        <v>25</v>
      </c>
      <c r="H2705" t="s">
        <v>32</v>
      </c>
      <c r="I2705" t="s">
        <v>84</v>
      </c>
      <c r="J2705" t="s">
        <v>96</v>
      </c>
      <c r="K2705">
        <v>4</v>
      </c>
      <c r="L2705" s="2">
        <v>10.76</v>
      </c>
      <c r="M2705" s="3">
        <v>0</v>
      </c>
      <c r="N2705" t="s">
        <v>38</v>
      </c>
      <c r="O2705" s="2">
        <v>43.04</v>
      </c>
      <c r="P2705" s="2">
        <v>30.54</v>
      </c>
      <c r="Q2705" s="2">
        <v>12.5</v>
      </c>
      <c r="R2705">
        <v>1</v>
      </c>
      <c r="S2705">
        <v>0</v>
      </c>
      <c r="T2705">
        <v>4</v>
      </c>
      <c r="U2705">
        <v>4</v>
      </c>
    </row>
    <row r="2706" spans="1:21" ht="16.5" x14ac:dyDescent="0.3">
      <c r="A2706" t="s">
        <v>2794</v>
      </c>
      <c r="B2706" s="1">
        <v>45690</v>
      </c>
      <c r="C2706">
        <v>2025</v>
      </c>
      <c r="D2706" t="s">
        <v>22</v>
      </c>
      <c r="E2706" t="s">
        <v>242</v>
      </c>
      <c r="F2706" t="s">
        <v>24</v>
      </c>
      <c r="G2706" t="s">
        <v>49</v>
      </c>
      <c r="H2706" t="s">
        <v>26</v>
      </c>
      <c r="I2706" t="s">
        <v>42</v>
      </c>
      <c r="J2706" t="s">
        <v>89</v>
      </c>
      <c r="K2706">
        <v>1</v>
      </c>
      <c r="L2706" s="2">
        <v>68.349999999999994</v>
      </c>
      <c r="M2706" s="3">
        <v>0.15</v>
      </c>
      <c r="N2706" t="s">
        <v>34</v>
      </c>
      <c r="O2706" s="2">
        <v>58.1</v>
      </c>
      <c r="P2706" s="2">
        <v>44.34</v>
      </c>
      <c r="Q2706" s="2">
        <v>13.76</v>
      </c>
      <c r="R2706">
        <v>1</v>
      </c>
      <c r="S2706">
        <v>0</v>
      </c>
      <c r="T2706">
        <v>4</v>
      </c>
      <c r="U2706">
        <v>5</v>
      </c>
    </row>
    <row r="2707" spans="1:21" ht="16.5" x14ac:dyDescent="0.3">
      <c r="A2707" t="s">
        <v>2795</v>
      </c>
      <c r="B2707" s="1">
        <v>45690</v>
      </c>
      <c r="C2707">
        <v>2025</v>
      </c>
      <c r="D2707" t="s">
        <v>22</v>
      </c>
      <c r="E2707" t="s">
        <v>242</v>
      </c>
      <c r="F2707" t="s">
        <v>31</v>
      </c>
      <c r="G2707" t="s">
        <v>65</v>
      </c>
      <c r="H2707" t="s">
        <v>32</v>
      </c>
      <c r="I2707" t="s">
        <v>84</v>
      </c>
      <c r="J2707" t="s">
        <v>96</v>
      </c>
      <c r="K2707">
        <v>4</v>
      </c>
      <c r="L2707" s="2">
        <v>10.76</v>
      </c>
      <c r="M2707" s="3">
        <v>0.1</v>
      </c>
      <c r="N2707" t="s">
        <v>29</v>
      </c>
      <c r="O2707" s="2">
        <v>38.74</v>
      </c>
      <c r="P2707" s="2">
        <v>30.57</v>
      </c>
      <c r="Q2707" s="2">
        <v>8.17</v>
      </c>
      <c r="R2707">
        <v>1</v>
      </c>
      <c r="S2707">
        <v>0</v>
      </c>
      <c r="T2707">
        <v>6</v>
      </c>
      <c r="U2707">
        <v>4</v>
      </c>
    </row>
    <row r="2708" spans="1:21" ht="16.5" x14ac:dyDescent="0.3">
      <c r="A2708" t="s">
        <v>2796</v>
      </c>
      <c r="B2708" s="1">
        <v>45690</v>
      </c>
      <c r="C2708">
        <v>2025</v>
      </c>
      <c r="D2708" t="s">
        <v>22</v>
      </c>
      <c r="E2708" t="s">
        <v>242</v>
      </c>
      <c r="F2708" t="s">
        <v>31</v>
      </c>
      <c r="G2708" t="s">
        <v>25</v>
      </c>
      <c r="H2708" t="s">
        <v>26</v>
      </c>
      <c r="I2708" t="s">
        <v>67</v>
      </c>
      <c r="J2708" t="s">
        <v>68</v>
      </c>
      <c r="K2708">
        <v>3</v>
      </c>
      <c r="L2708" s="2">
        <v>74.459999999999994</v>
      </c>
      <c r="M2708" s="3">
        <v>0.1</v>
      </c>
      <c r="N2708" t="s">
        <v>29</v>
      </c>
      <c r="O2708" s="2">
        <v>201.04</v>
      </c>
      <c r="P2708" s="2">
        <v>153.76</v>
      </c>
      <c r="Q2708" s="2">
        <v>47.28</v>
      </c>
      <c r="R2708">
        <v>1</v>
      </c>
      <c r="S2708">
        <v>0</v>
      </c>
      <c r="T2708">
        <v>4</v>
      </c>
      <c r="U2708">
        <v>5</v>
      </c>
    </row>
    <row r="2709" spans="1:21" ht="16.5" x14ac:dyDescent="0.3">
      <c r="A2709" t="s">
        <v>2797</v>
      </c>
      <c r="B2709" s="1">
        <v>45690</v>
      </c>
      <c r="C2709">
        <v>2025</v>
      </c>
      <c r="D2709" t="s">
        <v>22</v>
      </c>
      <c r="E2709" t="s">
        <v>242</v>
      </c>
      <c r="F2709" t="s">
        <v>31</v>
      </c>
      <c r="G2709" t="s">
        <v>51</v>
      </c>
      <c r="H2709" t="s">
        <v>32</v>
      </c>
      <c r="I2709" t="s">
        <v>42</v>
      </c>
      <c r="J2709" t="s">
        <v>54</v>
      </c>
      <c r="K2709">
        <v>2</v>
      </c>
      <c r="L2709" s="2">
        <v>148.05000000000001</v>
      </c>
      <c r="M2709" s="3">
        <v>0.15</v>
      </c>
      <c r="N2709" t="s">
        <v>34</v>
      </c>
      <c r="O2709" s="2">
        <v>251.68</v>
      </c>
      <c r="P2709" s="2">
        <v>199.84</v>
      </c>
      <c r="Q2709" s="2">
        <v>51.84</v>
      </c>
      <c r="R2709">
        <v>1</v>
      </c>
      <c r="S2709">
        <v>0</v>
      </c>
      <c r="T2709">
        <v>2</v>
      </c>
      <c r="U2709">
        <v>5</v>
      </c>
    </row>
    <row r="2710" spans="1:21" ht="16.5" x14ac:dyDescent="0.3">
      <c r="A2710" t="s">
        <v>2798</v>
      </c>
      <c r="B2710" s="1">
        <v>45690</v>
      </c>
      <c r="C2710">
        <v>2025</v>
      </c>
      <c r="D2710" t="s">
        <v>22</v>
      </c>
      <c r="E2710" t="s">
        <v>242</v>
      </c>
      <c r="F2710" t="s">
        <v>31</v>
      </c>
      <c r="G2710" t="s">
        <v>49</v>
      </c>
      <c r="H2710" t="s">
        <v>32</v>
      </c>
      <c r="I2710" t="s">
        <v>27</v>
      </c>
      <c r="J2710" t="s">
        <v>47</v>
      </c>
      <c r="K2710">
        <v>1</v>
      </c>
      <c r="L2710" s="2">
        <v>33.99</v>
      </c>
      <c r="M2710" s="3">
        <v>0.1</v>
      </c>
      <c r="N2710" t="s">
        <v>29</v>
      </c>
      <c r="O2710" s="2">
        <v>30.59</v>
      </c>
      <c r="P2710" s="2">
        <v>18.16</v>
      </c>
      <c r="Q2710" s="2">
        <v>12.43</v>
      </c>
      <c r="R2710">
        <v>1</v>
      </c>
      <c r="S2710">
        <v>0</v>
      </c>
      <c r="T2710">
        <v>3</v>
      </c>
      <c r="U2710">
        <v>5</v>
      </c>
    </row>
    <row r="2711" spans="1:21" ht="16.5" x14ac:dyDescent="0.3">
      <c r="A2711" t="s">
        <v>2799</v>
      </c>
      <c r="B2711" s="1">
        <v>45690</v>
      </c>
      <c r="C2711">
        <v>2025</v>
      </c>
      <c r="D2711" t="s">
        <v>22</v>
      </c>
      <c r="E2711" t="s">
        <v>242</v>
      </c>
      <c r="F2711" t="s">
        <v>31</v>
      </c>
      <c r="G2711" t="s">
        <v>49</v>
      </c>
      <c r="H2711" t="s">
        <v>32</v>
      </c>
      <c r="I2711" t="s">
        <v>36</v>
      </c>
      <c r="J2711" t="s">
        <v>56</v>
      </c>
      <c r="K2711">
        <v>2</v>
      </c>
      <c r="L2711" s="2">
        <v>74.3</v>
      </c>
      <c r="M2711" s="3">
        <v>0.15</v>
      </c>
      <c r="N2711" t="s">
        <v>34</v>
      </c>
      <c r="O2711" s="2">
        <v>126.31</v>
      </c>
      <c r="P2711" s="2">
        <v>72.3</v>
      </c>
      <c r="Q2711" s="2">
        <v>54.01</v>
      </c>
      <c r="R2711">
        <v>1</v>
      </c>
      <c r="S2711">
        <v>0</v>
      </c>
      <c r="T2711">
        <v>7</v>
      </c>
      <c r="U2711">
        <v>4</v>
      </c>
    </row>
    <row r="2712" spans="1:21" ht="16.5" x14ac:dyDescent="0.3">
      <c r="A2712" t="s">
        <v>2800</v>
      </c>
      <c r="B2712" s="1">
        <v>45690</v>
      </c>
      <c r="C2712">
        <v>2025</v>
      </c>
      <c r="D2712" t="s">
        <v>22</v>
      </c>
      <c r="E2712" t="s">
        <v>242</v>
      </c>
      <c r="F2712" t="s">
        <v>31</v>
      </c>
      <c r="G2712" t="s">
        <v>46</v>
      </c>
      <c r="H2712" t="s">
        <v>32</v>
      </c>
      <c r="I2712" t="s">
        <v>27</v>
      </c>
      <c r="J2712" t="s">
        <v>110</v>
      </c>
      <c r="K2712">
        <v>3</v>
      </c>
      <c r="L2712" s="2">
        <v>19.41</v>
      </c>
      <c r="M2712" s="3">
        <v>0.1</v>
      </c>
      <c r="N2712" t="s">
        <v>29</v>
      </c>
      <c r="O2712" s="2">
        <v>52.41</v>
      </c>
      <c r="P2712" s="2">
        <v>29.98</v>
      </c>
      <c r="Q2712" s="2">
        <v>22.43</v>
      </c>
      <c r="R2712">
        <v>1</v>
      </c>
      <c r="S2712">
        <v>0</v>
      </c>
      <c r="T2712">
        <v>6</v>
      </c>
      <c r="U2712">
        <v>3</v>
      </c>
    </row>
    <row r="2713" spans="1:21" ht="16.5" x14ac:dyDescent="0.3">
      <c r="A2713" t="s">
        <v>2801</v>
      </c>
      <c r="B2713" s="1">
        <v>45690</v>
      </c>
      <c r="C2713">
        <v>2025</v>
      </c>
      <c r="D2713" t="s">
        <v>22</v>
      </c>
      <c r="E2713" t="s">
        <v>242</v>
      </c>
      <c r="F2713" t="s">
        <v>24</v>
      </c>
      <c r="G2713" t="s">
        <v>25</v>
      </c>
      <c r="H2713" t="s">
        <v>32</v>
      </c>
      <c r="I2713" t="s">
        <v>70</v>
      </c>
      <c r="J2713" t="s">
        <v>82</v>
      </c>
      <c r="K2713">
        <v>1</v>
      </c>
      <c r="L2713" s="2">
        <v>508.8</v>
      </c>
      <c r="M2713" s="3">
        <v>0.1</v>
      </c>
      <c r="N2713" t="s">
        <v>29</v>
      </c>
      <c r="O2713" s="2">
        <v>457.92</v>
      </c>
      <c r="P2713" s="2">
        <v>396.91</v>
      </c>
      <c r="Q2713" s="2">
        <v>61.01</v>
      </c>
      <c r="R2713">
        <v>1</v>
      </c>
      <c r="S2713">
        <v>1</v>
      </c>
      <c r="T2713">
        <v>3</v>
      </c>
      <c r="U2713">
        <v>4</v>
      </c>
    </row>
    <row r="2714" spans="1:21" ht="16.5" x14ac:dyDescent="0.3">
      <c r="A2714" t="s">
        <v>2802</v>
      </c>
      <c r="B2714" s="1">
        <v>45691</v>
      </c>
      <c r="C2714">
        <v>2025</v>
      </c>
      <c r="D2714" t="s">
        <v>22</v>
      </c>
      <c r="E2714" t="s">
        <v>242</v>
      </c>
      <c r="F2714" t="s">
        <v>31</v>
      </c>
      <c r="G2714" t="s">
        <v>65</v>
      </c>
      <c r="H2714" t="s">
        <v>32</v>
      </c>
      <c r="I2714" t="s">
        <v>70</v>
      </c>
      <c r="J2714" t="s">
        <v>87</v>
      </c>
      <c r="K2714">
        <v>1</v>
      </c>
      <c r="L2714" s="2">
        <v>490.3</v>
      </c>
      <c r="M2714" s="3">
        <v>0.05</v>
      </c>
      <c r="N2714" t="s">
        <v>29</v>
      </c>
      <c r="O2714" s="2">
        <v>465.78</v>
      </c>
      <c r="P2714" s="2">
        <v>384.42</v>
      </c>
      <c r="Q2714" s="2">
        <v>81.36</v>
      </c>
      <c r="R2714">
        <v>1</v>
      </c>
      <c r="S2714">
        <v>0</v>
      </c>
      <c r="T2714">
        <v>7</v>
      </c>
      <c r="U2714">
        <v>3</v>
      </c>
    </row>
    <row r="2715" spans="1:21" ht="16.5" x14ac:dyDescent="0.3">
      <c r="A2715" t="s">
        <v>2803</v>
      </c>
      <c r="B2715" s="1">
        <v>45691</v>
      </c>
      <c r="C2715">
        <v>2025</v>
      </c>
      <c r="D2715" t="s">
        <v>22</v>
      </c>
      <c r="E2715" t="s">
        <v>242</v>
      </c>
      <c r="F2715" t="s">
        <v>24</v>
      </c>
      <c r="G2715" t="s">
        <v>49</v>
      </c>
      <c r="H2715" t="s">
        <v>32</v>
      </c>
      <c r="I2715" t="s">
        <v>42</v>
      </c>
      <c r="J2715" t="s">
        <v>98</v>
      </c>
      <c r="K2715">
        <v>2</v>
      </c>
      <c r="L2715" s="2">
        <v>117.63</v>
      </c>
      <c r="M2715" s="3">
        <v>0.1</v>
      </c>
      <c r="N2715" t="s">
        <v>29</v>
      </c>
      <c r="O2715" s="2">
        <v>211.73</v>
      </c>
      <c r="P2715" s="2">
        <v>157.41</v>
      </c>
      <c r="Q2715" s="2">
        <v>54.32</v>
      </c>
      <c r="R2715">
        <v>1</v>
      </c>
      <c r="S2715">
        <v>0</v>
      </c>
      <c r="T2715">
        <v>7</v>
      </c>
      <c r="U2715">
        <v>5</v>
      </c>
    </row>
    <row r="2716" spans="1:21" ht="16.5" x14ac:dyDescent="0.3">
      <c r="A2716" t="s">
        <v>2804</v>
      </c>
      <c r="B2716" s="1">
        <v>45691</v>
      </c>
      <c r="C2716">
        <v>2025</v>
      </c>
      <c r="D2716" t="s">
        <v>22</v>
      </c>
      <c r="E2716" t="s">
        <v>242</v>
      </c>
      <c r="F2716" t="s">
        <v>45</v>
      </c>
      <c r="G2716" t="s">
        <v>51</v>
      </c>
      <c r="H2716" t="s">
        <v>26</v>
      </c>
      <c r="I2716" t="s">
        <v>27</v>
      </c>
      <c r="J2716" t="s">
        <v>60</v>
      </c>
      <c r="K2716">
        <v>1</v>
      </c>
      <c r="L2716" s="2">
        <v>94.85</v>
      </c>
      <c r="M2716" s="3">
        <v>0</v>
      </c>
      <c r="N2716" t="s">
        <v>38</v>
      </c>
      <c r="O2716" s="2">
        <v>94.85</v>
      </c>
      <c r="P2716" s="2">
        <v>48.46</v>
      </c>
      <c r="Q2716" s="2">
        <v>46.39</v>
      </c>
      <c r="R2716">
        <v>1</v>
      </c>
      <c r="S2716">
        <v>1</v>
      </c>
      <c r="T2716">
        <v>2</v>
      </c>
      <c r="U2716">
        <v>4</v>
      </c>
    </row>
    <row r="2717" spans="1:21" ht="16.5" x14ac:dyDescent="0.3">
      <c r="A2717" t="s">
        <v>2805</v>
      </c>
      <c r="B2717" s="1">
        <v>45691</v>
      </c>
      <c r="C2717">
        <v>2025</v>
      </c>
      <c r="D2717" t="s">
        <v>22</v>
      </c>
      <c r="E2717" t="s">
        <v>242</v>
      </c>
      <c r="F2717" t="s">
        <v>45</v>
      </c>
      <c r="G2717" t="s">
        <v>49</v>
      </c>
      <c r="H2717" t="s">
        <v>32</v>
      </c>
      <c r="I2717" t="s">
        <v>84</v>
      </c>
      <c r="J2717" t="s">
        <v>132</v>
      </c>
      <c r="K2717">
        <v>1</v>
      </c>
      <c r="L2717" s="2">
        <v>48.86</v>
      </c>
      <c r="M2717" s="3">
        <v>0.15</v>
      </c>
      <c r="N2717" t="s">
        <v>34</v>
      </c>
      <c r="O2717" s="2">
        <v>41.53</v>
      </c>
      <c r="P2717" s="2">
        <v>36.76</v>
      </c>
      <c r="Q2717" s="2">
        <v>4.7699999999999996</v>
      </c>
      <c r="R2717">
        <v>1</v>
      </c>
      <c r="S2717">
        <v>0</v>
      </c>
      <c r="T2717">
        <v>6</v>
      </c>
      <c r="U2717">
        <v>4</v>
      </c>
    </row>
    <row r="2718" spans="1:21" ht="16.5" x14ac:dyDescent="0.3">
      <c r="A2718" t="s">
        <v>2806</v>
      </c>
      <c r="B2718" s="1">
        <v>45692</v>
      </c>
      <c r="C2718">
        <v>2025</v>
      </c>
      <c r="D2718" t="s">
        <v>22</v>
      </c>
      <c r="E2718" t="s">
        <v>242</v>
      </c>
      <c r="F2718" t="s">
        <v>31</v>
      </c>
      <c r="G2718" t="s">
        <v>25</v>
      </c>
      <c r="H2718" t="s">
        <v>32</v>
      </c>
      <c r="I2718" t="s">
        <v>27</v>
      </c>
      <c r="J2718" t="s">
        <v>28</v>
      </c>
      <c r="K2718">
        <v>2</v>
      </c>
      <c r="L2718" s="2">
        <v>138.5</v>
      </c>
      <c r="M2718" s="3">
        <v>0</v>
      </c>
      <c r="N2718" t="s">
        <v>38</v>
      </c>
      <c r="O2718" s="2">
        <v>277</v>
      </c>
      <c r="P2718" s="2">
        <v>151.07</v>
      </c>
      <c r="Q2718" s="2">
        <v>125.93</v>
      </c>
      <c r="R2718">
        <v>1</v>
      </c>
      <c r="S2718">
        <v>0</v>
      </c>
      <c r="T2718">
        <v>4</v>
      </c>
      <c r="U2718">
        <v>4</v>
      </c>
    </row>
    <row r="2719" spans="1:21" ht="16.5" x14ac:dyDescent="0.3">
      <c r="A2719" t="s">
        <v>2807</v>
      </c>
      <c r="B2719" s="1">
        <v>45692</v>
      </c>
      <c r="C2719">
        <v>2025</v>
      </c>
      <c r="D2719" t="s">
        <v>22</v>
      </c>
      <c r="E2719" t="s">
        <v>242</v>
      </c>
      <c r="F2719" t="s">
        <v>24</v>
      </c>
      <c r="G2719" t="s">
        <v>65</v>
      </c>
      <c r="H2719" t="s">
        <v>32</v>
      </c>
      <c r="I2719" t="s">
        <v>27</v>
      </c>
      <c r="J2719" t="s">
        <v>47</v>
      </c>
      <c r="K2719">
        <v>1</v>
      </c>
      <c r="L2719" s="2">
        <v>33.99</v>
      </c>
      <c r="M2719" s="3">
        <v>0</v>
      </c>
      <c r="N2719" t="s">
        <v>38</v>
      </c>
      <c r="O2719" s="2">
        <v>33.99</v>
      </c>
      <c r="P2719" s="2">
        <v>17.78</v>
      </c>
      <c r="Q2719" s="2">
        <v>16.21</v>
      </c>
      <c r="R2719">
        <v>1</v>
      </c>
      <c r="S2719">
        <v>0</v>
      </c>
      <c r="T2719">
        <v>5</v>
      </c>
      <c r="U2719">
        <v>3</v>
      </c>
    </row>
    <row r="2720" spans="1:21" ht="16.5" x14ac:dyDescent="0.3">
      <c r="A2720" t="s">
        <v>2808</v>
      </c>
      <c r="B2720" s="1">
        <v>45692</v>
      </c>
      <c r="C2720">
        <v>2025</v>
      </c>
      <c r="D2720" t="s">
        <v>22</v>
      </c>
      <c r="E2720" t="s">
        <v>242</v>
      </c>
      <c r="F2720" t="s">
        <v>31</v>
      </c>
      <c r="G2720" t="s">
        <v>25</v>
      </c>
      <c r="H2720" t="s">
        <v>26</v>
      </c>
      <c r="I2720" t="s">
        <v>27</v>
      </c>
      <c r="J2720" t="s">
        <v>47</v>
      </c>
      <c r="K2720">
        <v>1</v>
      </c>
      <c r="L2720" s="2">
        <v>33.99</v>
      </c>
      <c r="M2720" s="3">
        <v>0</v>
      </c>
      <c r="N2720" t="s">
        <v>38</v>
      </c>
      <c r="O2720" s="2">
        <v>33.99</v>
      </c>
      <c r="P2720" s="2">
        <v>18.61</v>
      </c>
      <c r="Q2720" s="2">
        <v>15.38</v>
      </c>
      <c r="R2720">
        <v>1</v>
      </c>
      <c r="S2720">
        <v>1</v>
      </c>
      <c r="T2720">
        <v>3</v>
      </c>
      <c r="U2720">
        <v>4</v>
      </c>
    </row>
    <row r="2721" spans="1:21" ht="16.5" x14ac:dyDescent="0.3">
      <c r="A2721" t="s">
        <v>2809</v>
      </c>
      <c r="B2721" s="1">
        <v>45692</v>
      </c>
      <c r="C2721">
        <v>2025</v>
      </c>
      <c r="D2721" t="s">
        <v>22</v>
      </c>
      <c r="E2721" t="s">
        <v>242</v>
      </c>
      <c r="F2721" t="s">
        <v>24</v>
      </c>
      <c r="G2721" t="s">
        <v>49</v>
      </c>
      <c r="H2721" t="s">
        <v>26</v>
      </c>
      <c r="I2721" t="s">
        <v>36</v>
      </c>
      <c r="J2721" t="s">
        <v>126</v>
      </c>
      <c r="K2721">
        <v>1</v>
      </c>
      <c r="L2721" s="2">
        <v>54.56</v>
      </c>
      <c r="M2721" s="3">
        <v>0</v>
      </c>
      <c r="N2721" t="s">
        <v>38</v>
      </c>
      <c r="O2721" s="2">
        <v>54.56</v>
      </c>
      <c r="P2721" s="2">
        <v>26.25</v>
      </c>
      <c r="Q2721" s="2">
        <v>28.31</v>
      </c>
      <c r="R2721">
        <v>1</v>
      </c>
      <c r="S2721">
        <v>0</v>
      </c>
      <c r="T2721">
        <v>4</v>
      </c>
      <c r="U2721">
        <v>5</v>
      </c>
    </row>
    <row r="2722" spans="1:21" ht="16.5" x14ac:dyDescent="0.3">
      <c r="A2722" t="s">
        <v>2810</v>
      </c>
      <c r="B2722" s="1">
        <v>45693</v>
      </c>
      <c r="C2722">
        <v>2025</v>
      </c>
      <c r="D2722" t="s">
        <v>22</v>
      </c>
      <c r="E2722" t="s">
        <v>242</v>
      </c>
      <c r="F2722" t="s">
        <v>45</v>
      </c>
      <c r="G2722" t="s">
        <v>25</v>
      </c>
      <c r="H2722" t="s">
        <v>26</v>
      </c>
      <c r="I2722" t="s">
        <v>36</v>
      </c>
      <c r="J2722" t="s">
        <v>126</v>
      </c>
      <c r="K2722">
        <v>1</v>
      </c>
      <c r="L2722" s="2">
        <v>54.56</v>
      </c>
      <c r="M2722" s="3">
        <v>0.1</v>
      </c>
      <c r="N2722" t="s">
        <v>29</v>
      </c>
      <c r="O2722" s="2">
        <v>49.1</v>
      </c>
      <c r="P2722" s="2">
        <v>26.28</v>
      </c>
      <c r="Q2722" s="2">
        <v>22.82</v>
      </c>
      <c r="R2722">
        <v>1</v>
      </c>
      <c r="S2722">
        <v>0</v>
      </c>
      <c r="T2722">
        <v>4</v>
      </c>
      <c r="U2722">
        <v>5</v>
      </c>
    </row>
    <row r="2723" spans="1:21" ht="16.5" x14ac:dyDescent="0.3">
      <c r="A2723" t="s">
        <v>2811</v>
      </c>
      <c r="B2723" s="1">
        <v>45693</v>
      </c>
      <c r="C2723">
        <v>2025</v>
      </c>
      <c r="D2723" t="s">
        <v>22</v>
      </c>
      <c r="E2723" t="s">
        <v>242</v>
      </c>
      <c r="F2723" t="s">
        <v>24</v>
      </c>
      <c r="G2723" t="s">
        <v>46</v>
      </c>
      <c r="H2723" t="s">
        <v>26</v>
      </c>
      <c r="I2723" t="s">
        <v>27</v>
      </c>
      <c r="J2723" t="s">
        <v>33</v>
      </c>
      <c r="K2723">
        <v>2</v>
      </c>
      <c r="L2723" s="2">
        <v>78.510000000000005</v>
      </c>
      <c r="M2723" s="3">
        <v>0.15</v>
      </c>
      <c r="N2723" t="s">
        <v>34</v>
      </c>
      <c r="O2723" s="2">
        <v>133.47</v>
      </c>
      <c r="P2723" s="2">
        <v>83.45</v>
      </c>
      <c r="Q2723" s="2">
        <v>50.02</v>
      </c>
      <c r="R2723">
        <v>1</v>
      </c>
      <c r="S2723">
        <v>0</v>
      </c>
      <c r="T2723">
        <v>7</v>
      </c>
      <c r="U2723">
        <v>4</v>
      </c>
    </row>
    <row r="2724" spans="1:21" ht="16.5" x14ac:dyDescent="0.3">
      <c r="A2724" t="s">
        <v>2812</v>
      </c>
      <c r="B2724" s="1">
        <v>45693</v>
      </c>
      <c r="C2724">
        <v>2025</v>
      </c>
      <c r="D2724" t="s">
        <v>22</v>
      </c>
      <c r="E2724" t="s">
        <v>242</v>
      </c>
      <c r="F2724" t="s">
        <v>45</v>
      </c>
      <c r="G2724" t="s">
        <v>49</v>
      </c>
      <c r="H2724" t="s">
        <v>32</v>
      </c>
      <c r="I2724" t="s">
        <v>70</v>
      </c>
      <c r="J2724" t="s">
        <v>82</v>
      </c>
      <c r="K2724">
        <v>2</v>
      </c>
      <c r="L2724" s="2">
        <v>508.8</v>
      </c>
      <c r="M2724" s="3">
        <v>0.3</v>
      </c>
      <c r="N2724" t="s">
        <v>62</v>
      </c>
      <c r="O2724" s="2">
        <v>712.32</v>
      </c>
      <c r="P2724" s="2">
        <v>759.02</v>
      </c>
      <c r="Q2724" s="2">
        <v>-46.7</v>
      </c>
      <c r="R2724">
        <v>1</v>
      </c>
      <c r="S2724">
        <v>0</v>
      </c>
      <c r="T2724">
        <v>4</v>
      </c>
      <c r="U2724">
        <v>4</v>
      </c>
    </row>
    <row r="2725" spans="1:21" ht="16.5" x14ac:dyDescent="0.3">
      <c r="A2725" t="s">
        <v>2813</v>
      </c>
      <c r="B2725" s="1">
        <v>45693</v>
      </c>
      <c r="C2725">
        <v>2025</v>
      </c>
      <c r="D2725" t="s">
        <v>22</v>
      </c>
      <c r="E2725" t="s">
        <v>242</v>
      </c>
      <c r="F2725" t="s">
        <v>31</v>
      </c>
      <c r="G2725" t="s">
        <v>46</v>
      </c>
      <c r="H2725" t="s">
        <v>26</v>
      </c>
      <c r="I2725" t="s">
        <v>36</v>
      </c>
      <c r="J2725" t="s">
        <v>126</v>
      </c>
      <c r="K2725">
        <v>1</v>
      </c>
      <c r="L2725" s="2">
        <v>54.56</v>
      </c>
      <c r="M2725" s="3">
        <v>0</v>
      </c>
      <c r="N2725" t="s">
        <v>38</v>
      </c>
      <c r="O2725" s="2">
        <v>54.56</v>
      </c>
      <c r="P2725" s="2">
        <v>25.95</v>
      </c>
      <c r="Q2725" s="2">
        <v>28.61</v>
      </c>
      <c r="R2725">
        <v>1</v>
      </c>
      <c r="S2725">
        <v>0</v>
      </c>
      <c r="T2725">
        <v>7</v>
      </c>
      <c r="U2725">
        <v>3</v>
      </c>
    </row>
    <row r="2726" spans="1:21" ht="16.5" x14ac:dyDescent="0.3">
      <c r="A2726" t="s">
        <v>2814</v>
      </c>
      <c r="B2726" s="1">
        <v>45694</v>
      </c>
      <c r="C2726">
        <v>2025</v>
      </c>
      <c r="D2726" t="s">
        <v>22</v>
      </c>
      <c r="E2726" t="s">
        <v>242</v>
      </c>
      <c r="F2726" t="s">
        <v>24</v>
      </c>
      <c r="G2726" t="s">
        <v>65</v>
      </c>
      <c r="H2726" t="s">
        <v>32</v>
      </c>
      <c r="I2726" t="s">
        <v>67</v>
      </c>
      <c r="J2726" t="s">
        <v>174</v>
      </c>
      <c r="K2726">
        <v>1</v>
      </c>
      <c r="L2726" s="2">
        <v>137.05000000000001</v>
      </c>
      <c r="M2726" s="3">
        <v>0.05</v>
      </c>
      <c r="N2726" t="s">
        <v>29</v>
      </c>
      <c r="O2726" s="2">
        <v>130.19999999999999</v>
      </c>
      <c r="P2726" s="2">
        <v>95.28</v>
      </c>
      <c r="Q2726" s="2">
        <v>34.92</v>
      </c>
      <c r="R2726">
        <v>1</v>
      </c>
      <c r="S2726">
        <v>0</v>
      </c>
      <c r="T2726">
        <v>5</v>
      </c>
      <c r="U2726">
        <v>5</v>
      </c>
    </row>
    <row r="2727" spans="1:21" ht="16.5" x14ac:dyDescent="0.3">
      <c r="A2727" t="s">
        <v>2815</v>
      </c>
      <c r="B2727" s="1">
        <v>45694</v>
      </c>
      <c r="C2727">
        <v>2025</v>
      </c>
      <c r="D2727" t="s">
        <v>22</v>
      </c>
      <c r="E2727" t="s">
        <v>242</v>
      </c>
      <c r="F2727" t="s">
        <v>31</v>
      </c>
      <c r="G2727" t="s">
        <v>51</v>
      </c>
      <c r="H2727" t="s">
        <v>32</v>
      </c>
      <c r="I2727" t="s">
        <v>70</v>
      </c>
      <c r="J2727" t="s">
        <v>129</v>
      </c>
      <c r="K2727">
        <v>1</v>
      </c>
      <c r="L2727" s="2">
        <v>177.65</v>
      </c>
      <c r="M2727" s="3">
        <v>0.05</v>
      </c>
      <c r="N2727" t="s">
        <v>29</v>
      </c>
      <c r="O2727" s="2">
        <v>168.77</v>
      </c>
      <c r="P2727" s="2">
        <v>145.18</v>
      </c>
      <c r="Q2727" s="2">
        <v>23.59</v>
      </c>
      <c r="R2727">
        <v>1</v>
      </c>
      <c r="S2727">
        <v>0</v>
      </c>
      <c r="T2727">
        <v>2</v>
      </c>
      <c r="U2727">
        <v>5</v>
      </c>
    </row>
    <row r="2728" spans="1:21" ht="16.5" x14ac:dyDescent="0.3">
      <c r="A2728" t="s">
        <v>2816</v>
      </c>
      <c r="B2728" s="1">
        <v>45694</v>
      </c>
      <c r="C2728">
        <v>2025</v>
      </c>
      <c r="D2728" t="s">
        <v>22</v>
      </c>
      <c r="E2728" t="s">
        <v>242</v>
      </c>
      <c r="F2728" t="s">
        <v>24</v>
      </c>
      <c r="G2728" t="s">
        <v>25</v>
      </c>
      <c r="H2728" t="s">
        <v>32</v>
      </c>
      <c r="I2728" t="s">
        <v>27</v>
      </c>
      <c r="J2728" t="s">
        <v>28</v>
      </c>
      <c r="K2728">
        <v>1</v>
      </c>
      <c r="L2728" s="2">
        <v>138.5</v>
      </c>
      <c r="M2728" s="3">
        <v>0.25</v>
      </c>
      <c r="N2728" t="s">
        <v>62</v>
      </c>
      <c r="O2728" s="2">
        <v>103.88</v>
      </c>
      <c r="P2728" s="2">
        <v>69.47</v>
      </c>
      <c r="Q2728" s="2">
        <v>34.409999999999997</v>
      </c>
      <c r="R2728">
        <v>1</v>
      </c>
      <c r="S2728">
        <v>0</v>
      </c>
      <c r="T2728">
        <v>4</v>
      </c>
      <c r="U2728">
        <v>4</v>
      </c>
    </row>
    <row r="2729" spans="1:21" ht="16.5" x14ac:dyDescent="0.3">
      <c r="A2729" t="s">
        <v>2817</v>
      </c>
      <c r="B2729" s="1">
        <v>45694</v>
      </c>
      <c r="C2729">
        <v>2025</v>
      </c>
      <c r="D2729" t="s">
        <v>22</v>
      </c>
      <c r="E2729" t="s">
        <v>242</v>
      </c>
      <c r="F2729" t="s">
        <v>24</v>
      </c>
      <c r="G2729" t="s">
        <v>25</v>
      </c>
      <c r="H2729" t="s">
        <v>32</v>
      </c>
      <c r="I2729" t="s">
        <v>42</v>
      </c>
      <c r="J2729" t="s">
        <v>58</v>
      </c>
      <c r="K2729">
        <v>1</v>
      </c>
      <c r="L2729" s="2">
        <v>233.81</v>
      </c>
      <c r="M2729" s="3">
        <v>0.05</v>
      </c>
      <c r="N2729" t="s">
        <v>29</v>
      </c>
      <c r="O2729" s="2">
        <v>222.12</v>
      </c>
      <c r="P2729" s="2">
        <v>156.88999999999999</v>
      </c>
      <c r="Q2729" s="2">
        <v>65.23</v>
      </c>
      <c r="R2729">
        <v>1</v>
      </c>
      <c r="S2729">
        <v>0</v>
      </c>
      <c r="T2729">
        <v>5</v>
      </c>
      <c r="U2729">
        <v>4</v>
      </c>
    </row>
    <row r="2730" spans="1:21" ht="16.5" x14ac:dyDescent="0.3">
      <c r="A2730" t="s">
        <v>2818</v>
      </c>
      <c r="B2730" s="1">
        <v>45694</v>
      </c>
      <c r="C2730">
        <v>2025</v>
      </c>
      <c r="D2730" t="s">
        <v>22</v>
      </c>
      <c r="E2730" t="s">
        <v>242</v>
      </c>
      <c r="F2730" t="s">
        <v>31</v>
      </c>
      <c r="G2730" t="s">
        <v>49</v>
      </c>
      <c r="H2730" t="s">
        <v>32</v>
      </c>
      <c r="I2730" t="s">
        <v>84</v>
      </c>
      <c r="J2730" t="s">
        <v>96</v>
      </c>
      <c r="K2730">
        <v>1</v>
      </c>
      <c r="L2730" s="2">
        <v>10.76</v>
      </c>
      <c r="M2730" s="3">
        <v>0</v>
      </c>
      <c r="N2730" t="s">
        <v>38</v>
      </c>
      <c r="O2730" s="2">
        <v>10.76</v>
      </c>
      <c r="P2730" s="2">
        <v>7.95</v>
      </c>
      <c r="Q2730" s="2">
        <v>2.81</v>
      </c>
      <c r="R2730">
        <v>1</v>
      </c>
      <c r="S2730">
        <v>0</v>
      </c>
      <c r="T2730">
        <v>4</v>
      </c>
      <c r="U2730">
        <v>4</v>
      </c>
    </row>
    <row r="2731" spans="1:21" ht="16.5" x14ac:dyDescent="0.3">
      <c r="A2731" t="s">
        <v>2819</v>
      </c>
      <c r="B2731" s="1">
        <v>45694</v>
      </c>
      <c r="C2731">
        <v>2025</v>
      </c>
      <c r="D2731" t="s">
        <v>22</v>
      </c>
      <c r="E2731" t="s">
        <v>242</v>
      </c>
      <c r="F2731" t="s">
        <v>31</v>
      </c>
      <c r="G2731" t="s">
        <v>65</v>
      </c>
      <c r="H2731" t="s">
        <v>32</v>
      </c>
      <c r="I2731" t="s">
        <v>84</v>
      </c>
      <c r="J2731" t="s">
        <v>96</v>
      </c>
      <c r="K2731">
        <v>2</v>
      </c>
      <c r="L2731" s="2">
        <v>10.76</v>
      </c>
      <c r="M2731" s="3">
        <v>0</v>
      </c>
      <c r="N2731" t="s">
        <v>38</v>
      </c>
      <c r="O2731" s="2">
        <v>21.52</v>
      </c>
      <c r="P2731" s="2">
        <v>15.33</v>
      </c>
      <c r="Q2731" s="2">
        <v>6.19</v>
      </c>
      <c r="R2731">
        <v>1</v>
      </c>
      <c r="S2731">
        <v>0</v>
      </c>
      <c r="T2731">
        <v>5</v>
      </c>
      <c r="U2731">
        <v>4</v>
      </c>
    </row>
    <row r="2732" spans="1:21" ht="16.5" x14ac:dyDescent="0.3">
      <c r="A2732" t="s">
        <v>2820</v>
      </c>
      <c r="B2732" s="1">
        <v>45695</v>
      </c>
      <c r="C2732">
        <v>2025</v>
      </c>
      <c r="D2732" t="s">
        <v>22</v>
      </c>
      <c r="E2732" t="s">
        <v>242</v>
      </c>
      <c r="F2732" t="s">
        <v>45</v>
      </c>
      <c r="G2732" t="s">
        <v>51</v>
      </c>
      <c r="H2732" t="s">
        <v>32</v>
      </c>
      <c r="I2732" t="s">
        <v>70</v>
      </c>
      <c r="J2732" t="s">
        <v>87</v>
      </c>
      <c r="K2732">
        <v>1</v>
      </c>
      <c r="L2732" s="2">
        <v>490.3</v>
      </c>
      <c r="M2732" s="3">
        <v>0</v>
      </c>
      <c r="N2732" t="s">
        <v>38</v>
      </c>
      <c r="O2732" s="2">
        <v>490.3</v>
      </c>
      <c r="P2732" s="2">
        <v>387</v>
      </c>
      <c r="Q2732" s="2">
        <v>103.3</v>
      </c>
      <c r="R2732">
        <v>1</v>
      </c>
      <c r="S2732">
        <v>0</v>
      </c>
      <c r="T2732">
        <v>3</v>
      </c>
      <c r="U2732">
        <v>4</v>
      </c>
    </row>
    <row r="2733" spans="1:21" ht="16.5" x14ac:dyDescent="0.3">
      <c r="A2733" t="s">
        <v>2821</v>
      </c>
      <c r="B2733" s="1">
        <v>45695</v>
      </c>
      <c r="C2733">
        <v>2025</v>
      </c>
      <c r="D2733" t="s">
        <v>22</v>
      </c>
      <c r="E2733" t="s">
        <v>242</v>
      </c>
      <c r="F2733" t="s">
        <v>45</v>
      </c>
      <c r="G2733" t="s">
        <v>25</v>
      </c>
      <c r="H2733" t="s">
        <v>26</v>
      </c>
      <c r="I2733" t="s">
        <v>70</v>
      </c>
      <c r="J2733" t="s">
        <v>129</v>
      </c>
      <c r="K2733">
        <v>1</v>
      </c>
      <c r="L2733" s="2">
        <v>177.65</v>
      </c>
      <c r="M2733" s="3">
        <v>0.15</v>
      </c>
      <c r="N2733" t="s">
        <v>34</v>
      </c>
      <c r="O2733" s="2">
        <v>151</v>
      </c>
      <c r="P2733" s="2">
        <v>137.99</v>
      </c>
      <c r="Q2733" s="2">
        <v>13.01</v>
      </c>
      <c r="R2733">
        <v>1</v>
      </c>
      <c r="S2733">
        <v>1</v>
      </c>
      <c r="T2733">
        <v>6</v>
      </c>
      <c r="U2733">
        <v>2</v>
      </c>
    </row>
    <row r="2734" spans="1:21" ht="16.5" x14ac:dyDescent="0.3">
      <c r="A2734" t="s">
        <v>2822</v>
      </c>
      <c r="B2734" s="1">
        <v>45695</v>
      </c>
      <c r="C2734">
        <v>2025</v>
      </c>
      <c r="D2734" t="s">
        <v>22</v>
      </c>
      <c r="E2734" t="s">
        <v>242</v>
      </c>
      <c r="F2734" t="s">
        <v>45</v>
      </c>
      <c r="G2734" t="s">
        <v>49</v>
      </c>
      <c r="H2734" t="s">
        <v>32</v>
      </c>
      <c r="I2734" t="s">
        <v>36</v>
      </c>
      <c r="J2734" t="s">
        <v>52</v>
      </c>
      <c r="K2734">
        <v>2</v>
      </c>
      <c r="L2734" s="2">
        <v>92.54</v>
      </c>
      <c r="M2734" s="3">
        <v>0</v>
      </c>
      <c r="N2734" t="s">
        <v>38</v>
      </c>
      <c r="O2734" s="2">
        <v>185.08</v>
      </c>
      <c r="P2734" s="2">
        <v>86.4</v>
      </c>
      <c r="Q2734" s="2">
        <v>98.68</v>
      </c>
      <c r="R2734">
        <v>1</v>
      </c>
      <c r="S2734">
        <v>0</v>
      </c>
      <c r="T2734">
        <v>4</v>
      </c>
      <c r="U2734">
        <v>3</v>
      </c>
    </row>
    <row r="2735" spans="1:21" ht="16.5" x14ac:dyDescent="0.3">
      <c r="A2735" t="s">
        <v>2823</v>
      </c>
      <c r="B2735" s="1">
        <v>45695</v>
      </c>
      <c r="C2735">
        <v>2025</v>
      </c>
      <c r="D2735" t="s">
        <v>22</v>
      </c>
      <c r="E2735" t="s">
        <v>242</v>
      </c>
      <c r="F2735" t="s">
        <v>31</v>
      </c>
      <c r="G2735" t="s">
        <v>49</v>
      </c>
      <c r="H2735" t="s">
        <v>26</v>
      </c>
      <c r="I2735" t="s">
        <v>84</v>
      </c>
      <c r="J2735" t="s">
        <v>223</v>
      </c>
      <c r="K2735">
        <v>2</v>
      </c>
      <c r="L2735" s="2">
        <v>16.97</v>
      </c>
      <c r="M2735" s="3">
        <v>0</v>
      </c>
      <c r="N2735" t="s">
        <v>38</v>
      </c>
      <c r="O2735" s="2">
        <v>33.94</v>
      </c>
      <c r="P2735" s="2">
        <v>26.45</v>
      </c>
      <c r="Q2735" s="2">
        <v>7.49</v>
      </c>
      <c r="R2735">
        <v>1</v>
      </c>
      <c r="S2735">
        <v>0</v>
      </c>
      <c r="T2735">
        <v>7</v>
      </c>
      <c r="U2735">
        <v>3</v>
      </c>
    </row>
    <row r="2736" spans="1:21" ht="16.5" x14ac:dyDescent="0.3">
      <c r="A2736" t="s">
        <v>2824</v>
      </c>
      <c r="B2736" s="1">
        <v>45695</v>
      </c>
      <c r="C2736">
        <v>2025</v>
      </c>
      <c r="D2736" t="s">
        <v>22</v>
      </c>
      <c r="E2736" t="s">
        <v>242</v>
      </c>
      <c r="F2736" t="s">
        <v>24</v>
      </c>
      <c r="G2736" t="s">
        <v>51</v>
      </c>
      <c r="H2736" t="s">
        <v>32</v>
      </c>
      <c r="I2736" t="s">
        <v>70</v>
      </c>
      <c r="J2736" t="s">
        <v>87</v>
      </c>
      <c r="K2736">
        <v>1</v>
      </c>
      <c r="L2736" s="2">
        <v>490.3</v>
      </c>
      <c r="M2736" s="3">
        <v>0.15</v>
      </c>
      <c r="N2736" t="s">
        <v>34</v>
      </c>
      <c r="O2736" s="2">
        <v>416.76</v>
      </c>
      <c r="P2736" s="2">
        <v>396.57</v>
      </c>
      <c r="Q2736" s="2">
        <v>20.190000000000001</v>
      </c>
      <c r="R2736">
        <v>1</v>
      </c>
      <c r="S2736">
        <v>0</v>
      </c>
      <c r="T2736">
        <v>3</v>
      </c>
      <c r="U2736">
        <v>5</v>
      </c>
    </row>
    <row r="2737" spans="1:21" ht="16.5" x14ac:dyDescent="0.3">
      <c r="A2737" t="s">
        <v>2825</v>
      </c>
      <c r="B2737" s="1">
        <v>45695</v>
      </c>
      <c r="C2737">
        <v>2025</v>
      </c>
      <c r="D2737" t="s">
        <v>22</v>
      </c>
      <c r="E2737" t="s">
        <v>242</v>
      </c>
      <c r="F2737" t="s">
        <v>31</v>
      </c>
      <c r="G2737" t="s">
        <v>46</v>
      </c>
      <c r="H2737" t="s">
        <v>26</v>
      </c>
      <c r="I2737" t="s">
        <v>67</v>
      </c>
      <c r="J2737" t="s">
        <v>93</v>
      </c>
      <c r="K2737">
        <v>1</v>
      </c>
      <c r="L2737" s="2">
        <v>198.42</v>
      </c>
      <c r="M2737" s="3">
        <v>0</v>
      </c>
      <c r="N2737" t="s">
        <v>38</v>
      </c>
      <c r="O2737" s="2">
        <v>198.42</v>
      </c>
      <c r="P2737" s="2">
        <v>131.75</v>
      </c>
      <c r="Q2737" s="2">
        <v>66.67</v>
      </c>
      <c r="R2737">
        <v>1</v>
      </c>
      <c r="S2737">
        <v>0</v>
      </c>
      <c r="T2737">
        <v>6</v>
      </c>
      <c r="U2737">
        <v>4</v>
      </c>
    </row>
    <row r="2738" spans="1:21" ht="16.5" x14ac:dyDescent="0.3">
      <c r="A2738" t="s">
        <v>2826</v>
      </c>
      <c r="B2738" s="1">
        <v>45696</v>
      </c>
      <c r="C2738">
        <v>2025</v>
      </c>
      <c r="D2738" t="s">
        <v>22</v>
      </c>
      <c r="E2738" t="s">
        <v>242</v>
      </c>
      <c r="F2738" t="s">
        <v>24</v>
      </c>
      <c r="G2738" t="s">
        <v>51</v>
      </c>
      <c r="H2738" t="s">
        <v>32</v>
      </c>
      <c r="I2738" t="s">
        <v>67</v>
      </c>
      <c r="J2738" t="s">
        <v>93</v>
      </c>
      <c r="K2738">
        <v>2</v>
      </c>
      <c r="L2738" s="2">
        <v>198.42</v>
      </c>
      <c r="M2738" s="3">
        <v>0</v>
      </c>
      <c r="N2738" t="s">
        <v>38</v>
      </c>
      <c r="O2738" s="2">
        <v>396.84</v>
      </c>
      <c r="P2738" s="2">
        <v>262.27</v>
      </c>
      <c r="Q2738" s="2">
        <v>134.57</v>
      </c>
      <c r="R2738">
        <v>1</v>
      </c>
      <c r="S2738">
        <v>0</v>
      </c>
      <c r="T2738">
        <v>2</v>
      </c>
      <c r="U2738">
        <v>5</v>
      </c>
    </row>
    <row r="2739" spans="1:21" ht="16.5" x14ac:dyDescent="0.3">
      <c r="A2739" t="s">
        <v>2827</v>
      </c>
      <c r="B2739" s="1">
        <v>45696</v>
      </c>
      <c r="C2739">
        <v>2025</v>
      </c>
      <c r="D2739" t="s">
        <v>22</v>
      </c>
      <c r="E2739" t="s">
        <v>242</v>
      </c>
      <c r="F2739" t="s">
        <v>45</v>
      </c>
      <c r="G2739" t="s">
        <v>25</v>
      </c>
      <c r="H2739" t="s">
        <v>32</v>
      </c>
      <c r="I2739" t="s">
        <v>84</v>
      </c>
      <c r="J2739" t="s">
        <v>85</v>
      </c>
      <c r="K2739">
        <v>1</v>
      </c>
      <c r="L2739" s="2">
        <v>57.92</v>
      </c>
      <c r="M2739" s="3">
        <v>0.1</v>
      </c>
      <c r="N2739" t="s">
        <v>29</v>
      </c>
      <c r="O2739" s="2">
        <v>52.13</v>
      </c>
      <c r="P2739" s="2">
        <v>42.35</v>
      </c>
      <c r="Q2739" s="2">
        <v>9.7799999999999994</v>
      </c>
      <c r="R2739">
        <v>1</v>
      </c>
      <c r="S2739">
        <v>0</v>
      </c>
      <c r="T2739">
        <v>5</v>
      </c>
      <c r="U2739">
        <v>4</v>
      </c>
    </row>
    <row r="2740" spans="1:21" ht="16.5" x14ac:dyDescent="0.3">
      <c r="A2740" t="s">
        <v>2828</v>
      </c>
      <c r="B2740" s="1">
        <v>45696</v>
      </c>
      <c r="C2740">
        <v>2025</v>
      </c>
      <c r="D2740" t="s">
        <v>22</v>
      </c>
      <c r="E2740" t="s">
        <v>242</v>
      </c>
      <c r="F2740" t="s">
        <v>24</v>
      </c>
      <c r="G2740" t="s">
        <v>25</v>
      </c>
      <c r="H2740" t="s">
        <v>32</v>
      </c>
      <c r="I2740" t="s">
        <v>36</v>
      </c>
      <c r="J2740" t="s">
        <v>115</v>
      </c>
      <c r="K2740">
        <v>1</v>
      </c>
      <c r="L2740" s="2">
        <v>33.479999999999997</v>
      </c>
      <c r="M2740" s="3">
        <v>0.1</v>
      </c>
      <c r="N2740" t="s">
        <v>29</v>
      </c>
      <c r="O2740" s="2">
        <v>30.13</v>
      </c>
      <c r="P2740" s="2">
        <v>16.600000000000001</v>
      </c>
      <c r="Q2740" s="2">
        <v>13.53</v>
      </c>
      <c r="R2740">
        <v>1</v>
      </c>
      <c r="S2740">
        <v>0</v>
      </c>
      <c r="T2740">
        <v>3</v>
      </c>
      <c r="U2740">
        <v>4</v>
      </c>
    </row>
    <row r="2741" spans="1:21" ht="16.5" x14ac:dyDescent="0.3">
      <c r="A2741" t="s">
        <v>2829</v>
      </c>
      <c r="B2741" s="1">
        <v>45696</v>
      </c>
      <c r="C2741">
        <v>2025</v>
      </c>
      <c r="D2741" t="s">
        <v>22</v>
      </c>
      <c r="E2741" t="s">
        <v>242</v>
      </c>
      <c r="F2741" t="s">
        <v>24</v>
      </c>
      <c r="G2741" t="s">
        <v>51</v>
      </c>
      <c r="H2741" t="s">
        <v>32</v>
      </c>
      <c r="I2741" t="s">
        <v>84</v>
      </c>
      <c r="J2741" t="s">
        <v>223</v>
      </c>
      <c r="K2741">
        <v>3</v>
      </c>
      <c r="L2741" s="2">
        <v>16.97</v>
      </c>
      <c r="M2741" s="3">
        <v>0.1</v>
      </c>
      <c r="N2741" t="s">
        <v>29</v>
      </c>
      <c r="O2741" s="2">
        <v>45.82</v>
      </c>
      <c r="P2741" s="2">
        <v>35.92</v>
      </c>
      <c r="Q2741" s="2">
        <v>9.9</v>
      </c>
      <c r="R2741">
        <v>1</v>
      </c>
      <c r="S2741">
        <v>0</v>
      </c>
      <c r="T2741">
        <v>4</v>
      </c>
      <c r="U2741">
        <v>4</v>
      </c>
    </row>
    <row r="2742" spans="1:21" ht="16.5" x14ac:dyDescent="0.3">
      <c r="A2742" t="s">
        <v>2830</v>
      </c>
      <c r="B2742" s="1">
        <v>45696</v>
      </c>
      <c r="C2742">
        <v>2025</v>
      </c>
      <c r="D2742" t="s">
        <v>22</v>
      </c>
      <c r="E2742" t="s">
        <v>242</v>
      </c>
      <c r="F2742" t="s">
        <v>31</v>
      </c>
      <c r="G2742" t="s">
        <v>25</v>
      </c>
      <c r="H2742" t="s">
        <v>32</v>
      </c>
      <c r="I2742" t="s">
        <v>70</v>
      </c>
      <c r="J2742" t="s">
        <v>252</v>
      </c>
      <c r="K2742">
        <v>1</v>
      </c>
      <c r="L2742" s="2">
        <v>216.08</v>
      </c>
      <c r="M2742" s="3">
        <v>0.2</v>
      </c>
      <c r="N2742" t="s">
        <v>34</v>
      </c>
      <c r="O2742" s="2">
        <v>172.86</v>
      </c>
      <c r="P2742" s="2">
        <v>168.8</v>
      </c>
      <c r="Q2742" s="2">
        <v>4.0599999999999996</v>
      </c>
      <c r="R2742">
        <v>1</v>
      </c>
      <c r="S2742">
        <v>0</v>
      </c>
      <c r="T2742">
        <v>6</v>
      </c>
      <c r="U2742">
        <v>3</v>
      </c>
    </row>
    <row r="2743" spans="1:21" ht="16.5" x14ac:dyDescent="0.3">
      <c r="A2743" t="s">
        <v>2831</v>
      </c>
      <c r="B2743" s="1">
        <v>45696</v>
      </c>
      <c r="C2743">
        <v>2025</v>
      </c>
      <c r="D2743" t="s">
        <v>22</v>
      </c>
      <c r="E2743" t="s">
        <v>242</v>
      </c>
      <c r="F2743" t="s">
        <v>24</v>
      </c>
      <c r="G2743" t="s">
        <v>25</v>
      </c>
      <c r="H2743" t="s">
        <v>32</v>
      </c>
      <c r="I2743" t="s">
        <v>36</v>
      </c>
      <c r="J2743" t="s">
        <v>37</v>
      </c>
      <c r="K2743">
        <v>4</v>
      </c>
      <c r="L2743" s="2">
        <v>33.18</v>
      </c>
      <c r="M2743" s="3">
        <v>0</v>
      </c>
      <c r="N2743" t="s">
        <v>38</v>
      </c>
      <c r="O2743" s="2">
        <v>132.72</v>
      </c>
      <c r="P2743" s="2">
        <v>62.54</v>
      </c>
      <c r="Q2743" s="2">
        <v>70.180000000000007</v>
      </c>
      <c r="R2743">
        <v>1</v>
      </c>
      <c r="S2743">
        <v>0</v>
      </c>
      <c r="T2743">
        <v>3</v>
      </c>
      <c r="U2743">
        <v>5</v>
      </c>
    </row>
    <row r="2744" spans="1:21" ht="16.5" x14ac:dyDescent="0.3">
      <c r="A2744" t="s">
        <v>2832</v>
      </c>
      <c r="B2744" s="1">
        <v>45696</v>
      </c>
      <c r="C2744">
        <v>2025</v>
      </c>
      <c r="D2744" t="s">
        <v>22</v>
      </c>
      <c r="E2744" t="s">
        <v>242</v>
      </c>
      <c r="F2744" t="s">
        <v>24</v>
      </c>
      <c r="G2744" t="s">
        <v>49</v>
      </c>
      <c r="H2744" t="s">
        <v>26</v>
      </c>
      <c r="I2744" t="s">
        <v>42</v>
      </c>
      <c r="J2744" t="s">
        <v>58</v>
      </c>
      <c r="K2744">
        <v>1</v>
      </c>
      <c r="L2744" s="2">
        <v>233.81</v>
      </c>
      <c r="M2744" s="3">
        <v>0.1</v>
      </c>
      <c r="N2744" t="s">
        <v>29</v>
      </c>
      <c r="O2744" s="2">
        <v>210.43</v>
      </c>
      <c r="P2744" s="2">
        <v>157.4</v>
      </c>
      <c r="Q2744" s="2">
        <v>53.03</v>
      </c>
      <c r="R2744">
        <v>1</v>
      </c>
      <c r="S2744">
        <v>0</v>
      </c>
      <c r="T2744">
        <v>3</v>
      </c>
      <c r="U2744">
        <v>4</v>
      </c>
    </row>
    <row r="2745" spans="1:21" ht="16.5" x14ac:dyDescent="0.3">
      <c r="A2745" t="s">
        <v>2833</v>
      </c>
      <c r="B2745" s="1">
        <v>45697</v>
      </c>
      <c r="C2745">
        <v>2025</v>
      </c>
      <c r="D2745" t="s">
        <v>22</v>
      </c>
      <c r="E2745" t="s">
        <v>242</v>
      </c>
      <c r="F2745" t="s">
        <v>31</v>
      </c>
      <c r="G2745" t="s">
        <v>25</v>
      </c>
      <c r="H2745" t="s">
        <v>32</v>
      </c>
      <c r="I2745" t="s">
        <v>67</v>
      </c>
      <c r="J2745" t="s">
        <v>68</v>
      </c>
      <c r="K2745">
        <v>3</v>
      </c>
      <c r="L2745" s="2">
        <v>74.459999999999994</v>
      </c>
      <c r="M2745" s="3">
        <v>0</v>
      </c>
      <c r="N2745" t="s">
        <v>38</v>
      </c>
      <c r="O2745" s="2">
        <v>223.38</v>
      </c>
      <c r="P2745" s="2">
        <v>153.85</v>
      </c>
      <c r="Q2745" s="2">
        <v>69.53</v>
      </c>
      <c r="R2745">
        <v>1</v>
      </c>
      <c r="S2745">
        <v>0</v>
      </c>
      <c r="T2745">
        <v>5</v>
      </c>
      <c r="U2745">
        <v>4</v>
      </c>
    </row>
    <row r="2746" spans="1:21" ht="16.5" x14ac:dyDescent="0.3">
      <c r="A2746" t="s">
        <v>2834</v>
      </c>
      <c r="B2746" s="1">
        <v>45697</v>
      </c>
      <c r="C2746">
        <v>2025</v>
      </c>
      <c r="D2746" t="s">
        <v>22</v>
      </c>
      <c r="E2746" t="s">
        <v>242</v>
      </c>
      <c r="F2746" t="s">
        <v>45</v>
      </c>
      <c r="G2746" t="s">
        <v>46</v>
      </c>
      <c r="H2746" t="s">
        <v>32</v>
      </c>
      <c r="I2746" t="s">
        <v>42</v>
      </c>
      <c r="J2746" t="s">
        <v>76</v>
      </c>
      <c r="K2746">
        <v>1</v>
      </c>
      <c r="L2746" s="2">
        <v>90.75</v>
      </c>
      <c r="M2746" s="3">
        <v>0.05</v>
      </c>
      <c r="N2746" t="s">
        <v>29</v>
      </c>
      <c r="O2746" s="2">
        <v>86.21</v>
      </c>
      <c r="P2746" s="2">
        <v>58.52</v>
      </c>
      <c r="Q2746" s="2">
        <v>27.69</v>
      </c>
      <c r="R2746">
        <v>1</v>
      </c>
      <c r="S2746">
        <v>0</v>
      </c>
      <c r="T2746">
        <v>5</v>
      </c>
      <c r="U2746">
        <v>5</v>
      </c>
    </row>
    <row r="2747" spans="1:21" ht="16.5" x14ac:dyDescent="0.3">
      <c r="A2747" t="s">
        <v>2835</v>
      </c>
      <c r="B2747" s="1">
        <v>45697</v>
      </c>
      <c r="C2747">
        <v>2025</v>
      </c>
      <c r="D2747" t="s">
        <v>22</v>
      </c>
      <c r="E2747" t="s">
        <v>242</v>
      </c>
      <c r="F2747" t="s">
        <v>24</v>
      </c>
      <c r="G2747" t="s">
        <v>49</v>
      </c>
      <c r="H2747" t="s">
        <v>26</v>
      </c>
      <c r="I2747" t="s">
        <v>42</v>
      </c>
      <c r="J2747" t="s">
        <v>98</v>
      </c>
      <c r="K2747">
        <v>1</v>
      </c>
      <c r="L2747" s="2">
        <v>117.63</v>
      </c>
      <c r="M2747" s="3">
        <v>0.25</v>
      </c>
      <c r="N2747" t="s">
        <v>62</v>
      </c>
      <c r="O2747" s="2">
        <v>88.22</v>
      </c>
      <c r="P2747" s="2">
        <v>73.98</v>
      </c>
      <c r="Q2747" s="2">
        <v>14.24</v>
      </c>
      <c r="R2747">
        <v>1</v>
      </c>
      <c r="S2747">
        <v>0</v>
      </c>
      <c r="T2747">
        <v>5</v>
      </c>
      <c r="U2747">
        <v>4</v>
      </c>
    </row>
    <row r="2748" spans="1:21" ht="16.5" x14ac:dyDescent="0.3">
      <c r="A2748" t="s">
        <v>2836</v>
      </c>
      <c r="B2748" s="1">
        <v>45697</v>
      </c>
      <c r="C2748">
        <v>2025</v>
      </c>
      <c r="D2748" t="s">
        <v>22</v>
      </c>
      <c r="E2748" t="s">
        <v>242</v>
      </c>
      <c r="F2748" t="s">
        <v>24</v>
      </c>
      <c r="G2748" t="s">
        <v>46</v>
      </c>
      <c r="H2748" t="s">
        <v>26</v>
      </c>
      <c r="I2748" t="s">
        <v>67</v>
      </c>
      <c r="J2748" t="s">
        <v>174</v>
      </c>
      <c r="K2748">
        <v>2</v>
      </c>
      <c r="L2748" s="2">
        <v>137.05000000000001</v>
      </c>
      <c r="M2748" s="3">
        <v>0.2</v>
      </c>
      <c r="N2748" t="s">
        <v>34</v>
      </c>
      <c r="O2748" s="2">
        <v>219.28</v>
      </c>
      <c r="P2748" s="2">
        <v>185.39</v>
      </c>
      <c r="Q2748" s="2">
        <v>33.89</v>
      </c>
      <c r="R2748">
        <v>1</v>
      </c>
      <c r="S2748">
        <v>0</v>
      </c>
      <c r="T2748">
        <v>5</v>
      </c>
      <c r="U2748">
        <v>4</v>
      </c>
    </row>
    <row r="2749" spans="1:21" ht="16.5" x14ac:dyDescent="0.3">
      <c r="A2749" t="s">
        <v>2837</v>
      </c>
      <c r="B2749" s="1">
        <v>45697</v>
      </c>
      <c r="C2749">
        <v>2025</v>
      </c>
      <c r="D2749" t="s">
        <v>22</v>
      </c>
      <c r="E2749" t="s">
        <v>242</v>
      </c>
      <c r="F2749" t="s">
        <v>45</v>
      </c>
      <c r="G2749" t="s">
        <v>25</v>
      </c>
      <c r="H2749" t="s">
        <v>26</v>
      </c>
      <c r="I2749" t="s">
        <v>67</v>
      </c>
      <c r="J2749" t="s">
        <v>68</v>
      </c>
      <c r="K2749">
        <v>2</v>
      </c>
      <c r="L2749" s="2">
        <v>74.459999999999994</v>
      </c>
      <c r="M2749" s="3">
        <v>0.05</v>
      </c>
      <c r="N2749" t="s">
        <v>29</v>
      </c>
      <c r="O2749" s="2">
        <v>141.47</v>
      </c>
      <c r="P2749" s="2">
        <v>101.79</v>
      </c>
      <c r="Q2749" s="2">
        <v>39.68</v>
      </c>
      <c r="R2749">
        <v>1</v>
      </c>
      <c r="S2749">
        <v>0</v>
      </c>
      <c r="T2749">
        <v>3</v>
      </c>
      <c r="U2749">
        <v>5</v>
      </c>
    </row>
    <row r="2750" spans="1:21" ht="16.5" x14ac:dyDescent="0.3">
      <c r="A2750" t="s">
        <v>2838</v>
      </c>
      <c r="B2750" s="1">
        <v>45697</v>
      </c>
      <c r="C2750">
        <v>2025</v>
      </c>
      <c r="D2750" t="s">
        <v>22</v>
      </c>
      <c r="E2750" t="s">
        <v>242</v>
      </c>
      <c r="F2750" t="s">
        <v>45</v>
      </c>
      <c r="G2750" t="s">
        <v>25</v>
      </c>
      <c r="H2750" t="s">
        <v>26</v>
      </c>
      <c r="I2750" t="s">
        <v>70</v>
      </c>
      <c r="J2750" t="s">
        <v>71</v>
      </c>
      <c r="K2750">
        <v>1</v>
      </c>
      <c r="L2750" s="2">
        <v>588.41</v>
      </c>
      <c r="M2750" s="3">
        <v>0</v>
      </c>
      <c r="N2750" t="s">
        <v>38</v>
      </c>
      <c r="O2750" s="2">
        <v>588.41</v>
      </c>
      <c r="P2750" s="2">
        <v>493.91</v>
      </c>
      <c r="Q2750" s="2">
        <v>94.5</v>
      </c>
      <c r="R2750">
        <v>1</v>
      </c>
      <c r="S2750">
        <v>0</v>
      </c>
      <c r="T2750">
        <v>3</v>
      </c>
      <c r="U2750">
        <v>4</v>
      </c>
    </row>
    <row r="2751" spans="1:21" ht="16.5" x14ac:dyDescent="0.3">
      <c r="A2751" t="s">
        <v>2839</v>
      </c>
      <c r="B2751" s="1">
        <v>45697</v>
      </c>
      <c r="C2751">
        <v>2025</v>
      </c>
      <c r="D2751" t="s">
        <v>22</v>
      </c>
      <c r="E2751" t="s">
        <v>242</v>
      </c>
      <c r="F2751" t="s">
        <v>24</v>
      </c>
      <c r="G2751" t="s">
        <v>46</v>
      </c>
      <c r="H2751" t="s">
        <v>32</v>
      </c>
      <c r="I2751" t="s">
        <v>70</v>
      </c>
      <c r="J2751" t="s">
        <v>71</v>
      </c>
      <c r="K2751">
        <v>3</v>
      </c>
      <c r="L2751" s="2">
        <v>588.41</v>
      </c>
      <c r="M2751" s="3">
        <v>0</v>
      </c>
      <c r="N2751" t="s">
        <v>38</v>
      </c>
      <c r="O2751" s="2">
        <v>1765.23</v>
      </c>
      <c r="P2751" s="2">
        <v>1372.47</v>
      </c>
      <c r="Q2751" s="2">
        <v>392.76</v>
      </c>
      <c r="R2751">
        <v>1</v>
      </c>
      <c r="S2751">
        <v>0</v>
      </c>
      <c r="T2751">
        <v>6</v>
      </c>
      <c r="U2751">
        <v>3</v>
      </c>
    </row>
    <row r="2752" spans="1:21" ht="16.5" x14ac:dyDescent="0.3">
      <c r="A2752" t="s">
        <v>2840</v>
      </c>
      <c r="B2752" s="1">
        <v>45697</v>
      </c>
      <c r="C2752">
        <v>2025</v>
      </c>
      <c r="D2752" t="s">
        <v>22</v>
      </c>
      <c r="E2752" t="s">
        <v>242</v>
      </c>
      <c r="F2752" t="s">
        <v>31</v>
      </c>
      <c r="G2752" t="s">
        <v>51</v>
      </c>
      <c r="H2752" t="s">
        <v>32</v>
      </c>
      <c r="I2752" t="s">
        <v>84</v>
      </c>
      <c r="J2752" t="s">
        <v>132</v>
      </c>
      <c r="K2752">
        <v>1</v>
      </c>
      <c r="L2752" s="2">
        <v>48.86</v>
      </c>
      <c r="M2752" s="3">
        <v>0.3</v>
      </c>
      <c r="N2752" t="s">
        <v>62</v>
      </c>
      <c r="O2752" s="2">
        <v>34.200000000000003</v>
      </c>
      <c r="P2752" s="2">
        <v>35.39</v>
      </c>
      <c r="Q2752" s="2">
        <v>-1.19</v>
      </c>
      <c r="R2752">
        <v>1</v>
      </c>
      <c r="S2752">
        <v>0</v>
      </c>
      <c r="T2752">
        <v>2</v>
      </c>
      <c r="U2752">
        <v>5</v>
      </c>
    </row>
    <row r="2753" spans="1:21" ht="16.5" x14ac:dyDescent="0.3">
      <c r="A2753" t="s">
        <v>2841</v>
      </c>
      <c r="B2753" s="1">
        <v>45698</v>
      </c>
      <c r="C2753">
        <v>2025</v>
      </c>
      <c r="D2753" t="s">
        <v>22</v>
      </c>
      <c r="E2753" t="s">
        <v>242</v>
      </c>
      <c r="F2753" t="s">
        <v>31</v>
      </c>
      <c r="G2753" t="s">
        <v>51</v>
      </c>
      <c r="H2753" t="s">
        <v>32</v>
      </c>
      <c r="I2753" t="s">
        <v>70</v>
      </c>
      <c r="J2753" t="s">
        <v>87</v>
      </c>
      <c r="K2753">
        <v>2</v>
      </c>
      <c r="L2753" s="2">
        <v>490.3</v>
      </c>
      <c r="M2753" s="3">
        <v>0.1</v>
      </c>
      <c r="N2753" t="s">
        <v>29</v>
      </c>
      <c r="O2753" s="2">
        <v>882.54</v>
      </c>
      <c r="P2753" s="2">
        <v>812.71</v>
      </c>
      <c r="Q2753" s="2">
        <v>69.83</v>
      </c>
      <c r="R2753">
        <v>1</v>
      </c>
      <c r="S2753">
        <v>0</v>
      </c>
      <c r="T2753">
        <v>5</v>
      </c>
      <c r="U2753">
        <v>5</v>
      </c>
    </row>
    <row r="2754" spans="1:21" ht="16.5" x14ac:dyDescent="0.3">
      <c r="A2754" t="s">
        <v>2842</v>
      </c>
      <c r="B2754" s="1">
        <v>45698</v>
      </c>
      <c r="C2754">
        <v>2025</v>
      </c>
      <c r="D2754" t="s">
        <v>22</v>
      </c>
      <c r="E2754" t="s">
        <v>242</v>
      </c>
      <c r="F2754" t="s">
        <v>31</v>
      </c>
      <c r="G2754" t="s">
        <v>51</v>
      </c>
      <c r="H2754" t="s">
        <v>26</v>
      </c>
      <c r="I2754" t="s">
        <v>70</v>
      </c>
      <c r="J2754" t="s">
        <v>71</v>
      </c>
      <c r="K2754">
        <v>1</v>
      </c>
      <c r="L2754" s="2">
        <v>588.41</v>
      </c>
      <c r="M2754" s="3">
        <v>0.1</v>
      </c>
      <c r="N2754" t="s">
        <v>29</v>
      </c>
      <c r="O2754" s="2">
        <v>529.57000000000005</v>
      </c>
      <c r="P2754" s="2">
        <v>448.05</v>
      </c>
      <c r="Q2754" s="2">
        <v>81.52</v>
      </c>
      <c r="R2754">
        <v>1</v>
      </c>
      <c r="S2754">
        <v>0</v>
      </c>
      <c r="T2754">
        <v>3</v>
      </c>
      <c r="U2754">
        <v>5</v>
      </c>
    </row>
    <row r="2755" spans="1:21" ht="16.5" x14ac:dyDescent="0.3">
      <c r="A2755" t="s">
        <v>2843</v>
      </c>
      <c r="B2755" s="1">
        <v>45698</v>
      </c>
      <c r="C2755">
        <v>2025</v>
      </c>
      <c r="D2755" t="s">
        <v>22</v>
      </c>
      <c r="E2755" t="s">
        <v>242</v>
      </c>
      <c r="F2755" t="s">
        <v>45</v>
      </c>
      <c r="G2755" t="s">
        <v>51</v>
      </c>
      <c r="H2755" t="s">
        <v>32</v>
      </c>
      <c r="I2755" t="s">
        <v>84</v>
      </c>
      <c r="J2755" t="s">
        <v>96</v>
      </c>
      <c r="K2755">
        <v>1</v>
      </c>
      <c r="L2755" s="2">
        <v>10.76</v>
      </c>
      <c r="M2755" s="3">
        <v>0</v>
      </c>
      <c r="N2755" t="s">
        <v>38</v>
      </c>
      <c r="O2755" s="2">
        <v>10.76</v>
      </c>
      <c r="P2755" s="2">
        <v>7.7</v>
      </c>
      <c r="Q2755" s="2">
        <v>3.06</v>
      </c>
      <c r="R2755">
        <v>1</v>
      </c>
      <c r="S2755">
        <v>0</v>
      </c>
      <c r="T2755">
        <v>2</v>
      </c>
      <c r="U2755">
        <v>4</v>
      </c>
    </row>
    <row r="2756" spans="1:21" ht="16.5" x14ac:dyDescent="0.3">
      <c r="A2756" t="s">
        <v>2844</v>
      </c>
      <c r="B2756" s="1">
        <v>45698</v>
      </c>
      <c r="C2756">
        <v>2025</v>
      </c>
      <c r="D2756" t="s">
        <v>22</v>
      </c>
      <c r="E2756" t="s">
        <v>242</v>
      </c>
      <c r="F2756" t="s">
        <v>31</v>
      </c>
      <c r="G2756" t="s">
        <v>51</v>
      </c>
      <c r="H2756" t="s">
        <v>32</v>
      </c>
      <c r="I2756" t="s">
        <v>42</v>
      </c>
      <c r="J2756" t="s">
        <v>98</v>
      </c>
      <c r="K2756">
        <v>3</v>
      </c>
      <c r="L2756" s="2">
        <v>117.63</v>
      </c>
      <c r="M2756" s="3">
        <v>0.1</v>
      </c>
      <c r="N2756" t="s">
        <v>29</v>
      </c>
      <c r="O2756" s="2">
        <v>317.60000000000002</v>
      </c>
      <c r="P2756" s="2">
        <v>238.3</v>
      </c>
      <c r="Q2756" s="2">
        <v>79.3</v>
      </c>
      <c r="R2756">
        <v>1</v>
      </c>
      <c r="S2756">
        <v>0</v>
      </c>
      <c r="T2756">
        <v>4</v>
      </c>
      <c r="U2756">
        <v>4</v>
      </c>
    </row>
    <row r="2757" spans="1:21" ht="16.5" x14ac:dyDescent="0.3">
      <c r="A2757" t="s">
        <v>2845</v>
      </c>
      <c r="B2757" s="1">
        <v>45698</v>
      </c>
      <c r="C2757">
        <v>2025</v>
      </c>
      <c r="D2757" t="s">
        <v>22</v>
      </c>
      <c r="E2757" t="s">
        <v>242</v>
      </c>
      <c r="F2757" t="s">
        <v>24</v>
      </c>
      <c r="G2757" t="s">
        <v>51</v>
      </c>
      <c r="H2757" t="s">
        <v>26</v>
      </c>
      <c r="I2757" t="s">
        <v>36</v>
      </c>
      <c r="J2757" t="s">
        <v>52</v>
      </c>
      <c r="K2757">
        <v>1</v>
      </c>
      <c r="L2757" s="2">
        <v>92.54</v>
      </c>
      <c r="M2757" s="3">
        <v>0.2</v>
      </c>
      <c r="N2757" t="s">
        <v>34</v>
      </c>
      <c r="O2757" s="2">
        <v>74.03</v>
      </c>
      <c r="P2757" s="2">
        <v>46.22</v>
      </c>
      <c r="Q2757" s="2">
        <v>27.81</v>
      </c>
      <c r="R2757">
        <v>1</v>
      </c>
      <c r="S2757">
        <v>0</v>
      </c>
      <c r="T2757">
        <v>2</v>
      </c>
      <c r="U2757">
        <v>5</v>
      </c>
    </row>
    <row r="2758" spans="1:21" ht="16.5" x14ac:dyDescent="0.3">
      <c r="A2758" t="s">
        <v>2846</v>
      </c>
      <c r="B2758" s="1">
        <v>45698</v>
      </c>
      <c r="C2758">
        <v>2025</v>
      </c>
      <c r="D2758" t="s">
        <v>22</v>
      </c>
      <c r="E2758" t="s">
        <v>242</v>
      </c>
      <c r="F2758" t="s">
        <v>45</v>
      </c>
      <c r="G2758" t="s">
        <v>65</v>
      </c>
      <c r="H2758" t="s">
        <v>32</v>
      </c>
      <c r="I2758" t="s">
        <v>27</v>
      </c>
      <c r="J2758" t="s">
        <v>60</v>
      </c>
      <c r="K2758">
        <v>1</v>
      </c>
      <c r="L2758" s="2">
        <v>94.85</v>
      </c>
      <c r="M2758" s="3">
        <v>0.05</v>
      </c>
      <c r="N2758" t="s">
        <v>29</v>
      </c>
      <c r="O2758" s="2">
        <v>90.11</v>
      </c>
      <c r="P2758" s="2">
        <v>52.28</v>
      </c>
      <c r="Q2758" s="2">
        <v>37.83</v>
      </c>
      <c r="R2758">
        <v>1</v>
      </c>
      <c r="S2758">
        <v>0</v>
      </c>
      <c r="T2758">
        <v>6</v>
      </c>
      <c r="U2758">
        <v>3</v>
      </c>
    </row>
    <row r="2759" spans="1:21" ht="16.5" x14ac:dyDescent="0.3">
      <c r="A2759" t="s">
        <v>2847</v>
      </c>
      <c r="B2759" s="1">
        <v>45699</v>
      </c>
      <c r="C2759">
        <v>2025</v>
      </c>
      <c r="D2759" t="s">
        <v>22</v>
      </c>
      <c r="E2759" t="s">
        <v>242</v>
      </c>
      <c r="F2759" t="s">
        <v>31</v>
      </c>
      <c r="G2759" t="s">
        <v>49</v>
      </c>
      <c r="H2759" t="s">
        <v>26</v>
      </c>
      <c r="I2759" t="s">
        <v>84</v>
      </c>
      <c r="J2759" t="s">
        <v>85</v>
      </c>
      <c r="K2759">
        <v>1</v>
      </c>
      <c r="L2759" s="2">
        <v>57.92</v>
      </c>
      <c r="M2759" s="3">
        <v>0.3</v>
      </c>
      <c r="N2759" t="s">
        <v>62</v>
      </c>
      <c r="O2759" s="2">
        <v>40.54</v>
      </c>
      <c r="P2759" s="2">
        <v>42.63</v>
      </c>
      <c r="Q2759" s="2">
        <v>-2.09</v>
      </c>
      <c r="R2759">
        <v>1</v>
      </c>
      <c r="S2759">
        <v>0</v>
      </c>
      <c r="T2759">
        <v>3</v>
      </c>
      <c r="U2759">
        <v>4</v>
      </c>
    </row>
    <row r="2760" spans="1:21" ht="16.5" x14ac:dyDescent="0.3">
      <c r="A2760" t="s">
        <v>2848</v>
      </c>
      <c r="B2760" s="1">
        <v>45699</v>
      </c>
      <c r="C2760">
        <v>2025</v>
      </c>
      <c r="D2760" t="s">
        <v>22</v>
      </c>
      <c r="E2760" t="s">
        <v>242</v>
      </c>
      <c r="F2760" t="s">
        <v>24</v>
      </c>
      <c r="G2760" t="s">
        <v>46</v>
      </c>
      <c r="H2760" t="s">
        <v>26</v>
      </c>
      <c r="I2760" t="s">
        <v>27</v>
      </c>
      <c r="J2760" t="s">
        <v>110</v>
      </c>
      <c r="K2760">
        <v>2</v>
      </c>
      <c r="L2760" s="2">
        <v>19.41</v>
      </c>
      <c r="M2760" s="3">
        <v>0.2</v>
      </c>
      <c r="N2760" t="s">
        <v>34</v>
      </c>
      <c r="O2760" s="2">
        <v>31.06</v>
      </c>
      <c r="P2760" s="2">
        <v>21.78</v>
      </c>
      <c r="Q2760" s="2">
        <v>9.2799999999999994</v>
      </c>
      <c r="R2760">
        <v>1</v>
      </c>
      <c r="S2760">
        <v>0</v>
      </c>
      <c r="T2760">
        <v>7</v>
      </c>
      <c r="U2760">
        <v>3</v>
      </c>
    </row>
    <row r="2761" spans="1:21" ht="16.5" x14ac:dyDescent="0.3">
      <c r="A2761" t="s">
        <v>2849</v>
      </c>
      <c r="B2761" s="1">
        <v>45699</v>
      </c>
      <c r="C2761">
        <v>2025</v>
      </c>
      <c r="D2761" t="s">
        <v>22</v>
      </c>
      <c r="E2761" t="s">
        <v>242</v>
      </c>
      <c r="F2761" t="s">
        <v>31</v>
      </c>
      <c r="G2761" t="s">
        <v>46</v>
      </c>
      <c r="H2761" t="s">
        <v>32</v>
      </c>
      <c r="I2761" t="s">
        <v>27</v>
      </c>
      <c r="J2761" t="s">
        <v>60</v>
      </c>
      <c r="K2761">
        <v>4</v>
      </c>
      <c r="L2761" s="2">
        <v>94.85</v>
      </c>
      <c r="M2761" s="3">
        <v>0</v>
      </c>
      <c r="N2761" t="s">
        <v>38</v>
      </c>
      <c r="O2761" s="2">
        <v>379.4</v>
      </c>
      <c r="P2761" s="2">
        <v>196.67</v>
      </c>
      <c r="Q2761" s="2">
        <v>182.73</v>
      </c>
      <c r="R2761">
        <v>1</v>
      </c>
      <c r="S2761">
        <v>0</v>
      </c>
      <c r="T2761">
        <v>6</v>
      </c>
      <c r="U2761">
        <v>3</v>
      </c>
    </row>
    <row r="2762" spans="1:21" ht="16.5" x14ac:dyDescent="0.3">
      <c r="A2762" t="s">
        <v>2850</v>
      </c>
      <c r="B2762" s="1">
        <v>45699</v>
      </c>
      <c r="C2762">
        <v>2025</v>
      </c>
      <c r="D2762" t="s">
        <v>22</v>
      </c>
      <c r="E2762" t="s">
        <v>242</v>
      </c>
      <c r="F2762" t="s">
        <v>24</v>
      </c>
      <c r="G2762" t="s">
        <v>51</v>
      </c>
      <c r="H2762" t="s">
        <v>32</v>
      </c>
      <c r="I2762" t="s">
        <v>27</v>
      </c>
      <c r="J2762" t="s">
        <v>28</v>
      </c>
      <c r="K2762">
        <v>1</v>
      </c>
      <c r="L2762" s="2">
        <v>138.5</v>
      </c>
      <c r="M2762" s="3">
        <v>0.15</v>
      </c>
      <c r="N2762" t="s">
        <v>34</v>
      </c>
      <c r="O2762" s="2">
        <v>117.72</v>
      </c>
      <c r="P2762" s="2">
        <v>74.11</v>
      </c>
      <c r="Q2762" s="2">
        <v>43.61</v>
      </c>
      <c r="R2762">
        <v>1</v>
      </c>
      <c r="S2762">
        <v>0</v>
      </c>
      <c r="T2762">
        <v>2</v>
      </c>
      <c r="U2762">
        <v>3</v>
      </c>
    </row>
    <row r="2763" spans="1:21" ht="16.5" x14ac:dyDescent="0.3">
      <c r="A2763" t="s">
        <v>2851</v>
      </c>
      <c r="B2763" s="1">
        <v>45699</v>
      </c>
      <c r="C2763">
        <v>2025</v>
      </c>
      <c r="D2763" t="s">
        <v>22</v>
      </c>
      <c r="E2763" t="s">
        <v>242</v>
      </c>
      <c r="F2763" t="s">
        <v>31</v>
      </c>
      <c r="G2763" t="s">
        <v>49</v>
      </c>
      <c r="H2763" t="s">
        <v>32</v>
      </c>
      <c r="I2763" t="s">
        <v>27</v>
      </c>
      <c r="J2763" t="s">
        <v>60</v>
      </c>
      <c r="K2763">
        <v>1</v>
      </c>
      <c r="L2763" s="2">
        <v>94.85</v>
      </c>
      <c r="M2763" s="3">
        <v>0</v>
      </c>
      <c r="N2763" t="s">
        <v>38</v>
      </c>
      <c r="O2763" s="2">
        <v>94.85</v>
      </c>
      <c r="P2763" s="2">
        <v>50.09</v>
      </c>
      <c r="Q2763" s="2">
        <v>44.76</v>
      </c>
      <c r="R2763">
        <v>1</v>
      </c>
      <c r="S2763">
        <v>0</v>
      </c>
      <c r="T2763">
        <v>3</v>
      </c>
      <c r="U2763">
        <v>4</v>
      </c>
    </row>
    <row r="2764" spans="1:21" ht="16.5" x14ac:dyDescent="0.3">
      <c r="A2764" t="s">
        <v>2852</v>
      </c>
      <c r="B2764" s="1">
        <v>45699</v>
      </c>
      <c r="C2764">
        <v>2025</v>
      </c>
      <c r="D2764" t="s">
        <v>22</v>
      </c>
      <c r="E2764" t="s">
        <v>242</v>
      </c>
      <c r="F2764" t="s">
        <v>24</v>
      </c>
      <c r="G2764" t="s">
        <v>25</v>
      </c>
      <c r="H2764" t="s">
        <v>32</v>
      </c>
      <c r="I2764" t="s">
        <v>70</v>
      </c>
      <c r="J2764" t="s">
        <v>71</v>
      </c>
      <c r="K2764">
        <v>2</v>
      </c>
      <c r="L2764" s="2">
        <v>588.41</v>
      </c>
      <c r="M2764" s="3">
        <v>0.15</v>
      </c>
      <c r="N2764" t="s">
        <v>34</v>
      </c>
      <c r="O2764" s="2">
        <v>1000.3</v>
      </c>
      <c r="P2764" s="2">
        <v>947.83</v>
      </c>
      <c r="Q2764" s="2">
        <v>52.47</v>
      </c>
      <c r="R2764">
        <v>1</v>
      </c>
      <c r="S2764">
        <v>0</v>
      </c>
      <c r="T2764">
        <v>3</v>
      </c>
      <c r="U2764">
        <v>5</v>
      </c>
    </row>
    <row r="2765" spans="1:21" ht="16.5" x14ac:dyDescent="0.3">
      <c r="A2765" t="s">
        <v>2853</v>
      </c>
      <c r="B2765" s="1">
        <v>45700</v>
      </c>
      <c r="C2765">
        <v>2025</v>
      </c>
      <c r="D2765" t="s">
        <v>22</v>
      </c>
      <c r="E2765" t="s">
        <v>242</v>
      </c>
      <c r="F2765" t="s">
        <v>31</v>
      </c>
      <c r="G2765" t="s">
        <v>49</v>
      </c>
      <c r="H2765" t="s">
        <v>32</v>
      </c>
      <c r="I2765" t="s">
        <v>67</v>
      </c>
      <c r="J2765" t="s">
        <v>103</v>
      </c>
      <c r="K2765">
        <v>1</v>
      </c>
      <c r="L2765" s="2">
        <v>83.06</v>
      </c>
      <c r="M2765" s="3">
        <v>0</v>
      </c>
      <c r="N2765" t="s">
        <v>38</v>
      </c>
      <c r="O2765" s="2">
        <v>83.06</v>
      </c>
      <c r="P2765" s="2">
        <v>57.13</v>
      </c>
      <c r="Q2765" s="2">
        <v>25.93</v>
      </c>
      <c r="R2765">
        <v>1</v>
      </c>
      <c r="S2765">
        <v>0</v>
      </c>
      <c r="T2765">
        <v>6</v>
      </c>
      <c r="U2765">
        <v>4</v>
      </c>
    </row>
    <row r="2766" spans="1:21" ht="16.5" x14ac:dyDescent="0.3">
      <c r="A2766" t="s">
        <v>2854</v>
      </c>
      <c r="B2766" s="1">
        <v>45700</v>
      </c>
      <c r="C2766">
        <v>2025</v>
      </c>
      <c r="D2766" t="s">
        <v>22</v>
      </c>
      <c r="E2766" t="s">
        <v>242</v>
      </c>
      <c r="F2766" t="s">
        <v>45</v>
      </c>
      <c r="G2766" t="s">
        <v>65</v>
      </c>
      <c r="H2766" t="s">
        <v>32</v>
      </c>
      <c r="I2766" t="s">
        <v>27</v>
      </c>
      <c r="J2766" t="s">
        <v>28</v>
      </c>
      <c r="K2766">
        <v>1</v>
      </c>
      <c r="L2766" s="2">
        <v>138.5</v>
      </c>
      <c r="M2766" s="3">
        <v>0</v>
      </c>
      <c r="N2766" t="s">
        <v>38</v>
      </c>
      <c r="O2766" s="2">
        <v>138.5</v>
      </c>
      <c r="P2766" s="2">
        <v>76.150000000000006</v>
      </c>
      <c r="Q2766" s="2">
        <v>62.35</v>
      </c>
      <c r="R2766">
        <v>1</v>
      </c>
      <c r="S2766">
        <v>1</v>
      </c>
      <c r="T2766">
        <v>9</v>
      </c>
      <c r="U2766">
        <v>4</v>
      </c>
    </row>
    <row r="2767" spans="1:21" ht="16.5" x14ac:dyDescent="0.3">
      <c r="A2767" t="s">
        <v>2855</v>
      </c>
      <c r="B2767" s="1">
        <v>45701</v>
      </c>
      <c r="C2767">
        <v>2025</v>
      </c>
      <c r="D2767" t="s">
        <v>22</v>
      </c>
      <c r="E2767" t="s">
        <v>242</v>
      </c>
      <c r="F2767" t="s">
        <v>45</v>
      </c>
      <c r="G2767" t="s">
        <v>49</v>
      </c>
      <c r="H2767" t="s">
        <v>32</v>
      </c>
      <c r="I2767" t="s">
        <v>27</v>
      </c>
      <c r="J2767" t="s">
        <v>40</v>
      </c>
      <c r="K2767">
        <v>1</v>
      </c>
      <c r="L2767" s="2">
        <v>104.94</v>
      </c>
      <c r="M2767" s="3">
        <v>0.1</v>
      </c>
      <c r="N2767" t="s">
        <v>29</v>
      </c>
      <c r="O2767" s="2">
        <v>94.45</v>
      </c>
      <c r="P2767" s="2">
        <v>56.35</v>
      </c>
      <c r="Q2767" s="2">
        <v>38.1</v>
      </c>
      <c r="R2767">
        <v>1</v>
      </c>
      <c r="S2767">
        <v>1</v>
      </c>
      <c r="T2767">
        <v>3</v>
      </c>
      <c r="U2767">
        <v>3</v>
      </c>
    </row>
    <row r="2768" spans="1:21" ht="16.5" x14ac:dyDescent="0.3">
      <c r="A2768" t="s">
        <v>2856</v>
      </c>
      <c r="B2768" s="1">
        <v>45701</v>
      </c>
      <c r="C2768">
        <v>2025</v>
      </c>
      <c r="D2768" t="s">
        <v>22</v>
      </c>
      <c r="E2768" t="s">
        <v>242</v>
      </c>
      <c r="F2768" t="s">
        <v>45</v>
      </c>
      <c r="G2768" t="s">
        <v>46</v>
      </c>
      <c r="H2768" t="s">
        <v>26</v>
      </c>
      <c r="I2768" t="s">
        <v>42</v>
      </c>
      <c r="J2768" t="s">
        <v>89</v>
      </c>
      <c r="K2768">
        <v>1</v>
      </c>
      <c r="L2768" s="2">
        <v>68.349999999999994</v>
      </c>
      <c r="M2768" s="3">
        <v>0.15</v>
      </c>
      <c r="N2768" t="s">
        <v>34</v>
      </c>
      <c r="O2768" s="2">
        <v>58.1</v>
      </c>
      <c r="P2768" s="2">
        <v>45.54</v>
      </c>
      <c r="Q2768" s="2">
        <v>12.56</v>
      </c>
      <c r="R2768">
        <v>1</v>
      </c>
      <c r="S2768">
        <v>0</v>
      </c>
      <c r="T2768">
        <v>6</v>
      </c>
      <c r="U2768">
        <v>3</v>
      </c>
    </row>
    <row r="2769" spans="1:21" ht="16.5" x14ac:dyDescent="0.3">
      <c r="A2769" t="s">
        <v>2857</v>
      </c>
      <c r="B2769" s="1">
        <v>45701</v>
      </c>
      <c r="C2769">
        <v>2025</v>
      </c>
      <c r="D2769" t="s">
        <v>22</v>
      </c>
      <c r="E2769" t="s">
        <v>242</v>
      </c>
      <c r="F2769" t="s">
        <v>45</v>
      </c>
      <c r="G2769" t="s">
        <v>49</v>
      </c>
      <c r="H2769" t="s">
        <v>32</v>
      </c>
      <c r="I2769" t="s">
        <v>70</v>
      </c>
      <c r="J2769" t="s">
        <v>87</v>
      </c>
      <c r="K2769">
        <v>1</v>
      </c>
      <c r="L2769" s="2">
        <v>490.3</v>
      </c>
      <c r="M2769" s="3">
        <v>0.1</v>
      </c>
      <c r="N2769" t="s">
        <v>29</v>
      </c>
      <c r="O2769" s="2">
        <v>441.27</v>
      </c>
      <c r="P2769" s="2">
        <v>384.08</v>
      </c>
      <c r="Q2769" s="2">
        <v>57.19</v>
      </c>
      <c r="R2769">
        <v>1</v>
      </c>
      <c r="S2769">
        <v>0</v>
      </c>
      <c r="T2769">
        <v>3</v>
      </c>
      <c r="U2769">
        <v>4</v>
      </c>
    </row>
    <row r="2770" spans="1:21" ht="16.5" x14ac:dyDescent="0.3">
      <c r="A2770" t="s">
        <v>2858</v>
      </c>
      <c r="B2770" s="1">
        <v>45701</v>
      </c>
      <c r="C2770">
        <v>2025</v>
      </c>
      <c r="D2770" t="s">
        <v>22</v>
      </c>
      <c r="E2770" t="s">
        <v>242</v>
      </c>
      <c r="F2770" t="s">
        <v>31</v>
      </c>
      <c r="G2770" t="s">
        <v>49</v>
      </c>
      <c r="H2770" t="s">
        <v>32</v>
      </c>
      <c r="I2770" t="s">
        <v>36</v>
      </c>
      <c r="J2770" t="s">
        <v>56</v>
      </c>
      <c r="K2770">
        <v>1</v>
      </c>
      <c r="L2770" s="2">
        <v>74.3</v>
      </c>
      <c r="M2770" s="3">
        <v>0.2</v>
      </c>
      <c r="N2770" t="s">
        <v>34</v>
      </c>
      <c r="O2770" s="2">
        <v>59.44</v>
      </c>
      <c r="P2770" s="2">
        <v>35.76</v>
      </c>
      <c r="Q2770" s="2">
        <v>23.68</v>
      </c>
      <c r="R2770">
        <v>1</v>
      </c>
      <c r="S2770">
        <v>0</v>
      </c>
      <c r="T2770">
        <v>3</v>
      </c>
      <c r="U2770">
        <v>5</v>
      </c>
    </row>
    <row r="2771" spans="1:21" ht="16.5" x14ac:dyDescent="0.3">
      <c r="A2771" t="s">
        <v>2859</v>
      </c>
      <c r="B2771" s="1">
        <v>45701</v>
      </c>
      <c r="C2771">
        <v>2025</v>
      </c>
      <c r="D2771" t="s">
        <v>22</v>
      </c>
      <c r="E2771" t="s">
        <v>242</v>
      </c>
      <c r="F2771" t="s">
        <v>31</v>
      </c>
      <c r="G2771" t="s">
        <v>46</v>
      </c>
      <c r="H2771" t="s">
        <v>32</v>
      </c>
      <c r="I2771" t="s">
        <v>27</v>
      </c>
      <c r="J2771" t="s">
        <v>60</v>
      </c>
      <c r="K2771">
        <v>1</v>
      </c>
      <c r="L2771" s="2">
        <v>94.85</v>
      </c>
      <c r="M2771" s="3">
        <v>0</v>
      </c>
      <c r="N2771" t="s">
        <v>38</v>
      </c>
      <c r="O2771" s="2">
        <v>94.85</v>
      </c>
      <c r="P2771" s="2">
        <v>51.03</v>
      </c>
      <c r="Q2771" s="2">
        <v>43.82</v>
      </c>
      <c r="R2771">
        <v>1</v>
      </c>
      <c r="S2771">
        <v>0</v>
      </c>
      <c r="T2771">
        <v>6</v>
      </c>
      <c r="U2771">
        <v>3</v>
      </c>
    </row>
    <row r="2772" spans="1:21" ht="16.5" x14ac:dyDescent="0.3">
      <c r="A2772" t="s">
        <v>2860</v>
      </c>
      <c r="B2772" s="1">
        <v>45701</v>
      </c>
      <c r="C2772">
        <v>2025</v>
      </c>
      <c r="D2772" t="s">
        <v>22</v>
      </c>
      <c r="E2772" t="s">
        <v>242</v>
      </c>
      <c r="F2772" t="s">
        <v>24</v>
      </c>
      <c r="G2772" t="s">
        <v>65</v>
      </c>
      <c r="H2772" t="s">
        <v>32</v>
      </c>
      <c r="I2772" t="s">
        <v>70</v>
      </c>
      <c r="J2772" t="s">
        <v>129</v>
      </c>
      <c r="K2772">
        <v>2</v>
      </c>
      <c r="L2772" s="2">
        <v>177.65</v>
      </c>
      <c r="M2772" s="3">
        <v>0.05</v>
      </c>
      <c r="N2772" t="s">
        <v>29</v>
      </c>
      <c r="O2772" s="2">
        <v>337.54</v>
      </c>
      <c r="P2772" s="2">
        <v>280.69</v>
      </c>
      <c r="Q2772" s="2">
        <v>56.85</v>
      </c>
      <c r="R2772">
        <v>1</v>
      </c>
      <c r="S2772">
        <v>0</v>
      </c>
      <c r="T2772">
        <v>6</v>
      </c>
      <c r="U2772">
        <v>4</v>
      </c>
    </row>
    <row r="2773" spans="1:21" ht="16.5" x14ac:dyDescent="0.3">
      <c r="A2773" t="s">
        <v>2861</v>
      </c>
      <c r="B2773" s="1">
        <v>45701</v>
      </c>
      <c r="C2773">
        <v>2025</v>
      </c>
      <c r="D2773" t="s">
        <v>22</v>
      </c>
      <c r="E2773" t="s">
        <v>242</v>
      </c>
      <c r="F2773" t="s">
        <v>24</v>
      </c>
      <c r="G2773" t="s">
        <v>49</v>
      </c>
      <c r="H2773" t="s">
        <v>26</v>
      </c>
      <c r="I2773" t="s">
        <v>42</v>
      </c>
      <c r="J2773" t="s">
        <v>89</v>
      </c>
      <c r="K2773">
        <v>1</v>
      </c>
      <c r="L2773" s="2">
        <v>68.349999999999994</v>
      </c>
      <c r="M2773" s="3">
        <v>0.15</v>
      </c>
      <c r="N2773" t="s">
        <v>34</v>
      </c>
      <c r="O2773" s="2">
        <v>58.1</v>
      </c>
      <c r="P2773" s="2">
        <v>45.14</v>
      </c>
      <c r="Q2773" s="2">
        <v>12.96</v>
      </c>
      <c r="R2773">
        <v>1</v>
      </c>
      <c r="S2773">
        <v>0</v>
      </c>
      <c r="T2773">
        <v>4</v>
      </c>
      <c r="U2773">
        <v>5</v>
      </c>
    </row>
    <row r="2774" spans="1:21" ht="16.5" x14ac:dyDescent="0.3">
      <c r="A2774" t="s">
        <v>2862</v>
      </c>
      <c r="B2774" s="1">
        <v>45701</v>
      </c>
      <c r="C2774">
        <v>2025</v>
      </c>
      <c r="D2774" t="s">
        <v>22</v>
      </c>
      <c r="E2774" t="s">
        <v>242</v>
      </c>
      <c r="F2774" t="s">
        <v>24</v>
      </c>
      <c r="G2774" t="s">
        <v>51</v>
      </c>
      <c r="H2774" t="s">
        <v>32</v>
      </c>
      <c r="I2774" t="s">
        <v>27</v>
      </c>
      <c r="J2774" t="s">
        <v>60</v>
      </c>
      <c r="K2774">
        <v>1</v>
      </c>
      <c r="L2774" s="2">
        <v>94.85</v>
      </c>
      <c r="M2774" s="3">
        <v>0.05</v>
      </c>
      <c r="N2774" t="s">
        <v>29</v>
      </c>
      <c r="O2774" s="2">
        <v>90.11</v>
      </c>
      <c r="P2774" s="2">
        <v>52.93</v>
      </c>
      <c r="Q2774" s="2">
        <v>37.18</v>
      </c>
      <c r="R2774">
        <v>1</v>
      </c>
      <c r="S2774">
        <v>0</v>
      </c>
      <c r="T2774">
        <v>3</v>
      </c>
      <c r="U2774">
        <v>5</v>
      </c>
    </row>
    <row r="2775" spans="1:21" ht="16.5" x14ac:dyDescent="0.3">
      <c r="A2775" t="s">
        <v>2863</v>
      </c>
      <c r="B2775" s="1">
        <v>45701</v>
      </c>
      <c r="C2775">
        <v>2025</v>
      </c>
      <c r="D2775" t="s">
        <v>22</v>
      </c>
      <c r="E2775" t="s">
        <v>242</v>
      </c>
      <c r="F2775" t="s">
        <v>31</v>
      </c>
      <c r="G2775" t="s">
        <v>25</v>
      </c>
      <c r="H2775" t="s">
        <v>32</v>
      </c>
      <c r="I2775" t="s">
        <v>42</v>
      </c>
      <c r="J2775" t="s">
        <v>89</v>
      </c>
      <c r="K2775">
        <v>1</v>
      </c>
      <c r="L2775" s="2">
        <v>68.349999999999994</v>
      </c>
      <c r="M2775" s="3">
        <v>0.05</v>
      </c>
      <c r="N2775" t="s">
        <v>29</v>
      </c>
      <c r="O2775" s="2">
        <v>64.930000000000007</v>
      </c>
      <c r="P2775" s="2">
        <v>42.31</v>
      </c>
      <c r="Q2775" s="2">
        <v>22.62</v>
      </c>
      <c r="R2775">
        <v>1</v>
      </c>
      <c r="S2775">
        <v>0</v>
      </c>
      <c r="T2775">
        <v>5</v>
      </c>
      <c r="U2775">
        <v>4</v>
      </c>
    </row>
    <row r="2776" spans="1:21" ht="16.5" x14ac:dyDescent="0.3">
      <c r="A2776" t="s">
        <v>2864</v>
      </c>
      <c r="B2776" s="1">
        <v>45701</v>
      </c>
      <c r="C2776">
        <v>2025</v>
      </c>
      <c r="D2776" t="s">
        <v>22</v>
      </c>
      <c r="E2776" t="s">
        <v>242</v>
      </c>
      <c r="F2776" t="s">
        <v>31</v>
      </c>
      <c r="G2776" t="s">
        <v>51</v>
      </c>
      <c r="H2776" t="s">
        <v>32</v>
      </c>
      <c r="I2776" t="s">
        <v>42</v>
      </c>
      <c r="J2776" t="s">
        <v>58</v>
      </c>
      <c r="K2776">
        <v>1</v>
      </c>
      <c r="L2776" s="2">
        <v>233.81</v>
      </c>
      <c r="M2776" s="3">
        <v>0.1</v>
      </c>
      <c r="N2776" t="s">
        <v>29</v>
      </c>
      <c r="O2776" s="2">
        <v>210.43</v>
      </c>
      <c r="P2776" s="2">
        <v>160.49</v>
      </c>
      <c r="Q2776" s="2">
        <v>49.94</v>
      </c>
      <c r="R2776">
        <v>1</v>
      </c>
      <c r="S2776">
        <v>0</v>
      </c>
      <c r="T2776">
        <v>2</v>
      </c>
      <c r="U2776">
        <v>4</v>
      </c>
    </row>
    <row r="2777" spans="1:21" ht="16.5" x14ac:dyDescent="0.3">
      <c r="A2777" t="s">
        <v>2865</v>
      </c>
      <c r="B2777" s="1">
        <v>45701</v>
      </c>
      <c r="C2777">
        <v>2025</v>
      </c>
      <c r="D2777" t="s">
        <v>22</v>
      </c>
      <c r="E2777" t="s">
        <v>242</v>
      </c>
      <c r="F2777" t="s">
        <v>24</v>
      </c>
      <c r="G2777" t="s">
        <v>65</v>
      </c>
      <c r="H2777" t="s">
        <v>26</v>
      </c>
      <c r="I2777" t="s">
        <v>36</v>
      </c>
      <c r="J2777" t="s">
        <v>126</v>
      </c>
      <c r="K2777">
        <v>1</v>
      </c>
      <c r="L2777" s="2">
        <v>54.56</v>
      </c>
      <c r="M2777" s="3">
        <v>0.15</v>
      </c>
      <c r="N2777" t="s">
        <v>34</v>
      </c>
      <c r="O2777" s="2">
        <v>46.38</v>
      </c>
      <c r="P2777" s="2">
        <v>27.66</v>
      </c>
      <c r="Q2777" s="2">
        <v>18.72</v>
      </c>
      <c r="R2777">
        <v>1</v>
      </c>
      <c r="S2777">
        <v>0</v>
      </c>
      <c r="T2777">
        <v>5</v>
      </c>
      <c r="U2777">
        <v>4</v>
      </c>
    </row>
    <row r="2778" spans="1:21" ht="16.5" x14ac:dyDescent="0.3">
      <c r="A2778" t="s">
        <v>2866</v>
      </c>
      <c r="B2778" s="1">
        <v>45702</v>
      </c>
      <c r="C2778">
        <v>2025</v>
      </c>
      <c r="D2778" t="s">
        <v>22</v>
      </c>
      <c r="E2778" t="s">
        <v>242</v>
      </c>
      <c r="F2778" t="s">
        <v>31</v>
      </c>
      <c r="G2778" t="s">
        <v>51</v>
      </c>
      <c r="H2778" t="s">
        <v>32</v>
      </c>
      <c r="I2778" t="s">
        <v>42</v>
      </c>
      <c r="J2778" t="s">
        <v>43</v>
      </c>
      <c r="K2778">
        <v>1</v>
      </c>
      <c r="L2778" s="2">
        <v>154.66</v>
      </c>
      <c r="M2778" s="3">
        <v>0.05</v>
      </c>
      <c r="N2778" t="s">
        <v>29</v>
      </c>
      <c r="O2778" s="2">
        <v>146.93</v>
      </c>
      <c r="P2778" s="2">
        <v>101.94</v>
      </c>
      <c r="Q2778" s="2">
        <v>44.99</v>
      </c>
      <c r="R2778">
        <v>1</v>
      </c>
      <c r="S2778">
        <v>0</v>
      </c>
      <c r="T2778">
        <v>2</v>
      </c>
      <c r="U2778">
        <v>5</v>
      </c>
    </row>
    <row r="2779" spans="1:21" ht="16.5" x14ac:dyDescent="0.3">
      <c r="A2779" t="s">
        <v>2867</v>
      </c>
      <c r="B2779" s="1">
        <v>45702</v>
      </c>
      <c r="C2779">
        <v>2025</v>
      </c>
      <c r="D2779" t="s">
        <v>22</v>
      </c>
      <c r="E2779" t="s">
        <v>242</v>
      </c>
      <c r="F2779" t="s">
        <v>24</v>
      </c>
      <c r="G2779" t="s">
        <v>51</v>
      </c>
      <c r="H2779" t="s">
        <v>26</v>
      </c>
      <c r="I2779" t="s">
        <v>27</v>
      </c>
      <c r="J2779" t="s">
        <v>47</v>
      </c>
      <c r="K2779">
        <v>1</v>
      </c>
      <c r="L2779" s="2">
        <v>33.99</v>
      </c>
      <c r="M2779" s="3">
        <v>0.05</v>
      </c>
      <c r="N2779" t="s">
        <v>29</v>
      </c>
      <c r="O2779" s="2">
        <v>32.29</v>
      </c>
      <c r="P2779" s="2">
        <v>18.48</v>
      </c>
      <c r="Q2779" s="2">
        <v>13.81</v>
      </c>
      <c r="R2779">
        <v>1</v>
      </c>
      <c r="S2779">
        <v>1</v>
      </c>
      <c r="T2779">
        <v>6</v>
      </c>
      <c r="U2779">
        <v>3</v>
      </c>
    </row>
    <row r="2780" spans="1:21" ht="16.5" x14ac:dyDescent="0.3">
      <c r="A2780" t="s">
        <v>2868</v>
      </c>
      <c r="B2780" s="1">
        <v>45702</v>
      </c>
      <c r="C2780">
        <v>2025</v>
      </c>
      <c r="D2780" t="s">
        <v>22</v>
      </c>
      <c r="E2780" t="s">
        <v>242</v>
      </c>
      <c r="F2780" t="s">
        <v>24</v>
      </c>
      <c r="G2780" t="s">
        <v>51</v>
      </c>
      <c r="H2780" t="s">
        <v>26</v>
      </c>
      <c r="I2780" t="s">
        <v>36</v>
      </c>
      <c r="J2780" t="s">
        <v>56</v>
      </c>
      <c r="K2780">
        <v>1</v>
      </c>
      <c r="L2780" s="2">
        <v>74.3</v>
      </c>
      <c r="M2780" s="3">
        <v>0.1</v>
      </c>
      <c r="N2780" t="s">
        <v>29</v>
      </c>
      <c r="O2780" s="2">
        <v>66.87</v>
      </c>
      <c r="P2780" s="2">
        <v>36.869999999999997</v>
      </c>
      <c r="Q2780" s="2">
        <v>30</v>
      </c>
      <c r="R2780">
        <v>1</v>
      </c>
      <c r="S2780">
        <v>1</v>
      </c>
      <c r="T2780">
        <v>4</v>
      </c>
      <c r="U2780">
        <v>3</v>
      </c>
    </row>
    <row r="2781" spans="1:21" ht="16.5" x14ac:dyDescent="0.3">
      <c r="A2781" t="s">
        <v>2869</v>
      </c>
      <c r="B2781" s="1">
        <v>45702</v>
      </c>
      <c r="C2781">
        <v>2025</v>
      </c>
      <c r="D2781" t="s">
        <v>22</v>
      </c>
      <c r="E2781" t="s">
        <v>242</v>
      </c>
      <c r="F2781" t="s">
        <v>31</v>
      </c>
      <c r="G2781" t="s">
        <v>51</v>
      </c>
      <c r="H2781" t="s">
        <v>32</v>
      </c>
      <c r="I2781" t="s">
        <v>36</v>
      </c>
      <c r="J2781" t="s">
        <v>126</v>
      </c>
      <c r="K2781">
        <v>1</v>
      </c>
      <c r="L2781" s="2">
        <v>54.56</v>
      </c>
      <c r="M2781" s="3">
        <v>0.05</v>
      </c>
      <c r="N2781" t="s">
        <v>29</v>
      </c>
      <c r="O2781" s="2">
        <v>51.83</v>
      </c>
      <c r="P2781" s="2">
        <v>25.82</v>
      </c>
      <c r="Q2781" s="2">
        <v>26.01</v>
      </c>
      <c r="R2781">
        <v>1</v>
      </c>
      <c r="S2781">
        <v>0</v>
      </c>
      <c r="T2781">
        <v>2</v>
      </c>
      <c r="U2781">
        <v>5</v>
      </c>
    </row>
    <row r="2782" spans="1:21" ht="16.5" x14ac:dyDescent="0.3">
      <c r="A2782" t="s">
        <v>2870</v>
      </c>
      <c r="B2782" s="1">
        <v>45702</v>
      </c>
      <c r="C2782">
        <v>2025</v>
      </c>
      <c r="D2782" t="s">
        <v>22</v>
      </c>
      <c r="E2782" t="s">
        <v>242</v>
      </c>
      <c r="F2782" t="s">
        <v>24</v>
      </c>
      <c r="G2782" t="s">
        <v>49</v>
      </c>
      <c r="H2782" t="s">
        <v>32</v>
      </c>
      <c r="I2782" t="s">
        <v>27</v>
      </c>
      <c r="J2782" t="s">
        <v>110</v>
      </c>
      <c r="K2782">
        <v>3</v>
      </c>
      <c r="L2782" s="2">
        <v>19.41</v>
      </c>
      <c r="M2782" s="3">
        <v>0</v>
      </c>
      <c r="N2782" t="s">
        <v>38</v>
      </c>
      <c r="O2782" s="2">
        <v>58.23</v>
      </c>
      <c r="P2782" s="2">
        <v>30.32</v>
      </c>
      <c r="Q2782" s="2">
        <v>27.91</v>
      </c>
      <c r="R2782">
        <v>1</v>
      </c>
      <c r="S2782">
        <v>1</v>
      </c>
      <c r="T2782">
        <v>4</v>
      </c>
      <c r="U2782">
        <v>3</v>
      </c>
    </row>
    <row r="2783" spans="1:21" ht="16.5" x14ac:dyDescent="0.3">
      <c r="A2783" t="s">
        <v>2871</v>
      </c>
      <c r="B2783" s="1">
        <v>45702</v>
      </c>
      <c r="C2783">
        <v>2025</v>
      </c>
      <c r="D2783" t="s">
        <v>22</v>
      </c>
      <c r="E2783" t="s">
        <v>242</v>
      </c>
      <c r="F2783" t="s">
        <v>31</v>
      </c>
      <c r="G2783" t="s">
        <v>65</v>
      </c>
      <c r="H2783" t="s">
        <v>26</v>
      </c>
      <c r="I2783" t="s">
        <v>36</v>
      </c>
      <c r="J2783" t="s">
        <v>37</v>
      </c>
      <c r="K2783">
        <v>2</v>
      </c>
      <c r="L2783" s="2">
        <v>33.18</v>
      </c>
      <c r="M2783" s="3">
        <v>0.05</v>
      </c>
      <c r="N2783" t="s">
        <v>29</v>
      </c>
      <c r="O2783" s="2">
        <v>63.04</v>
      </c>
      <c r="P2783" s="2">
        <v>30.91</v>
      </c>
      <c r="Q2783" s="2">
        <v>32.130000000000003</v>
      </c>
      <c r="R2783">
        <v>1</v>
      </c>
      <c r="S2783">
        <v>0</v>
      </c>
      <c r="T2783">
        <v>6</v>
      </c>
      <c r="U2783">
        <v>3</v>
      </c>
    </row>
    <row r="2784" spans="1:21" ht="16.5" x14ac:dyDescent="0.3">
      <c r="A2784" t="s">
        <v>2872</v>
      </c>
      <c r="B2784" s="1">
        <v>45702</v>
      </c>
      <c r="C2784">
        <v>2025</v>
      </c>
      <c r="D2784" t="s">
        <v>22</v>
      </c>
      <c r="E2784" t="s">
        <v>242</v>
      </c>
      <c r="F2784" t="s">
        <v>31</v>
      </c>
      <c r="G2784" t="s">
        <v>25</v>
      </c>
      <c r="H2784" t="s">
        <v>26</v>
      </c>
      <c r="I2784" t="s">
        <v>42</v>
      </c>
      <c r="J2784" t="s">
        <v>43</v>
      </c>
      <c r="K2784">
        <v>1</v>
      </c>
      <c r="L2784" s="2">
        <v>154.66</v>
      </c>
      <c r="M2784" s="3">
        <v>0.1</v>
      </c>
      <c r="N2784" t="s">
        <v>29</v>
      </c>
      <c r="O2784" s="2">
        <v>139.19</v>
      </c>
      <c r="P2784" s="2">
        <v>106.79</v>
      </c>
      <c r="Q2784" s="2">
        <v>32.4</v>
      </c>
      <c r="R2784">
        <v>1</v>
      </c>
      <c r="S2784">
        <v>1</v>
      </c>
      <c r="T2784">
        <v>3</v>
      </c>
      <c r="U2784">
        <v>3</v>
      </c>
    </row>
    <row r="2785" spans="1:21" ht="16.5" x14ac:dyDescent="0.3">
      <c r="A2785" t="s">
        <v>2873</v>
      </c>
      <c r="B2785" s="1">
        <v>45703</v>
      </c>
      <c r="C2785">
        <v>2025</v>
      </c>
      <c r="D2785" t="s">
        <v>22</v>
      </c>
      <c r="E2785" t="s">
        <v>242</v>
      </c>
      <c r="F2785" t="s">
        <v>45</v>
      </c>
      <c r="G2785" t="s">
        <v>65</v>
      </c>
      <c r="H2785" t="s">
        <v>32</v>
      </c>
      <c r="I2785" t="s">
        <v>36</v>
      </c>
      <c r="J2785" t="s">
        <v>37</v>
      </c>
      <c r="K2785">
        <v>2</v>
      </c>
      <c r="L2785" s="2">
        <v>33.18</v>
      </c>
      <c r="M2785" s="3">
        <v>0.05</v>
      </c>
      <c r="N2785" t="s">
        <v>29</v>
      </c>
      <c r="O2785" s="2">
        <v>63.04</v>
      </c>
      <c r="P2785" s="2">
        <v>30.4</v>
      </c>
      <c r="Q2785" s="2">
        <v>32.64</v>
      </c>
      <c r="R2785">
        <v>1</v>
      </c>
      <c r="S2785">
        <v>0</v>
      </c>
      <c r="T2785">
        <v>6</v>
      </c>
      <c r="U2785">
        <v>4</v>
      </c>
    </row>
    <row r="2786" spans="1:21" ht="16.5" x14ac:dyDescent="0.3">
      <c r="A2786" t="s">
        <v>2874</v>
      </c>
      <c r="B2786" s="1">
        <v>45703</v>
      </c>
      <c r="C2786">
        <v>2025</v>
      </c>
      <c r="D2786" t="s">
        <v>22</v>
      </c>
      <c r="E2786" t="s">
        <v>242</v>
      </c>
      <c r="F2786" t="s">
        <v>24</v>
      </c>
      <c r="G2786" t="s">
        <v>51</v>
      </c>
      <c r="H2786" t="s">
        <v>32</v>
      </c>
      <c r="I2786" t="s">
        <v>27</v>
      </c>
      <c r="J2786" t="s">
        <v>40</v>
      </c>
      <c r="K2786">
        <v>1</v>
      </c>
      <c r="L2786" s="2">
        <v>104.94</v>
      </c>
      <c r="M2786" s="3">
        <v>0.05</v>
      </c>
      <c r="N2786" t="s">
        <v>29</v>
      </c>
      <c r="O2786" s="2">
        <v>99.69</v>
      </c>
      <c r="P2786" s="2">
        <v>56.88</v>
      </c>
      <c r="Q2786" s="2">
        <v>42.81</v>
      </c>
      <c r="R2786">
        <v>1</v>
      </c>
      <c r="S2786">
        <v>0</v>
      </c>
      <c r="T2786">
        <v>3</v>
      </c>
      <c r="U2786">
        <v>4</v>
      </c>
    </row>
    <row r="2787" spans="1:21" ht="16.5" x14ac:dyDescent="0.3">
      <c r="A2787" t="s">
        <v>2875</v>
      </c>
      <c r="B2787" s="1">
        <v>45703</v>
      </c>
      <c r="C2787">
        <v>2025</v>
      </c>
      <c r="D2787" t="s">
        <v>22</v>
      </c>
      <c r="E2787" t="s">
        <v>242</v>
      </c>
      <c r="F2787" t="s">
        <v>31</v>
      </c>
      <c r="G2787" t="s">
        <v>49</v>
      </c>
      <c r="H2787" t="s">
        <v>32</v>
      </c>
      <c r="I2787" t="s">
        <v>42</v>
      </c>
      <c r="J2787" t="s">
        <v>54</v>
      </c>
      <c r="K2787">
        <v>1</v>
      </c>
      <c r="L2787" s="2">
        <v>148.05000000000001</v>
      </c>
      <c r="M2787" s="3">
        <v>0</v>
      </c>
      <c r="N2787" t="s">
        <v>38</v>
      </c>
      <c r="O2787" s="2">
        <v>148.05000000000001</v>
      </c>
      <c r="P2787" s="2">
        <v>96.4</v>
      </c>
      <c r="Q2787" s="2">
        <v>51.65</v>
      </c>
      <c r="R2787">
        <v>1</v>
      </c>
      <c r="S2787">
        <v>0</v>
      </c>
      <c r="T2787">
        <v>3</v>
      </c>
      <c r="U2787">
        <v>4</v>
      </c>
    </row>
    <row r="2788" spans="1:21" ht="16.5" x14ac:dyDescent="0.3">
      <c r="A2788" t="s">
        <v>2876</v>
      </c>
      <c r="B2788" s="1">
        <v>45703</v>
      </c>
      <c r="C2788">
        <v>2025</v>
      </c>
      <c r="D2788" t="s">
        <v>22</v>
      </c>
      <c r="E2788" t="s">
        <v>242</v>
      </c>
      <c r="F2788" t="s">
        <v>31</v>
      </c>
      <c r="G2788" t="s">
        <v>25</v>
      </c>
      <c r="H2788" t="s">
        <v>32</v>
      </c>
      <c r="I2788" t="s">
        <v>27</v>
      </c>
      <c r="J2788" t="s">
        <v>28</v>
      </c>
      <c r="K2788">
        <v>1</v>
      </c>
      <c r="L2788" s="2">
        <v>138.5</v>
      </c>
      <c r="M2788" s="3">
        <v>0.15</v>
      </c>
      <c r="N2788" t="s">
        <v>34</v>
      </c>
      <c r="O2788" s="2">
        <v>117.72</v>
      </c>
      <c r="P2788" s="2">
        <v>74.53</v>
      </c>
      <c r="Q2788" s="2">
        <v>43.19</v>
      </c>
      <c r="R2788">
        <v>1</v>
      </c>
      <c r="S2788">
        <v>0</v>
      </c>
      <c r="T2788">
        <v>4</v>
      </c>
      <c r="U2788">
        <v>4</v>
      </c>
    </row>
    <row r="2789" spans="1:21" ht="16.5" x14ac:dyDescent="0.3">
      <c r="A2789" t="s">
        <v>2877</v>
      </c>
      <c r="B2789" s="1">
        <v>45703</v>
      </c>
      <c r="C2789">
        <v>2025</v>
      </c>
      <c r="D2789" t="s">
        <v>22</v>
      </c>
      <c r="E2789" t="s">
        <v>242</v>
      </c>
      <c r="F2789" t="s">
        <v>31</v>
      </c>
      <c r="G2789" t="s">
        <v>46</v>
      </c>
      <c r="H2789" t="s">
        <v>32</v>
      </c>
      <c r="I2789" t="s">
        <v>70</v>
      </c>
      <c r="J2789" t="s">
        <v>82</v>
      </c>
      <c r="K2789">
        <v>1</v>
      </c>
      <c r="L2789" s="2">
        <v>508.8</v>
      </c>
      <c r="M2789" s="3">
        <v>0.05</v>
      </c>
      <c r="N2789" t="s">
        <v>29</v>
      </c>
      <c r="O2789" s="2">
        <v>483.36</v>
      </c>
      <c r="P2789" s="2">
        <v>394.95</v>
      </c>
      <c r="Q2789" s="2">
        <v>88.41</v>
      </c>
      <c r="R2789">
        <v>1</v>
      </c>
      <c r="S2789">
        <v>0</v>
      </c>
      <c r="T2789">
        <v>7</v>
      </c>
      <c r="U2789">
        <v>4</v>
      </c>
    </row>
    <row r="2790" spans="1:21" ht="16.5" x14ac:dyDescent="0.3">
      <c r="A2790" t="s">
        <v>2878</v>
      </c>
      <c r="B2790" s="1">
        <v>45704</v>
      </c>
      <c r="C2790">
        <v>2025</v>
      </c>
      <c r="D2790" t="s">
        <v>22</v>
      </c>
      <c r="E2790" t="s">
        <v>242</v>
      </c>
      <c r="F2790" t="s">
        <v>45</v>
      </c>
      <c r="G2790" t="s">
        <v>46</v>
      </c>
      <c r="H2790" t="s">
        <v>32</v>
      </c>
      <c r="I2790" t="s">
        <v>70</v>
      </c>
      <c r="J2790" t="s">
        <v>87</v>
      </c>
      <c r="K2790">
        <v>1</v>
      </c>
      <c r="L2790" s="2">
        <v>490.3</v>
      </c>
      <c r="M2790" s="3">
        <v>0</v>
      </c>
      <c r="N2790" t="s">
        <v>38</v>
      </c>
      <c r="O2790" s="2">
        <v>490.3</v>
      </c>
      <c r="P2790" s="2">
        <v>382.39</v>
      </c>
      <c r="Q2790" s="2">
        <v>107.91</v>
      </c>
      <c r="R2790">
        <v>1</v>
      </c>
      <c r="S2790">
        <v>0</v>
      </c>
      <c r="T2790">
        <v>6</v>
      </c>
      <c r="U2790">
        <v>3</v>
      </c>
    </row>
    <row r="2791" spans="1:21" ht="16.5" x14ac:dyDescent="0.3">
      <c r="A2791" t="s">
        <v>2879</v>
      </c>
      <c r="B2791" s="1">
        <v>45704</v>
      </c>
      <c r="C2791">
        <v>2025</v>
      </c>
      <c r="D2791" t="s">
        <v>22</v>
      </c>
      <c r="E2791" t="s">
        <v>242</v>
      </c>
      <c r="F2791" t="s">
        <v>45</v>
      </c>
      <c r="G2791" t="s">
        <v>25</v>
      </c>
      <c r="H2791" t="s">
        <v>26</v>
      </c>
      <c r="I2791" t="s">
        <v>84</v>
      </c>
      <c r="J2791" t="s">
        <v>223</v>
      </c>
      <c r="K2791">
        <v>1</v>
      </c>
      <c r="L2791" s="2">
        <v>16.97</v>
      </c>
      <c r="M2791" s="3">
        <v>0.1</v>
      </c>
      <c r="N2791" t="s">
        <v>29</v>
      </c>
      <c r="O2791" s="2">
        <v>15.27</v>
      </c>
      <c r="P2791" s="2">
        <v>12.42</v>
      </c>
      <c r="Q2791" s="2">
        <v>2.85</v>
      </c>
      <c r="R2791">
        <v>1</v>
      </c>
      <c r="S2791">
        <v>0</v>
      </c>
      <c r="T2791">
        <v>5</v>
      </c>
      <c r="U2791">
        <v>5</v>
      </c>
    </row>
    <row r="2792" spans="1:21" ht="16.5" x14ac:dyDescent="0.3">
      <c r="A2792" t="s">
        <v>2880</v>
      </c>
      <c r="B2792" s="1">
        <v>45704</v>
      </c>
      <c r="C2792">
        <v>2025</v>
      </c>
      <c r="D2792" t="s">
        <v>22</v>
      </c>
      <c r="E2792" t="s">
        <v>242</v>
      </c>
      <c r="F2792" t="s">
        <v>45</v>
      </c>
      <c r="G2792" t="s">
        <v>51</v>
      </c>
      <c r="H2792" t="s">
        <v>32</v>
      </c>
      <c r="I2792" t="s">
        <v>70</v>
      </c>
      <c r="J2792" t="s">
        <v>162</v>
      </c>
      <c r="K2792">
        <v>1</v>
      </c>
      <c r="L2792" s="2">
        <v>636.09</v>
      </c>
      <c r="M2792" s="3">
        <v>0.2</v>
      </c>
      <c r="N2792" t="s">
        <v>34</v>
      </c>
      <c r="O2792" s="2">
        <v>508.87</v>
      </c>
      <c r="P2792" s="2">
        <v>506.37</v>
      </c>
      <c r="Q2792" s="2">
        <v>2.5</v>
      </c>
      <c r="R2792">
        <v>1</v>
      </c>
      <c r="S2792">
        <v>0</v>
      </c>
      <c r="T2792">
        <v>2</v>
      </c>
      <c r="U2792">
        <v>5</v>
      </c>
    </row>
    <row r="2793" spans="1:21" ht="16.5" x14ac:dyDescent="0.3">
      <c r="A2793" t="s">
        <v>2881</v>
      </c>
      <c r="B2793" s="1">
        <v>45704</v>
      </c>
      <c r="C2793">
        <v>2025</v>
      </c>
      <c r="D2793" t="s">
        <v>22</v>
      </c>
      <c r="E2793" t="s">
        <v>242</v>
      </c>
      <c r="F2793" t="s">
        <v>31</v>
      </c>
      <c r="G2793" t="s">
        <v>65</v>
      </c>
      <c r="H2793" t="s">
        <v>32</v>
      </c>
      <c r="I2793" t="s">
        <v>42</v>
      </c>
      <c r="J2793" t="s">
        <v>43</v>
      </c>
      <c r="K2793">
        <v>2</v>
      </c>
      <c r="L2793" s="2">
        <v>154.66</v>
      </c>
      <c r="M2793" s="3">
        <v>0.05</v>
      </c>
      <c r="N2793" t="s">
        <v>29</v>
      </c>
      <c r="O2793" s="2">
        <v>293.85000000000002</v>
      </c>
      <c r="P2793" s="2">
        <v>190.23</v>
      </c>
      <c r="Q2793" s="2">
        <v>103.62</v>
      </c>
      <c r="R2793">
        <v>1</v>
      </c>
      <c r="S2793">
        <v>0</v>
      </c>
      <c r="T2793">
        <v>5</v>
      </c>
      <c r="U2793">
        <v>5</v>
      </c>
    </row>
    <row r="2794" spans="1:21" ht="16.5" x14ac:dyDescent="0.3">
      <c r="A2794" t="s">
        <v>2882</v>
      </c>
      <c r="B2794" s="1">
        <v>45705</v>
      </c>
      <c r="C2794">
        <v>2025</v>
      </c>
      <c r="D2794" t="s">
        <v>22</v>
      </c>
      <c r="E2794" t="s">
        <v>242</v>
      </c>
      <c r="F2794" t="s">
        <v>24</v>
      </c>
      <c r="G2794" t="s">
        <v>65</v>
      </c>
      <c r="H2794" t="s">
        <v>32</v>
      </c>
      <c r="I2794" t="s">
        <v>70</v>
      </c>
      <c r="J2794" t="s">
        <v>82</v>
      </c>
      <c r="K2794">
        <v>1</v>
      </c>
      <c r="L2794" s="2">
        <v>508.8</v>
      </c>
      <c r="M2794" s="3">
        <v>0</v>
      </c>
      <c r="N2794" t="s">
        <v>38</v>
      </c>
      <c r="O2794" s="2">
        <v>508.8</v>
      </c>
      <c r="P2794" s="2">
        <v>373.63</v>
      </c>
      <c r="Q2794" s="2">
        <v>135.16999999999999</v>
      </c>
      <c r="R2794">
        <v>1</v>
      </c>
      <c r="S2794">
        <v>0</v>
      </c>
      <c r="T2794">
        <v>7</v>
      </c>
      <c r="U2794">
        <v>4</v>
      </c>
    </row>
    <row r="2795" spans="1:21" ht="16.5" x14ac:dyDescent="0.3">
      <c r="A2795" t="s">
        <v>2883</v>
      </c>
      <c r="B2795" s="1">
        <v>45705</v>
      </c>
      <c r="C2795">
        <v>2025</v>
      </c>
      <c r="D2795" t="s">
        <v>22</v>
      </c>
      <c r="E2795" t="s">
        <v>242</v>
      </c>
      <c r="F2795" t="s">
        <v>45</v>
      </c>
      <c r="G2795" t="s">
        <v>25</v>
      </c>
      <c r="H2795" t="s">
        <v>26</v>
      </c>
      <c r="I2795" t="s">
        <v>42</v>
      </c>
      <c r="J2795" t="s">
        <v>98</v>
      </c>
      <c r="K2795">
        <v>1</v>
      </c>
      <c r="L2795" s="2">
        <v>117.63</v>
      </c>
      <c r="M2795" s="3">
        <v>0.15</v>
      </c>
      <c r="N2795" t="s">
        <v>34</v>
      </c>
      <c r="O2795" s="2">
        <v>99.99</v>
      </c>
      <c r="P2795" s="2">
        <v>78.91</v>
      </c>
      <c r="Q2795" s="2">
        <v>21.08</v>
      </c>
      <c r="R2795">
        <v>1</v>
      </c>
      <c r="S2795">
        <v>0</v>
      </c>
      <c r="T2795">
        <v>4</v>
      </c>
      <c r="U2795">
        <v>5</v>
      </c>
    </row>
    <row r="2796" spans="1:21" ht="16.5" x14ac:dyDescent="0.3">
      <c r="A2796" t="s">
        <v>2884</v>
      </c>
      <c r="B2796" s="1">
        <v>45705</v>
      </c>
      <c r="C2796">
        <v>2025</v>
      </c>
      <c r="D2796" t="s">
        <v>22</v>
      </c>
      <c r="E2796" t="s">
        <v>242</v>
      </c>
      <c r="F2796" t="s">
        <v>24</v>
      </c>
      <c r="G2796" t="s">
        <v>49</v>
      </c>
      <c r="H2796" t="s">
        <v>26</v>
      </c>
      <c r="I2796" t="s">
        <v>27</v>
      </c>
      <c r="J2796" t="s">
        <v>33</v>
      </c>
      <c r="K2796">
        <v>1</v>
      </c>
      <c r="L2796" s="2">
        <v>78.510000000000005</v>
      </c>
      <c r="M2796" s="3">
        <v>0</v>
      </c>
      <c r="N2796" t="s">
        <v>38</v>
      </c>
      <c r="O2796" s="2">
        <v>78.510000000000005</v>
      </c>
      <c r="P2796" s="2">
        <v>41.96</v>
      </c>
      <c r="Q2796" s="2">
        <v>36.549999999999997</v>
      </c>
      <c r="R2796">
        <v>1</v>
      </c>
      <c r="S2796">
        <v>0</v>
      </c>
      <c r="T2796">
        <v>4</v>
      </c>
      <c r="U2796">
        <v>5</v>
      </c>
    </row>
    <row r="2797" spans="1:21" ht="16.5" x14ac:dyDescent="0.3">
      <c r="A2797" t="s">
        <v>2885</v>
      </c>
      <c r="B2797" s="1">
        <v>45705</v>
      </c>
      <c r="C2797">
        <v>2025</v>
      </c>
      <c r="D2797" t="s">
        <v>22</v>
      </c>
      <c r="E2797" t="s">
        <v>242</v>
      </c>
      <c r="F2797" t="s">
        <v>24</v>
      </c>
      <c r="G2797" t="s">
        <v>51</v>
      </c>
      <c r="H2797" t="s">
        <v>32</v>
      </c>
      <c r="I2797" t="s">
        <v>42</v>
      </c>
      <c r="J2797" t="s">
        <v>43</v>
      </c>
      <c r="K2797">
        <v>1</v>
      </c>
      <c r="L2797" s="2">
        <v>154.66</v>
      </c>
      <c r="M2797" s="3">
        <v>0.05</v>
      </c>
      <c r="N2797" t="s">
        <v>29</v>
      </c>
      <c r="O2797" s="2">
        <v>146.93</v>
      </c>
      <c r="P2797" s="2">
        <v>102.18</v>
      </c>
      <c r="Q2797" s="2">
        <v>44.75</v>
      </c>
      <c r="R2797">
        <v>1</v>
      </c>
      <c r="S2797">
        <v>0</v>
      </c>
      <c r="T2797">
        <v>4</v>
      </c>
      <c r="U2797">
        <v>3</v>
      </c>
    </row>
    <row r="2798" spans="1:21" ht="16.5" x14ac:dyDescent="0.3">
      <c r="A2798" t="s">
        <v>2886</v>
      </c>
      <c r="B2798" s="1">
        <v>45705</v>
      </c>
      <c r="C2798">
        <v>2025</v>
      </c>
      <c r="D2798" t="s">
        <v>22</v>
      </c>
      <c r="E2798" t="s">
        <v>242</v>
      </c>
      <c r="F2798" t="s">
        <v>45</v>
      </c>
      <c r="G2798" t="s">
        <v>46</v>
      </c>
      <c r="H2798" t="s">
        <v>32</v>
      </c>
      <c r="I2798" t="s">
        <v>27</v>
      </c>
      <c r="J2798" t="s">
        <v>60</v>
      </c>
      <c r="K2798">
        <v>1</v>
      </c>
      <c r="L2798" s="2">
        <v>94.85</v>
      </c>
      <c r="M2798" s="3">
        <v>0.05</v>
      </c>
      <c r="N2798" t="s">
        <v>29</v>
      </c>
      <c r="O2798" s="2">
        <v>90.11</v>
      </c>
      <c r="P2798" s="2">
        <v>49.87</v>
      </c>
      <c r="Q2798" s="2">
        <v>40.24</v>
      </c>
      <c r="R2798">
        <v>1</v>
      </c>
      <c r="S2798">
        <v>0</v>
      </c>
      <c r="T2798">
        <v>5</v>
      </c>
      <c r="U2798">
        <v>4</v>
      </c>
    </row>
    <row r="2799" spans="1:21" ht="16.5" x14ac:dyDescent="0.3">
      <c r="A2799" t="s">
        <v>2887</v>
      </c>
      <c r="B2799" s="1">
        <v>45705</v>
      </c>
      <c r="C2799">
        <v>2025</v>
      </c>
      <c r="D2799" t="s">
        <v>22</v>
      </c>
      <c r="E2799" t="s">
        <v>242</v>
      </c>
      <c r="F2799" t="s">
        <v>45</v>
      </c>
      <c r="G2799" t="s">
        <v>51</v>
      </c>
      <c r="H2799" t="s">
        <v>32</v>
      </c>
      <c r="I2799" t="s">
        <v>70</v>
      </c>
      <c r="J2799" t="s">
        <v>252</v>
      </c>
      <c r="K2799">
        <v>4</v>
      </c>
      <c r="L2799" s="2">
        <v>216.08</v>
      </c>
      <c r="M2799" s="3">
        <v>0.3</v>
      </c>
      <c r="N2799" t="s">
        <v>62</v>
      </c>
      <c r="O2799" s="2">
        <v>605.02</v>
      </c>
      <c r="P2799" s="2">
        <v>712.44</v>
      </c>
      <c r="Q2799" s="2">
        <v>-107.42</v>
      </c>
      <c r="R2799">
        <v>1</v>
      </c>
      <c r="S2799">
        <v>0</v>
      </c>
      <c r="T2799">
        <v>3</v>
      </c>
      <c r="U2799">
        <v>4</v>
      </c>
    </row>
    <row r="2800" spans="1:21" ht="16.5" x14ac:dyDescent="0.3">
      <c r="A2800" t="s">
        <v>2888</v>
      </c>
      <c r="B2800" s="1">
        <v>45705</v>
      </c>
      <c r="C2800">
        <v>2025</v>
      </c>
      <c r="D2800" t="s">
        <v>22</v>
      </c>
      <c r="E2800" t="s">
        <v>242</v>
      </c>
      <c r="F2800" t="s">
        <v>24</v>
      </c>
      <c r="G2800" t="s">
        <v>65</v>
      </c>
      <c r="H2800" t="s">
        <v>26</v>
      </c>
      <c r="I2800" t="s">
        <v>27</v>
      </c>
      <c r="J2800" t="s">
        <v>60</v>
      </c>
      <c r="K2800">
        <v>2</v>
      </c>
      <c r="L2800" s="2">
        <v>94.85</v>
      </c>
      <c r="M2800" s="3">
        <v>0</v>
      </c>
      <c r="N2800" t="s">
        <v>38</v>
      </c>
      <c r="O2800" s="2">
        <v>189.7</v>
      </c>
      <c r="P2800" s="2">
        <v>105.28</v>
      </c>
      <c r="Q2800" s="2">
        <v>84.42</v>
      </c>
      <c r="R2800">
        <v>1</v>
      </c>
      <c r="S2800">
        <v>1</v>
      </c>
      <c r="T2800">
        <v>8</v>
      </c>
      <c r="U2800">
        <v>2</v>
      </c>
    </row>
    <row r="2801" spans="1:21" ht="16.5" x14ac:dyDescent="0.3">
      <c r="A2801" t="s">
        <v>2889</v>
      </c>
      <c r="B2801" s="1">
        <v>45706</v>
      </c>
      <c r="C2801">
        <v>2025</v>
      </c>
      <c r="D2801" t="s">
        <v>22</v>
      </c>
      <c r="E2801" t="s">
        <v>242</v>
      </c>
      <c r="F2801" t="s">
        <v>31</v>
      </c>
      <c r="G2801" t="s">
        <v>46</v>
      </c>
      <c r="H2801" t="s">
        <v>32</v>
      </c>
      <c r="I2801" t="s">
        <v>67</v>
      </c>
      <c r="J2801" t="s">
        <v>174</v>
      </c>
      <c r="K2801">
        <v>2</v>
      </c>
      <c r="L2801" s="2">
        <v>137.05000000000001</v>
      </c>
      <c r="M2801" s="3">
        <v>0.2</v>
      </c>
      <c r="N2801" t="s">
        <v>34</v>
      </c>
      <c r="O2801" s="2">
        <v>219.28</v>
      </c>
      <c r="P2801" s="2">
        <v>195.47</v>
      </c>
      <c r="Q2801" s="2">
        <v>23.81</v>
      </c>
      <c r="R2801">
        <v>1</v>
      </c>
      <c r="S2801">
        <v>0</v>
      </c>
      <c r="T2801">
        <v>8</v>
      </c>
      <c r="U2801">
        <v>3</v>
      </c>
    </row>
    <row r="2802" spans="1:21" ht="16.5" x14ac:dyDescent="0.3">
      <c r="A2802" t="s">
        <v>2890</v>
      </c>
      <c r="B2802" s="1">
        <v>45706</v>
      </c>
      <c r="C2802">
        <v>2025</v>
      </c>
      <c r="D2802" t="s">
        <v>22</v>
      </c>
      <c r="E2802" t="s">
        <v>242</v>
      </c>
      <c r="F2802" t="s">
        <v>24</v>
      </c>
      <c r="G2802" t="s">
        <v>25</v>
      </c>
      <c r="H2802" t="s">
        <v>32</v>
      </c>
      <c r="I2802" t="s">
        <v>36</v>
      </c>
      <c r="J2802" t="s">
        <v>37</v>
      </c>
      <c r="K2802">
        <v>2</v>
      </c>
      <c r="L2802" s="2">
        <v>33.18</v>
      </c>
      <c r="M2802" s="3">
        <v>0</v>
      </c>
      <c r="N2802" t="s">
        <v>38</v>
      </c>
      <c r="O2802" s="2">
        <v>66.36</v>
      </c>
      <c r="P2802" s="2">
        <v>31.8</v>
      </c>
      <c r="Q2802" s="2">
        <v>34.56</v>
      </c>
      <c r="R2802">
        <v>1</v>
      </c>
      <c r="S2802">
        <v>0</v>
      </c>
      <c r="T2802">
        <v>4</v>
      </c>
      <c r="U2802">
        <v>4</v>
      </c>
    </row>
    <row r="2803" spans="1:21" ht="16.5" x14ac:dyDescent="0.3">
      <c r="A2803" t="s">
        <v>2891</v>
      </c>
      <c r="B2803" s="1">
        <v>45706</v>
      </c>
      <c r="C2803">
        <v>2025</v>
      </c>
      <c r="D2803" t="s">
        <v>22</v>
      </c>
      <c r="E2803" t="s">
        <v>242</v>
      </c>
      <c r="F2803" t="s">
        <v>24</v>
      </c>
      <c r="G2803" t="s">
        <v>51</v>
      </c>
      <c r="H2803" t="s">
        <v>32</v>
      </c>
      <c r="I2803" t="s">
        <v>84</v>
      </c>
      <c r="J2803" t="s">
        <v>85</v>
      </c>
      <c r="K2803">
        <v>2</v>
      </c>
      <c r="L2803" s="2">
        <v>57.92</v>
      </c>
      <c r="M2803" s="3">
        <v>0.05</v>
      </c>
      <c r="N2803" t="s">
        <v>29</v>
      </c>
      <c r="O2803" s="2">
        <v>110.05</v>
      </c>
      <c r="P2803" s="2">
        <v>83.59</v>
      </c>
      <c r="Q2803" s="2">
        <v>26.46</v>
      </c>
      <c r="R2803">
        <v>1</v>
      </c>
      <c r="S2803">
        <v>0</v>
      </c>
      <c r="T2803">
        <v>3</v>
      </c>
      <c r="U2803">
        <v>5</v>
      </c>
    </row>
    <row r="2804" spans="1:21" ht="16.5" x14ac:dyDescent="0.3">
      <c r="A2804" t="s">
        <v>2892</v>
      </c>
      <c r="B2804" s="1">
        <v>45706</v>
      </c>
      <c r="C2804">
        <v>2025</v>
      </c>
      <c r="D2804" t="s">
        <v>22</v>
      </c>
      <c r="E2804" t="s">
        <v>242</v>
      </c>
      <c r="F2804" t="s">
        <v>31</v>
      </c>
      <c r="G2804" t="s">
        <v>49</v>
      </c>
      <c r="H2804" t="s">
        <v>26</v>
      </c>
      <c r="I2804" t="s">
        <v>67</v>
      </c>
      <c r="J2804" t="s">
        <v>174</v>
      </c>
      <c r="K2804">
        <v>2</v>
      </c>
      <c r="L2804" s="2">
        <v>137.05000000000001</v>
      </c>
      <c r="M2804" s="3">
        <v>0.1</v>
      </c>
      <c r="N2804" t="s">
        <v>29</v>
      </c>
      <c r="O2804" s="2">
        <v>246.69</v>
      </c>
      <c r="P2804" s="2">
        <v>196.4</v>
      </c>
      <c r="Q2804" s="2">
        <v>50.29</v>
      </c>
      <c r="R2804">
        <v>1</v>
      </c>
      <c r="S2804">
        <v>0</v>
      </c>
      <c r="T2804">
        <v>3</v>
      </c>
      <c r="U2804">
        <v>4</v>
      </c>
    </row>
    <row r="2805" spans="1:21" ht="16.5" x14ac:dyDescent="0.3">
      <c r="A2805" t="s">
        <v>2893</v>
      </c>
      <c r="B2805" s="1">
        <v>45707</v>
      </c>
      <c r="C2805">
        <v>2025</v>
      </c>
      <c r="D2805" t="s">
        <v>22</v>
      </c>
      <c r="E2805" t="s">
        <v>242</v>
      </c>
      <c r="F2805" t="s">
        <v>31</v>
      </c>
      <c r="G2805" t="s">
        <v>46</v>
      </c>
      <c r="H2805" t="s">
        <v>32</v>
      </c>
      <c r="I2805" t="s">
        <v>42</v>
      </c>
      <c r="J2805" t="s">
        <v>89</v>
      </c>
      <c r="K2805">
        <v>1</v>
      </c>
      <c r="L2805" s="2">
        <v>68.349999999999994</v>
      </c>
      <c r="M2805" s="3">
        <v>0.25</v>
      </c>
      <c r="N2805" t="s">
        <v>62</v>
      </c>
      <c r="O2805" s="2">
        <v>51.26</v>
      </c>
      <c r="P2805" s="2">
        <v>44.99</v>
      </c>
      <c r="Q2805" s="2">
        <v>6.27</v>
      </c>
      <c r="R2805">
        <v>1</v>
      </c>
      <c r="S2805">
        <v>0</v>
      </c>
      <c r="T2805">
        <v>6</v>
      </c>
      <c r="U2805">
        <v>3</v>
      </c>
    </row>
    <row r="2806" spans="1:21" ht="16.5" x14ac:dyDescent="0.3">
      <c r="A2806" t="s">
        <v>2894</v>
      </c>
      <c r="B2806" s="1">
        <v>45707</v>
      </c>
      <c r="C2806">
        <v>2025</v>
      </c>
      <c r="D2806" t="s">
        <v>22</v>
      </c>
      <c r="E2806" t="s">
        <v>242</v>
      </c>
      <c r="F2806" t="s">
        <v>24</v>
      </c>
      <c r="G2806" t="s">
        <v>25</v>
      </c>
      <c r="H2806" t="s">
        <v>26</v>
      </c>
      <c r="I2806" t="s">
        <v>84</v>
      </c>
      <c r="J2806" t="s">
        <v>96</v>
      </c>
      <c r="K2806">
        <v>2</v>
      </c>
      <c r="L2806" s="2">
        <v>10.76</v>
      </c>
      <c r="M2806" s="3">
        <v>0.05</v>
      </c>
      <c r="N2806" t="s">
        <v>29</v>
      </c>
      <c r="O2806" s="2">
        <v>20.440000000000001</v>
      </c>
      <c r="P2806" s="2">
        <v>15.56</v>
      </c>
      <c r="Q2806" s="2">
        <v>4.88</v>
      </c>
      <c r="R2806">
        <v>1</v>
      </c>
      <c r="S2806">
        <v>0</v>
      </c>
      <c r="T2806">
        <v>3</v>
      </c>
      <c r="U2806">
        <v>5</v>
      </c>
    </row>
    <row r="2807" spans="1:21" ht="16.5" x14ac:dyDescent="0.3">
      <c r="A2807" t="s">
        <v>2895</v>
      </c>
      <c r="B2807" s="1">
        <v>45708</v>
      </c>
      <c r="C2807">
        <v>2025</v>
      </c>
      <c r="D2807" t="s">
        <v>22</v>
      </c>
      <c r="E2807" t="s">
        <v>242</v>
      </c>
      <c r="F2807" t="s">
        <v>24</v>
      </c>
      <c r="G2807" t="s">
        <v>46</v>
      </c>
      <c r="H2807" t="s">
        <v>32</v>
      </c>
      <c r="I2807" t="s">
        <v>67</v>
      </c>
      <c r="J2807" t="s">
        <v>93</v>
      </c>
      <c r="K2807">
        <v>1</v>
      </c>
      <c r="L2807" s="2">
        <v>198.42</v>
      </c>
      <c r="M2807" s="3">
        <v>0</v>
      </c>
      <c r="N2807" t="s">
        <v>38</v>
      </c>
      <c r="O2807" s="2">
        <v>198.42</v>
      </c>
      <c r="P2807" s="2">
        <v>133.76</v>
      </c>
      <c r="Q2807" s="2">
        <v>64.66</v>
      </c>
      <c r="R2807">
        <v>1</v>
      </c>
      <c r="S2807">
        <v>0</v>
      </c>
      <c r="T2807">
        <v>5</v>
      </c>
      <c r="U2807">
        <v>4</v>
      </c>
    </row>
    <row r="2808" spans="1:21" ht="16.5" x14ac:dyDescent="0.3">
      <c r="A2808" t="s">
        <v>2896</v>
      </c>
      <c r="B2808" s="1">
        <v>45708</v>
      </c>
      <c r="C2808">
        <v>2025</v>
      </c>
      <c r="D2808" t="s">
        <v>22</v>
      </c>
      <c r="E2808" t="s">
        <v>242</v>
      </c>
      <c r="F2808" t="s">
        <v>24</v>
      </c>
      <c r="G2808" t="s">
        <v>49</v>
      </c>
      <c r="H2808" t="s">
        <v>32</v>
      </c>
      <c r="I2808" t="s">
        <v>70</v>
      </c>
      <c r="J2808" t="s">
        <v>129</v>
      </c>
      <c r="K2808">
        <v>2</v>
      </c>
      <c r="L2808" s="2">
        <v>177.65</v>
      </c>
      <c r="M2808" s="3">
        <v>0.05</v>
      </c>
      <c r="N2808" t="s">
        <v>29</v>
      </c>
      <c r="O2808" s="2">
        <v>337.54</v>
      </c>
      <c r="P2808" s="2">
        <v>278.70999999999998</v>
      </c>
      <c r="Q2808" s="2">
        <v>58.83</v>
      </c>
      <c r="R2808">
        <v>1</v>
      </c>
      <c r="S2808">
        <v>1</v>
      </c>
      <c r="T2808">
        <v>3</v>
      </c>
      <c r="U2808">
        <v>5</v>
      </c>
    </row>
    <row r="2809" spans="1:21" ht="16.5" x14ac:dyDescent="0.3">
      <c r="A2809" t="s">
        <v>2897</v>
      </c>
      <c r="B2809" s="1">
        <v>45708</v>
      </c>
      <c r="C2809">
        <v>2025</v>
      </c>
      <c r="D2809" t="s">
        <v>22</v>
      </c>
      <c r="E2809" t="s">
        <v>242</v>
      </c>
      <c r="F2809" t="s">
        <v>31</v>
      </c>
      <c r="G2809" t="s">
        <v>25</v>
      </c>
      <c r="H2809" t="s">
        <v>26</v>
      </c>
      <c r="I2809" t="s">
        <v>42</v>
      </c>
      <c r="J2809" t="s">
        <v>54</v>
      </c>
      <c r="K2809">
        <v>2</v>
      </c>
      <c r="L2809" s="2">
        <v>148.05000000000001</v>
      </c>
      <c r="M2809" s="3">
        <v>0.25</v>
      </c>
      <c r="N2809" t="s">
        <v>62</v>
      </c>
      <c r="O2809" s="2">
        <v>222.08</v>
      </c>
      <c r="P2809" s="2">
        <v>196.59</v>
      </c>
      <c r="Q2809" s="2">
        <v>25.49</v>
      </c>
      <c r="R2809">
        <v>1</v>
      </c>
      <c r="S2809">
        <v>0</v>
      </c>
      <c r="T2809">
        <v>5</v>
      </c>
      <c r="U2809">
        <v>5</v>
      </c>
    </row>
    <row r="2810" spans="1:21" ht="16.5" x14ac:dyDescent="0.3">
      <c r="A2810" t="s">
        <v>2898</v>
      </c>
      <c r="B2810" s="1">
        <v>45708</v>
      </c>
      <c r="C2810">
        <v>2025</v>
      </c>
      <c r="D2810" t="s">
        <v>22</v>
      </c>
      <c r="E2810" t="s">
        <v>242</v>
      </c>
      <c r="F2810" t="s">
        <v>31</v>
      </c>
      <c r="G2810" t="s">
        <v>51</v>
      </c>
      <c r="H2810" t="s">
        <v>32</v>
      </c>
      <c r="I2810" t="s">
        <v>67</v>
      </c>
      <c r="J2810" t="s">
        <v>103</v>
      </c>
      <c r="K2810">
        <v>1</v>
      </c>
      <c r="L2810" s="2">
        <v>83.06</v>
      </c>
      <c r="M2810" s="3">
        <v>0.05</v>
      </c>
      <c r="N2810" t="s">
        <v>29</v>
      </c>
      <c r="O2810" s="2">
        <v>78.91</v>
      </c>
      <c r="P2810" s="2">
        <v>56.87</v>
      </c>
      <c r="Q2810" s="2">
        <v>22.04</v>
      </c>
      <c r="R2810">
        <v>1</v>
      </c>
      <c r="S2810">
        <v>1</v>
      </c>
      <c r="T2810">
        <v>2</v>
      </c>
      <c r="U2810">
        <v>3</v>
      </c>
    </row>
    <row r="2811" spans="1:21" ht="16.5" x14ac:dyDescent="0.3">
      <c r="A2811" t="s">
        <v>2899</v>
      </c>
      <c r="B2811" s="1">
        <v>45708</v>
      </c>
      <c r="C2811">
        <v>2025</v>
      </c>
      <c r="D2811" t="s">
        <v>22</v>
      </c>
      <c r="E2811" t="s">
        <v>242</v>
      </c>
      <c r="F2811" t="s">
        <v>24</v>
      </c>
      <c r="G2811" t="s">
        <v>25</v>
      </c>
      <c r="H2811" t="s">
        <v>32</v>
      </c>
      <c r="I2811" t="s">
        <v>27</v>
      </c>
      <c r="J2811" t="s">
        <v>33</v>
      </c>
      <c r="K2811">
        <v>1</v>
      </c>
      <c r="L2811" s="2">
        <v>78.510000000000005</v>
      </c>
      <c r="M2811" s="3">
        <v>0.1</v>
      </c>
      <c r="N2811" t="s">
        <v>29</v>
      </c>
      <c r="O2811" s="2">
        <v>70.66</v>
      </c>
      <c r="P2811" s="2">
        <v>42.01</v>
      </c>
      <c r="Q2811" s="2">
        <v>28.65</v>
      </c>
      <c r="R2811">
        <v>1</v>
      </c>
      <c r="S2811">
        <v>0</v>
      </c>
      <c r="T2811">
        <v>4</v>
      </c>
      <c r="U2811">
        <v>4</v>
      </c>
    </row>
    <row r="2812" spans="1:21" ht="16.5" x14ac:dyDescent="0.3">
      <c r="A2812" t="s">
        <v>2900</v>
      </c>
      <c r="B2812" s="1">
        <v>45709</v>
      </c>
      <c r="C2812">
        <v>2025</v>
      </c>
      <c r="D2812" t="s">
        <v>22</v>
      </c>
      <c r="E2812" t="s">
        <v>242</v>
      </c>
      <c r="F2812" t="s">
        <v>31</v>
      </c>
      <c r="G2812" t="s">
        <v>25</v>
      </c>
      <c r="H2812" t="s">
        <v>32</v>
      </c>
      <c r="I2812" t="s">
        <v>70</v>
      </c>
      <c r="J2812" t="s">
        <v>87</v>
      </c>
      <c r="K2812">
        <v>3</v>
      </c>
      <c r="L2812" s="2">
        <v>490.3</v>
      </c>
      <c r="M2812" s="3">
        <v>0.1</v>
      </c>
      <c r="N2812" t="s">
        <v>29</v>
      </c>
      <c r="O2812" s="2">
        <v>1323.81</v>
      </c>
      <c r="P2812" s="2">
        <v>1195.71</v>
      </c>
      <c r="Q2812" s="2">
        <v>128.1</v>
      </c>
      <c r="R2812">
        <v>1</v>
      </c>
      <c r="S2812">
        <v>0</v>
      </c>
      <c r="T2812">
        <v>3</v>
      </c>
      <c r="U2812">
        <v>4</v>
      </c>
    </row>
    <row r="2813" spans="1:21" ht="16.5" x14ac:dyDescent="0.3">
      <c r="A2813" t="s">
        <v>2901</v>
      </c>
      <c r="B2813" s="1">
        <v>45709</v>
      </c>
      <c r="C2813">
        <v>2025</v>
      </c>
      <c r="D2813" t="s">
        <v>22</v>
      </c>
      <c r="E2813" t="s">
        <v>242</v>
      </c>
      <c r="F2813" t="s">
        <v>24</v>
      </c>
      <c r="G2813" t="s">
        <v>51</v>
      </c>
      <c r="H2813" t="s">
        <v>26</v>
      </c>
      <c r="I2813" t="s">
        <v>70</v>
      </c>
      <c r="J2813" t="s">
        <v>129</v>
      </c>
      <c r="K2813">
        <v>1</v>
      </c>
      <c r="L2813" s="2">
        <v>177.65</v>
      </c>
      <c r="M2813" s="3">
        <v>0</v>
      </c>
      <c r="N2813" t="s">
        <v>38</v>
      </c>
      <c r="O2813" s="2">
        <v>177.65</v>
      </c>
      <c r="P2813" s="2">
        <v>139.38</v>
      </c>
      <c r="Q2813" s="2">
        <v>38.270000000000003</v>
      </c>
      <c r="R2813">
        <v>1</v>
      </c>
      <c r="S2813">
        <v>0</v>
      </c>
      <c r="T2813">
        <v>3</v>
      </c>
      <c r="U2813">
        <v>5</v>
      </c>
    </row>
    <row r="2814" spans="1:21" ht="16.5" x14ac:dyDescent="0.3">
      <c r="A2814" t="s">
        <v>2902</v>
      </c>
      <c r="B2814" s="1">
        <v>45709</v>
      </c>
      <c r="C2814">
        <v>2025</v>
      </c>
      <c r="D2814" t="s">
        <v>22</v>
      </c>
      <c r="E2814" t="s">
        <v>242</v>
      </c>
      <c r="F2814" t="s">
        <v>45</v>
      </c>
      <c r="G2814" t="s">
        <v>49</v>
      </c>
      <c r="H2814" t="s">
        <v>32</v>
      </c>
      <c r="I2814" t="s">
        <v>42</v>
      </c>
      <c r="J2814" t="s">
        <v>43</v>
      </c>
      <c r="K2814">
        <v>1</v>
      </c>
      <c r="L2814" s="2">
        <v>154.66</v>
      </c>
      <c r="M2814" s="3">
        <v>0</v>
      </c>
      <c r="N2814" t="s">
        <v>38</v>
      </c>
      <c r="O2814" s="2">
        <v>154.66</v>
      </c>
      <c r="P2814" s="2">
        <v>105.2</v>
      </c>
      <c r="Q2814" s="2">
        <v>49.46</v>
      </c>
      <c r="R2814">
        <v>1</v>
      </c>
      <c r="S2814">
        <v>0</v>
      </c>
      <c r="T2814">
        <v>3</v>
      </c>
      <c r="U2814">
        <v>4</v>
      </c>
    </row>
    <row r="2815" spans="1:21" ht="16.5" x14ac:dyDescent="0.3">
      <c r="A2815" t="s">
        <v>2903</v>
      </c>
      <c r="B2815" s="1">
        <v>45710</v>
      </c>
      <c r="C2815">
        <v>2025</v>
      </c>
      <c r="D2815" t="s">
        <v>22</v>
      </c>
      <c r="E2815" t="s">
        <v>242</v>
      </c>
      <c r="F2815" t="s">
        <v>31</v>
      </c>
      <c r="G2815" t="s">
        <v>25</v>
      </c>
      <c r="H2815" t="s">
        <v>32</v>
      </c>
      <c r="I2815" t="s">
        <v>84</v>
      </c>
      <c r="J2815" t="s">
        <v>223</v>
      </c>
      <c r="K2815">
        <v>2</v>
      </c>
      <c r="L2815" s="2">
        <v>16.97</v>
      </c>
      <c r="M2815" s="3">
        <v>0.2</v>
      </c>
      <c r="N2815" t="s">
        <v>34</v>
      </c>
      <c r="O2815" s="2">
        <v>27.15</v>
      </c>
      <c r="P2815" s="2">
        <v>25.57</v>
      </c>
      <c r="Q2815" s="2">
        <v>1.58</v>
      </c>
      <c r="R2815">
        <v>1</v>
      </c>
      <c r="S2815">
        <v>0</v>
      </c>
      <c r="T2815">
        <v>3</v>
      </c>
      <c r="U2815">
        <v>5</v>
      </c>
    </row>
    <row r="2816" spans="1:21" ht="16.5" x14ac:dyDescent="0.3">
      <c r="A2816" t="s">
        <v>2904</v>
      </c>
      <c r="B2816" s="1">
        <v>45710</v>
      </c>
      <c r="C2816">
        <v>2025</v>
      </c>
      <c r="D2816" t="s">
        <v>22</v>
      </c>
      <c r="E2816" t="s">
        <v>242</v>
      </c>
      <c r="F2816" t="s">
        <v>31</v>
      </c>
      <c r="G2816" t="s">
        <v>49</v>
      </c>
      <c r="H2816" t="s">
        <v>32</v>
      </c>
      <c r="I2816" t="s">
        <v>36</v>
      </c>
      <c r="J2816" t="s">
        <v>37</v>
      </c>
      <c r="K2816">
        <v>1</v>
      </c>
      <c r="L2816" s="2">
        <v>33.18</v>
      </c>
      <c r="M2816" s="3">
        <v>0.3</v>
      </c>
      <c r="N2816" t="s">
        <v>62</v>
      </c>
      <c r="O2816" s="2">
        <v>23.23</v>
      </c>
      <c r="P2816" s="2">
        <v>15.63</v>
      </c>
      <c r="Q2816" s="2">
        <v>7.6</v>
      </c>
      <c r="R2816">
        <v>1</v>
      </c>
      <c r="S2816">
        <v>0</v>
      </c>
      <c r="T2816">
        <v>3</v>
      </c>
      <c r="U2816">
        <v>5</v>
      </c>
    </row>
    <row r="2817" spans="1:21" ht="16.5" x14ac:dyDescent="0.3">
      <c r="A2817" t="s">
        <v>2905</v>
      </c>
      <c r="B2817" s="1">
        <v>45710</v>
      </c>
      <c r="C2817">
        <v>2025</v>
      </c>
      <c r="D2817" t="s">
        <v>22</v>
      </c>
      <c r="E2817" t="s">
        <v>242</v>
      </c>
      <c r="F2817" t="s">
        <v>24</v>
      </c>
      <c r="G2817" t="s">
        <v>51</v>
      </c>
      <c r="H2817" t="s">
        <v>26</v>
      </c>
      <c r="I2817" t="s">
        <v>70</v>
      </c>
      <c r="J2817" t="s">
        <v>129</v>
      </c>
      <c r="K2817">
        <v>1</v>
      </c>
      <c r="L2817" s="2">
        <v>177.65</v>
      </c>
      <c r="M2817" s="3">
        <v>0.15</v>
      </c>
      <c r="N2817" t="s">
        <v>34</v>
      </c>
      <c r="O2817" s="2">
        <v>151</v>
      </c>
      <c r="P2817" s="2">
        <v>141.19</v>
      </c>
      <c r="Q2817" s="2">
        <v>9.81</v>
      </c>
      <c r="R2817">
        <v>1</v>
      </c>
      <c r="S2817">
        <v>0</v>
      </c>
      <c r="T2817">
        <v>3</v>
      </c>
      <c r="U2817">
        <v>5</v>
      </c>
    </row>
    <row r="2818" spans="1:21" ht="16.5" x14ac:dyDescent="0.3">
      <c r="A2818" t="s">
        <v>2906</v>
      </c>
      <c r="B2818" s="1">
        <v>45710</v>
      </c>
      <c r="C2818">
        <v>2025</v>
      </c>
      <c r="D2818" t="s">
        <v>22</v>
      </c>
      <c r="E2818" t="s">
        <v>242</v>
      </c>
      <c r="F2818" t="s">
        <v>31</v>
      </c>
      <c r="G2818" t="s">
        <v>65</v>
      </c>
      <c r="H2818" t="s">
        <v>32</v>
      </c>
      <c r="I2818" t="s">
        <v>70</v>
      </c>
      <c r="J2818" t="s">
        <v>162</v>
      </c>
      <c r="K2818">
        <v>1</v>
      </c>
      <c r="L2818" s="2">
        <v>636.09</v>
      </c>
      <c r="M2818" s="3">
        <v>0.05</v>
      </c>
      <c r="N2818" t="s">
        <v>29</v>
      </c>
      <c r="O2818" s="2">
        <v>604.29</v>
      </c>
      <c r="P2818" s="2">
        <v>499.36</v>
      </c>
      <c r="Q2818" s="2">
        <v>104.93</v>
      </c>
      <c r="R2818">
        <v>1</v>
      </c>
      <c r="S2818">
        <v>0</v>
      </c>
      <c r="T2818">
        <v>5</v>
      </c>
      <c r="U2818">
        <v>5</v>
      </c>
    </row>
    <row r="2819" spans="1:21" ht="16.5" x14ac:dyDescent="0.3">
      <c r="A2819" t="s">
        <v>2907</v>
      </c>
      <c r="B2819" s="1">
        <v>45710</v>
      </c>
      <c r="C2819">
        <v>2025</v>
      </c>
      <c r="D2819" t="s">
        <v>22</v>
      </c>
      <c r="E2819" t="s">
        <v>242</v>
      </c>
      <c r="F2819" t="s">
        <v>24</v>
      </c>
      <c r="G2819" t="s">
        <v>49</v>
      </c>
      <c r="H2819" t="s">
        <v>32</v>
      </c>
      <c r="I2819" t="s">
        <v>70</v>
      </c>
      <c r="J2819" t="s">
        <v>71</v>
      </c>
      <c r="K2819">
        <v>1</v>
      </c>
      <c r="L2819" s="2">
        <v>588.41</v>
      </c>
      <c r="M2819" s="3">
        <v>0.1</v>
      </c>
      <c r="N2819" t="s">
        <v>29</v>
      </c>
      <c r="O2819" s="2">
        <v>529.57000000000005</v>
      </c>
      <c r="P2819" s="2">
        <v>476.37</v>
      </c>
      <c r="Q2819" s="2">
        <v>53.2</v>
      </c>
      <c r="R2819">
        <v>1</v>
      </c>
      <c r="S2819">
        <v>1</v>
      </c>
      <c r="T2819">
        <v>3</v>
      </c>
      <c r="U2819">
        <v>3</v>
      </c>
    </row>
    <row r="2820" spans="1:21" ht="16.5" x14ac:dyDescent="0.3">
      <c r="A2820" t="s">
        <v>2908</v>
      </c>
      <c r="B2820" s="1">
        <v>45710</v>
      </c>
      <c r="C2820">
        <v>2025</v>
      </c>
      <c r="D2820" t="s">
        <v>22</v>
      </c>
      <c r="E2820" t="s">
        <v>242</v>
      </c>
      <c r="F2820" t="s">
        <v>31</v>
      </c>
      <c r="G2820" t="s">
        <v>65</v>
      </c>
      <c r="H2820" t="s">
        <v>26</v>
      </c>
      <c r="I2820" t="s">
        <v>84</v>
      </c>
      <c r="J2820" t="s">
        <v>85</v>
      </c>
      <c r="K2820">
        <v>2</v>
      </c>
      <c r="L2820" s="2">
        <v>57.92</v>
      </c>
      <c r="M2820" s="3">
        <v>0</v>
      </c>
      <c r="N2820" t="s">
        <v>38</v>
      </c>
      <c r="O2820" s="2">
        <v>115.84</v>
      </c>
      <c r="P2820" s="2">
        <v>80.680000000000007</v>
      </c>
      <c r="Q2820" s="2">
        <v>35.159999999999997</v>
      </c>
      <c r="R2820">
        <v>1</v>
      </c>
      <c r="S2820">
        <v>1</v>
      </c>
      <c r="T2820">
        <v>6</v>
      </c>
      <c r="U2820">
        <v>2</v>
      </c>
    </row>
    <row r="2821" spans="1:21" ht="16.5" x14ac:dyDescent="0.3">
      <c r="A2821" t="s">
        <v>2909</v>
      </c>
      <c r="B2821" s="1">
        <v>45710</v>
      </c>
      <c r="C2821">
        <v>2025</v>
      </c>
      <c r="D2821" t="s">
        <v>22</v>
      </c>
      <c r="E2821" t="s">
        <v>242</v>
      </c>
      <c r="F2821" t="s">
        <v>31</v>
      </c>
      <c r="G2821" t="s">
        <v>25</v>
      </c>
      <c r="H2821" t="s">
        <v>32</v>
      </c>
      <c r="I2821" t="s">
        <v>27</v>
      </c>
      <c r="J2821" t="s">
        <v>47</v>
      </c>
      <c r="K2821">
        <v>4</v>
      </c>
      <c r="L2821" s="2">
        <v>33.99</v>
      </c>
      <c r="M2821" s="3">
        <v>0.1</v>
      </c>
      <c r="N2821" t="s">
        <v>29</v>
      </c>
      <c r="O2821" s="2">
        <v>122.36</v>
      </c>
      <c r="P2821" s="2">
        <v>74.98</v>
      </c>
      <c r="Q2821" s="2">
        <v>47.38</v>
      </c>
      <c r="R2821">
        <v>1</v>
      </c>
      <c r="S2821">
        <v>0</v>
      </c>
      <c r="T2821">
        <v>5</v>
      </c>
      <c r="U2821">
        <v>4</v>
      </c>
    </row>
    <row r="2822" spans="1:21" ht="16.5" x14ac:dyDescent="0.3">
      <c r="A2822" t="s">
        <v>2910</v>
      </c>
      <c r="B2822" s="1">
        <v>45711</v>
      </c>
      <c r="C2822">
        <v>2025</v>
      </c>
      <c r="D2822" t="s">
        <v>22</v>
      </c>
      <c r="E2822" t="s">
        <v>242</v>
      </c>
      <c r="F2822" t="s">
        <v>31</v>
      </c>
      <c r="G2822" t="s">
        <v>51</v>
      </c>
      <c r="H2822" t="s">
        <v>26</v>
      </c>
      <c r="I2822" t="s">
        <v>42</v>
      </c>
      <c r="J2822" t="s">
        <v>98</v>
      </c>
      <c r="K2822">
        <v>4</v>
      </c>
      <c r="L2822" s="2">
        <v>117.63</v>
      </c>
      <c r="M2822" s="3">
        <v>0.3</v>
      </c>
      <c r="N2822" t="s">
        <v>62</v>
      </c>
      <c r="O2822" s="2">
        <v>329.36</v>
      </c>
      <c r="P2822" s="2">
        <v>313.33999999999997</v>
      </c>
      <c r="Q2822" s="2">
        <v>16.02</v>
      </c>
      <c r="R2822">
        <v>1</v>
      </c>
      <c r="S2822">
        <v>0</v>
      </c>
      <c r="T2822">
        <v>4</v>
      </c>
      <c r="U2822">
        <v>5</v>
      </c>
    </row>
    <row r="2823" spans="1:21" ht="16.5" x14ac:dyDescent="0.3">
      <c r="A2823" t="s">
        <v>2911</v>
      </c>
      <c r="B2823" s="1">
        <v>45711</v>
      </c>
      <c r="C2823">
        <v>2025</v>
      </c>
      <c r="D2823" t="s">
        <v>22</v>
      </c>
      <c r="E2823" t="s">
        <v>242</v>
      </c>
      <c r="F2823" t="s">
        <v>31</v>
      </c>
      <c r="G2823" t="s">
        <v>65</v>
      </c>
      <c r="H2823" t="s">
        <v>32</v>
      </c>
      <c r="I2823" t="s">
        <v>36</v>
      </c>
      <c r="J2823" t="s">
        <v>126</v>
      </c>
      <c r="K2823">
        <v>2</v>
      </c>
      <c r="L2823" s="2">
        <v>54.56</v>
      </c>
      <c r="M2823" s="3">
        <v>0.05</v>
      </c>
      <c r="N2823" t="s">
        <v>29</v>
      </c>
      <c r="O2823" s="2">
        <v>103.66</v>
      </c>
      <c r="P2823" s="2">
        <v>52.94</v>
      </c>
      <c r="Q2823" s="2">
        <v>50.72</v>
      </c>
      <c r="R2823">
        <v>1</v>
      </c>
      <c r="S2823">
        <v>0</v>
      </c>
      <c r="T2823">
        <v>7</v>
      </c>
      <c r="U2823">
        <v>4</v>
      </c>
    </row>
    <row r="2824" spans="1:21" ht="16.5" x14ac:dyDescent="0.3">
      <c r="A2824" t="s">
        <v>2912</v>
      </c>
      <c r="B2824" s="1">
        <v>45711</v>
      </c>
      <c r="C2824">
        <v>2025</v>
      </c>
      <c r="D2824" t="s">
        <v>22</v>
      </c>
      <c r="E2824" t="s">
        <v>242</v>
      </c>
      <c r="F2824" t="s">
        <v>24</v>
      </c>
      <c r="G2824" t="s">
        <v>49</v>
      </c>
      <c r="H2824" t="s">
        <v>32</v>
      </c>
      <c r="I2824" t="s">
        <v>27</v>
      </c>
      <c r="J2824" t="s">
        <v>110</v>
      </c>
      <c r="K2824">
        <v>3</v>
      </c>
      <c r="L2824" s="2">
        <v>19.41</v>
      </c>
      <c r="M2824" s="3">
        <v>0</v>
      </c>
      <c r="N2824" t="s">
        <v>38</v>
      </c>
      <c r="O2824" s="2">
        <v>58.23</v>
      </c>
      <c r="P2824" s="2">
        <v>32.03</v>
      </c>
      <c r="Q2824" s="2">
        <v>26.2</v>
      </c>
      <c r="R2824">
        <v>1</v>
      </c>
      <c r="S2824">
        <v>0</v>
      </c>
      <c r="T2824">
        <v>5</v>
      </c>
      <c r="U2824">
        <v>4</v>
      </c>
    </row>
    <row r="2825" spans="1:21" ht="16.5" x14ac:dyDescent="0.3">
      <c r="A2825" t="s">
        <v>2913</v>
      </c>
      <c r="B2825" s="1">
        <v>45711</v>
      </c>
      <c r="C2825">
        <v>2025</v>
      </c>
      <c r="D2825" t="s">
        <v>22</v>
      </c>
      <c r="E2825" t="s">
        <v>242</v>
      </c>
      <c r="F2825" t="s">
        <v>31</v>
      </c>
      <c r="G2825" t="s">
        <v>25</v>
      </c>
      <c r="H2825" t="s">
        <v>32</v>
      </c>
      <c r="I2825" t="s">
        <v>42</v>
      </c>
      <c r="J2825" t="s">
        <v>98</v>
      </c>
      <c r="K2825">
        <v>2</v>
      </c>
      <c r="L2825" s="2">
        <v>117.63</v>
      </c>
      <c r="M2825" s="3">
        <v>0.05</v>
      </c>
      <c r="N2825" t="s">
        <v>29</v>
      </c>
      <c r="O2825" s="2">
        <v>223.5</v>
      </c>
      <c r="P2825" s="2">
        <v>157.87</v>
      </c>
      <c r="Q2825" s="2">
        <v>65.63</v>
      </c>
      <c r="R2825">
        <v>1</v>
      </c>
      <c r="S2825">
        <v>0</v>
      </c>
      <c r="T2825">
        <v>4</v>
      </c>
      <c r="U2825">
        <v>5</v>
      </c>
    </row>
    <row r="2826" spans="1:21" ht="16.5" x14ac:dyDescent="0.3">
      <c r="A2826" t="s">
        <v>2914</v>
      </c>
      <c r="B2826" s="1">
        <v>45711</v>
      </c>
      <c r="C2826">
        <v>2025</v>
      </c>
      <c r="D2826" t="s">
        <v>22</v>
      </c>
      <c r="E2826" t="s">
        <v>242</v>
      </c>
      <c r="F2826" t="s">
        <v>24</v>
      </c>
      <c r="G2826" t="s">
        <v>51</v>
      </c>
      <c r="H2826" t="s">
        <v>26</v>
      </c>
      <c r="I2826" t="s">
        <v>84</v>
      </c>
      <c r="J2826" t="s">
        <v>132</v>
      </c>
      <c r="K2826">
        <v>1</v>
      </c>
      <c r="L2826" s="2">
        <v>48.86</v>
      </c>
      <c r="M2826" s="3">
        <v>0</v>
      </c>
      <c r="N2826" t="s">
        <v>38</v>
      </c>
      <c r="O2826" s="2">
        <v>48.86</v>
      </c>
      <c r="P2826" s="2">
        <v>34.5</v>
      </c>
      <c r="Q2826" s="2">
        <v>14.36</v>
      </c>
      <c r="R2826">
        <v>1</v>
      </c>
      <c r="S2826">
        <v>0</v>
      </c>
      <c r="T2826">
        <v>4</v>
      </c>
      <c r="U2826">
        <v>3</v>
      </c>
    </row>
    <row r="2827" spans="1:21" ht="16.5" x14ac:dyDescent="0.3">
      <c r="A2827" t="s">
        <v>2915</v>
      </c>
      <c r="B2827" s="1">
        <v>45711</v>
      </c>
      <c r="C2827">
        <v>2025</v>
      </c>
      <c r="D2827" t="s">
        <v>22</v>
      </c>
      <c r="E2827" t="s">
        <v>242</v>
      </c>
      <c r="F2827" t="s">
        <v>45</v>
      </c>
      <c r="G2827" t="s">
        <v>65</v>
      </c>
      <c r="H2827" t="s">
        <v>26</v>
      </c>
      <c r="I2827" t="s">
        <v>67</v>
      </c>
      <c r="J2827" t="s">
        <v>68</v>
      </c>
      <c r="K2827">
        <v>3</v>
      </c>
      <c r="L2827" s="2">
        <v>74.459999999999994</v>
      </c>
      <c r="M2827" s="3">
        <v>0.1</v>
      </c>
      <c r="N2827" t="s">
        <v>29</v>
      </c>
      <c r="O2827" s="2">
        <v>201.04</v>
      </c>
      <c r="P2827" s="2">
        <v>148.68</v>
      </c>
      <c r="Q2827" s="2">
        <v>52.36</v>
      </c>
      <c r="R2827">
        <v>1</v>
      </c>
      <c r="S2827">
        <v>0</v>
      </c>
      <c r="T2827">
        <v>5</v>
      </c>
      <c r="U2827">
        <v>4</v>
      </c>
    </row>
    <row r="2828" spans="1:21" ht="16.5" x14ac:dyDescent="0.3">
      <c r="A2828" t="s">
        <v>2916</v>
      </c>
      <c r="B2828" s="1">
        <v>45711</v>
      </c>
      <c r="C2828">
        <v>2025</v>
      </c>
      <c r="D2828" t="s">
        <v>22</v>
      </c>
      <c r="E2828" t="s">
        <v>242</v>
      </c>
      <c r="F2828" t="s">
        <v>24</v>
      </c>
      <c r="G2828" t="s">
        <v>51</v>
      </c>
      <c r="H2828" t="s">
        <v>32</v>
      </c>
      <c r="I2828" t="s">
        <v>67</v>
      </c>
      <c r="J2828" t="s">
        <v>103</v>
      </c>
      <c r="K2828">
        <v>1</v>
      </c>
      <c r="L2828" s="2">
        <v>83.06</v>
      </c>
      <c r="M2828" s="3">
        <v>0</v>
      </c>
      <c r="N2828" t="s">
        <v>38</v>
      </c>
      <c r="O2828" s="2">
        <v>83.06</v>
      </c>
      <c r="P2828" s="2">
        <v>54.69</v>
      </c>
      <c r="Q2828" s="2">
        <v>28.37</v>
      </c>
      <c r="R2828">
        <v>1</v>
      </c>
      <c r="S2828">
        <v>0</v>
      </c>
      <c r="T2828">
        <v>4</v>
      </c>
      <c r="U2828">
        <v>4</v>
      </c>
    </row>
    <row r="2829" spans="1:21" ht="16.5" x14ac:dyDescent="0.3">
      <c r="A2829" t="s">
        <v>2917</v>
      </c>
      <c r="B2829" s="1">
        <v>45711</v>
      </c>
      <c r="C2829">
        <v>2025</v>
      </c>
      <c r="D2829" t="s">
        <v>22</v>
      </c>
      <c r="E2829" t="s">
        <v>242</v>
      </c>
      <c r="F2829" t="s">
        <v>45</v>
      </c>
      <c r="G2829" t="s">
        <v>49</v>
      </c>
      <c r="H2829" t="s">
        <v>26</v>
      </c>
      <c r="I2829" t="s">
        <v>36</v>
      </c>
      <c r="J2829" t="s">
        <v>56</v>
      </c>
      <c r="K2829">
        <v>1</v>
      </c>
      <c r="L2829" s="2">
        <v>74.3</v>
      </c>
      <c r="M2829" s="3">
        <v>0.15</v>
      </c>
      <c r="N2829" t="s">
        <v>34</v>
      </c>
      <c r="O2829" s="2">
        <v>63.15</v>
      </c>
      <c r="P2829" s="2">
        <v>38.81</v>
      </c>
      <c r="Q2829" s="2">
        <v>24.34</v>
      </c>
      <c r="R2829">
        <v>1</v>
      </c>
      <c r="S2829">
        <v>0</v>
      </c>
      <c r="T2829">
        <v>3</v>
      </c>
      <c r="U2829">
        <v>4</v>
      </c>
    </row>
    <row r="2830" spans="1:21" ht="16.5" x14ac:dyDescent="0.3">
      <c r="A2830" t="s">
        <v>2918</v>
      </c>
      <c r="B2830" s="1">
        <v>45711</v>
      </c>
      <c r="C2830">
        <v>2025</v>
      </c>
      <c r="D2830" t="s">
        <v>22</v>
      </c>
      <c r="E2830" t="s">
        <v>242</v>
      </c>
      <c r="F2830" t="s">
        <v>31</v>
      </c>
      <c r="G2830" t="s">
        <v>25</v>
      </c>
      <c r="H2830" t="s">
        <v>26</v>
      </c>
      <c r="I2830" t="s">
        <v>84</v>
      </c>
      <c r="J2830" t="s">
        <v>96</v>
      </c>
      <c r="K2830">
        <v>2</v>
      </c>
      <c r="L2830" s="2">
        <v>10.76</v>
      </c>
      <c r="M2830" s="3">
        <v>0.2</v>
      </c>
      <c r="N2830" t="s">
        <v>34</v>
      </c>
      <c r="O2830" s="2">
        <v>17.22</v>
      </c>
      <c r="P2830" s="2">
        <v>15.93</v>
      </c>
      <c r="Q2830" s="2">
        <v>1.29</v>
      </c>
      <c r="R2830">
        <v>1</v>
      </c>
      <c r="S2830">
        <v>0</v>
      </c>
      <c r="T2830">
        <v>3</v>
      </c>
      <c r="U2830">
        <v>4</v>
      </c>
    </row>
    <row r="2831" spans="1:21" ht="16.5" x14ac:dyDescent="0.3">
      <c r="A2831" t="s">
        <v>2919</v>
      </c>
      <c r="B2831" s="1">
        <v>45711</v>
      </c>
      <c r="C2831">
        <v>2025</v>
      </c>
      <c r="D2831" t="s">
        <v>22</v>
      </c>
      <c r="E2831" t="s">
        <v>242</v>
      </c>
      <c r="F2831" t="s">
        <v>24</v>
      </c>
      <c r="G2831" t="s">
        <v>49</v>
      </c>
      <c r="H2831" t="s">
        <v>32</v>
      </c>
      <c r="I2831" t="s">
        <v>42</v>
      </c>
      <c r="J2831" t="s">
        <v>76</v>
      </c>
      <c r="K2831">
        <v>2</v>
      </c>
      <c r="L2831" s="2">
        <v>90.75</v>
      </c>
      <c r="M2831" s="3">
        <v>0.05</v>
      </c>
      <c r="N2831" t="s">
        <v>29</v>
      </c>
      <c r="O2831" s="2">
        <v>172.42</v>
      </c>
      <c r="P2831" s="2">
        <v>117.92</v>
      </c>
      <c r="Q2831" s="2">
        <v>54.5</v>
      </c>
      <c r="R2831">
        <v>1</v>
      </c>
      <c r="S2831">
        <v>0</v>
      </c>
      <c r="T2831">
        <v>4</v>
      </c>
      <c r="U2831">
        <v>5</v>
      </c>
    </row>
    <row r="2832" spans="1:21" ht="16.5" x14ac:dyDescent="0.3">
      <c r="A2832" t="s">
        <v>2920</v>
      </c>
      <c r="B2832" s="1">
        <v>45711</v>
      </c>
      <c r="C2832">
        <v>2025</v>
      </c>
      <c r="D2832" t="s">
        <v>22</v>
      </c>
      <c r="E2832" t="s">
        <v>242</v>
      </c>
      <c r="F2832" t="s">
        <v>31</v>
      </c>
      <c r="G2832" t="s">
        <v>51</v>
      </c>
      <c r="H2832" t="s">
        <v>32</v>
      </c>
      <c r="I2832" t="s">
        <v>67</v>
      </c>
      <c r="J2832" t="s">
        <v>78</v>
      </c>
      <c r="K2832">
        <v>1</v>
      </c>
      <c r="L2832" s="2">
        <v>85.42</v>
      </c>
      <c r="M2832" s="3">
        <v>0</v>
      </c>
      <c r="N2832" t="s">
        <v>38</v>
      </c>
      <c r="O2832" s="2">
        <v>85.42</v>
      </c>
      <c r="P2832" s="2">
        <v>59.29</v>
      </c>
      <c r="Q2832" s="2">
        <v>26.13</v>
      </c>
      <c r="R2832">
        <v>1</v>
      </c>
      <c r="S2832">
        <v>0</v>
      </c>
      <c r="T2832">
        <v>4</v>
      </c>
      <c r="U2832">
        <v>4</v>
      </c>
    </row>
    <row r="2833" spans="1:21" ht="16.5" x14ac:dyDescent="0.3">
      <c r="A2833" t="s">
        <v>2921</v>
      </c>
      <c r="B2833" s="1">
        <v>45712</v>
      </c>
      <c r="C2833">
        <v>2025</v>
      </c>
      <c r="D2833" t="s">
        <v>22</v>
      </c>
      <c r="E2833" t="s">
        <v>242</v>
      </c>
      <c r="F2833" t="s">
        <v>24</v>
      </c>
      <c r="G2833" t="s">
        <v>25</v>
      </c>
      <c r="H2833" t="s">
        <v>32</v>
      </c>
      <c r="I2833" t="s">
        <v>70</v>
      </c>
      <c r="J2833" t="s">
        <v>87</v>
      </c>
      <c r="K2833">
        <v>1</v>
      </c>
      <c r="L2833" s="2">
        <v>490.3</v>
      </c>
      <c r="M2833" s="3">
        <v>0.15</v>
      </c>
      <c r="N2833" t="s">
        <v>34</v>
      </c>
      <c r="O2833" s="2">
        <v>416.76</v>
      </c>
      <c r="P2833" s="2">
        <v>432.86</v>
      </c>
      <c r="Q2833" s="2">
        <v>-16.100000000000001</v>
      </c>
      <c r="R2833">
        <v>1</v>
      </c>
      <c r="S2833">
        <v>0</v>
      </c>
      <c r="T2833">
        <v>4</v>
      </c>
      <c r="U2833">
        <v>4</v>
      </c>
    </row>
    <row r="2834" spans="1:21" ht="16.5" x14ac:dyDescent="0.3">
      <c r="A2834" t="s">
        <v>2922</v>
      </c>
      <c r="B2834" s="1">
        <v>45712</v>
      </c>
      <c r="C2834">
        <v>2025</v>
      </c>
      <c r="D2834" t="s">
        <v>22</v>
      </c>
      <c r="E2834" t="s">
        <v>242</v>
      </c>
      <c r="F2834" t="s">
        <v>31</v>
      </c>
      <c r="G2834" t="s">
        <v>51</v>
      </c>
      <c r="H2834" t="s">
        <v>32</v>
      </c>
      <c r="I2834" t="s">
        <v>42</v>
      </c>
      <c r="J2834" t="s">
        <v>98</v>
      </c>
      <c r="K2834">
        <v>3</v>
      </c>
      <c r="L2834" s="2">
        <v>117.63</v>
      </c>
      <c r="M2834" s="3">
        <v>0</v>
      </c>
      <c r="N2834" t="s">
        <v>38</v>
      </c>
      <c r="O2834" s="2">
        <v>352.89</v>
      </c>
      <c r="P2834" s="2">
        <v>239.03</v>
      </c>
      <c r="Q2834" s="2">
        <v>113.86</v>
      </c>
      <c r="R2834">
        <v>1</v>
      </c>
      <c r="S2834">
        <v>0</v>
      </c>
      <c r="T2834">
        <v>2</v>
      </c>
      <c r="U2834">
        <v>4</v>
      </c>
    </row>
    <row r="2835" spans="1:21" ht="16.5" x14ac:dyDescent="0.3">
      <c r="A2835" t="s">
        <v>2923</v>
      </c>
      <c r="B2835" s="1">
        <v>45712</v>
      </c>
      <c r="C2835">
        <v>2025</v>
      </c>
      <c r="D2835" t="s">
        <v>22</v>
      </c>
      <c r="E2835" t="s">
        <v>242</v>
      </c>
      <c r="F2835" t="s">
        <v>45</v>
      </c>
      <c r="G2835" t="s">
        <v>25</v>
      </c>
      <c r="H2835" t="s">
        <v>26</v>
      </c>
      <c r="I2835" t="s">
        <v>42</v>
      </c>
      <c r="J2835" t="s">
        <v>58</v>
      </c>
      <c r="K2835">
        <v>1</v>
      </c>
      <c r="L2835" s="2">
        <v>233.81</v>
      </c>
      <c r="M2835" s="3">
        <v>0.2</v>
      </c>
      <c r="N2835" t="s">
        <v>34</v>
      </c>
      <c r="O2835" s="2">
        <v>187.05</v>
      </c>
      <c r="P2835" s="2">
        <v>152</v>
      </c>
      <c r="Q2835" s="2">
        <v>35.049999999999997</v>
      </c>
      <c r="R2835">
        <v>1</v>
      </c>
      <c r="S2835">
        <v>0</v>
      </c>
      <c r="T2835">
        <v>4</v>
      </c>
      <c r="U2835">
        <v>5</v>
      </c>
    </row>
    <row r="2836" spans="1:21" ht="16.5" x14ac:dyDescent="0.3">
      <c r="A2836" t="s">
        <v>2924</v>
      </c>
      <c r="B2836" s="1">
        <v>45713</v>
      </c>
      <c r="C2836">
        <v>2025</v>
      </c>
      <c r="D2836" t="s">
        <v>22</v>
      </c>
      <c r="E2836" t="s">
        <v>242</v>
      </c>
      <c r="F2836" t="s">
        <v>45</v>
      </c>
      <c r="G2836" t="s">
        <v>65</v>
      </c>
      <c r="H2836" t="s">
        <v>32</v>
      </c>
      <c r="I2836" t="s">
        <v>70</v>
      </c>
      <c r="J2836" t="s">
        <v>129</v>
      </c>
      <c r="K2836">
        <v>1</v>
      </c>
      <c r="L2836" s="2">
        <v>177.65</v>
      </c>
      <c r="M2836" s="3">
        <v>0.1</v>
      </c>
      <c r="N2836" t="s">
        <v>29</v>
      </c>
      <c r="O2836" s="2">
        <v>159.88999999999999</v>
      </c>
      <c r="P2836" s="2">
        <v>140.59</v>
      </c>
      <c r="Q2836" s="2">
        <v>19.3</v>
      </c>
      <c r="R2836">
        <v>1</v>
      </c>
      <c r="S2836">
        <v>0</v>
      </c>
      <c r="T2836">
        <v>6</v>
      </c>
      <c r="U2836">
        <v>4</v>
      </c>
    </row>
    <row r="2837" spans="1:21" ht="16.5" x14ac:dyDescent="0.3">
      <c r="A2837" t="s">
        <v>2925</v>
      </c>
      <c r="B2837" s="1">
        <v>45713</v>
      </c>
      <c r="C2837">
        <v>2025</v>
      </c>
      <c r="D2837" t="s">
        <v>22</v>
      </c>
      <c r="E2837" t="s">
        <v>242</v>
      </c>
      <c r="F2837" t="s">
        <v>24</v>
      </c>
      <c r="G2837" t="s">
        <v>25</v>
      </c>
      <c r="H2837" t="s">
        <v>26</v>
      </c>
      <c r="I2837" t="s">
        <v>27</v>
      </c>
      <c r="J2837" t="s">
        <v>47</v>
      </c>
      <c r="K2837">
        <v>1</v>
      </c>
      <c r="L2837" s="2">
        <v>33.99</v>
      </c>
      <c r="M2837" s="3">
        <v>0</v>
      </c>
      <c r="N2837" t="s">
        <v>38</v>
      </c>
      <c r="O2837" s="2">
        <v>33.99</v>
      </c>
      <c r="P2837" s="2">
        <v>18.57</v>
      </c>
      <c r="Q2837" s="2">
        <v>15.42</v>
      </c>
      <c r="R2837">
        <v>1</v>
      </c>
      <c r="S2837">
        <v>0</v>
      </c>
      <c r="T2837">
        <v>5</v>
      </c>
      <c r="U2837">
        <v>5</v>
      </c>
    </row>
    <row r="2838" spans="1:21" ht="16.5" x14ac:dyDescent="0.3">
      <c r="A2838" t="s">
        <v>2926</v>
      </c>
      <c r="B2838" s="1">
        <v>45713</v>
      </c>
      <c r="C2838">
        <v>2025</v>
      </c>
      <c r="D2838" t="s">
        <v>22</v>
      </c>
      <c r="E2838" t="s">
        <v>242</v>
      </c>
      <c r="F2838" t="s">
        <v>24</v>
      </c>
      <c r="G2838" t="s">
        <v>51</v>
      </c>
      <c r="H2838" t="s">
        <v>26</v>
      </c>
      <c r="I2838" t="s">
        <v>36</v>
      </c>
      <c r="J2838" t="s">
        <v>56</v>
      </c>
      <c r="K2838">
        <v>2</v>
      </c>
      <c r="L2838" s="2">
        <v>74.3</v>
      </c>
      <c r="M2838" s="3">
        <v>0.05</v>
      </c>
      <c r="N2838" t="s">
        <v>29</v>
      </c>
      <c r="O2838" s="2">
        <v>141.16999999999999</v>
      </c>
      <c r="P2838" s="2">
        <v>75.59</v>
      </c>
      <c r="Q2838" s="2">
        <v>65.58</v>
      </c>
      <c r="R2838">
        <v>1</v>
      </c>
      <c r="S2838">
        <v>0</v>
      </c>
      <c r="T2838">
        <v>3</v>
      </c>
      <c r="U2838">
        <v>5</v>
      </c>
    </row>
    <row r="2839" spans="1:21" ht="16.5" x14ac:dyDescent="0.3">
      <c r="A2839" t="s">
        <v>2927</v>
      </c>
      <c r="B2839" s="1">
        <v>45713</v>
      </c>
      <c r="C2839">
        <v>2025</v>
      </c>
      <c r="D2839" t="s">
        <v>22</v>
      </c>
      <c r="E2839" t="s">
        <v>242</v>
      </c>
      <c r="F2839" t="s">
        <v>31</v>
      </c>
      <c r="G2839" t="s">
        <v>65</v>
      </c>
      <c r="H2839" t="s">
        <v>26</v>
      </c>
      <c r="I2839" t="s">
        <v>67</v>
      </c>
      <c r="J2839" t="s">
        <v>78</v>
      </c>
      <c r="K2839">
        <v>1</v>
      </c>
      <c r="L2839" s="2">
        <v>85.42</v>
      </c>
      <c r="M2839" s="3">
        <v>0.05</v>
      </c>
      <c r="N2839" t="s">
        <v>29</v>
      </c>
      <c r="O2839" s="2">
        <v>81.150000000000006</v>
      </c>
      <c r="P2839" s="2">
        <v>56.86</v>
      </c>
      <c r="Q2839" s="2">
        <v>24.29</v>
      </c>
      <c r="R2839">
        <v>1</v>
      </c>
      <c r="S2839">
        <v>0</v>
      </c>
      <c r="T2839">
        <v>9</v>
      </c>
      <c r="U2839">
        <v>4</v>
      </c>
    </row>
    <row r="2840" spans="1:21" ht="16.5" x14ac:dyDescent="0.3">
      <c r="A2840" t="s">
        <v>2928</v>
      </c>
      <c r="B2840" s="1">
        <v>45714</v>
      </c>
      <c r="C2840">
        <v>2025</v>
      </c>
      <c r="D2840" t="s">
        <v>22</v>
      </c>
      <c r="E2840" t="s">
        <v>242</v>
      </c>
      <c r="F2840" t="s">
        <v>31</v>
      </c>
      <c r="G2840" t="s">
        <v>49</v>
      </c>
      <c r="H2840" t="s">
        <v>32</v>
      </c>
      <c r="I2840" t="s">
        <v>70</v>
      </c>
      <c r="J2840" t="s">
        <v>82</v>
      </c>
      <c r="K2840">
        <v>1</v>
      </c>
      <c r="L2840" s="2">
        <v>508.8</v>
      </c>
      <c r="M2840" s="3">
        <v>0.2</v>
      </c>
      <c r="N2840" t="s">
        <v>34</v>
      </c>
      <c r="O2840" s="2">
        <v>407.04</v>
      </c>
      <c r="P2840" s="2">
        <v>414.42</v>
      </c>
      <c r="Q2840" s="2">
        <v>-7.38</v>
      </c>
      <c r="R2840">
        <v>1</v>
      </c>
      <c r="S2840">
        <v>0</v>
      </c>
      <c r="T2840">
        <v>3</v>
      </c>
      <c r="U2840">
        <v>5</v>
      </c>
    </row>
    <row r="2841" spans="1:21" ht="16.5" x14ac:dyDescent="0.3">
      <c r="A2841" t="s">
        <v>2929</v>
      </c>
      <c r="B2841" s="1">
        <v>45714</v>
      </c>
      <c r="C2841">
        <v>2025</v>
      </c>
      <c r="D2841" t="s">
        <v>22</v>
      </c>
      <c r="E2841" t="s">
        <v>242</v>
      </c>
      <c r="F2841" t="s">
        <v>24</v>
      </c>
      <c r="G2841" t="s">
        <v>46</v>
      </c>
      <c r="H2841" t="s">
        <v>26</v>
      </c>
      <c r="I2841" t="s">
        <v>84</v>
      </c>
      <c r="J2841" t="s">
        <v>106</v>
      </c>
      <c r="K2841">
        <v>1</v>
      </c>
      <c r="L2841" s="2">
        <v>45.28</v>
      </c>
      <c r="M2841" s="3">
        <v>0.1</v>
      </c>
      <c r="N2841" t="s">
        <v>29</v>
      </c>
      <c r="O2841" s="2">
        <v>40.75</v>
      </c>
      <c r="P2841" s="2">
        <v>32.840000000000003</v>
      </c>
      <c r="Q2841" s="2">
        <v>7.91</v>
      </c>
      <c r="R2841">
        <v>1</v>
      </c>
      <c r="S2841">
        <v>0</v>
      </c>
      <c r="T2841">
        <v>5</v>
      </c>
      <c r="U2841">
        <v>4</v>
      </c>
    </row>
    <row r="2842" spans="1:21" ht="16.5" x14ac:dyDescent="0.3">
      <c r="A2842" t="s">
        <v>2930</v>
      </c>
      <c r="B2842" s="1">
        <v>45714</v>
      </c>
      <c r="C2842">
        <v>2025</v>
      </c>
      <c r="D2842" t="s">
        <v>22</v>
      </c>
      <c r="E2842" t="s">
        <v>242</v>
      </c>
      <c r="F2842" t="s">
        <v>31</v>
      </c>
      <c r="G2842" t="s">
        <v>49</v>
      </c>
      <c r="H2842" t="s">
        <v>32</v>
      </c>
      <c r="I2842" t="s">
        <v>27</v>
      </c>
      <c r="J2842" t="s">
        <v>110</v>
      </c>
      <c r="K2842">
        <v>1</v>
      </c>
      <c r="L2842" s="2">
        <v>19.41</v>
      </c>
      <c r="M2842" s="3">
        <v>0.05</v>
      </c>
      <c r="N2842" t="s">
        <v>29</v>
      </c>
      <c r="O2842" s="2">
        <v>18.440000000000001</v>
      </c>
      <c r="P2842" s="2">
        <v>10.4</v>
      </c>
      <c r="Q2842" s="2">
        <v>8.0399999999999991</v>
      </c>
      <c r="R2842">
        <v>1</v>
      </c>
      <c r="S2842">
        <v>0</v>
      </c>
      <c r="T2842">
        <v>4</v>
      </c>
      <c r="U2842">
        <v>4</v>
      </c>
    </row>
    <row r="2843" spans="1:21" ht="16.5" x14ac:dyDescent="0.3">
      <c r="A2843" t="s">
        <v>2931</v>
      </c>
      <c r="B2843" s="1">
        <v>45714</v>
      </c>
      <c r="C2843">
        <v>2025</v>
      </c>
      <c r="D2843" t="s">
        <v>22</v>
      </c>
      <c r="E2843" t="s">
        <v>242</v>
      </c>
      <c r="F2843" t="s">
        <v>45</v>
      </c>
      <c r="G2843" t="s">
        <v>49</v>
      </c>
      <c r="H2843" t="s">
        <v>32</v>
      </c>
      <c r="I2843" t="s">
        <v>42</v>
      </c>
      <c r="J2843" t="s">
        <v>54</v>
      </c>
      <c r="K2843">
        <v>4</v>
      </c>
      <c r="L2843" s="2">
        <v>148.05000000000001</v>
      </c>
      <c r="M2843" s="3">
        <v>0.05</v>
      </c>
      <c r="N2843" t="s">
        <v>29</v>
      </c>
      <c r="O2843" s="2">
        <v>562.59</v>
      </c>
      <c r="P2843" s="2">
        <v>385.24</v>
      </c>
      <c r="Q2843" s="2">
        <v>177.35</v>
      </c>
      <c r="R2843">
        <v>1</v>
      </c>
      <c r="S2843">
        <v>0</v>
      </c>
      <c r="T2843">
        <v>3</v>
      </c>
      <c r="U2843">
        <v>5</v>
      </c>
    </row>
    <row r="2844" spans="1:21" ht="16.5" x14ac:dyDescent="0.3">
      <c r="A2844" t="s">
        <v>2932</v>
      </c>
      <c r="B2844" s="1">
        <v>45714</v>
      </c>
      <c r="C2844">
        <v>2025</v>
      </c>
      <c r="D2844" t="s">
        <v>22</v>
      </c>
      <c r="E2844" t="s">
        <v>242</v>
      </c>
      <c r="F2844" t="s">
        <v>24</v>
      </c>
      <c r="G2844" t="s">
        <v>49</v>
      </c>
      <c r="H2844" t="s">
        <v>26</v>
      </c>
      <c r="I2844" t="s">
        <v>27</v>
      </c>
      <c r="J2844" t="s">
        <v>28</v>
      </c>
      <c r="K2844">
        <v>2</v>
      </c>
      <c r="L2844" s="2">
        <v>138.5</v>
      </c>
      <c r="M2844" s="3">
        <v>0.05</v>
      </c>
      <c r="N2844" t="s">
        <v>29</v>
      </c>
      <c r="O2844" s="2">
        <v>263.14999999999998</v>
      </c>
      <c r="P2844" s="2">
        <v>150.62</v>
      </c>
      <c r="Q2844" s="2">
        <v>112.53</v>
      </c>
      <c r="R2844">
        <v>1</v>
      </c>
      <c r="S2844">
        <v>0</v>
      </c>
      <c r="T2844">
        <v>6</v>
      </c>
      <c r="U2844">
        <v>4</v>
      </c>
    </row>
    <row r="2845" spans="1:21" ht="16.5" x14ac:dyDescent="0.3">
      <c r="A2845" t="s">
        <v>2933</v>
      </c>
      <c r="B2845" s="1">
        <v>45714</v>
      </c>
      <c r="C2845">
        <v>2025</v>
      </c>
      <c r="D2845" t="s">
        <v>22</v>
      </c>
      <c r="E2845" t="s">
        <v>242</v>
      </c>
      <c r="F2845" t="s">
        <v>31</v>
      </c>
      <c r="G2845" t="s">
        <v>46</v>
      </c>
      <c r="H2845" t="s">
        <v>26</v>
      </c>
      <c r="I2845" t="s">
        <v>42</v>
      </c>
      <c r="J2845" t="s">
        <v>98</v>
      </c>
      <c r="K2845">
        <v>1</v>
      </c>
      <c r="L2845" s="2">
        <v>117.63</v>
      </c>
      <c r="M2845" s="3">
        <v>0</v>
      </c>
      <c r="N2845" t="s">
        <v>38</v>
      </c>
      <c r="O2845" s="2">
        <v>117.63</v>
      </c>
      <c r="P2845" s="2">
        <v>77.739999999999995</v>
      </c>
      <c r="Q2845" s="2">
        <v>39.89</v>
      </c>
      <c r="R2845">
        <v>1</v>
      </c>
      <c r="S2845">
        <v>0</v>
      </c>
      <c r="T2845">
        <v>7</v>
      </c>
      <c r="U2845">
        <v>4</v>
      </c>
    </row>
    <row r="2846" spans="1:21" ht="16.5" x14ac:dyDescent="0.3">
      <c r="A2846" t="s">
        <v>2934</v>
      </c>
      <c r="B2846" s="1">
        <v>45714</v>
      </c>
      <c r="C2846">
        <v>2025</v>
      </c>
      <c r="D2846" t="s">
        <v>22</v>
      </c>
      <c r="E2846" t="s">
        <v>242</v>
      </c>
      <c r="F2846" t="s">
        <v>24</v>
      </c>
      <c r="G2846" t="s">
        <v>49</v>
      </c>
      <c r="H2846" t="s">
        <v>32</v>
      </c>
      <c r="I2846" t="s">
        <v>70</v>
      </c>
      <c r="J2846" t="s">
        <v>87</v>
      </c>
      <c r="K2846">
        <v>1</v>
      </c>
      <c r="L2846" s="2">
        <v>490.3</v>
      </c>
      <c r="M2846" s="3">
        <v>0.2</v>
      </c>
      <c r="N2846" t="s">
        <v>34</v>
      </c>
      <c r="O2846" s="2">
        <v>392.24</v>
      </c>
      <c r="P2846" s="2">
        <v>398.94</v>
      </c>
      <c r="Q2846" s="2">
        <v>-6.7</v>
      </c>
      <c r="R2846">
        <v>1</v>
      </c>
      <c r="S2846">
        <v>0</v>
      </c>
      <c r="T2846">
        <v>6</v>
      </c>
      <c r="U2846">
        <v>3</v>
      </c>
    </row>
    <row r="2847" spans="1:21" ht="16.5" x14ac:dyDescent="0.3">
      <c r="A2847" t="s">
        <v>2935</v>
      </c>
      <c r="B2847" s="1">
        <v>45715</v>
      </c>
      <c r="C2847">
        <v>2025</v>
      </c>
      <c r="D2847" t="s">
        <v>22</v>
      </c>
      <c r="E2847" t="s">
        <v>242</v>
      </c>
      <c r="F2847" t="s">
        <v>31</v>
      </c>
      <c r="G2847" t="s">
        <v>49</v>
      </c>
      <c r="H2847" t="s">
        <v>32</v>
      </c>
      <c r="I2847" t="s">
        <v>84</v>
      </c>
      <c r="J2847" t="s">
        <v>106</v>
      </c>
      <c r="K2847">
        <v>1</v>
      </c>
      <c r="L2847" s="2">
        <v>45.28</v>
      </c>
      <c r="M2847" s="3">
        <v>0</v>
      </c>
      <c r="N2847" t="s">
        <v>38</v>
      </c>
      <c r="O2847" s="2">
        <v>45.28</v>
      </c>
      <c r="P2847" s="2">
        <v>31.84</v>
      </c>
      <c r="Q2847" s="2">
        <v>13.44</v>
      </c>
      <c r="R2847">
        <v>1</v>
      </c>
      <c r="S2847">
        <v>0</v>
      </c>
      <c r="T2847">
        <v>7</v>
      </c>
      <c r="U2847">
        <v>3</v>
      </c>
    </row>
    <row r="2848" spans="1:21" ht="16.5" x14ac:dyDescent="0.3">
      <c r="A2848" t="s">
        <v>2936</v>
      </c>
      <c r="B2848" s="1">
        <v>45715</v>
      </c>
      <c r="C2848">
        <v>2025</v>
      </c>
      <c r="D2848" t="s">
        <v>22</v>
      </c>
      <c r="E2848" t="s">
        <v>242</v>
      </c>
      <c r="F2848" t="s">
        <v>31</v>
      </c>
      <c r="G2848" t="s">
        <v>25</v>
      </c>
      <c r="H2848" t="s">
        <v>26</v>
      </c>
      <c r="I2848" t="s">
        <v>36</v>
      </c>
      <c r="J2848" t="s">
        <v>52</v>
      </c>
      <c r="K2848">
        <v>2</v>
      </c>
      <c r="L2848" s="2">
        <v>92.54</v>
      </c>
      <c r="M2848" s="3">
        <v>0.15</v>
      </c>
      <c r="N2848" t="s">
        <v>34</v>
      </c>
      <c r="O2848" s="2">
        <v>157.32</v>
      </c>
      <c r="P2848" s="2">
        <v>89.78</v>
      </c>
      <c r="Q2848" s="2">
        <v>67.540000000000006</v>
      </c>
      <c r="R2848">
        <v>1</v>
      </c>
      <c r="S2848">
        <v>0</v>
      </c>
      <c r="T2848">
        <v>5</v>
      </c>
      <c r="U2848">
        <v>4</v>
      </c>
    </row>
    <row r="2849" spans="1:21" ht="16.5" x14ac:dyDescent="0.3">
      <c r="A2849" t="s">
        <v>2937</v>
      </c>
      <c r="B2849" s="1">
        <v>45715</v>
      </c>
      <c r="C2849">
        <v>2025</v>
      </c>
      <c r="D2849" t="s">
        <v>22</v>
      </c>
      <c r="E2849" t="s">
        <v>242</v>
      </c>
      <c r="F2849" t="s">
        <v>45</v>
      </c>
      <c r="G2849" t="s">
        <v>25</v>
      </c>
      <c r="H2849" t="s">
        <v>32</v>
      </c>
      <c r="I2849" t="s">
        <v>27</v>
      </c>
      <c r="J2849" t="s">
        <v>40</v>
      </c>
      <c r="K2849">
        <v>1</v>
      </c>
      <c r="L2849" s="2">
        <v>104.94</v>
      </c>
      <c r="M2849" s="3">
        <v>0.05</v>
      </c>
      <c r="N2849" t="s">
        <v>29</v>
      </c>
      <c r="O2849" s="2">
        <v>99.69</v>
      </c>
      <c r="P2849" s="2">
        <v>56.66</v>
      </c>
      <c r="Q2849" s="2">
        <v>43.03</v>
      </c>
      <c r="R2849">
        <v>1</v>
      </c>
      <c r="S2849">
        <v>1</v>
      </c>
      <c r="T2849">
        <v>5</v>
      </c>
      <c r="U2849">
        <v>3</v>
      </c>
    </row>
    <row r="2850" spans="1:21" ht="16.5" x14ac:dyDescent="0.3">
      <c r="A2850" t="s">
        <v>2938</v>
      </c>
      <c r="B2850" s="1">
        <v>45715</v>
      </c>
      <c r="C2850">
        <v>2025</v>
      </c>
      <c r="D2850" t="s">
        <v>22</v>
      </c>
      <c r="E2850" t="s">
        <v>242</v>
      </c>
      <c r="F2850" t="s">
        <v>24</v>
      </c>
      <c r="G2850" t="s">
        <v>49</v>
      </c>
      <c r="H2850" t="s">
        <v>32</v>
      </c>
      <c r="I2850" t="s">
        <v>27</v>
      </c>
      <c r="J2850" t="s">
        <v>60</v>
      </c>
      <c r="K2850">
        <v>1</v>
      </c>
      <c r="L2850" s="2">
        <v>94.85</v>
      </c>
      <c r="M2850" s="3">
        <v>0</v>
      </c>
      <c r="N2850" t="s">
        <v>38</v>
      </c>
      <c r="O2850" s="2">
        <v>94.85</v>
      </c>
      <c r="P2850" s="2">
        <v>50.35</v>
      </c>
      <c r="Q2850" s="2">
        <v>44.5</v>
      </c>
      <c r="R2850">
        <v>1</v>
      </c>
      <c r="S2850">
        <v>0</v>
      </c>
      <c r="T2850">
        <v>3</v>
      </c>
      <c r="U2850">
        <v>5</v>
      </c>
    </row>
    <row r="2851" spans="1:21" ht="16.5" x14ac:dyDescent="0.3">
      <c r="A2851" t="s">
        <v>2939</v>
      </c>
      <c r="B2851" s="1">
        <v>45715</v>
      </c>
      <c r="C2851">
        <v>2025</v>
      </c>
      <c r="D2851" t="s">
        <v>22</v>
      </c>
      <c r="E2851" t="s">
        <v>242</v>
      </c>
      <c r="F2851" t="s">
        <v>31</v>
      </c>
      <c r="G2851" t="s">
        <v>25</v>
      </c>
      <c r="H2851" t="s">
        <v>26</v>
      </c>
      <c r="I2851" t="s">
        <v>67</v>
      </c>
      <c r="J2851" t="s">
        <v>103</v>
      </c>
      <c r="K2851">
        <v>1</v>
      </c>
      <c r="L2851" s="2">
        <v>83.06</v>
      </c>
      <c r="M2851" s="3">
        <v>0.15</v>
      </c>
      <c r="N2851" t="s">
        <v>34</v>
      </c>
      <c r="O2851" s="2">
        <v>70.599999999999994</v>
      </c>
      <c r="P2851" s="2">
        <v>54.39</v>
      </c>
      <c r="Q2851" s="2">
        <v>16.21</v>
      </c>
      <c r="R2851">
        <v>1</v>
      </c>
      <c r="S2851">
        <v>0</v>
      </c>
      <c r="T2851">
        <v>3</v>
      </c>
      <c r="U2851">
        <v>4</v>
      </c>
    </row>
    <row r="2852" spans="1:21" ht="16.5" x14ac:dyDescent="0.3">
      <c r="A2852" t="s">
        <v>2940</v>
      </c>
      <c r="B2852" s="1">
        <v>45715</v>
      </c>
      <c r="C2852">
        <v>2025</v>
      </c>
      <c r="D2852" t="s">
        <v>22</v>
      </c>
      <c r="E2852" t="s">
        <v>242</v>
      </c>
      <c r="F2852" t="s">
        <v>31</v>
      </c>
      <c r="G2852" t="s">
        <v>25</v>
      </c>
      <c r="H2852" t="s">
        <v>32</v>
      </c>
      <c r="I2852" t="s">
        <v>42</v>
      </c>
      <c r="J2852" t="s">
        <v>54</v>
      </c>
      <c r="K2852">
        <v>2</v>
      </c>
      <c r="L2852" s="2">
        <v>148.05000000000001</v>
      </c>
      <c r="M2852" s="3">
        <v>0</v>
      </c>
      <c r="N2852" t="s">
        <v>38</v>
      </c>
      <c r="O2852" s="2">
        <v>296.10000000000002</v>
      </c>
      <c r="P2852" s="2">
        <v>194.23</v>
      </c>
      <c r="Q2852" s="2">
        <v>101.87</v>
      </c>
      <c r="R2852">
        <v>1</v>
      </c>
      <c r="S2852">
        <v>0</v>
      </c>
      <c r="T2852">
        <v>4</v>
      </c>
      <c r="U2852">
        <v>5</v>
      </c>
    </row>
    <row r="2853" spans="1:21" ht="16.5" x14ac:dyDescent="0.3">
      <c r="A2853" t="s">
        <v>2941</v>
      </c>
      <c r="B2853" s="1">
        <v>45716</v>
      </c>
      <c r="C2853">
        <v>2025</v>
      </c>
      <c r="D2853" t="s">
        <v>22</v>
      </c>
      <c r="E2853" t="s">
        <v>242</v>
      </c>
      <c r="F2853" t="s">
        <v>24</v>
      </c>
      <c r="G2853" t="s">
        <v>25</v>
      </c>
      <c r="H2853" t="s">
        <v>26</v>
      </c>
      <c r="I2853" t="s">
        <v>27</v>
      </c>
      <c r="J2853" t="s">
        <v>33</v>
      </c>
      <c r="K2853">
        <v>2</v>
      </c>
      <c r="L2853" s="2">
        <v>78.510000000000005</v>
      </c>
      <c r="M2853" s="3">
        <v>0</v>
      </c>
      <c r="N2853" t="s">
        <v>38</v>
      </c>
      <c r="O2853" s="2">
        <v>157.02000000000001</v>
      </c>
      <c r="P2853" s="2">
        <v>85.64</v>
      </c>
      <c r="Q2853" s="2">
        <v>71.38</v>
      </c>
      <c r="R2853">
        <v>1</v>
      </c>
      <c r="S2853">
        <v>0</v>
      </c>
      <c r="T2853">
        <v>5</v>
      </c>
      <c r="U2853">
        <v>5</v>
      </c>
    </row>
    <row r="2854" spans="1:21" ht="16.5" x14ac:dyDescent="0.3">
      <c r="A2854" t="s">
        <v>2942</v>
      </c>
      <c r="B2854" s="1">
        <v>45716</v>
      </c>
      <c r="C2854">
        <v>2025</v>
      </c>
      <c r="D2854" t="s">
        <v>22</v>
      </c>
      <c r="E2854" t="s">
        <v>242</v>
      </c>
      <c r="F2854" t="s">
        <v>24</v>
      </c>
      <c r="G2854" t="s">
        <v>49</v>
      </c>
      <c r="H2854" t="s">
        <v>32</v>
      </c>
      <c r="I2854" t="s">
        <v>70</v>
      </c>
      <c r="J2854" t="s">
        <v>162</v>
      </c>
      <c r="K2854">
        <v>2</v>
      </c>
      <c r="L2854" s="2">
        <v>636.09</v>
      </c>
      <c r="M2854" s="3">
        <v>0.05</v>
      </c>
      <c r="N2854" t="s">
        <v>29</v>
      </c>
      <c r="O2854" s="2">
        <v>1208.57</v>
      </c>
      <c r="P2854" s="2">
        <v>990.98</v>
      </c>
      <c r="Q2854" s="2">
        <v>217.59</v>
      </c>
      <c r="R2854">
        <v>1</v>
      </c>
      <c r="S2854">
        <v>0</v>
      </c>
      <c r="T2854">
        <v>4</v>
      </c>
      <c r="U2854">
        <v>4</v>
      </c>
    </row>
    <row r="2855" spans="1:21" ht="16.5" x14ac:dyDescent="0.3">
      <c r="A2855" t="s">
        <v>2943</v>
      </c>
      <c r="B2855" s="1">
        <v>45716</v>
      </c>
      <c r="C2855">
        <v>2025</v>
      </c>
      <c r="D2855" t="s">
        <v>22</v>
      </c>
      <c r="E2855" t="s">
        <v>242</v>
      </c>
      <c r="F2855" t="s">
        <v>24</v>
      </c>
      <c r="G2855" t="s">
        <v>51</v>
      </c>
      <c r="H2855" t="s">
        <v>32</v>
      </c>
      <c r="I2855" t="s">
        <v>84</v>
      </c>
      <c r="J2855" t="s">
        <v>132</v>
      </c>
      <c r="K2855">
        <v>1</v>
      </c>
      <c r="L2855" s="2">
        <v>48.86</v>
      </c>
      <c r="M2855" s="3">
        <v>0.1</v>
      </c>
      <c r="N2855" t="s">
        <v>29</v>
      </c>
      <c r="O2855" s="2">
        <v>43.97</v>
      </c>
      <c r="P2855" s="2">
        <v>34.950000000000003</v>
      </c>
      <c r="Q2855" s="2">
        <v>9.02</v>
      </c>
      <c r="R2855">
        <v>1</v>
      </c>
      <c r="S2855">
        <v>0</v>
      </c>
      <c r="T2855">
        <v>3</v>
      </c>
      <c r="U2855">
        <v>5</v>
      </c>
    </row>
    <row r="2856" spans="1:21" ht="16.5" x14ac:dyDescent="0.3">
      <c r="A2856" t="s">
        <v>2944</v>
      </c>
      <c r="B2856" s="1">
        <v>45716</v>
      </c>
      <c r="C2856">
        <v>2025</v>
      </c>
      <c r="D2856" t="s">
        <v>22</v>
      </c>
      <c r="E2856" t="s">
        <v>242</v>
      </c>
      <c r="F2856" t="s">
        <v>31</v>
      </c>
      <c r="G2856" t="s">
        <v>25</v>
      </c>
      <c r="H2856" t="s">
        <v>32</v>
      </c>
      <c r="I2856" t="s">
        <v>36</v>
      </c>
      <c r="J2856" t="s">
        <v>126</v>
      </c>
      <c r="K2856">
        <v>1</v>
      </c>
      <c r="L2856" s="2">
        <v>54.56</v>
      </c>
      <c r="M2856" s="3">
        <v>0.1</v>
      </c>
      <c r="N2856" t="s">
        <v>29</v>
      </c>
      <c r="O2856" s="2">
        <v>49.1</v>
      </c>
      <c r="P2856" s="2">
        <v>25.12</v>
      </c>
      <c r="Q2856" s="2">
        <v>23.98</v>
      </c>
      <c r="R2856">
        <v>1</v>
      </c>
      <c r="S2856">
        <v>0</v>
      </c>
      <c r="T2856">
        <v>3</v>
      </c>
      <c r="U2856">
        <v>4</v>
      </c>
    </row>
    <row r="2857" spans="1:21" ht="16.5" x14ac:dyDescent="0.3">
      <c r="A2857" t="s">
        <v>2945</v>
      </c>
      <c r="B2857" s="1">
        <v>45716</v>
      </c>
      <c r="C2857">
        <v>2025</v>
      </c>
      <c r="D2857" t="s">
        <v>22</v>
      </c>
      <c r="E2857" t="s">
        <v>242</v>
      </c>
      <c r="F2857" t="s">
        <v>24</v>
      </c>
      <c r="G2857" t="s">
        <v>49</v>
      </c>
      <c r="H2857" t="s">
        <v>26</v>
      </c>
      <c r="I2857" t="s">
        <v>42</v>
      </c>
      <c r="J2857" t="s">
        <v>58</v>
      </c>
      <c r="K2857">
        <v>1</v>
      </c>
      <c r="L2857" s="2">
        <v>233.81</v>
      </c>
      <c r="M2857" s="3">
        <v>0.1</v>
      </c>
      <c r="N2857" t="s">
        <v>29</v>
      </c>
      <c r="O2857" s="2">
        <v>210.43</v>
      </c>
      <c r="P2857" s="2">
        <v>152.54</v>
      </c>
      <c r="Q2857" s="2">
        <v>57.89</v>
      </c>
      <c r="R2857">
        <v>1</v>
      </c>
      <c r="S2857">
        <v>0</v>
      </c>
      <c r="T2857">
        <v>4</v>
      </c>
      <c r="U2857">
        <v>4</v>
      </c>
    </row>
    <row r="2858" spans="1:21" ht="16.5" x14ac:dyDescent="0.3">
      <c r="A2858" t="s">
        <v>2946</v>
      </c>
      <c r="B2858" s="1">
        <v>45716</v>
      </c>
      <c r="C2858">
        <v>2025</v>
      </c>
      <c r="D2858" t="s">
        <v>22</v>
      </c>
      <c r="E2858" t="s">
        <v>242</v>
      </c>
      <c r="F2858" t="s">
        <v>45</v>
      </c>
      <c r="G2858" t="s">
        <v>46</v>
      </c>
      <c r="H2858" t="s">
        <v>26</v>
      </c>
      <c r="I2858" t="s">
        <v>84</v>
      </c>
      <c r="J2858" t="s">
        <v>223</v>
      </c>
      <c r="K2858">
        <v>1</v>
      </c>
      <c r="L2858" s="2">
        <v>16.97</v>
      </c>
      <c r="M2858" s="3">
        <v>0.05</v>
      </c>
      <c r="N2858" t="s">
        <v>29</v>
      </c>
      <c r="O2858" s="2">
        <v>16.12</v>
      </c>
      <c r="P2858" s="2">
        <v>12.3</v>
      </c>
      <c r="Q2858" s="2">
        <v>3.82</v>
      </c>
      <c r="R2858">
        <v>1</v>
      </c>
      <c r="S2858">
        <v>0</v>
      </c>
      <c r="T2858">
        <v>5</v>
      </c>
      <c r="U2858">
        <v>3</v>
      </c>
    </row>
    <row r="2859" spans="1:21" ht="16.5" x14ac:dyDescent="0.3">
      <c r="A2859" t="s">
        <v>2947</v>
      </c>
      <c r="B2859" s="1">
        <v>45717</v>
      </c>
      <c r="C2859">
        <v>2025</v>
      </c>
      <c r="D2859" t="s">
        <v>22</v>
      </c>
      <c r="E2859" t="s">
        <v>402</v>
      </c>
      <c r="F2859" t="s">
        <v>31</v>
      </c>
      <c r="G2859" t="s">
        <v>51</v>
      </c>
      <c r="H2859" t="s">
        <v>32</v>
      </c>
      <c r="I2859" t="s">
        <v>67</v>
      </c>
      <c r="J2859" t="s">
        <v>68</v>
      </c>
      <c r="K2859">
        <v>1</v>
      </c>
      <c r="L2859" s="2">
        <v>74.459999999999994</v>
      </c>
      <c r="M2859" s="3">
        <v>0.1</v>
      </c>
      <c r="N2859" t="s">
        <v>29</v>
      </c>
      <c r="O2859" s="2">
        <v>67.010000000000005</v>
      </c>
      <c r="P2859" s="2">
        <v>50.14</v>
      </c>
      <c r="Q2859" s="2">
        <v>16.87</v>
      </c>
      <c r="R2859">
        <v>1</v>
      </c>
      <c r="S2859">
        <v>0</v>
      </c>
      <c r="T2859">
        <v>4</v>
      </c>
      <c r="U2859">
        <v>5</v>
      </c>
    </row>
    <row r="2860" spans="1:21" ht="16.5" x14ac:dyDescent="0.3">
      <c r="A2860" t="s">
        <v>2948</v>
      </c>
      <c r="B2860" s="1">
        <v>45717</v>
      </c>
      <c r="C2860">
        <v>2025</v>
      </c>
      <c r="D2860" t="s">
        <v>22</v>
      </c>
      <c r="E2860" t="s">
        <v>402</v>
      </c>
      <c r="F2860" t="s">
        <v>31</v>
      </c>
      <c r="G2860" t="s">
        <v>65</v>
      </c>
      <c r="H2860" t="s">
        <v>32</v>
      </c>
      <c r="I2860" t="s">
        <v>84</v>
      </c>
      <c r="J2860" t="s">
        <v>132</v>
      </c>
      <c r="K2860">
        <v>1</v>
      </c>
      <c r="L2860" s="2">
        <v>48.86</v>
      </c>
      <c r="M2860" s="3">
        <v>0</v>
      </c>
      <c r="N2860" t="s">
        <v>38</v>
      </c>
      <c r="O2860" s="2">
        <v>48.86</v>
      </c>
      <c r="P2860" s="2">
        <v>35.17</v>
      </c>
      <c r="Q2860" s="2">
        <v>13.69</v>
      </c>
      <c r="R2860">
        <v>1</v>
      </c>
      <c r="S2860">
        <v>0</v>
      </c>
      <c r="T2860">
        <v>7</v>
      </c>
      <c r="U2860">
        <v>3</v>
      </c>
    </row>
    <row r="2861" spans="1:21" ht="16.5" x14ac:dyDescent="0.3">
      <c r="A2861" t="s">
        <v>2949</v>
      </c>
      <c r="B2861" s="1">
        <v>45717</v>
      </c>
      <c r="C2861">
        <v>2025</v>
      </c>
      <c r="D2861" t="s">
        <v>22</v>
      </c>
      <c r="E2861" t="s">
        <v>402</v>
      </c>
      <c r="F2861" t="s">
        <v>31</v>
      </c>
      <c r="G2861" t="s">
        <v>46</v>
      </c>
      <c r="H2861" t="s">
        <v>32</v>
      </c>
      <c r="I2861" t="s">
        <v>70</v>
      </c>
      <c r="J2861" t="s">
        <v>71</v>
      </c>
      <c r="K2861">
        <v>2</v>
      </c>
      <c r="L2861" s="2">
        <v>588.41</v>
      </c>
      <c r="M2861" s="3">
        <v>0.3</v>
      </c>
      <c r="N2861" t="s">
        <v>62</v>
      </c>
      <c r="O2861" s="2">
        <v>823.77</v>
      </c>
      <c r="P2861" s="2">
        <v>951.96</v>
      </c>
      <c r="Q2861" s="2">
        <v>-128.19</v>
      </c>
      <c r="R2861">
        <v>1</v>
      </c>
      <c r="S2861">
        <v>0</v>
      </c>
      <c r="T2861">
        <v>5</v>
      </c>
      <c r="U2861">
        <v>4</v>
      </c>
    </row>
    <row r="2862" spans="1:21" ht="16.5" x14ac:dyDescent="0.3">
      <c r="A2862" t="s">
        <v>2950</v>
      </c>
      <c r="B2862" s="1">
        <v>45717</v>
      </c>
      <c r="C2862">
        <v>2025</v>
      </c>
      <c r="D2862" t="s">
        <v>22</v>
      </c>
      <c r="E2862" t="s">
        <v>402</v>
      </c>
      <c r="F2862" t="s">
        <v>45</v>
      </c>
      <c r="G2862" t="s">
        <v>25</v>
      </c>
      <c r="H2862" t="s">
        <v>26</v>
      </c>
      <c r="I2862" t="s">
        <v>67</v>
      </c>
      <c r="J2862" t="s">
        <v>68</v>
      </c>
      <c r="K2862">
        <v>1</v>
      </c>
      <c r="L2862" s="2">
        <v>74.459999999999994</v>
      </c>
      <c r="M2862" s="3">
        <v>0.1</v>
      </c>
      <c r="N2862" t="s">
        <v>29</v>
      </c>
      <c r="O2862" s="2">
        <v>67.010000000000005</v>
      </c>
      <c r="P2862" s="2">
        <v>49.72</v>
      </c>
      <c r="Q2862" s="2">
        <v>17.29</v>
      </c>
      <c r="R2862">
        <v>1</v>
      </c>
      <c r="S2862">
        <v>0</v>
      </c>
      <c r="T2862">
        <v>3</v>
      </c>
      <c r="U2862">
        <v>4</v>
      </c>
    </row>
    <row r="2863" spans="1:21" ht="16.5" x14ac:dyDescent="0.3">
      <c r="A2863" t="s">
        <v>2951</v>
      </c>
      <c r="B2863" s="1">
        <v>45717</v>
      </c>
      <c r="C2863">
        <v>2025</v>
      </c>
      <c r="D2863" t="s">
        <v>22</v>
      </c>
      <c r="E2863" t="s">
        <v>402</v>
      </c>
      <c r="F2863" t="s">
        <v>24</v>
      </c>
      <c r="G2863" t="s">
        <v>49</v>
      </c>
      <c r="H2863" t="s">
        <v>32</v>
      </c>
      <c r="I2863" t="s">
        <v>27</v>
      </c>
      <c r="J2863" t="s">
        <v>40</v>
      </c>
      <c r="K2863">
        <v>2</v>
      </c>
      <c r="L2863" s="2">
        <v>104.94</v>
      </c>
      <c r="M2863" s="3">
        <v>0.05</v>
      </c>
      <c r="N2863" t="s">
        <v>29</v>
      </c>
      <c r="O2863" s="2">
        <v>199.39</v>
      </c>
      <c r="P2863" s="2">
        <v>111.09</v>
      </c>
      <c r="Q2863" s="2">
        <v>88.3</v>
      </c>
      <c r="R2863">
        <v>1</v>
      </c>
      <c r="S2863">
        <v>0</v>
      </c>
      <c r="T2863">
        <v>3</v>
      </c>
      <c r="U2863">
        <v>5</v>
      </c>
    </row>
    <row r="2864" spans="1:21" ht="16.5" x14ac:dyDescent="0.3">
      <c r="A2864" t="s">
        <v>2952</v>
      </c>
      <c r="B2864" s="1">
        <v>45717</v>
      </c>
      <c r="C2864">
        <v>2025</v>
      </c>
      <c r="D2864" t="s">
        <v>22</v>
      </c>
      <c r="E2864" t="s">
        <v>402</v>
      </c>
      <c r="F2864" t="s">
        <v>24</v>
      </c>
      <c r="G2864" t="s">
        <v>49</v>
      </c>
      <c r="H2864" t="s">
        <v>26</v>
      </c>
      <c r="I2864" t="s">
        <v>27</v>
      </c>
      <c r="J2864" t="s">
        <v>47</v>
      </c>
      <c r="K2864">
        <v>2</v>
      </c>
      <c r="L2864" s="2">
        <v>33.99</v>
      </c>
      <c r="M2864" s="3">
        <v>0</v>
      </c>
      <c r="N2864" t="s">
        <v>38</v>
      </c>
      <c r="O2864" s="2">
        <v>67.98</v>
      </c>
      <c r="P2864" s="2">
        <v>36.299999999999997</v>
      </c>
      <c r="Q2864" s="2">
        <v>31.68</v>
      </c>
      <c r="R2864">
        <v>1</v>
      </c>
      <c r="S2864">
        <v>0</v>
      </c>
      <c r="T2864">
        <v>3</v>
      </c>
      <c r="U2864">
        <v>4</v>
      </c>
    </row>
    <row r="2865" spans="1:21" ht="16.5" x14ac:dyDescent="0.3">
      <c r="A2865" t="s">
        <v>2953</v>
      </c>
      <c r="B2865" s="1">
        <v>45717</v>
      </c>
      <c r="C2865">
        <v>2025</v>
      </c>
      <c r="D2865" t="s">
        <v>22</v>
      </c>
      <c r="E2865" t="s">
        <v>402</v>
      </c>
      <c r="F2865" t="s">
        <v>31</v>
      </c>
      <c r="G2865" t="s">
        <v>51</v>
      </c>
      <c r="H2865" t="s">
        <v>32</v>
      </c>
      <c r="I2865" t="s">
        <v>42</v>
      </c>
      <c r="J2865" t="s">
        <v>89</v>
      </c>
      <c r="K2865">
        <v>1</v>
      </c>
      <c r="L2865" s="2">
        <v>68.349999999999994</v>
      </c>
      <c r="M2865" s="3">
        <v>0.1</v>
      </c>
      <c r="N2865" t="s">
        <v>29</v>
      </c>
      <c r="O2865" s="2">
        <v>61.51</v>
      </c>
      <c r="P2865" s="2">
        <v>43.15</v>
      </c>
      <c r="Q2865" s="2">
        <v>18.36</v>
      </c>
      <c r="R2865">
        <v>1</v>
      </c>
      <c r="S2865">
        <v>0</v>
      </c>
      <c r="T2865">
        <v>3</v>
      </c>
      <c r="U2865">
        <v>4</v>
      </c>
    </row>
    <row r="2866" spans="1:21" ht="16.5" x14ac:dyDescent="0.3">
      <c r="A2866" t="s">
        <v>2954</v>
      </c>
      <c r="B2866" s="1">
        <v>45718</v>
      </c>
      <c r="C2866">
        <v>2025</v>
      </c>
      <c r="D2866" t="s">
        <v>22</v>
      </c>
      <c r="E2866" t="s">
        <v>402</v>
      </c>
      <c r="F2866" t="s">
        <v>45</v>
      </c>
      <c r="G2866" t="s">
        <v>25</v>
      </c>
      <c r="H2866" t="s">
        <v>32</v>
      </c>
      <c r="I2866" t="s">
        <v>42</v>
      </c>
      <c r="J2866" t="s">
        <v>58</v>
      </c>
      <c r="K2866">
        <v>1</v>
      </c>
      <c r="L2866" s="2">
        <v>233.81</v>
      </c>
      <c r="M2866" s="3">
        <v>0.1</v>
      </c>
      <c r="N2866" t="s">
        <v>29</v>
      </c>
      <c r="O2866" s="2">
        <v>210.43</v>
      </c>
      <c r="P2866" s="2">
        <v>161.27000000000001</v>
      </c>
      <c r="Q2866" s="2">
        <v>49.16</v>
      </c>
      <c r="R2866">
        <v>1</v>
      </c>
      <c r="S2866">
        <v>0</v>
      </c>
      <c r="T2866">
        <v>4</v>
      </c>
      <c r="U2866">
        <v>5</v>
      </c>
    </row>
    <row r="2867" spans="1:21" ht="16.5" x14ac:dyDescent="0.3">
      <c r="A2867" t="s">
        <v>2955</v>
      </c>
      <c r="B2867" s="1">
        <v>45718</v>
      </c>
      <c r="C2867">
        <v>2025</v>
      </c>
      <c r="D2867" t="s">
        <v>22</v>
      </c>
      <c r="E2867" t="s">
        <v>402</v>
      </c>
      <c r="F2867" t="s">
        <v>31</v>
      </c>
      <c r="G2867" t="s">
        <v>51</v>
      </c>
      <c r="H2867" t="s">
        <v>32</v>
      </c>
      <c r="I2867" t="s">
        <v>70</v>
      </c>
      <c r="J2867" t="s">
        <v>129</v>
      </c>
      <c r="K2867">
        <v>2</v>
      </c>
      <c r="L2867" s="2">
        <v>177.65</v>
      </c>
      <c r="M2867" s="3">
        <v>0.05</v>
      </c>
      <c r="N2867" t="s">
        <v>29</v>
      </c>
      <c r="O2867" s="2">
        <v>337.54</v>
      </c>
      <c r="P2867" s="2">
        <v>272.94</v>
      </c>
      <c r="Q2867" s="2">
        <v>64.599999999999994</v>
      </c>
      <c r="R2867">
        <v>1</v>
      </c>
      <c r="S2867">
        <v>0</v>
      </c>
      <c r="T2867">
        <v>2</v>
      </c>
      <c r="U2867">
        <v>5</v>
      </c>
    </row>
    <row r="2868" spans="1:21" ht="16.5" x14ac:dyDescent="0.3">
      <c r="A2868" t="s">
        <v>2956</v>
      </c>
      <c r="B2868" s="1">
        <v>45718</v>
      </c>
      <c r="C2868">
        <v>2025</v>
      </c>
      <c r="D2868" t="s">
        <v>22</v>
      </c>
      <c r="E2868" t="s">
        <v>402</v>
      </c>
      <c r="F2868" t="s">
        <v>45</v>
      </c>
      <c r="G2868" t="s">
        <v>51</v>
      </c>
      <c r="H2868" t="s">
        <v>32</v>
      </c>
      <c r="I2868" t="s">
        <v>67</v>
      </c>
      <c r="J2868" t="s">
        <v>78</v>
      </c>
      <c r="K2868">
        <v>1</v>
      </c>
      <c r="L2868" s="2">
        <v>85.42</v>
      </c>
      <c r="M2868" s="3">
        <v>0.1</v>
      </c>
      <c r="N2868" t="s">
        <v>29</v>
      </c>
      <c r="O2868" s="2">
        <v>76.88</v>
      </c>
      <c r="P2868" s="2">
        <v>57.35</v>
      </c>
      <c r="Q2868" s="2">
        <v>19.53</v>
      </c>
      <c r="R2868">
        <v>1</v>
      </c>
      <c r="S2868">
        <v>0</v>
      </c>
      <c r="T2868">
        <v>3</v>
      </c>
      <c r="U2868">
        <v>3</v>
      </c>
    </row>
    <row r="2869" spans="1:21" ht="16.5" x14ac:dyDescent="0.3">
      <c r="A2869" t="s">
        <v>2957</v>
      </c>
      <c r="B2869" s="1">
        <v>45718</v>
      </c>
      <c r="C2869">
        <v>2025</v>
      </c>
      <c r="D2869" t="s">
        <v>22</v>
      </c>
      <c r="E2869" t="s">
        <v>402</v>
      </c>
      <c r="F2869" t="s">
        <v>45</v>
      </c>
      <c r="G2869" t="s">
        <v>51</v>
      </c>
      <c r="H2869" t="s">
        <v>26</v>
      </c>
      <c r="I2869" t="s">
        <v>27</v>
      </c>
      <c r="J2869" t="s">
        <v>110</v>
      </c>
      <c r="K2869">
        <v>3</v>
      </c>
      <c r="L2869" s="2">
        <v>19.41</v>
      </c>
      <c r="M2869" s="3">
        <v>0</v>
      </c>
      <c r="N2869" t="s">
        <v>38</v>
      </c>
      <c r="O2869" s="2">
        <v>58.23</v>
      </c>
      <c r="P2869" s="2">
        <v>30.84</v>
      </c>
      <c r="Q2869" s="2">
        <v>27.39</v>
      </c>
      <c r="R2869">
        <v>1</v>
      </c>
      <c r="S2869">
        <v>0</v>
      </c>
      <c r="T2869">
        <v>2</v>
      </c>
      <c r="U2869">
        <v>4</v>
      </c>
    </row>
    <row r="2870" spans="1:21" ht="16.5" x14ac:dyDescent="0.3">
      <c r="A2870" t="s">
        <v>2958</v>
      </c>
      <c r="B2870" s="1">
        <v>45718</v>
      </c>
      <c r="C2870">
        <v>2025</v>
      </c>
      <c r="D2870" t="s">
        <v>22</v>
      </c>
      <c r="E2870" t="s">
        <v>402</v>
      </c>
      <c r="F2870" t="s">
        <v>45</v>
      </c>
      <c r="G2870" t="s">
        <v>25</v>
      </c>
      <c r="H2870" t="s">
        <v>26</v>
      </c>
      <c r="I2870" t="s">
        <v>67</v>
      </c>
      <c r="J2870" t="s">
        <v>78</v>
      </c>
      <c r="K2870">
        <v>3</v>
      </c>
      <c r="L2870" s="2">
        <v>85.42</v>
      </c>
      <c r="M2870" s="3">
        <v>0.2</v>
      </c>
      <c r="N2870" t="s">
        <v>34</v>
      </c>
      <c r="O2870" s="2">
        <v>205.01</v>
      </c>
      <c r="P2870" s="2">
        <v>161.19</v>
      </c>
      <c r="Q2870" s="2">
        <v>43.82</v>
      </c>
      <c r="R2870">
        <v>1</v>
      </c>
      <c r="S2870">
        <v>0</v>
      </c>
      <c r="T2870">
        <v>4</v>
      </c>
      <c r="U2870">
        <v>4</v>
      </c>
    </row>
    <row r="2871" spans="1:21" ht="16.5" x14ac:dyDescent="0.3">
      <c r="A2871" t="s">
        <v>2959</v>
      </c>
      <c r="B2871" s="1">
        <v>45718</v>
      </c>
      <c r="C2871">
        <v>2025</v>
      </c>
      <c r="D2871" t="s">
        <v>22</v>
      </c>
      <c r="E2871" t="s">
        <v>402</v>
      </c>
      <c r="F2871" t="s">
        <v>31</v>
      </c>
      <c r="G2871" t="s">
        <v>49</v>
      </c>
      <c r="H2871" t="s">
        <v>32</v>
      </c>
      <c r="I2871" t="s">
        <v>36</v>
      </c>
      <c r="J2871" t="s">
        <v>56</v>
      </c>
      <c r="K2871">
        <v>1</v>
      </c>
      <c r="L2871" s="2">
        <v>74.3</v>
      </c>
      <c r="M2871" s="3">
        <v>0.1</v>
      </c>
      <c r="N2871" t="s">
        <v>29</v>
      </c>
      <c r="O2871" s="2">
        <v>66.87</v>
      </c>
      <c r="P2871" s="2">
        <v>35.270000000000003</v>
      </c>
      <c r="Q2871" s="2">
        <v>31.6</v>
      </c>
      <c r="R2871">
        <v>1</v>
      </c>
      <c r="S2871">
        <v>0</v>
      </c>
      <c r="T2871">
        <v>3</v>
      </c>
      <c r="U2871">
        <v>3</v>
      </c>
    </row>
    <row r="2872" spans="1:21" ht="16.5" x14ac:dyDescent="0.3">
      <c r="A2872" t="s">
        <v>2960</v>
      </c>
      <c r="B2872" s="1">
        <v>45719</v>
      </c>
      <c r="C2872">
        <v>2025</v>
      </c>
      <c r="D2872" t="s">
        <v>22</v>
      </c>
      <c r="E2872" t="s">
        <v>402</v>
      </c>
      <c r="F2872" t="s">
        <v>31</v>
      </c>
      <c r="G2872" t="s">
        <v>25</v>
      </c>
      <c r="H2872" t="s">
        <v>32</v>
      </c>
      <c r="I2872" t="s">
        <v>42</v>
      </c>
      <c r="J2872" t="s">
        <v>89</v>
      </c>
      <c r="K2872">
        <v>1</v>
      </c>
      <c r="L2872" s="2">
        <v>68.349999999999994</v>
      </c>
      <c r="M2872" s="3">
        <v>0.15</v>
      </c>
      <c r="N2872" t="s">
        <v>34</v>
      </c>
      <c r="O2872" s="2">
        <v>58.1</v>
      </c>
      <c r="P2872" s="2">
        <v>45.94</v>
      </c>
      <c r="Q2872" s="2">
        <v>12.16</v>
      </c>
      <c r="R2872">
        <v>1</v>
      </c>
      <c r="S2872">
        <v>0</v>
      </c>
      <c r="T2872">
        <v>4</v>
      </c>
      <c r="U2872">
        <v>5</v>
      </c>
    </row>
    <row r="2873" spans="1:21" ht="16.5" x14ac:dyDescent="0.3">
      <c r="A2873" t="s">
        <v>2961</v>
      </c>
      <c r="B2873" s="1">
        <v>45719</v>
      </c>
      <c r="C2873">
        <v>2025</v>
      </c>
      <c r="D2873" t="s">
        <v>22</v>
      </c>
      <c r="E2873" t="s">
        <v>402</v>
      </c>
      <c r="F2873" t="s">
        <v>24</v>
      </c>
      <c r="G2873" t="s">
        <v>49</v>
      </c>
      <c r="H2873" t="s">
        <v>26</v>
      </c>
      <c r="I2873" t="s">
        <v>27</v>
      </c>
      <c r="J2873" t="s">
        <v>33</v>
      </c>
      <c r="K2873">
        <v>4</v>
      </c>
      <c r="L2873" s="2">
        <v>78.510000000000005</v>
      </c>
      <c r="M2873" s="3">
        <v>0</v>
      </c>
      <c r="N2873" t="s">
        <v>38</v>
      </c>
      <c r="O2873" s="2">
        <v>314.04000000000002</v>
      </c>
      <c r="P2873" s="2">
        <v>172.55</v>
      </c>
      <c r="Q2873" s="2">
        <v>141.49</v>
      </c>
      <c r="R2873">
        <v>1</v>
      </c>
      <c r="S2873">
        <v>0</v>
      </c>
      <c r="T2873">
        <v>3</v>
      </c>
      <c r="U2873">
        <v>4</v>
      </c>
    </row>
    <row r="2874" spans="1:21" ht="16.5" x14ac:dyDescent="0.3">
      <c r="A2874" t="s">
        <v>2962</v>
      </c>
      <c r="B2874" s="1">
        <v>45719</v>
      </c>
      <c r="C2874">
        <v>2025</v>
      </c>
      <c r="D2874" t="s">
        <v>22</v>
      </c>
      <c r="E2874" t="s">
        <v>402</v>
      </c>
      <c r="F2874" t="s">
        <v>24</v>
      </c>
      <c r="G2874" t="s">
        <v>51</v>
      </c>
      <c r="H2874" t="s">
        <v>26</v>
      </c>
      <c r="I2874" t="s">
        <v>70</v>
      </c>
      <c r="J2874" t="s">
        <v>129</v>
      </c>
      <c r="K2874">
        <v>1</v>
      </c>
      <c r="L2874" s="2">
        <v>177.65</v>
      </c>
      <c r="M2874" s="3">
        <v>0</v>
      </c>
      <c r="N2874" t="s">
        <v>38</v>
      </c>
      <c r="O2874" s="2">
        <v>177.65</v>
      </c>
      <c r="P2874" s="2">
        <v>148.58000000000001</v>
      </c>
      <c r="Q2874" s="2">
        <v>29.07</v>
      </c>
      <c r="R2874">
        <v>1</v>
      </c>
      <c r="S2874">
        <v>0</v>
      </c>
      <c r="T2874">
        <v>3</v>
      </c>
      <c r="U2874">
        <v>4</v>
      </c>
    </row>
    <row r="2875" spans="1:21" ht="16.5" x14ac:dyDescent="0.3">
      <c r="A2875" t="s">
        <v>2963</v>
      </c>
      <c r="B2875" s="1">
        <v>45719</v>
      </c>
      <c r="C2875">
        <v>2025</v>
      </c>
      <c r="D2875" t="s">
        <v>22</v>
      </c>
      <c r="E2875" t="s">
        <v>402</v>
      </c>
      <c r="F2875" t="s">
        <v>24</v>
      </c>
      <c r="G2875" t="s">
        <v>25</v>
      </c>
      <c r="H2875" t="s">
        <v>32</v>
      </c>
      <c r="I2875" t="s">
        <v>36</v>
      </c>
      <c r="J2875" t="s">
        <v>52</v>
      </c>
      <c r="K2875">
        <v>1</v>
      </c>
      <c r="L2875" s="2">
        <v>92.54</v>
      </c>
      <c r="M2875" s="3">
        <v>0.25</v>
      </c>
      <c r="N2875" t="s">
        <v>62</v>
      </c>
      <c r="O2875" s="2">
        <v>69.400000000000006</v>
      </c>
      <c r="P2875" s="2">
        <v>44.85</v>
      </c>
      <c r="Q2875" s="2">
        <v>24.55</v>
      </c>
      <c r="R2875">
        <v>1</v>
      </c>
      <c r="S2875">
        <v>0</v>
      </c>
      <c r="T2875">
        <v>6</v>
      </c>
      <c r="U2875">
        <v>3</v>
      </c>
    </row>
    <row r="2876" spans="1:21" ht="16.5" x14ac:dyDescent="0.3">
      <c r="A2876" t="s">
        <v>2964</v>
      </c>
      <c r="B2876" s="1">
        <v>45719</v>
      </c>
      <c r="C2876">
        <v>2025</v>
      </c>
      <c r="D2876" t="s">
        <v>22</v>
      </c>
      <c r="E2876" t="s">
        <v>402</v>
      </c>
      <c r="F2876" t="s">
        <v>24</v>
      </c>
      <c r="G2876" t="s">
        <v>25</v>
      </c>
      <c r="H2876" t="s">
        <v>32</v>
      </c>
      <c r="I2876" t="s">
        <v>42</v>
      </c>
      <c r="J2876" t="s">
        <v>76</v>
      </c>
      <c r="K2876">
        <v>1</v>
      </c>
      <c r="L2876" s="2">
        <v>90.75</v>
      </c>
      <c r="M2876" s="3">
        <v>0</v>
      </c>
      <c r="N2876" t="s">
        <v>38</v>
      </c>
      <c r="O2876" s="2">
        <v>90.75</v>
      </c>
      <c r="P2876" s="2">
        <v>59.11</v>
      </c>
      <c r="Q2876" s="2">
        <v>31.64</v>
      </c>
      <c r="R2876">
        <v>1</v>
      </c>
      <c r="S2876">
        <v>0</v>
      </c>
      <c r="T2876">
        <v>3</v>
      </c>
      <c r="U2876">
        <v>5</v>
      </c>
    </row>
    <row r="2877" spans="1:21" ht="16.5" x14ac:dyDescent="0.3">
      <c r="A2877" t="s">
        <v>2965</v>
      </c>
      <c r="B2877" s="1">
        <v>45719</v>
      </c>
      <c r="C2877">
        <v>2025</v>
      </c>
      <c r="D2877" t="s">
        <v>22</v>
      </c>
      <c r="E2877" t="s">
        <v>402</v>
      </c>
      <c r="F2877" t="s">
        <v>31</v>
      </c>
      <c r="G2877" t="s">
        <v>25</v>
      </c>
      <c r="H2877" t="s">
        <v>26</v>
      </c>
      <c r="I2877" t="s">
        <v>42</v>
      </c>
      <c r="J2877" t="s">
        <v>58</v>
      </c>
      <c r="K2877">
        <v>1</v>
      </c>
      <c r="L2877" s="2">
        <v>233.81</v>
      </c>
      <c r="M2877" s="3">
        <v>0.1</v>
      </c>
      <c r="N2877" t="s">
        <v>29</v>
      </c>
      <c r="O2877" s="2">
        <v>210.43</v>
      </c>
      <c r="P2877" s="2">
        <v>157.63999999999999</v>
      </c>
      <c r="Q2877" s="2">
        <v>52.79</v>
      </c>
      <c r="R2877">
        <v>1</v>
      </c>
      <c r="S2877">
        <v>0</v>
      </c>
      <c r="T2877">
        <v>6</v>
      </c>
      <c r="U2877">
        <v>3</v>
      </c>
    </row>
    <row r="2878" spans="1:21" ht="16.5" x14ac:dyDescent="0.3">
      <c r="A2878" t="s">
        <v>2966</v>
      </c>
      <c r="B2878" s="1">
        <v>45719</v>
      </c>
      <c r="C2878">
        <v>2025</v>
      </c>
      <c r="D2878" t="s">
        <v>22</v>
      </c>
      <c r="E2878" t="s">
        <v>402</v>
      </c>
      <c r="F2878" t="s">
        <v>31</v>
      </c>
      <c r="G2878" t="s">
        <v>25</v>
      </c>
      <c r="H2878" t="s">
        <v>32</v>
      </c>
      <c r="I2878" t="s">
        <v>27</v>
      </c>
      <c r="J2878" t="s">
        <v>28</v>
      </c>
      <c r="K2878">
        <v>1</v>
      </c>
      <c r="L2878" s="2">
        <v>138.5</v>
      </c>
      <c r="M2878" s="3">
        <v>0.25</v>
      </c>
      <c r="N2878" t="s">
        <v>62</v>
      </c>
      <c r="O2878" s="2">
        <v>103.88</v>
      </c>
      <c r="P2878" s="2">
        <v>76.680000000000007</v>
      </c>
      <c r="Q2878" s="2">
        <v>27.2</v>
      </c>
      <c r="R2878">
        <v>1</v>
      </c>
      <c r="S2878">
        <v>0</v>
      </c>
      <c r="T2878">
        <v>3</v>
      </c>
      <c r="U2878">
        <v>5</v>
      </c>
    </row>
    <row r="2879" spans="1:21" ht="16.5" x14ac:dyDescent="0.3">
      <c r="A2879" t="s">
        <v>2967</v>
      </c>
      <c r="B2879" s="1">
        <v>45719</v>
      </c>
      <c r="C2879">
        <v>2025</v>
      </c>
      <c r="D2879" t="s">
        <v>22</v>
      </c>
      <c r="E2879" t="s">
        <v>402</v>
      </c>
      <c r="F2879" t="s">
        <v>45</v>
      </c>
      <c r="G2879" t="s">
        <v>25</v>
      </c>
      <c r="H2879" t="s">
        <v>32</v>
      </c>
      <c r="I2879" t="s">
        <v>67</v>
      </c>
      <c r="J2879" t="s">
        <v>103</v>
      </c>
      <c r="K2879">
        <v>2</v>
      </c>
      <c r="L2879" s="2">
        <v>83.06</v>
      </c>
      <c r="M2879" s="3">
        <v>0</v>
      </c>
      <c r="N2879" t="s">
        <v>38</v>
      </c>
      <c r="O2879" s="2">
        <v>166.12</v>
      </c>
      <c r="P2879" s="2">
        <v>113.47</v>
      </c>
      <c r="Q2879" s="2">
        <v>52.65</v>
      </c>
      <c r="R2879">
        <v>1</v>
      </c>
      <c r="S2879">
        <v>0</v>
      </c>
      <c r="T2879">
        <v>5</v>
      </c>
      <c r="U2879">
        <v>4</v>
      </c>
    </row>
    <row r="2880" spans="1:21" ht="16.5" x14ac:dyDescent="0.3">
      <c r="A2880" t="s">
        <v>2968</v>
      </c>
      <c r="B2880" s="1">
        <v>45719</v>
      </c>
      <c r="C2880">
        <v>2025</v>
      </c>
      <c r="D2880" t="s">
        <v>22</v>
      </c>
      <c r="E2880" t="s">
        <v>402</v>
      </c>
      <c r="F2880" t="s">
        <v>45</v>
      </c>
      <c r="G2880" t="s">
        <v>51</v>
      </c>
      <c r="H2880" t="s">
        <v>26</v>
      </c>
      <c r="I2880" t="s">
        <v>27</v>
      </c>
      <c r="J2880" t="s">
        <v>33</v>
      </c>
      <c r="K2880">
        <v>1</v>
      </c>
      <c r="L2880" s="2">
        <v>78.510000000000005</v>
      </c>
      <c r="M2880" s="3">
        <v>0.1</v>
      </c>
      <c r="N2880" t="s">
        <v>29</v>
      </c>
      <c r="O2880" s="2">
        <v>70.66</v>
      </c>
      <c r="P2880" s="2">
        <v>44.03</v>
      </c>
      <c r="Q2880" s="2">
        <v>26.63</v>
      </c>
      <c r="R2880">
        <v>1</v>
      </c>
      <c r="S2880">
        <v>0</v>
      </c>
      <c r="T2880">
        <v>3</v>
      </c>
      <c r="U2880">
        <v>5</v>
      </c>
    </row>
    <row r="2881" spans="1:21" ht="16.5" x14ac:dyDescent="0.3">
      <c r="A2881" t="s">
        <v>2969</v>
      </c>
      <c r="B2881" s="1">
        <v>45719</v>
      </c>
      <c r="C2881">
        <v>2025</v>
      </c>
      <c r="D2881" t="s">
        <v>22</v>
      </c>
      <c r="E2881" t="s">
        <v>402</v>
      </c>
      <c r="F2881" t="s">
        <v>24</v>
      </c>
      <c r="G2881" t="s">
        <v>51</v>
      </c>
      <c r="H2881" t="s">
        <v>26</v>
      </c>
      <c r="I2881" t="s">
        <v>84</v>
      </c>
      <c r="J2881" t="s">
        <v>223</v>
      </c>
      <c r="K2881">
        <v>2</v>
      </c>
      <c r="L2881" s="2">
        <v>16.97</v>
      </c>
      <c r="M2881" s="3">
        <v>0.05</v>
      </c>
      <c r="N2881" t="s">
        <v>29</v>
      </c>
      <c r="O2881" s="2">
        <v>32.24</v>
      </c>
      <c r="P2881" s="2">
        <v>25.03</v>
      </c>
      <c r="Q2881" s="2">
        <v>7.21</v>
      </c>
      <c r="R2881">
        <v>1</v>
      </c>
      <c r="S2881">
        <v>0</v>
      </c>
      <c r="T2881">
        <v>4</v>
      </c>
      <c r="U2881">
        <v>5</v>
      </c>
    </row>
    <row r="2882" spans="1:21" ht="16.5" x14ac:dyDescent="0.3">
      <c r="A2882" t="s">
        <v>2970</v>
      </c>
      <c r="B2882" s="1">
        <v>45720</v>
      </c>
      <c r="C2882">
        <v>2025</v>
      </c>
      <c r="D2882" t="s">
        <v>22</v>
      </c>
      <c r="E2882" t="s">
        <v>402</v>
      </c>
      <c r="F2882" t="s">
        <v>24</v>
      </c>
      <c r="G2882" t="s">
        <v>46</v>
      </c>
      <c r="H2882" t="s">
        <v>26</v>
      </c>
      <c r="I2882" t="s">
        <v>70</v>
      </c>
      <c r="J2882" t="s">
        <v>87</v>
      </c>
      <c r="K2882">
        <v>1</v>
      </c>
      <c r="L2882" s="2">
        <v>490.3</v>
      </c>
      <c r="M2882" s="3">
        <v>0.05</v>
      </c>
      <c r="N2882" t="s">
        <v>29</v>
      </c>
      <c r="O2882" s="2">
        <v>465.78</v>
      </c>
      <c r="P2882" s="2">
        <v>398.12</v>
      </c>
      <c r="Q2882" s="2">
        <v>67.66</v>
      </c>
      <c r="R2882">
        <v>1</v>
      </c>
      <c r="S2882">
        <v>0</v>
      </c>
      <c r="T2882">
        <v>5</v>
      </c>
      <c r="U2882">
        <v>4</v>
      </c>
    </row>
    <row r="2883" spans="1:21" ht="16.5" x14ac:dyDescent="0.3">
      <c r="A2883" t="s">
        <v>2971</v>
      </c>
      <c r="B2883" s="1">
        <v>45720</v>
      </c>
      <c r="C2883">
        <v>2025</v>
      </c>
      <c r="D2883" t="s">
        <v>22</v>
      </c>
      <c r="E2883" t="s">
        <v>402</v>
      </c>
      <c r="F2883" t="s">
        <v>31</v>
      </c>
      <c r="G2883" t="s">
        <v>51</v>
      </c>
      <c r="H2883" t="s">
        <v>32</v>
      </c>
      <c r="I2883" t="s">
        <v>27</v>
      </c>
      <c r="J2883" t="s">
        <v>60</v>
      </c>
      <c r="K2883">
        <v>2</v>
      </c>
      <c r="L2883" s="2">
        <v>94.85</v>
      </c>
      <c r="M2883" s="3">
        <v>0</v>
      </c>
      <c r="N2883" t="s">
        <v>38</v>
      </c>
      <c r="O2883" s="2">
        <v>189.7</v>
      </c>
      <c r="P2883" s="2">
        <v>104.05</v>
      </c>
      <c r="Q2883" s="2">
        <v>85.65</v>
      </c>
      <c r="R2883">
        <v>1</v>
      </c>
      <c r="S2883">
        <v>0</v>
      </c>
      <c r="T2883">
        <v>4</v>
      </c>
      <c r="U2883">
        <v>5</v>
      </c>
    </row>
    <row r="2884" spans="1:21" ht="16.5" x14ac:dyDescent="0.3">
      <c r="A2884" t="s">
        <v>2972</v>
      </c>
      <c r="B2884" s="1">
        <v>45720</v>
      </c>
      <c r="C2884">
        <v>2025</v>
      </c>
      <c r="D2884" t="s">
        <v>22</v>
      </c>
      <c r="E2884" t="s">
        <v>402</v>
      </c>
      <c r="F2884" t="s">
        <v>24</v>
      </c>
      <c r="G2884" t="s">
        <v>25</v>
      </c>
      <c r="H2884" t="s">
        <v>32</v>
      </c>
      <c r="I2884" t="s">
        <v>70</v>
      </c>
      <c r="J2884" t="s">
        <v>129</v>
      </c>
      <c r="K2884">
        <v>1</v>
      </c>
      <c r="L2884" s="2">
        <v>177.65</v>
      </c>
      <c r="M2884" s="3">
        <v>0</v>
      </c>
      <c r="N2884" t="s">
        <v>38</v>
      </c>
      <c r="O2884" s="2">
        <v>177.65</v>
      </c>
      <c r="P2884" s="2">
        <v>148.19999999999999</v>
      </c>
      <c r="Q2884" s="2">
        <v>29.45</v>
      </c>
      <c r="R2884">
        <v>1</v>
      </c>
      <c r="S2884">
        <v>0</v>
      </c>
      <c r="T2884">
        <v>5</v>
      </c>
      <c r="U2884">
        <v>5</v>
      </c>
    </row>
    <row r="2885" spans="1:21" ht="16.5" x14ac:dyDescent="0.3">
      <c r="A2885" t="s">
        <v>2973</v>
      </c>
      <c r="B2885" s="1">
        <v>45720</v>
      </c>
      <c r="C2885">
        <v>2025</v>
      </c>
      <c r="D2885" t="s">
        <v>22</v>
      </c>
      <c r="E2885" t="s">
        <v>402</v>
      </c>
      <c r="F2885" t="s">
        <v>31</v>
      </c>
      <c r="G2885" t="s">
        <v>25</v>
      </c>
      <c r="H2885" t="s">
        <v>26</v>
      </c>
      <c r="I2885" t="s">
        <v>36</v>
      </c>
      <c r="J2885" t="s">
        <v>115</v>
      </c>
      <c r="K2885">
        <v>1</v>
      </c>
      <c r="L2885" s="2">
        <v>33.479999999999997</v>
      </c>
      <c r="M2885" s="3">
        <v>0.05</v>
      </c>
      <c r="N2885" t="s">
        <v>29</v>
      </c>
      <c r="O2885" s="2">
        <v>31.81</v>
      </c>
      <c r="P2885" s="2">
        <v>16.28</v>
      </c>
      <c r="Q2885" s="2">
        <v>15.53</v>
      </c>
      <c r="R2885">
        <v>1</v>
      </c>
      <c r="S2885">
        <v>0</v>
      </c>
      <c r="T2885">
        <v>3</v>
      </c>
      <c r="U2885">
        <v>4</v>
      </c>
    </row>
    <row r="2886" spans="1:21" ht="16.5" x14ac:dyDescent="0.3">
      <c r="A2886" t="s">
        <v>2974</v>
      </c>
      <c r="B2886" s="1">
        <v>45721</v>
      </c>
      <c r="C2886">
        <v>2025</v>
      </c>
      <c r="D2886" t="s">
        <v>22</v>
      </c>
      <c r="E2886" t="s">
        <v>402</v>
      </c>
      <c r="F2886" t="s">
        <v>24</v>
      </c>
      <c r="G2886" t="s">
        <v>49</v>
      </c>
      <c r="H2886" t="s">
        <v>32</v>
      </c>
      <c r="I2886" t="s">
        <v>42</v>
      </c>
      <c r="J2886" t="s">
        <v>54</v>
      </c>
      <c r="K2886">
        <v>1</v>
      </c>
      <c r="L2886" s="2">
        <v>148.05000000000001</v>
      </c>
      <c r="M2886" s="3">
        <v>0.1</v>
      </c>
      <c r="N2886" t="s">
        <v>29</v>
      </c>
      <c r="O2886" s="2">
        <v>133.24</v>
      </c>
      <c r="P2886" s="2">
        <v>97.53</v>
      </c>
      <c r="Q2886" s="2">
        <v>35.71</v>
      </c>
      <c r="R2886">
        <v>1</v>
      </c>
      <c r="S2886">
        <v>0</v>
      </c>
      <c r="T2886">
        <v>4</v>
      </c>
      <c r="U2886">
        <v>5</v>
      </c>
    </row>
    <row r="2887" spans="1:21" ht="16.5" x14ac:dyDescent="0.3">
      <c r="A2887" t="s">
        <v>2975</v>
      </c>
      <c r="B2887" s="1">
        <v>45721</v>
      </c>
      <c r="C2887">
        <v>2025</v>
      </c>
      <c r="D2887" t="s">
        <v>22</v>
      </c>
      <c r="E2887" t="s">
        <v>402</v>
      </c>
      <c r="F2887" t="s">
        <v>31</v>
      </c>
      <c r="G2887" t="s">
        <v>25</v>
      </c>
      <c r="H2887" t="s">
        <v>26</v>
      </c>
      <c r="I2887" t="s">
        <v>27</v>
      </c>
      <c r="J2887" t="s">
        <v>33</v>
      </c>
      <c r="K2887">
        <v>1</v>
      </c>
      <c r="L2887" s="2">
        <v>78.510000000000005</v>
      </c>
      <c r="M2887" s="3">
        <v>0.05</v>
      </c>
      <c r="N2887" t="s">
        <v>29</v>
      </c>
      <c r="O2887" s="2">
        <v>74.58</v>
      </c>
      <c r="P2887" s="2">
        <v>41.22</v>
      </c>
      <c r="Q2887" s="2">
        <v>33.36</v>
      </c>
      <c r="R2887">
        <v>1</v>
      </c>
      <c r="S2887">
        <v>0</v>
      </c>
      <c r="T2887">
        <v>3</v>
      </c>
      <c r="U2887">
        <v>5</v>
      </c>
    </row>
    <row r="2888" spans="1:21" ht="16.5" x14ac:dyDescent="0.3">
      <c r="A2888" t="s">
        <v>2976</v>
      </c>
      <c r="B2888" s="1">
        <v>45721</v>
      </c>
      <c r="C2888">
        <v>2025</v>
      </c>
      <c r="D2888" t="s">
        <v>22</v>
      </c>
      <c r="E2888" t="s">
        <v>402</v>
      </c>
      <c r="F2888" t="s">
        <v>31</v>
      </c>
      <c r="G2888" t="s">
        <v>65</v>
      </c>
      <c r="H2888" t="s">
        <v>32</v>
      </c>
      <c r="I2888" t="s">
        <v>70</v>
      </c>
      <c r="J2888" t="s">
        <v>129</v>
      </c>
      <c r="K2888">
        <v>1</v>
      </c>
      <c r="L2888" s="2">
        <v>177.65</v>
      </c>
      <c r="M2888" s="3">
        <v>0</v>
      </c>
      <c r="N2888" t="s">
        <v>38</v>
      </c>
      <c r="O2888" s="2">
        <v>177.65</v>
      </c>
      <c r="P2888" s="2">
        <v>140.38</v>
      </c>
      <c r="Q2888" s="2">
        <v>37.270000000000003</v>
      </c>
      <c r="R2888">
        <v>1</v>
      </c>
      <c r="S2888">
        <v>1</v>
      </c>
      <c r="T2888">
        <v>5</v>
      </c>
      <c r="U2888">
        <v>3</v>
      </c>
    </row>
    <row r="2889" spans="1:21" ht="16.5" x14ac:dyDescent="0.3">
      <c r="A2889" t="s">
        <v>2977</v>
      </c>
      <c r="B2889" s="1">
        <v>45721</v>
      </c>
      <c r="C2889">
        <v>2025</v>
      </c>
      <c r="D2889" t="s">
        <v>22</v>
      </c>
      <c r="E2889" t="s">
        <v>402</v>
      </c>
      <c r="F2889" t="s">
        <v>24</v>
      </c>
      <c r="G2889" t="s">
        <v>25</v>
      </c>
      <c r="H2889" t="s">
        <v>26</v>
      </c>
      <c r="I2889" t="s">
        <v>42</v>
      </c>
      <c r="J2889" t="s">
        <v>54</v>
      </c>
      <c r="K2889">
        <v>1</v>
      </c>
      <c r="L2889" s="2">
        <v>148.05000000000001</v>
      </c>
      <c r="M2889" s="3">
        <v>0</v>
      </c>
      <c r="N2889" t="s">
        <v>38</v>
      </c>
      <c r="O2889" s="2">
        <v>148.05000000000001</v>
      </c>
      <c r="P2889" s="2">
        <v>100.19</v>
      </c>
      <c r="Q2889" s="2">
        <v>47.86</v>
      </c>
      <c r="R2889">
        <v>1</v>
      </c>
      <c r="S2889">
        <v>0</v>
      </c>
      <c r="T2889">
        <v>3</v>
      </c>
      <c r="U2889">
        <v>4</v>
      </c>
    </row>
    <row r="2890" spans="1:21" ht="16.5" x14ac:dyDescent="0.3">
      <c r="A2890" t="s">
        <v>2978</v>
      </c>
      <c r="B2890" s="1">
        <v>45721</v>
      </c>
      <c r="C2890">
        <v>2025</v>
      </c>
      <c r="D2890" t="s">
        <v>22</v>
      </c>
      <c r="E2890" t="s">
        <v>402</v>
      </c>
      <c r="F2890" t="s">
        <v>24</v>
      </c>
      <c r="G2890" t="s">
        <v>25</v>
      </c>
      <c r="H2890" t="s">
        <v>26</v>
      </c>
      <c r="I2890" t="s">
        <v>84</v>
      </c>
      <c r="J2890" t="s">
        <v>223</v>
      </c>
      <c r="K2890">
        <v>1</v>
      </c>
      <c r="L2890" s="2">
        <v>16.97</v>
      </c>
      <c r="M2890" s="3">
        <v>0.1</v>
      </c>
      <c r="N2890" t="s">
        <v>29</v>
      </c>
      <c r="O2890" s="2">
        <v>15.27</v>
      </c>
      <c r="P2890" s="2">
        <v>11.73</v>
      </c>
      <c r="Q2890" s="2">
        <v>3.54</v>
      </c>
      <c r="R2890">
        <v>1</v>
      </c>
      <c r="S2890">
        <v>0</v>
      </c>
      <c r="T2890">
        <v>3</v>
      </c>
      <c r="U2890">
        <v>4</v>
      </c>
    </row>
    <row r="2891" spans="1:21" ht="16.5" x14ac:dyDescent="0.3">
      <c r="A2891" t="s">
        <v>2979</v>
      </c>
      <c r="B2891" s="1">
        <v>45721</v>
      </c>
      <c r="C2891">
        <v>2025</v>
      </c>
      <c r="D2891" t="s">
        <v>22</v>
      </c>
      <c r="E2891" t="s">
        <v>402</v>
      </c>
      <c r="F2891" t="s">
        <v>31</v>
      </c>
      <c r="G2891" t="s">
        <v>25</v>
      </c>
      <c r="H2891" t="s">
        <v>26</v>
      </c>
      <c r="I2891" t="s">
        <v>42</v>
      </c>
      <c r="J2891" t="s">
        <v>54</v>
      </c>
      <c r="K2891">
        <v>1</v>
      </c>
      <c r="L2891" s="2">
        <v>148.05000000000001</v>
      </c>
      <c r="M2891" s="3">
        <v>0</v>
      </c>
      <c r="N2891" t="s">
        <v>38</v>
      </c>
      <c r="O2891" s="2">
        <v>148.05000000000001</v>
      </c>
      <c r="P2891" s="2">
        <v>99.1</v>
      </c>
      <c r="Q2891" s="2">
        <v>48.95</v>
      </c>
      <c r="R2891">
        <v>1</v>
      </c>
      <c r="S2891">
        <v>0</v>
      </c>
      <c r="T2891">
        <v>4</v>
      </c>
      <c r="U2891">
        <v>4</v>
      </c>
    </row>
    <row r="2892" spans="1:21" ht="16.5" x14ac:dyDescent="0.3">
      <c r="A2892" t="s">
        <v>2980</v>
      </c>
      <c r="B2892" s="1">
        <v>45721</v>
      </c>
      <c r="C2892">
        <v>2025</v>
      </c>
      <c r="D2892" t="s">
        <v>22</v>
      </c>
      <c r="E2892" t="s">
        <v>402</v>
      </c>
      <c r="F2892" t="s">
        <v>24</v>
      </c>
      <c r="G2892" t="s">
        <v>51</v>
      </c>
      <c r="H2892" t="s">
        <v>32</v>
      </c>
      <c r="I2892" t="s">
        <v>42</v>
      </c>
      <c r="J2892" t="s">
        <v>54</v>
      </c>
      <c r="K2892">
        <v>2</v>
      </c>
      <c r="L2892" s="2">
        <v>148.05000000000001</v>
      </c>
      <c r="M2892" s="3">
        <v>0</v>
      </c>
      <c r="N2892" t="s">
        <v>38</v>
      </c>
      <c r="O2892" s="2">
        <v>296.10000000000002</v>
      </c>
      <c r="P2892" s="2">
        <v>199.28</v>
      </c>
      <c r="Q2892" s="2">
        <v>96.82</v>
      </c>
      <c r="R2892">
        <v>1</v>
      </c>
      <c r="S2892">
        <v>0</v>
      </c>
      <c r="T2892">
        <v>2</v>
      </c>
      <c r="U2892">
        <v>4</v>
      </c>
    </row>
    <row r="2893" spans="1:21" ht="16.5" x14ac:dyDescent="0.3">
      <c r="A2893" t="s">
        <v>2981</v>
      </c>
      <c r="B2893" s="1">
        <v>45721</v>
      </c>
      <c r="C2893">
        <v>2025</v>
      </c>
      <c r="D2893" t="s">
        <v>22</v>
      </c>
      <c r="E2893" t="s">
        <v>402</v>
      </c>
      <c r="F2893" t="s">
        <v>45</v>
      </c>
      <c r="G2893" t="s">
        <v>25</v>
      </c>
      <c r="H2893" t="s">
        <v>32</v>
      </c>
      <c r="I2893" t="s">
        <v>27</v>
      </c>
      <c r="J2893" t="s">
        <v>110</v>
      </c>
      <c r="K2893">
        <v>1</v>
      </c>
      <c r="L2893" s="2">
        <v>19.41</v>
      </c>
      <c r="M2893" s="3">
        <v>0.2</v>
      </c>
      <c r="N2893" t="s">
        <v>34</v>
      </c>
      <c r="O2893" s="2">
        <v>15.53</v>
      </c>
      <c r="P2893" s="2">
        <v>10.42</v>
      </c>
      <c r="Q2893" s="2">
        <v>5.1100000000000003</v>
      </c>
      <c r="R2893">
        <v>1</v>
      </c>
      <c r="S2893">
        <v>0</v>
      </c>
      <c r="T2893">
        <v>3</v>
      </c>
      <c r="U2893">
        <v>5</v>
      </c>
    </row>
    <row r="2894" spans="1:21" ht="16.5" x14ac:dyDescent="0.3">
      <c r="A2894" t="s">
        <v>2982</v>
      </c>
      <c r="B2894" s="1">
        <v>45721</v>
      </c>
      <c r="C2894">
        <v>2025</v>
      </c>
      <c r="D2894" t="s">
        <v>22</v>
      </c>
      <c r="E2894" t="s">
        <v>402</v>
      </c>
      <c r="F2894" t="s">
        <v>24</v>
      </c>
      <c r="G2894" t="s">
        <v>49</v>
      </c>
      <c r="H2894" t="s">
        <v>32</v>
      </c>
      <c r="I2894" t="s">
        <v>84</v>
      </c>
      <c r="J2894" t="s">
        <v>96</v>
      </c>
      <c r="K2894">
        <v>1</v>
      </c>
      <c r="L2894" s="2">
        <v>10.76</v>
      </c>
      <c r="M2894" s="3">
        <v>0.3</v>
      </c>
      <c r="N2894" t="s">
        <v>62</v>
      </c>
      <c r="O2894" s="2">
        <v>7.53</v>
      </c>
      <c r="P2894" s="2">
        <v>7.6</v>
      </c>
      <c r="Q2894" s="2">
        <v>-7.0000000000000007E-2</v>
      </c>
      <c r="R2894">
        <v>1</v>
      </c>
      <c r="S2894">
        <v>0</v>
      </c>
      <c r="T2894">
        <v>4</v>
      </c>
      <c r="U2894">
        <v>5</v>
      </c>
    </row>
    <row r="2895" spans="1:21" ht="16.5" x14ac:dyDescent="0.3">
      <c r="A2895" t="s">
        <v>2983</v>
      </c>
      <c r="B2895" s="1">
        <v>45722</v>
      </c>
      <c r="C2895">
        <v>2025</v>
      </c>
      <c r="D2895" t="s">
        <v>22</v>
      </c>
      <c r="E2895" t="s">
        <v>402</v>
      </c>
      <c r="F2895" t="s">
        <v>31</v>
      </c>
      <c r="G2895" t="s">
        <v>25</v>
      </c>
      <c r="H2895" t="s">
        <v>26</v>
      </c>
      <c r="I2895" t="s">
        <v>42</v>
      </c>
      <c r="J2895" t="s">
        <v>54</v>
      </c>
      <c r="K2895">
        <v>1</v>
      </c>
      <c r="L2895" s="2">
        <v>148.05000000000001</v>
      </c>
      <c r="M2895" s="3">
        <v>0.15</v>
      </c>
      <c r="N2895" t="s">
        <v>34</v>
      </c>
      <c r="O2895" s="2">
        <v>125.84</v>
      </c>
      <c r="P2895" s="2">
        <v>92.56</v>
      </c>
      <c r="Q2895" s="2">
        <v>33.28</v>
      </c>
      <c r="R2895">
        <v>1</v>
      </c>
      <c r="S2895">
        <v>0</v>
      </c>
      <c r="T2895">
        <v>4</v>
      </c>
      <c r="U2895">
        <v>4</v>
      </c>
    </row>
    <row r="2896" spans="1:21" ht="16.5" x14ac:dyDescent="0.3">
      <c r="A2896" t="s">
        <v>2984</v>
      </c>
      <c r="B2896" s="1">
        <v>45722</v>
      </c>
      <c r="C2896">
        <v>2025</v>
      </c>
      <c r="D2896" t="s">
        <v>22</v>
      </c>
      <c r="E2896" t="s">
        <v>402</v>
      </c>
      <c r="F2896" t="s">
        <v>45</v>
      </c>
      <c r="G2896" t="s">
        <v>25</v>
      </c>
      <c r="H2896" t="s">
        <v>26</v>
      </c>
      <c r="I2896" t="s">
        <v>27</v>
      </c>
      <c r="J2896" t="s">
        <v>28</v>
      </c>
      <c r="K2896">
        <v>1</v>
      </c>
      <c r="L2896" s="2">
        <v>138.5</v>
      </c>
      <c r="M2896" s="3">
        <v>0</v>
      </c>
      <c r="N2896" t="s">
        <v>38</v>
      </c>
      <c r="O2896" s="2">
        <v>138.5</v>
      </c>
      <c r="P2896" s="2">
        <v>73.31</v>
      </c>
      <c r="Q2896" s="2">
        <v>65.19</v>
      </c>
      <c r="R2896">
        <v>1</v>
      </c>
      <c r="S2896">
        <v>1</v>
      </c>
      <c r="T2896">
        <v>4</v>
      </c>
      <c r="U2896">
        <v>4</v>
      </c>
    </row>
    <row r="2897" spans="1:21" ht="16.5" x14ac:dyDescent="0.3">
      <c r="A2897" t="s">
        <v>2985</v>
      </c>
      <c r="B2897" s="1">
        <v>45722</v>
      </c>
      <c r="C2897">
        <v>2025</v>
      </c>
      <c r="D2897" t="s">
        <v>22</v>
      </c>
      <c r="E2897" t="s">
        <v>402</v>
      </c>
      <c r="F2897" t="s">
        <v>31</v>
      </c>
      <c r="G2897" t="s">
        <v>65</v>
      </c>
      <c r="H2897" t="s">
        <v>32</v>
      </c>
      <c r="I2897" t="s">
        <v>42</v>
      </c>
      <c r="J2897" t="s">
        <v>89</v>
      </c>
      <c r="K2897">
        <v>2</v>
      </c>
      <c r="L2897" s="2">
        <v>68.349999999999994</v>
      </c>
      <c r="M2897" s="3">
        <v>0.3</v>
      </c>
      <c r="N2897" t="s">
        <v>62</v>
      </c>
      <c r="O2897" s="2">
        <v>95.69</v>
      </c>
      <c r="P2897" s="2">
        <v>95</v>
      </c>
      <c r="Q2897" s="2">
        <v>0.69</v>
      </c>
      <c r="R2897">
        <v>1</v>
      </c>
      <c r="S2897">
        <v>0</v>
      </c>
      <c r="T2897">
        <v>5</v>
      </c>
      <c r="U2897">
        <v>4</v>
      </c>
    </row>
    <row r="2898" spans="1:21" ht="16.5" x14ac:dyDescent="0.3">
      <c r="A2898" t="s">
        <v>2986</v>
      </c>
      <c r="B2898" s="1">
        <v>45722</v>
      </c>
      <c r="C2898">
        <v>2025</v>
      </c>
      <c r="D2898" t="s">
        <v>22</v>
      </c>
      <c r="E2898" t="s">
        <v>402</v>
      </c>
      <c r="F2898" t="s">
        <v>24</v>
      </c>
      <c r="G2898" t="s">
        <v>46</v>
      </c>
      <c r="H2898" t="s">
        <v>26</v>
      </c>
      <c r="I2898" t="s">
        <v>36</v>
      </c>
      <c r="J2898" t="s">
        <v>115</v>
      </c>
      <c r="K2898">
        <v>1</v>
      </c>
      <c r="L2898" s="2">
        <v>33.479999999999997</v>
      </c>
      <c r="M2898" s="3">
        <v>0</v>
      </c>
      <c r="N2898" t="s">
        <v>38</v>
      </c>
      <c r="O2898" s="2">
        <v>33.479999999999997</v>
      </c>
      <c r="P2898" s="2">
        <v>15.77</v>
      </c>
      <c r="Q2898" s="2">
        <v>17.71</v>
      </c>
      <c r="R2898">
        <v>1</v>
      </c>
      <c r="S2898">
        <v>0</v>
      </c>
      <c r="T2898">
        <v>6</v>
      </c>
      <c r="U2898">
        <v>4</v>
      </c>
    </row>
    <row r="2899" spans="1:21" ht="16.5" x14ac:dyDescent="0.3">
      <c r="A2899" t="s">
        <v>2987</v>
      </c>
      <c r="B2899" s="1">
        <v>45722</v>
      </c>
      <c r="C2899">
        <v>2025</v>
      </c>
      <c r="D2899" t="s">
        <v>22</v>
      </c>
      <c r="E2899" t="s">
        <v>402</v>
      </c>
      <c r="F2899" t="s">
        <v>31</v>
      </c>
      <c r="G2899" t="s">
        <v>51</v>
      </c>
      <c r="H2899" t="s">
        <v>32</v>
      </c>
      <c r="I2899" t="s">
        <v>27</v>
      </c>
      <c r="J2899" t="s">
        <v>28</v>
      </c>
      <c r="K2899">
        <v>1</v>
      </c>
      <c r="L2899" s="2">
        <v>138.5</v>
      </c>
      <c r="M2899" s="3">
        <v>0.25</v>
      </c>
      <c r="N2899" t="s">
        <v>62</v>
      </c>
      <c r="O2899" s="2">
        <v>103.88</v>
      </c>
      <c r="P2899" s="2">
        <v>76.709999999999994</v>
      </c>
      <c r="Q2899" s="2">
        <v>27.17</v>
      </c>
      <c r="R2899">
        <v>1</v>
      </c>
      <c r="S2899">
        <v>0</v>
      </c>
      <c r="T2899">
        <v>3</v>
      </c>
      <c r="U2899">
        <v>5</v>
      </c>
    </row>
    <row r="2900" spans="1:21" ht="16.5" x14ac:dyDescent="0.3">
      <c r="A2900" t="s">
        <v>2988</v>
      </c>
      <c r="B2900" s="1">
        <v>45722</v>
      </c>
      <c r="C2900">
        <v>2025</v>
      </c>
      <c r="D2900" t="s">
        <v>22</v>
      </c>
      <c r="E2900" t="s">
        <v>402</v>
      </c>
      <c r="F2900" t="s">
        <v>31</v>
      </c>
      <c r="G2900" t="s">
        <v>49</v>
      </c>
      <c r="H2900" t="s">
        <v>26</v>
      </c>
      <c r="I2900" t="s">
        <v>70</v>
      </c>
      <c r="J2900" t="s">
        <v>82</v>
      </c>
      <c r="K2900">
        <v>1</v>
      </c>
      <c r="L2900" s="2">
        <v>508.8</v>
      </c>
      <c r="M2900" s="3">
        <v>0.1</v>
      </c>
      <c r="N2900" t="s">
        <v>29</v>
      </c>
      <c r="O2900" s="2">
        <v>457.92</v>
      </c>
      <c r="P2900" s="2">
        <v>398.82</v>
      </c>
      <c r="Q2900" s="2">
        <v>59.1</v>
      </c>
      <c r="R2900">
        <v>1</v>
      </c>
      <c r="S2900">
        <v>0</v>
      </c>
      <c r="T2900">
        <v>5</v>
      </c>
      <c r="U2900">
        <v>4</v>
      </c>
    </row>
    <row r="2901" spans="1:21" ht="16.5" x14ac:dyDescent="0.3">
      <c r="A2901" t="s">
        <v>2989</v>
      </c>
      <c r="B2901" s="1">
        <v>45722</v>
      </c>
      <c r="C2901">
        <v>2025</v>
      </c>
      <c r="D2901" t="s">
        <v>22</v>
      </c>
      <c r="E2901" t="s">
        <v>402</v>
      </c>
      <c r="F2901" t="s">
        <v>24</v>
      </c>
      <c r="G2901" t="s">
        <v>65</v>
      </c>
      <c r="H2901" t="s">
        <v>32</v>
      </c>
      <c r="I2901" t="s">
        <v>27</v>
      </c>
      <c r="J2901" t="s">
        <v>47</v>
      </c>
      <c r="K2901">
        <v>1</v>
      </c>
      <c r="L2901" s="2">
        <v>33.99</v>
      </c>
      <c r="M2901" s="3">
        <v>0</v>
      </c>
      <c r="N2901" t="s">
        <v>38</v>
      </c>
      <c r="O2901" s="2">
        <v>33.99</v>
      </c>
      <c r="P2901" s="2">
        <v>18.91</v>
      </c>
      <c r="Q2901" s="2">
        <v>15.08</v>
      </c>
      <c r="R2901">
        <v>1</v>
      </c>
      <c r="S2901">
        <v>0</v>
      </c>
      <c r="T2901">
        <v>5</v>
      </c>
      <c r="U2901">
        <v>5</v>
      </c>
    </row>
    <row r="2902" spans="1:21" ht="16.5" x14ac:dyDescent="0.3">
      <c r="A2902" t="s">
        <v>2990</v>
      </c>
      <c r="B2902" s="1">
        <v>45722</v>
      </c>
      <c r="C2902">
        <v>2025</v>
      </c>
      <c r="D2902" t="s">
        <v>22</v>
      </c>
      <c r="E2902" t="s">
        <v>402</v>
      </c>
      <c r="F2902" t="s">
        <v>31</v>
      </c>
      <c r="G2902" t="s">
        <v>25</v>
      </c>
      <c r="H2902" t="s">
        <v>32</v>
      </c>
      <c r="I2902" t="s">
        <v>84</v>
      </c>
      <c r="J2902" t="s">
        <v>85</v>
      </c>
      <c r="K2902">
        <v>1</v>
      </c>
      <c r="L2902" s="2">
        <v>57.92</v>
      </c>
      <c r="M2902" s="3">
        <v>0.3</v>
      </c>
      <c r="N2902" t="s">
        <v>62</v>
      </c>
      <c r="O2902" s="2">
        <v>40.54</v>
      </c>
      <c r="P2902" s="2">
        <v>41.01</v>
      </c>
      <c r="Q2902" s="2">
        <v>-0.47</v>
      </c>
      <c r="R2902">
        <v>1</v>
      </c>
      <c r="S2902">
        <v>0</v>
      </c>
      <c r="T2902">
        <v>4</v>
      </c>
      <c r="U2902">
        <v>5</v>
      </c>
    </row>
    <row r="2903" spans="1:21" ht="16.5" x14ac:dyDescent="0.3">
      <c r="A2903" t="s">
        <v>2991</v>
      </c>
      <c r="B2903" s="1">
        <v>45722</v>
      </c>
      <c r="C2903">
        <v>2025</v>
      </c>
      <c r="D2903" t="s">
        <v>22</v>
      </c>
      <c r="E2903" t="s">
        <v>402</v>
      </c>
      <c r="F2903" t="s">
        <v>31</v>
      </c>
      <c r="G2903" t="s">
        <v>51</v>
      </c>
      <c r="H2903" t="s">
        <v>32</v>
      </c>
      <c r="I2903" t="s">
        <v>27</v>
      </c>
      <c r="J2903" t="s">
        <v>28</v>
      </c>
      <c r="K2903">
        <v>2</v>
      </c>
      <c r="L2903" s="2">
        <v>138.5</v>
      </c>
      <c r="M2903" s="3">
        <v>0.05</v>
      </c>
      <c r="N2903" t="s">
        <v>29</v>
      </c>
      <c r="O2903" s="2">
        <v>263.14999999999998</v>
      </c>
      <c r="P2903" s="2">
        <v>146.54</v>
      </c>
      <c r="Q2903" s="2">
        <v>116.61</v>
      </c>
      <c r="R2903">
        <v>1</v>
      </c>
      <c r="S2903">
        <v>0</v>
      </c>
      <c r="T2903">
        <v>5</v>
      </c>
      <c r="U2903">
        <v>4</v>
      </c>
    </row>
    <row r="2904" spans="1:21" ht="16.5" x14ac:dyDescent="0.3">
      <c r="A2904" t="s">
        <v>2992</v>
      </c>
      <c r="B2904" s="1">
        <v>45723</v>
      </c>
      <c r="C2904">
        <v>2025</v>
      </c>
      <c r="D2904" t="s">
        <v>22</v>
      </c>
      <c r="E2904" t="s">
        <v>402</v>
      </c>
      <c r="F2904" t="s">
        <v>31</v>
      </c>
      <c r="G2904" t="s">
        <v>25</v>
      </c>
      <c r="H2904" t="s">
        <v>26</v>
      </c>
      <c r="I2904" t="s">
        <v>67</v>
      </c>
      <c r="J2904" t="s">
        <v>103</v>
      </c>
      <c r="K2904">
        <v>1</v>
      </c>
      <c r="L2904" s="2">
        <v>83.06</v>
      </c>
      <c r="M2904" s="3">
        <v>0.2</v>
      </c>
      <c r="N2904" t="s">
        <v>34</v>
      </c>
      <c r="O2904" s="2">
        <v>66.45</v>
      </c>
      <c r="P2904" s="2">
        <v>55.69</v>
      </c>
      <c r="Q2904" s="2">
        <v>10.76</v>
      </c>
      <c r="R2904">
        <v>1</v>
      </c>
      <c r="S2904">
        <v>0</v>
      </c>
      <c r="T2904">
        <v>3</v>
      </c>
      <c r="U2904">
        <v>4</v>
      </c>
    </row>
    <row r="2905" spans="1:21" ht="16.5" x14ac:dyDescent="0.3">
      <c r="A2905" t="s">
        <v>2993</v>
      </c>
      <c r="B2905" s="1">
        <v>45723</v>
      </c>
      <c r="C2905">
        <v>2025</v>
      </c>
      <c r="D2905" t="s">
        <v>22</v>
      </c>
      <c r="E2905" t="s">
        <v>402</v>
      </c>
      <c r="F2905" t="s">
        <v>31</v>
      </c>
      <c r="G2905" t="s">
        <v>51</v>
      </c>
      <c r="H2905" t="s">
        <v>32</v>
      </c>
      <c r="I2905" t="s">
        <v>42</v>
      </c>
      <c r="J2905" t="s">
        <v>58</v>
      </c>
      <c r="K2905">
        <v>3</v>
      </c>
      <c r="L2905" s="2">
        <v>233.81</v>
      </c>
      <c r="M2905" s="3">
        <v>0.1</v>
      </c>
      <c r="N2905" t="s">
        <v>29</v>
      </c>
      <c r="O2905" s="2">
        <v>631.29</v>
      </c>
      <c r="P2905" s="2">
        <v>457.34</v>
      </c>
      <c r="Q2905" s="2">
        <v>173.95</v>
      </c>
      <c r="R2905">
        <v>1</v>
      </c>
      <c r="S2905">
        <v>0</v>
      </c>
      <c r="T2905">
        <v>3</v>
      </c>
      <c r="U2905">
        <v>4</v>
      </c>
    </row>
    <row r="2906" spans="1:21" ht="16.5" x14ac:dyDescent="0.3">
      <c r="A2906" t="s">
        <v>2994</v>
      </c>
      <c r="B2906" s="1">
        <v>45723</v>
      </c>
      <c r="C2906">
        <v>2025</v>
      </c>
      <c r="D2906" t="s">
        <v>22</v>
      </c>
      <c r="E2906" t="s">
        <v>402</v>
      </c>
      <c r="F2906" t="s">
        <v>31</v>
      </c>
      <c r="G2906" t="s">
        <v>51</v>
      </c>
      <c r="H2906" t="s">
        <v>32</v>
      </c>
      <c r="I2906" t="s">
        <v>70</v>
      </c>
      <c r="J2906" t="s">
        <v>87</v>
      </c>
      <c r="K2906">
        <v>1</v>
      </c>
      <c r="L2906" s="2">
        <v>490.3</v>
      </c>
      <c r="M2906" s="3">
        <v>0.15</v>
      </c>
      <c r="N2906" t="s">
        <v>34</v>
      </c>
      <c r="O2906" s="2">
        <v>416.76</v>
      </c>
      <c r="P2906" s="2">
        <v>400.24</v>
      </c>
      <c r="Q2906" s="2">
        <v>16.52</v>
      </c>
      <c r="R2906">
        <v>1</v>
      </c>
      <c r="S2906">
        <v>0</v>
      </c>
      <c r="T2906">
        <v>2</v>
      </c>
      <c r="U2906">
        <v>4</v>
      </c>
    </row>
    <row r="2907" spans="1:21" ht="16.5" x14ac:dyDescent="0.3">
      <c r="A2907" t="s">
        <v>2995</v>
      </c>
      <c r="B2907" s="1">
        <v>45723</v>
      </c>
      <c r="C2907">
        <v>2025</v>
      </c>
      <c r="D2907" t="s">
        <v>22</v>
      </c>
      <c r="E2907" t="s">
        <v>402</v>
      </c>
      <c r="F2907" t="s">
        <v>24</v>
      </c>
      <c r="G2907" t="s">
        <v>25</v>
      </c>
      <c r="H2907" t="s">
        <v>26</v>
      </c>
      <c r="I2907" t="s">
        <v>70</v>
      </c>
      <c r="J2907" t="s">
        <v>82</v>
      </c>
      <c r="K2907">
        <v>1</v>
      </c>
      <c r="L2907" s="2">
        <v>508.8</v>
      </c>
      <c r="M2907" s="3">
        <v>0</v>
      </c>
      <c r="N2907" t="s">
        <v>38</v>
      </c>
      <c r="O2907" s="2">
        <v>508.8</v>
      </c>
      <c r="P2907" s="2">
        <v>402.23</v>
      </c>
      <c r="Q2907" s="2">
        <v>106.57</v>
      </c>
      <c r="R2907">
        <v>1</v>
      </c>
      <c r="S2907">
        <v>0</v>
      </c>
      <c r="T2907">
        <v>3</v>
      </c>
      <c r="U2907">
        <v>5</v>
      </c>
    </row>
    <row r="2908" spans="1:21" ht="16.5" x14ac:dyDescent="0.3">
      <c r="A2908" t="s">
        <v>2996</v>
      </c>
      <c r="B2908" s="1">
        <v>45724</v>
      </c>
      <c r="C2908">
        <v>2025</v>
      </c>
      <c r="D2908" t="s">
        <v>22</v>
      </c>
      <c r="E2908" t="s">
        <v>402</v>
      </c>
      <c r="F2908" t="s">
        <v>24</v>
      </c>
      <c r="G2908" t="s">
        <v>25</v>
      </c>
      <c r="H2908" t="s">
        <v>26</v>
      </c>
      <c r="I2908" t="s">
        <v>36</v>
      </c>
      <c r="J2908" t="s">
        <v>115</v>
      </c>
      <c r="K2908">
        <v>1</v>
      </c>
      <c r="L2908" s="2">
        <v>33.479999999999997</v>
      </c>
      <c r="M2908" s="3">
        <v>0</v>
      </c>
      <c r="N2908" t="s">
        <v>38</v>
      </c>
      <c r="O2908" s="2">
        <v>33.479999999999997</v>
      </c>
      <c r="P2908" s="2">
        <v>16.739999999999998</v>
      </c>
      <c r="Q2908" s="2">
        <v>16.739999999999998</v>
      </c>
      <c r="R2908">
        <v>1</v>
      </c>
      <c r="S2908">
        <v>0</v>
      </c>
      <c r="T2908">
        <v>4</v>
      </c>
      <c r="U2908">
        <v>5</v>
      </c>
    </row>
    <row r="2909" spans="1:21" ht="16.5" x14ac:dyDescent="0.3">
      <c r="A2909" t="s">
        <v>2997</v>
      </c>
      <c r="B2909" s="1">
        <v>45724</v>
      </c>
      <c r="C2909">
        <v>2025</v>
      </c>
      <c r="D2909" t="s">
        <v>22</v>
      </c>
      <c r="E2909" t="s">
        <v>402</v>
      </c>
      <c r="F2909" t="s">
        <v>31</v>
      </c>
      <c r="G2909" t="s">
        <v>25</v>
      </c>
      <c r="H2909" t="s">
        <v>32</v>
      </c>
      <c r="I2909" t="s">
        <v>42</v>
      </c>
      <c r="J2909" t="s">
        <v>43</v>
      </c>
      <c r="K2909">
        <v>1</v>
      </c>
      <c r="L2909" s="2">
        <v>154.66</v>
      </c>
      <c r="M2909" s="3">
        <v>0.15</v>
      </c>
      <c r="N2909" t="s">
        <v>34</v>
      </c>
      <c r="O2909" s="2">
        <v>131.46</v>
      </c>
      <c r="P2909" s="2">
        <v>109.76</v>
      </c>
      <c r="Q2909" s="2">
        <v>21.7</v>
      </c>
      <c r="R2909">
        <v>1</v>
      </c>
      <c r="S2909">
        <v>0</v>
      </c>
      <c r="T2909">
        <v>3</v>
      </c>
      <c r="U2909">
        <v>4</v>
      </c>
    </row>
    <row r="2910" spans="1:21" ht="16.5" x14ac:dyDescent="0.3">
      <c r="A2910" t="s">
        <v>2998</v>
      </c>
      <c r="B2910" s="1">
        <v>45724</v>
      </c>
      <c r="C2910">
        <v>2025</v>
      </c>
      <c r="D2910" t="s">
        <v>22</v>
      </c>
      <c r="E2910" t="s">
        <v>402</v>
      </c>
      <c r="F2910" t="s">
        <v>31</v>
      </c>
      <c r="G2910" t="s">
        <v>51</v>
      </c>
      <c r="H2910" t="s">
        <v>32</v>
      </c>
      <c r="I2910" t="s">
        <v>67</v>
      </c>
      <c r="J2910" t="s">
        <v>103</v>
      </c>
      <c r="K2910">
        <v>1</v>
      </c>
      <c r="L2910" s="2">
        <v>83.06</v>
      </c>
      <c r="M2910" s="3">
        <v>0.1</v>
      </c>
      <c r="N2910" t="s">
        <v>29</v>
      </c>
      <c r="O2910" s="2">
        <v>74.75</v>
      </c>
      <c r="P2910" s="2">
        <v>56.52</v>
      </c>
      <c r="Q2910" s="2">
        <v>18.23</v>
      </c>
      <c r="R2910">
        <v>1</v>
      </c>
      <c r="S2910">
        <v>0</v>
      </c>
      <c r="T2910">
        <v>5</v>
      </c>
      <c r="U2910">
        <v>5</v>
      </c>
    </row>
    <row r="2911" spans="1:21" ht="16.5" x14ac:dyDescent="0.3">
      <c r="A2911" t="s">
        <v>2999</v>
      </c>
      <c r="B2911" s="1">
        <v>45724</v>
      </c>
      <c r="C2911">
        <v>2025</v>
      </c>
      <c r="D2911" t="s">
        <v>22</v>
      </c>
      <c r="E2911" t="s">
        <v>402</v>
      </c>
      <c r="F2911" t="s">
        <v>45</v>
      </c>
      <c r="G2911" t="s">
        <v>49</v>
      </c>
      <c r="H2911" t="s">
        <v>26</v>
      </c>
      <c r="I2911" t="s">
        <v>42</v>
      </c>
      <c r="J2911" t="s">
        <v>98</v>
      </c>
      <c r="K2911">
        <v>2</v>
      </c>
      <c r="L2911" s="2">
        <v>117.63</v>
      </c>
      <c r="M2911" s="3">
        <v>0.2</v>
      </c>
      <c r="N2911" t="s">
        <v>34</v>
      </c>
      <c r="O2911" s="2">
        <v>188.21</v>
      </c>
      <c r="P2911" s="2">
        <v>159.59</v>
      </c>
      <c r="Q2911" s="2">
        <v>28.62</v>
      </c>
      <c r="R2911">
        <v>1</v>
      </c>
      <c r="S2911">
        <v>0</v>
      </c>
      <c r="T2911">
        <v>4</v>
      </c>
      <c r="U2911">
        <v>5</v>
      </c>
    </row>
    <row r="2912" spans="1:21" ht="16.5" x14ac:dyDescent="0.3">
      <c r="A2912" t="s">
        <v>3000</v>
      </c>
      <c r="B2912" s="1">
        <v>45724</v>
      </c>
      <c r="C2912">
        <v>2025</v>
      </c>
      <c r="D2912" t="s">
        <v>22</v>
      </c>
      <c r="E2912" t="s">
        <v>402</v>
      </c>
      <c r="F2912" t="s">
        <v>24</v>
      </c>
      <c r="G2912" t="s">
        <v>51</v>
      </c>
      <c r="H2912" t="s">
        <v>26</v>
      </c>
      <c r="I2912" t="s">
        <v>67</v>
      </c>
      <c r="J2912" t="s">
        <v>103</v>
      </c>
      <c r="K2912">
        <v>1</v>
      </c>
      <c r="L2912" s="2">
        <v>83.06</v>
      </c>
      <c r="M2912" s="3">
        <v>0</v>
      </c>
      <c r="N2912" t="s">
        <v>38</v>
      </c>
      <c r="O2912" s="2">
        <v>83.06</v>
      </c>
      <c r="P2912" s="2">
        <v>56.24</v>
      </c>
      <c r="Q2912" s="2">
        <v>26.82</v>
      </c>
      <c r="R2912">
        <v>1</v>
      </c>
      <c r="S2912">
        <v>0</v>
      </c>
      <c r="T2912">
        <v>3</v>
      </c>
      <c r="U2912">
        <v>4</v>
      </c>
    </row>
    <row r="2913" spans="1:21" ht="16.5" x14ac:dyDescent="0.3">
      <c r="A2913" t="s">
        <v>3001</v>
      </c>
      <c r="B2913" s="1">
        <v>45725</v>
      </c>
      <c r="C2913">
        <v>2025</v>
      </c>
      <c r="D2913" t="s">
        <v>22</v>
      </c>
      <c r="E2913" t="s">
        <v>402</v>
      </c>
      <c r="F2913" t="s">
        <v>31</v>
      </c>
      <c r="G2913" t="s">
        <v>51</v>
      </c>
      <c r="H2913" t="s">
        <v>26</v>
      </c>
      <c r="I2913" t="s">
        <v>27</v>
      </c>
      <c r="J2913" t="s">
        <v>40</v>
      </c>
      <c r="K2913">
        <v>2</v>
      </c>
      <c r="L2913" s="2">
        <v>104.94</v>
      </c>
      <c r="M2913" s="3">
        <v>0.1</v>
      </c>
      <c r="N2913" t="s">
        <v>29</v>
      </c>
      <c r="O2913" s="2">
        <v>188.89</v>
      </c>
      <c r="P2913" s="2">
        <v>112.41</v>
      </c>
      <c r="Q2913" s="2">
        <v>76.48</v>
      </c>
      <c r="R2913">
        <v>1</v>
      </c>
      <c r="S2913">
        <v>1</v>
      </c>
      <c r="T2913">
        <v>4</v>
      </c>
      <c r="U2913">
        <v>3</v>
      </c>
    </row>
    <row r="2914" spans="1:21" ht="16.5" x14ac:dyDescent="0.3">
      <c r="A2914" t="s">
        <v>3002</v>
      </c>
      <c r="B2914" s="1">
        <v>45725</v>
      </c>
      <c r="C2914">
        <v>2025</v>
      </c>
      <c r="D2914" t="s">
        <v>22</v>
      </c>
      <c r="E2914" t="s">
        <v>402</v>
      </c>
      <c r="F2914" t="s">
        <v>24</v>
      </c>
      <c r="G2914" t="s">
        <v>25</v>
      </c>
      <c r="H2914" t="s">
        <v>32</v>
      </c>
      <c r="I2914" t="s">
        <v>42</v>
      </c>
      <c r="J2914" t="s">
        <v>43</v>
      </c>
      <c r="K2914">
        <v>2</v>
      </c>
      <c r="L2914" s="2">
        <v>154.66</v>
      </c>
      <c r="M2914" s="3">
        <v>0.1</v>
      </c>
      <c r="N2914" t="s">
        <v>29</v>
      </c>
      <c r="O2914" s="2">
        <v>278.39</v>
      </c>
      <c r="P2914" s="2">
        <v>209.94</v>
      </c>
      <c r="Q2914" s="2">
        <v>68.45</v>
      </c>
      <c r="R2914">
        <v>1</v>
      </c>
      <c r="S2914">
        <v>0</v>
      </c>
      <c r="T2914">
        <v>5</v>
      </c>
      <c r="U2914">
        <v>5</v>
      </c>
    </row>
    <row r="2915" spans="1:21" ht="16.5" x14ac:dyDescent="0.3">
      <c r="A2915" t="s">
        <v>3003</v>
      </c>
      <c r="B2915" s="1">
        <v>45725</v>
      </c>
      <c r="C2915">
        <v>2025</v>
      </c>
      <c r="D2915" t="s">
        <v>22</v>
      </c>
      <c r="E2915" t="s">
        <v>402</v>
      </c>
      <c r="F2915" t="s">
        <v>31</v>
      </c>
      <c r="G2915" t="s">
        <v>51</v>
      </c>
      <c r="H2915" t="s">
        <v>32</v>
      </c>
      <c r="I2915" t="s">
        <v>67</v>
      </c>
      <c r="J2915" t="s">
        <v>78</v>
      </c>
      <c r="K2915">
        <v>1</v>
      </c>
      <c r="L2915" s="2">
        <v>85.42</v>
      </c>
      <c r="M2915" s="3">
        <v>0.05</v>
      </c>
      <c r="N2915" t="s">
        <v>29</v>
      </c>
      <c r="O2915" s="2">
        <v>81.150000000000006</v>
      </c>
      <c r="P2915" s="2">
        <v>53.6</v>
      </c>
      <c r="Q2915" s="2">
        <v>27.55</v>
      </c>
      <c r="R2915">
        <v>1</v>
      </c>
      <c r="S2915">
        <v>0</v>
      </c>
      <c r="T2915">
        <v>2</v>
      </c>
      <c r="U2915">
        <v>4</v>
      </c>
    </row>
    <row r="2916" spans="1:21" ht="16.5" x14ac:dyDescent="0.3">
      <c r="A2916" t="s">
        <v>3004</v>
      </c>
      <c r="B2916" s="1">
        <v>45725</v>
      </c>
      <c r="C2916">
        <v>2025</v>
      </c>
      <c r="D2916" t="s">
        <v>22</v>
      </c>
      <c r="E2916" t="s">
        <v>402</v>
      </c>
      <c r="F2916" t="s">
        <v>24</v>
      </c>
      <c r="G2916" t="s">
        <v>51</v>
      </c>
      <c r="H2916" t="s">
        <v>26</v>
      </c>
      <c r="I2916" t="s">
        <v>84</v>
      </c>
      <c r="J2916" t="s">
        <v>132</v>
      </c>
      <c r="K2916">
        <v>1</v>
      </c>
      <c r="L2916" s="2">
        <v>48.86</v>
      </c>
      <c r="M2916" s="3">
        <v>0</v>
      </c>
      <c r="N2916" t="s">
        <v>38</v>
      </c>
      <c r="O2916" s="2">
        <v>48.86</v>
      </c>
      <c r="P2916" s="2">
        <v>35.380000000000003</v>
      </c>
      <c r="Q2916" s="2">
        <v>13.48</v>
      </c>
      <c r="R2916">
        <v>1</v>
      </c>
      <c r="S2916">
        <v>0</v>
      </c>
      <c r="T2916">
        <v>3</v>
      </c>
      <c r="U2916">
        <v>4</v>
      </c>
    </row>
    <row r="2917" spans="1:21" ht="16.5" x14ac:dyDescent="0.3">
      <c r="A2917" t="s">
        <v>3005</v>
      </c>
      <c r="B2917" s="1">
        <v>45725</v>
      </c>
      <c r="C2917">
        <v>2025</v>
      </c>
      <c r="D2917" t="s">
        <v>22</v>
      </c>
      <c r="E2917" t="s">
        <v>402</v>
      </c>
      <c r="F2917" t="s">
        <v>31</v>
      </c>
      <c r="G2917" t="s">
        <v>65</v>
      </c>
      <c r="H2917" t="s">
        <v>32</v>
      </c>
      <c r="I2917" t="s">
        <v>27</v>
      </c>
      <c r="J2917" t="s">
        <v>40</v>
      </c>
      <c r="K2917">
        <v>2</v>
      </c>
      <c r="L2917" s="2">
        <v>104.94</v>
      </c>
      <c r="M2917" s="3">
        <v>0</v>
      </c>
      <c r="N2917" t="s">
        <v>38</v>
      </c>
      <c r="O2917" s="2">
        <v>209.88</v>
      </c>
      <c r="P2917" s="2">
        <v>113.36</v>
      </c>
      <c r="Q2917" s="2">
        <v>96.52</v>
      </c>
      <c r="R2917">
        <v>1</v>
      </c>
      <c r="S2917">
        <v>0</v>
      </c>
      <c r="T2917">
        <v>5</v>
      </c>
      <c r="U2917">
        <v>3</v>
      </c>
    </row>
    <row r="2918" spans="1:21" ht="16.5" x14ac:dyDescent="0.3">
      <c r="A2918" t="s">
        <v>3006</v>
      </c>
      <c r="B2918" s="1">
        <v>45725</v>
      </c>
      <c r="C2918">
        <v>2025</v>
      </c>
      <c r="D2918" t="s">
        <v>22</v>
      </c>
      <c r="E2918" t="s">
        <v>402</v>
      </c>
      <c r="F2918" t="s">
        <v>31</v>
      </c>
      <c r="G2918" t="s">
        <v>49</v>
      </c>
      <c r="H2918" t="s">
        <v>32</v>
      </c>
      <c r="I2918" t="s">
        <v>36</v>
      </c>
      <c r="J2918" t="s">
        <v>56</v>
      </c>
      <c r="K2918">
        <v>1</v>
      </c>
      <c r="L2918" s="2">
        <v>74.3</v>
      </c>
      <c r="M2918" s="3">
        <v>0</v>
      </c>
      <c r="N2918" t="s">
        <v>38</v>
      </c>
      <c r="O2918" s="2">
        <v>74.3</v>
      </c>
      <c r="P2918" s="2">
        <v>36.659999999999997</v>
      </c>
      <c r="Q2918" s="2">
        <v>37.64</v>
      </c>
      <c r="R2918">
        <v>1</v>
      </c>
      <c r="S2918">
        <v>0</v>
      </c>
      <c r="T2918">
        <v>6</v>
      </c>
      <c r="U2918">
        <v>3</v>
      </c>
    </row>
    <row r="2919" spans="1:21" ht="16.5" x14ac:dyDescent="0.3">
      <c r="A2919" t="s">
        <v>3007</v>
      </c>
      <c r="B2919" s="1">
        <v>45725</v>
      </c>
      <c r="C2919">
        <v>2025</v>
      </c>
      <c r="D2919" t="s">
        <v>22</v>
      </c>
      <c r="E2919" t="s">
        <v>402</v>
      </c>
      <c r="F2919" t="s">
        <v>31</v>
      </c>
      <c r="G2919" t="s">
        <v>51</v>
      </c>
      <c r="H2919" t="s">
        <v>26</v>
      </c>
      <c r="I2919" t="s">
        <v>27</v>
      </c>
      <c r="J2919" t="s">
        <v>47</v>
      </c>
      <c r="K2919">
        <v>1</v>
      </c>
      <c r="L2919" s="2">
        <v>33.99</v>
      </c>
      <c r="M2919" s="3">
        <v>0.05</v>
      </c>
      <c r="N2919" t="s">
        <v>29</v>
      </c>
      <c r="O2919" s="2">
        <v>32.29</v>
      </c>
      <c r="P2919" s="2">
        <v>18.18</v>
      </c>
      <c r="Q2919" s="2">
        <v>14.11</v>
      </c>
      <c r="R2919">
        <v>1</v>
      </c>
      <c r="S2919">
        <v>0</v>
      </c>
      <c r="T2919">
        <v>4</v>
      </c>
      <c r="U2919">
        <v>5</v>
      </c>
    </row>
    <row r="2920" spans="1:21" ht="16.5" x14ac:dyDescent="0.3">
      <c r="A2920" t="s">
        <v>3008</v>
      </c>
      <c r="B2920" s="1">
        <v>45725</v>
      </c>
      <c r="C2920">
        <v>2025</v>
      </c>
      <c r="D2920" t="s">
        <v>22</v>
      </c>
      <c r="E2920" t="s">
        <v>402</v>
      </c>
      <c r="F2920" t="s">
        <v>31</v>
      </c>
      <c r="G2920" t="s">
        <v>46</v>
      </c>
      <c r="H2920" t="s">
        <v>26</v>
      </c>
      <c r="I2920" t="s">
        <v>70</v>
      </c>
      <c r="J2920" t="s">
        <v>129</v>
      </c>
      <c r="K2920">
        <v>3</v>
      </c>
      <c r="L2920" s="2">
        <v>177.65</v>
      </c>
      <c r="M2920" s="3">
        <v>0</v>
      </c>
      <c r="N2920" t="s">
        <v>38</v>
      </c>
      <c r="O2920" s="2">
        <v>532.95000000000005</v>
      </c>
      <c r="P2920" s="2">
        <v>426.94</v>
      </c>
      <c r="Q2920" s="2">
        <v>106.01</v>
      </c>
      <c r="R2920">
        <v>1</v>
      </c>
      <c r="S2920">
        <v>0</v>
      </c>
      <c r="T2920">
        <v>7</v>
      </c>
      <c r="U2920">
        <v>4</v>
      </c>
    </row>
    <row r="2921" spans="1:21" ht="16.5" x14ac:dyDescent="0.3">
      <c r="A2921" t="s">
        <v>3009</v>
      </c>
      <c r="B2921" s="1">
        <v>45725</v>
      </c>
      <c r="C2921">
        <v>2025</v>
      </c>
      <c r="D2921" t="s">
        <v>22</v>
      </c>
      <c r="E2921" t="s">
        <v>402</v>
      </c>
      <c r="F2921" t="s">
        <v>31</v>
      </c>
      <c r="G2921" t="s">
        <v>51</v>
      </c>
      <c r="H2921" t="s">
        <v>26</v>
      </c>
      <c r="I2921" t="s">
        <v>42</v>
      </c>
      <c r="J2921" t="s">
        <v>76</v>
      </c>
      <c r="K2921">
        <v>1</v>
      </c>
      <c r="L2921" s="2">
        <v>90.75</v>
      </c>
      <c r="M2921" s="3">
        <v>0</v>
      </c>
      <c r="N2921" t="s">
        <v>38</v>
      </c>
      <c r="O2921" s="2">
        <v>90.75</v>
      </c>
      <c r="P2921" s="2">
        <v>55.55</v>
      </c>
      <c r="Q2921" s="2">
        <v>35.200000000000003</v>
      </c>
      <c r="R2921">
        <v>1</v>
      </c>
      <c r="S2921">
        <v>0</v>
      </c>
      <c r="T2921">
        <v>4</v>
      </c>
      <c r="U2921">
        <v>3</v>
      </c>
    </row>
    <row r="2922" spans="1:21" ht="16.5" x14ac:dyDescent="0.3">
      <c r="A2922" t="s">
        <v>3010</v>
      </c>
      <c r="B2922" s="1">
        <v>45725</v>
      </c>
      <c r="C2922">
        <v>2025</v>
      </c>
      <c r="D2922" t="s">
        <v>22</v>
      </c>
      <c r="E2922" t="s">
        <v>402</v>
      </c>
      <c r="F2922" t="s">
        <v>24</v>
      </c>
      <c r="G2922" t="s">
        <v>46</v>
      </c>
      <c r="H2922" t="s">
        <v>32</v>
      </c>
      <c r="I2922" t="s">
        <v>27</v>
      </c>
      <c r="J2922" t="s">
        <v>60</v>
      </c>
      <c r="K2922">
        <v>2</v>
      </c>
      <c r="L2922" s="2">
        <v>94.85</v>
      </c>
      <c r="M2922" s="3">
        <v>0</v>
      </c>
      <c r="N2922" t="s">
        <v>38</v>
      </c>
      <c r="O2922" s="2">
        <v>189.7</v>
      </c>
      <c r="P2922" s="2">
        <v>102.12</v>
      </c>
      <c r="Q2922" s="2">
        <v>87.58</v>
      </c>
      <c r="R2922">
        <v>1</v>
      </c>
      <c r="S2922">
        <v>0</v>
      </c>
      <c r="T2922">
        <v>7</v>
      </c>
      <c r="U2922">
        <v>4</v>
      </c>
    </row>
    <row r="2923" spans="1:21" ht="16.5" x14ac:dyDescent="0.3">
      <c r="A2923" t="s">
        <v>3011</v>
      </c>
      <c r="B2923" s="1">
        <v>45725</v>
      </c>
      <c r="C2923">
        <v>2025</v>
      </c>
      <c r="D2923" t="s">
        <v>22</v>
      </c>
      <c r="E2923" t="s">
        <v>402</v>
      </c>
      <c r="F2923" t="s">
        <v>45</v>
      </c>
      <c r="G2923" t="s">
        <v>65</v>
      </c>
      <c r="H2923" t="s">
        <v>32</v>
      </c>
      <c r="I2923" t="s">
        <v>67</v>
      </c>
      <c r="J2923" t="s">
        <v>174</v>
      </c>
      <c r="K2923">
        <v>1</v>
      </c>
      <c r="L2923" s="2">
        <v>137.05000000000001</v>
      </c>
      <c r="M2923" s="3">
        <v>0.05</v>
      </c>
      <c r="N2923" t="s">
        <v>29</v>
      </c>
      <c r="O2923" s="2">
        <v>130.19999999999999</v>
      </c>
      <c r="P2923" s="2">
        <v>91.69</v>
      </c>
      <c r="Q2923" s="2">
        <v>38.51</v>
      </c>
      <c r="R2923">
        <v>1</v>
      </c>
      <c r="S2923">
        <v>0</v>
      </c>
      <c r="T2923">
        <v>5</v>
      </c>
      <c r="U2923">
        <v>5</v>
      </c>
    </row>
    <row r="2924" spans="1:21" ht="16.5" x14ac:dyDescent="0.3">
      <c r="A2924" t="s">
        <v>3012</v>
      </c>
      <c r="B2924" s="1">
        <v>45726</v>
      </c>
      <c r="C2924">
        <v>2025</v>
      </c>
      <c r="D2924" t="s">
        <v>22</v>
      </c>
      <c r="E2924" t="s">
        <v>402</v>
      </c>
      <c r="F2924" t="s">
        <v>24</v>
      </c>
      <c r="G2924" t="s">
        <v>51</v>
      </c>
      <c r="H2924" t="s">
        <v>26</v>
      </c>
      <c r="I2924" t="s">
        <v>27</v>
      </c>
      <c r="J2924" t="s">
        <v>47</v>
      </c>
      <c r="K2924">
        <v>2</v>
      </c>
      <c r="L2924" s="2">
        <v>33.99</v>
      </c>
      <c r="M2924" s="3">
        <v>0</v>
      </c>
      <c r="N2924" t="s">
        <v>38</v>
      </c>
      <c r="O2924" s="2">
        <v>67.98</v>
      </c>
      <c r="P2924" s="2">
        <v>35.32</v>
      </c>
      <c r="Q2924" s="2">
        <v>32.659999999999997</v>
      </c>
      <c r="R2924">
        <v>1</v>
      </c>
      <c r="S2924">
        <v>0</v>
      </c>
      <c r="T2924">
        <v>2</v>
      </c>
      <c r="U2924">
        <v>4</v>
      </c>
    </row>
    <row r="2925" spans="1:21" ht="16.5" x14ac:dyDescent="0.3">
      <c r="A2925" t="s">
        <v>3013</v>
      </c>
      <c r="B2925" s="1">
        <v>45726</v>
      </c>
      <c r="C2925">
        <v>2025</v>
      </c>
      <c r="D2925" t="s">
        <v>22</v>
      </c>
      <c r="E2925" t="s">
        <v>402</v>
      </c>
      <c r="F2925" t="s">
        <v>24</v>
      </c>
      <c r="G2925" t="s">
        <v>65</v>
      </c>
      <c r="H2925" t="s">
        <v>26</v>
      </c>
      <c r="I2925" t="s">
        <v>70</v>
      </c>
      <c r="J2925" t="s">
        <v>82</v>
      </c>
      <c r="K2925">
        <v>1</v>
      </c>
      <c r="L2925" s="2">
        <v>508.8</v>
      </c>
      <c r="M2925" s="3">
        <v>0.1</v>
      </c>
      <c r="N2925" t="s">
        <v>29</v>
      </c>
      <c r="O2925" s="2">
        <v>457.92</v>
      </c>
      <c r="P2925" s="2">
        <v>406.03</v>
      </c>
      <c r="Q2925" s="2">
        <v>51.89</v>
      </c>
      <c r="R2925">
        <v>1</v>
      </c>
      <c r="S2925">
        <v>0</v>
      </c>
      <c r="T2925">
        <v>5</v>
      </c>
      <c r="U2925">
        <v>5</v>
      </c>
    </row>
    <row r="2926" spans="1:21" ht="16.5" x14ac:dyDescent="0.3">
      <c r="A2926" t="s">
        <v>3014</v>
      </c>
      <c r="B2926" s="1">
        <v>45726</v>
      </c>
      <c r="C2926">
        <v>2025</v>
      </c>
      <c r="D2926" t="s">
        <v>22</v>
      </c>
      <c r="E2926" t="s">
        <v>402</v>
      </c>
      <c r="F2926" t="s">
        <v>24</v>
      </c>
      <c r="G2926" t="s">
        <v>49</v>
      </c>
      <c r="H2926" t="s">
        <v>26</v>
      </c>
      <c r="I2926" t="s">
        <v>70</v>
      </c>
      <c r="J2926" t="s">
        <v>71</v>
      </c>
      <c r="K2926">
        <v>1</v>
      </c>
      <c r="L2926" s="2">
        <v>588.41</v>
      </c>
      <c r="M2926" s="3">
        <v>0.15</v>
      </c>
      <c r="N2926" t="s">
        <v>34</v>
      </c>
      <c r="O2926" s="2">
        <v>500.15</v>
      </c>
      <c r="P2926" s="2">
        <v>457.51</v>
      </c>
      <c r="Q2926" s="2">
        <v>42.64</v>
      </c>
      <c r="R2926">
        <v>1</v>
      </c>
      <c r="S2926">
        <v>1</v>
      </c>
      <c r="T2926">
        <v>3</v>
      </c>
      <c r="U2926">
        <v>3</v>
      </c>
    </row>
    <row r="2927" spans="1:21" ht="16.5" x14ac:dyDescent="0.3">
      <c r="A2927" t="s">
        <v>3015</v>
      </c>
      <c r="B2927" s="1">
        <v>45727</v>
      </c>
      <c r="C2927">
        <v>2025</v>
      </c>
      <c r="D2927" t="s">
        <v>22</v>
      </c>
      <c r="E2927" t="s">
        <v>402</v>
      </c>
      <c r="F2927" t="s">
        <v>31</v>
      </c>
      <c r="G2927" t="s">
        <v>25</v>
      </c>
      <c r="H2927" t="s">
        <v>26</v>
      </c>
      <c r="I2927" t="s">
        <v>70</v>
      </c>
      <c r="J2927" t="s">
        <v>252</v>
      </c>
      <c r="K2927">
        <v>1</v>
      </c>
      <c r="L2927" s="2">
        <v>216.08</v>
      </c>
      <c r="M2927" s="3">
        <v>0</v>
      </c>
      <c r="N2927" t="s">
        <v>38</v>
      </c>
      <c r="O2927" s="2">
        <v>216.08</v>
      </c>
      <c r="P2927" s="2">
        <v>168.35</v>
      </c>
      <c r="Q2927" s="2">
        <v>47.73</v>
      </c>
      <c r="R2927">
        <v>1</v>
      </c>
      <c r="S2927">
        <v>0</v>
      </c>
      <c r="T2927">
        <v>4</v>
      </c>
      <c r="U2927">
        <v>4</v>
      </c>
    </row>
    <row r="2928" spans="1:21" ht="16.5" x14ac:dyDescent="0.3">
      <c r="A2928" t="s">
        <v>3016</v>
      </c>
      <c r="B2928" s="1">
        <v>45727</v>
      </c>
      <c r="C2928">
        <v>2025</v>
      </c>
      <c r="D2928" t="s">
        <v>22</v>
      </c>
      <c r="E2928" t="s">
        <v>402</v>
      </c>
      <c r="F2928" t="s">
        <v>31</v>
      </c>
      <c r="G2928" t="s">
        <v>51</v>
      </c>
      <c r="H2928" t="s">
        <v>32</v>
      </c>
      <c r="I2928" t="s">
        <v>84</v>
      </c>
      <c r="J2928" t="s">
        <v>132</v>
      </c>
      <c r="K2928">
        <v>1</v>
      </c>
      <c r="L2928" s="2">
        <v>48.86</v>
      </c>
      <c r="M2928" s="3">
        <v>0.1</v>
      </c>
      <c r="N2928" t="s">
        <v>29</v>
      </c>
      <c r="O2928" s="2">
        <v>43.97</v>
      </c>
      <c r="P2928" s="2">
        <v>35.79</v>
      </c>
      <c r="Q2928" s="2">
        <v>8.18</v>
      </c>
      <c r="R2928">
        <v>1</v>
      </c>
      <c r="S2928">
        <v>0</v>
      </c>
      <c r="T2928">
        <v>3</v>
      </c>
      <c r="U2928">
        <v>4</v>
      </c>
    </row>
    <row r="2929" spans="1:21" ht="16.5" x14ac:dyDescent="0.3">
      <c r="A2929" t="s">
        <v>3017</v>
      </c>
      <c r="B2929" s="1">
        <v>45727</v>
      </c>
      <c r="C2929">
        <v>2025</v>
      </c>
      <c r="D2929" t="s">
        <v>22</v>
      </c>
      <c r="E2929" t="s">
        <v>402</v>
      </c>
      <c r="F2929" t="s">
        <v>24</v>
      </c>
      <c r="G2929" t="s">
        <v>51</v>
      </c>
      <c r="H2929" t="s">
        <v>26</v>
      </c>
      <c r="I2929" t="s">
        <v>36</v>
      </c>
      <c r="J2929" t="s">
        <v>37</v>
      </c>
      <c r="K2929">
        <v>3</v>
      </c>
      <c r="L2929" s="2">
        <v>33.18</v>
      </c>
      <c r="M2929" s="3">
        <v>0.1</v>
      </c>
      <c r="N2929" t="s">
        <v>29</v>
      </c>
      <c r="O2929" s="2">
        <v>89.59</v>
      </c>
      <c r="P2929" s="2">
        <v>48.19</v>
      </c>
      <c r="Q2929" s="2">
        <v>41.4</v>
      </c>
      <c r="R2929">
        <v>1</v>
      </c>
      <c r="S2929">
        <v>0</v>
      </c>
      <c r="T2929">
        <v>3</v>
      </c>
      <c r="U2929">
        <v>3</v>
      </c>
    </row>
    <row r="2930" spans="1:21" ht="16.5" x14ac:dyDescent="0.3">
      <c r="A2930" t="s">
        <v>3018</v>
      </c>
      <c r="B2930" s="1">
        <v>45727</v>
      </c>
      <c r="C2930">
        <v>2025</v>
      </c>
      <c r="D2930" t="s">
        <v>22</v>
      </c>
      <c r="E2930" t="s">
        <v>402</v>
      </c>
      <c r="F2930" t="s">
        <v>24</v>
      </c>
      <c r="G2930" t="s">
        <v>25</v>
      </c>
      <c r="H2930" t="s">
        <v>32</v>
      </c>
      <c r="I2930" t="s">
        <v>70</v>
      </c>
      <c r="J2930" t="s">
        <v>87</v>
      </c>
      <c r="K2930">
        <v>2</v>
      </c>
      <c r="L2930" s="2">
        <v>490.3</v>
      </c>
      <c r="M2930" s="3">
        <v>0.1</v>
      </c>
      <c r="N2930" t="s">
        <v>29</v>
      </c>
      <c r="O2930" s="2">
        <v>882.54</v>
      </c>
      <c r="P2930" s="2">
        <v>761.36</v>
      </c>
      <c r="Q2930" s="2">
        <v>121.18</v>
      </c>
      <c r="R2930">
        <v>1</v>
      </c>
      <c r="S2930">
        <v>0</v>
      </c>
      <c r="T2930">
        <v>4</v>
      </c>
      <c r="U2930">
        <v>4</v>
      </c>
    </row>
    <row r="2931" spans="1:21" ht="16.5" x14ac:dyDescent="0.3">
      <c r="A2931" t="s">
        <v>3019</v>
      </c>
      <c r="B2931" s="1">
        <v>45728</v>
      </c>
      <c r="C2931">
        <v>2025</v>
      </c>
      <c r="D2931" t="s">
        <v>22</v>
      </c>
      <c r="E2931" t="s">
        <v>402</v>
      </c>
      <c r="F2931" t="s">
        <v>31</v>
      </c>
      <c r="G2931" t="s">
        <v>25</v>
      </c>
      <c r="H2931" t="s">
        <v>32</v>
      </c>
      <c r="I2931" t="s">
        <v>27</v>
      </c>
      <c r="J2931" t="s">
        <v>40</v>
      </c>
      <c r="K2931">
        <v>1</v>
      </c>
      <c r="L2931" s="2">
        <v>104.94</v>
      </c>
      <c r="M2931" s="3">
        <v>0.05</v>
      </c>
      <c r="N2931" t="s">
        <v>29</v>
      </c>
      <c r="O2931" s="2">
        <v>99.69</v>
      </c>
      <c r="P2931" s="2">
        <v>55.52</v>
      </c>
      <c r="Q2931" s="2">
        <v>44.17</v>
      </c>
      <c r="R2931">
        <v>1</v>
      </c>
      <c r="S2931">
        <v>0</v>
      </c>
      <c r="T2931">
        <v>3</v>
      </c>
      <c r="U2931">
        <v>4</v>
      </c>
    </row>
    <row r="2932" spans="1:21" ht="16.5" x14ac:dyDescent="0.3">
      <c r="A2932" t="s">
        <v>3020</v>
      </c>
      <c r="B2932" s="1">
        <v>45728</v>
      </c>
      <c r="C2932">
        <v>2025</v>
      </c>
      <c r="D2932" t="s">
        <v>22</v>
      </c>
      <c r="E2932" t="s">
        <v>402</v>
      </c>
      <c r="F2932" t="s">
        <v>45</v>
      </c>
      <c r="G2932" t="s">
        <v>46</v>
      </c>
      <c r="H2932" t="s">
        <v>26</v>
      </c>
      <c r="I2932" t="s">
        <v>70</v>
      </c>
      <c r="J2932" t="s">
        <v>129</v>
      </c>
      <c r="K2932">
        <v>1</v>
      </c>
      <c r="L2932" s="2">
        <v>177.65</v>
      </c>
      <c r="M2932" s="3">
        <v>0</v>
      </c>
      <c r="N2932" t="s">
        <v>38</v>
      </c>
      <c r="O2932" s="2">
        <v>177.65</v>
      </c>
      <c r="P2932" s="2">
        <v>140.85</v>
      </c>
      <c r="Q2932" s="2">
        <v>36.799999999999997</v>
      </c>
      <c r="R2932">
        <v>1</v>
      </c>
      <c r="S2932">
        <v>0</v>
      </c>
      <c r="T2932">
        <v>5</v>
      </c>
      <c r="U2932">
        <v>3</v>
      </c>
    </row>
    <row r="2933" spans="1:21" ht="16.5" x14ac:dyDescent="0.3">
      <c r="A2933" t="s">
        <v>3021</v>
      </c>
      <c r="B2933" s="1">
        <v>45728</v>
      </c>
      <c r="C2933">
        <v>2025</v>
      </c>
      <c r="D2933" t="s">
        <v>22</v>
      </c>
      <c r="E2933" t="s">
        <v>402</v>
      </c>
      <c r="F2933" t="s">
        <v>24</v>
      </c>
      <c r="G2933" t="s">
        <v>49</v>
      </c>
      <c r="H2933" t="s">
        <v>32</v>
      </c>
      <c r="I2933" t="s">
        <v>27</v>
      </c>
      <c r="J2933" t="s">
        <v>47</v>
      </c>
      <c r="K2933">
        <v>1</v>
      </c>
      <c r="L2933" s="2">
        <v>33.99</v>
      </c>
      <c r="M2933" s="3">
        <v>0</v>
      </c>
      <c r="N2933" t="s">
        <v>38</v>
      </c>
      <c r="O2933" s="2">
        <v>33.99</v>
      </c>
      <c r="P2933" s="2">
        <v>18.440000000000001</v>
      </c>
      <c r="Q2933" s="2">
        <v>15.55</v>
      </c>
      <c r="R2933">
        <v>1</v>
      </c>
      <c r="S2933">
        <v>1</v>
      </c>
      <c r="T2933">
        <v>4</v>
      </c>
      <c r="U2933">
        <v>4</v>
      </c>
    </row>
    <row r="2934" spans="1:21" ht="16.5" x14ac:dyDescent="0.3">
      <c r="A2934" t="s">
        <v>3022</v>
      </c>
      <c r="B2934" s="1">
        <v>45729</v>
      </c>
      <c r="C2934">
        <v>2025</v>
      </c>
      <c r="D2934" t="s">
        <v>22</v>
      </c>
      <c r="E2934" t="s">
        <v>402</v>
      </c>
      <c r="F2934" t="s">
        <v>45</v>
      </c>
      <c r="G2934" t="s">
        <v>51</v>
      </c>
      <c r="H2934" t="s">
        <v>26</v>
      </c>
      <c r="I2934" t="s">
        <v>36</v>
      </c>
      <c r="J2934" t="s">
        <v>37</v>
      </c>
      <c r="K2934">
        <v>2</v>
      </c>
      <c r="L2934" s="2">
        <v>33.18</v>
      </c>
      <c r="M2934" s="3">
        <v>0.2</v>
      </c>
      <c r="N2934" t="s">
        <v>34</v>
      </c>
      <c r="O2934" s="2">
        <v>53.09</v>
      </c>
      <c r="P2934" s="2">
        <v>30.79</v>
      </c>
      <c r="Q2934" s="2">
        <v>22.3</v>
      </c>
      <c r="R2934">
        <v>1</v>
      </c>
      <c r="S2934">
        <v>0</v>
      </c>
      <c r="T2934">
        <v>2</v>
      </c>
      <c r="U2934">
        <v>5</v>
      </c>
    </row>
    <row r="2935" spans="1:21" ht="16.5" x14ac:dyDescent="0.3">
      <c r="A2935" t="s">
        <v>3023</v>
      </c>
      <c r="B2935" s="1">
        <v>45729</v>
      </c>
      <c r="C2935">
        <v>2025</v>
      </c>
      <c r="D2935" t="s">
        <v>22</v>
      </c>
      <c r="E2935" t="s">
        <v>402</v>
      </c>
      <c r="F2935" t="s">
        <v>45</v>
      </c>
      <c r="G2935" t="s">
        <v>49</v>
      </c>
      <c r="H2935" t="s">
        <v>26</v>
      </c>
      <c r="I2935" t="s">
        <v>70</v>
      </c>
      <c r="J2935" t="s">
        <v>129</v>
      </c>
      <c r="K2935">
        <v>1</v>
      </c>
      <c r="L2935" s="2">
        <v>177.65</v>
      </c>
      <c r="M2935" s="3">
        <v>0.15</v>
      </c>
      <c r="N2935" t="s">
        <v>34</v>
      </c>
      <c r="O2935" s="2">
        <v>151</v>
      </c>
      <c r="P2935" s="2">
        <v>142.15</v>
      </c>
      <c r="Q2935" s="2">
        <v>8.85</v>
      </c>
      <c r="R2935">
        <v>1</v>
      </c>
      <c r="S2935">
        <v>0</v>
      </c>
      <c r="T2935">
        <v>4</v>
      </c>
      <c r="U2935">
        <v>4</v>
      </c>
    </row>
    <row r="2936" spans="1:21" ht="16.5" x14ac:dyDescent="0.3">
      <c r="A2936" t="s">
        <v>3024</v>
      </c>
      <c r="B2936" s="1">
        <v>45729</v>
      </c>
      <c r="C2936">
        <v>2025</v>
      </c>
      <c r="D2936" t="s">
        <v>22</v>
      </c>
      <c r="E2936" t="s">
        <v>402</v>
      </c>
      <c r="F2936" t="s">
        <v>31</v>
      </c>
      <c r="G2936" t="s">
        <v>51</v>
      </c>
      <c r="H2936" t="s">
        <v>32</v>
      </c>
      <c r="I2936" t="s">
        <v>84</v>
      </c>
      <c r="J2936" t="s">
        <v>223</v>
      </c>
      <c r="K2936">
        <v>3</v>
      </c>
      <c r="L2936" s="2">
        <v>16.97</v>
      </c>
      <c r="M2936" s="3">
        <v>0.05</v>
      </c>
      <c r="N2936" t="s">
        <v>29</v>
      </c>
      <c r="O2936" s="2">
        <v>48.36</v>
      </c>
      <c r="P2936" s="2">
        <v>38.020000000000003</v>
      </c>
      <c r="Q2936" s="2">
        <v>10.34</v>
      </c>
      <c r="R2936">
        <v>1</v>
      </c>
      <c r="S2936">
        <v>0</v>
      </c>
      <c r="T2936">
        <v>2</v>
      </c>
      <c r="U2936">
        <v>5</v>
      </c>
    </row>
    <row r="2937" spans="1:21" ht="16.5" x14ac:dyDescent="0.3">
      <c r="A2937" t="s">
        <v>3025</v>
      </c>
      <c r="B2937" s="1">
        <v>45729</v>
      </c>
      <c r="C2937">
        <v>2025</v>
      </c>
      <c r="D2937" t="s">
        <v>22</v>
      </c>
      <c r="E2937" t="s">
        <v>402</v>
      </c>
      <c r="F2937" t="s">
        <v>45</v>
      </c>
      <c r="G2937" t="s">
        <v>25</v>
      </c>
      <c r="H2937" t="s">
        <v>26</v>
      </c>
      <c r="I2937" t="s">
        <v>36</v>
      </c>
      <c r="J2937" t="s">
        <v>56</v>
      </c>
      <c r="K2937">
        <v>1</v>
      </c>
      <c r="L2937" s="2">
        <v>74.3</v>
      </c>
      <c r="M2937" s="3">
        <v>0.2</v>
      </c>
      <c r="N2937" t="s">
        <v>34</v>
      </c>
      <c r="O2937" s="2">
        <v>59.44</v>
      </c>
      <c r="P2937" s="2">
        <v>34.85</v>
      </c>
      <c r="Q2937" s="2">
        <v>24.59</v>
      </c>
      <c r="R2937">
        <v>1</v>
      </c>
      <c r="S2937">
        <v>1</v>
      </c>
      <c r="T2937">
        <v>4</v>
      </c>
      <c r="U2937">
        <v>4</v>
      </c>
    </row>
    <row r="2938" spans="1:21" ht="16.5" x14ac:dyDescent="0.3">
      <c r="A2938" t="s">
        <v>3026</v>
      </c>
      <c r="B2938" s="1">
        <v>45729</v>
      </c>
      <c r="C2938">
        <v>2025</v>
      </c>
      <c r="D2938" t="s">
        <v>22</v>
      </c>
      <c r="E2938" t="s">
        <v>402</v>
      </c>
      <c r="F2938" t="s">
        <v>31</v>
      </c>
      <c r="G2938" t="s">
        <v>51</v>
      </c>
      <c r="H2938" t="s">
        <v>26</v>
      </c>
      <c r="I2938" t="s">
        <v>84</v>
      </c>
      <c r="J2938" t="s">
        <v>223</v>
      </c>
      <c r="K2938">
        <v>1</v>
      </c>
      <c r="L2938" s="2">
        <v>16.97</v>
      </c>
      <c r="M2938" s="3">
        <v>0.3</v>
      </c>
      <c r="N2938" t="s">
        <v>62</v>
      </c>
      <c r="O2938" s="2">
        <v>11.88</v>
      </c>
      <c r="P2938" s="2">
        <v>11.74</v>
      </c>
      <c r="Q2938" s="2">
        <v>0.14000000000000001</v>
      </c>
      <c r="R2938">
        <v>1</v>
      </c>
      <c r="S2938">
        <v>0</v>
      </c>
      <c r="T2938">
        <v>2</v>
      </c>
      <c r="U2938">
        <v>5</v>
      </c>
    </row>
    <row r="2939" spans="1:21" ht="16.5" x14ac:dyDescent="0.3">
      <c r="A2939" t="s">
        <v>3027</v>
      </c>
      <c r="B2939" s="1">
        <v>45729</v>
      </c>
      <c r="C2939">
        <v>2025</v>
      </c>
      <c r="D2939" t="s">
        <v>22</v>
      </c>
      <c r="E2939" t="s">
        <v>402</v>
      </c>
      <c r="F2939" t="s">
        <v>24</v>
      </c>
      <c r="G2939" t="s">
        <v>25</v>
      </c>
      <c r="H2939" t="s">
        <v>32</v>
      </c>
      <c r="I2939" t="s">
        <v>27</v>
      </c>
      <c r="J2939" t="s">
        <v>47</v>
      </c>
      <c r="K2939">
        <v>1</v>
      </c>
      <c r="L2939" s="2">
        <v>33.99</v>
      </c>
      <c r="M2939" s="3">
        <v>0.1</v>
      </c>
      <c r="N2939" t="s">
        <v>29</v>
      </c>
      <c r="O2939" s="2">
        <v>30.59</v>
      </c>
      <c r="P2939" s="2">
        <v>18.95</v>
      </c>
      <c r="Q2939" s="2">
        <v>11.64</v>
      </c>
      <c r="R2939">
        <v>1</v>
      </c>
      <c r="S2939">
        <v>0</v>
      </c>
      <c r="T2939">
        <v>3</v>
      </c>
      <c r="U2939">
        <v>5</v>
      </c>
    </row>
    <row r="2940" spans="1:21" ht="16.5" x14ac:dyDescent="0.3">
      <c r="A2940" t="s">
        <v>3028</v>
      </c>
      <c r="B2940" s="1">
        <v>45729</v>
      </c>
      <c r="C2940">
        <v>2025</v>
      </c>
      <c r="D2940" t="s">
        <v>22</v>
      </c>
      <c r="E2940" t="s">
        <v>402</v>
      </c>
      <c r="F2940" t="s">
        <v>31</v>
      </c>
      <c r="G2940" t="s">
        <v>49</v>
      </c>
      <c r="H2940" t="s">
        <v>32</v>
      </c>
      <c r="I2940" t="s">
        <v>42</v>
      </c>
      <c r="J2940" t="s">
        <v>76</v>
      </c>
      <c r="K2940">
        <v>4</v>
      </c>
      <c r="L2940" s="2">
        <v>90.75</v>
      </c>
      <c r="M2940" s="3">
        <v>0.2</v>
      </c>
      <c r="N2940" t="s">
        <v>34</v>
      </c>
      <c r="O2940" s="2">
        <v>290.39999999999998</v>
      </c>
      <c r="P2940" s="2">
        <v>244.38</v>
      </c>
      <c r="Q2940" s="2">
        <v>46.02</v>
      </c>
      <c r="R2940">
        <v>1</v>
      </c>
      <c r="S2940">
        <v>1</v>
      </c>
      <c r="T2940">
        <v>4</v>
      </c>
      <c r="U2940">
        <v>4</v>
      </c>
    </row>
    <row r="2941" spans="1:21" ht="16.5" x14ac:dyDescent="0.3">
      <c r="A2941" t="s">
        <v>3029</v>
      </c>
      <c r="B2941" s="1">
        <v>45730</v>
      </c>
      <c r="C2941">
        <v>2025</v>
      </c>
      <c r="D2941" t="s">
        <v>22</v>
      </c>
      <c r="E2941" t="s">
        <v>402</v>
      </c>
      <c r="F2941" t="s">
        <v>45</v>
      </c>
      <c r="G2941" t="s">
        <v>49</v>
      </c>
      <c r="H2941" t="s">
        <v>26</v>
      </c>
      <c r="I2941" t="s">
        <v>70</v>
      </c>
      <c r="J2941" t="s">
        <v>252</v>
      </c>
      <c r="K2941">
        <v>2</v>
      </c>
      <c r="L2941" s="2">
        <v>216.08</v>
      </c>
      <c r="M2941" s="3">
        <v>0.1</v>
      </c>
      <c r="N2941" t="s">
        <v>29</v>
      </c>
      <c r="O2941" s="2">
        <v>388.94</v>
      </c>
      <c r="P2941" s="2">
        <v>349.02</v>
      </c>
      <c r="Q2941" s="2">
        <v>39.92</v>
      </c>
      <c r="R2941">
        <v>1</v>
      </c>
      <c r="S2941">
        <v>0</v>
      </c>
      <c r="T2941">
        <v>4</v>
      </c>
      <c r="U2941">
        <v>4</v>
      </c>
    </row>
    <row r="2942" spans="1:21" ht="16.5" x14ac:dyDescent="0.3">
      <c r="A2942" t="s">
        <v>3030</v>
      </c>
      <c r="B2942" s="1">
        <v>45730</v>
      </c>
      <c r="C2942">
        <v>2025</v>
      </c>
      <c r="D2942" t="s">
        <v>22</v>
      </c>
      <c r="E2942" t="s">
        <v>402</v>
      </c>
      <c r="F2942" t="s">
        <v>31</v>
      </c>
      <c r="G2942" t="s">
        <v>46</v>
      </c>
      <c r="H2942" t="s">
        <v>26</v>
      </c>
      <c r="I2942" t="s">
        <v>67</v>
      </c>
      <c r="J2942" t="s">
        <v>174</v>
      </c>
      <c r="K2942">
        <v>1</v>
      </c>
      <c r="L2942" s="2">
        <v>137.05000000000001</v>
      </c>
      <c r="M2942" s="3">
        <v>0.05</v>
      </c>
      <c r="N2942" t="s">
        <v>29</v>
      </c>
      <c r="O2942" s="2">
        <v>130.19999999999999</v>
      </c>
      <c r="P2942" s="2">
        <v>89.93</v>
      </c>
      <c r="Q2942" s="2">
        <v>40.270000000000003</v>
      </c>
      <c r="R2942">
        <v>1</v>
      </c>
      <c r="S2942">
        <v>0</v>
      </c>
      <c r="T2942">
        <v>6</v>
      </c>
      <c r="U2942">
        <v>4</v>
      </c>
    </row>
    <row r="2943" spans="1:21" ht="16.5" x14ac:dyDescent="0.3">
      <c r="A2943" t="s">
        <v>3031</v>
      </c>
      <c r="B2943" s="1">
        <v>45730</v>
      </c>
      <c r="C2943">
        <v>2025</v>
      </c>
      <c r="D2943" t="s">
        <v>22</v>
      </c>
      <c r="E2943" t="s">
        <v>402</v>
      </c>
      <c r="F2943" t="s">
        <v>24</v>
      </c>
      <c r="G2943" t="s">
        <v>25</v>
      </c>
      <c r="H2943" t="s">
        <v>32</v>
      </c>
      <c r="I2943" t="s">
        <v>27</v>
      </c>
      <c r="J2943" t="s">
        <v>28</v>
      </c>
      <c r="K2943">
        <v>2</v>
      </c>
      <c r="L2943" s="2">
        <v>138.5</v>
      </c>
      <c r="M2943" s="3">
        <v>0</v>
      </c>
      <c r="N2943" t="s">
        <v>38</v>
      </c>
      <c r="O2943" s="2">
        <v>277</v>
      </c>
      <c r="P2943" s="2">
        <v>145.11000000000001</v>
      </c>
      <c r="Q2943" s="2">
        <v>131.88999999999999</v>
      </c>
      <c r="R2943">
        <v>1</v>
      </c>
      <c r="S2943">
        <v>0</v>
      </c>
      <c r="T2943">
        <v>4</v>
      </c>
      <c r="U2943">
        <v>4</v>
      </c>
    </row>
    <row r="2944" spans="1:21" ht="16.5" x14ac:dyDescent="0.3">
      <c r="A2944" t="s">
        <v>3032</v>
      </c>
      <c r="B2944" s="1">
        <v>45730</v>
      </c>
      <c r="C2944">
        <v>2025</v>
      </c>
      <c r="D2944" t="s">
        <v>22</v>
      </c>
      <c r="E2944" t="s">
        <v>402</v>
      </c>
      <c r="F2944" t="s">
        <v>45</v>
      </c>
      <c r="G2944" t="s">
        <v>51</v>
      </c>
      <c r="H2944" t="s">
        <v>32</v>
      </c>
      <c r="I2944" t="s">
        <v>42</v>
      </c>
      <c r="J2944" t="s">
        <v>43</v>
      </c>
      <c r="K2944">
        <v>1</v>
      </c>
      <c r="L2944" s="2">
        <v>154.66</v>
      </c>
      <c r="M2944" s="3">
        <v>0.15</v>
      </c>
      <c r="N2944" t="s">
        <v>34</v>
      </c>
      <c r="O2944" s="2">
        <v>131.46</v>
      </c>
      <c r="P2944" s="2">
        <v>103.85</v>
      </c>
      <c r="Q2944" s="2">
        <v>27.61</v>
      </c>
      <c r="R2944">
        <v>1</v>
      </c>
      <c r="S2944">
        <v>0</v>
      </c>
      <c r="T2944">
        <v>2</v>
      </c>
      <c r="U2944">
        <v>4</v>
      </c>
    </row>
    <row r="2945" spans="1:21" ht="16.5" x14ac:dyDescent="0.3">
      <c r="A2945" t="s">
        <v>3033</v>
      </c>
      <c r="B2945" s="1">
        <v>45730</v>
      </c>
      <c r="C2945">
        <v>2025</v>
      </c>
      <c r="D2945" t="s">
        <v>22</v>
      </c>
      <c r="E2945" t="s">
        <v>402</v>
      </c>
      <c r="F2945" t="s">
        <v>24</v>
      </c>
      <c r="G2945" t="s">
        <v>51</v>
      </c>
      <c r="H2945" t="s">
        <v>32</v>
      </c>
      <c r="I2945" t="s">
        <v>42</v>
      </c>
      <c r="J2945" t="s">
        <v>58</v>
      </c>
      <c r="K2945">
        <v>1</v>
      </c>
      <c r="L2945" s="2">
        <v>233.81</v>
      </c>
      <c r="M2945" s="3">
        <v>0.15</v>
      </c>
      <c r="N2945" t="s">
        <v>34</v>
      </c>
      <c r="O2945" s="2">
        <v>198.74</v>
      </c>
      <c r="P2945" s="2">
        <v>153.99</v>
      </c>
      <c r="Q2945" s="2">
        <v>44.75</v>
      </c>
      <c r="R2945">
        <v>1</v>
      </c>
      <c r="S2945">
        <v>1</v>
      </c>
      <c r="T2945">
        <v>3</v>
      </c>
      <c r="U2945">
        <v>3</v>
      </c>
    </row>
    <row r="2946" spans="1:21" ht="16.5" x14ac:dyDescent="0.3">
      <c r="A2946" t="s">
        <v>3034</v>
      </c>
      <c r="B2946" s="1">
        <v>45730</v>
      </c>
      <c r="C2946">
        <v>2025</v>
      </c>
      <c r="D2946" t="s">
        <v>22</v>
      </c>
      <c r="E2946" t="s">
        <v>402</v>
      </c>
      <c r="F2946" t="s">
        <v>45</v>
      </c>
      <c r="G2946" t="s">
        <v>51</v>
      </c>
      <c r="H2946" t="s">
        <v>32</v>
      </c>
      <c r="I2946" t="s">
        <v>27</v>
      </c>
      <c r="J2946" t="s">
        <v>33</v>
      </c>
      <c r="K2946">
        <v>1</v>
      </c>
      <c r="L2946" s="2">
        <v>78.510000000000005</v>
      </c>
      <c r="M2946" s="3">
        <v>0.05</v>
      </c>
      <c r="N2946" t="s">
        <v>29</v>
      </c>
      <c r="O2946" s="2">
        <v>74.58</v>
      </c>
      <c r="P2946" s="2">
        <v>42.7</v>
      </c>
      <c r="Q2946" s="2">
        <v>31.88</v>
      </c>
      <c r="R2946">
        <v>1</v>
      </c>
      <c r="S2946">
        <v>1</v>
      </c>
      <c r="T2946">
        <v>2</v>
      </c>
      <c r="U2946">
        <v>4</v>
      </c>
    </row>
    <row r="2947" spans="1:21" ht="16.5" x14ac:dyDescent="0.3">
      <c r="A2947" t="s">
        <v>3035</v>
      </c>
      <c r="B2947" s="1">
        <v>45730</v>
      </c>
      <c r="C2947">
        <v>2025</v>
      </c>
      <c r="D2947" t="s">
        <v>22</v>
      </c>
      <c r="E2947" t="s">
        <v>402</v>
      </c>
      <c r="F2947" t="s">
        <v>24</v>
      </c>
      <c r="G2947" t="s">
        <v>49</v>
      </c>
      <c r="H2947" t="s">
        <v>32</v>
      </c>
      <c r="I2947" t="s">
        <v>36</v>
      </c>
      <c r="J2947" t="s">
        <v>126</v>
      </c>
      <c r="K2947">
        <v>1</v>
      </c>
      <c r="L2947" s="2">
        <v>54.56</v>
      </c>
      <c r="M2947" s="3">
        <v>0.05</v>
      </c>
      <c r="N2947" t="s">
        <v>29</v>
      </c>
      <c r="O2947" s="2">
        <v>51.83</v>
      </c>
      <c r="P2947" s="2">
        <v>26.97</v>
      </c>
      <c r="Q2947" s="2">
        <v>24.86</v>
      </c>
      <c r="R2947">
        <v>1</v>
      </c>
      <c r="S2947">
        <v>0</v>
      </c>
      <c r="T2947">
        <v>4</v>
      </c>
      <c r="U2947">
        <v>4</v>
      </c>
    </row>
    <row r="2948" spans="1:21" ht="16.5" x14ac:dyDescent="0.3">
      <c r="A2948" t="s">
        <v>3036</v>
      </c>
      <c r="B2948" s="1">
        <v>45731</v>
      </c>
      <c r="C2948">
        <v>2025</v>
      </c>
      <c r="D2948" t="s">
        <v>22</v>
      </c>
      <c r="E2948" t="s">
        <v>402</v>
      </c>
      <c r="F2948" t="s">
        <v>45</v>
      </c>
      <c r="G2948" t="s">
        <v>25</v>
      </c>
      <c r="H2948" t="s">
        <v>26</v>
      </c>
      <c r="I2948" t="s">
        <v>42</v>
      </c>
      <c r="J2948" t="s">
        <v>58</v>
      </c>
      <c r="K2948">
        <v>3</v>
      </c>
      <c r="L2948" s="2">
        <v>233.81</v>
      </c>
      <c r="M2948" s="3">
        <v>0</v>
      </c>
      <c r="N2948" t="s">
        <v>38</v>
      </c>
      <c r="O2948" s="2">
        <v>701.43</v>
      </c>
      <c r="P2948" s="2">
        <v>475.34</v>
      </c>
      <c r="Q2948" s="2">
        <v>226.09</v>
      </c>
      <c r="R2948">
        <v>1</v>
      </c>
      <c r="S2948">
        <v>0</v>
      </c>
      <c r="T2948">
        <v>4</v>
      </c>
      <c r="U2948">
        <v>4</v>
      </c>
    </row>
    <row r="2949" spans="1:21" ht="16.5" x14ac:dyDescent="0.3">
      <c r="A2949" t="s">
        <v>3037</v>
      </c>
      <c r="B2949" s="1">
        <v>45731</v>
      </c>
      <c r="C2949">
        <v>2025</v>
      </c>
      <c r="D2949" t="s">
        <v>22</v>
      </c>
      <c r="E2949" t="s">
        <v>402</v>
      </c>
      <c r="F2949" t="s">
        <v>24</v>
      </c>
      <c r="G2949" t="s">
        <v>65</v>
      </c>
      <c r="H2949" t="s">
        <v>32</v>
      </c>
      <c r="I2949" t="s">
        <v>36</v>
      </c>
      <c r="J2949" t="s">
        <v>37</v>
      </c>
      <c r="K2949">
        <v>1</v>
      </c>
      <c r="L2949" s="2">
        <v>33.18</v>
      </c>
      <c r="M2949" s="3">
        <v>0.1</v>
      </c>
      <c r="N2949" t="s">
        <v>29</v>
      </c>
      <c r="O2949" s="2">
        <v>29.86</v>
      </c>
      <c r="P2949" s="2">
        <v>15.76</v>
      </c>
      <c r="Q2949" s="2">
        <v>14.1</v>
      </c>
      <c r="R2949">
        <v>1</v>
      </c>
      <c r="S2949">
        <v>0</v>
      </c>
      <c r="T2949">
        <v>8</v>
      </c>
      <c r="U2949">
        <v>3</v>
      </c>
    </row>
    <row r="2950" spans="1:21" ht="16.5" x14ac:dyDescent="0.3">
      <c r="A2950" t="s">
        <v>3038</v>
      </c>
      <c r="B2950" s="1">
        <v>45731</v>
      </c>
      <c r="C2950">
        <v>2025</v>
      </c>
      <c r="D2950" t="s">
        <v>22</v>
      </c>
      <c r="E2950" t="s">
        <v>402</v>
      </c>
      <c r="F2950" t="s">
        <v>45</v>
      </c>
      <c r="G2950" t="s">
        <v>51</v>
      </c>
      <c r="H2950" t="s">
        <v>32</v>
      </c>
      <c r="I2950" t="s">
        <v>27</v>
      </c>
      <c r="J2950" t="s">
        <v>40</v>
      </c>
      <c r="K2950">
        <v>1</v>
      </c>
      <c r="L2950" s="2">
        <v>104.94</v>
      </c>
      <c r="M2950" s="3">
        <v>0.2</v>
      </c>
      <c r="N2950" t="s">
        <v>34</v>
      </c>
      <c r="O2950" s="2">
        <v>83.95</v>
      </c>
      <c r="P2950" s="2">
        <v>54.37</v>
      </c>
      <c r="Q2950" s="2">
        <v>29.58</v>
      </c>
      <c r="R2950">
        <v>1</v>
      </c>
      <c r="S2950">
        <v>0</v>
      </c>
      <c r="T2950">
        <v>3</v>
      </c>
      <c r="U2950">
        <v>4</v>
      </c>
    </row>
    <row r="2951" spans="1:21" ht="16.5" x14ac:dyDescent="0.3">
      <c r="A2951" t="s">
        <v>3039</v>
      </c>
      <c r="B2951" s="1">
        <v>45731</v>
      </c>
      <c r="C2951">
        <v>2025</v>
      </c>
      <c r="D2951" t="s">
        <v>22</v>
      </c>
      <c r="E2951" t="s">
        <v>402</v>
      </c>
      <c r="F2951" t="s">
        <v>24</v>
      </c>
      <c r="G2951" t="s">
        <v>46</v>
      </c>
      <c r="H2951" t="s">
        <v>32</v>
      </c>
      <c r="I2951" t="s">
        <v>84</v>
      </c>
      <c r="J2951" t="s">
        <v>85</v>
      </c>
      <c r="K2951">
        <v>1</v>
      </c>
      <c r="L2951" s="2">
        <v>57.92</v>
      </c>
      <c r="M2951" s="3">
        <v>0.3</v>
      </c>
      <c r="N2951" t="s">
        <v>62</v>
      </c>
      <c r="O2951" s="2">
        <v>40.54</v>
      </c>
      <c r="P2951" s="2">
        <v>42.9</v>
      </c>
      <c r="Q2951" s="2">
        <v>-2.36</v>
      </c>
      <c r="R2951">
        <v>1</v>
      </c>
      <c r="S2951">
        <v>0</v>
      </c>
      <c r="T2951">
        <v>5</v>
      </c>
      <c r="U2951">
        <v>4</v>
      </c>
    </row>
    <row r="2952" spans="1:21" ht="16.5" x14ac:dyDescent="0.3">
      <c r="A2952" t="s">
        <v>3040</v>
      </c>
      <c r="B2952" s="1">
        <v>45731</v>
      </c>
      <c r="C2952">
        <v>2025</v>
      </c>
      <c r="D2952" t="s">
        <v>22</v>
      </c>
      <c r="E2952" t="s">
        <v>402</v>
      </c>
      <c r="F2952" t="s">
        <v>24</v>
      </c>
      <c r="G2952" t="s">
        <v>49</v>
      </c>
      <c r="H2952" t="s">
        <v>32</v>
      </c>
      <c r="I2952" t="s">
        <v>70</v>
      </c>
      <c r="J2952" t="s">
        <v>252</v>
      </c>
      <c r="K2952">
        <v>3</v>
      </c>
      <c r="L2952" s="2">
        <v>216.08</v>
      </c>
      <c r="M2952" s="3">
        <v>0.15</v>
      </c>
      <c r="N2952" t="s">
        <v>34</v>
      </c>
      <c r="O2952" s="2">
        <v>551</v>
      </c>
      <c r="P2952" s="2">
        <v>509.62</v>
      </c>
      <c r="Q2952" s="2">
        <v>41.38</v>
      </c>
      <c r="R2952">
        <v>1</v>
      </c>
      <c r="S2952">
        <v>0</v>
      </c>
      <c r="T2952">
        <v>4</v>
      </c>
      <c r="U2952">
        <v>5</v>
      </c>
    </row>
    <row r="2953" spans="1:21" ht="16.5" x14ac:dyDescent="0.3">
      <c r="A2953" t="s">
        <v>3041</v>
      </c>
      <c r="B2953" s="1">
        <v>45731</v>
      </c>
      <c r="C2953">
        <v>2025</v>
      </c>
      <c r="D2953" t="s">
        <v>22</v>
      </c>
      <c r="E2953" t="s">
        <v>402</v>
      </c>
      <c r="F2953" t="s">
        <v>45</v>
      </c>
      <c r="G2953" t="s">
        <v>25</v>
      </c>
      <c r="H2953" t="s">
        <v>32</v>
      </c>
      <c r="I2953" t="s">
        <v>70</v>
      </c>
      <c r="J2953" t="s">
        <v>252</v>
      </c>
      <c r="K2953">
        <v>1</v>
      </c>
      <c r="L2953" s="2">
        <v>216.08</v>
      </c>
      <c r="M2953" s="3">
        <v>0.15</v>
      </c>
      <c r="N2953" t="s">
        <v>34</v>
      </c>
      <c r="O2953" s="2">
        <v>183.67</v>
      </c>
      <c r="P2953" s="2">
        <v>168.06</v>
      </c>
      <c r="Q2953" s="2">
        <v>15.61</v>
      </c>
      <c r="R2953">
        <v>1</v>
      </c>
      <c r="S2953">
        <v>0</v>
      </c>
      <c r="T2953">
        <v>3</v>
      </c>
      <c r="U2953">
        <v>5</v>
      </c>
    </row>
    <row r="2954" spans="1:21" ht="16.5" x14ac:dyDescent="0.3">
      <c r="A2954" t="s">
        <v>3042</v>
      </c>
      <c r="B2954" s="1">
        <v>45731</v>
      </c>
      <c r="C2954">
        <v>2025</v>
      </c>
      <c r="D2954" t="s">
        <v>22</v>
      </c>
      <c r="E2954" t="s">
        <v>402</v>
      </c>
      <c r="F2954" t="s">
        <v>31</v>
      </c>
      <c r="G2954" t="s">
        <v>25</v>
      </c>
      <c r="H2954" t="s">
        <v>32</v>
      </c>
      <c r="I2954" t="s">
        <v>36</v>
      </c>
      <c r="J2954" t="s">
        <v>37</v>
      </c>
      <c r="K2954">
        <v>1</v>
      </c>
      <c r="L2954" s="2">
        <v>33.18</v>
      </c>
      <c r="M2954" s="3">
        <v>0.05</v>
      </c>
      <c r="N2954" t="s">
        <v>29</v>
      </c>
      <c r="O2954" s="2">
        <v>31.52</v>
      </c>
      <c r="P2954" s="2">
        <v>16.71</v>
      </c>
      <c r="Q2954" s="2">
        <v>14.81</v>
      </c>
      <c r="R2954">
        <v>1</v>
      </c>
      <c r="S2954">
        <v>0</v>
      </c>
      <c r="T2954">
        <v>3</v>
      </c>
      <c r="U2954">
        <v>5</v>
      </c>
    </row>
    <row r="2955" spans="1:21" ht="16.5" x14ac:dyDescent="0.3">
      <c r="A2955" t="s">
        <v>3043</v>
      </c>
      <c r="B2955" s="1">
        <v>45732</v>
      </c>
      <c r="C2955">
        <v>2025</v>
      </c>
      <c r="D2955" t="s">
        <v>22</v>
      </c>
      <c r="E2955" t="s">
        <v>402</v>
      </c>
      <c r="F2955" t="s">
        <v>24</v>
      </c>
      <c r="G2955" t="s">
        <v>49</v>
      </c>
      <c r="H2955" t="s">
        <v>26</v>
      </c>
      <c r="I2955" t="s">
        <v>27</v>
      </c>
      <c r="J2955" t="s">
        <v>28</v>
      </c>
      <c r="K2955">
        <v>1</v>
      </c>
      <c r="L2955" s="2">
        <v>138.5</v>
      </c>
      <c r="M2955" s="3">
        <v>0.1</v>
      </c>
      <c r="N2955" t="s">
        <v>29</v>
      </c>
      <c r="O2955" s="2">
        <v>124.65</v>
      </c>
      <c r="P2955" s="2">
        <v>74.33</v>
      </c>
      <c r="Q2955" s="2">
        <v>50.32</v>
      </c>
      <c r="R2955">
        <v>1</v>
      </c>
      <c r="S2955">
        <v>1</v>
      </c>
      <c r="T2955">
        <v>4</v>
      </c>
      <c r="U2955">
        <v>4</v>
      </c>
    </row>
    <row r="2956" spans="1:21" ht="16.5" x14ac:dyDescent="0.3">
      <c r="A2956" t="s">
        <v>3044</v>
      </c>
      <c r="B2956" s="1">
        <v>45732</v>
      </c>
      <c r="C2956">
        <v>2025</v>
      </c>
      <c r="D2956" t="s">
        <v>22</v>
      </c>
      <c r="E2956" t="s">
        <v>402</v>
      </c>
      <c r="F2956" t="s">
        <v>45</v>
      </c>
      <c r="G2956" t="s">
        <v>25</v>
      </c>
      <c r="H2956" t="s">
        <v>32</v>
      </c>
      <c r="I2956" t="s">
        <v>27</v>
      </c>
      <c r="J2956" t="s">
        <v>33</v>
      </c>
      <c r="K2956">
        <v>1</v>
      </c>
      <c r="L2956" s="2">
        <v>78.510000000000005</v>
      </c>
      <c r="M2956" s="3">
        <v>0</v>
      </c>
      <c r="N2956" t="s">
        <v>38</v>
      </c>
      <c r="O2956" s="2">
        <v>78.510000000000005</v>
      </c>
      <c r="P2956" s="2">
        <v>43.96</v>
      </c>
      <c r="Q2956" s="2">
        <v>34.549999999999997</v>
      </c>
      <c r="R2956">
        <v>1</v>
      </c>
      <c r="S2956">
        <v>1</v>
      </c>
      <c r="T2956">
        <v>5</v>
      </c>
      <c r="U2956">
        <v>3</v>
      </c>
    </row>
    <row r="2957" spans="1:21" ht="16.5" x14ac:dyDescent="0.3">
      <c r="A2957" t="s">
        <v>3045</v>
      </c>
      <c r="B2957" s="1">
        <v>45732</v>
      </c>
      <c r="C2957">
        <v>2025</v>
      </c>
      <c r="D2957" t="s">
        <v>22</v>
      </c>
      <c r="E2957" t="s">
        <v>402</v>
      </c>
      <c r="F2957" t="s">
        <v>45</v>
      </c>
      <c r="G2957" t="s">
        <v>49</v>
      </c>
      <c r="H2957" t="s">
        <v>32</v>
      </c>
      <c r="I2957" t="s">
        <v>36</v>
      </c>
      <c r="J2957" t="s">
        <v>52</v>
      </c>
      <c r="K2957">
        <v>1</v>
      </c>
      <c r="L2957" s="2">
        <v>92.54</v>
      </c>
      <c r="M2957" s="3">
        <v>0.1</v>
      </c>
      <c r="N2957" t="s">
        <v>29</v>
      </c>
      <c r="O2957" s="2">
        <v>83.29</v>
      </c>
      <c r="P2957" s="2">
        <v>42.86</v>
      </c>
      <c r="Q2957" s="2">
        <v>40.43</v>
      </c>
      <c r="R2957">
        <v>1</v>
      </c>
      <c r="S2957">
        <v>0</v>
      </c>
      <c r="T2957">
        <v>3</v>
      </c>
      <c r="U2957">
        <v>4</v>
      </c>
    </row>
    <row r="2958" spans="1:21" ht="16.5" x14ac:dyDescent="0.3">
      <c r="A2958" t="s">
        <v>3046</v>
      </c>
      <c r="B2958" s="1">
        <v>45732</v>
      </c>
      <c r="C2958">
        <v>2025</v>
      </c>
      <c r="D2958" t="s">
        <v>22</v>
      </c>
      <c r="E2958" t="s">
        <v>402</v>
      </c>
      <c r="F2958" t="s">
        <v>24</v>
      </c>
      <c r="G2958" t="s">
        <v>51</v>
      </c>
      <c r="H2958" t="s">
        <v>32</v>
      </c>
      <c r="I2958" t="s">
        <v>70</v>
      </c>
      <c r="J2958" t="s">
        <v>162</v>
      </c>
      <c r="K2958">
        <v>4</v>
      </c>
      <c r="L2958" s="2">
        <v>636.09</v>
      </c>
      <c r="M2958" s="3">
        <v>0.05</v>
      </c>
      <c r="N2958" t="s">
        <v>29</v>
      </c>
      <c r="O2958" s="2">
        <v>2417.14</v>
      </c>
      <c r="P2958" s="2">
        <v>2018.83</v>
      </c>
      <c r="Q2958" s="2">
        <v>398.31</v>
      </c>
      <c r="R2958">
        <v>1</v>
      </c>
      <c r="S2958">
        <v>0</v>
      </c>
      <c r="T2958">
        <v>4</v>
      </c>
      <c r="U2958">
        <v>5</v>
      </c>
    </row>
    <row r="2959" spans="1:21" ht="16.5" x14ac:dyDescent="0.3">
      <c r="A2959" t="s">
        <v>3047</v>
      </c>
      <c r="B2959" s="1">
        <v>45732</v>
      </c>
      <c r="C2959">
        <v>2025</v>
      </c>
      <c r="D2959" t="s">
        <v>22</v>
      </c>
      <c r="E2959" t="s">
        <v>402</v>
      </c>
      <c r="F2959" t="s">
        <v>45</v>
      </c>
      <c r="G2959" t="s">
        <v>49</v>
      </c>
      <c r="H2959" t="s">
        <v>32</v>
      </c>
      <c r="I2959" t="s">
        <v>27</v>
      </c>
      <c r="J2959" t="s">
        <v>47</v>
      </c>
      <c r="K2959">
        <v>1</v>
      </c>
      <c r="L2959" s="2">
        <v>33.99</v>
      </c>
      <c r="M2959" s="3">
        <v>0.1</v>
      </c>
      <c r="N2959" t="s">
        <v>29</v>
      </c>
      <c r="O2959" s="2">
        <v>30.59</v>
      </c>
      <c r="P2959" s="2">
        <v>18.86</v>
      </c>
      <c r="Q2959" s="2">
        <v>11.73</v>
      </c>
      <c r="R2959">
        <v>1</v>
      </c>
      <c r="S2959">
        <v>1</v>
      </c>
      <c r="T2959">
        <v>3</v>
      </c>
      <c r="U2959">
        <v>3</v>
      </c>
    </row>
    <row r="2960" spans="1:21" ht="16.5" x14ac:dyDescent="0.3">
      <c r="A2960" t="s">
        <v>3048</v>
      </c>
      <c r="B2960" s="1">
        <v>45732</v>
      </c>
      <c r="C2960">
        <v>2025</v>
      </c>
      <c r="D2960" t="s">
        <v>22</v>
      </c>
      <c r="E2960" t="s">
        <v>402</v>
      </c>
      <c r="F2960" t="s">
        <v>45</v>
      </c>
      <c r="G2960" t="s">
        <v>65</v>
      </c>
      <c r="H2960" t="s">
        <v>26</v>
      </c>
      <c r="I2960" t="s">
        <v>42</v>
      </c>
      <c r="J2960" t="s">
        <v>76</v>
      </c>
      <c r="K2960">
        <v>1</v>
      </c>
      <c r="L2960" s="2">
        <v>90.75</v>
      </c>
      <c r="M2960" s="3">
        <v>0.05</v>
      </c>
      <c r="N2960" t="s">
        <v>29</v>
      </c>
      <c r="O2960" s="2">
        <v>86.21</v>
      </c>
      <c r="P2960" s="2">
        <v>61.75</v>
      </c>
      <c r="Q2960" s="2">
        <v>24.46</v>
      </c>
      <c r="R2960">
        <v>1</v>
      </c>
      <c r="S2960">
        <v>0</v>
      </c>
      <c r="T2960">
        <v>6</v>
      </c>
      <c r="U2960">
        <v>3</v>
      </c>
    </row>
    <row r="2961" spans="1:21" ht="16.5" x14ac:dyDescent="0.3">
      <c r="A2961" t="s">
        <v>3049</v>
      </c>
      <c r="B2961" s="1">
        <v>45732</v>
      </c>
      <c r="C2961">
        <v>2025</v>
      </c>
      <c r="D2961" t="s">
        <v>22</v>
      </c>
      <c r="E2961" t="s">
        <v>402</v>
      </c>
      <c r="F2961" t="s">
        <v>24</v>
      </c>
      <c r="G2961" t="s">
        <v>65</v>
      </c>
      <c r="H2961" t="s">
        <v>32</v>
      </c>
      <c r="I2961" t="s">
        <v>84</v>
      </c>
      <c r="J2961" t="s">
        <v>85</v>
      </c>
      <c r="K2961">
        <v>1</v>
      </c>
      <c r="L2961" s="2">
        <v>57.92</v>
      </c>
      <c r="M2961" s="3">
        <v>0.05</v>
      </c>
      <c r="N2961" t="s">
        <v>29</v>
      </c>
      <c r="O2961" s="2">
        <v>55.02</v>
      </c>
      <c r="P2961" s="2">
        <v>43.81</v>
      </c>
      <c r="Q2961" s="2">
        <v>11.21</v>
      </c>
      <c r="R2961">
        <v>1</v>
      </c>
      <c r="S2961">
        <v>0</v>
      </c>
      <c r="T2961">
        <v>8</v>
      </c>
      <c r="U2961">
        <v>4</v>
      </c>
    </row>
    <row r="2962" spans="1:21" ht="16.5" x14ac:dyDescent="0.3">
      <c r="A2962" t="s">
        <v>3050</v>
      </c>
      <c r="B2962" s="1">
        <v>45733</v>
      </c>
      <c r="C2962">
        <v>2025</v>
      </c>
      <c r="D2962" t="s">
        <v>22</v>
      </c>
      <c r="E2962" t="s">
        <v>402</v>
      </c>
      <c r="F2962" t="s">
        <v>24</v>
      </c>
      <c r="G2962" t="s">
        <v>49</v>
      </c>
      <c r="H2962" t="s">
        <v>26</v>
      </c>
      <c r="I2962" t="s">
        <v>70</v>
      </c>
      <c r="J2962" t="s">
        <v>87</v>
      </c>
      <c r="K2962">
        <v>2</v>
      </c>
      <c r="L2962" s="2">
        <v>490.3</v>
      </c>
      <c r="M2962" s="3">
        <v>0.05</v>
      </c>
      <c r="N2962" t="s">
        <v>29</v>
      </c>
      <c r="O2962" s="2">
        <v>931.57</v>
      </c>
      <c r="P2962" s="2">
        <v>778.15</v>
      </c>
      <c r="Q2962" s="2">
        <v>153.41999999999999</v>
      </c>
      <c r="R2962">
        <v>1</v>
      </c>
      <c r="S2962">
        <v>0</v>
      </c>
      <c r="T2962">
        <v>3</v>
      </c>
      <c r="U2962">
        <v>5</v>
      </c>
    </row>
    <row r="2963" spans="1:21" ht="16.5" x14ac:dyDescent="0.3">
      <c r="A2963" t="s">
        <v>3051</v>
      </c>
      <c r="B2963" s="1">
        <v>45733</v>
      </c>
      <c r="C2963">
        <v>2025</v>
      </c>
      <c r="D2963" t="s">
        <v>22</v>
      </c>
      <c r="E2963" t="s">
        <v>402</v>
      </c>
      <c r="F2963" t="s">
        <v>31</v>
      </c>
      <c r="G2963" t="s">
        <v>51</v>
      </c>
      <c r="H2963" t="s">
        <v>26</v>
      </c>
      <c r="I2963" t="s">
        <v>70</v>
      </c>
      <c r="J2963" t="s">
        <v>252</v>
      </c>
      <c r="K2963">
        <v>1</v>
      </c>
      <c r="L2963" s="2">
        <v>216.08</v>
      </c>
      <c r="M2963" s="3">
        <v>0.05</v>
      </c>
      <c r="N2963" t="s">
        <v>29</v>
      </c>
      <c r="O2963" s="2">
        <v>205.28</v>
      </c>
      <c r="P2963" s="2">
        <v>173.44</v>
      </c>
      <c r="Q2963" s="2">
        <v>31.84</v>
      </c>
      <c r="R2963">
        <v>1</v>
      </c>
      <c r="S2963">
        <v>1</v>
      </c>
      <c r="T2963">
        <v>3</v>
      </c>
      <c r="U2963">
        <v>3</v>
      </c>
    </row>
    <row r="2964" spans="1:21" ht="16.5" x14ac:dyDescent="0.3">
      <c r="A2964" t="s">
        <v>3052</v>
      </c>
      <c r="B2964" s="1">
        <v>45733</v>
      </c>
      <c r="C2964">
        <v>2025</v>
      </c>
      <c r="D2964" t="s">
        <v>22</v>
      </c>
      <c r="E2964" t="s">
        <v>402</v>
      </c>
      <c r="F2964" t="s">
        <v>31</v>
      </c>
      <c r="G2964" t="s">
        <v>46</v>
      </c>
      <c r="H2964" t="s">
        <v>32</v>
      </c>
      <c r="I2964" t="s">
        <v>67</v>
      </c>
      <c r="J2964" t="s">
        <v>174</v>
      </c>
      <c r="K2964">
        <v>1</v>
      </c>
      <c r="L2964" s="2">
        <v>137.05000000000001</v>
      </c>
      <c r="M2964" s="3">
        <v>0.1</v>
      </c>
      <c r="N2964" t="s">
        <v>29</v>
      </c>
      <c r="O2964" s="2">
        <v>123.35</v>
      </c>
      <c r="P2964" s="2">
        <v>94.7</v>
      </c>
      <c r="Q2964" s="2">
        <v>28.65</v>
      </c>
      <c r="R2964">
        <v>1</v>
      </c>
      <c r="S2964">
        <v>0</v>
      </c>
      <c r="T2964">
        <v>7</v>
      </c>
      <c r="U2964">
        <v>4</v>
      </c>
    </row>
    <row r="2965" spans="1:21" ht="16.5" x14ac:dyDescent="0.3">
      <c r="A2965" t="s">
        <v>3053</v>
      </c>
      <c r="B2965" s="1">
        <v>45733</v>
      </c>
      <c r="C2965">
        <v>2025</v>
      </c>
      <c r="D2965" t="s">
        <v>22</v>
      </c>
      <c r="E2965" t="s">
        <v>402</v>
      </c>
      <c r="F2965" t="s">
        <v>31</v>
      </c>
      <c r="G2965" t="s">
        <v>25</v>
      </c>
      <c r="H2965" t="s">
        <v>32</v>
      </c>
      <c r="I2965" t="s">
        <v>27</v>
      </c>
      <c r="J2965" t="s">
        <v>33</v>
      </c>
      <c r="K2965">
        <v>1</v>
      </c>
      <c r="L2965" s="2">
        <v>78.510000000000005</v>
      </c>
      <c r="M2965" s="3">
        <v>0.25</v>
      </c>
      <c r="N2965" t="s">
        <v>62</v>
      </c>
      <c r="O2965" s="2">
        <v>58.88</v>
      </c>
      <c r="P2965" s="2">
        <v>43.48</v>
      </c>
      <c r="Q2965" s="2">
        <v>15.4</v>
      </c>
      <c r="R2965">
        <v>1</v>
      </c>
      <c r="S2965">
        <v>0</v>
      </c>
      <c r="T2965">
        <v>4</v>
      </c>
      <c r="U2965">
        <v>5</v>
      </c>
    </row>
    <row r="2966" spans="1:21" ht="16.5" x14ac:dyDescent="0.3">
      <c r="A2966" t="s">
        <v>3054</v>
      </c>
      <c r="B2966" s="1">
        <v>45733</v>
      </c>
      <c r="C2966">
        <v>2025</v>
      </c>
      <c r="D2966" t="s">
        <v>22</v>
      </c>
      <c r="E2966" t="s">
        <v>402</v>
      </c>
      <c r="F2966" t="s">
        <v>31</v>
      </c>
      <c r="G2966" t="s">
        <v>51</v>
      </c>
      <c r="H2966" t="s">
        <v>32</v>
      </c>
      <c r="I2966" t="s">
        <v>27</v>
      </c>
      <c r="J2966" t="s">
        <v>110</v>
      </c>
      <c r="K2966">
        <v>2</v>
      </c>
      <c r="L2966" s="2">
        <v>19.41</v>
      </c>
      <c r="M2966" s="3">
        <v>0</v>
      </c>
      <c r="N2966" t="s">
        <v>38</v>
      </c>
      <c r="O2966" s="2">
        <v>38.82</v>
      </c>
      <c r="P2966" s="2">
        <v>21.12</v>
      </c>
      <c r="Q2966" s="2">
        <v>17.7</v>
      </c>
      <c r="R2966">
        <v>1</v>
      </c>
      <c r="S2966">
        <v>0</v>
      </c>
      <c r="T2966">
        <v>2</v>
      </c>
      <c r="U2966">
        <v>4</v>
      </c>
    </row>
    <row r="2967" spans="1:21" ht="16.5" x14ac:dyDescent="0.3">
      <c r="A2967" t="s">
        <v>3055</v>
      </c>
      <c r="B2967" s="1">
        <v>45733</v>
      </c>
      <c r="C2967">
        <v>2025</v>
      </c>
      <c r="D2967" t="s">
        <v>22</v>
      </c>
      <c r="E2967" t="s">
        <v>402</v>
      </c>
      <c r="F2967" t="s">
        <v>24</v>
      </c>
      <c r="G2967" t="s">
        <v>25</v>
      </c>
      <c r="H2967" t="s">
        <v>32</v>
      </c>
      <c r="I2967" t="s">
        <v>27</v>
      </c>
      <c r="J2967" t="s">
        <v>60</v>
      </c>
      <c r="K2967">
        <v>1</v>
      </c>
      <c r="L2967" s="2">
        <v>94.85</v>
      </c>
      <c r="M2967" s="3">
        <v>0.05</v>
      </c>
      <c r="N2967" t="s">
        <v>29</v>
      </c>
      <c r="O2967" s="2">
        <v>90.11</v>
      </c>
      <c r="P2967" s="2">
        <v>51.69</v>
      </c>
      <c r="Q2967" s="2">
        <v>38.42</v>
      </c>
      <c r="R2967">
        <v>1</v>
      </c>
      <c r="S2967">
        <v>0</v>
      </c>
      <c r="T2967">
        <v>4</v>
      </c>
      <c r="U2967">
        <v>5</v>
      </c>
    </row>
    <row r="2968" spans="1:21" ht="16.5" x14ac:dyDescent="0.3">
      <c r="A2968" t="s">
        <v>3056</v>
      </c>
      <c r="B2968" s="1">
        <v>45733</v>
      </c>
      <c r="C2968">
        <v>2025</v>
      </c>
      <c r="D2968" t="s">
        <v>22</v>
      </c>
      <c r="E2968" t="s">
        <v>402</v>
      </c>
      <c r="F2968" t="s">
        <v>45</v>
      </c>
      <c r="G2968" t="s">
        <v>25</v>
      </c>
      <c r="H2968" t="s">
        <v>32</v>
      </c>
      <c r="I2968" t="s">
        <v>42</v>
      </c>
      <c r="J2968" t="s">
        <v>43</v>
      </c>
      <c r="K2968">
        <v>1</v>
      </c>
      <c r="L2968" s="2">
        <v>154.66</v>
      </c>
      <c r="M2968" s="3">
        <v>0.1</v>
      </c>
      <c r="N2968" t="s">
        <v>29</v>
      </c>
      <c r="O2968" s="2">
        <v>139.19</v>
      </c>
      <c r="P2968" s="2">
        <v>100.93</v>
      </c>
      <c r="Q2968" s="2">
        <v>38.26</v>
      </c>
      <c r="R2968">
        <v>1</v>
      </c>
      <c r="S2968">
        <v>0</v>
      </c>
      <c r="T2968">
        <v>4</v>
      </c>
      <c r="U2968">
        <v>4</v>
      </c>
    </row>
    <row r="2969" spans="1:21" ht="16.5" x14ac:dyDescent="0.3">
      <c r="A2969" t="s">
        <v>3057</v>
      </c>
      <c r="B2969" s="1">
        <v>45733</v>
      </c>
      <c r="C2969">
        <v>2025</v>
      </c>
      <c r="D2969" t="s">
        <v>22</v>
      </c>
      <c r="E2969" t="s">
        <v>402</v>
      </c>
      <c r="F2969" t="s">
        <v>24</v>
      </c>
      <c r="G2969" t="s">
        <v>51</v>
      </c>
      <c r="H2969" t="s">
        <v>32</v>
      </c>
      <c r="I2969" t="s">
        <v>27</v>
      </c>
      <c r="J2969" t="s">
        <v>60</v>
      </c>
      <c r="K2969">
        <v>1</v>
      </c>
      <c r="L2969" s="2">
        <v>94.85</v>
      </c>
      <c r="M2969" s="3">
        <v>0.2</v>
      </c>
      <c r="N2969" t="s">
        <v>34</v>
      </c>
      <c r="O2969" s="2">
        <v>75.88</v>
      </c>
      <c r="P2969" s="2">
        <v>50.47</v>
      </c>
      <c r="Q2969" s="2">
        <v>25.41</v>
      </c>
      <c r="R2969">
        <v>1</v>
      </c>
      <c r="S2969">
        <v>0</v>
      </c>
      <c r="T2969">
        <v>3</v>
      </c>
      <c r="U2969">
        <v>4</v>
      </c>
    </row>
    <row r="2970" spans="1:21" ht="16.5" x14ac:dyDescent="0.3">
      <c r="A2970" t="s">
        <v>3058</v>
      </c>
      <c r="B2970" s="1">
        <v>45733</v>
      </c>
      <c r="C2970">
        <v>2025</v>
      </c>
      <c r="D2970" t="s">
        <v>22</v>
      </c>
      <c r="E2970" t="s">
        <v>402</v>
      </c>
      <c r="F2970" t="s">
        <v>45</v>
      </c>
      <c r="G2970" t="s">
        <v>51</v>
      </c>
      <c r="H2970" t="s">
        <v>32</v>
      </c>
      <c r="I2970" t="s">
        <v>70</v>
      </c>
      <c r="J2970" t="s">
        <v>162</v>
      </c>
      <c r="K2970">
        <v>2</v>
      </c>
      <c r="L2970" s="2">
        <v>636.09</v>
      </c>
      <c r="M2970" s="3">
        <v>0.15</v>
      </c>
      <c r="N2970" t="s">
        <v>34</v>
      </c>
      <c r="O2970" s="2">
        <v>1081.3499999999999</v>
      </c>
      <c r="P2970" s="2">
        <v>1016.47</v>
      </c>
      <c r="Q2970" s="2">
        <v>64.88</v>
      </c>
      <c r="R2970">
        <v>1</v>
      </c>
      <c r="S2970">
        <v>0</v>
      </c>
      <c r="T2970">
        <v>2</v>
      </c>
      <c r="U2970">
        <v>4</v>
      </c>
    </row>
    <row r="2971" spans="1:21" ht="16.5" x14ac:dyDescent="0.3">
      <c r="A2971" t="s">
        <v>3059</v>
      </c>
      <c r="B2971" s="1">
        <v>45733</v>
      </c>
      <c r="C2971">
        <v>2025</v>
      </c>
      <c r="D2971" t="s">
        <v>22</v>
      </c>
      <c r="E2971" t="s">
        <v>402</v>
      </c>
      <c r="F2971" t="s">
        <v>24</v>
      </c>
      <c r="G2971" t="s">
        <v>51</v>
      </c>
      <c r="H2971" t="s">
        <v>32</v>
      </c>
      <c r="I2971" t="s">
        <v>70</v>
      </c>
      <c r="J2971" t="s">
        <v>162</v>
      </c>
      <c r="K2971">
        <v>3</v>
      </c>
      <c r="L2971" s="2">
        <v>636.09</v>
      </c>
      <c r="M2971" s="3">
        <v>0</v>
      </c>
      <c r="N2971" t="s">
        <v>38</v>
      </c>
      <c r="O2971" s="2">
        <v>1908.27</v>
      </c>
      <c r="P2971" s="2">
        <v>1550.78</v>
      </c>
      <c r="Q2971" s="2">
        <v>357.49</v>
      </c>
      <c r="R2971">
        <v>1</v>
      </c>
      <c r="S2971">
        <v>0</v>
      </c>
      <c r="T2971">
        <v>3</v>
      </c>
      <c r="U2971">
        <v>5</v>
      </c>
    </row>
    <row r="2972" spans="1:21" ht="16.5" x14ac:dyDescent="0.3">
      <c r="A2972" t="s">
        <v>3060</v>
      </c>
      <c r="B2972" s="1">
        <v>45733</v>
      </c>
      <c r="C2972">
        <v>2025</v>
      </c>
      <c r="D2972" t="s">
        <v>22</v>
      </c>
      <c r="E2972" t="s">
        <v>402</v>
      </c>
      <c r="F2972" t="s">
        <v>31</v>
      </c>
      <c r="G2972" t="s">
        <v>65</v>
      </c>
      <c r="H2972" t="s">
        <v>26</v>
      </c>
      <c r="I2972" t="s">
        <v>67</v>
      </c>
      <c r="J2972" t="s">
        <v>93</v>
      </c>
      <c r="K2972">
        <v>1</v>
      </c>
      <c r="L2972" s="2">
        <v>198.42</v>
      </c>
      <c r="M2972" s="3">
        <v>0</v>
      </c>
      <c r="N2972" t="s">
        <v>38</v>
      </c>
      <c r="O2972" s="2">
        <v>198.42</v>
      </c>
      <c r="P2972" s="2">
        <v>123.25</v>
      </c>
      <c r="Q2972" s="2">
        <v>75.17</v>
      </c>
      <c r="R2972">
        <v>1</v>
      </c>
      <c r="S2972">
        <v>0</v>
      </c>
      <c r="T2972">
        <v>5</v>
      </c>
      <c r="U2972">
        <v>4</v>
      </c>
    </row>
    <row r="2973" spans="1:21" ht="16.5" x14ac:dyDescent="0.3">
      <c r="A2973" t="s">
        <v>3061</v>
      </c>
      <c r="B2973" s="1">
        <v>45733</v>
      </c>
      <c r="C2973">
        <v>2025</v>
      </c>
      <c r="D2973" t="s">
        <v>22</v>
      </c>
      <c r="E2973" t="s">
        <v>402</v>
      </c>
      <c r="F2973" t="s">
        <v>31</v>
      </c>
      <c r="G2973" t="s">
        <v>46</v>
      </c>
      <c r="H2973" t="s">
        <v>32</v>
      </c>
      <c r="I2973" t="s">
        <v>27</v>
      </c>
      <c r="J2973" t="s">
        <v>47</v>
      </c>
      <c r="K2973">
        <v>4</v>
      </c>
      <c r="L2973" s="2">
        <v>33.99</v>
      </c>
      <c r="M2973" s="3">
        <v>0.1</v>
      </c>
      <c r="N2973" t="s">
        <v>29</v>
      </c>
      <c r="O2973" s="2">
        <v>122.36</v>
      </c>
      <c r="P2973" s="2">
        <v>72.88</v>
      </c>
      <c r="Q2973" s="2">
        <v>49.48</v>
      </c>
      <c r="R2973">
        <v>1</v>
      </c>
      <c r="S2973">
        <v>0</v>
      </c>
      <c r="T2973">
        <v>6</v>
      </c>
      <c r="U2973">
        <v>4</v>
      </c>
    </row>
    <row r="2974" spans="1:21" ht="16.5" x14ac:dyDescent="0.3">
      <c r="A2974" t="s">
        <v>3062</v>
      </c>
      <c r="B2974" s="1">
        <v>45734</v>
      </c>
      <c r="C2974">
        <v>2025</v>
      </c>
      <c r="D2974" t="s">
        <v>22</v>
      </c>
      <c r="E2974" t="s">
        <v>402</v>
      </c>
      <c r="F2974" t="s">
        <v>45</v>
      </c>
      <c r="G2974" t="s">
        <v>25</v>
      </c>
      <c r="H2974" t="s">
        <v>32</v>
      </c>
      <c r="I2974" t="s">
        <v>67</v>
      </c>
      <c r="J2974" t="s">
        <v>174</v>
      </c>
      <c r="K2974">
        <v>1</v>
      </c>
      <c r="L2974" s="2">
        <v>137.05000000000001</v>
      </c>
      <c r="M2974" s="3">
        <v>0.25</v>
      </c>
      <c r="N2974" t="s">
        <v>62</v>
      </c>
      <c r="O2974" s="2">
        <v>102.79</v>
      </c>
      <c r="P2974" s="2">
        <v>90.1</v>
      </c>
      <c r="Q2974" s="2">
        <v>12.69</v>
      </c>
      <c r="R2974">
        <v>1</v>
      </c>
      <c r="S2974">
        <v>1</v>
      </c>
      <c r="T2974">
        <v>3</v>
      </c>
      <c r="U2974">
        <v>3</v>
      </c>
    </row>
    <row r="2975" spans="1:21" ht="16.5" x14ac:dyDescent="0.3">
      <c r="A2975" t="s">
        <v>3063</v>
      </c>
      <c r="B2975" s="1">
        <v>45734</v>
      </c>
      <c r="C2975">
        <v>2025</v>
      </c>
      <c r="D2975" t="s">
        <v>22</v>
      </c>
      <c r="E2975" t="s">
        <v>402</v>
      </c>
      <c r="F2975" t="s">
        <v>45</v>
      </c>
      <c r="G2975" t="s">
        <v>65</v>
      </c>
      <c r="H2975" t="s">
        <v>26</v>
      </c>
      <c r="I2975" t="s">
        <v>67</v>
      </c>
      <c r="J2975" t="s">
        <v>93</v>
      </c>
      <c r="K2975">
        <v>1</v>
      </c>
      <c r="L2975" s="2">
        <v>198.42</v>
      </c>
      <c r="M2975" s="3">
        <v>0</v>
      </c>
      <c r="N2975" t="s">
        <v>38</v>
      </c>
      <c r="O2975" s="2">
        <v>198.42</v>
      </c>
      <c r="P2975" s="2">
        <v>133.85</v>
      </c>
      <c r="Q2975" s="2">
        <v>64.569999999999993</v>
      </c>
      <c r="R2975">
        <v>1</v>
      </c>
      <c r="S2975">
        <v>0</v>
      </c>
      <c r="T2975">
        <v>6</v>
      </c>
      <c r="U2975">
        <v>3</v>
      </c>
    </row>
    <row r="2976" spans="1:21" ht="16.5" x14ac:dyDescent="0.3">
      <c r="A2976" t="s">
        <v>3064</v>
      </c>
      <c r="B2976" s="1">
        <v>45734</v>
      </c>
      <c r="C2976">
        <v>2025</v>
      </c>
      <c r="D2976" t="s">
        <v>22</v>
      </c>
      <c r="E2976" t="s">
        <v>402</v>
      </c>
      <c r="F2976" t="s">
        <v>45</v>
      </c>
      <c r="G2976" t="s">
        <v>46</v>
      </c>
      <c r="H2976" t="s">
        <v>26</v>
      </c>
      <c r="I2976" t="s">
        <v>84</v>
      </c>
      <c r="J2976" t="s">
        <v>106</v>
      </c>
      <c r="K2976">
        <v>1</v>
      </c>
      <c r="L2976" s="2">
        <v>45.28</v>
      </c>
      <c r="M2976" s="3">
        <v>0.05</v>
      </c>
      <c r="N2976" t="s">
        <v>29</v>
      </c>
      <c r="O2976" s="2">
        <v>43.02</v>
      </c>
      <c r="P2976" s="2">
        <v>33.49</v>
      </c>
      <c r="Q2976" s="2">
        <v>9.5299999999999994</v>
      </c>
      <c r="R2976">
        <v>1</v>
      </c>
      <c r="S2976">
        <v>0</v>
      </c>
      <c r="T2976">
        <v>6</v>
      </c>
      <c r="U2976">
        <v>5</v>
      </c>
    </row>
    <row r="2977" spans="1:21" ht="16.5" x14ac:dyDescent="0.3">
      <c r="A2977" t="s">
        <v>3065</v>
      </c>
      <c r="B2977" s="1">
        <v>45734</v>
      </c>
      <c r="C2977">
        <v>2025</v>
      </c>
      <c r="D2977" t="s">
        <v>22</v>
      </c>
      <c r="E2977" t="s">
        <v>402</v>
      </c>
      <c r="F2977" t="s">
        <v>24</v>
      </c>
      <c r="G2977" t="s">
        <v>51</v>
      </c>
      <c r="H2977" t="s">
        <v>32</v>
      </c>
      <c r="I2977" t="s">
        <v>70</v>
      </c>
      <c r="J2977" t="s">
        <v>162</v>
      </c>
      <c r="K2977">
        <v>1</v>
      </c>
      <c r="L2977" s="2">
        <v>636.09</v>
      </c>
      <c r="M2977" s="3">
        <v>0</v>
      </c>
      <c r="N2977" t="s">
        <v>38</v>
      </c>
      <c r="O2977" s="2">
        <v>636.09</v>
      </c>
      <c r="P2977" s="2">
        <v>529.75</v>
      </c>
      <c r="Q2977" s="2">
        <v>106.34</v>
      </c>
      <c r="R2977">
        <v>1</v>
      </c>
      <c r="S2977">
        <v>0</v>
      </c>
      <c r="T2977">
        <v>2</v>
      </c>
      <c r="U2977">
        <v>4</v>
      </c>
    </row>
    <row r="2978" spans="1:21" ht="16.5" x14ac:dyDescent="0.3">
      <c r="A2978" t="s">
        <v>3066</v>
      </c>
      <c r="B2978" s="1">
        <v>45735</v>
      </c>
      <c r="C2978">
        <v>2025</v>
      </c>
      <c r="D2978" t="s">
        <v>22</v>
      </c>
      <c r="E2978" t="s">
        <v>402</v>
      </c>
      <c r="F2978" t="s">
        <v>24</v>
      </c>
      <c r="G2978" t="s">
        <v>25</v>
      </c>
      <c r="H2978" t="s">
        <v>32</v>
      </c>
      <c r="I2978" t="s">
        <v>42</v>
      </c>
      <c r="J2978" t="s">
        <v>76</v>
      </c>
      <c r="K2978">
        <v>4</v>
      </c>
      <c r="L2978" s="2">
        <v>90.75</v>
      </c>
      <c r="M2978" s="3">
        <v>0</v>
      </c>
      <c r="N2978" t="s">
        <v>38</v>
      </c>
      <c r="O2978" s="2">
        <v>363</v>
      </c>
      <c r="P2978" s="2">
        <v>239.58</v>
      </c>
      <c r="Q2978" s="2">
        <v>123.42</v>
      </c>
      <c r="R2978">
        <v>1</v>
      </c>
      <c r="S2978">
        <v>0</v>
      </c>
      <c r="T2978">
        <v>5</v>
      </c>
      <c r="U2978">
        <v>4</v>
      </c>
    </row>
    <row r="2979" spans="1:21" ht="16.5" x14ac:dyDescent="0.3">
      <c r="A2979" t="s">
        <v>3067</v>
      </c>
      <c r="B2979" s="1">
        <v>45735</v>
      </c>
      <c r="C2979">
        <v>2025</v>
      </c>
      <c r="D2979" t="s">
        <v>22</v>
      </c>
      <c r="E2979" t="s">
        <v>402</v>
      </c>
      <c r="F2979" t="s">
        <v>24</v>
      </c>
      <c r="G2979" t="s">
        <v>51</v>
      </c>
      <c r="H2979" t="s">
        <v>26</v>
      </c>
      <c r="I2979" t="s">
        <v>27</v>
      </c>
      <c r="J2979" t="s">
        <v>33</v>
      </c>
      <c r="K2979">
        <v>2</v>
      </c>
      <c r="L2979" s="2">
        <v>78.510000000000005</v>
      </c>
      <c r="M2979" s="3">
        <v>0.1</v>
      </c>
      <c r="N2979" t="s">
        <v>29</v>
      </c>
      <c r="O2979" s="2">
        <v>141.32</v>
      </c>
      <c r="P2979" s="2">
        <v>82.6</v>
      </c>
      <c r="Q2979" s="2">
        <v>58.72</v>
      </c>
      <c r="R2979">
        <v>1</v>
      </c>
      <c r="S2979">
        <v>0</v>
      </c>
      <c r="T2979">
        <v>3</v>
      </c>
      <c r="U2979">
        <v>4</v>
      </c>
    </row>
    <row r="2980" spans="1:21" ht="16.5" x14ac:dyDescent="0.3">
      <c r="A2980" t="s">
        <v>3068</v>
      </c>
      <c r="B2980" s="1">
        <v>45735</v>
      </c>
      <c r="C2980">
        <v>2025</v>
      </c>
      <c r="D2980" t="s">
        <v>22</v>
      </c>
      <c r="E2980" t="s">
        <v>402</v>
      </c>
      <c r="F2980" t="s">
        <v>24</v>
      </c>
      <c r="G2980" t="s">
        <v>51</v>
      </c>
      <c r="H2980" t="s">
        <v>26</v>
      </c>
      <c r="I2980" t="s">
        <v>27</v>
      </c>
      <c r="J2980" t="s">
        <v>28</v>
      </c>
      <c r="K2980">
        <v>1</v>
      </c>
      <c r="L2980" s="2">
        <v>138.5</v>
      </c>
      <c r="M2980" s="3">
        <v>0.25</v>
      </c>
      <c r="N2980" t="s">
        <v>62</v>
      </c>
      <c r="O2980" s="2">
        <v>103.88</v>
      </c>
      <c r="P2980" s="2">
        <v>75.03</v>
      </c>
      <c r="Q2980" s="2">
        <v>28.85</v>
      </c>
      <c r="R2980">
        <v>1</v>
      </c>
      <c r="S2980">
        <v>0</v>
      </c>
      <c r="T2980">
        <v>4</v>
      </c>
      <c r="U2980">
        <v>4</v>
      </c>
    </row>
    <row r="2981" spans="1:21" ht="16.5" x14ac:dyDescent="0.3">
      <c r="A2981" t="s">
        <v>3069</v>
      </c>
      <c r="B2981" s="1">
        <v>45735</v>
      </c>
      <c r="C2981">
        <v>2025</v>
      </c>
      <c r="D2981" t="s">
        <v>22</v>
      </c>
      <c r="E2981" t="s">
        <v>402</v>
      </c>
      <c r="F2981" t="s">
        <v>24</v>
      </c>
      <c r="G2981" t="s">
        <v>51</v>
      </c>
      <c r="H2981" t="s">
        <v>32</v>
      </c>
      <c r="I2981" t="s">
        <v>27</v>
      </c>
      <c r="J2981" t="s">
        <v>33</v>
      </c>
      <c r="K2981">
        <v>1</v>
      </c>
      <c r="L2981" s="2">
        <v>78.510000000000005</v>
      </c>
      <c r="M2981" s="3">
        <v>0.2</v>
      </c>
      <c r="N2981" t="s">
        <v>34</v>
      </c>
      <c r="O2981" s="2">
        <v>62.81</v>
      </c>
      <c r="P2981" s="2">
        <v>44.01</v>
      </c>
      <c r="Q2981" s="2">
        <v>18.8</v>
      </c>
      <c r="R2981">
        <v>1</v>
      </c>
      <c r="S2981">
        <v>0</v>
      </c>
      <c r="T2981">
        <v>5</v>
      </c>
      <c r="U2981">
        <v>5</v>
      </c>
    </row>
    <row r="2982" spans="1:21" ht="16.5" x14ac:dyDescent="0.3">
      <c r="A2982" t="s">
        <v>3070</v>
      </c>
      <c r="B2982" s="1">
        <v>45735</v>
      </c>
      <c r="C2982">
        <v>2025</v>
      </c>
      <c r="D2982" t="s">
        <v>22</v>
      </c>
      <c r="E2982" t="s">
        <v>402</v>
      </c>
      <c r="F2982" t="s">
        <v>24</v>
      </c>
      <c r="G2982" t="s">
        <v>51</v>
      </c>
      <c r="H2982" t="s">
        <v>26</v>
      </c>
      <c r="I2982" t="s">
        <v>27</v>
      </c>
      <c r="J2982" t="s">
        <v>60</v>
      </c>
      <c r="K2982">
        <v>3</v>
      </c>
      <c r="L2982" s="2">
        <v>94.85</v>
      </c>
      <c r="M2982" s="3">
        <v>0</v>
      </c>
      <c r="N2982" t="s">
        <v>38</v>
      </c>
      <c r="O2982" s="2">
        <v>284.55</v>
      </c>
      <c r="P2982" s="2">
        <v>152.13999999999999</v>
      </c>
      <c r="Q2982" s="2">
        <v>132.41</v>
      </c>
      <c r="R2982">
        <v>1</v>
      </c>
      <c r="S2982">
        <v>0</v>
      </c>
      <c r="T2982">
        <v>3</v>
      </c>
      <c r="U2982">
        <v>5</v>
      </c>
    </row>
    <row r="2983" spans="1:21" ht="16.5" x14ac:dyDescent="0.3">
      <c r="A2983" t="s">
        <v>3071</v>
      </c>
      <c r="B2983" s="1">
        <v>45735</v>
      </c>
      <c r="C2983">
        <v>2025</v>
      </c>
      <c r="D2983" t="s">
        <v>22</v>
      </c>
      <c r="E2983" t="s">
        <v>402</v>
      </c>
      <c r="F2983" t="s">
        <v>31</v>
      </c>
      <c r="G2983" t="s">
        <v>25</v>
      </c>
      <c r="H2983" t="s">
        <v>26</v>
      </c>
      <c r="I2983" t="s">
        <v>67</v>
      </c>
      <c r="J2983" t="s">
        <v>174</v>
      </c>
      <c r="K2983">
        <v>1</v>
      </c>
      <c r="L2983" s="2">
        <v>137.05000000000001</v>
      </c>
      <c r="M2983" s="3">
        <v>0.25</v>
      </c>
      <c r="N2983" t="s">
        <v>62</v>
      </c>
      <c r="O2983" s="2">
        <v>102.79</v>
      </c>
      <c r="P2983" s="2">
        <v>88.48</v>
      </c>
      <c r="Q2983" s="2">
        <v>14.31</v>
      </c>
      <c r="R2983">
        <v>1</v>
      </c>
      <c r="S2983">
        <v>0</v>
      </c>
      <c r="T2983">
        <v>3</v>
      </c>
      <c r="U2983">
        <v>4</v>
      </c>
    </row>
    <row r="2984" spans="1:21" ht="16.5" x14ac:dyDescent="0.3">
      <c r="A2984" t="s">
        <v>3072</v>
      </c>
      <c r="B2984" s="1">
        <v>45735</v>
      </c>
      <c r="C2984">
        <v>2025</v>
      </c>
      <c r="D2984" t="s">
        <v>22</v>
      </c>
      <c r="E2984" t="s">
        <v>402</v>
      </c>
      <c r="F2984" t="s">
        <v>31</v>
      </c>
      <c r="G2984" t="s">
        <v>51</v>
      </c>
      <c r="H2984" t="s">
        <v>32</v>
      </c>
      <c r="I2984" t="s">
        <v>27</v>
      </c>
      <c r="J2984" t="s">
        <v>28</v>
      </c>
      <c r="K2984">
        <v>2</v>
      </c>
      <c r="L2984" s="2">
        <v>138.5</v>
      </c>
      <c r="M2984" s="3">
        <v>0.05</v>
      </c>
      <c r="N2984" t="s">
        <v>29</v>
      </c>
      <c r="O2984" s="2">
        <v>263.14999999999998</v>
      </c>
      <c r="P2984" s="2">
        <v>158.72999999999999</v>
      </c>
      <c r="Q2984" s="2">
        <v>104.42</v>
      </c>
      <c r="R2984">
        <v>1</v>
      </c>
      <c r="S2984">
        <v>1</v>
      </c>
      <c r="T2984">
        <v>2</v>
      </c>
      <c r="U2984">
        <v>4</v>
      </c>
    </row>
    <row r="2985" spans="1:21" ht="16.5" x14ac:dyDescent="0.3">
      <c r="A2985" t="s">
        <v>3073</v>
      </c>
      <c r="B2985" s="1">
        <v>45735</v>
      </c>
      <c r="C2985">
        <v>2025</v>
      </c>
      <c r="D2985" t="s">
        <v>22</v>
      </c>
      <c r="E2985" t="s">
        <v>402</v>
      </c>
      <c r="F2985" t="s">
        <v>24</v>
      </c>
      <c r="G2985" t="s">
        <v>65</v>
      </c>
      <c r="H2985" t="s">
        <v>26</v>
      </c>
      <c r="I2985" t="s">
        <v>27</v>
      </c>
      <c r="J2985" t="s">
        <v>40</v>
      </c>
      <c r="K2985">
        <v>1</v>
      </c>
      <c r="L2985" s="2">
        <v>104.94</v>
      </c>
      <c r="M2985" s="3">
        <v>0</v>
      </c>
      <c r="N2985" t="s">
        <v>38</v>
      </c>
      <c r="O2985" s="2">
        <v>104.94</v>
      </c>
      <c r="P2985" s="2">
        <v>58.46</v>
      </c>
      <c r="Q2985" s="2">
        <v>46.48</v>
      </c>
      <c r="R2985">
        <v>1</v>
      </c>
      <c r="S2985">
        <v>0</v>
      </c>
      <c r="T2985">
        <v>9</v>
      </c>
      <c r="U2985">
        <v>4</v>
      </c>
    </row>
    <row r="2986" spans="1:21" ht="16.5" x14ac:dyDescent="0.3">
      <c r="A2986" t="s">
        <v>3074</v>
      </c>
      <c r="B2986" s="1">
        <v>45735</v>
      </c>
      <c r="C2986">
        <v>2025</v>
      </c>
      <c r="D2986" t="s">
        <v>22</v>
      </c>
      <c r="E2986" t="s">
        <v>402</v>
      </c>
      <c r="F2986" t="s">
        <v>31</v>
      </c>
      <c r="G2986" t="s">
        <v>25</v>
      </c>
      <c r="H2986" t="s">
        <v>26</v>
      </c>
      <c r="I2986" t="s">
        <v>70</v>
      </c>
      <c r="J2986" t="s">
        <v>129</v>
      </c>
      <c r="K2986">
        <v>3</v>
      </c>
      <c r="L2986" s="2">
        <v>177.65</v>
      </c>
      <c r="M2986" s="3">
        <v>0.1</v>
      </c>
      <c r="N2986" t="s">
        <v>29</v>
      </c>
      <c r="O2986" s="2">
        <v>479.66</v>
      </c>
      <c r="P2986" s="2">
        <v>446.97</v>
      </c>
      <c r="Q2986" s="2">
        <v>32.69</v>
      </c>
      <c r="R2986">
        <v>1</v>
      </c>
      <c r="S2986">
        <v>0</v>
      </c>
      <c r="T2986">
        <v>4</v>
      </c>
      <c r="U2986">
        <v>5</v>
      </c>
    </row>
    <row r="2987" spans="1:21" ht="16.5" x14ac:dyDescent="0.3">
      <c r="A2987" t="s">
        <v>3075</v>
      </c>
      <c r="B2987" s="1">
        <v>45736</v>
      </c>
      <c r="C2987">
        <v>2025</v>
      </c>
      <c r="D2987" t="s">
        <v>22</v>
      </c>
      <c r="E2987" t="s">
        <v>402</v>
      </c>
      <c r="F2987" t="s">
        <v>24</v>
      </c>
      <c r="G2987" t="s">
        <v>51</v>
      </c>
      <c r="H2987" t="s">
        <v>26</v>
      </c>
      <c r="I2987" t="s">
        <v>27</v>
      </c>
      <c r="J2987" t="s">
        <v>28</v>
      </c>
      <c r="K2987">
        <v>1</v>
      </c>
      <c r="L2987" s="2">
        <v>138.5</v>
      </c>
      <c r="M2987" s="3">
        <v>0</v>
      </c>
      <c r="N2987" t="s">
        <v>38</v>
      </c>
      <c r="O2987" s="2">
        <v>138.5</v>
      </c>
      <c r="P2987" s="2">
        <v>76.19</v>
      </c>
      <c r="Q2987" s="2">
        <v>62.31</v>
      </c>
      <c r="R2987">
        <v>1</v>
      </c>
      <c r="S2987">
        <v>0</v>
      </c>
      <c r="T2987">
        <v>2</v>
      </c>
      <c r="U2987">
        <v>5</v>
      </c>
    </row>
    <row r="2988" spans="1:21" ht="16.5" x14ac:dyDescent="0.3">
      <c r="A2988" t="s">
        <v>3076</v>
      </c>
      <c r="B2988" s="1">
        <v>45736</v>
      </c>
      <c r="C2988">
        <v>2025</v>
      </c>
      <c r="D2988" t="s">
        <v>22</v>
      </c>
      <c r="E2988" t="s">
        <v>402</v>
      </c>
      <c r="F2988" t="s">
        <v>24</v>
      </c>
      <c r="G2988" t="s">
        <v>49</v>
      </c>
      <c r="H2988" t="s">
        <v>26</v>
      </c>
      <c r="I2988" t="s">
        <v>42</v>
      </c>
      <c r="J2988" t="s">
        <v>89</v>
      </c>
      <c r="K2988">
        <v>2</v>
      </c>
      <c r="L2988" s="2">
        <v>68.349999999999994</v>
      </c>
      <c r="M2988" s="3">
        <v>0.15</v>
      </c>
      <c r="N2988" t="s">
        <v>34</v>
      </c>
      <c r="O2988" s="2">
        <v>116.2</v>
      </c>
      <c r="P2988" s="2">
        <v>91.12</v>
      </c>
      <c r="Q2988" s="2">
        <v>25.08</v>
      </c>
      <c r="R2988">
        <v>1</v>
      </c>
      <c r="S2988">
        <v>1</v>
      </c>
      <c r="T2988">
        <v>3</v>
      </c>
      <c r="U2988">
        <v>4</v>
      </c>
    </row>
    <row r="2989" spans="1:21" ht="16.5" x14ac:dyDescent="0.3">
      <c r="A2989" t="s">
        <v>3077</v>
      </c>
      <c r="B2989" s="1">
        <v>45736</v>
      </c>
      <c r="C2989">
        <v>2025</v>
      </c>
      <c r="D2989" t="s">
        <v>22</v>
      </c>
      <c r="E2989" t="s">
        <v>402</v>
      </c>
      <c r="F2989" t="s">
        <v>31</v>
      </c>
      <c r="G2989" t="s">
        <v>46</v>
      </c>
      <c r="H2989" t="s">
        <v>32</v>
      </c>
      <c r="I2989" t="s">
        <v>36</v>
      </c>
      <c r="J2989" t="s">
        <v>56</v>
      </c>
      <c r="K2989">
        <v>1</v>
      </c>
      <c r="L2989" s="2">
        <v>74.3</v>
      </c>
      <c r="M2989" s="3">
        <v>0.05</v>
      </c>
      <c r="N2989" t="s">
        <v>29</v>
      </c>
      <c r="O2989" s="2">
        <v>70.58</v>
      </c>
      <c r="P2989" s="2">
        <v>35.39</v>
      </c>
      <c r="Q2989" s="2">
        <v>35.19</v>
      </c>
      <c r="R2989">
        <v>1</v>
      </c>
      <c r="S2989">
        <v>0</v>
      </c>
      <c r="T2989">
        <v>5</v>
      </c>
      <c r="U2989">
        <v>3</v>
      </c>
    </row>
    <row r="2990" spans="1:21" ht="16.5" x14ac:dyDescent="0.3">
      <c r="A2990" t="s">
        <v>3078</v>
      </c>
      <c r="B2990" s="1">
        <v>45736</v>
      </c>
      <c r="C2990">
        <v>2025</v>
      </c>
      <c r="D2990" t="s">
        <v>22</v>
      </c>
      <c r="E2990" t="s">
        <v>402</v>
      </c>
      <c r="F2990" t="s">
        <v>24</v>
      </c>
      <c r="G2990" t="s">
        <v>51</v>
      </c>
      <c r="H2990" t="s">
        <v>32</v>
      </c>
      <c r="I2990" t="s">
        <v>70</v>
      </c>
      <c r="J2990" t="s">
        <v>252</v>
      </c>
      <c r="K2990">
        <v>1</v>
      </c>
      <c r="L2990" s="2">
        <v>216.08</v>
      </c>
      <c r="M2990" s="3">
        <v>0.1</v>
      </c>
      <c r="N2990" t="s">
        <v>29</v>
      </c>
      <c r="O2990" s="2">
        <v>194.47</v>
      </c>
      <c r="P2990" s="2">
        <v>169.35</v>
      </c>
      <c r="Q2990" s="2">
        <v>25.12</v>
      </c>
      <c r="R2990">
        <v>1</v>
      </c>
      <c r="S2990">
        <v>0</v>
      </c>
      <c r="T2990">
        <v>3</v>
      </c>
      <c r="U2990">
        <v>4</v>
      </c>
    </row>
    <row r="2991" spans="1:21" ht="16.5" x14ac:dyDescent="0.3">
      <c r="A2991" t="s">
        <v>3079</v>
      </c>
      <c r="B2991" s="1">
        <v>45736</v>
      </c>
      <c r="C2991">
        <v>2025</v>
      </c>
      <c r="D2991" t="s">
        <v>22</v>
      </c>
      <c r="E2991" t="s">
        <v>402</v>
      </c>
      <c r="F2991" t="s">
        <v>24</v>
      </c>
      <c r="G2991" t="s">
        <v>51</v>
      </c>
      <c r="H2991" t="s">
        <v>32</v>
      </c>
      <c r="I2991" t="s">
        <v>36</v>
      </c>
      <c r="J2991" t="s">
        <v>126</v>
      </c>
      <c r="K2991">
        <v>1</v>
      </c>
      <c r="L2991" s="2">
        <v>54.56</v>
      </c>
      <c r="M2991" s="3">
        <v>0</v>
      </c>
      <c r="N2991" t="s">
        <v>38</v>
      </c>
      <c r="O2991" s="2">
        <v>54.56</v>
      </c>
      <c r="P2991" s="2">
        <v>27.72</v>
      </c>
      <c r="Q2991" s="2">
        <v>26.84</v>
      </c>
      <c r="R2991">
        <v>1</v>
      </c>
      <c r="S2991">
        <v>0</v>
      </c>
      <c r="T2991">
        <v>3</v>
      </c>
      <c r="U2991">
        <v>5</v>
      </c>
    </row>
    <row r="2992" spans="1:21" ht="16.5" x14ac:dyDescent="0.3">
      <c r="A2992" t="s">
        <v>3080</v>
      </c>
      <c r="B2992" s="1">
        <v>45736</v>
      </c>
      <c r="C2992">
        <v>2025</v>
      </c>
      <c r="D2992" t="s">
        <v>22</v>
      </c>
      <c r="E2992" t="s">
        <v>402</v>
      </c>
      <c r="F2992" t="s">
        <v>31</v>
      </c>
      <c r="G2992" t="s">
        <v>46</v>
      </c>
      <c r="H2992" t="s">
        <v>26</v>
      </c>
      <c r="I2992" t="s">
        <v>42</v>
      </c>
      <c r="J2992" t="s">
        <v>54</v>
      </c>
      <c r="K2992">
        <v>1</v>
      </c>
      <c r="L2992" s="2">
        <v>148.05000000000001</v>
      </c>
      <c r="M2992" s="3">
        <v>0</v>
      </c>
      <c r="N2992" t="s">
        <v>38</v>
      </c>
      <c r="O2992" s="2">
        <v>148.05000000000001</v>
      </c>
      <c r="P2992" s="2">
        <v>97.4</v>
      </c>
      <c r="Q2992" s="2">
        <v>50.65</v>
      </c>
      <c r="R2992">
        <v>1</v>
      </c>
      <c r="S2992">
        <v>0</v>
      </c>
      <c r="T2992">
        <v>7</v>
      </c>
      <c r="U2992">
        <v>5</v>
      </c>
    </row>
    <row r="2993" spans="1:21" ht="16.5" x14ac:dyDescent="0.3">
      <c r="A2993" t="s">
        <v>3081</v>
      </c>
      <c r="B2993" s="1">
        <v>45736</v>
      </c>
      <c r="C2993">
        <v>2025</v>
      </c>
      <c r="D2993" t="s">
        <v>22</v>
      </c>
      <c r="E2993" t="s">
        <v>402</v>
      </c>
      <c r="F2993" t="s">
        <v>31</v>
      </c>
      <c r="G2993" t="s">
        <v>49</v>
      </c>
      <c r="H2993" t="s">
        <v>26</v>
      </c>
      <c r="I2993" t="s">
        <v>27</v>
      </c>
      <c r="J2993" t="s">
        <v>47</v>
      </c>
      <c r="K2993">
        <v>4</v>
      </c>
      <c r="L2993" s="2">
        <v>33.99</v>
      </c>
      <c r="M2993" s="3">
        <v>0.1</v>
      </c>
      <c r="N2993" t="s">
        <v>29</v>
      </c>
      <c r="O2993" s="2">
        <v>122.36</v>
      </c>
      <c r="P2993" s="2">
        <v>74.7</v>
      </c>
      <c r="Q2993" s="2">
        <v>47.66</v>
      </c>
      <c r="R2993">
        <v>1</v>
      </c>
      <c r="S2993">
        <v>1</v>
      </c>
      <c r="T2993">
        <v>6</v>
      </c>
      <c r="U2993">
        <v>3</v>
      </c>
    </row>
    <row r="2994" spans="1:21" ht="16.5" x14ac:dyDescent="0.3">
      <c r="A2994" t="s">
        <v>3082</v>
      </c>
      <c r="B2994" s="1">
        <v>45737</v>
      </c>
      <c r="C2994">
        <v>2025</v>
      </c>
      <c r="D2994" t="s">
        <v>22</v>
      </c>
      <c r="E2994" t="s">
        <v>402</v>
      </c>
      <c r="F2994" t="s">
        <v>31</v>
      </c>
      <c r="G2994" t="s">
        <v>49</v>
      </c>
      <c r="H2994" t="s">
        <v>26</v>
      </c>
      <c r="I2994" t="s">
        <v>84</v>
      </c>
      <c r="J2994" t="s">
        <v>223</v>
      </c>
      <c r="K2994">
        <v>1</v>
      </c>
      <c r="L2994" s="2">
        <v>16.97</v>
      </c>
      <c r="M2994" s="3">
        <v>0.1</v>
      </c>
      <c r="N2994" t="s">
        <v>29</v>
      </c>
      <c r="O2994" s="2">
        <v>15.27</v>
      </c>
      <c r="P2994" s="2">
        <v>12.03</v>
      </c>
      <c r="Q2994" s="2">
        <v>3.24</v>
      </c>
      <c r="R2994">
        <v>1</v>
      </c>
      <c r="S2994">
        <v>0</v>
      </c>
      <c r="T2994">
        <v>4</v>
      </c>
      <c r="U2994">
        <v>5</v>
      </c>
    </row>
    <row r="2995" spans="1:21" ht="16.5" x14ac:dyDescent="0.3">
      <c r="A2995" t="s">
        <v>3083</v>
      </c>
      <c r="B2995" s="1">
        <v>45737</v>
      </c>
      <c r="C2995">
        <v>2025</v>
      </c>
      <c r="D2995" t="s">
        <v>22</v>
      </c>
      <c r="E2995" t="s">
        <v>402</v>
      </c>
      <c r="F2995" t="s">
        <v>31</v>
      </c>
      <c r="G2995" t="s">
        <v>51</v>
      </c>
      <c r="H2995" t="s">
        <v>26</v>
      </c>
      <c r="I2995" t="s">
        <v>36</v>
      </c>
      <c r="J2995" t="s">
        <v>115</v>
      </c>
      <c r="K2995">
        <v>1</v>
      </c>
      <c r="L2995" s="2">
        <v>33.479999999999997</v>
      </c>
      <c r="M2995" s="3">
        <v>0.15</v>
      </c>
      <c r="N2995" t="s">
        <v>34</v>
      </c>
      <c r="O2995" s="2">
        <v>28.46</v>
      </c>
      <c r="P2995" s="2">
        <v>16.190000000000001</v>
      </c>
      <c r="Q2995" s="2">
        <v>12.27</v>
      </c>
      <c r="R2995">
        <v>1</v>
      </c>
      <c r="S2995">
        <v>0</v>
      </c>
      <c r="T2995">
        <v>3</v>
      </c>
      <c r="U2995">
        <v>4</v>
      </c>
    </row>
    <row r="2996" spans="1:21" ht="16.5" x14ac:dyDescent="0.3">
      <c r="A2996" t="s">
        <v>3084</v>
      </c>
      <c r="B2996" s="1">
        <v>45737</v>
      </c>
      <c r="C2996">
        <v>2025</v>
      </c>
      <c r="D2996" t="s">
        <v>22</v>
      </c>
      <c r="E2996" t="s">
        <v>402</v>
      </c>
      <c r="F2996" t="s">
        <v>24</v>
      </c>
      <c r="G2996" t="s">
        <v>46</v>
      </c>
      <c r="H2996" t="s">
        <v>26</v>
      </c>
      <c r="I2996" t="s">
        <v>42</v>
      </c>
      <c r="J2996" t="s">
        <v>76</v>
      </c>
      <c r="K2996">
        <v>1</v>
      </c>
      <c r="L2996" s="2">
        <v>90.75</v>
      </c>
      <c r="M2996" s="3">
        <v>0.05</v>
      </c>
      <c r="N2996" t="s">
        <v>29</v>
      </c>
      <c r="O2996" s="2">
        <v>86.21</v>
      </c>
      <c r="P2996" s="2">
        <v>58.38</v>
      </c>
      <c r="Q2996" s="2">
        <v>27.83</v>
      </c>
      <c r="R2996">
        <v>1</v>
      </c>
      <c r="S2996">
        <v>0</v>
      </c>
      <c r="T2996">
        <v>5</v>
      </c>
      <c r="U2996">
        <v>5</v>
      </c>
    </row>
    <row r="2997" spans="1:21" ht="16.5" x14ac:dyDescent="0.3">
      <c r="A2997" t="s">
        <v>3085</v>
      </c>
      <c r="B2997" s="1">
        <v>45737</v>
      </c>
      <c r="C2997">
        <v>2025</v>
      </c>
      <c r="D2997" t="s">
        <v>22</v>
      </c>
      <c r="E2997" t="s">
        <v>402</v>
      </c>
      <c r="F2997" t="s">
        <v>45</v>
      </c>
      <c r="G2997" t="s">
        <v>65</v>
      </c>
      <c r="H2997" t="s">
        <v>26</v>
      </c>
      <c r="I2997" t="s">
        <v>36</v>
      </c>
      <c r="J2997" t="s">
        <v>115</v>
      </c>
      <c r="K2997">
        <v>1</v>
      </c>
      <c r="L2997" s="2">
        <v>33.479999999999997</v>
      </c>
      <c r="M2997" s="3">
        <v>0</v>
      </c>
      <c r="N2997" t="s">
        <v>38</v>
      </c>
      <c r="O2997" s="2">
        <v>33.479999999999997</v>
      </c>
      <c r="P2997" s="2">
        <v>16.670000000000002</v>
      </c>
      <c r="Q2997" s="2">
        <v>16.809999999999999</v>
      </c>
      <c r="R2997">
        <v>1</v>
      </c>
      <c r="S2997">
        <v>0</v>
      </c>
      <c r="T2997">
        <v>5</v>
      </c>
      <c r="U2997">
        <v>4</v>
      </c>
    </row>
    <row r="2998" spans="1:21" ht="16.5" x14ac:dyDescent="0.3">
      <c r="A2998" t="s">
        <v>3086</v>
      </c>
      <c r="B2998" s="1">
        <v>45737</v>
      </c>
      <c r="C2998">
        <v>2025</v>
      </c>
      <c r="D2998" t="s">
        <v>22</v>
      </c>
      <c r="E2998" t="s">
        <v>402</v>
      </c>
      <c r="F2998" t="s">
        <v>45</v>
      </c>
      <c r="G2998" t="s">
        <v>51</v>
      </c>
      <c r="H2998" t="s">
        <v>32</v>
      </c>
      <c r="I2998" t="s">
        <v>70</v>
      </c>
      <c r="J2998" t="s">
        <v>87</v>
      </c>
      <c r="K2998">
        <v>1</v>
      </c>
      <c r="L2998" s="2">
        <v>490.3</v>
      </c>
      <c r="M2998" s="3">
        <v>0.15</v>
      </c>
      <c r="N2998" t="s">
        <v>34</v>
      </c>
      <c r="O2998" s="2">
        <v>416.76</v>
      </c>
      <c r="P2998" s="2">
        <v>393.64</v>
      </c>
      <c r="Q2998" s="2">
        <v>23.12</v>
      </c>
      <c r="R2998">
        <v>1</v>
      </c>
      <c r="S2998">
        <v>0</v>
      </c>
      <c r="T2998">
        <v>2</v>
      </c>
      <c r="U2998">
        <v>4</v>
      </c>
    </row>
    <row r="2999" spans="1:21" ht="16.5" x14ac:dyDescent="0.3">
      <c r="A2999" t="s">
        <v>3087</v>
      </c>
      <c r="B2999" s="1">
        <v>45737</v>
      </c>
      <c r="C2999">
        <v>2025</v>
      </c>
      <c r="D2999" t="s">
        <v>22</v>
      </c>
      <c r="E2999" t="s">
        <v>402</v>
      </c>
      <c r="F2999" t="s">
        <v>24</v>
      </c>
      <c r="G2999" t="s">
        <v>46</v>
      </c>
      <c r="H2999" t="s">
        <v>32</v>
      </c>
      <c r="I2999" t="s">
        <v>70</v>
      </c>
      <c r="J2999" t="s">
        <v>71</v>
      </c>
      <c r="K2999">
        <v>1</v>
      </c>
      <c r="L2999" s="2">
        <v>588.41</v>
      </c>
      <c r="M2999" s="3">
        <v>0</v>
      </c>
      <c r="N2999" t="s">
        <v>38</v>
      </c>
      <c r="O2999" s="2">
        <v>588.41</v>
      </c>
      <c r="P2999" s="2">
        <v>463.5</v>
      </c>
      <c r="Q2999" s="2">
        <v>124.91</v>
      </c>
      <c r="R2999">
        <v>1</v>
      </c>
      <c r="S2999">
        <v>0</v>
      </c>
      <c r="T2999">
        <v>5</v>
      </c>
      <c r="U2999">
        <v>5</v>
      </c>
    </row>
    <row r="3000" spans="1:21" ht="16.5" x14ac:dyDescent="0.3">
      <c r="A3000" t="s">
        <v>3088</v>
      </c>
      <c r="B3000" s="1">
        <v>45738</v>
      </c>
      <c r="C3000">
        <v>2025</v>
      </c>
      <c r="D3000" t="s">
        <v>22</v>
      </c>
      <c r="E3000" t="s">
        <v>402</v>
      </c>
      <c r="F3000" t="s">
        <v>31</v>
      </c>
      <c r="G3000" t="s">
        <v>46</v>
      </c>
      <c r="H3000" t="s">
        <v>32</v>
      </c>
      <c r="I3000" t="s">
        <v>42</v>
      </c>
      <c r="J3000" t="s">
        <v>54</v>
      </c>
      <c r="K3000">
        <v>3</v>
      </c>
      <c r="L3000" s="2">
        <v>148.05000000000001</v>
      </c>
      <c r="M3000" s="3">
        <v>0.1</v>
      </c>
      <c r="N3000" t="s">
        <v>29</v>
      </c>
      <c r="O3000" s="2">
        <v>399.74</v>
      </c>
      <c r="P3000" s="2">
        <v>300.57</v>
      </c>
      <c r="Q3000" s="2">
        <v>99.17</v>
      </c>
      <c r="R3000">
        <v>1</v>
      </c>
      <c r="S3000">
        <v>0</v>
      </c>
      <c r="T3000">
        <v>8</v>
      </c>
      <c r="U3000">
        <v>3</v>
      </c>
    </row>
    <row r="3001" spans="1:21" ht="16.5" x14ac:dyDescent="0.3">
      <c r="A3001" t="s">
        <v>3089</v>
      </c>
      <c r="B3001" s="1">
        <v>45738</v>
      </c>
      <c r="C3001">
        <v>2025</v>
      </c>
      <c r="D3001" t="s">
        <v>22</v>
      </c>
      <c r="E3001" t="s">
        <v>402</v>
      </c>
      <c r="F3001" t="s">
        <v>24</v>
      </c>
      <c r="G3001" t="s">
        <v>65</v>
      </c>
      <c r="H3001" t="s">
        <v>26</v>
      </c>
      <c r="I3001" t="s">
        <v>36</v>
      </c>
      <c r="J3001" t="s">
        <v>37</v>
      </c>
      <c r="K3001">
        <v>4</v>
      </c>
      <c r="L3001" s="2">
        <v>33.18</v>
      </c>
      <c r="M3001" s="3">
        <v>0.05</v>
      </c>
      <c r="N3001" t="s">
        <v>29</v>
      </c>
      <c r="O3001" s="2">
        <v>126.08</v>
      </c>
      <c r="P3001" s="2">
        <v>62.84</v>
      </c>
      <c r="Q3001" s="2">
        <v>63.24</v>
      </c>
      <c r="R3001">
        <v>1</v>
      </c>
      <c r="S3001">
        <v>0</v>
      </c>
      <c r="T3001">
        <v>7</v>
      </c>
      <c r="U3001">
        <v>4</v>
      </c>
    </row>
    <row r="3002" spans="1:21" ht="16.5" x14ac:dyDescent="0.3">
      <c r="A3002" t="s">
        <v>3090</v>
      </c>
      <c r="B3002" s="1">
        <v>45738</v>
      </c>
      <c r="C3002">
        <v>2025</v>
      </c>
      <c r="D3002" t="s">
        <v>22</v>
      </c>
      <c r="E3002" t="s">
        <v>402</v>
      </c>
      <c r="F3002" t="s">
        <v>24</v>
      </c>
      <c r="G3002" t="s">
        <v>49</v>
      </c>
      <c r="H3002" t="s">
        <v>32</v>
      </c>
      <c r="I3002" t="s">
        <v>36</v>
      </c>
      <c r="J3002" t="s">
        <v>37</v>
      </c>
      <c r="K3002">
        <v>4</v>
      </c>
      <c r="L3002" s="2">
        <v>33.18</v>
      </c>
      <c r="M3002" s="3">
        <v>0.15</v>
      </c>
      <c r="N3002" t="s">
        <v>34</v>
      </c>
      <c r="O3002" s="2">
        <v>112.81</v>
      </c>
      <c r="P3002" s="2">
        <v>64.489999999999995</v>
      </c>
      <c r="Q3002" s="2">
        <v>48.32</v>
      </c>
      <c r="R3002">
        <v>1</v>
      </c>
      <c r="S3002">
        <v>0</v>
      </c>
      <c r="T3002">
        <v>4</v>
      </c>
      <c r="U3002">
        <v>5</v>
      </c>
    </row>
    <row r="3003" spans="1:21" ht="16.5" x14ac:dyDescent="0.3">
      <c r="A3003" t="s">
        <v>3091</v>
      </c>
      <c r="B3003" s="1">
        <v>45738</v>
      </c>
      <c r="C3003">
        <v>2025</v>
      </c>
      <c r="D3003" t="s">
        <v>22</v>
      </c>
      <c r="E3003" t="s">
        <v>402</v>
      </c>
      <c r="F3003" t="s">
        <v>24</v>
      </c>
      <c r="G3003" t="s">
        <v>65</v>
      </c>
      <c r="H3003" t="s">
        <v>26</v>
      </c>
      <c r="I3003" t="s">
        <v>70</v>
      </c>
      <c r="J3003" t="s">
        <v>87</v>
      </c>
      <c r="K3003">
        <v>1</v>
      </c>
      <c r="L3003" s="2">
        <v>490.3</v>
      </c>
      <c r="M3003" s="3">
        <v>0</v>
      </c>
      <c r="N3003" t="s">
        <v>38</v>
      </c>
      <c r="O3003" s="2">
        <v>490.3</v>
      </c>
      <c r="P3003" s="2">
        <v>410.86</v>
      </c>
      <c r="Q3003" s="2">
        <v>79.44</v>
      </c>
      <c r="R3003">
        <v>1</v>
      </c>
      <c r="S3003">
        <v>0</v>
      </c>
      <c r="T3003">
        <v>6</v>
      </c>
      <c r="U3003">
        <v>4</v>
      </c>
    </row>
    <row r="3004" spans="1:21" ht="16.5" x14ac:dyDescent="0.3">
      <c r="A3004" t="s">
        <v>3092</v>
      </c>
      <c r="B3004" s="1">
        <v>45738</v>
      </c>
      <c r="C3004">
        <v>2025</v>
      </c>
      <c r="D3004" t="s">
        <v>22</v>
      </c>
      <c r="E3004" t="s">
        <v>402</v>
      </c>
      <c r="F3004" t="s">
        <v>24</v>
      </c>
      <c r="G3004" t="s">
        <v>25</v>
      </c>
      <c r="H3004" t="s">
        <v>32</v>
      </c>
      <c r="I3004" t="s">
        <v>70</v>
      </c>
      <c r="J3004" t="s">
        <v>162</v>
      </c>
      <c r="K3004">
        <v>2</v>
      </c>
      <c r="L3004" s="2">
        <v>636.09</v>
      </c>
      <c r="M3004" s="3">
        <v>0.15</v>
      </c>
      <c r="N3004" t="s">
        <v>34</v>
      </c>
      <c r="O3004" s="2">
        <v>1081.3499999999999</v>
      </c>
      <c r="P3004" s="2">
        <v>1008.78</v>
      </c>
      <c r="Q3004" s="2">
        <v>72.569999999999993</v>
      </c>
      <c r="R3004">
        <v>1</v>
      </c>
      <c r="S3004">
        <v>0</v>
      </c>
      <c r="T3004">
        <v>3</v>
      </c>
      <c r="U3004">
        <v>4</v>
      </c>
    </row>
    <row r="3005" spans="1:21" ht="16.5" x14ac:dyDescent="0.3">
      <c r="A3005" t="s">
        <v>3093</v>
      </c>
      <c r="B3005" s="1">
        <v>45738</v>
      </c>
      <c r="C3005">
        <v>2025</v>
      </c>
      <c r="D3005" t="s">
        <v>22</v>
      </c>
      <c r="E3005" t="s">
        <v>402</v>
      </c>
      <c r="F3005" t="s">
        <v>31</v>
      </c>
      <c r="G3005" t="s">
        <v>25</v>
      </c>
      <c r="H3005" t="s">
        <v>26</v>
      </c>
      <c r="I3005" t="s">
        <v>84</v>
      </c>
      <c r="J3005" t="s">
        <v>223</v>
      </c>
      <c r="K3005">
        <v>3</v>
      </c>
      <c r="L3005" s="2">
        <v>16.97</v>
      </c>
      <c r="M3005" s="3">
        <v>0.3</v>
      </c>
      <c r="N3005" t="s">
        <v>62</v>
      </c>
      <c r="O3005" s="2">
        <v>35.64</v>
      </c>
      <c r="P3005" s="2">
        <v>36.33</v>
      </c>
      <c r="Q3005" s="2">
        <v>-0.69</v>
      </c>
      <c r="R3005">
        <v>1</v>
      </c>
      <c r="S3005">
        <v>0</v>
      </c>
      <c r="T3005">
        <v>4</v>
      </c>
      <c r="U3005">
        <v>5</v>
      </c>
    </row>
    <row r="3006" spans="1:21" ht="16.5" x14ac:dyDescent="0.3">
      <c r="A3006" t="s">
        <v>3094</v>
      </c>
      <c r="B3006" s="1">
        <v>45738</v>
      </c>
      <c r="C3006">
        <v>2025</v>
      </c>
      <c r="D3006" t="s">
        <v>22</v>
      </c>
      <c r="E3006" t="s">
        <v>402</v>
      </c>
      <c r="F3006" t="s">
        <v>24</v>
      </c>
      <c r="G3006" t="s">
        <v>51</v>
      </c>
      <c r="H3006" t="s">
        <v>26</v>
      </c>
      <c r="I3006" t="s">
        <v>27</v>
      </c>
      <c r="J3006" t="s">
        <v>40</v>
      </c>
      <c r="K3006">
        <v>1</v>
      </c>
      <c r="L3006" s="2">
        <v>104.94</v>
      </c>
      <c r="M3006" s="3">
        <v>0</v>
      </c>
      <c r="N3006" t="s">
        <v>38</v>
      </c>
      <c r="O3006" s="2">
        <v>104.94</v>
      </c>
      <c r="P3006" s="2">
        <v>57.39</v>
      </c>
      <c r="Q3006" s="2">
        <v>47.55</v>
      </c>
      <c r="R3006">
        <v>1</v>
      </c>
      <c r="S3006">
        <v>0</v>
      </c>
      <c r="T3006">
        <v>2</v>
      </c>
      <c r="U3006">
        <v>4</v>
      </c>
    </row>
    <row r="3007" spans="1:21" ht="16.5" x14ac:dyDescent="0.3">
      <c r="A3007" t="s">
        <v>3095</v>
      </c>
      <c r="B3007" s="1">
        <v>45738</v>
      </c>
      <c r="C3007">
        <v>2025</v>
      </c>
      <c r="D3007" t="s">
        <v>22</v>
      </c>
      <c r="E3007" t="s">
        <v>402</v>
      </c>
      <c r="F3007" t="s">
        <v>24</v>
      </c>
      <c r="G3007" t="s">
        <v>25</v>
      </c>
      <c r="H3007" t="s">
        <v>32</v>
      </c>
      <c r="I3007" t="s">
        <v>27</v>
      </c>
      <c r="J3007" t="s">
        <v>60</v>
      </c>
      <c r="K3007">
        <v>1</v>
      </c>
      <c r="L3007" s="2">
        <v>94.85</v>
      </c>
      <c r="M3007" s="3">
        <v>0</v>
      </c>
      <c r="N3007" t="s">
        <v>38</v>
      </c>
      <c r="O3007" s="2">
        <v>94.85</v>
      </c>
      <c r="P3007" s="2">
        <v>52.29</v>
      </c>
      <c r="Q3007" s="2">
        <v>42.56</v>
      </c>
      <c r="R3007">
        <v>1</v>
      </c>
      <c r="S3007">
        <v>0</v>
      </c>
      <c r="T3007">
        <v>3</v>
      </c>
      <c r="U3007">
        <v>5</v>
      </c>
    </row>
    <row r="3008" spans="1:21" ht="16.5" x14ac:dyDescent="0.3">
      <c r="A3008" t="s">
        <v>3096</v>
      </c>
      <c r="B3008" s="1">
        <v>45738</v>
      </c>
      <c r="C3008">
        <v>2025</v>
      </c>
      <c r="D3008" t="s">
        <v>22</v>
      </c>
      <c r="E3008" t="s">
        <v>402</v>
      </c>
      <c r="F3008" t="s">
        <v>31</v>
      </c>
      <c r="G3008" t="s">
        <v>46</v>
      </c>
      <c r="H3008" t="s">
        <v>26</v>
      </c>
      <c r="I3008" t="s">
        <v>70</v>
      </c>
      <c r="J3008" t="s">
        <v>82</v>
      </c>
      <c r="K3008">
        <v>1</v>
      </c>
      <c r="L3008" s="2">
        <v>508.8</v>
      </c>
      <c r="M3008" s="3">
        <v>0</v>
      </c>
      <c r="N3008" t="s">
        <v>38</v>
      </c>
      <c r="O3008" s="2">
        <v>508.8</v>
      </c>
      <c r="P3008" s="2">
        <v>406.26</v>
      </c>
      <c r="Q3008" s="2">
        <v>102.54</v>
      </c>
      <c r="R3008">
        <v>1</v>
      </c>
      <c r="S3008">
        <v>0</v>
      </c>
      <c r="T3008">
        <v>5</v>
      </c>
      <c r="U3008">
        <v>4</v>
      </c>
    </row>
    <row r="3009" spans="1:21" ht="16.5" x14ac:dyDescent="0.3">
      <c r="A3009" t="s">
        <v>3097</v>
      </c>
      <c r="B3009" s="1">
        <v>45738</v>
      </c>
      <c r="C3009">
        <v>2025</v>
      </c>
      <c r="D3009" t="s">
        <v>22</v>
      </c>
      <c r="E3009" t="s">
        <v>402</v>
      </c>
      <c r="F3009" t="s">
        <v>24</v>
      </c>
      <c r="G3009" t="s">
        <v>65</v>
      </c>
      <c r="H3009" t="s">
        <v>32</v>
      </c>
      <c r="I3009" t="s">
        <v>67</v>
      </c>
      <c r="J3009" t="s">
        <v>78</v>
      </c>
      <c r="K3009">
        <v>1</v>
      </c>
      <c r="L3009" s="2">
        <v>85.42</v>
      </c>
      <c r="M3009" s="3">
        <v>0.15</v>
      </c>
      <c r="N3009" t="s">
        <v>34</v>
      </c>
      <c r="O3009" s="2">
        <v>72.61</v>
      </c>
      <c r="P3009" s="2">
        <v>56.25</v>
      </c>
      <c r="Q3009" s="2">
        <v>16.36</v>
      </c>
      <c r="R3009">
        <v>1</v>
      </c>
      <c r="S3009">
        <v>0</v>
      </c>
      <c r="T3009">
        <v>6</v>
      </c>
      <c r="U3009">
        <v>3</v>
      </c>
    </row>
    <row r="3010" spans="1:21" ht="16.5" x14ac:dyDescent="0.3">
      <c r="A3010" t="s">
        <v>3098</v>
      </c>
      <c r="B3010" s="1">
        <v>45738</v>
      </c>
      <c r="C3010">
        <v>2025</v>
      </c>
      <c r="D3010" t="s">
        <v>22</v>
      </c>
      <c r="E3010" t="s">
        <v>402</v>
      </c>
      <c r="F3010" t="s">
        <v>45</v>
      </c>
      <c r="G3010" t="s">
        <v>51</v>
      </c>
      <c r="H3010" t="s">
        <v>26</v>
      </c>
      <c r="I3010" t="s">
        <v>36</v>
      </c>
      <c r="J3010" t="s">
        <v>52</v>
      </c>
      <c r="K3010">
        <v>2</v>
      </c>
      <c r="L3010" s="2">
        <v>92.54</v>
      </c>
      <c r="M3010" s="3">
        <v>0.15</v>
      </c>
      <c r="N3010" t="s">
        <v>34</v>
      </c>
      <c r="O3010" s="2">
        <v>157.32</v>
      </c>
      <c r="P3010" s="2">
        <v>91.06</v>
      </c>
      <c r="Q3010" s="2">
        <v>66.260000000000005</v>
      </c>
      <c r="R3010">
        <v>1</v>
      </c>
      <c r="S3010">
        <v>0</v>
      </c>
      <c r="T3010">
        <v>3</v>
      </c>
      <c r="U3010">
        <v>5</v>
      </c>
    </row>
    <row r="3011" spans="1:21" ht="16.5" x14ac:dyDescent="0.3">
      <c r="A3011" t="s">
        <v>3099</v>
      </c>
      <c r="B3011" s="1">
        <v>45739</v>
      </c>
      <c r="C3011">
        <v>2025</v>
      </c>
      <c r="D3011" t="s">
        <v>22</v>
      </c>
      <c r="E3011" t="s">
        <v>402</v>
      </c>
      <c r="F3011" t="s">
        <v>31</v>
      </c>
      <c r="G3011" t="s">
        <v>51</v>
      </c>
      <c r="H3011" t="s">
        <v>26</v>
      </c>
      <c r="I3011" t="s">
        <v>27</v>
      </c>
      <c r="J3011" t="s">
        <v>60</v>
      </c>
      <c r="K3011">
        <v>1</v>
      </c>
      <c r="L3011" s="2">
        <v>94.85</v>
      </c>
      <c r="M3011" s="3">
        <v>0</v>
      </c>
      <c r="N3011" t="s">
        <v>38</v>
      </c>
      <c r="O3011" s="2">
        <v>94.85</v>
      </c>
      <c r="P3011" s="2">
        <v>50.49</v>
      </c>
      <c r="Q3011" s="2">
        <v>44.36</v>
      </c>
      <c r="R3011">
        <v>1</v>
      </c>
      <c r="S3011">
        <v>0</v>
      </c>
      <c r="T3011">
        <v>3</v>
      </c>
      <c r="U3011">
        <v>5</v>
      </c>
    </row>
    <row r="3012" spans="1:21" ht="16.5" x14ac:dyDescent="0.3">
      <c r="A3012" t="s">
        <v>3100</v>
      </c>
      <c r="B3012" s="1">
        <v>45739</v>
      </c>
      <c r="C3012">
        <v>2025</v>
      </c>
      <c r="D3012" t="s">
        <v>22</v>
      </c>
      <c r="E3012" t="s">
        <v>402</v>
      </c>
      <c r="F3012" t="s">
        <v>31</v>
      </c>
      <c r="G3012" t="s">
        <v>51</v>
      </c>
      <c r="H3012" t="s">
        <v>32</v>
      </c>
      <c r="I3012" t="s">
        <v>42</v>
      </c>
      <c r="J3012" t="s">
        <v>58</v>
      </c>
      <c r="K3012">
        <v>2</v>
      </c>
      <c r="L3012" s="2">
        <v>233.81</v>
      </c>
      <c r="M3012" s="3">
        <v>0.05</v>
      </c>
      <c r="N3012" t="s">
        <v>29</v>
      </c>
      <c r="O3012" s="2">
        <v>444.24</v>
      </c>
      <c r="P3012" s="2">
        <v>306.67</v>
      </c>
      <c r="Q3012" s="2">
        <v>137.57</v>
      </c>
      <c r="R3012">
        <v>1</v>
      </c>
      <c r="S3012">
        <v>0</v>
      </c>
      <c r="T3012">
        <v>3</v>
      </c>
      <c r="U3012">
        <v>5</v>
      </c>
    </row>
    <row r="3013" spans="1:21" ht="16.5" x14ac:dyDescent="0.3">
      <c r="A3013" t="s">
        <v>3101</v>
      </c>
      <c r="B3013" s="1">
        <v>45739</v>
      </c>
      <c r="C3013">
        <v>2025</v>
      </c>
      <c r="D3013" t="s">
        <v>22</v>
      </c>
      <c r="E3013" t="s">
        <v>402</v>
      </c>
      <c r="F3013" t="s">
        <v>24</v>
      </c>
      <c r="G3013" t="s">
        <v>46</v>
      </c>
      <c r="H3013" t="s">
        <v>32</v>
      </c>
      <c r="I3013" t="s">
        <v>27</v>
      </c>
      <c r="J3013" t="s">
        <v>33</v>
      </c>
      <c r="K3013">
        <v>1</v>
      </c>
      <c r="L3013" s="2">
        <v>78.510000000000005</v>
      </c>
      <c r="M3013" s="3">
        <v>0.15</v>
      </c>
      <c r="N3013" t="s">
        <v>34</v>
      </c>
      <c r="O3013" s="2">
        <v>66.73</v>
      </c>
      <c r="P3013" s="2">
        <v>41.74</v>
      </c>
      <c r="Q3013" s="2">
        <v>24.99</v>
      </c>
      <c r="R3013">
        <v>1</v>
      </c>
      <c r="S3013">
        <v>0</v>
      </c>
      <c r="T3013">
        <v>6</v>
      </c>
      <c r="U3013">
        <v>4</v>
      </c>
    </row>
    <row r="3014" spans="1:21" ht="16.5" x14ac:dyDescent="0.3">
      <c r="A3014" t="s">
        <v>3102</v>
      </c>
      <c r="B3014" s="1">
        <v>45739</v>
      </c>
      <c r="C3014">
        <v>2025</v>
      </c>
      <c r="D3014" t="s">
        <v>22</v>
      </c>
      <c r="E3014" t="s">
        <v>402</v>
      </c>
      <c r="F3014" t="s">
        <v>31</v>
      </c>
      <c r="G3014" t="s">
        <v>49</v>
      </c>
      <c r="H3014" t="s">
        <v>32</v>
      </c>
      <c r="I3014" t="s">
        <v>84</v>
      </c>
      <c r="J3014" t="s">
        <v>85</v>
      </c>
      <c r="K3014">
        <v>2</v>
      </c>
      <c r="L3014" s="2">
        <v>57.92</v>
      </c>
      <c r="M3014" s="3">
        <v>0.2</v>
      </c>
      <c r="N3014" t="s">
        <v>34</v>
      </c>
      <c r="O3014" s="2">
        <v>92.67</v>
      </c>
      <c r="P3014" s="2">
        <v>84.06</v>
      </c>
      <c r="Q3014" s="2">
        <v>8.61</v>
      </c>
      <c r="R3014">
        <v>1</v>
      </c>
      <c r="S3014">
        <v>0</v>
      </c>
      <c r="T3014">
        <v>5</v>
      </c>
      <c r="U3014">
        <v>4</v>
      </c>
    </row>
    <row r="3015" spans="1:21" ht="16.5" x14ac:dyDescent="0.3">
      <c r="A3015" t="s">
        <v>3103</v>
      </c>
      <c r="B3015" s="1">
        <v>45739</v>
      </c>
      <c r="C3015">
        <v>2025</v>
      </c>
      <c r="D3015" t="s">
        <v>22</v>
      </c>
      <c r="E3015" t="s">
        <v>402</v>
      </c>
      <c r="F3015" t="s">
        <v>31</v>
      </c>
      <c r="G3015" t="s">
        <v>51</v>
      </c>
      <c r="H3015" t="s">
        <v>26</v>
      </c>
      <c r="I3015" t="s">
        <v>84</v>
      </c>
      <c r="J3015" t="s">
        <v>106</v>
      </c>
      <c r="K3015">
        <v>1</v>
      </c>
      <c r="L3015" s="2">
        <v>45.28</v>
      </c>
      <c r="M3015" s="3">
        <v>0</v>
      </c>
      <c r="N3015" t="s">
        <v>38</v>
      </c>
      <c r="O3015" s="2">
        <v>45.28</v>
      </c>
      <c r="P3015" s="2">
        <v>33.69</v>
      </c>
      <c r="Q3015" s="2">
        <v>11.59</v>
      </c>
      <c r="R3015">
        <v>1</v>
      </c>
      <c r="S3015">
        <v>0</v>
      </c>
      <c r="T3015">
        <v>2</v>
      </c>
      <c r="U3015">
        <v>4</v>
      </c>
    </row>
    <row r="3016" spans="1:21" ht="16.5" x14ac:dyDescent="0.3">
      <c r="A3016" t="s">
        <v>3104</v>
      </c>
      <c r="B3016" s="1">
        <v>45739</v>
      </c>
      <c r="C3016">
        <v>2025</v>
      </c>
      <c r="D3016" t="s">
        <v>22</v>
      </c>
      <c r="E3016" t="s">
        <v>402</v>
      </c>
      <c r="F3016" t="s">
        <v>24</v>
      </c>
      <c r="G3016" t="s">
        <v>51</v>
      </c>
      <c r="H3016" t="s">
        <v>32</v>
      </c>
      <c r="I3016" t="s">
        <v>70</v>
      </c>
      <c r="J3016" t="s">
        <v>71</v>
      </c>
      <c r="K3016">
        <v>2</v>
      </c>
      <c r="L3016" s="2">
        <v>588.41</v>
      </c>
      <c r="M3016" s="3">
        <v>0.1</v>
      </c>
      <c r="N3016" t="s">
        <v>29</v>
      </c>
      <c r="O3016" s="2">
        <v>1059.1400000000001</v>
      </c>
      <c r="P3016" s="2">
        <v>933.97</v>
      </c>
      <c r="Q3016" s="2">
        <v>125.17</v>
      </c>
      <c r="R3016">
        <v>1</v>
      </c>
      <c r="S3016">
        <v>0</v>
      </c>
      <c r="T3016">
        <v>2</v>
      </c>
      <c r="U3016">
        <v>4</v>
      </c>
    </row>
    <row r="3017" spans="1:21" ht="16.5" x14ac:dyDescent="0.3">
      <c r="A3017" t="s">
        <v>3105</v>
      </c>
      <c r="B3017" s="1">
        <v>45740</v>
      </c>
      <c r="C3017">
        <v>2025</v>
      </c>
      <c r="D3017" t="s">
        <v>22</v>
      </c>
      <c r="E3017" t="s">
        <v>402</v>
      </c>
      <c r="F3017" t="s">
        <v>24</v>
      </c>
      <c r="G3017" t="s">
        <v>25</v>
      </c>
      <c r="H3017" t="s">
        <v>32</v>
      </c>
      <c r="I3017" t="s">
        <v>84</v>
      </c>
      <c r="J3017" t="s">
        <v>85</v>
      </c>
      <c r="K3017">
        <v>1</v>
      </c>
      <c r="L3017" s="2">
        <v>57.92</v>
      </c>
      <c r="M3017" s="3">
        <v>0.05</v>
      </c>
      <c r="N3017" t="s">
        <v>29</v>
      </c>
      <c r="O3017" s="2">
        <v>55.02</v>
      </c>
      <c r="P3017" s="2">
        <v>40.9</v>
      </c>
      <c r="Q3017" s="2">
        <v>14.12</v>
      </c>
      <c r="R3017">
        <v>1</v>
      </c>
      <c r="S3017">
        <v>0</v>
      </c>
      <c r="T3017">
        <v>4</v>
      </c>
      <c r="U3017">
        <v>4</v>
      </c>
    </row>
    <row r="3018" spans="1:21" ht="16.5" x14ac:dyDescent="0.3">
      <c r="A3018" t="s">
        <v>3106</v>
      </c>
      <c r="B3018" s="1">
        <v>45740</v>
      </c>
      <c r="C3018">
        <v>2025</v>
      </c>
      <c r="D3018" t="s">
        <v>22</v>
      </c>
      <c r="E3018" t="s">
        <v>402</v>
      </c>
      <c r="F3018" t="s">
        <v>31</v>
      </c>
      <c r="G3018" t="s">
        <v>65</v>
      </c>
      <c r="H3018" t="s">
        <v>32</v>
      </c>
      <c r="I3018" t="s">
        <v>84</v>
      </c>
      <c r="J3018" t="s">
        <v>85</v>
      </c>
      <c r="K3018">
        <v>1</v>
      </c>
      <c r="L3018" s="2">
        <v>57.92</v>
      </c>
      <c r="M3018" s="3">
        <v>0.05</v>
      </c>
      <c r="N3018" t="s">
        <v>29</v>
      </c>
      <c r="O3018" s="2">
        <v>55.02</v>
      </c>
      <c r="P3018" s="2">
        <v>39.75</v>
      </c>
      <c r="Q3018" s="2">
        <v>15.27</v>
      </c>
      <c r="R3018">
        <v>1</v>
      </c>
      <c r="S3018">
        <v>0</v>
      </c>
      <c r="T3018">
        <v>5</v>
      </c>
      <c r="U3018">
        <v>4</v>
      </c>
    </row>
    <row r="3019" spans="1:21" ht="16.5" x14ac:dyDescent="0.3">
      <c r="A3019" t="s">
        <v>3107</v>
      </c>
      <c r="B3019" s="1">
        <v>45740</v>
      </c>
      <c r="C3019">
        <v>2025</v>
      </c>
      <c r="D3019" t="s">
        <v>22</v>
      </c>
      <c r="E3019" t="s">
        <v>402</v>
      </c>
      <c r="F3019" t="s">
        <v>24</v>
      </c>
      <c r="G3019" t="s">
        <v>46</v>
      </c>
      <c r="H3019" t="s">
        <v>32</v>
      </c>
      <c r="I3019" t="s">
        <v>67</v>
      </c>
      <c r="J3019" t="s">
        <v>103</v>
      </c>
      <c r="K3019">
        <v>1</v>
      </c>
      <c r="L3019" s="2">
        <v>83.06</v>
      </c>
      <c r="M3019" s="3">
        <v>0.05</v>
      </c>
      <c r="N3019" t="s">
        <v>29</v>
      </c>
      <c r="O3019" s="2">
        <v>78.91</v>
      </c>
      <c r="P3019" s="2">
        <v>54.28</v>
      </c>
      <c r="Q3019" s="2">
        <v>24.63</v>
      </c>
      <c r="R3019">
        <v>1</v>
      </c>
      <c r="S3019">
        <v>0</v>
      </c>
      <c r="T3019">
        <v>5</v>
      </c>
      <c r="U3019">
        <v>4</v>
      </c>
    </row>
    <row r="3020" spans="1:21" ht="16.5" x14ac:dyDescent="0.3">
      <c r="A3020" t="s">
        <v>3108</v>
      </c>
      <c r="B3020" s="1">
        <v>45740</v>
      </c>
      <c r="C3020">
        <v>2025</v>
      </c>
      <c r="D3020" t="s">
        <v>22</v>
      </c>
      <c r="E3020" t="s">
        <v>402</v>
      </c>
      <c r="F3020" t="s">
        <v>24</v>
      </c>
      <c r="G3020" t="s">
        <v>49</v>
      </c>
      <c r="H3020" t="s">
        <v>26</v>
      </c>
      <c r="I3020" t="s">
        <v>67</v>
      </c>
      <c r="J3020" t="s">
        <v>93</v>
      </c>
      <c r="K3020">
        <v>3</v>
      </c>
      <c r="L3020" s="2">
        <v>198.42</v>
      </c>
      <c r="M3020" s="3">
        <v>0.05</v>
      </c>
      <c r="N3020" t="s">
        <v>29</v>
      </c>
      <c r="O3020" s="2">
        <v>565.5</v>
      </c>
      <c r="P3020" s="2">
        <v>406.27</v>
      </c>
      <c r="Q3020" s="2">
        <v>159.22999999999999</v>
      </c>
      <c r="R3020">
        <v>1</v>
      </c>
      <c r="S3020">
        <v>0</v>
      </c>
      <c r="T3020">
        <v>4</v>
      </c>
      <c r="U3020">
        <v>4</v>
      </c>
    </row>
    <row r="3021" spans="1:21" ht="16.5" x14ac:dyDescent="0.3">
      <c r="A3021" t="s">
        <v>3109</v>
      </c>
      <c r="B3021" s="1">
        <v>45740</v>
      </c>
      <c r="C3021">
        <v>2025</v>
      </c>
      <c r="D3021" t="s">
        <v>22</v>
      </c>
      <c r="E3021" t="s">
        <v>402</v>
      </c>
      <c r="F3021" t="s">
        <v>24</v>
      </c>
      <c r="G3021" t="s">
        <v>49</v>
      </c>
      <c r="H3021" t="s">
        <v>32</v>
      </c>
      <c r="I3021" t="s">
        <v>36</v>
      </c>
      <c r="J3021" t="s">
        <v>56</v>
      </c>
      <c r="K3021">
        <v>1</v>
      </c>
      <c r="L3021" s="2">
        <v>74.3</v>
      </c>
      <c r="M3021" s="3">
        <v>0.1</v>
      </c>
      <c r="N3021" t="s">
        <v>29</v>
      </c>
      <c r="O3021" s="2">
        <v>66.87</v>
      </c>
      <c r="P3021" s="2">
        <v>34.29</v>
      </c>
      <c r="Q3021" s="2">
        <v>32.58</v>
      </c>
      <c r="R3021">
        <v>1</v>
      </c>
      <c r="S3021">
        <v>0</v>
      </c>
      <c r="T3021">
        <v>4</v>
      </c>
      <c r="U3021">
        <v>5</v>
      </c>
    </row>
    <row r="3022" spans="1:21" ht="16.5" x14ac:dyDescent="0.3">
      <c r="A3022" t="s">
        <v>3110</v>
      </c>
      <c r="B3022" s="1">
        <v>45740</v>
      </c>
      <c r="C3022">
        <v>2025</v>
      </c>
      <c r="D3022" t="s">
        <v>22</v>
      </c>
      <c r="E3022" t="s">
        <v>402</v>
      </c>
      <c r="F3022" t="s">
        <v>24</v>
      </c>
      <c r="G3022" t="s">
        <v>25</v>
      </c>
      <c r="H3022" t="s">
        <v>32</v>
      </c>
      <c r="I3022" t="s">
        <v>42</v>
      </c>
      <c r="J3022" t="s">
        <v>58</v>
      </c>
      <c r="K3022">
        <v>1</v>
      </c>
      <c r="L3022" s="2">
        <v>233.81</v>
      </c>
      <c r="M3022" s="3">
        <v>0</v>
      </c>
      <c r="N3022" t="s">
        <v>38</v>
      </c>
      <c r="O3022" s="2">
        <v>233.81</v>
      </c>
      <c r="P3022" s="2">
        <v>158.94</v>
      </c>
      <c r="Q3022" s="2">
        <v>74.87</v>
      </c>
      <c r="R3022">
        <v>1</v>
      </c>
      <c r="S3022">
        <v>0</v>
      </c>
      <c r="T3022">
        <v>3</v>
      </c>
      <c r="U3022">
        <v>4</v>
      </c>
    </row>
    <row r="3023" spans="1:21" ht="16.5" x14ac:dyDescent="0.3">
      <c r="A3023" t="s">
        <v>3111</v>
      </c>
      <c r="B3023" s="1">
        <v>45741</v>
      </c>
      <c r="C3023">
        <v>2025</v>
      </c>
      <c r="D3023" t="s">
        <v>22</v>
      </c>
      <c r="E3023" t="s">
        <v>402</v>
      </c>
      <c r="F3023" t="s">
        <v>45</v>
      </c>
      <c r="G3023" t="s">
        <v>49</v>
      </c>
      <c r="H3023" t="s">
        <v>32</v>
      </c>
      <c r="I3023" t="s">
        <v>36</v>
      </c>
      <c r="J3023" t="s">
        <v>126</v>
      </c>
      <c r="K3023">
        <v>1</v>
      </c>
      <c r="L3023" s="2">
        <v>54.56</v>
      </c>
      <c r="M3023" s="3">
        <v>0.05</v>
      </c>
      <c r="N3023" t="s">
        <v>29</v>
      </c>
      <c r="O3023" s="2">
        <v>51.83</v>
      </c>
      <c r="P3023" s="2">
        <v>25.88</v>
      </c>
      <c r="Q3023" s="2">
        <v>25.95</v>
      </c>
      <c r="R3023">
        <v>1</v>
      </c>
      <c r="S3023">
        <v>0</v>
      </c>
      <c r="T3023">
        <v>4</v>
      </c>
      <c r="U3023">
        <v>5</v>
      </c>
    </row>
    <row r="3024" spans="1:21" ht="16.5" x14ac:dyDescent="0.3">
      <c r="A3024" t="s">
        <v>3112</v>
      </c>
      <c r="B3024" s="1">
        <v>45741</v>
      </c>
      <c r="C3024">
        <v>2025</v>
      </c>
      <c r="D3024" t="s">
        <v>22</v>
      </c>
      <c r="E3024" t="s">
        <v>402</v>
      </c>
      <c r="F3024" t="s">
        <v>24</v>
      </c>
      <c r="G3024" t="s">
        <v>65</v>
      </c>
      <c r="H3024" t="s">
        <v>32</v>
      </c>
      <c r="I3024" t="s">
        <v>84</v>
      </c>
      <c r="J3024" t="s">
        <v>96</v>
      </c>
      <c r="K3024">
        <v>2</v>
      </c>
      <c r="L3024" s="2">
        <v>10.76</v>
      </c>
      <c r="M3024" s="3">
        <v>0.05</v>
      </c>
      <c r="N3024" t="s">
        <v>29</v>
      </c>
      <c r="O3024" s="2">
        <v>20.440000000000001</v>
      </c>
      <c r="P3024" s="2">
        <v>15.08</v>
      </c>
      <c r="Q3024" s="2">
        <v>5.36</v>
      </c>
      <c r="R3024">
        <v>1</v>
      </c>
      <c r="S3024">
        <v>0</v>
      </c>
      <c r="T3024">
        <v>6</v>
      </c>
      <c r="U3024">
        <v>3</v>
      </c>
    </row>
    <row r="3025" spans="1:21" ht="16.5" x14ac:dyDescent="0.3">
      <c r="A3025" t="s">
        <v>3113</v>
      </c>
      <c r="B3025" s="1">
        <v>45741</v>
      </c>
      <c r="C3025">
        <v>2025</v>
      </c>
      <c r="D3025" t="s">
        <v>22</v>
      </c>
      <c r="E3025" t="s">
        <v>402</v>
      </c>
      <c r="F3025" t="s">
        <v>24</v>
      </c>
      <c r="G3025" t="s">
        <v>51</v>
      </c>
      <c r="H3025" t="s">
        <v>26</v>
      </c>
      <c r="I3025" t="s">
        <v>84</v>
      </c>
      <c r="J3025" t="s">
        <v>223</v>
      </c>
      <c r="K3025">
        <v>1</v>
      </c>
      <c r="L3025" s="2">
        <v>16.97</v>
      </c>
      <c r="M3025" s="3">
        <v>0</v>
      </c>
      <c r="N3025" t="s">
        <v>38</v>
      </c>
      <c r="O3025" s="2">
        <v>16.97</v>
      </c>
      <c r="P3025" s="2">
        <v>11.87</v>
      </c>
      <c r="Q3025" s="2">
        <v>5.0999999999999996</v>
      </c>
      <c r="R3025">
        <v>1</v>
      </c>
      <c r="S3025">
        <v>0</v>
      </c>
      <c r="T3025">
        <v>4</v>
      </c>
      <c r="U3025">
        <v>4</v>
      </c>
    </row>
    <row r="3026" spans="1:21" ht="16.5" x14ac:dyDescent="0.3">
      <c r="A3026" t="s">
        <v>3114</v>
      </c>
      <c r="B3026" s="1">
        <v>45741</v>
      </c>
      <c r="C3026">
        <v>2025</v>
      </c>
      <c r="D3026" t="s">
        <v>22</v>
      </c>
      <c r="E3026" t="s">
        <v>402</v>
      </c>
      <c r="F3026" t="s">
        <v>45</v>
      </c>
      <c r="G3026" t="s">
        <v>51</v>
      </c>
      <c r="H3026" t="s">
        <v>32</v>
      </c>
      <c r="I3026" t="s">
        <v>36</v>
      </c>
      <c r="J3026" t="s">
        <v>126</v>
      </c>
      <c r="K3026">
        <v>1</v>
      </c>
      <c r="L3026" s="2">
        <v>54.56</v>
      </c>
      <c r="M3026" s="3">
        <v>0</v>
      </c>
      <c r="N3026" t="s">
        <v>38</v>
      </c>
      <c r="O3026" s="2">
        <v>54.56</v>
      </c>
      <c r="P3026" s="2">
        <v>26.39</v>
      </c>
      <c r="Q3026" s="2">
        <v>28.17</v>
      </c>
      <c r="R3026">
        <v>1</v>
      </c>
      <c r="S3026">
        <v>0</v>
      </c>
      <c r="T3026">
        <v>4</v>
      </c>
      <c r="U3026">
        <v>5</v>
      </c>
    </row>
    <row r="3027" spans="1:21" ht="16.5" x14ac:dyDescent="0.3">
      <c r="A3027" t="s">
        <v>3115</v>
      </c>
      <c r="B3027" s="1">
        <v>45741</v>
      </c>
      <c r="C3027">
        <v>2025</v>
      </c>
      <c r="D3027" t="s">
        <v>22</v>
      </c>
      <c r="E3027" t="s">
        <v>402</v>
      </c>
      <c r="F3027" t="s">
        <v>24</v>
      </c>
      <c r="G3027" t="s">
        <v>51</v>
      </c>
      <c r="H3027" t="s">
        <v>26</v>
      </c>
      <c r="I3027" t="s">
        <v>67</v>
      </c>
      <c r="J3027" t="s">
        <v>103</v>
      </c>
      <c r="K3027">
        <v>4</v>
      </c>
      <c r="L3027" s="2">
        <v>83.06</v>
      </c>
      <c r="M3027" s="3">
        <v>0.3</v>
      </c>
      <c r="N3027" t="s">
        <v>62</v>
      </c>
      <c r="O3027" s="2">
        <v>232.57</v>
      </c>
      <c r="P3027" s="2">
        <v>224.98</v>
      </c>
      <c r="Q3027" s="2">
        <v>7.59</v>
      </c>
      <c r="R3027">
        <v>1</v>
      </c>
      <c r="S3027">
        <v>0</v>
      </c>
      <c r="T3027">
        <v>4</v>
      </c>
      <c r="U3027">
        <v>4</v>
      </c>
    </row>
    <row r="3028" spans="1:21" ht="16.5" x14ac:dyDescent="0.3">
      <c r="A3028" t="s">
        <v>3116</v>
      </c>
      <c r="B3028" s="1">
        <v>45741</v>
      </c>
      <c r="C3028">
        <v>2025</v>
      </c>
      <c r="D3028" t="s">
        <v>22</v>
      </c>
      <c r="E3028" t="s">
        <v>402</v>
      </c>
      <c r="F3028" t="s">
        <v>24</v>
      </c>
      <c r="G3028" t="s">
        <v>49</v>
      </c>
      <c r="H3028" t="s">
        <v>26</v>
      </c>
      <c r="I3028" t="s">
        <v>27</v>
      </c>
      <c r="J3028" t="s">
        <v>33</v>
      </c>
      <c r="K3028">
        <v>1</v>
      </c>
      <c r="L3028" s="2">
        <v>78.510000000000005</v>
      </c>
      <c r="M3028" s="3">
        <v>0.2</v>
      </c>
      <c r="N3028" t="s">
        <v>34</v>
      </c>
      <c r="O3028" s="2">
        <v>62.81</v>
      </c>
      <c r="P3028" s="2">
        <v>42.88</v>
      </c>
      <c r="Q3028" s="2">
        <v>19.93</v>
      </c>
      <c r="R3028">
        <v>1</v>
      </c>
      <c r="S3028">
        <v>0</v>
      </c>
      <c r="T3028">
        <v>4</v>
      </c>
      <c r="U3028">
        <v>5</v>
      </c>
    </row>
    <row r="3029" spans="1:21" ht="16.5" x14ac:dyDescent="0.3">
      <c r="A3029" t="s">
        <v>3117</v>
      </c>
      <c r="B3029" s="1">
        <v>45742</v>
      </c>
      <c r="C3029">
        <v>2025</v>
      </c>
      <c r="D3029" t="s">
        <v>22</v>
      </c>
      <c r="E3029" t="s">
        <v>402</v>
      </c>
      <c r="F3029" t="s">
        <v>31</v>
      </c>
      <c r="G3029" t="s">
        <v>51</v>
      </c>
      <c r="H3029" t="s">
        <v>26</v>
      </c>
      <c r="I3029" t="s">
        <v>67</v>
      </c>
      <c r="J3029" t="s">
        <v>93</v>
      </c>
      <c r="K3029">
        <v>2</v>
      </c>
      <c r="L3029" s="2">
        <v>198.42</v>
      </c>
      <c r="M3029" s="3">
        <v>0.25</v>
      </c>
      <c r="N3029" t="s">
        <v>62</v>
      </c>
      <c r="O3029" s="2">
        <v>297.63</v>
      </c>
      <c r="P3029" s="2">
        <v>250.49</v>
      </c>
      <c r="Q3029" s="2">
        <v>47.14</v>
      </c>
      <c r="R3029">
        <v>1</v>
      </c>
      <c r="S3029">
        <v>0</v>
      </c>
      <c r="T3029">
        <v>2</v>
      </c>
      <c r="U3029">
        <v>5</v>
      </c>
    </row>
    <row r="3030" spans="1:21" ht="16.5" x14ac:dyDescent="0.3">
      <c r="A3030" t="s">
        <v>3118</v>
      </c>
      <c r="B3030" s="1">
        <v>45742</v>
      </c>
      <c r="C3030">
        <v>2025</v>
      </c>
      <c r="D3030" t="s">
        <v>22</v>
      </c>
      <c r="E3030" t="s">
        <v>402</v>
      </c>
      <c r="F3030" t="s">
        <v>45</v>
      </c>
      <c r="G3030" t="s">
        <v>49</v>
      </c>
      <c r="H3030" t="s">
        <v>26</v>
      </c>
      <c r="I3030" t="s">
        <v>36</v>
      </c>
      <c r="J3030" t="s">
        <v>52</v>
      </c>
      <c r="K3030">
        <v>2</v>
      </c>
      <c r="L3030" s="2">
        <v>92.54</v>
      </c>
      <c r="M3030" s="3">
        <v>0</v>
      </c>
      <c r="N3030" t="s">
        <v>38</v>
      </c>
      <c r="O3030" s="2">
        <v>185.08</v>
      </c>
      <c r="P3030" s="2">
        <v>87.69</v>
      </c>
      <c r="Q3030" s="2">
        <v>97.39</v>
      </c>
      <c r="R3030">
        <v>1</v>
      </c>
      <c r="S3030">
        <v>0</v>
      </c>
      <c r="T3030">
        <v>3</v>
      </c>
      <c r="U3030">
        <v>3</v>
      </c>
    </row>
    <row r="3031" spans="1:21" ht="16.5" x14ac:dyDescent="0.3">
      <c r="A3031" t="s">
        <v>3119</v>
      </c>
      <c r="B3031" s="1">
        <v>45742</v>
      </c>
      <c r="C3031">
        <v>2025</v>
      </c>
      <c r="D3031" t="s">
        <v>22</v>
      </c>
      <c r="E3031" t="s">
        <v>402</v>
      </c>
      <c r="F3031" t="s">
        <v>24</v>
      </c>
      <c r="G3031" t="s">
        <v>46</v>
      </c>
      <c r="H3031" t="s">
        <v>32</v>
      </c>
      <c r="I3031" t="s">
        <v>70</v>
      </c>
      <c r="J3031" t="s">
        <v>87</v>
      </c>
      <c r="K3031">
        <v>1</v>
      </c>
      <c r="L3031" s="2">
        <v>490.3</v>
      </c>
      <c r="M3031" s="3">
        <v>0.25</v>
      </c>
      <c r="N3031" t="s">
        <v>62</v>
      </c>
      <c r="O3031" s="2">
        <v>367.72</v>
      </c>
      <c r="P3031" s="2">
        <v>390.98</v>
      </c>
      <c r="Q3031" s="2">
        <v>-23.26</v>
      </c>
      <c r="R3031">
        <v>1</v>
      </c>
      <c r="S3031">
        <v>0</v>
      </c>
      <c r="T3031">
        <v>7</v>
      </c>
      <c r="U3031">
        <v>3</v>
      </c>
    </row>
    <row r="3032" spans="1:21" ht="16.5" x14ac:dyDescent="0.3">
      <c r="A3032" t="s">
        <v>3120</v>
      </c>
      <c r="B3032" s="1">
        <v>45742</v>
      </c>
      <c r="C3032">
        <v>2025</v>
      </c>
      <c r="D3032" t="s">
        <v>22</v>
      </c>
      <c r="E3032" t="s">
        <v>402</v>
      </c>
      <c r="F3032" t="s">
        <v>31</v>
      </c>
      <c r="G3032" t="s">
        <v>49</v>
      </c>
      <c r="H3032" t="s">
        <v>32</v>
      </c>
      <c r="I3032" t="s">
        <v>36</v>
      </c>
      <c r="J3032" t="s">
        <v>126</v>
      </c>
      <c r="K3032">
        <v>1</v>
      </c>
      <c r="L3032" s="2">
        <v>54.56</v>
      </c>
      <c r="M3032" s="3">
        <v>0.05</v>
      </c>
      <c r="N3032" t="s">
        <v>29</v>
      </c>
      <c r="O3032" s="2">
        <v>51.83</v>
      </c>
      <c r="P3032" s="2">
        <v>25.42</v>
      </c>
      <c r="Q3032" s="2">
        <v>26.41</v>
      </c>
      <c r="R3032">
        <v>1</v>
      </c>
      <c r="S3032">
        <v>0</v>
      </c>
      <c r="T3032">
        <v>3</v>
      </c>
      <c r="U3032">
        <v>5</v>
      </c>
    </row>
    <row r="3033" spans="1:21" ht="16.5" x14ac:dyDescent="0.3">
      <c r="A3033" t="s">
        <v>3121</v>
      </c>
      <c r="B3033" s="1">
        <v>45742</v>
      </c>
      <c r="C3033">
        <v>2025</v>
      </c>
      <c r="D3033" t="s">
        <v>22</v>
      </c>
      <c r="E3033" t="s">
        <v>402</v>
      </c>
      <c r="F3033" t="s">
        <v>24</v>
      </c>
      <c r="G3033" t="s">
        <v>46</v>
      </c>
      <c r="H3033" t="s">
        <v>32</v>
      </c>
      <c r="I3033" t="s">
        <v>67</v>
      </c>
      <c r="J3033" t="s">
        <v>174</v>
      </c>
      <c r="K3033">
        <v>2</v>
      </c>
      <c r="L3033" s="2">
        <v>137.05000000000001</v>
      </c>
      <c r="M3033" s="3">
        <v>0.1</v>
      </c>
      <c r="N3033" t="s">
        <v>29</v>
      </c>
      <c r="O3033" s="2">
        <v>246.69</v>
      </c>
      <c r="P3033" s="2">
        <v>198.17</v>
      </c>
      <c r="Q3033" s="2">
        <v>48.52</v>
      </c>
      <c r="R3033">
        <v>1</v>
      </c>
      <c r="S3033">
        <v>0</v>
      </c>
      <c r="T3033">
        <v>6</v>
      </c>
      <c r="U3033">
        <v>4</v>
      </c>
    </row>
    <row r="3034" spans="1:21" ht="16.5" x14ac:dyDescent="0.3">
      <c r="A3034" t="s">
        <v>3122</v>
      </c>
      <c r="B3034" s="1">
        <v>45743</v>
      </c>
      <c r="C3034">
        <v>2025</v>
      </c>
      <c r="D3034" t="s">
        <v>22</v>
      </c>
      <c r="E3034" t="s">
        <v>402</v>
      </c>
      <c r="F3034" t="s">
        <v>31</v>
      </c>
      <c r="G3034" t="s">
        <v>51</v>
      </c>
      <c r="H3034" t="s">
        <v>26</v>
      </c>
      <c r="I3034" t="s">
        <v>70</v>
      </c>
      <c r="J3034" t="s">
        <v>252</v>
      </c>
      <c r="K3034">
        <v>2</v>
      </c>
      <c r="L3034" s="2">
        <v>216.08</v>
      </c>
      <c r="M3034" s="3">
        <v>0</v>
      </c>
      <c r="N3034" t="s">
        <v>38</v>
      </c>
      <c r="O3034" s="2">
        <v>432.16</v>
      </c>
      <c r="P3034" s="2">
        <v>352.23</v>
      </c>
      <c r="Q3034" s="2">
        <v>79.930000000000007</v>
      </c>
      <c r="R3034">
        <v>1</v>
      </c>
      <c r="S3034">
        <v>0</v>
      </c>
      <c r="T3034">
        <v>2</v>
      </c>
      <c r="U3034">
        <v>5</v>
      </c>
    </row>
    <row r="3035" spans="1:21" ht="16.5" x14ac:dyDescent="0.3">
      <c r="A3035" t="s">
        <v>3123</v>
      </c>
      <c r="B3035" s="1">
        <v>45743</v>
      </c>
      <c r="C3035">
        <v>2025</v>
      </c>
      <c r="D3035" t="s">
        <v>22</v>
      </c>
      <c r="E3035" t="s">
        <v>402</v>
      </c>
      <c r="F3035" t="s">
        <v>24</v>
      </c>
      <c r="G3035" t="s">
        <v>25</v>
      </c>
      <c r="H3035" t="s">
        <v>26</v>
      </c>
      <c r="I3035" t="s">
        <v>67</v>
      </c>
      <c r="J3035" t="s">
        <v>93</v>
      </c>
      <c r="K3035">
        <v>3</v>
      </c>
      <c r="L3035" s="2">
        <v>198.42</v>
      </c>
      <c r="M3035" s="3">
        <v>0.2</v>
      </c>
      <c r="N3035" t="s">
        <v>34</v>
      </c>
      <c r="O3035" s="2">
        <v>476.21</v>
      </c>
      <c r="P3035" s="2">
        <v>393.31</v>
      </c>
      <c r="Q3035" s="2">
        <v>82.9</v>
      </c>
      <c r="R3035">
        <v>1</v>
      </c>
      <c r="S3035">
        <v>0</v>
      </c>
      <c r="T3035">
        <v>3</v>
      </c>
      <c r="U3035">
        <v>5</v>
      </c>
    </row>
    <row r="3036" spans="1:21" ht="16.5" x14ac:dyDescent="0.3">
      <c r="A3036" t="s">
        <v>3124</v>
      </c>
      <c r="B3036" s="1">
        <v>45743</v>
      </c>
      <c r="C3036">
        <v>2025</v>
      </c>
      <c r="D3036" t="s">
        <v>22</v>
      </c>
      <c r="E3036" t="s">
        <v>402</v>
      </c>
      <c r="F3036" t="s">
        <v>31</v>
      </c>
      <c r="G3036" t="s">
        <v>49</v>
      </c>
      <c r="H3036" t="s">
        <v>26</v>
      </c>
      <c r="I3036" t="s">
        <v>70</v>
      </c>
      <c r="J3036" t="s">
        <v>82</v>
      </c>
      <c r="K3036">
        <v>2</v>
      </c>
      <c r="L3036" s="2">
        <v>508.8</v>
      </c>
      <c r="M3036" s="3">
        <v>0.05</v>
      </c>
      <c r="N3036" t="s">
        <v>29</v>
      </c>
      <c r="O3036" s="2">
        <v>966.72</v>
      </c>
      <c r="P3036" s="2">
        <v>813.09</v>
      </c>
      <c r="Q3036" s="2">
        <v>153.63</v>
      </c>
      <c r="R3036">
        <v>1</v>
      </c>
      <c r="S3036">
        <v>1</v>
      </c>
      <c r="T3036">
        <v>3</v>
      </c>
      <c r="U3036">
        <v>4</v>
      </c>
    </row>
    <row r="3037" spans="1:21" ht="16.5" x14ac:dyDescent="0.3">
      <c r="A3037" t="s">
        <v>3125</v>
      </c>
      <c r="B3037" s="1">
        <v>45743</v>
      </c>
      <c r="C3037">
        <v>2025</v>
      </c>
      <c r="D3037" t="s">
        <v>22</v>
      </c>
      <c r="E3037" t="s">
        <v>402</v>
      </c>
      <c r="F3037" t="s">
        <v>31</v>
      </c>
      <c r="G3037" t="s">
        <v>51</v>
      </c>
      <c r="H3037" t="s">
        <v>26</v>
      </c>
      <c r="I3037" t="s">
        <v>70</v>
      </c>
      <c r="J3037" t="s">
        <v>162</v>
      </c>
      <c r="K3037">
        <v>2</v>
      </c>
      <c r="L3037" s="2">
        <v>636.09</v>
      </c>
      <c r="M3037" s="3">
        <v>0.15</v>
      </c>
      <c r="N3037" t="s">
        <v>34</v>
      </c>
      <c r="O3037" s="2">
        <v>1081.3499999999999</v>
      </c>
      <c r="P3037" s="2">
        <v>1050.8499999999999</v>
      </c>
      <c r="Q3037" s="2">
        <v>30.5</v>
      </c>
      <c r="R3037">
        <v>1</v>
      </c>
      <c r="S3037">
        <v>0</v>
      </c>
      <c r="T3037">
        <v>4</v>
      </c>
      <c r="U3037">
        <v>4</v>
      </c>
    </row>
    <row r="3038" spans="1:21" ht="16.5" x14ac:dyDescent="0.3">
      <c r="A3038" t="s">
        <v>3126</v>
      </c>
      <c r="B3038" s="1">
        <v>45743</v>
      </c>
      <c r="C3038">
        <v>2025</v>
      </c>
      <c r="D3038" t="s">
        <v>22</v>
      </c>
      <c r="E3038" t="s">
        <v>402</v>
      </c>
      <c r="F3038" t="s">
        <v>31</v>
      </c>
      <c r="G3038" t="s">
        <v>49</v>
      </c>
      <c r="H3038" t="s">
        <v>26</v>
      </c>
      <c r="I3038" t="s">
        <v>67</v>
      </c>
      <c r="J3038" t="s">
        <v>174</v>
      </c>
      <c r="K3038">
        <v>2</v>
      </c>
      <c r="L3038" s="2">
        <v>137.05000000000001</v>
      </c>
      <c r="M3038" s="3">
        <v>0</v>
      </c>
      <c r="N3038" t="s">
        <v>38</v>
      </c>
      <c r="O3038" s="2">
        <v>274.10000000000002</v>
      </c>
      <c r="P3038" s="2">
        <v>190.63</v>
      </c>
      <c r="Q3038" s="2">
        <v>83.47</v>
      </c>
      <c r="R3038">
        <v>1</v>
      </c>
      <c r="S3038">
        <v>0</v>
      </c>
      <c r="T3038">
        <v>4</v>
      </c>
      <c r="U3038">
        <v>4</v>
      </c>
    </row>
    <row r="3039" spans="1:21" ht="16.5" x14ac:dyDescent="0.3">
      <c r="A3039" t="s">
        <v>3127</v>
      </c>
      <c r="B3039" s="1">
        <v>45743</v>
      </c>
      <c r="C3039">
        <v>2025</v>
      </c>
      <c r="D3039" t="s">
        <v>22</v>
      </c>
      <c r="E3039" t="s">
        <v>402</v>
      </c>
      <c r="F3039" t="s">
        <v>45</v>
      </c>
      <c r="G3039" t="s">
        <v>51</v>
      </c>
      <c r="H3039" t="s">
        <v>26</v>
      </c>
      <c r="I3039" t="s">
        <v>70</v>
      </c>
      <c r="J3039" t="s">
        <v>82</v>
      </c>
      <c r="K3039">
        <v>1</v>
      </c>
      <c r="L3039" s="2">
        <v>508.8</v>
      </c>
      <c r="M3039" s="3">
        <v>0.15</v>
      </c>
      <c r="N3039" t="s">
        <v>34</v>
      </c>
      <c r="O3039" s="2">
        <v>432.48</v>
      </c>
      <c r="P3039" s="2">
        <v>409.35</v>
      </c>
      <c r="Q3039" s="2">
        <v>23.13</v>
      </c>
      <c r="R3039">
        <v>1</v>
      </c>
      <c r="S3039">
        <v>0</v>
      </c>
      <c r="T3039">
        <v>4</v>
      </c>
      <c r="U3039">
        <v>4</v>
      </c>
    </row>
    <row r="3040" spans="1:21" ht="16.5" x14ac:dyDescent="0.3">
      <c r="A3040" t="s">
        <v>3128</v>
      </c>
      <c r="B3040" s="1">
        <v>45743</v>
      </c>
      <c r="C3040">
        <v>2025</v>
      </c>
      <c r="D3040" t="s">
        <v>22</v>
      </c>
      <c r="E3040" t="s">
        <v>402</v>
      </c>
      <c r="F3040" t="s">
        <v>24</v>
      </c>
      <c r="G3040" t="s">
        <v>25</v>
      </c>
      <c r="H3040" t="s">
        <v>32</v>
      </c>
      <c r="I3040" t="s">
        <v>84</v>
      </c>
      <c r="J3040" t="s">
        <v>96</v>
      </c>
      <c r="K3040">
        <v>1</v>
      </c>
      <c r="L3040" s="2">
        <v>10.76</v>
      </c>
      <c r="M3040" s="3">
        <v>0</v>
      </c>
      <c r="N3040" t="s">
        <v>38</v>
      </c>
      <c r="O3040" s="2">
        <v>10.76</v>
      </c>
      <c r="P3040" s="2">
        <v>7.8</v>
      </c>
      <c r="Q3040" s="2">
        <v>2.96</v>
      </c>
      <c r="R3040">
        <v>1</v>
      </c>
      <c r="S3040">
        <v>0</v>
      </c>
      <c r="T3040">
        <v>4</v>
      </c>
      <c r="U3040">
        <v>5</v>
      </c>
    </row>
    <row r="3041" spans="1:21" ht="16.5" x14ac:dyDescent="0.3">
      <c r="A3041" t="s">
        <v>3129</v>
      </c>
      <c r="B3041" s="1">
        <v>45743</v>
      </c>
      <c r="C3041">
        <v>2025</v>
      </c>
      <c r="D3041" t="s">
        <v>22</v>
      </c>
      <c r="E3041" t="s">
        <v>402</v>
      </c>
      <c r="F3041" t="s">
        <v>31</v>
      </c>
      <c r="G3041" t="s">
        <v>25</v>
      </c>
      <c r="H3041" t="s">
        <v>32</v>
      </c>
      <c r="I3041" t="s">
        <v>27</v>
      </c>
      <c r="J3041" t="s">
        <v>60</v>
      </c>
      <c r="K3041">
        <v>1</v>
      </c>
      <c r="L3041" s="2">
        <v>94.85</v>
      </c>
      <c r="M3041" s="3">
        <v>0.15</v>
      </c>
      <c r="N3041" t="s">
        <v>34</v>
      </c>
      <c r="O3041" s="2">
        <v>80.62</v>
      </c>
      <c r="P3041" s="2">
        <v>51.74</v>
      </c>
      <c r="Q3041" s="2">
        <v>28.88</v>
      </c>
      <c r="R3041">
        <v>1</v>
      </c>
      <c r="S3041">
        <v>0</v>
      </c>
      <c r="T3041">
        <v>3</v>
      </c>
      <c r="U3041">
        <v>4</v>
      </c>
    </row>
    <row r="3042" spans="1:21" ht="16.5" x14ac:dyDescent="0.3">
      <c r="A3042" t="s">
        <v>3130</v>
      </c>
      <c r="B3042" s="1">
        <v>45743</v>
      </c>
      <c r="C3042">
        <v>2025</v>
      </c>
      <c r="D3042" t="s">
        <v>22</v>
      </c>
      <c r="E3042" t="s">
        <v>402</v>
      </c>
      <c r="F3042" t="s">
        <v>24</v>
      </c>
      <c r="G3042" t="s">
        <v>51</v>
      </c>
      <c r="H3042" t="s">
        <v>32</v>
      </c>
      <c r="I3042" t="s">
        <v>42</v>
      </c>
      <c r="J3042" t="s">
        <v>76</v>
      </c>
      <c r="K3042">
        <v>2</v>
      </c>
      <c r="L3042" s="2">
        <v>90.75</v>
      </c>
      <c r="M3042" s="3">
        <v>0.1</v>
      </c>
      <c r="N3042" t="s">
        <v>29</v>
      </c>
      <c r="O3042" s="2">
        <v>163.35</v>
      </c>
      <c r="P3042" s="2">
        <v>126.29</v>
      </c>
      <c r="Q3042" s="2">
        <v>37.06</v>
      </c>
      <c r="R3042">
        <v>1</v>
      </c>
      <c r="S3042">
        <v>0</v>
      </c>
      <c r="T3042">
        <v>2</v>
      </c>
      <c r="U3042">
        <v>4</v>
      </c>
    </row>
    <row r="3043" spans="1:21" ht="16.5" x14ac:dyDescent="0.3">
      <c r="A3043" t="s">
        <v>3131</v>
      </c>
      <c r="B3043" s="1">
        <v>45743</v>
      </c>
      <c r="C3043">
        <v>2025</v>
      </c>
      <c r="D3043" t="s">
        <v>22</v>
      </c>
      <c r="E3043" t="s">
        <v>402</v>
      </c>
      <c r="F3043" t="s">
        <v>31</v>
      </c>
      <c r="G3043" t="s">
        <v>65</v>
      </c>
      <c r="H3043" t="s">
        <v>32</v>
      </c>
      <c r="I3043" t="s">
        <v>27</v>
      </c>
      <c r="J3043" t="s">
        <v>28</v>
      </c>
      <c r="K3043">
        <v>1</v>
      </c>
      <c r="L3043" s="2">
        <v>138.5</v>
      </c>
      <c r="M3043" s="3">
        <v>0.05</v>
      </c>
      <c r="N3043" t="s">
        <v>29</v>
      </c>
      <c r="O3043" s="2">
        <v>131.57</v>
      </c>
      <c r="P3043" s="2">
        <v>77.02</v>
      </c>
      <c r="Q3043" s="2">
        <v>54.55</v>
      </c>
      <c r="R3043">
        <v>1</v>
      </c>
      <c r="S3043">
        <v>0</v>
      </c>
      <c r="T3043">
        <v>5</v>
      </c>
      <c r="U3043">
        <v>5</v>
      </c>
    </row>
    <row r="3044" spans="1:21" ht="16.5" x14ac:dyDescent="0.3">
      <c r="A3044" t="s">
        <v>3132</v>
      </c>
      <c r="B3044" s="1">
        <v>45744</v>
      </c>
      <c r="C3044">
        <v>2025</v>
      </c>
      <c r="D3044" t="s">
        <v>22</v>
      </c>
      <c r="E3044" t="s">
        <v>402</v>
      </c>
      <c r="F3044" t="s">
        <v>24</v>
      </c>
      <c r="G3044" t="s">
        <v>65</v>
      </c>
      <c r="H3044" t="s">
        <v>26</v>
      </c>
      <c r="I3044" t="s">
        <v>70</v>
      </c>
      <c r="J3044" t="s">
        <v>87</v>
      </c>
      <c r="K3044">
        <v>3</v>
      </c>
      <c r="L3044" s="2">
        <v>490.3</v>
      </c>
      <c r="M3044" s="3">
        <v>0</v>
      </c>
      <c r="N3044" t="s">
        <v>38</v>
      </c>
      <c r="O3044" s="2">
        <v>1470.9</v>
      </c>
      <c r="P3044" s="2">
        <v>1230.27</v>
      </c>
      <c r="Q3044" s="2">
        <v>240.63</v>
      </c>
      <c r="R3044">
        <v>1</v>
      </c>
      <c r="S3044">
        <v>0</v>
      </c>
      <c r="T3044">
        <v>6</v>
      </c>
      <c r="U3044">
        <v>3</v>
      </c>
    </row>
    <row r="3045" spans="1:21" ht="16.5" x14ac:dyDescent="0.3">
      <c r="A3045" t="s">
        <v>3133</v>
      </c>
      <c r="B3045" s="1">
        <v>45744</v>
      </c>
      <c r="C3045">
        <v>2025</v>
      </c>
      <c r="D3045" t="s">
        <v>22</v>
      </c>
      <c r="E3045" t="s">
        <v>402</v>
      </c>
      <c r="F3045" t="s">
        <v>31</v>
      </c>
      <c r="G3045" t="s">
        <v>51</v>
      </c>
      <c r="H3045" t="s">
        <v>26</v>
      </c>
      <c r="I3045" t="s">
        <v>70</v>
      </c>
      <c r="J3045" t="s">
        <v>252</v>
      </c>
      <c r="K3045">
        <v>2</v>
      </c>
      <c r="L3045" s="2">
        <v>216.08</v>
      </c>
      <c r="M3045" s="3">
        <v>0.15</v>
      </c>
      <c r="N3045" t="s">
        <v>34</v>
      </c>
      <c r="O3045" s="2">
        <v>367.34</v>
      </c>
      <c r="P3045" s="2">
        <v>364.74</v>
      </c>
      <c r="Q3045" s="2">
        <v>2.6</v>
      </c>
      <c r="R3045">
        <v>1</v>
      </c>
      <c r="S3045">
        <v>0</v>
      </c>
      <c r="T3045">
        <v>3</v>
      </c>
      <c r="U3045">
        <v>5</v>
      </c>
    </row>
    <row r="3046" spans="1:21" ht="16.5" x14ac:dyDescent="0.3">
      <c r="A3046" t="s">
        <v>3134</v>
      </c>
      <c r="B3046" s="1">
        <v>45744</v>
      </c>
      <c r="C3046">
        <v>2025</v>
      </c>
      <c r="D3046" t="s">
        <v>22</v>
      </c>
      <c r="E3046" t="s">
        <v>402</v>
      </c>
      <c r="F3046" t="s">
        <v>31</v>
      </c>
      <c r="G3046" t="s">
        <v>51</v>
      </c>
      <c r="H3046" t="s">
        <v>26</v>
      </c>
      <c r="I3046" t="s">
        <v>84</v>
      </c>
      <c r="J3046" t="s">
        <v>132</v>
      </c>
      <c r="K3046">
        <v>1</v>
      </c>
      <c r="L3046" s="2">
        <v>48.86</v>
      </c>
      <c r="M3046" s="3">
        <v>0.05</v>
      </c>
      <c r="N3046" t="s">
        <v>29</v>
      </c>
      <c r="O3046" s="2">
        <v>46.42</v>
      </c>
      <c r="P3046" s="2">
        <v>37.619999999999997</v>
      </c>
      <c r="Q3046" s="2">
        <v>8.8000000000000007</v>
      </c>
      <c r="R3046">
        <v>1</v>
      </c>
      <c r="S3046">
        <v>0</v>
      </c>
      <c r="T3046">
        <v>3</v>
      </c>
      <c r="U3046">
        <v>5</v>
      </c>
    </row>
    <row r="3047" spans="1:21" ht="16.5" x14ac:dyDescent="0.3">
      <c r="A3047" t="s">
        <v>3135</v>
      </c>
      <c r="B3047" s="1">
        <v>45744</v>
      </c>
      <c r="C3047">
        <v>2025</v>
      </c>
      <c r="D3047" t="s">
        <v>22</v>
      </c>
      <c r="E3047" t="s">
        <v>402</v>
      </c>
      <c r="F3047" t="s">
        <v>24</v>
      </c>
      <c r="G3047" t="s">
        <v>51</v>
      </c>
      <c r="H3047" t="s">
        <v>26</v>
      </c>
      <c r="I3047" t="s">
        <v>70</v>
      </c>
      <c r="J3047" t="s">
        <v>82</v>
      </c>
      <c r="K3047">
        <v>1</v>
      </c>
      <c r="L3047" s="2">
        <v>508.8</v>
      </c>
      <c r="M3047" s="3">
        <v>0.2</v>
      </c>
      <c r="N3047" t="s">
        <v>34</v>
      </c>
      <c r="O3047" s="2">
        <v>407.04</v>
      </c>
      <c r="P3047" s="2">
        <v>409.16</v>
      </c>
      <c r="Q3047" s="2">
        <v>-2.12</v>
      </c>
      <c r="R3047">
        <v>1</v>
      </c>
      <c r="S3047">
        <v>0</v>
      </c>
      <c r="T3047">
        <v>2</v>
      </c>
      <c r="U3047">
        <v>5</v>
      </c>
    </row>
    <row r="3048" spans="1:21" ht="16.5" x14ac:dyDescent="0.3">
      <c r="A3048" t="s">
        <v>3136</v>
      </c>
      <c r="B3048" s="1">
        <v>45744</v>
      </c>
      <c r="C3048">
        <v>2025</v>
      </c>
      <c r="D3048" t="s">
        <v>22</v>
      </c>
      <c r="E3048" t="s">
        <v>402</v>
      </c>
      <c r="F3048" t="s">
        <v>45</v>
      </c>
      <c r="G3048" t="s">
        <v>49</v>
      </c>
      <c r="H3048" t="s">
        <v>26</v>
      </c>
      <c r="I3048" t="s">
        <v>42</v>
      </c>
      <c r="J3048" t="s">
        <v>58</v>
      </c>
      <c r="K3048">
        <v>2</v>
      </c>
      <c r="L3048" s="2">
        <v>233.81</v>
      </c>
      <c r="M3048" s="3">
        <v>0.25</v>
      </c>
      <c r="N3048" t="s">
        <v>62</v>
      </c>
      <c r="O3048" s="2">
        <v>350.72</v>
      </c>
      <c r="P3048" s="2">
        <v>318.11</v>
      </c>
      <c r="Q3048" s="2">
        <v>32.61</v>
      </c>
      <c r="R3048">
        <v>1</v>
      </c>
      <c r="S3048">
        <v>0</v>
      </c>
      <c r="T3048">
        <v>3</v>
      </c>
      <c r="U3048">
        <v>5</v>
      </c>
    </row>
    <row r="3049" spans="1:21" ht="16.5" x14ac:dyDescent="0.3">
      <c r="A3049" t="s">
        <v>3137</v>
      </c>
      <c r="B3049" s="1">
        <v>45745</v>
      </c>
      <c r="C3049">
        <v>2025</v>
      </c>
      <c r="D3049" t="s">
        <v>22</v>
      </c>
      <c r="E3049" t="s">
        <v>402</v>
      </c>
      <c r="F3049" t="s">
        <v>45</v>
      </c>
      <c r="G3049" t="s">
        <v>25</v>
      </c>
      <c r="H3049" t="s">
        <v>26</v>
      </c>
      <c r="I3049" t="s">
        <v>42</v>
      </c>
      <c r="J3049" t="s">
        <v>58</v>
      </c>
      <c r="K3049">
        <v>3</v>
      </c>
      <c r="L3049" s="2">
        <v>233.81</v>
      </c>
      <c r="M3049" s="3">
        <v>0.1</v>
      </c>
      <c r="N3049" t="s">
        <v>29</v>
      </c>
      <c r="O3049" s="2">
        <v>631.29</v>
      </c>
      <c r="P3049" s="2">
        <v>480</v>
      </c>
      <c r="Q3049" s="2">
        <v>151.29</v>
      </c>
      <c r="R3049">
        <v>1</v>
      </c>
      <c r="S3049">
        <v>0</v>
      </c>
      <c r="T3049">
        <v>5</v>
      </c>
      <c r="U3049">
        <v>4</v>
      </c>
    </row>
    <row r="3050" spans="1:21" ht="16.5" x14ac:dyDescent="0.3">
      <c r="A3050" t="s">
        <v>3138</v>
      </c>
      <c r="B3050" s="1">
        <v>45745</v>
      </c>
      <c r="C3050">
        <v>2025</v>
      </c>
      <c r="D3050" t="s">
        <v>22</v>
      </c>
      <c r="E3050" t="s">
        <v>402</v>
      </c>
      <c r="F3050" t="s">
        <v>31</v>
      </c>
      <c r="G3050" t="s">
        <v>65</v>
      </c>
      <c r="H3050" t="s">
        <v>32</v>
      </c>
      <c r="I3050" t="s">
        <v>36</v>
      </c>
      <c r="J3050" t="s">
        <v>115</v>
      </c>
      <c r="K3050">
        <v>3</v>
      </c>
      <c r="L3050" s="2">
        <v>33.479999999999997</v>
      </c>
      <c r="M3050" s="3">
        <v>0.15</v>
      </c>
      <c r="N3050" t="s">
        <v>34</v>
      </c>
      <c r="O3050" s="2">
        <v>85.37</v>
      </c>
      <c r="P3050" s="2">
        <v>48.18</v>
      </c>
      <c r="Q3050" s="2">
        <v>37.19</v>
      </c>
      <c r="R3050">
        <v>1</v>
      </c>
      <c r="S3050">
        <v>0</v>
      </c>
      <c r="T3050">
        <v>5</v>
      </c>
      <c r="U3050">
        <v>4</v>
      </c>
    </row>
    <row r="3051" spans="1:21" ht="16.5" x14ac:dyDescent="0.3">
      <c r="A3051" t="s">
        <v>3139</v>
      </c>
      <c r="B3051" s="1">
        <v>45745</v>
      </c>
      <c r="C3051">
        <v>2025</v>
      </c>
      <c r="D3051" t="s">
        <v>22</v>
      </c>
      <c r="E3051" t="s">
        <v>402</v>
      </c>
      <c r="F3051" t="s">
        <v>31</v>
      </c>
      <c r="G3051" t="s">
        <v>25</v>
      </c>
      <c r="H3051" t="s">
        <v>26</v>
      </c>
      <c r="I3051" t="s">
        <v>70</v>
      </c>
      <c r="J3051" t="s">
        <v>162</v>
      </c>
      <c r="K3051">
        <v>2</v>
      </c>
      <c r="L3051" s="2">
        <v>636.09</v>
      </c>
      <c r="M3051" s="3">
        <v>0.25</v>
      </c>
      <c r="N3051" t="s">
        <v>62</v>
      </c>
      <c r="O3051" s="2">
        <v>954.14</v>
      </c>
      <c r="P3051" s="2">
        <v>979.64</v>
      </c>
      <c r="Q3051" s="2">
        <v>-25.5</v>
      </c>
      <c r="R3051">
        <v>1</v>
      </c>
      <c r="S3051">
        <v>0</v>
      </c>
      <c r="T3051">
        <v>3</v>
      </c>
      <c r="U3051">
        <v>4</v>
      </c>
    </row>
    <row r="3052" spans="1:21" ht="16.5" x14ac:dyDescent="0.3">
      <c r="A3052" t="s">
        <v>3140</v>
      </c>
      <c r="B3052" s="1">
        <v>45745</v>
      </c>
      <c r="C3052">
        <v>2025</v>
      </c>
      <c r="D3052" t="s">
        <v>22</v>
      </c>
      <c r="E3052" t="s">
        <v>402</v>
      </c>
      <c r="F3052" t="s">
        <v>31</v>
      </c>
      <c r="G3052" t="s">
        <v>46</v>
      </c>
      <c r="H3052" t="s">
        <v>26</v>
      </c>
      <c r="I3052" t="s">
        <v>84</v>
      </c>
      <c r="J3052" t="s">
        <v>106</v>
      </c>
      <c r="K3052">
        <v>1</v>
      </c>
      <c r="L3052" s="2">
        <v>45.28</v>
      </c>
      <c r="M3052" s="3">
        <v>0.2</v>
      </c>
      <c r="N3052" t="s">
        <v>34</v>
      </c>
      <c r="O3052" s="2">
        <v>36.22</v>
      </c>
      <c r="P3052" s="2">
        <v>33.770000000000003</v>
      </c>
      <c r="Q3052" s="2">
        <v>2.4500000000000002</v>
      </c>
      <c r="R3052">
        <v>1</v>
      </c>
      <c r="S3052">
        <v>0</v>
      </c>
      <c r="T3052">
        <v>6</v>
      </c>
      <c r="U3052">
        <v>4</v>
      </c>
    </row>
    <row r="3053" spans="1:21" ht="16.5" x14ac:dyDescent="0.3">
      <c r="A3053" t="s">
        <v>3141</v>
      </c>
      <c r="B3053" s="1">
        <v>45745</v>
      </c>
      <c r="C3053">
        <v>2025</v>
      </c>
      <c r="D3053" t="s">
        <v>22</v>
      </c>
      <c r="E3053" t="s">
        <v>402</v>
      </c>
      <c r="F3053" t="s">
        <v>31</v>
      </c>
      <c r="G3053" t="s">
        <v>25</v>
      </c>
      <c r="H3053" t="s">
        <v>26</v>
      </c>
      <c r="I3053" t="s">
        <v>70</v>
      </c>
      <c r="J3053" t="s">
        <v>252</v>
      </c>
      <c r="K3053">
        <v>1</v>
      </c>
      <c r="L3053" s="2">
        <v>216.08</v>
      </c>
      <c r="M3053" s="3">
        <v>0.05</v>
      </c>
      <c r="N3053" t="s">
        <v>29</v>
      </c>
      <c r="O3053" s="2">
        <v>205.28</v>
      </c>
      <c r="P3053" s="2">
        <v>170.61</v>
      </c>
      <c r="Q3053" s="2">
        <v>34.67</v>
      </c>
      <c r="R3053">
        <v>1</v>
      </c>
      <c r="S3053">
        <v>0</v>
      </c>
      <c r="T3053">
        <v>6</v>
      </c>
      <c r="U3053">
        <v>4</v>
      </c>
    </row>
    <row r="3054" spans="1:21" ht="16.5" x14ac:dyDescent="0.3">
      <c r="A3054" t="s">
        <v>3142</v>
      </c>
      <c r="B3054" s="1">
        <v>45745</v>
      </c>
      <c r="C3054">
        <v>2025</v>
      </c>
      <c r="D3054" t="s">
        <v>22</v>
      </c>
      <c r="E3054" t="s">
        <v>402</v>
      </c>
      <c r="F3054" t="s">
        <v>24</v>
      </c>
      <c r="G3054" t="s">
        <v>51</v>
      </c>
      <c r="H3054" t="s">
        <v>32</v>
      </c>
      <c r="I3054" t="s">
        <v>84</v>
      </c>
      <c r="J3054" t="s">
        <v>85</v>
      </c>
      <c r="K3054">
        <v>2</v>
      </c>
      <c r="L3054" s="2">
        <v>57.92</v>
      </c>
      <c r="M3054" s="3">
        <v>0.3</v>
      </c>
      <c r="N3054" t="s">
        <v>62</v>
      </c>
      <c r="O3054" s="2">
        <v>81.09</v>
      </c>
      <c r="P3054" s="2">
        <v>84.83</v>
      </c>
      <c r="Q3054" s="2">
        <v>-3.74</v>
      </c>
      <c r="R3054">
        <v>1</v>
      </c>
      <c r="S3054">
        <v>0</v>
      </c>
      <c r="T3054">
        <v>3</v>
      </c>
      <c r="U3054">
        <v>5</v>
      </c>
    </row>
    <row r="3055" spans="1:21" ht="16.5" x14ac:dyDescent="0.3">
      <c r="A3055" t="s">
        <v>3143</v>
      </c>
      <c r="B3055" s="1">
        <v>45745</v>
      </c>
      <c r="C3055">
        <v>2025</v>
      </c>
      <c r="D3055" t="s">
        <v>22</v>
      </c>
      <c r="E3055" t="s">
        <v>402</v>
      </c>
      <c r="F3055" t="s">
        <v>24</v>
      </c>
      <c r="G3055" t="s">
        <v>25</v>
      </c>
      <c r="H3055" t="s">
        <v>26</v>
      </c>
      <c r="I3055" t="s">
        <v>42</v>
      </c>
      <c r="J3055" t="s">
        <v>43</v>
      </c>
      <c r="K3055">
        <v>1</v>
      </c>
      <c r="L3055" s="2">
        <v>154.66</v>
      </c>
      <c r="M3055" s="3">
        <v>0.1</v>
      </c>
      <c r="N3055" t="s">
        <v>29</v>
      </c>
      <c r="O3055" s="2">
        <v>139.19</v>
      </c>
      <c r="P3055" s="2">
        <v>102.15</v>
      </c>
      <c r="Q3055" s="2">
        <v>37.04</v>
      </c>
      <c r="R3055">
        <v>1</v>
      </c>
      <c r="S3055">
        <v>0</v>
      </c>
      <c r="T3055">
        <v>3</v>
      </c>
      <c r="U3055">
        <v>4</v>
      </c>
    </row>
    <row r="3056" spans="1:21" ht="16.5" x14ac:dyDescent="0.3">
      <c r="A3056" t="s">
        <v>3144</v>
      </c>
      <c r="B3056" s="1">
        <v>45745</v>
      </c>
      <c r="C3056">
        <v>2025</v>
      </c>
      <c r="D3056" t="s">
        <v>22</v>
      </c>
      <c r="E3056" t="s">
        <v>402</v>
      </c>
      <c r="F3056" t="s">
        <v>31</v>
      </c>
      <c r="G3056" t="s">
        <v>25</v>
      </c>
      <c r="H3056" t="s">
        <v>26</v>
      </c>
      <c r="I3056" t="s">
        <v>70</v>
      </c>
      <c r="J3056" t="s">
        <v>162</v>
      </c>
      <c r="K3056">
        <v>3</v>
      </c>
      <c r="L3056" s="2">
        <v>636.09</v>
      </c>
      <c r="M3056" s="3">
        <v>0</v>
      </c>
      <c r="N3056" t="s">
        <v>38</v>
      </c>
      <c r="O3056" s="2">
        <v>1908.27</v>
      </c>
      <c r="P3056" s="2">
        <v>1431.01</v>
      </c>
      <c r="Q3056" s="2">
        <v>477.26</v>
      </c>
      <c r="R3056">
        <v>1</v>
      </c>
      <c r="S3056">
        <v>0</v>
      </c>
      <c r="T3056">
        <v>4</v>
      </c>
      <c r="U3056">
        <v>4</v>
      </c>
    </row>
    <row r="3057" spans="1:21" ht="16.5" x14ac:dyDescent="0.3">
      <c r="A3057" t="s">
        <v>3145</v>
      </c>
      <c r="B3057" s="1">
        <v>45746</v>
      </c>
      <c r="C3057">
        <v>2025</v>
      </c>
      <c r="D3057" t="s">
        <v>22</v>
      </c>
      <c r="E3057" t="s">
        <v>402</v>
      </c>
      <c r="F3057" t="s">
        <v>24</v>
      </c>
      <c r="G3057" t="s">
        <v>51</v>
      </c>
      <c r="H3057" t="s">
        <v>26</v>
      </c>
      <c r="I3057" t="s">
        <v>70</v>
      </c>
      <c r="J3057" t="s">
        <v>82</v>
      </c>
      <c r="K3057">
        <v>1</v>
      </c>
      <c r="L3057" s="2">
        <v>508.8</v>
      </c>
      <c r="M3057" s="3">
        <v>0</v>
      </c>
      <c r="N3057" t="s">
        <v>38</v>
      </c>
      <c r="O3057" s="2">
        <v>508.8</v>
      </c>
      <c r="P3057" s="2">
        <v>402.26</v>
      </c>
      <c r="Q3057" s="2">
        <v>106.54</v>
      </c>
      <c r="R3057">
        <v>1</v>
      </c>
      <c r="S3057">
        <v>0</v>
      </c>
      <c r="T3057">
        <v>2</v>
      </c>
      <c r="U3057">
        <v>3</v>
      </c>
    </row>
    <row r="3058" spans="1:21" ht="16.5" x14ac:dyDescent="0.3">
      <c r="A3058" t="s">
        <v>3146</v>
      </c>
      <c r="B3058" s="1">
        <v>45746</v>
      </c>
      <c r="C3058">
        <v>2025</v>
      </c>
      <c r="D3058" t="s">
        <v>22</v>
      </c>
      <c r="E3058" t="s">
        <v>402</v>
      </c>
      <c r="F3058" t="s">
        <v>31</v>
      </c>
      <c r="G3058" t="s">
        <v>46</v>
      </c>
      <c r="H3058" t="s">
        <v>26</v>
      </c>
      <c r="I3058" t="s">
        <v>70</v>
      </c>
      <c r="J3058" t="s">
        <v>252</v>
      </c>
      <c r="K3058">
        <v>2</v>
      </c>
      <c r="L3058" s="2">
        <v>216.08</v>
      </c>
      <c r="M3058" s="3">
        <v>0.1</v>
      </c>
      <c r="N3058" t="s">
        <v>29</v>
      </c>
      <c r="O3058" s="2">
        <v>388.94</v>
      </c>
      <c r="P3058" s="2">
        <v>343.07</v>
      </c>
      <c r="Q3058" s="2">
        <v>45.87</v>
      </c>
      <c r="R3058">
        <v>1</v>
      </c>
      <c r="S3058">
        <v>0</v>
      </c>
      <c r="T3058">
        <v>5</v>
      </c>
      <c r="U3058">
        <v>5</v>
      </c>
    </row>
    <row r="3059" spans="1:21" ht="16.5" x14ac:dyDescent="0.3">
      <c r="A3059" t="s">
        <v>3147</v>
      </c>
      <c r="B3059" s="1">
        <v>45746</v>
      </c>
      <c r="C3059">
        <v>2025</v>
      </c>
      <c r="D3059" t="s">
        <v>22</v>
      </c>
      <c r="E3059" t="s">
        <v>402</v>
      </c>
      <c r="F3059" t="s">
        <v>31</v>
      </c>
      <c r="G3059" t="s">
        <v>25</v>
      </c>
      <c r="H3059" t="s">
        <v>26</v>
      </c>
      <c r="I3059" t="s">
        <v>36</v>
      </c>
      <c r="J3059" t="s">
        <v>126</v>
      </c>
      <c r="K3059">
        <v>3</v>
      </c>
      <c r="L3059" s="2">
        <v>54.56</v>
      </c>
      <c r="M3059" s="3">
        <v>0.1</v>
      </c>
      <c r="N3059" t="s">
        <v>29</v>
      </c>
      <c r="O3059" s="2">
        <v>147.31</v>
      </c>
      <c r="P3059" s="2">
        <v>80.069999999999993</v>
      </c>
      <c r="Q3059" s="2">
        <v>67.239999999999995</v>
      </c>
      <c r="R3059">
        <v>1</v>
      </c>
      <c r="S3059">
        <v>0</v>
      </c>
      <c r="T3059">
        <v>3</v>
      </c>
      <c r="U3059">
        <v>4</v>
      </c>
    </row>
    <row r="3060" spans="1:21" ht="16.5" x14ac:dyDescent="0.3">
      <c r="A3060" t="s">
        <v>3148</v>
      </c>
      <c r="B3060" s="1">
        <v>45746</v>
      </c>
      <c r="C3060">
        <v>2025</v>
      </c>
      <c r="D3060" t="s">
        <v>22</v>
      </c>
      <c r="E3060" t="s">
        <v>402</v>
      </c>
      <c r="F3060" t="s">
        <v>24</v>
      </c>
      <c r="G3060" t="s">
        <v>65</v>
      </c>
      <c r="H3060" t="s">
        <v>32</v>
      </c>
      <c r="I3060" t="s">
        <v>27</v>
      </c>
      <c r="J3060" t="s">
        <v>28</v>
      </c>
      <c r="K3060">
        <v>2</v>
      </c>
      <c r="L3060" s="2">
        <v>138.5</v>
      </c>
      <c r="M3060" s="3">
        <v>0.1</v>
      </c>
      <c r="N3060" t="s">
        <v>29</v>
      </c>
      <c r="O3060" s="2">
        <v>249.3</v>
      </c>
      <c r="P3060" s="2">
        <v>144.09</v>
      </c>
      <c r="Q3060" s="2">
        <v>105.21</v>
      </c>
      <c r="R3060">
        <v>1</v>
      </c>
      <c r="S3060">
        <v>0</v>
      </c>
      <c r="T3060">
        <v>7</v>
      </c>
      <c r="U3060">
        <v>3</v>
      </c>
    </row>
    <row r="3061" spans="1:21" ht="16.5" x14ac:dyDescent="0.3">
      <c r="A3061" t="s">
        <v>3149</v>
      </c>
      <c r="B3061" s="1">
        <v>45746</v>
      </c>
      <c r="C3061">
        <v>2025</v>
      </c>
      <c r="D3061" t="s">
        <v>22</v>
      </c>
      <c r="E3061" t="s">
        <v>402</v>
      </c>
      <c r="F3061" t="s">
        <v>24</v>
      </c>
      <c r="G3061" t="s">
        <v>49</v>
      </c>
      <c r="H3061" t="s">
        <v>32</v>
      </c>
      <c r="I3061" t="s">
        <v>70</v>
      </c>
      <c r="J3061" t="s">
        <v>129</v>
      </c>
      <c r="K3061">
        <v>1</v>
      </c>
      <c r="L3061" s="2">
        <v>177.65</v>
      </c>
      <c r="M3061" s="3">
        <v>0.2</v>
      </c>
      <c r="N3061" t="s">
        <v>34</v>
      </c>
      <c r="O3061" s="2">
        <v>142.12</v>
      </c>
      <c r="P3061" s="2">
        <v>147.9</v>
      </c>
      <c r="Q3061" s="2">
        <v>-5.78</v>
      </c>
      <c r="R3061">
        <v>1</v>
      </c>
      <c r="S3061">
        <v>0</v>
      </c>
      <c r="T3061">
        <v>5</v>
      </c>
      <c r="U3061">
        <v>4</v>
      </c>
    </row>
    <row r="3062" spans="1:21" ht="16.5" x14ac:dyDescent="0.3">
      <c r="A3062" t="s">
        <v>3150</v>
      </c>
      <c r="B3062" s="1">
        <v>45746</v>
      </c>
      <c r="C3062">
        <v>2025</v>
      </c>
      <c r="D3062" t="s">
        <v>22</v>
      </c>
      <c r="E3062" t="s">
        <v>402</v>
      </c>
      <c r="F3062" t="s">
        <v>24</v>
      </c>
      <c r="G3062" t="s">
        <v>51</v>
      </c>
      <c r="H3062" t="s">
        <v>32</v>
      </c>
      <c r="I3062" t="s">
        <v>84</v>
      </c>
      <c r="J3062" t="s">
        <v>85</v>
      </c>
      <c r="K3062">
        <v>1</v>
      </c>
      <c r="L3062" s="2">
        <v>57.92</v>
      </c>
      <c r="M3062" s="3">
        <v>0.1</v>
      </c>
      <c r="N3062" t="s">
        <v>29</v>
      </c>
      <c r="O3062" s="2">
        <v>52.13</v>
      </c>
      <c r="P3062" s="2">
        <v>41.63</v>
      </c>
      <c r="Q3062" s="2">
        <v>10.5</v>
      </c>
      <c r="R3062">
        <v>1</v>
      </c>
      <c r="S3062">
        <v>0</v>
      </c>
      <c r="T3062">
        <v>2</v>
      </c>
      <c r="U3062">
        <v>4</v>
      </c>
    </row>
    <row r="3063" spans="1:21" ht="16.5" x14ac:dyDescent="0.3">
      <c r="A3063" t="s">
        <v>3151</v>
      </c>
      <c r="B3063" s="1">
        <v>45746</v>
      </c>
      <c r="C3063">
        <v>2025</v>
      </c>
      <c r="D3063" t="s">
        <v>22</v>
      </c>
      <c r="E3063" t="s">
        <v>402</v>
      </c>
      <c r="F3063" t="s">
        <v>31</v>
      </c>
      <c r="G3063" t="s">
        <v>51</v>
      </c>
      <c r="H3063" t="s">
        <v>32</v>
      </c>
      <c r="I3063" t="s">
        <v>42</v>
      </c>
      <c r="J3063" t="s">
        <v>58</v>
      </c>
      <c r="K3063">
        <v>2</v>
      </c>
      <c r="L3063" s="2">
        <v>233.81</v>
      </c>
      <c r="M3063" s="3">
        <v>0.2</v>
      </c>
      <c r="N3063" t="s">
        <v>34</v>
      </c>
      <c r="O3063" s="2">
        <v>374.1</v>
      </c>
      <c r="P3063" s="2">
        <v>306.2</v>
      </c>
      <c r="Q3063" s="2">
        <v>67.900000000000006</v>
      </c>
      <c r="R3063">
        <v>1</v>
      </c>
      <c r="S3063">
        <v>0</v>
      </c>
      <c r="T3063">
        <v>3</v>
      </c>
      <c r="U3063">
        <v>5</v>
      </c>
    </row>
    <row r="3064" spans="1:21" ht="16.5" x14ac:dyDescent="0.3">
      <c r="A3064" t="s">
        <v>3152</v>
      </c>
      <c r="B3064" s="1">
        <v>45746</v>
      </c>
      <c r="C3064">
        <v>2025</v>
      </c>
      <c r="D3064" t="s">
        <v>22</v>
      </c>
      <c r="E3064" t="s">
        <v>402</v>
      </c>
      <c r="F3064" t="s">
        <v>24</v>
      </c>
      <c r="G3064" t="s">
        <v>25</v>
      </c>
      <c r="H3064" t="s">
        <v>26</v>
      </c>
      <c r="I3064" t="s">
        <v>42</v>
      </c>
      <c r="J3064" t="s">
        <v>54</v>
      </c>
      <c r="K3064">
        <v>2</v>
      </c>
      <c r="L3064" s="2">
        <v>148.05000000000001</v>
      </c>
      <c r="M3064" s="3">
        <v>0</v>
      </c>
      <c r="N3064" t="s">
        <v>38</v>
      </c>
      <c r="O3064" s="2">
        <v>296.10000000000002</v>
      </c>
      <c r="P3064" s="2">
        <v>185.8</v>
      </c>
      <c r="Q3064" s="2">
        <v>110.3</v>
      </c>
      <c r="R3064">
        <v>1</v>
      </c>
      <c r="S3064">
        <v>0</v>
      </c>
      <c r="T3064">
        <v>3</v>
      </c>
      <c r="U3064">
        <v>5</v>
      </c>
    </row>
    <row r="3065" spans="1:21" ht="16.5" x14ac:dyDescent="0.3">
      <c r="A3065" t="s">
        <v>3153</v>
      </c>
      <c r="B3065" s="1">
        <v>45747</v>
      </c>
      <c r="C3065">
        <v>2025</v>
      </c>
      <c r="D3065" t="s">
        <v>22</v>
      </c>
      <c r="E3065" t="s">
        <v>402</v>
      </c>
      <c r="F3065" t="s">
        <v>45</v>
      </c>
      <c r="G3065" t="s">
        <v>25</v>
      </c>
      <c r="H3065" t="s">
        <v>32</v>
      </c>
      <c r="I3065" t="s">
        <v>36</v>
      </c>
      <c r="J3065" t="s">
        <v>37</v>
      </c>
      <c r="K3065">
        <v>1</v>
      </c>
      <c r="L3065" s="2">
        <v>33.18</v>
      </c>
      <c r="M3065" s="3">
        <v>0.1</v>
      </c>
      <c r="N3065" t="s">
        <v>29</v>
      </c>
      <c r="O3065" s="2">
        <v>29.86</v>
      </c>
      <c r="P3065" s="2">
        <v>15.73</v>
      </c>
      <c r="Q3065" s="2">
        <v>14.13</v>
      </c>
      <c r="R3065">
        <v>1</v>
      </c>
      <c r="S3065">
        <v>0</v>
      </c>
      <c r="T3065">
        <v>4</v>
      </c>
      <c r="U3065">
        <v>5</v>
      </c>
    </row>
    <row r="3066" spans="1:21" ht="16.5" x14ac:dyDescent="0.3">
      <c r="A3066" t="s">
        <v>3154</v>
      </c>
      <c r="B3066" s="1">
        <v>45747</v>
      </c>
      <c r="C3066">
        <v>2025</v>
      </c>
      <c r="D3066" t="s">
        <v>22</v>
      </c>
      <c r="E3066" t="s">
        <v>402</v>
      </c>
      <c r="F3066" t="s">
        <v>24</v>
      </c>
      <c r="G3066" t="s">
        <v>51</v>
      </c>
      <c r="H3066" t="s">
        <v>26</v>
      </c>
      <c r="I3066" t="s">
        <v>27</v>
      </c>
      <c r="J3066" t="s">
        <v>40</v>
      </c>
      <c r="K3066">
        <v>3</v>
      </c>
      <c r="L3066" s="2">
        <v>104.94</v>
      </c>
      <c r="M3066" s="3">
        <v>0.05</v>
      </c>
      <c r="N3066" t="s">
        <v>29</v>
      </c>
      <c r="O3066" s="2">
        <v>299.08</v>
      </c>
      <c r="P3066" s="2">
        <v>170.81</v>
      </c>
      <c r="Q3066" s="2">
        <v>128.27000000000001</v>
      </c>
      <c r="R3066">
        <v>1</v>
      </c>
      <c r="S3066">
        <v>0</v>
      </c>
      <c r="T3066">
        <v>4</v>
      </c>
      <c r="U3066">
        <v>4</v>
      </c>
    </row>
    <row r="3067" spans="1:21" ht="16.5" x14ac:dyDescent="0.3">
      <c r="A3067" t="s">
        <v>3155</v>
      </c>
      <c r="B3067" s="1">
        <v>45747</v>
      </c>
      <c r="C3067">
        <v>2025</v>
      </c>
      <c r="D3067" t="s">
        <v>22</v>
      </c>
      <c r="E3067" t="s">
        <v>402</v>
      </c>
      <c r="F3067" t="s">
        <v>24</v>
      </c>
      <c r="G3067" t="s">
        <v>25</v>
      </c>
      <c r="H3067" t="s">
        <v>26</v>
      </c>
      <c r="I3067" t="s">
        <v>67</v>
      </c>
      <c r="J3067" t="s">
        <v>103</v>
      </c>
      <c r="K3067">
        <v>1</v>
      </c>
      <c r="L3067" s="2">
        <v>83.06</v>
      </c>
      <c r="M3067" s="3">
        <v>0.05</v>
      </c>
      <c r="N3067" t="s">
        <v>29</v>
      </c>
      <c r="O3067" s="2">
        <v>78.91</v>
      </c>
      <c r="P3067" s="2">
        <v>57.77</v>
      </c>
      <c r="Q3067" s="2">
        <v>21.14</v>
      </c>
      <c r="R3067">
        <v>1</v>
      </c>
      <c r="S3067">
        <v>0</v>
      </c>
      <c r="T3067">
        <v>3</v>
      </c>
      <c r="U3067">
        <v>3</v>
      </c>
    </row>
    <row r="3068" spans="1:21" ht="16.5" x14ac:dyDescent="0.3">
      <c r="A3068" t="s">
        <v>3156</v>
      </c>
      <c r="B3068" s="1">
        <v>45747</v>
      </c>
      <c r="C3068">
        <v>2025</v>
      </c>
      <c r="D3068" t="s">
        <v>22</v>
      </c>
      <c r="E3068" t="s">
        <v>402</v>
      </c>
      <c r="F3068" t="s">
        <v>24</v>
      </c>
      <c r="G3068" t="s">
        <v>49</v>
      </c>
      <c r="H3068" t="s">
        <v>26</v>
      </c>
      <c r="I3068" t="s">
        <v>67</v>
      </c>
      <c r="J3068" t="s">
        <v>103</v>
      </c>
      <c r="K3068">
        <v>2</v>
      </c>
      <c r="L3068" s="2">
        <v>83.06</v>
      </c>
      <c r="M3068" s="3">
        <v>0</v>
      </c>
      <c r="N3068" t="s">
        <v>38</v>
      </c>
      <c r="O3068" s="2">
        <v>166.12</v>
      </c>
      <c r="P3068" s="2">
        <v>111.95</v>
      </c>
      <c r="Q3068" s="2">
        <v>54.17</v>
      </c>
      <c r="R3068">
        <v>1</v>
      </c>
      <c r="S3068">
        <v>0</v>
      </c>
      <c r="T3068">
        <v>3</v>
      </c>
      <c r="U3068">
        <v>5</v>
      </c>
    </row>
    <row r="3069" spans="1:21" ht="16.5" x14ac:dyDescent="0.3">
      <c r="A3069" t="s">
        <v>3157</v>
      </c>
      <c r="B3069" s="1">
        <v>45747</v>
      </c>
      <c r="C3069">
        <v>2025</v>
      </c>
      <c r="D3069" t="s">
        <v>22</v>
      </c>
      <c r="E3069" t="s">
        <v>402</v>
      </c>
      <c r="F3069" t="s">
        <v>31</v>
      </c>
      <c r="G3069" t="s">
        <v>25</v>
      </c>
      <c r="H3069" t="s">
        <v>32</v>
      </c>
      <c r="I3069" t="s">
        <v>70</v>
      </c>
      <c r="J3069" t="s">
        <v>87</v>
      </c>
      <c r="K3069">
        <v>1</v>
      </c>
      <c r="L3069" s="2">
        <v>490.3</v>
      </c>
      <c r="M3069" s="3">
        <v>0.05</v>
      </c>
      <c r="N3069" t="s">
        <v>29</v>
      </c>
      <c r="O3069" s="2">
        <v>465.78</v>
      </c>
      <c r="P3069" s="2">
        <v>396.39</v>
      </c>
      <c r="Q3069" s="2">
        <v>69.39</v>
      </c>
      <c r="R3069">
        <v>1</v>
      </c>
      <c r="S3069">
        <v>0</v>
      </c>
      <c r="T3069">
        <v>3</v>
      </c>
      <c r="U3069">
        <v>4</v>
      </c>
    </row>
    <row r="3070" spans="1:21" ht="16.5" x14ac:dyDescent="0.3">
      <c r="A3070" t="s">
        <v>3158</v>
      </c>
      <c r="B3070" s="1">
        <v>45748</v>
      </c>
      <c r="C3070">
        <v>2025</v>
      </c>
      <c r="D3070" t="s">
        <v>599</v>
      </c>
      <c r="E3070" t="s">
        <v>600</v>
      </c>
      <c r="F3070" t="s">
        <v>24</v>
      </c>
      <c r="G3070" t="s">
        <v>25</v>
      </c>
      <c r="H3070" t="s">
        <v>26</v>
      </c>
      <c r="I3070" t="s">
        <v>27</v>
      </c>
      <c r="J3070" t="s">
        <v>28</v>
      </c>
      <c r="K3070">
        <v>2</v>
      </c>
      <c r="L3070" s="2">
        <v>138.5</v>
      </c>
      <c r="M3070" s="3">
        <v>0</v>
      </c>
      <c r="N3070" t="s">
        <v>38</v>
      </c>
      <c r="O3070" s="2">
        <v>277</v>
      </c>
      <c r="P3070" s="2">
        <v>151.37</v>
      </c>
      <c r="Q3070" s="2">
        <v>125.63</v>
      </c>
      <c r="R3070">
        <v>1</v>
      </c>
      <c r="S3070">
        <v>0</v>
      </c>
      <c r="T3070">
        <v>3</v>
      </c>
      <c r="U3070">
        <v>5</v>
      </c>
    </row>
    <row r="3071" spans="1:21" ht="16.5" x14ac:dyDescent="0.3">
      <c r="A3071" t="s">
        <v>3159</v>
      </c>
      <c r="B3071" s="1">
        <v>45748</v>
      </c>
      <c r="C3071">
        <v>2025</v>
      </c>
      <c r="D3071" t="s">
        <v>599</v>
      </c>
      <c r="E3071" t="s">
        <v>600</v>
      </c>
      <c r="F3071" t="s">
        <v>24</v>
      </c>
      <c r="G3071" t="s">
        <v>25</v>
      </c>
      <c r="H3071" t="s">
        <v>32</v>
      </c>
      <c r="I3071" t="s">
        <v>42</v>
      </c>
      <c r="J3071" t="s">
        <v>54</v>
      </c>
      <c r="K3071">
        <v>2</v>
      </c>
      <c r="L3071" s="2">
        <v>148.05000000000001</v>
      </c>
      <c r="M3071" s="3">
        <v>0.1</v>
      </c>
      <c r="N3071" t="s">
        <v>29</v>
      </c>
      <c r="O3071" s="2">
        <v>266.49</v>
      </c>
      <c r="P3071" s="2">
        <v>200.23</v>
      </c>
      <c r="Q3071" s="2">
        <v>66.260000000000005</v>
      </c>
      <c r="R3071">
        <v>1</v>
      </c>
      <c r="S3071">
        <v>0</v>
      </c>
      <c r="T3071">
        <v>3</v>
      </c>
      <c r="U3071">
        <v>4</v>
      </c>
    </row>
    <row r="3072" spans="1:21" ht="16.5" x14ac:dyDescent="0.3">
      <c r="A3072" t="s">
        <v>3160</v>
      </c>
      <c r="B3072" s="1">
        <v>45748</v>
      </c>
      <c r="C3072">
        <v>2025</v>
      </c>
      <c r="D3072" t="s">
        <v>599</v>
      </c>
      <c r="E3072" t="s">
        <v>600</v>
      </c>
      <c r="F3072" t="s">
        <v>31</v>
      </c>
      <c r="G3072" t="s">
        <v>49</v>
      </c>
      <c r="H3072" t="s">
        <v>32</v>
      </c>
      <c r="I3072" t="s">
        <v>70</v>
      </c>
      <c r="J3072" t="s">
        <v>129</v>
      </c>
      <c r="K3072">
        <v>1</v>
      </c>
      <c r="L3072" s="2">
        <v>177.65</v>
      </c>
      <c r="M3072" s="3">
        <v>0</v>
      </c>
      <c r="N3072" t="s">
        <v>38</v>
      </c>
      <c r="O3072" s="2">
        <v>177.65</v>
      </c>
      <c r="P3072" s="2">
        <v>142.88999999999999</v>
      </c>
      <c r="Q3072" s="2">
        <v>34.76</v>
      </c>
      <c r="R3072">
        <v>1</v>
      </c>
      <c r="S3072">
        <v>0</v>
      </c>
      <c r="T3072">
        <v>3</v>
      </c>
      <c r="U3072">
        <v>5</v>
      </c>
    </row>
    <row r="3073" spans="1:21" ht="16.5" x14ac:dyDescent="0.3">
      <c r="A3073" t="s">
        <v>3161</v>
      </c>
      <c r="B3073" s="1">
        <v>45749</v>
      </c>
      <c r="C3073">
        <v>2025</v>
      </c>
      <c r="D3073" t="s">
        <v>599</v>
      </c>
      <c r="E3073" t="s">
        <v>600</v>
      </c>
      <c r="F3073" t="s">
        <v>31</v>
      </c>
      <c r="G3073" t="s">
        <v>49</v>
      </c>
      <c r="H3073" t="s">
        <v>32</v>
      </c>
      <c r="I3073" t="s">
        <v>36</v>
      </c>
      <c r="J3073" t="s">
        <v>56</v>
      </c>
      <c r="K3073">
        <v>1</v>
      </c>
      <c r="L3073" s="2">
        <v>74.3</v>
      </c>
      <c r="M3073" s="3">
        <v>0.1</v>
      </c>
      <c r="N3073" t="s">
        <v>29</v>
      </c>
      <c r="O3073" s="2">
        <v>66.87</v>
      </c>
      <c r="P3073" s="2">
        <v>35.56</v>
      </c>
      <c r="Q3073" s="2">
        <v>31.31</v>
      </c>
      <c r="R3073">
        <v>1</v>
      </c>
      <c r="S3073">
        <v>0</v>
      </c>
      <c r="T3073">
        <v>5</v>
      </c>
      <c r="U3073">
        <v>4</v>
      </c>
    </row>
    <row r="3074" spans="1:21" ht="16.5" x14ac:dyDescent="0.3">
      <c r="A3074" t="s">
        <v>3162</v>
      </c>
      <c r="B3074" s="1">
        <v>45749</v>
      </c>
      <c r="C3074">
        <v>2025</v>
      </c>
      <c r="D3074" t="s">
        <v>599</v>
      </c>
      <c r="E3074" t="s">
        <v>600</v>
      </c>
      <c r="F3074" t="s">
        <v>24</v>
      </c>
      <c r="G3074" t="s">
        <v>25</v>
      </c>
      <c r="H3074" t="s">
        <v>26</v>
      </c>
      <c r="I3074" t="s">
        <v>70</v>
      </c>
      <c r="J3074" t="s">
        <v>129</v>
      </c>
      <c r="K3074">
        <v>1</v>
      </c>
      <c r="L3074" s="2">
        <v>177.65</v>
      </c>
      <c r="M3074" s="3">
        <v>0.15</v>
      </c>
      <c r="N3074" t="s">
        <v>34</v>
      </c>
      <c r="O3074" s="2">
        <v>151</v>
      </c>
      <c r="P3074" s="2">
        <v>139.55000000000001</v>
      </c>
      <c r="Q3074" s="2">
        <v>11.45</v>
      </c>
      <c r="R3074">
        <v>1</v>
      </c>
      <c r="S3074">
        <v>0</v>
      </c>
      <c r="T3074">
        <v>5</v>
      </c>
      <c r="U3074">
        <v>3</v>
      </c>
    </row>
    <row r="3075" spans="1:21" ht="16.5" x14ac:dyDescent="0.3">
      <c r="A3075" t="s">
        <v>3163</v>
      </c>
      <c r="B3075" s="1">
        <v>45749</v>
      </c>
      <c r="C3075">
        <v>2025</v>
      </c>
      <c r="D3075" t="s">
        <v>599</v>
      </c>
      <c r="E3075" t="s">
        <v>600</v>
      </c>
      <c r="F3075" t="s">
        <v>24</v>
      </c>
      <c r="G3075" t="s">
        <v>51</v>
      </c>
      <c r="H3075" t="s">
        <v>32</v>
      </c>
      <c r="I3075" t="s">
        <v>42</v>
      </c>
      <c r="J3075" t="s">
        <v>89</v>
      </c>
      <c r="K3075">
        <v>2</v>
      </c>
      <c r="L3075" s="2">
        <v>68.349999999999994</v>
      </c>
      <c r="M3075" s="3">
        <v>0</v>
      </c>
      <c r="N3075" t="s">
        <v>38</v>
      </c>
      <c r="O3075" s="2">
        <v>136.69999999999999</v>
      </c>
      <c r="P3075" s="2">
        <v>89.15</v>
      </c>
      <c r="Q3075" s="2">
        <v>47.55</v>
      </c>
      <c r="R3075">
        <v>1</v>
      </c>
      <c r="S3075">
        <v>0</v>
      </c>
      <c r="T3075">
        <v>3</v>
      </c>
      <c r="U3075">
        <v>5</v>
      </c>
    </row>
    <row r="3076" spans="1:21" ht="16.5" x14ac:dyDescent="0.3">
      <c r="A3076" t="s">
        <v>3164</v>
      </c>
      <c r="B3076" s="1">
        <v>45749</v>
      </c>
      <c r="C3076">
        <v>2025</v>
      </c>
      <c r="D3076" t="s">
        <v>599</v>
      </c>
      <c r="E3076" t="s">
        <v>600</v>
      </c>
      <c r="F3076" t="s">
        <v>45</v>
      </c>
      <c r="G3076" t="s">
        <v>51</v>
      </c>
      <c r="H3076" t="s">
        <v>26</v>
      </c>
      <c r="I3076" t="s">
        <v>27</v>
      </c>
      <c r="J3076" t="s">
        <v>33</v>
      </c>
      <c r="K3076">
        <v>2</v>
      </c>
      <c r="L3076" s="2">
        <v>78.510000000000005</v>
      </c>
      <c r="M3076" s="3">
        <v>0</v>
      </c>
      <c r="N3076" t="s">
        <v>38</v>
      </c>
      <c r="O3076" s="2">
        <v>157.02000000000001</v>
      </c>
      <c r="P3076" s="2">
        <v>87.17</v>
      </c>
      <c r="Q3076" s="2">
        <v>69.849999999999994</v>
      </c>
      <c r="R3076">
        <v>1</v>
      </c>
      <c r="S3076">
        <v>0</v>
      </c>
      <c r="T3076">
        <v>4</v>
      </c>
      <c r="U3076">
        <v>5</v>
      </c>
    </row>
    <row r="3077" spans="1:21" ht="16.5" x14ac:dyDescent="0.3">
      <c r="A3077" t="s">
        <v>3165</v>
      </c>
      <c r="B3077" s="1">
        <v>45749</v>
      </c>
      <c r="C3077">
        <v>2025</v>
      </c>
      <c r="D3077" t="s">
        <v>599</v>
      </c>
      <c r="E3077" t="s">
        <v>600</v>
      </c>
      <c r="F3077" t="s">
        <v>45</v>
      </c>
      <c r="G3077" t="s">
        <v>51</v>
      </c>
      <c r="H3077" t="s">
        <v>32</v>
      </c>
      <c r="I3077" t="s">
        <v>70</v>
      </c>
      <c r="J3077" t="s">
        <v>87</v>
      </c>
      <c r="K3077">
        <v>1</v>
      </c>
      <c r="L3077" s="2">
        <v>490.3</v>
      </c>
      <c r="M3077" s="3">
        <v>0.15</v>
      </c>
      <c r="N3077" t="s">
        <v>34</v>
      </c>
      <c r="O3077" s="2">
        <v>416.76</v>
      </c>
      <c r="P3077" s="2">
        <v>379.88</v>
      </c>
      <c r="Q3077" s="2">
        <v>36.880000000000003</v>
      </c>
      <c r="R3077">
        <v>1</v>
      </c>
      <c r="S3077">
        <v>0</v>
      </c>
      <c r="T3077">
        <v>3</v>
      </c>
      <c r="U3077">
        <v>5</v>
      </c>
    </row>
    <row r="3078" spans="1:21" ht="16.5" x14ac:dyDescent="0.3">
      <c r="A3078" t="s">
        <v>3166</v>
      </c>
      <c r="B3078" s="1">
        <v>45750</v>
      </c>
      <c r="C3078">
        <v>2025</v>
      </c>
      <c r="D3078" t="s">
        <v>599</v>
      </c>
      <c r="E3078" t="s">
        <v>600</v>
      </c>
      <c r="F3078" t="s">
        <v>31</v>
      </c>
      <c r="G3078" t="s">
        <v>49</v>
      </c>
      <c r="H3078" t="s">
        <v>26</v>
      </c>
      <c r="I3078" t="s">
        <v>27</v>
      </c>
      <c r="J3078" t="s">
        <v>40</v>
      </c>
      <c r="K3078">
        <v>4</v>
      </c>
      <c r="L3078" s="2">
        <v>104.94</v>
      </c>
      <c r="M3078" s="3">
        <v>0.25</v>
      </c>
      <c r="N3078" t="s">
        <v>62</v>
      </c>
      <c r="O3078" s="2">
        <v>314.82</v>
      </c>
      <c r="P3078" s="2">
        <v>218.49</v>
      </c>
      <c r="Q3078" s="2">
        <v>96.33</v>
      </c>
      <c r="R3078">
        <v>1</v>
      </c>
      <c r="S3078">
        <v>0</v>
      </c>
      <c r="T3078">
        <v>7</v>
      </c>
      <c r="U3078">
        <v>3</v>
      </c>
    </row>
    <row r="3079" spans="1:21" ht="16.5" x14ac:dyDescent="0.3">
      <c r="A3079" t="s">
        <v>3167</v>
      </c>
      <c r="B3079" s="1">
        <v>45750</v>
      </c>
      <c r="C3079">
        <v>2025</v>
      </c>
      <c r="D3079" t="s">
        <v>599</v>
      </c>
      <c r="E3079" t="s">
        <v>600</v>
      </c>
      <c r="F3079" t="s">
        <v>24</v>
      </c>
      <c r="G3079" t="s">
        <v>51</v>
      </c>
      <c r="H3079" t="s">
        <v>32</v>
      </c>
      <c r="I3079" t="s">
        <v>27</v>
      </c>
      <c r="J3079" t="s">
        <v>28</v>
      </c>
      <c r="K3079">
        <v>1</v>
      </c>
      <c r="L3079" s="2">
        <v>138.5</v>
      </c>
      <c r="M3079" s="3">
        <v>0</v>
      </c>
      <c r="N3079" t="s">
        <v>38</v>
      </c>
      <c r="O3079" s="2">
        <v>138.5</v>
      </c>
      <c r="P3079" s="2">
        <v>77.67</v>
      </c>
      <c r="Q3079" s="2">
        <v>60.83</v>
      </c>
      <c r="R3079">
        <v>1</v>
      </c>
      <c r="S3079">
        <v>0</v>
      </c>
      <c r="T3079">
        <v>4</v>
      </c>
      <c r="U3079">
        <v>4</v>
      </c>
    </row>
    <row r="3080" spans="1:21" ht="16.5" x14ac:dyDescent="0.3">
      <c r="A3080" t="s">
        <v>3168</v>
      </c>
      <c r="B3080" s="1">
        <v>45750</v>
      </c>
      <c r="C3080">
        <v>2025</v>
      </c>
      <c r="D3080" t="s">
        <v>599</v>
      </c>
      <c r="E3080" t="s">
        <v>600</v>
      </c>
      <c r="F3080" t="s">
        <v>31</v>
      </c>
      <c r="G3080" t="s">
        <v>49</v>
      </c>
      <c r="H3080" t="s">
        <v>26</v>
      </c>
      <c r="I3080" t="s">
        <v>70</v>
      </c>
      <c r="J3080" t="s">
        <v>71</v>
      </c>
      <c r="K3080">
        <v>2</v>
      </c>
      <c r="L3080" s="2">
        <v>588.41</v>
      </c>
      <c r="M3080" s="3">
        <v>0.05</v>
      </c>
      <c r="N3080" t="s">
        <v>29</v>
      </c>
      <c r="O3080" s="2">
        <v>1117.98</v>
      </c>
      <c r="P3080" s="2">
        <v>926.73</v>
      </c>
      <c r="Q3080" s="2">
        <v>191.25</v>
      </c>
      <c r="R3080">
        <v>1</v>
      </c>
      <c r="S3080">
        <v>0</v>
      </c>
      <c r="T3080">
        <v>6</v>
      </c>
      <c r="U3080">
        <v>3</v>
      </c>
    </row>
    <row r="3081" spans="1:21" ht="16.5" x14ac:dyDescent="0.3">
      <c r="A3081" t="s">
        <v>3169</v>
      </c>
      <c r="B3081" s="1">
        <v>45750</v>
      </c>
      <c r="C3081">
        <v>2025</v>
      </c>
      <c r="D3081" t="s">
        <v>599</v>
      </c>
      <c r="E3081" t="s">
        <v>600</v>
      </c>
      <c r="F3081" t="s">
        <v>45</v>
      </c>
      <c r="G3081" t="s">
        <v>25</v>
      </c>
      <c r="H3081" t="s">
        <v>26</v>
      </c>
      <c r="I3081" t="s">
        <v>70</v>
      </c>
      <c r="J3081" t="s">
        <v>162</v>
      </c>
      <c r="K3081">
        <v>2</v>
      </c>
      <c r="L3081" s="2">
        <v>636.09</v>
      </c>
      <c r="M3081" s="3">
        <v>0.1</v>
      </c>
      <c r="N3081" t="s">
        <v>29</v>
      </c>
      <c r="O3081" s="2">
        <v>1144.96</v>
      </c>
      <c r="P3081" s="2">
        <v>1004.46</v>
      </c>
      <c r="Q3081" s="2">
        <v>140.5</v>
      </c>
      <c r="R3081">
        <v>1</v>
      </c>
      <c r="S3081">
        <v>0</v>
      </c>
      <c r="T3081">
        <v>6</v>
      </c>
      <c r="U3081">
        <v>3</v>
      </c>
    </row>
    <row r="3082" spans="1:21" ht="16.5" x14ac:dyDescent="0.3">
      <c r="A3082" t="s">
        <v>3170</v>
      </c>
      <c r="B3082" s="1">
        <v>45750</v>
      </c>
      <c r="C3082">
        <v>2025</v>
      </c>
      <c r="D3082" t="s">
        <v>599</v>
      </c>
      <c r="E3082" t="s">
        <v>600</v>
      </c>
      <c r="F3082" t="s">
        <v>24</v>
      </c>
      <c r="G3082" t="s">
        <v>51</v>
      </c>
      <c r="H3082" t="s">
        <v>26</v>
      </c>
      <c r="I3082" t="s">
        <v>36</v>
      </c>
      <c r="J3082" t="s">
        <v>126</v>
      </c>
      <c r="K3082">
        <v>1</v>
      </c>
      <c r="L3082" s="2">
        <v>54.56</v>
      </c>
      <c r="M3082" s="3">
        <v>0.1</v>
      </c>
      <c r="N3082" t="s">
        <v>29</v>
      </c>
      <c r="O3082" s="2">
        <v>49.1</v>
      </c>
      <c r="P3082" s="2">
        <v>28.12</v>
      </c>
      <c r="Q3082" s="2">
        <v>20.98</v>
      </c>
      <c r="R3082">
        <v>1</v>
      </c>
      <c r="S3082">
        <v>0</v>
      </c>
      <c r="T3082">
        <v>4</v>
      </c>
      <c r="U3082">
        <v>4</v>
      </c>
    </row>
    <row r="3083" spans="1:21" ht="16.5" x14ac:dyDescent="0.3">
      <c r="A3083" t="s">
        <v>3171</v>
      </c>
      <c r="B3083" s="1">
        <v>45750</v>
      </c>
      <c r="C3083">
        <v>2025</v>
      </c>
      <c r="D3083" t="s">
        <v>599</v>
      </c>
      <c r="E3083" t="s">
        <v>600</v>
      </c>
      <c r="F3083" t="s">
        <v>31</v>
      </c>
      <c r="G3083" t="s">
        <v>65</v>
      </c>
      <c r="H3083" t="s">
        <v>26</v>
      </c>
      <c r="I3083" t="s">
        <v>36</v>
      </c>
      <c r="J3083" t="s">
        <v>126</v>
      </c>
      <c r="K3083">
        <v>1</v>
      </c>
      <c r="L3083" s="2">
        <v>54.56</v>
      </c>
      <c r="M3083" s="3">
        <v>0</v>
      </c>
      <c r="N3083" t="s">
        <v>38</v>
      </c>
      <c r="O3083" s="2">
        <v>54.56</v>
      </c>
      <c r="P3083" s="2">
        <v>26.02</v>
      </c>
      <c r="Q3083" s="2">
        <v>28.54</v>
      </c>
      <c r="R3083">
        <v>1</v>
      </c>
      <c r="S3083">
        <v>1</v>
      </c>
      <c r="T3083">
        <v>7</v>
      </c>
      <c r="U3083">
        <v>2</v>
      </c>
    </row>
    <row r="3084" spans="1:21" ht="16.5" x14ac:dyDescent="0.3">
      <c r="A3084" t="s">
        <v>3172</v>
      </c>
      <c r="B3084" s="1">
        <v>45751</v>
      </c>
      <c r="C3084">
        <v>2025</v>
      </c>
      <c r="D3084" t="s">
        <v>599</v>
      </c>
      <c r="E3084" t="s">
        <v>600</v>
      </c>
      <c r="F3084" t="s">
        <v>45</v>
      </c>
      <c r="G3084" t="s">
        <v>25</v>
      </c>
      <c r="H3084" t="s">
        <v>26</v>
      </c>
      <c r="I3084" t="s">
        <v>42</v>
      </c>
      <c r="J3084" t="s">
        <v>98</v>
      </c>
      <c r="K3084">
        <v>2</v>
      </c>
      <c r="L3084" s="2">
        <v>117.63</v>
      </c>
      <c r="M3084" s="3">
        <v>0</v>
      </c>
      <c r="N3084" t="s">
        <v>38</v>
      </c>
      <c r="O3084" s="2">
        <v>235.26</v>
      </c>
      <c r="P3084" s="2">
        <v>155.88999999999999</v>
      </c>
      <c r="Q3084" s="2">
        <v>79.37</v>
      </c>
      <c r="R3084">
        <v>1</v>
      </c>
      <c r="S3084">
        <v>0</v>
      </c>
      <c r="T3084">
        <v>7</v>
      </c>
      <c r="U3084">
        <v>3</v>
      </c>
    </row>
    <row r="3085" spans="1:21" ht="16.5" x14ac:dyDescent="0.3">
      <c r="A3085" t="s">
        <v>3173</v>
      </c>
      <c r="B3085" s="1">
        <v>45751</v>
      </c>
      <c r="C3085">
        <v>2025</v>
      </c>
      <c r="D3085" t="s">
        <v>599</v>
      </c>
      <c r="E3085" t="s">
        <v>600</v>
      </c>
      <c r="F3085" t="s">
        <v>31</v>
      </c>
      <c r="G3085" t="s">
        <v>51</v>
      </c>
      <c r="H3085" t="s">
        <v>32</v>
      </c>
      <c r="I3085" t="s">
        <v>70</v>
      </c>
      <c r="J3085" t="s">
        <v>129</v>
      </c>
      <c r="K3085">
        <v>1</v>
      </c>
      <c r="L3085" s="2">
        <v>177.65</v>
      </c>
      <c r="M3085" s="3">
        <v>0</v>
      </c>
      <c r="N3085" t="s">
        <v>38</v>
      </c>
      <c r="O3085" s="2">
        <v>177.65</v>
      </c>
      <c r="P3085" s="2">
        <v>138.63999999999999</v>
      </c>
      <c r="Q3085" s="2">
        <v>39.01</v>
      </c>
      <c r="R3085">
        <v>1</v>
      </c>
      <c r="S3085">
        <v>0</v>
      </c>
      <c r="T3085">
        <v>2</v>
      </c>
      <c r="U3085">
        <v>5</v>
      </c>
    </row>
    <row r="3086" spans="1:21" ht="16.5" x14ac:dyDescent="0.3">
      <c r="A3086" t="s">
        <v>3174</v>
      </c>
      <c r="B3086" s="1">
        <v>45751</v>
      </c>
      <c r="C3086">
        <v>2025</v>
      </c>
      <c r="D3086" t="s">
        <v>599</v>
      </c>
      <c r="E3086" t="s">
        <v>600</v>
      </c>
      <c r="F3086" t="s">
        <v>31</v>
      </c>
      <c r="G3086" t="s">
        <v>51</v>
      </c>
      <c r="H3086" t="s">
        <v>32</v>
      </c>
      <c r="I3086" t="s">
        <v>42</v>
      </c>
      <c r="J3086" t="s">
        <v>76</v>
      </c>
      <c r="K3086">
        <v>2</v>
      </c>
      <c r="L3086" s="2">
        <v>90.75</v>
      </c>
      <c r="M3086" s="3">
        <v>0.2</v>
      </c>
      <c r="N3086" t="s">
        <v>34</v>
      </c>
      <c r="O3086" s="2">
        <v>145.19999999999999</v>
      </c>
      <c r="P3086" s="2">
        <v>120.87</v>
      </c>
      <c r="Q3086" s="2">
        <v>24.33</v>
      </c>
      <c r="R3086">
        <v>1</v>
      </c>
      <c r="S3086">
        <v>0</v>
      </c>
      <c r="T3086">
        <v>3</v>
      </c>
      <c r="U3086">
        <v>4</v>
      </c>
    </row>
    <row r="3087" spans="1:21" ht="16.5" x14ac:dyDescent="0.3">
      <c r="A3087" t="s">
        <v>3175</v>
      </c>
      <c r="B3087" s="1">
        <v>45751</v>
      </c>
      <c r="C3087">
        <v>2025</v>
      </c>
      <c r="D3087" t="s">
        <v>599</v>
      </c>
      <c r="E3087" t="s">
        <v>600</v>
      </c>
      <c r="F3087" t="s">
        <v>31</v>
      </c>
      <c r="G3087" t="s">
        <v>25</v>
      </c>
      <c r="H3087" t="s">
        <v>32</v>
      </c>
      <c r="I3087" t="s">
        <v>42</v>
      </c>
      <c r="J3087" t="s">
        <v>43</v>
      </c>
      <c r="K3087">
        <v>1</v>
      </c>
      <c r="L3087" s="2">
        <v>154.66</v>
      </c>
      <c r="M3087" s="3">
        <v>0.2</v>
      </c>
      <c r="N3087" t="s">
        <v>34</v>
      </c>
      <c r="O3087" s="2">
        <v>123.73</v>
      </c>
      <c r="P3087" s="2">
        <v>105.09</v>
      </c>
      <c r="Q3087" s="2">
        <v>18.64</v>
      </c>
      <c r="R3087">
        <v>1</v>
      </c>
      <c r="S3087">
        <v>0</v>
      </c>
      <c r="T3087">
        <v>4</v>
      </c>
      <c r="U3087">
        <v>5</v>
      </c>
    </row>
    <row r="3088" spans="1:21" ht="16.5" x14ac:dyDescent="0.3">
      <c r="A3088" t="s">
        <v>3176</v>
      </c>
      <c r="B3088" s="1">
        <v>45751</v>
      </c>
      <c r="C3088">
        <v>2025</v>
      </c>
      <c r="D3088" t="s">
        <v>599</v>
      </c>
      <c r="E3088" t="s">
        <v>600</v>
      </c>
      <c r="F3088" t="s">
        <v>24</v>
      </c>
      <c r="G3088" t="s">
        <v>25</v>
      </c>
      <c r="H3088" t="s">
        <v>32</v>
      </c>
      <c r="I3088" t="s">
        <v>27</v>
      </c>
      <c r="J3088" t="s">
        <v>110</v>
      </c>
      <c r="K3088">
        <v>3</v>
      </c>
      <c r="L3088" s="2">
        <v>19.41</v>
      </c>
      <c r="M3088" s="3">
        <v>0</v>
      </c>
      <c r="N3088" t="s">
        <v>38</v>
      </c>
      <c r="O3088" s="2">
        <v>58.23</v>
      </c>
      <c r="P3088" s="2">
        <v>31.72</v>
      </c>
      <c r="Q3088" s="2">
        <v>26.51</v>
      </c>
      <c r="R3088">
        <v>1</v>
      </c>
      <c r="S3088">
        <v>0</v>
      </c>
      <c r="T3088">
        <v>3</v>
      </c>
      <c r="U3088">
        <v>4</v>
      </c>
    </row>
    <row r="3089" spans="1:21" ht="16.5" x14ac:dyDescent="0.3">
      <c r="A3089" t="s">
        <v>3177</v>
      </c>
      <c r="B3089" s="1">
        <v>45751</v>
      </c>
      <c r="C3089">
        <v>2025</v>
      </c>
      <c r="D3089" t="s">
        <v>599</v>
      </c>
      <c r="E3089" t="s">
        <v>600</v>
      </c>
      <c r="F3089" t="s">
        <v>31</v>
      </c>
      <c r="G3089" t="s">
        <v>49</v>
      </c>
      <c r="H3089" t="s">
        <v>26</v>
      </c>
      <c r="I3089" t="s">
        <v>70</v>
      </c>
      <c r="J3089" t="s">
        <v>129</v>
      </c>
      <c r="K3089">
        <v>1</v>
      </c>
      <c r="L3089" s="2">
        <v>177.65</v>
      </c>
      <c r="M3089" s="3">
        <v>0</v>
      </c>
      <c r="N3089" t="s">
        <v>38</v>
      </c>
      <c r="O3089" s="2">
        <v>177.65</v>
      </c>
      <c r="P3089" s="2">
        <v>151.94</v>
      </c>
      <c r="Q3089" s="2">
        <v>25.71</v>
      </c>
      <c r="R3089">
        <v>1</v>
      </c>
      <c r="S3089">
        <v>0</v>
      </c>
      <c r="T3089">
        <v>4</v>
      </c>
      <c r="U3089">
        <v>5</v>
      </c>
    </row>
    <row r="3090" spans="1:21" ht="16.5" x14ac:dyDescent="0.3">
      <c r="A3090" t="s">
        <v>3178</v>
      </c>
      <c r="B3090" s="1">
        <v>45751</v>
      </c>
      <c r="C3090">
        <v>2025</v>
      </c>
      <c r="D3090" t="s">
        <v>599</v>
      </c>
      <c r="E3090" t="s">
        <v>600</v>
      </c>
      <c r="F3090" t="s">
        <v>24</v>
      </c>
      <c r="G3090" t="s">
        <v>65</v>
      </c>
      <c r="H3090" t="s">
        <v>26</v>
      </c>
      <c r="I3090" t="s">
        <v>70</v>
      </c>
      <c r="J3090" t="s">
        <v>82</v>
      </c>
      <c r="K3090">
        <v>4</v>
      </c>
      <c r="L3090" s="2">
        <v>508.8</v>
      </c>
      <c r="M3090" s="3">
        <v>0.1</v>
      </c>
      <c r="N3090" t="s">
        <v>29</v>
      </c>
      <c r="O3090" s="2">
        <v>1831.68</v>
      </c>
      <c r="P3090" s="2">
        <v>1710.33</v>
      </c>
      <c r="Q3090" s="2">
        <v>121.35</v>
      </c>
      <c r="R3090">
        <v>1</v>
      </c>
      <c r="S3090">
        <v>0</v>
      </c>
      <c r="T3090">
        <v>8</v>
      </c>
      <c r="U3090">
        <v>4</v>
      </c>
    </row>
    <row r="3091" spans="1:21" ht="16.5" x14ac:dyDescent="0.3">
      <c r="A3091" t="s">
        <v>3179</v>
      </c>
      <c r="B3091" s="1">
        <v>45752</v>
      </c>
      <c r="C3091">
        <v>2025</v>
      </c>
      <c r="D3091" t="s">
        <v>599</v>
      </c>
      <c r="E3091" t="s">
        <v>600</v>
      </c>
      <c r="F3091" t="s">
        <v>31</v>
      </c>
      <c r="G3091" t="s">
        <v>25</v>
      </c>
      <c r="H3091" t="s">
        <v>32</v>
      </c>
      <c r="I3091" t="s">
        <v>84</v>
      </c>
      <c r="J3091" t="s">
        <v>96</v>
      </c>
      <c r="K3091">
        <v>1</v>
      </c>
      <c r="L3091" s="2">
        <v>10.76</v>
      </c>
      <c r="M3091" s="3">
        <v>0.15</v>
      </c>
      <c r="N3091" t="s">
        <v>34</v>
      </c>
      <c r="O3091" s="2">
        <v>9.15</v>
      </c>
      <c r="P3091" s="2">
        <v>7.52</v>
      </c>
      <c r="Q3091" s="2">
        <v>1.63</v>
      </c>
      <c r="R3091">
        <v>1</v>
      </c>
      <c r="S3091">
        <v>0</v>
      </c>
      <c r="T3091">
        <v>6</v>
      </c>
      <c r="U3091">
        <v>3</v>
      </c>
    </row>
    <row r="3092" spans="1:21" ht="16.5" x14ac:dyDescent="0.3">
      <c r="A3092" t="s">
        <v>3180</v>
      </c>
      <c r="B3092" s="1">
        <v>45752</v>
      </c>
      <c r="C3092">
        <v>2025</v>
      </c>
      <c r="D3092" t="s">
        <v>599</v>
      </c>
      <c r="E3092" t="s">
        <v>600</v>
      </c>
      <c r="F3092" t="s">
        <v>24</v>
      </c>
      <c r="G3092" t="s">
        <v>49</v>
      </c>
      <c r="H3092" t="s">
        <v>32</v>
      </c>
      <c r="I3092" t="s">
        <v>84</v>
      </c>
      <c r="J3092" t="s">
        <v>85</v>
      </c>
      <c r="K3092">
        <v>2</v>
      </c>
      <c r="L3092" s="2">
        <v>57.92</v>
      </c>
      <c r="M3092" s="3">
        <v>0</v>
      </c>
      <c r="N3092" t="s">
        <v>38</v>
      </c>
      <c r="O3092" s="2">
        <v>115.84</v>
      </c>
      <c r="P3092" s="2">
        <v>82.54</v>
      </c>
      <c r="Q3092" s="2">
        <v>33.299999999999997</v>
      </c>
      <c r="R3092">
        <v>1</v>
      </c>
      <c r="S3092">
        <v>0</v>
      </c>
      <c r="T3092">
        <v>3</v>
      </c>
      <c r="U3092">
        <v>5</v>
      </c>
    </row>
    <row r="3093" spans="1:21" ht="16.5" x14ac:dyDescent="0.3">
      <c r="A3093" t="s">
        <v>3181</v>
      </c>
      <c r="B3093" s="1">
        <v>45752</v>
      </c>
      <c r="C3093">
        <v>2025</v>
      </c>
      <c r="D3093" t="s">
        <v>599</v>
      </c>
      <c r="E3093" t="s">
        <v>600</v>
      </c>
      <c r="F3093" t="s">
        <v>31</v>
      </c>
      <c r="G3093" t="s">
        <v>65</v>
      </c>
      <c r="H3093" t="s">
        <v>26</v>
      </c>
      <c r="I3093" t="s">
        <v>27</v>
      </c>
      <c r="J3093" t="s">
        <v>110</v>
      </c>
      <c r="K3093">
        <v>1</v>
      </c>
      <c r="L3093" s="2">
        <v>19.41</v>
      </c>
      <c r="M3093" s="3">
        <v>0.1</v>
      </c>
      <c r="N3093" t="s">
        <v>29</v>
      </c>
      <c r="O3093" s="2">
        <v>17.47</v>
      </c>
      <c r="P3093" s="2">
        <v>10.32</v>
      </c>
      <c r="Q3093" s="2">
        <v>7.15</v>
      </c>
      <c r="R3093">
        <v>1</v>
      </c>
      <c r="S3093">
        <v>0</v>
      </c>
      <c r="T3093">
        <v>5</v>
      </c>
      <c r="U3093">
        <v>5</v>
      </c>
    </row>
    <row r="3094" spans="1:21" ht="16.5" x14ac:dyDescent="0.3">
      <c r="A3094" t="s">
        <v>3182</v>
      </c>
      <c r="B3094" s="1">
        <v>45752</v>
      </c>
      <c r="C3094">
        <v>2025</v>
      </c>
      <c r="D3094" t="s">
        <v>599</v>
      </c>
      <c r="E3094" t="s">
        <v>600</v>
      </c>
      <c r="F3094" t="s">
        <v>45</v>
      </c>
      <c r="G3094" t="s">
        <v>51</v>
      </c>
      <c r="H3094" t="s">
        <v>32</v>
      </c>
      <c r="I3094" t="s">
        <v>70</v>
      </c>
      <c r="J3094" t="s">
        <v>87</v>
      </c>
      <c r="K3094">
        <v>1</v>
      </c>
      <c r="L3094" s="2">
        <v>490.3</v>
      </c>
      <c r="M3094" s="3">
        <v>0</v>
      </c>
      <c r="N3094" t="s">
        <v>38</v>
      </c>
      <c r="O3094" s="2">
        <v>490.3</v>
      </c>
      <c r="P3094" s="2">
        <v>399.19</v>
      </c>
      <c r="Q3094" s="2">
        <v>91.11</v>
      </c>
      <c r="R3094">
        <v>1</v>
      </c>
      <c r="S3094">
        <v>0</v>
      </c>
      <c r="T3094">
        <v>2</v>
      </c>
      <c r="U3094">
        <v>5</v>
      </c>
    </row>
    <row r="3095" spans="1:21" ht="16.5" x14ac:dyDescent="0.3">
      <c r="A3095" t="s">
        <v>3183</v>
      </c>
      <c r="B3095" s="1">
        <v>45752</v>
      </c>
      <c r="C3095">
        <v>2025</v>
      </c>
      <c r="D3095" t="s">
        <v>599</v>
      </c>
      <c r="E3095" t="s">
        <v>600</v>
      </c>
      <c r="F3095" t="s">
        <v>31</v>
      </c>
      <c r="G3095" t="s">
        <v>25</v>
      </c>
      <c r="H3095" t="s">
        <v>32</v>
      </c>
      <c r="I3095" t="s">
        <v>36</v>
      </c>
      <c r="J3095" t="s">
        <v>37</v>
      </c>
      <c r="K3095">
        <v>2</v>
      </c>
      <c r="L3095" s="2">
        <v>33.18</v>
      </c>
      <c r="M3095" s="3">
        <v>0.15</v>
      </c>
      <c r="N3095" t="s">
        <v>34</v>
      </c>
      <c r="O3095" s="2">
        <v>56.41</v>
      </c>
      <c r="P3095" s="2">
        <v>32.54</v>
      </c>
      <c r="Q3095" s="2">
        <v>23.87</v>
      </c>
      <c r="R3095">
        <v>1</v>
      </c>
      <c r="S3095">
        <v>0</v>
      </c>
      <c r="T3095">
        <v>4</v>
      </c>
      <c r="U3095">
        <v>5</v>
      </c>
    </row>
    <row r="3096" spans="1:21" ht="16.5" x14ac:dyDescent="0.3">
      <c r="A3096" t="s">
        <v>3184</v>
      </c>
      <c r="B3096" s="1">
        <v>45752</v>
      </c>
      <c r="C3096">
        <v>2025</v>
      </c>
      <c r="D3096" t="s">
        <v>599</v>
      </c>
      <c r="E3096" t="s">
        <v>600</v>
      </c>
      <c r="F3096" t="s">
        <v>31</v>
      </c>
      <c r="G3096" t="s">
        <v>25</v>
      </c>
      <c r="H3096" t="s">
        <v>26</v>
      </c>
      <c r="I3096" t="s">
        <v>67</v>
      </c>
      <c r="J3096" t="s">
        <v>174</v>
      </c>
      <c r="K3096">
        <v>1</v>
      </c>
      <c r="L3096" s="2">
        <v>137.05000000000001</v>
      </c>
      <c r="M3096" s="3">
        <v>0.1</v>
      </c>
      <c r="N3096" t="s">
        <v>29</v>
      </c>
      <c r="O3096" s="2">
        <v>123.35</v>
      </c>
      <c r="P3096" s="2">
        <v>91.39</v>
      </c>
      <c r="Q3096" s="2">
        <v>31.96</v>
      </c>
      <c r="R3096">
        <v>1</v>
      </c>
      <c r="S3096">
        <v>0</v>
      </c>
      <c r="T3096">
        <v>3</v>
      </c>
      <c r="U3096">
        <v>4</v>
      </c>
    </row>
    <row r="3097" spans="1:21" ht="16.5" x14ac:dyDescent="0.3">
      <c r="A3097" t="s">
        <v>3185</v>
      </c>
      <c r="B3097" s="1">
        <v>45752</v>
      </c>
      <c r="C3097">
        <v>2025</v>
      </c>
      <c r="D3097" t="s">
        <v>599</v>
      </c>
      <c r="E3097" t="s">
        <v>600</v>
      </c>
      <c r="F3097" t="s">
        <v>24</v>
      </c>
      <c r="G3097" t="s">
        <v>46</v>
      </c>
      <c r="H3097" t="s">
        <v>32</v>
      </c>
      <c r="I3097" t="s">
        <v>84</v>
      </c>
      <c r="J3097" t="s">
        <v>85</v>
      </c>
      <c r="K3097">
        <v>1</v>
      </c>
      <c r="L3097" s="2">
        <v>57.92</v>
      </c>
      <c r="M3097" s="3">
        <v>0.1</v>
      </c>
      <c r="N3097" t="s">
        <v>29</v>
      </c>
      <c r="O3097" s="2">
        <v>52.13</v>
      </c>
      <c r="P3097" s="2">
        <v>42.48</v>
      </c>
      <c r="Q3097" s="2">
        <v>9.65</v>
      </c>
      <c r="R3097">
        <v>1</v>
      </c>
      <c r="S3097">
        <v>0</v>
      </c>
      <c r="T3097">
        <v>6</v>
      </c>
      <c r="U3097">
        <v>3</v>
      </c>
    </row>
    <row r="3098" spans="1:21" ht="16.5" x14ac:dyDescent="0.3">
      <c r="A3098" t="s">
        <v>3186</v>
      </c>
      <c r="B3098" s="1">
        <v>45752</v>
      </c>
      <c r="C3098">
        <v>2025</v>
      </c>
      <c r="D3098" t="s">
        <v>599</v>
      </c>
      <c r="E3098" t="s">
        <v>600</v>
      </c>
      <c r="F3098" t="s">
        <v>31</v>
      </c>
      <c r="G3098" t="s">
        <v>25</v>
      </c>
      <c r="H3098" t="s">
        <v>32</v>
      </c>
      <c r="I3098" t="s">
        <v>84</v>
      </c>
      <c r="J3098" t="s">
        <v>85</v>
      </c>
      <c r="K3098">
        <v>1</v>
      </c>
      <c r="L3098" s="2">
        <v>57.92</v>
      </c>
      <c r="M3098" s="3">
        <v>0.2</v>
      </c>
      <c r="N3098" t="s">
        <v>34</v>
      </c>
      <c r="O3098" s="2">
        <v>46.34</v>
      </c>
      <c r="P3098" s="2">
        <v>40.36</v>
      </c>
      <c r="Q3098" s="2">
        <v>5.98</v>
      </c>
      <c r="R3098">
        <v>1</v>
      </c>
      <c r="S3098">
        <v>0</v>
      </c>
      <c r="T3098">
        <v>4</v>
      </c>
      <c r="U3098">
        <v>4</v>
      </c>
    </row>
    <row r="3099" spans="1:21" ht="16.5" x14ac:dyDescent="0.3">
      <c r="A3099" t="s">
        <v>3187</v>
      </c>
      <c r="B3099" s="1">
        <v>45753</v>
      </c>
      <c r="C3099">
        <v>2025</v>
      </c>
      <c r="D3099" t="s">
        <v>599</v>
      </c>
      <c r="E3099" t="s">
        <v>600</v>
      </c>
      <c r="F3099" t="s">
        <v>31</v>
      </c>
      <c r="G3099" t="s">
        <v>51</v>
      </c>
      <c r="H3099" t="s">
        <v>32</v>
      </c>
      <c r="I3099" t="s">
        <v>70</v>
      </c>
      <c r="J3099" t="s">
        <v>71</v>
      </c>
      <c r="K3099">
        <v>1</v>
      </c>
      <c r="L3099" s="2">
        <v>588.41</v>
      </c>
      <c r="M3099" s="3">
        <v>0.05</v>
      </c>
      <c r="N3099" t="s">
        <v>29</v>
      </c>
      <c r="O3099" s="2">
        <v>558.99</v>
      </c>
      <c r="P3099" s="2">
        <v>481.46</v>
      </c>
      <c r="Q3099" s="2">
        <v>77.53</v>
      </c>
      <c r="R3099">
        <v>1</v>
      </c>
      <c r="S3099">
        <v>0</v>
      </c>
      <c r="T3099">
        <v>2</v>
      </c>
      <c r="U3099">
        <v>5</v>
      </c>
    </row>
    <row r="3100" spans="1:21" ht="16.5" x14ac:dyDescent="0.3">
      <c r="A3100" t="s">
        <v>3188</v>
      </c>
      <c r="B3100" s="1">
        <v>45753</v>
      </c>
      <c r="C3100">
        <v>2025</v>
      </c>
      <c r="D3100" t="s">
        <v>599</v>
      </c>
      <c r="E3100" t="s">
        <v>600</v>
      </c>
      <c r="F3100" t="s">
        <v>31</v>
      </c>
      <c r="G3100" t="s">
        <v>25</v>
      </c>
      <c r="H3100" t="s">
        <v>26</v>
      </c>
      <c r="I3100" t="s">
        <v>70</v>
      </c>
      <c r="J3100" t="s">
        <v>162</v>
      </c>
      <c r="K3100">
        <v>1</v>
      </c>
      <c r="L3100" s="2">
        <v>636.09</v>
      </c>
      <c r="M3100" s="3">
        <v>0.2</v>
      </c>
      <c r="N3100" t="s">
        <v>34</v>
      </c>
      <c r="O3100" s="2">
        <v>508.87</v>
      </c>
      <c r="P3100" s="2">
        <v>487.27</v>
      </c>
      <c r="Q3100" s="2">
        <v>21.6</v>
      </c>
      <c r="R3100">
        <v>1</v>
      </c>
      <c r="S3100">
        <v>0</v>
      </c>
      <c r="T3100">
        <v>3</v>
      </c>
      <c r="U3100">
        <v>4</v>
      </c>
    </row>
    <row r="3101" spans="1:21" ht="16.5" x14ac:dyDescent="0.3">
      <c r="A3101" t="s">
        <v>3189</v>
      </c>
      <c r="B3101" s="1">
        <v>45753</v>
      </c>
      <c r="C3101">
        <v>2025</v>
      </c>
      <c r="D3101" t="s">
        <v>599</v>
      </c>
      <c r="E3101" t="s">
        <v>600</v>
      </c>
      <c r="F3101" t="s">
        <v>31</v>
      </c>
      <c r="G3101" t="s">
        <v>49</v>
      </c>
      <c r="H3101" t="s">
        <v>26</v>
      </c>
      <c r="I3101" t="s">
        <v>42</v>
      </c>
      <c r="J3101" t="s">
        <v>54</v>
      </c>
      <c r="K3101">
        <v>4</v>
      </c>
      <c r="L3101" s="2">
        <v>148.05000000000001</v>
      </c>
      <c r="M3101" s="3">
        <v>0.1</v>
      </c>
      <c r="N3101" t="s">
        <v>29</v>
      </c>
      <c r="O3101" s="2">
        <v>532.98</v>
      </c>
      <c r="P3101" s="2">
        <v>395.49</v>
      </c>
      <c r="Q3101" s="2">
        <v>137.49</v>
      </c>
      <c r="R3101">
        <v>1</v>
      </c>
      <c r="S3101">
        <v>0</v>
      </c>
      <c r="T3101">
        <v>3</v>
      </c>
      <c r="U3101">
        <v>4</v>
      </c>
    </row>
    <row r="3102" spans="1:21" ht="16.5" x14ac:dyDescent="0.3">
      <c r="A3102" t="s">
        <v>3190</v>
      </c>
      <c r="B3102" s="1">
        <v>45754</v>
      </c>
      <c r="C3102">
        <v>2025</v>
      </c>
      <c r="D3102" t="s">
        <v>599</v>
      </c>
      <c r="E3102" t="s">
        <v>600</v>
      </c>
      <c r="F3102" t="s">
        <v>31</v>
      </c>
      <c r="G3102" t="s">
        <v>46</v>
      </c>
      <c r="H3102" t="s">
        <v>26</v>
      </c>
      <c r="I3102" t="s">
        <v>36</v>
      </c>
      <c r="J3102" t="s">
        <v>52</v>
      </c>
      <c r="K3102">
        <v>1</v>
      </c>
      <c r="L3102" s="2">
        <v>92.54</v>
      </c>
      <c r="M3102" s="3">
        <v>0.25</v>
      </c>
      <c r="N3102" t="s">
        <v>62</v>
      </c>
      <c r="O3102" s="2">
        <v>69.400000000000006</v>
      </c>
      <c r="P3102" s="2">
        <v>44.19</v>
      </c>
      <c r="Q3102" s="2">
        <v>25.21</v>
      </c>
      <c r="R3102">
        <v>1</v>
      </c>
      <c r="S3102">
        <v>0</v>
      </c>
      <c r="T3102">
        <v>6</v>
      </c>
      <c r="U3102">
        <v>4</v>
      </c>
    </row>
    <row r="3103" spans="1:21" ht="16.5" x14ac:dyDescent="0.3">
      <c r="A3103" t="s">
        <v>3191</v>
      </c>
      <c r="B3103" s="1">
        <v>45754</v>
      </c>
      <c r="C3103">
        <v>2025</v>
      </c>
      <c r="D3103" t="s">
        <v>599</v>
      </c>
      <c r="E3103" t="s">
        <v>600</v>
      </c>
      <c r="F3103" t="s">
        <v>31</v>
      </c>
      <c r="G3103" t="s">
        <v>51</v>
      </c>
      <c r="H3103" t="s">
        <v>26</v>
      </c>
      <c r="I3103" t="s">
        <v>70</v>
      </c>
      <c r="J3103" t="s">
        <v>87</v>
      </c>
      <c r="K3103">
        <v>2</v>
      </c>
      <c r="L3103" s="2">
        <v>490.3</v>
      </c>
      <c r="M3103" s="3">
        <v>0.05</v>
      </c>
      <c r="N3103" t="s">
        <v>29</v>
      </c>
      <c r="O3103" s="2">
        <v>931.57</v>
      </c>
      <c r="P3103" s="2">
        <v>812.42</v>
      </c>
      <c r="Q3103" s="2">
        <v>119.15</v>
      </c>
      <c r="R3103">
        <v>1</v>
      </c>
      <c r="S3103">
        <v>0</v>
      </c>
      <c r="T3103">
        <v>2</v>
      </c>
      <c r="U3103">
        <v>4</v>
      </c>
    </row>
    <row r="3104" spans="1:21" ht="16.5" x14ac:dyDescent="0.3">
      <c r="A3104" t="s">
        <v>3192</v>
      </c>
      <c r="B3104" s="1">
        <v>45754</v>
      </c>
      <c r="C3104">
        <v>2025</v>
      </c>
      <c r="D3104" t="s">
        <v>599</v>
      </c>
      <c r="E3104" t="s">
        <v>600</v>
      </c>
      <c r="F3104" t="s">
        <v>31</v>
      </c>
      <c r="G3104" t="s">
        <v>51</v>
      </c>
      <c r="H3104" t="s">
        <v>32</v>
      </c>
      <c r="I3104" t="s">
        <v>70</v>
      </c>
      <c r="J3104" t="s">
        <v>82</v>
      </c>
      <c r="K3104">
        <v>1</v>
      </c>
      <c r="L3104" s="2">
        <v>508.8</v>
      </c>
      <c r="M3104" s="3">
        <v>0.15</v>
      </c>
      <c r="N3104" t="s">
        <v>34</v>
      </c>
      <c r="O3104" s="2">
        <v>432.48</v>
      </c>
      <c r="P3104" s="2">
        <v>410.82</v>
      </c>
      <c r="Q3104" s="2">
        <v>21.66</v>
      </c>
      <c r="R3104">
        <v>1</v>
      </c>
      <c r="S3104">
        <v>0</v>
      </c>
      <c r="T3104">
        <v>3</v>
      </c>
      <c r="U3104">
        <v>4</v>
      </c>
    </row>
    <row r="3105" spans="1:21" ht="16.5" x14ac:dyDescent="0.3">
      <c r="A3105" t="s">
        <v>3193</v>
      </c>
      <c r="B3105" s="1">
        <v>45754</v>
      </c>
      <c r="C3105">
        <v>2025</v>
      </c>
      <c r="D3105" t="s">
        <v>599</v>
      </c>
      <c r="E3105" t="s">
        <v>600</v>
      </c>
      <c r="F3105" t="s">
        <v>45</v>
      </c>
      <c r="G3105" t="s">
        <v>49</v>
      </c>
      <c r="H3105" t="s">
        <v>26</v>
      </c>
      <c r="I3105" t="s">
        <v>36</v>
      </c>
      <c r="J3105" t="s">
        <v>115</v>
      </c>
      <c r="K3105">
        <v>1</v>
      </c>
      <c r="L3105" s="2">
        <v>33.479999999999997</v>
      </c>
      <c r="M3105" s="3">
        <v>0.1</v>
      </c>
      <c r="N3105" t="s">
        <v>29</v>
      </c>
      <c r="O3105" s="2">
        <v>30.13</v>
      </c>
      <c r="P3105" s="2">
        <v>15.83</v>
      </c>
      <c r="Q3105" s="2">
        <v>14.3</v>
      </c>
      <c r="R3105">
        <v>1</v>
      </c>
      <c r="S3105">
        <v>0</v>
      </c>
      <c r="T3105">
        <v>3</v>
      </c>
      <c r="U3105">
        <v>5</v>
      </c>
    </row>
    <row r="3106" spans="1:21" ht="16.5" x14ac:dyDescent="0.3">
      <c r="A3106" t="s">
        <v>3194</v>
      </c>
      <c r="B3106" s="1">
        <v>45754</v>
      </c>
      <c r="C3106">
        <v>2025</v>
      </c>
      <c r="D3106" t="s">
        <v>599</v>
      </c>
      <c r="E3106" t="s">
        <v>600</v>
      </c>
      <c r="F3106" t="s">
        <v>24</v>
      </c>
      <c r="G3106" t="s">
        <v>25</v>
      </c>
      <c r="H3106" t="s">
        <v>32</v>
      </c>
      <c r="I3106" t="s">
        <v>27</v>
      </c>
      <c r="J3106" t="s">
        <v>28</v>
      </c>
      <c r="K3106">
        <v>1</v>
      </c>
      <c r="L3106" s="2">
        <v>138.5</v>
      </c>
      <c r="M3106" s="3">
        <v>0.1</v>
      </c>
      <c r="N3106" t="s">
        <v>29</v>
      </c>
      <c r="O3106" s="2">
        <v>124.65</v>
      </c>
      <c r="P3106" s="2">
        <v>75.94</v>
      </c>
      <c r="Q3106" s="2">
        <v>48.71</v>
      </c>
      <c r="R3106">
        <v>1</v>
      </c>
      <c r="S3106">
        <v>0</v>
      </c>
      <c r="T3106">
        <v>3</v>
      </c>
      <c r="U3106">
        <v>5</v>
      </c>
    </row>
    <row r="3107" spans="1:21" ht="16.5" x14ac:dyDescent="0.3">
      <c r="A3107" t="s">
        <v>3195</v>
      </c>
      <c r="B3107" s="1">
        <v>45754</v>
      </c>
      <c r="C3107">
        <v>2025</v>
      </c>
      <c r="D3107" t="s">
        <v>599</v>
      </c>
      <c r="E3107" t="s">
        <v>600</v>
      </c>
      <c r="F3107" t="s">
        <v>31</v>
      </c>
      <c r="G3107" t="s">
        <v>65</v>
      </c>
      <c r="H3107" t="s">
        <v>26</v>
      </c>
      <c r="I3107" t="s">
        <v>70</v>
      </c>
      <c r="J3107" t="s">
        <v>162</v>
      </c>
      <c r="K3107">
        <v>1</v>
      </c>
      <c r="L3107" s="2">
        <v>636.09</v>
      </c>
      <c r="M3107" s="3">
        <v>0.05</v>
      </c>
      <c r="N3107" t="s">
        <v>29</v>
      </c>
      <c r="O3107" s="2">
        <v>604.29</v>
      </c>
      <c r="P3107" s="2">
        <v>522.66999999999996</v>
      </c>
      <c r="Q3107" s="2">
        <v>81.62</v>
      </c>
      <c r="R3107">
        <v>1</v>
      </c>
      <c r="S3107">
        <v>0</v>
      </c>
      <c r="T3107">
        <v>6</v>
      </c>
      <c r="U3107">
        <v>3</v>
      </c>
    </row>
    <row r="3108" spans="1:21" ht="16.5" x14ac:dyDescent="0.3">
      <c r="A3108" t="s">
        <v>3196</v>
      </c>
      <c r="B3108" s="1">
        <v>45754</v>
      </c>
      <c r="C3108">
        <v>2025</v>
      </c>
      <c r="D3108" t="s">
        <v>599</v>
      </c>
      <c r="E3108" t="s">
        <v>600</v>
      </c>
      <c r="F3108" t="s">
        <v>45</v>
      </c>
      <c r="G3108" t="s">
        <v>65</v>
      </c>
      <c r="H3108" t="s">
        <v>32</v>
      </c>
      <c r="I3108" t="s">
        <v>67</v>
      </c>
      <c r="J3108" t="s">
        <v>174</v>
      </c>
      <c r="K3108">
        <v>1</v>
      </c>
      <c r="L3108" s="2">
        <v>137.05000000000001</v>
      </c>
      <c r="M3108" s="3">
        <v>0.1</v>
      </c>
      <c r="N3108" t="s">
        <v>29</v>
      </c>
      <c r="O3108" s="2">
        <v>123.35</v>
      </c>
      <c r="P3108" s="2">
        <v>92.68</v>
      </c>
      <c r="Q3108" s="2">
        <v>30.67</v>
      </c>
      <c r="R3108">
        <v>1</v>
      </c>
      <c r="S3108">
        <v>0</v>
      </c>
      <c r="T3108">
        <v>8</v>
      </c>
      <c r="U3108">
        <v>3</v>
      </c>
    </row>
    <row r="3109" spans="1:21" ht="16.5" x14ac:dyDescent="0.3">
      <c r="A3109" t="s">
        <v>3197</v>
      </c>
      <c r="B3109" s="1">
        <v>45754</v>
      </c>
      <c r="C3109">
        <v>2025</v>
      </c>
      <c r="D3109" t="s">
        <v>599</v>
      </c>
      <c r="E3109" t="s">
        <v>600</v>
      </c>
      <c r="F3109" t="s">
        <v>24</v>
      </c>
      <c r="G3109" t="s">
        <v>46</v>
      </c>
      <c r="H3109" t="s">
        <v>32</v>
      </c>
      <c r="I3109" t="s">
        <v>42</v>
      </c>
      <c r="J3109" t="s">
        <v>76</v>
      </c>
      <c r="K3109">
        <v>1</v>
      </c>
      <c r="L3109" s="2">
        <v>90.75</v>
      </c>
      <c r="M3109" s="3">
        <v>0</v>
      </c>
      <c r="N3109" t="s">
        <v>38</v>
      </c>
      <c r="O3109" s="2">
        <v>90.75</v>
      </c>
      <c r="P3109" s="2">
        <v>60.75</v>
      </c>
      <c r="Q3109" s="2">
        <v>30</v>
      </c>
      <c r="R3109">
        <v>1</v>
      </c>
      <c r="S3109">
        <v>0</v>
      </c>
      <c r="T3109">
        <v>7</v>
      </c>
      <c r="U3109">
        <v>3</v>
      </c>
    </row>
    <row r="3110" spans="1:21" ht="16.5" x14ac:dyDescent="0.3">
      <c r="A3110" t="s">
        <v>3198</v>
      </c>
      <c r="B3110" s="1">
        <v>45754</v>
      </c>
      <c r="C3110">
        <v>2025</v>
      </c>
      <c r="D3110" t="s">
        <v>599</v>
      </c>
      <c r="E3110" t="s">
        <v>600</v>
      </c>
      <c r="F3110" t="s">
        <v>45</v>
      </c>
      <c r="G3110" t="s">
        <v>51</v>
      </c>
      <c r="H3110" t="s">
        <v>26</v>
      </c>
      <c r="I3110" t="s">
        <v>70</v>
      </c>
      <c r="J3110" t="s">
        <v>87</v>
      </c>
      <c r="K3110">
        <v>1</v>
      </c>
      <c r="L3110" s="2">
        <v>490.3</v>
      </c>
      <c r="M3110" s="3">
        <v>0.2</v>
      </c>
      <c r="N3110" t="s">
        <v>34</v>
      </c>
      <c r="O3110" s="2">
        <v>392.24</v>
      </c>
      <c r="P3110" s="2">
        <v>398.7</v>
      </c>
      <c r="Q3110" s="2">
        <v>-6.46</v>
      </c>
      <c r="R3110">
        <v>1</v>
      </c>
      <c r="S3110">
        <v>0</v>
      </c>
      <c r="T3110">
        <v>4</v>
      </c>
      <c r="U3110">
        <v>4</v>
      </c>
    </row>
    <row r="3111" spans="1:21" ht="16.5" x14ac:dyDescent="0.3">
      <c r="A3111" t="s">
        <v>3199</v>
      </c>
      <c r="B3111" s="1">
        <v>45755</v>
      </c>
      <c r="C3111">
        <v>2025</v>
      </c>
      <c r="D3111" t="s">
        <v>599</v>
      </c>
      <c r="E3111" t="s">
        <v>600</v>
      </c>
      <c r="F3111" t="s">
        <v>24</v>
      </c>
      <c r="G3111" t="s">
        <v>25</v>
      </c>
      <c r="H3111" t="s">
        <v>32</v>
      </c>
      <c r="I3111" t="s">
        <v>36</v>
      </c>
      <c r="J3111" t="s">
        <v>126</v>
      </c>
      <c r="K3111">
        <v>2</v>
      </c>
      <c r="L3111" s="2">
        <v>54.56</v>
      </c>
      <c r="M3111" s="3">
        <v>0.3</v>
      </c>
      <c r="N3111" t="s">
        <v>62</v>
      </c>
      <c r="O3111" s="2">
        <v>76.38</v>
      </c>
      <c r="P3111" s="2">
        <v>53.39</v>
      </c>
      <c r="Q3111" s="2">
        <v>22.99</v>
      </c>
      <c r="R3111">
        <v>1</v>
      </c>
      <c r="S3111">
        <v>0</v>
      </c>
      <c r="T3111">
        <v>3</v>
      </c>
      <c r="U3111">
        <v>4</v>
      </c>
    </row>
    <row r="3112" spans="1:21" ht="16.5" x14ac:dyDescent="0.3">
      <c r="A3112" t="s">
        <v>3200</v>
      </c>
      <c r="B3112" s="1">
        <v>45755</v>
      </c>
      <c r="C3112">
        <v>2025</v>
      </c>
      <c r="D3112" t="s">
        <v>599</v>
      </c>
      <c r="E3112" t="s">
        <v>600</v>
      </c>
      <c r="F3112" t="s">
        <v>31</v>
      </c>
      <c r="G3112" t="s">
        <v>25</v>
      </c>
      <c r="H3112" t="s">
        <v>26</v>
      </c>
      <c r="I3112" t="s">
        <v>70</v>
      </c>
      <c r="J3112" t="s">
        <v>71</v>
      </c>
      <c r="K3112">
        <v>2</v>
      </c>
      <c r="L3112" s="2">
        <v>588.41</v>
      </c>
      <c r="M3112" s="3">
        <v>0.15</v>
      </c>
      <c r="N3112" t="s">
        <v>34</v>
      </c>
      <c r="O3112" s="2">
        <v>1000.3</v>
      </c>
      <c r="P3112" s="2">
        <v>960.21</v>
      </c>
      <c r="Q3112" s="2">
        <v>40.090000000000003</v>
      </c>
      <c r="R3112">
        <v>1</v>
      </c>
      <c r="S3112">
        <v>0</v>
      </c>
      <c r="T3112">
        <v>5</v>
      </c>
      <c r="U3112">
        <v>5</v>
      </c>
    </row>
    <row r="3113" spans="1:21" ht="16.5" x14ac:dyDescent="0.3">
      <c r="A3113" t="s">
        <v>3201</v>
      </c>
      <c r="B3113" s="1">
        <v>45755</v>
      </c>
      <c r="C3113">
        <v>2025</v>
      </c>
      <c r="D3113" t="s">
        <v>599</v>
      </c>
      <c r="E3113" t="s">
        <v>600</v>
      </c>
      <c r="F3113" t="s">
        <v>31</v>
      </c>
      <c r="G3113" t="s">
        <v>51</v>
      </c>
      <c r="H3113" t="s">
        <v>32</v>
      </c>
      <c r="I3113" t="s">
        <v>36</v>
      </c>
      <c r="J3113" t="s">
        <v>115</v>
      </c>
      <c r="K3113">
        <v>3</v>
      </c>
      <c r="L3113" s="2">
        <v>33.479999999999997</v>
      </c>
      <c r="M3113" s="3">
        <v>0</v>
      </c>
      <c r="N3113" t="s">
        <v>38</v>
      </c>
      <c r="O3113" s="2">
        <v>100.44</v>
      </c>
      <c r="P3113" s="2">
        <v>48.95</v>
      </c>
      <c r="Q3113" s="2">
        <v>51.49</v>
      </c>
      <c r="R3113">
        <v>1</v>
      </c>
      <c r="S3113">
        <v>0</v>
      </c>
      <c r="T3113">
        <v>3</v>
      </c>
      <c r="U3113">
        <v>5</v>
      </c>
    </row>
    <row r="3114" spans="1:21" ht="16.5" x14ac:dyDescent="0.3">
      <c r="A3114" t="s">
        <v>3202</v>
      </c>
      <c r="B3114" s="1">
        <v>45755</v>
      </c>
      <c r="C3114">
        <v>2025</v>
      </c>
      <c r="D3114" t="s">
        <v>599</v>
      </c>
      <c r="E3114" t="s">
        <v>600</v>
      </c>
      <c r="F3114" t="s">
        <v>45</v>
      </c>
      <c r="G3114" t="s">
        <v>49</v>
      </c>
      <c r="H3114" t="s">
        <v>32</v>
      </c>
      <c r="I3114" t="s">
        <v>36</v>
      </c>
      <c r="J3114" t="s">
        <v>52</v>
      </c>
      <c r="K3114">
        <v>1</v>
      </c>
      <c r="L3114" s="2">
        <v>92.54</v>
      </c>
      <c r="M3114" s="3">
        <v>0.05</v>
      </c>
      <c r="N3114" t="s">
        <v>29</v>
      </c>
      <c r="O3114" s="2">
        <v>87.91</v>
      </c>
      <c r="P3114" s="2">
        <v>45.33</v>
      </c>
      <c r="Q3114" s="2">
        <v>42.58</v>
      </c>
      <c r="R3114">
        <v>1</v>
      </c>
      <c r="S3114">
        <v>0</v>
      </c>
      <c r="T3114">
        <v>5</v>
      </c>
      <c r="U3114">
        <v>4</v>
      </c>
    </row>
    <row r="3115" spans="1:21" ht="16.5" x14ac:dyDescent="0.3">
      <c r="A3115" t="s">
        <v>3203</v>
      </c>
      <c r="B3115" s="1">
        <v>45755</v>
      </c>
      <c r="C3115">
        <v>2025</v>
      </c>
      <c r="D3115" t="s">
        <v>599</v>
      </c>
      <c r="E3115" t="s">
        <v>600</v>
      </c>
      <c r="F3115" t="s">
        <v>31</v>
      </c>
      <c r="G3115" t="s">
        <v>65</v>
      </c>
      <c r="H3115" t="s">
        <v>32</v>
      </c>
      <c r="I3115" t="s">
        <v>27</v>
      </c>
      <c r="J3115" t="s">
        <v>40</v>
      </c>
      <c r="K3115">
        <v>1</v>
      </c>
      <c r="L3115" s="2">
        <v>104.94</v>
      </c>
      <c r="M3115" s="3">
        <v>0.05</v>
      </c>
      <c r="N3115" t="s">
        <v>29</v>
      </c>
      <c r="O3115" s="2">
        <v>99.69</v>
      </c>
      <c r="P3115" s="2">
        <v>57.33</v>
      </c>
      <c r="Q3115" s="2">
        <v>42.36</v>
      </c>
      <c r="R3115">
        <v>1</v>
      </c>
      <c r="S3115">
        <v>0</v>
      </c>
      <c r="T3115">
        <v>5</v>
      </c>
      <c r="U3115">
        <v>4</v>
      </c>
    </row>
    <row r="3116" spans="1:21" ht="16.5" x14ac:dyDescent="0.3">
      <c r="A3116" t="s">
        <v>3204</v>
      </c>
      <c r="B3116" s="1">
        <v>45756</v>
      </c>
      <c r="C3116">
        <v>2025</v>
      </c>
      <c r="D3116" t="s">
        <v>599</v>
      </c>
      <c r="E3116" t="s">
        <v>600</v>
      </c>
      <c r="F3116" t="s">
        <v>45</v>
      </c>
      <c r="G3116" t="s">
        <v>25</v>
      </c>
      <c r="H3116" t="s">
        <v>32</v>
      </c>
      <c r="I3116" t="s">
        <v>36</v>
      </c>
      <c r="J3116" t="s">
        <v>56</v>
      </c>
      <c r="K3116">
        <v>1</v>
      </c>
      <c r="L3116" s="2">
        <v>74.3</v>
      </c>
      <c r="M3116" s="3">
        <v>0</v>
      </c>
      <c r="N3116" t="s">
        <v>38</v>
      </c>
      <c r="O3116" s="2">
        <v>74.3</v>
      </c>
      <c r="P3116" s="2">
        <v>34.82</v>
      </c>
      <c r="Q3116" s="2">
        <v>39.479999999999997</v>
      </c>
      <c r="R3116">
        <v>1</v>
      </c>
      <c r="S3116">
        <v>0</v>
      </c>
      <c r="T3116">
        <v>5</v>
      </c>
      <c r="U3116">
        <v>4</v>
      </c>
    </row>
    <row r="3117" spans="1:21" ht="16.5" x14ac:dyDescent="0.3">
      <c r="A3117" t="s">
        <v>3205</v>
      </c>
      <c r="B3117" s="1">
        <v>45756</v>
      </c>
      <c r="C3117">
        <v>2025</v>
      </c>
      <c r="D3117" t="s">
        <v>599</v>
      </c>
      <c r="E3117" t="s">
        <v>600</v>
      </c>
      <c r="F3117" t="s">
        <v>45</v>
      </c>
      <c r="G3117" t="s">
        <v>25</v>
      </c>
      <c r="H3117" t="s">
        <v>32</v>
      </c>
      <c r="I3117" t="s">
        <v>67</v>
      </c>
      <c r="J3117" t="s">
        <v>103</v>
      </c>
      <c r="K3117">
        <v>1</v>
      </c>
      <c r="L3117" s="2">
        <v>83.06</v>
      </c>
      <c r="M3117" s="3">
        <v>0</v>
      </c>
      <c r="N3117" t="s">
        <v>38</v>
      </c>
      <c r="O3117" s="2">
        <v>83.06</v>
      </c>
      <c r="P3117" s="2">
        <v>57.66</v>
      </c>
      <c r="Q3117" s="2">
        <v>25.4</v>
      </c>
      <c r="R3117">
        <v>1</v>
      </c>
      <c r="S3117">
        <v>0</v>
      </c>
      <c r="T3117">
        <v>4</v>
      </c>
      <c r="U3117">
        <v>5</v>
      </c>
    </row>
    <row r="3118" spans="1:21" ht="16.5" x14ac:dyDescent="0.3">
      <c r="A3118" t="s">
        <v>3206</v>
      </c>
      <c r="B3118" s="1">
        <v>45756</v>
      </c>
      <c r="C3118">
        <v>2025</v>
      </c>
      <c r="D3118" t="s">
        <v>599</v>
      </c>
      <c r="E3118" t="s">
        <v>600</v>
      </c>
      <c r="F3118" t="s">
        <v>24</v>
      </c>
      <c r="G3118" t="s">
        <v>51</v>
      </c>
      <c r="H3118" t="s">
        <v>32</v>
      </c>
      <c r="I3118" t="s">
        <v>67</v>
      </c>
      <c r="J3118" t="s">
        <v>103</v>
      </c>
      <c r="K3118">
        <v>2</v>
      </c>
      <c r="L3118" s="2">
        <v>83.06</v>
      </c>
      <c r="M3118" s="3">
        <v>0.3</v>
      </c>
      <c r="N3118" t="s">
        <v>62</v>
      </c>
      <c r="O3118" s="2">
        <v>116.28</v>
      </c>
      <c r="P3118" s="2">
        <v>111.45</v>
      </c>
      <c r="Q3118" s="2">
        <v>4.83</v>
      </c>
      <c r="R3118">
        <v>1</v>
      </c>
      <c r="S3118">
        <v>0</v>
      </c>
      <c r="T3118">
        <v>5</v>
      </c>
      <c r="U3118">
        <v>5</v>
      </c>
    </row>
    <row r="3119" spans="1:21" ht="16.5" x14ac:dyDescent="0.3">
      <c r="A3119" t="s">
        <v>3207</v>
      </c>
      <c r="B3119" s="1">
        <v>45756</v>
      </c>
      <c r="C3119">
        <v>2025</v>
      </c>
      <c r="D3119" t="s">
        <v>599</v>
      </c>
      <c r="E3119" t="s">
        <v>600</v>
      </c>
      <c r="F3119" t="s">
        <v>31</v>
      </c>
      <c r="G3119" t="s">
        <v>49</v>
      </c>
      <c r="H3119" t="s">
        <v>32</v>
      </c>
      <c r="I3119" t="s">
        <v>36</v>
      </c>
      <c r="J3119" t="s">
        <v>37</v>
      </c>
      <c r="K3119">
        <v>1</v>
      </c>
      <c r="L3119" s="2">
        <v>33.18</v>
      </c>
      <c r="M3119" s="3">
        <v>0</v>
      </c>
      <c r="N3119" t="s">
        <v>38</v>
      </c>
      <c r="O3119" s="2">
        <v>33.18</v>
      </c>
      <c r="P3119" s="2">
        <v>15.94</v>
      </c>
      <c r="Q3119" s="2">
        <v>17.239999999999998</v>
      </c>
      <c r="R3119">
        <v>1</v>
      </c>
      <c r="S3119">
        <v>0</v>
      </c>
      <c r="T3119">
        <v>3</v>
      </c>
      <c r="U3119">
        <v>4</v>
      </c>
    </row>
    <row r="3120" spans="1:21" ht="16.5" x14ac:dyDescent="0.3">
      <c r="A3120" t="s">
        <v>3208</v>
      </c>
      <c r="B3120" s="1">
        <v>45756</v>
      </c>
      <c r="C3120">
        <v>2025</v>
      </c>
      <c r="D3120" t="s">
        <v>599</v>
      </c>
      <c r="E3120" t="s">
        <v>600</v>
      </c>
      <c r="F3120" t="s">
        <v>24</v>
      </c>
      <c r="G3120" t="s">
        <v>51</v>
      </c>
      <c r="H3120" t="s">
        <v>32</v>
      </c>
      <c r="I3120" t="s">
        <v>67</v>
      </c>
      <c r="J3120" t="s">
        <v>174</v>
      </c>
      <c r="K3120">
        <v>2</v>
      </c>
      <c r="L3120" s="2">
        <v>137.05000000000001</v>
      </c>
      <c r="M3120" s="3">
        <v>0</v>
      </c>
      <c r="N3120" t="s">
        <v>38</v>
      </c>
      <c r="O3120" s="2">
        <v>274.10000000000002</v>
      </c>
      <c r="P3120" s="2">
        <v>184.38</v>
      </c>
      <c r="Q3120" s="2">
        <v>89.72</v>
      </c>
      <c r="R3120">
        <v>1</v>
      </c>
      <c r="S3120">
        <v>0</v>
      </c>
      <c r="T3120">
        <v>2</v>
      </c>
      <c r="U3120">
        <v>5</v>
      </c>
    </row>
    <row r="3121" spans="1:21" ht="16.5" x14ac:dyDescent="0.3">
      <c r="A3121" t="s">
        <v>3209</v>
      </c>
      <c r="B3121" s="1">
        <v>45756</v>
      </c>
      <c r="C3121">
        <v>2025</v>
      </c>
      <c r="D3121" t="s">
        <v>599</v>
      </c>
      <c r="E3121" t="s">
        <v>600</v>
      </c>
      <c r="F3121" t="s">
        <v>24</v>
      </c>
      <c r="G3121" t="s">
        <v>25</v>
      </c>
      <c r="H3121" t="s">
        <v>32</v>
      </c>
      <c r="I3121" t="s">
        <v>36</v>
      </c>
      <c r="J3121" t="s">
        <v>37</v>
      </c>
      <c r="K3121">
        <v>2</v>
      </c>
      <c r="L3121" s="2">
        <v>33.18</v>
      </c>
      <c r="M3121" s="3">
        <v>0.25</v>
      </c>
      <c r="N3121" t="s">
        <v>62</v>
      </c>
      <c r="O3121" s="2">
        <v>49.77</v>
      </c>
      <c r="P3121" s="2">
        <v>32.67</v>
      </c>
      <c r="Q3121" s="2">
        <v>17.100000000000001</v>
      </c>
      <c r="R3121">
        <v>1</v>
      </c>
      <c r="S3121">
        <v>0</v>
      </c>
      <c r="T3121">
        <v>3</v>
      </c>
      <c r="U3121">
        <v>5</v>
      </c>
    </row>
    <row r="3122" spans="1:21" ht="16.5" x14ac:dyDescent="0.3">
      <c r="A3122" t="s">
        <v>3210</v>
      </c>
      <c r="B3122" s="1">
        <v>45756</v>
      </c>
      <c r="C3122">
        <v>2025</v>
      </c>
      <c r="D3122" t="s">
        <v>599</v>
      </c>
      <c r="E3122" t="s">
        <v>600</v>
      </c>
      <c r="F3122" t="s">
        <v>45</v>
      </c>
      <c r="G3122" t="s">
        <v>49</v>
      </c>
      <c r="H3122" t="s">
        <v>32</v>
      </c>
      <c r="I3122" t="s">
        <v>67</v>
      </c>
      <c r="J3122" t="s">
        <v>68</v>
      </c>
      <c r="K3122">
        <v>1</v>
      </c>
      <c r="L3122" s="2">
        <v>74.459999999999994</v>
      </c>
      <c r="M3122" s="3">
        <v>0</v>
      </c>
      <c r="N3122" t="s">
        <v>38</v>
      </c>
      <c r="O3122" s="2">
        <v>74.459999999999994</v>
      </c>
      <c r="P3122" s="2">
        <v>48.5</v>
      </c>
      <c r="Q3122" s="2">
        <v>25.96</v>
      </c>
      <c r="R3122">
        <v>1</v>
      </c>
      <c r="S3122">
        <v>0</v>
      </c>
      <c r="T3122">
        <v>5</v>
      </c>
      <c r="U3122">
        <v>4</v>
      </c>
    </row>
    <row r="3123" spans="1:21" ht="16.5" x14ac:dyDescent="0.3">
      <c r="A3123" t="s">
        <v>3211</v>
      </c>
      <c r="B3123" s="1">
        <v>45756</v>
      </c>
      <c r="C3123">
        <v>2025</v>
      </c>
      <c r="D3123" t="s">
        <v>599</v>
      </c>
      <c r="E3123" t="s">
        <v>600</v>
      </c>
      <c r="F3123" t="s">
        <v>24</v>
      </c>
      <c r="G3123" t="s">
        <v>51</v>
      </c>
      <c r="H3123" t="s">
        <v>32</v>
      </c>
      <c r="I3123" t="s">
        <v>70</v>
      </c>
      <c r="J3123" t="s">
        <v>82</v>
      </c>
      <c r="K3123">
        <v>2</v>
      </c>
      <c r="L3123" s="2">
        <v>508.8</v>
      </c>
      <c r="M3123" s="3">
        <v>0.1</v>
      </c>
      <c r="N3123" t="s">
        <v>29</v>
      </c>
      <c r="O3123" s="2">
        <v>915.84</v>
      </c>
      <c r="P3123" s="2">
        <v>851.89</v>
      </c>
      <c r="Q3123" s="2">
        <v>63.95</v>
      </c>
      <c r="R3123">
        <v>1</v>
      </c>
      <c r="S3123">
        <v>0</v>
      </c>
      <c r="T3123">
        <v>3</v>
      </c>
      <c r="U3123">
        <v>5</v>
      </c>
    </row>
    <row r="3124" spans="1:21" ht="16.5" x14ac:dyDescent="0.3">
      <c r="A3124" t="s">
        <v>3212</v>
      </c>
      <c r="B3124" s="1">
        <v>45757</v>
      </c>
      <c r="C3124">
        <v>2025</v>
      </c>
      <c r="D3124" t="s">
        <v>599</v>
      </c>
      <c r="E3124" t="s">
        <v>600</v>
      </c>
      <c r="F3124" t="s">
        <v>24</v>
      </c>
      <c r="G3124" t="s">
        <v>46</v>
      </c>
      <c r="H3124" t="s">
        <v>32</v>
      </c>
      <c r="I3124" t="s">
        <v>36</v>
      </c>
      <c r="J3124" t="s">
        <v>52</v>
      </c>
      <c r="K3124">
        <v>1</v>
      </c>
      <c r="L3124" s="2">
        <v>92.54</v>
      </c>
      <c r="M3124" s="3">
        <v>0.2</v>
      </c>
      <c r="N3124" t="s">
        <v>34</v>
      </c>
      <c r="O3124" s="2">
        <v>74.03</v>
      </c>
      <c r="P3124" s="2">
        <v>45.68</v>
      </c>
      <c r="Q3124" s="2">
        <v>28.35</v>
      </c>
      <c r="R3124">
        <v>1</v>
      </c>
      <c r="S3124">
        <v>0</v>
      </c>
      <c r="T3124">
        <v>6</v>
      </c>
      <c r="U3124">
        <v>3</v>
      </c>
    </row>
    <row r="3125" spans="1:21" ht="16.5" x14ac:dyDescent="0.3">
      <c r="A3125" t="s">
        <v>3213</v>
      </c>
      <c r="B3125" s="1">
        <v>45757</v>
      </c>
      <c r="C3125">
        <v>2025</v>
      </c>
      <c r="D3125" t="s">
        <v>599</v>
      </c>
      <c r="E3125" t="s">
        <v>600</v>
      </c>
      <c r="F3125" t="s">
        <v>31</v>
      </c>
      <c r="G3125" t="s">
        <v>25</v>
      </c>
      <c r="H3125" t="s">
        <v>32</v>
      </c>
      <c r="I3125" t="s">
        <v>42</v>
      </c>
      <c r="J3125" t="s">
        <v>89</v>
      </c>
      <c r="K3125">
        <v>2</v>
      </c>
      <c r="L3125" s="2">
        <v>68.349999999999994</v>
      </c>
      <c r="M3125" s="3">
        <v>0.05</v>
      </c>
      <c r="N3125" t="s">
        <v>29</v>
      </c>
      <c r="O3125" s="2">
        <v>129.86000000000001</v>
      </c>
      <c r="P3125" s="2">
        <v>88.65</v>
      </c>
      <c r="Q3125" s="2">
        <v>41.21</v>
      </c>
      <c r="R3125">
        <v>1</v>
      </c>
      <c r="S3125">
        <v>0</v>
      </c>
      <c r="T3125">
        <v>3</v>
      </c>
      <c r="U3125">
        <v>5</v>
      </c>
    </row>
    <row r="3126" spans="1:21" ht="16.5" x14ac:dyDescent="0.3">
      <c r="A3126" t="s">
        <v>3214</v>
      </c>
      <c r="B3126" s="1">
        <v>45757</v>
      </c>
      <c r="C3126">
        <v>2025</v>
      </c>
      <c r="D3126" t="s">
        <v>599</v>
      </c>
      <c r="E3126" t="s">
        <v>600</v>
      </c>
      <c r="F3126" t="s">
        <v>31</v>
      </c>
      <c r="G3126" t="s">
        <v>51</v>
      </c>
      <c r="H3126" t="s">
        <v>26</v>
      </c>
      <c r="I3126" t="s">
        <v>70</v>
      </c>
      <c r="J3126" t="s">
        <v>162</v>
      </c>
      <c r="K3126">
        <v>1</v>
      </c>
      <c r="L3126" s="2">
        <v>636.09</v>
      </c>
      <c r="M3126" s="3">
        <v>0</v>
      </c>
      <c r="N3126" t="s">
        <v>38</v>
      </c>
      <c r="O3126" s="2">
        <v>636.09</v>
      </c>
      <c r="P3126" s="2">
        <v>521.91</v>
      </c>
      <c r="Q3126" s="2">
        <v>114.18</v>
      </c>
      <c r="R3126">
        <v>1</v>
      </c>
      <c r="S3126">
        <v>0</v>
      </c>
      <c r="T3126">
        <v>2</v>
      </c>
      <c r="U3126">
        <v>4</v>
      </c>
    </row>
    <row r="3127" spans="1:21" ht="16.5" x14ac:dyDescent="0.3">
      <c r="A3127" t="s">
        <v>3215</v>
      </c>
      <c r="B3127" s="1">
        <v>45757</v>
      </c>
      <c r="C3127">
        <v>2025</v>
      </c>
      <c r="D3127" t="s">
        <v>599</v>
      </c>
      <c r="E3127" t="s">
        <v>600</v>
      </c>
      <c r="F3127" t="s">
        <v>31</v>
      </c>
      <c r="G3127" t="s">
        <v>51</v>
      </c>
      <c r="H3127" t="s">
        <v>26</v>
      </c>
      <c r="I3127" t="s">
        <v>27</v>
      </c>
      <c r="J3127" t="s">
        <v>60</v>
      </c>
      <c r="K3127">
        <v>1</v>
      </c>
      <c r="L3127" s="2">
        <v>94.85</v>
      </c>
      <c r="M3127" s="3">
        <v>0.05</v>
      </c>
      <c r="N3127" t="s">
        <v>29</v>
      </c>
      <c r="O3127" s="2">
        <v>90.11</v>
      </c>
      <c r="P3127" s="2">
        <v>49</v>
      </c>
      <c r="Q3127" s="2">
        <v>41.11</v>
      </c>
      <c r="R3127">
        <v>1</v>
      </c>
      <c r="S3127">
        <v>1</v>
      </c>
      <c r="T3127">
        <v>3</v>
      </c>
      <c r="U3127">
        <v>4</v>
      </c>
    </row>
    <row r="3128" spans="1:21" ht="16.5" x14ac:dyDescent="0.3">
      <c r="A3128" t="s">
        <v>3216</v>
      </c>
      <c r="B3128" s="1">
        <v>45757</v>
      </c>
      <c r="C3128">
        <v>2025</v>
      </c>
      <c r="D3128" t="s">
        <v>599</v>
      </c>
      <c r="E3128" t="s">
        <v>600</v>
      </c>
      <c r="F3128" t="s">
        <v>45</v>
      </c>
      <c r="G3128" t="s">
        <v>51</v>
      </c>
      <c r="H3128" t="s">
        <v>32</v>
      </c>
      <c r="I3128" t="s">
        <v>67</v>
      </c>
      <c r="J3128" t="s">
        <v>174</v>
      </c>
      <c r="K3128">
        <v>1</v>
      </c>
      <c r="L3128" s="2">
        <v>137.05000000000001</v>
      </c>
      <c r="M3128" s="3">
        <v>0.15</v>
      </c>
      <c r="N3128" t="s">
        <v>34</v>
      </c>
      <c r="O3128" s="2">
        <v>116.49</v>
      </c>
      <c r="P3128" s="2">
        <v>92.12</v>
      </c>
      <c r="Q3128" s="2">
        <v>24.37</v>
      </c>
      <c r="R3128">
        <v>1</v>
      </c>
      <c r="S3128">
        <v>0</v>
      </c>
      <c r="T3128">
        <v>2</v>
      </c>
      <c r="U3128">
        <v>4</v>
      </c>
    </row>
    <row r="3129" spans="1:21" ht="16.5" x14ac:dyDescent="0.3">
      <c r="A3129" t="s">
        <v>3217</v>
      </c>
      <c r="B3129" s="1">
        <v>45757</v>
      </c>
      <c r="C3129">
        <v>2025</v>
      </c>
      <c r="D3129" t="s">
        <v>599</v>
      </c>
      <c r="E3129" t="s">
        <v>600</v>
      </c>
      <c r="F3129" t="s">
        <v>24</v>
      </c>
      <c r="G3129" t="s">
        <v>25</v>
      </c>
      <c r="H3129" t="s">
        <v>32</v>
      </c>
      <c r="I3129" t="s">
        <v>84</v>
      </c>
      <c r="J3129" t="s">
        <v>106</v>
      </c>
      <c r="K3129">
        <v>2</v>
      </c>
      <c r="L3129" s="2">
        <v>45.28</v>
      </c>
      <c r="M3129" s="3">
        <v>0</v>
      </c>
      <c r="N3129" t="s">
        <v>38</v>
      </c>
      <c r="O3129" s="2">
        <v>90.56</v>
      </c>
      <c r="P3129" s="2">
        <v>65.44</v>
      </c>
      <c r="Q3129" s="2">
        <v>25.12</v>
      </c>
      <c r="R3129">
        <v>1</v>
      </c>
      <c r="S3129">
        <v>0</v>
      </c>
      <c r="T3129">
        <v>3</v>
      </c>
      <c r="U3129">
        <v>5</v>
      </c>
    </row>
    <row r="3130" spans="1:21" ht="16.5" x14ac:dyDescent="0.3">
      <c r="A3130" t="s">
        <v>3218</v>
      </c>
      <c r="B3130" s="1">
        <v>45757</v>
      </c>
      <c r="C3130">
        <v>2025</v>
      </c>
      <c r="D3130" t="s">
        <v>599</v>
      </c>
      <c r="E3130" t="s">
        <v>600</v>
      </c>
      <c r="F3130" t="s">
        <v>31</v>
      </c>
      <c r="G3130" t="s">
        <v>25</v>
      </c>
      <c r="H3130" t="s">
        <v>32</v>
      </c>
      <c r="I3130" t="s">
        <v>70</v>
      </c>
      <c r="J3130" t="s">
        <v>82</v>
      </c>
      <c r="K3130">
        <v>3</v>
      </c>
      <c r="L3130" s="2">
        <v>508.8</v>
      </c>
      <c r="M3130" s="3">
        <v>0.15</v>
      </c>
      <c r="N3130" t="s">
        <v>34</v>
      </c>
      <c r="O3130" s="2">
        <v>1297.44</v>
      </c>
      <c r="P3130" s="2">
        <v>1240.52</v>
      </c>
      <c r="Q3130" s="2">
        <v>56.92</v>
      </c>
      <c r="R3130">
        <v>1</v>
      </c>
      <c r="S3130">
        <v>0</v>
      </c>
      <c r="T3130">
        <v>4</v>
      </c>
      <c r="U3130">
        <v>4</v>
      </c>
    </row>
    <row r="3131" spans="1:21" ht="16.5" x14ac:dyDescent="0.3">
      <c r="A3131" t="s">
        <v>3219</v>
      </c>
      <c r="B3131" s="1">
        <v>45757</v>
      </c>
      <c r="C3131">
        <v>2025</v>
      </c>
      <c r="D3131" t="s">
        <v>599</v>
      </c>
      <c r="E3131" t="s">
        <v>600</v>
      </c>
      <c r="F3131" t="s">
        <v>24</v>
      </c>
      <c r="G3131" t="s">
        <v>25</v>
      </c>
      <c r="H3131" t="s">
        <v>26</v>
      </c>
      <c r="I3131" t="s">
        <v>36</v>
      </c>
      <c r="J3131" t="s">
        <v>126</v>
      </c>
      <c r="K3131">
        <v>1</v>
      </c>
      <c r="L3131" s="2">
        <v>54.56</v>
      </c>
      <c r="M3131" s="3">
        <v>0</v>
      </c>
      <c r="N3131" t="s">
        <v>38</v>
      </c>
      <c r="O3131" s="2">
        <v>54.56</v>
      </c>
      <c r="P3131" s="2">
        <v>24.61</v>
      </c>
      <c r="Q3131" s="2">
        <v>29.95</v>
      </c>
      <c r="R3131">
        <v>1</v>
      </c>
      <c r="S3131">
        <v>0</v>
      </c>
      <c r="T3131">
        <v>3</v>
      </c>
      <c r="U3131">
        <v>5</v>
      </c>
    </row>
    <row r="3132" spans="1:21" ht="16.5" x14ac:dyDescent="0.3">
      <c r="A3132" t="s">
        <v>3220</v>
      </c>
      <c r="B3132" s="1">
        <v>45758</v>
      </c>
      <c r="C3132">
        <v>2025</v>
      </c>
      <c r="D3132" t="s">
        <v>599</v>
      </c>
      <c r="E3132" t="s">
        <v>600</v>
      </c>
      <c r="F3132" t="s">
        <v>45</v>
      </c>
      <c r="G3132" t="s">
        <v>25</v>
      </c>
      <c r="H3132" t="s">
        <v>32</v>
      </c>
      <c r="I3132" t="s">
        <v>70</v>
      </c>
      <c r="J3132" t="s">
        <v>71</v>
      </c>
      <c r="K3132">
        <v>1</v>
      </c>
      <c r="L3132" s="2">
        <v>588.41</v>
      </c>
      <c r="M3132" s="3">
        <v>0.05</v>
      </c>
      <c r="N3132" t="s">
        <v>29</v>
      </c>
      <c r="O3132" s="2">
        <v>558.99</v>
      </c>
      <c r="P3132" s="2">
        <v>494.05</v>
      </c>
      <c r="Q3132" s="2">
        <v>64.94</v>
      </c>
      <c r="R3132">
        <v>1</v>
      </c>
      <c r="S3132">
        <v>0</v>
      </c>
      <c r="T3132">
        <v>5</v>
      </c>
      <c r="U3132">
        <v>5</v>
      </c>
    </row>
    <row r="3133" spans="1:21" ht="16.5" x14ac:dyDescent="0.3">
      <c r="A3133" t="s">
        <v>3221</v>
      </c>
      <c r="B3133" s="1">
        <v>45758</v>
      </c>
      <c r="C3133">
        <v>2025</v>
      </c>
      <c r="D3133" t="s">
        <v>599</v>
      </c>
      <c r="E3133" t="s">
        <v>600</v>
      </c>
      <c r="F3133" t="s">
        <v>31</v>
      </c>
      <c r="G3133" t="s">
        <v>49</v>
      </c>
      <c r="H3133" t="s">
        <v>32</v>
      </c>
      <c r="I3133" t="s">
        <v>70</v>
      </c>
      <c r="J3133" t="s">
        <v>82</v>
      </c>
      <c r="K3133">
        <v>3</v>
      </c>
      <c r="L3133" s="2">
        <v>508.8</v>
      </c>
      <c r="M3133" s="3">
        <v>0</v>
      </c>
      <c r="N3133" t="s">
        <v>38</v>
      </c>
      <c r="O3133" s="2">
        <v>1526.4</v>
      </c>
      <c r="P3133" s="2">
        <v>1159.81</v>
      </c>
      <c r="Q3133" s="2">
        <v>366.59</v>
      </c>
      <c r="R3133">
        <v>1</v>
      </c>
      <c r="S3133">
        <v>0</v>
      </c>
      <c r="T3133">
        <v>3</v>
      </c>
      <c r="U3133">
        <v>4</v>
      </c>
    </row>
    <row r="3134" spans="1:21" ht="16.5" x14ac:dyDescent="0.3">
      <c r="A3134" t="s">
        <v>3222</v>
      </c>
      <c r="B3134" s="1">
        <v>45758</v>
      </c>
      <c r="C3134">
        <v>2025</v>
      </c>
      <c r="D3134" t="s">
        <v>599</v>
      </c>
      <c r="E3134" t="s">
        <v>600</v>
      </c>
      <c r="F3134" t="s">
        <v>24</v>
      </c>
      <c r="G3134" t="s">
        <v>25</v>
      </c>
      <c r="H3134" t="s">
        <v>32</v>
      </c>
      <c r="I3134" t="s">
        <v>27</v>
      </c>
      <c r="J3134" t="s">
        <v>47</v>
      </c>
      <c r="K3134">
        <v>3</v>
      </c>
      <c r="L3134" s="2">
        <v>33.99</v>
      </c>
      <c r="M3134" s="3">
        <v>0.1</v>
      </c>
      <c r="N3134" t="s">
        <v>29</v>
      </c>
      <c r="O3134" s="2">
        <v>91.77</v>
      </c>
      <c r="P3134" s="2">
        <v>54.04</v>
      </c>
      <c r="Q3134" s="2">
        <v>37.729999999999997</v>
      </c>
      <c r="R3134">
        <v>1</v>
      </c>
      <c r="S3134">
        <v>1</v>
      </c>
      <c r="T3134">
        <v>4</v>
      </c>
      <c r="U3134">
        <v>4</v>
      </c>
    </row>
    <row r="3135" spans="1:21" ht="16.5" x14ac:dyDescent="0.3">
      <c r="A3135" t="s">
        <v>3223</v>
      </c>
      <c r="B3135" s="1">
        <v>45758</v>
      </c>
      <c r="C3135">
        <v>2025</v>
      </c>
      <c r="D3135" t="s">
        <v>599</v>
      </c>
      <c r="E3135" t="s">
        <v>600</v>
      </c>
      <c r="F3135" t="s">
        <v>31</v>
      </c>
      <c r="G3135" t="s">
        <v>51</v>
      </c>
      <c r="H3135" t="s">
        <v>26</v>
      </c>
      <c r="I3135" t="s">
        <v>84</v>
      </c>
      <c r="J3135" t="s">
        <v>132</v>
      </c>
      <c r="K3135">
        <v>3</v>
      </c>
      <c r="L3135" s="2">
        <v>48.86</v>
      </c>
      <c r="M3135" s="3">
        <v>0.05</v>
      </c>
      <c r="N3135" t="s">
        <v>29</v>
      </c>
      <c r="O3135" s="2">
        <v>139.25</v>
      </c>
      <c r="P3135" s="2">
        <v>109.45</v>
      </c>
      <c r="Q3135" s="2">
        <v>29.8</v>
      </c>
      <c r="R3135">
        <v>1</v>
      </c>
      <c r="S3135">
        <v>0</v>
      </c>
      <c r="T3135">
        <v>3</v>
      </c>
      <c r="U3135">
        <v>4</v>
      </c>
    </row>
    <row r="3136" spans="1:21" ht="16.5" x14ac:dyDescent="0.3">
      <c r="A3136" t="s">
        <v>3224</v>
      </c>
      <c r="B3136" s="1">
        <v>45758</v>
      </c>
      <c r="C3136">
        <v>2025</v>
      </c>
      <c r="D3136" t="s">
        <v>599</v>
      </c>
      <c r="E3136" t="s">
        <v>600</v>
      </c>
      <c r="F3136" t="s">
        <v>45</v>
      </c>
      <c r="G3136" t="s">
        <v>51</v>
      </c>
      <c r="H3136" t="s">
        <v>32</v>
      </c>
      <c r="I3136" t="s">
        <v>67</v>
      </c>
      <c r="J3136" t="s">
        <v>78</v>
      </c>
      <c r="K3136">
        <v>1</v>
      </c>
      <c r="L3136" s="2">
        <v>85.42</v>
      </c>
      <c r="M3136" s="3">
        <v>0.15</v>
      </c>
      <c r="N3136" t="s">
        <v>34</v>
      </c>
      <c r="O3136" s="2">
        <v>72.61</v>
      </c>
      <c r="P3136" s="2">
        <v>55</v>
      </c>
      <c r="Q3136" s="2">
        <v>17.61</v>
      </c>
      <c r="R3136">
        <v>1</v>
      </c>
      <c r="S3136">
        <v>0</v>
      </c>
      <c r="T3136">
        <v>2</v>
      </c>
      <c r="U3136">
        <v>5</v>
      </c>
    </row>
    <row r="3137" spans="1:21" ht="16.5" x14ac:dyDescent="0.3">
      <c r="A3137" t="s">
        <v>3225</v>
      </c>
      <c r="B3137" s="1">
        <v>45758</v>
      </c>
      <c r="C3137">
        <v>2025</v>
      </c>
      <c r="D3137" t="s">
        <v>599</v>
      </c>
      <c r="E3137" t="s">
        <v>600</v>
      </c>
      <c r="F3137" t="s">
        <v>45</v>
      </c>
      <c r="G3137" t="s">
        <v>51</v>
      </c>
      <c r="H3137" t="s">
        <v>26</v>
      </c>
      <c r="I3137" t="s">
        <v>27</v>
      </c>
      <c r="J3137" t="s">
        <v>47</v>
      </c>
      <c r="K3137">
        <v>3</v>
      </c>
      <c r="L3137" s="2">
        <v>33.99</v>
      </c>
      <c r="M3137" s="3">
        <v>0.05</v>
      </c>
      <c r="N3137" t="s">
        <v>29</v>
      </c>
      <c r="O3137" s="2">
        <v>96.87</v>
      </c>
      <c r="P3137" s="2">
        <v>51.53</v>
      </c>
      <c r="Q3137" s="2">
        <v>45.34</v>
      </c>
      <c r="R3137">
        <v>1</v>
      </c>
      <c r="S3137">
        <v>0</v>
      </c>
      <c r="T3137">
        <v>2</v>
      </c>
      <c r="U3137">
        <v>5</v>
      </c>
    </row>
    <row r="3138" spans="1:21" ht="16.5" x14ac:dyDescent="0.3">
      <c r="A3138" t="s">
        <v>3226</v>
      </c>
      <c r="B3138" s="1">
        <v>45758</v>
      </c>
      <c r="C3138">
        <v>2025</v>
      </c>
      <c r="D3138" t="s">
        <v>599</v>
      </c>
      <c r="E3138" t="s">
        <v>600</v>
      </c>
      <c r="F3138" t="s">
        <v>45</v>
      </c>
      <c r="G3138" t="s">
        <v>51</v>
      </c>
      <c r="H3138" t="s">
        <v>26</v>
      </c>
      <c r="I3138" t="s">
        <v>27</v>
      </c>
      <c r="J3138" t="s">
        <v>60</v>
      </c>
      <c r="K3138">
        <v>2</v>
      </c>
      <c r="L3138" s="2">
        <v>94.85</v>
      </c>
      <c r="M3138" s="3">
        <v>0.1</v>
      </c>
      <c r="N3138" t="s">
        <v>29</v>
      </c>
      <c r="O3138" s="2">
        <v>170.73</v>
      </c>
      <c r="P3138" s="2">
        <v>102.43</v>
      </c>
      <c r="Q3138" s="2">
        <v>68.3</v>
      </c>
      <c r="R3138">
        <v>1</v>
      </c>
      <c r="S3138">
        <v>0</v>
      </c>
      <c r="T3138">
        <v>3</v>
      </c>
      <c r="U3138">
        <v>5</v>
      </c>
    </row>
    <row r="3139" spans="1:21" ht="16.5" x14ac:dyDescent="0.3">
      <c r="A3139" t="s">
        <v>3227</v>
      </c>
      <c r="B3139" s="1">
        <v>45759</v>
      </c>
      <c r="C3139">
        <v>2025</v>
      </c>
      <c r="D3139" t="s">
        <v>599</v>
      </c>
      <c r="E3139" t="s">
        <v>600</v>
      </c>
      <c r="F3139" t="s">
        <v>45</v>
      </c>
      <c r="G3139" t="s">
        <v>65</v>
      </c>
      <c r="H3139" t="s">
        <v>32</v>
      </c>
      <c r="I3139" t="s">
        <v>27</v>
      </c>
      <c r="J3139" t="s">
        <v>28</v>
      </c>
      <c r="K3139">
        <v>1</v>
      </c>
      <c r="L3139" s="2">
        <v>138.5</v>
      </c>
      <c r="M3139" s="3">
        <v>0</v>
      </c>
      <c r="N3139" t="s">
        <v>38</v>
      </c>
      <c r="O3139" s="2">
        <v>138.5</v>
      </c>
      <c r="P3139" s="2">
        <v>76.63</v>
      </c>
      <c r="Q3139" s="2">
        <v>61.87</v>
      </c>
      <c r="R3139">
        <v>1</v>
      </c>
      <c r="S3139">
        <v>0</v>
      </c>
      <c r="T3139">
        <v>5</v>
      </c>
      <c r="U3139">
        <v>5</v>
      </c>
    </row>
    <row r="3140" spans="1:21" ht="16.5" x14ac:dyDescent="0.3">
      <c r="A3140" t="s">
        <v>3228</v>
      </c>
      <c r="B3140" s="1">
        <v>45759</v>
      </c>
      <c r="C3140">
        <v>2025</v>
      </c>
      <c r="D3140" t="s">
        <v>599</v>
      </c>
      <c r="E3140" t="s">
        <v>600</v>
      </c>
      <c r="F3140" t="s">
        <v>31</v>
      </c>
      <c r="G3140" t="s">
        <v>51</v>
      </c>
      <c r="H3140" t="s">
        <v>26</v>
      </c>
      <c r="I3140" t="s">
        <v>70</v>
      </c>
      <c r="J3140" t="s">
        <v>82</v>
      </c>
      <c r="K3140">
        <v>2</v>
      </c>
      <c r="L3140" s="2">
        <v>508.8</v>
      </c>
      <c r="M3140" s="3">
        <v>0</v>
      </c>
      <c r="N3140" t="s">
        <v>38</v>
      </c>
      <c r="O3140" s="2">
        <v>1017.6</v>
      </c>
      <c r="P3140" s="2">
        <v>817.24</v>
      </c>
      <c r="Q3140" s="2">
        <v>200.36</v>
      </c>
      <c r="R3140">
        <v>1</v>
      </c>
      <c r="S3140">
        <v>1</v>
      </c>
      <c r="T3140">
        <v>2</v>
      </c>
      <c r="U3140">
        <v>2</v>
      </c>
    </row>
    <row r="3141" spans="1:21" ht="16.5" x14ac:dyDescent="0.3">
      <c r="A3141" t="s">
        <v>3229</v>
      </c>
      <c r="B3141" s="1">
        <v>45759</v>
      </c>
      <c r="C3141">
        <v>2025</v>
      </c>
      <c r="D3141" t="s">
        <v>599</v>
      </c>
      <c r="E3141" t="s">
        <v>600</v>
      </c>
      <c r="F3141" t="s">
        <v>24</v>
      </c>
      <c r="G3141" t="s">
        <v>65</v>
      </c>
      <c r="H3141" t="s">
        <v>32</v>
      </c>
      <c r="I3141" t="s">
        <v>27</v>
      </c>
      <c r="J3141" t="s">
        <v>47</v>
      </c>
      <c r="K3141">
        <v>2</v>
      </c>
      <c r="L3141" s="2">
        <v>33.99</v>
      </c>
      <c r="M3141" s="3">
        <v>0.3</v>
      </c>
      <c r="N3141" t="s">
        <v>62</v>
      </c>
      <c r="O3141" s="2">
        <v>47.59</v>
      </c>
      <c r="P3141" s="2">
        <v>36.340000000000003</v>
      </c>
      <c r="Q3141" s="2">
        <v>11.25</v>
      </c>
      <c r="R3141">
        <v>1</v>
      </c>
      <c r="S3141">
        <v>0</v>
      </c>
      <c r="T3141">
        <v>5</v>
      </c>
      <c r="U3141">
        <v>4</v>
      </c>
    </row>
    <row r="3142" spans="1:21" ht="16.5" x14ac:dyDescent="0.3">
      <c r="A3142" t="s">
        <v>3230</v>
      </c>
      <c r="B3142" s="1">
        <v>45759</v>
      </c>
      <c r="C3142">
        <v>2025</v>
      </c>
      <c r="D3142" t="s">
        <v>599</v>
      </c>
      <c r="E3142" t="s">
        <v>600</v>
      </c>
      <c r="F3142" t="s">
        <v>31</v>
      </c>
      <c r="G3142" t="s">
        <v>25</v>
      </c>
      <c r="H3142" t="s">
        <v>32</v>
      </c>
      <c r="I3142" t="s">
        <v>27</v>
      </c>
      <c r="J3142" t="s">
        <v>40</v>
      </c>
      <c r="K3142">
        <v>3</v>
      </c>
      <c r="L3142" s="2">
        <v>104.94</v>
      </c>
      <c r="M3142" s="3">
        <v>0.2</v>
      </c>
      <c r="N3142" t="s">
        <v>34</v>
      </c>
      <c r="O3142" s="2">
        <v>251.86</v>
      </c>
      <c r="P3142" s="2">
        <v>174.07</v>
      </c>
      <c r="Q3142" s="2">
        <v>77.790000000000006</v>
      </c>
      <c r="R3142">
        <v>1</v>
      </c>
      <c r="S3142">
        <v>0</v>
      </c>
      <c r="T3142">
        <v>4</v>
      </c>
      <c r="U3142">
        <v>3</v>
      </c>
    </row>
    <row r="3143" spans="1:21" ht="16.5" x14ac:dyDescent="0.3">
      <c r="A3143" t="s">
        <v>3231</v>
      </c>
      <c r="B3143" s="1">
        <v>45759</v>
      </c>
      <c r="C3143">
        <v>2025</v>
      </c>
      <c r="D3143" t="s">
        <v>599</v>
      </c>
      <c r="E3143" t="s">
        <v>600</v>
      </c>
      <c r="F3143" t="s">
        <v>31</v>
      </c>
      <c r="G3143" t="s">
        <v>25</v>
      </c>
      <c r="H3143" t="s">
        <v>32</v>
      </c>
      <c r="I3143" t="s">
        <v>84</v>
      </c>
      <c r="J3143" t="s">
        <v>132</v>
      </c>
      <c r="K3143">
        <v>1</v>
      </c>
      <c r="L3143" s="2">
        <v>48.86</v>
      </c>
      <c r="M3143" s="3">
        <v>0.1</v>
      </c>
      <c r="N3143" t="s">
        <v>29</v>
      </c>
      <c r="O3143" s="2">
        <v>43.97</v>
      </c>
      <c r="P3143" s="2">
        <v>36.01</v>
      </c>
      <c r="Q3143" s="2">
        <v>7.96</v>
      </c>
      <c r="R3143">
        <v>1</v>
      </c>
      <c r="S3143">
        <v>0</v>
      </c>
      <c r="T3143">
        <v>6</v>
      </c>
      <c r="U3143">
        <v>4</v>
      </c>
    </row>
    <row r="3144" spans="1:21" ht="16.5" x14ac:dyDescent="0.3">
      <c r="A3144" t="s">
        <v>3232</v>
      </c>
      <c r="B3144" s="1">
        <v>45759</v>
      </c>
      <c r="C3144">
        <v>2025</v>
      </c>
      <c r="D3144" t="s">
        <v>599</v>
      </c>
      <c r="E3144" t="s">
        <v>600</v>
      </c>
      <c r="F3144" t="s">
        <v>45</v>
      </c>
      <c r="G3144" t="s">
        <v>51</v>
      </c>
      <c r="H3144" t="s">
        <v>32</v>
      </c>
      <c r="I3144" t="s">
        <v>67</v>
      </c>
      <c r="J3144" t="s">
        <v>103</v>
      </c>
      <c r="K3144">
        <v>3</v>
      </c>
      <c r="L3144" s="2">
        <v>83.06</v>
      </c>
      <c r="M3144" s="3">
        <v>0.1</v>
      </c>
      <c r="N3144" t="s">
        <v>29</v>
      </c>
      <c r="O3144" s="2">
        <v>224.26</v>
      </c>
      <c r="P3144" s="2">
        <v>160.69999999999999</v>
      </c>
      <c r="Q3144" s="2">
        <v>63.56</v>
      </c>
      <c r="R3144">
        <v>1</v>
      </c>
      <c r="S3144">
        <v>0</v>
      </c>
      <c r="T3144">
        <v>2</v>
      </c>
      <c r="U3144">
        <v>4</v>
      </c>
    </row>
    <row r="3145" spans="1:21" ht="16.5" x14ac:dyDescent="0.3">
      <c r="A3145" t="s">
        <v>3233</v>
      </c>
      <c r="B3145" s="1">
        <v>45759</v>
      </c>
      <c r="C3145">
        <v>2025</v>
      </c>
      <c r="D3145" t="s">
        <v>599</v>
      </c>
      <c r="E3145" t="s">
        <v>600</v>
      </c>
      <c r="F3145" t="s">
        <v>24</v>
      </c>
      <c r="G3145" t="s">
        <v>46</v>
      </c>
      <c r="H3145" t="s">
        <v>32</v>
      </c>
      <c r="I3145" t="s">
        <v>27</v>
      </c>
      <c r="J3145" t="s">
        <v>47</v>
      </c>
      <c r="K3145">
        <v>1</v>
      </c>
      <c r="L3145" s="2">
        <v>33.99</v>
      </c>
      <c r="M3145" s="3">
        <v>0.2</v>
      </c>
      <c r="N3145" t="s">
        <v>34</v>
      </c>
      <c r="O3145" s="2">
        <v>27.19</v>
      </c>
      <c r="P3145" s="2">
        <v>17.5</v>
      </c>
      <c r="Q3145" s="2">
        <v>9.69</v>
      </c>
      <c r="R3145">
        <v>1</v>
      </c>
      <c r="S3145">
        <v>0</v>
      </c>
      <c r="T3145">
        <v>6</v>
      </c>
      <c r="U3145">
        <v>3</v>
      </c>
    </row>
    <row r="3146" spans="1:21" ht="16.5" x14ac:dyDescent="0.3">
      <c r="A3146" t="s">
        <v>3234</v>
      </c>
      <c r="B3146" s="1">
        <v>45759</v>
      </c>
      <c r="C3146">
        <v>2025</v>
      </c>
      <c r="D3146" t="s">
        <v>599</v>
      </c>
      <c r="E3146" t="s">
        <v>600</v>
      </c>
      <c r="F3146" t="s">
        <v>31</v>
      </c>
      <c r="G3146" t="s">
        <v>25</v>
      </c>
      <c r="H3146" t="s">
        <v>32</v>
      </c>
      <c r="I3146" t="s">
        <v>70</v>
      </c>
      <c r="J3146" t="s">
        <v>87</v>
      </c>
      <c r="K3146">
        <v>1</v>
      </c>
      <c r="L3146" s="2">
        <v>490.3</v>
      </c>
      <c r="M3146" s="3">
        <v>0.2</v>
      </c>
      <c r="N3146" t="s">
        <v>34</v>
      </c>
      <c r="O3146" s="2">
        <v>392.24</v>
      </c>
      <c r="P3146" s="2">
        <v>386.8</v>
      </c>
      <c r="Q3146" s="2">
        <v>5.44</v>
      </c>
      <c r="R3146">
        <v>1</v>
      </c>
      <c r="S3146">
        <v>0</v>
      </c>
      <c r="T3146">
        <v>3</v>
      </c>
      <c r="U3146">
        <v>5</v>
      </c>
    </row>
    <row r="3147" spans="1:21" ht="16.5" x14ac:dyDescent="0.3">
      <c r="A3147" t="s">
        <v>3235</v>
      </c>
      <c r="B3147" s="1">
        <v>45760</v>
      </c>
      <c r="C3147">
        <v>2025</v>
      </c>
      <c r="D3147" t="s">
        <v>599</v>
      </c>
      <c r="E3147" t="s">
        <v>600</v>
      </c>
      <c r="F3147" t="s">
        <v>24</v>
      </c>
      <c r="G3147" t="s">
        <v>51</v>
      </c>
      <c r="H3147" t="s">
        <v>26</v>
      </c>
      <c r="I3147" t="s">
        <v>42</v>
      </c>
      <c r="J3147" t="s">
        <v>89</v>
      </c>
      <c r="K3147">
        <v>1</v>
      </c>
      <c r="L3147" s="2">
        <v>68.349999999999994</v>
      </c>
      <c r="M3147" s="3">
        <v>0</v>
      </c>
      <c r="N3147" t="s">
        <v>38</v>
      </c>
      <c r="O3147" s="2">
        <v>68.349999999999994</v>
      </c>
      <c r="P3147" s="2">
        <v>47.99</v>
      </c>
      <c r="Q3147" s="2">
        <v>20.36</v>
      </c>
      <c r="R3147">
        <v>1</v>
      </c>
      <c r="S3147">
        <v>0</v>
      </c>
      <c r="T3147">
        <v>3</v>
      </c>
      <c r="U3147">
        <v>4</v>
      </c>
    </row>
    <row r="3148" spans="1:21" ht="16.5" x14ac:dyDescent="0.3">
      <c r="A3148" t="s">
        <v>3236</v>
      </c>
      <c r="B3148" s="1">
        <v>45760</v>
      </c>
      <c r="C3148">
        <v>2025</v>
      </c>
      <c r="D3148" t="s">
        <v>599</v>
      </c>
      <c r="E3148" t="s">
        <v>600</v>
      </c>
      <c r="F3148" t="s">
        <v>24</v>
      </c>
      <c r="G3148" t="s">
        <v>49</v>
      </c>
      <c r="H3148" t="s">
        <v>32</v>
      </c>
      <c r="I3148" t="s">
        <v>42</v>
      </c>
      <c r="J3148" t="s">
        <v>43</v>
      </c>
      <c r="K3148">
        <v>2</v>
      </c>
      <c r="L3148" s="2">
        <v>154.66</v>
      </c>
      <c r="M3148" s="3">
        <v>0.05</v>
      </c>
      <c r="N3148" t="s">
        <v>29</v>
      </c>
      <c r="O3148" s="2">
        <v>293.85000000000002</v>
      </c>
      <c r="P3148" s="2">
        <v>203.25</v>
      </c>
      <c r="Q3148" s="2">
        <v>90.6</v>
      </c>
      <c r="R3148">
        <v>1</v>
      </c>
      <c r="S3148">
        <v>0</v>
      </c>
      <c r="T3148">
        <v>3</v>
      </c>
      <c r="U3148">
        <v>4</v>
      </c>
    </row>
    <row r="3149" spans="1:21" ht="16.5" x14ac:dyDescent="0.3">
      <c r="A3149" t="s">
        <v>3237</v>
      </c>
      <c r="B3149" s="1">
        <v>45760</v>
      </c>
      <c r="C3149">
        <v>2025</v>
      </c>
      <c r="D3149" t="s">
        <v>599</v>
      </c>
      <c r="E3149" t="s">
        <v>600</v>
      </c>
      <c r="F3149" t="s">
        <v>31</v>
      </c>
      <c r="G3149" t="s">
        <v>49</v>
      </c>
      <c r="H3149" t="s">
        <v>32</v>
      </c>
      <c r="I3149" t="s">
        <v>67</v>
      </c>
      <c r="J3149" t="s">
        <v>174</v>
      </c>
      <c r="K3149">
        <v>1</v>
      </c>
      <c r="L3149" s="2">
        <v>137.05000000000001</v>
      </c>
      <c r="M3149" s="3">
        <v>0.15</v>
      </c>
      <c r="N3149" t="s">
        <v>34</v>
      </c>
      <c r="O3149" s="2">
        <v>116.49</v>
      </c>
      <c r="P3149" s="2">
        <v>92.36</v>
      </c>
      <c r="Q3149" s="2">
        <v>24.13</v>
      </c>
      <c r="R3149">
        <v>1</v>
      </c>
      <c r="S3149">
        <v>0</v>
      </c>
      <c r="T3149">
        <v>4</v>
      </c>
      <c r="U3149">
        <v>4</v>
      </c>
    </row>
    <row r="3150" spans="1:21" ht="16.5" x14ac:dyDescent="0.3">
      <c r="A3150" t="s">
        <v>3238</v>
      </c>
      <c r="B3150" s="1">
        <v>45760</v>
      </c>
      <c r="C3150">
        <v>2025</v>
      </c>
      <c r="D3150" t="s">
        <v>599</v>
      </c>
      <c r="E3150" t="s">
        <v>600</v>
      </c>
      <c r="F3150" t="s">
        <v>31</v>
      </c>
      <c r="G3150" t="s">
        <v>51</v>
      </c>
      <c r="H3150" t="s">
        <v>26</v>
      </c>
      <c r="I3150" t="s">
        <v>67</v>
      </c>
      <c r="J3150" t="s">
        <v>174</v>
      </c>
      <c r="K3150">
        <v>1</v>
      </c>
      <c r="L3150" s="2">
        <v>137.05000000000001</v>
      </c>
      <c r="M3150" s="3">
        <v>0</v>
      </c>
      <c r="N3150" t="s">
        <v>38</v>
      </c>
      <c r="O3150" s="2">
        <v>137.05000000000001</v>
      </c>
      <c r="P3150" s="2">
        <v>83.9</v>
      </c>
      <c r="Q3150" s="2">
        <v>53.15</v>
      </c>
      <c r="R3150">
        <v>1</v>
      </c>
      <c r="S3150">
        <v>0</v>
      </c>
      <c r="T3150">
        <v>3</v>
      </c>
      <c r="U3150">
        <v>4</v>
      </c>
    </row>
    <row r="3151" spans="1:21" ht="16.5" x14ac:dyDescent="0.3">
      <c r="A3151" t="s">
        <v>3239</v>
      </c>
      <c r="B3151" s="1">
        <v>45760</v>
      </c>
      <c r="C3151">
        <v>2025</v>
      </c>
      <c r="D3151" t="s">
        <v>599</v>
      </c>
      <c r="E3151" t="s">
        <v>600</v>
      </c>
      <c r="F3151" t="s">
        <v>31</v>
      </c>
      <c r="G3151" t="s">
        <v>25</v>
      </c>
      <c r="H3151" t="s">
        <v>26</v>
      </c>
      <c r="I3151" t="s">
        <v>27</v>
      </c>
      <c r="J3151" t="s">
        <v>40</v>
      </c>
      <c r="K3151">
        <v>1</v>
      </c>
      <c r="L3151" s="2">
        <v>104.94</v>
      </c>
      <c r="M3151" s="3">
        <v>0.05</v>
      </c>
      <c r="N3151" t="s">
        <v>29</v>
      </c>
      <c r="O3151" s="2">
        <v>99.69</v>
      </c>
      <c r="P3151" s="2">
        <v>58.36</v>
      </c>
      <c r="Q3151" s="2">
        <v>41.33</v>
      </c>
      <c r="R3151">
        <v>1</v>
      </c>
      <c r="S3151">
        <v>0</v>
      </c>
      <c r="T3151">
        <v>5</v>
      </c>
      <c r="U3151">
        <v>4</v>
      </c>
    </row>
    <row r="3152" spans="1:21" ht="16.5" x14ac:dyDescent="0.3">
      <c r="A3152" t="s">
        <v>3240</v>
      </c>
      <c r="B3152" s="1">
        <v>45761</v>
      </c>
      <c r="C3152">
        <v>2025</v>
      </c>
      <c r="D3152" t="s">
        <v>599</v>
      </c>
      <c r="E3152" t="s">
        <v>600</v>
      </c>
      <c r="F3152" t="s">
        <v>45</v>
      </c>
      <c r="G3152" t="s">
        <v>49</v>
      </c>
      <c r="H3152" t="s">
        <v>32</v>
      </c>
      <c r="I3152" t="s">
        <v>42</v>
      </c>
      <c r="J3152" t="s">
        <v>89</v>
      </c>
      <c r="K3152">
        <v>4</v>
      </c>
      <c r="L3152" s="2">
        <v>68.349999999999994</v>
      </c>
      <c r="M3152" s="3">
        <v>0</v>
      </c>
      <c r="N3152" t="s">
        <v>38</v>
      </c>
      <c r="O3152" s="2">
        <v>273.39999999999998</v>
      </c>
      <c r="P3152" s="2">
        <v>174.24</v>
      </c>
      <c r="Q3152" s="2">
        <v>99.16</v>
      </c>
      <c r="R3152">
        <v>1</v>
      </c>
      <c r="S3152">
        <v>0</v>
      </c>
      <c r="T3152">
        <v>4</v>
      </c>
      <c r="U3152">
        <v>3</v>
      </c>
    </row>
    <row r="3153" spans="1:21" ht="16.5" x14ac:dyDescent="0.3">
      <c r="A3153" t="s">
        <v>3241</v>
      </c>
      <c r="B3153" s="1">
        <v>45761</v>
      </c>
      <c r="C3153">
        <v>2025</v>
      </c>
      <c r="D3153" t="s">
        <v>599</v>
      </c>
      <c r="E3153" t="s">
        <v>600</v>
      </c>
      <c r="F3153" t="s">
        <v>24</v>
      </c>
      <c r="G3153" t="s">
        <v>51</v>
      </c>
      <c r="H3153" t="s">
        <v>32</v>
      </c>
      <c r="I3153" t="s">
        <v>36</v>
      </c>
      <c r="J3153" t="s">
        <v>126</v>
      </c>
      <c r="K3153">
        <v>2</v>
      </c>
      <c r="L3153" s="2">
        <v>54.56</v>
      </c>
      <c r="M3153" s="3">
        <v>0.05</v>
      </c>
      <c r="N3153" t="s">
        <v>29</v>
      </c>
      <c r="O3153" s="2">
        <v>103.66</v>
      </c>
      <c r="P3153" s="2">
        <v>50.5</v>
      </c>
      <c r="Q3153" s="2">
        <v>53.16</v>
      </c>
      <c r="R3153">
        <v>1</v>
      </c>
      <c r="S3153">
        <v>0</v>
      </c>
      <c r="T3153">
        <v>4</v>
      </c>
      <c r="U3153">
        <v>4</v>
      </c>
    </row>
    <row r="3154" spans="1:21" ht="16.5" x14ac:dyDescent="0.3">
      <c r="A3154" t="s">
        <v>3242</v>
      </c>
      <c r="B3154" s="1">
        <v>45761</v>
      </c>
      <c r="C3154">
        <v>2025</v>
      </c>
      <c r="D3154" t="s">
        <v>599</v>
      </c>
      <c r="E3154" t="s">
        <v>600</v>
      </c>
      <c r="F3154" t="s">
        <v>31</v>
      </c>
      <c r="G3154" t="s">
        <v>51</v>
      </c>
      <c r="H3154" t="s">
        <v>32</v>
      </c>
      <c r="I3154" t="s">
        <v>70</v>
      </c>
      <c r="J3154" t="s">
        <v>87</v>
      </c>
      <c r="K3154">
        <v>1</v>
      </c>
      <c r="L3154" s="2">
        <v>490.3</v>
      </c>
      <c r="M3154" s="3">
        <v>0.1</v>
      </c>
      <c r="N3154" t="s">
        <v>29</v>
      </c>
      <c r="O3154" s="2">
        <v>441.27</v>
      </c>
      <c r="P3154" s="2">
        <v>381.91</v>
      </c>
      <c r="Q3154" s="2">
        <v>59.36</v>
      </c>
      <c r="R3154">
        <v>1</v>
      </c>
      <c r="S3154">
        <v>0</v>
      </c>
      <c r="T3154">
        <v>2</v>
      </c>
      <c r="U3154">
        <v>4</v>
      </c>
    </row>
    <row r="3155" spans="1:21" ht="16.5" x14ac:dyDescent="0.3">
      <c r="A3155" t="s">
        <v>3243</v>
      </c>
      <c r="B3155" s="1">
        <v>45761</v>
      </c>
      <c r="C3155">
        <v>2025</v>
      </c>
      <c r="D3155" t="s">
        <v>599</v>
      </c>
      <c r="E3155" t="s">
        <v>600</v>
      </c>
      <c r="F3155" t="s">
        <v>24</v>
      </c>
      <c r="G3155" t="s">
        <v>65</v>
      </c>
      <c r="H3155" t="s">
        <v>26</v>
      </c>
      <c r="I3155" t="s">
        <v>42</v>
      </c>
      <c r="J3155" t="s">
        <v>58</v>
      </c>
      <c r="K3155">
        <v>2</v>
      </c>
      <c r="L3155" s="2">
        <v>233.81</v>
      </c>
      <c r="M3155" s="3">
        <v>0</v>
      </c>
      <c r="N3155" t="s">
        <v>38</v>
      </c>
      <c r="O3155" s="2">
        <v>467.62</v>
      </c>
      <c r="P3155" s="2">
        <v>297.8</v>
      </c>
      <c r="Q3155" s="2">
        <v>169.82</v>
      </c>
      <c r="R3155">
        <v>1</v>
      </c>
      <c r="S3155">
        <v>0</v>
      </c>
      <c r="T3155">
        <v>9</v>
      </c>
      <c r="U3155">
        <v>4</v>
      </c>
    </row>
    <row r="3156" spans="1:21" ht="16.5" x14ac:dyDescent="0.3">
      <c r="A3156" t="s">
        <v>3244</v>
      </c>
      <c r="B3156" s="1">
        <v>45761</v>
      </c>
      <c r="C3156">
        <v>2025</v>
      </c>
      <c r="D3156" t="s">
        <v>599</v>
      </c>
      <c r="E3156" t="s">
        <v>600</v>
      </c>
      <c r="F3156" t="s">
        <v>31</v>
      </c>
      <c r="G3156" t="s">
        <v>49</v>
      </c>
      <c r="H3156" t="s">
        <v>26</v>
      </c>
      <c r="I3156" t="s">
        <v>70</v>
      </c>
      <c r="J3156" t="s">
        <v>252</v>
      </c>
      <c r="K3156">
        <v>2</v>
      </c>
      <c r="L3156" s="2">
        <v>216.08</v>
      </c>
      <c r="M3156" s="3">
        <v>0.1</v>
      </c>
      <c r="N3156" t="s">
        <v>29</v>
      </c>
      <c r="O3156" s="2">
        <v>388.94</v>
      </c>
      <c r="P3156" s="2">
        <v>343.71</v>
      </c>
      <c r="Q3156" s="2">
        <v>45.23</v>
      </c>
      <c r="R3156">
        <v>1</v>
      </c>
      <c r="S3156">
        <v>1</v>
      </c>
      <c r="T3156">
        <v>3</v>
      </c>
      <c r="U3156">
        <v>4</v>
      </c>
    </row>
    <row r="3157" spans="1:21" ht="16.5" x14ac:dyDescent="0.3">
      <c r="A3157" t="s">
        <v>3245</v>
      </c>
      <c r="B3157" s="1">
        <v>45762</v>
      </c>
      <c r="C3157">
        <v>2025</v>
      </c>
      <c r="D3157" t="s">
        <v>599</v>
      </c>
      <c r="E3157" t="s">
        <v>600</v>
      </c>
      <c r="F3157" t="s">
        <v>45</v>
      </c>
      <c r="G3157" t="s">
        <v>51</v>
      </c>
      <c r="H3157" t="s">
        <v>26</v>
      </c>
      <c r="I3157" t="s">
        <v>27</v>
      </c>
      <c r="J3157" t="s">
        <v>28</v>
      </c>
      <c r="K3157">
        <v>1</v>
      </c>
      <c r="L3157" s="2">
        <v>138.5</v>
      </c>
      <c r="M3157" s="3">
        <v>0.2</v>
      </c>
      <c r="N3157" t="s">
        <v>34</v>
      </c>
      <c r="O3157" s="2">
        <v>110.8</v>
      </c>
      <c r="P3157" s="2">
        <v>75.38</v>
      </c>
      <c r="Q3157" s="2">
        <v>35.42</v>
      </c>
      <c r="R3157">
        <v>1</v>
      </c>
      <c r="S3157">
        <v>0</v>
      </c>
      <c r="T3157">
        <v>3</v>
      </c>
      <c r="U3157">
        <v>4</v>
      </c>
    </row>
    <row r="3158" spans="1:21" ht="16.5" x14ac:dyDescent="0.3">
      <c r="A3158" t="s">
        <v>3246</v>
      </c>
      <c r="B3158" s="1">
        <v>45762</v>
      </c>
      <c r="C3158">
        <v>2025</v>
      </c>
      <c r="D3158" t="s">
        <v>599</v>
      </c>
      <c r="E3158" t="s">
        <v>600</v>
      </c>
      <c r="F3158" t="s">
        <v>31</v>
      </c>
      <c r="G3158" t="s">
        <v>51</v>
      </c>
      <c r="H3158" t="s">
        <v>26</v>
      </c>
      <c r="I3158" t="s">
        <v>70</v>
      </c>
      <c r="J3158" t="s">
        <v>82</v>
      </c>
      <c r="K3158">
        <v>1</v>
      </c>
      <c r="L3158" s="2">
        <v>508.8</v>
      </c>
      <c r="M3158" s="3">
        <v>0.25</v>
      </c>
      <c r="N3158" t="s">
        <v>62</v>
      </c>
      <c r="O3158" s="2">
        <v>381.6</v>
      </c>
      <c r="P3158" s="2">
        <v>414.18</v>
      </c>
      <c r="Q3158" s="2">
        <v>-32.58</v>
      </c>
      <c r="R3158">
        <v>1</v>
      </c>
      <c r="S3158">
        <v>0</v>
      </c>
      <c r="T3158">
        <v>2</v>
      </c>
      <c r="U3158">
        <v>4</v>
      </c>
    </row>
    <row r="3159" spans="1:21" ht="16.5" x14ac:dyDescent="0.3">
      <c r="A3159" t="s">
        <v>3247</v>
      </c>
      <c r="B3159" s="1">
        <v>45762</v>
      </c>
      <c r="C3159">
        <v>2025</v>
      </c>
      <c r="D3159" t="s">
        <v>599</v>
      </c>
      <c r="E3159" t="s">
        <v>600</v>
      </c>
      <c r="F3159" t="s">
        <v>45</v>
      </c>
      <c r="G3159" t="s">
        <v>49</v>
      </c>
      <c r="H3159" t="s">
        <v>32</v>
      </c>
      <c r="I3159" t="s">
        <v>27</v>
      </c>
      <c r="J3159" t="s">
        <v>28</v>
      </c>
      <c r="K3159">
        <v>1</v>
      </c>
      <c r="L3159" s="2">
        <v>138.5</v>
      </c>
      <c r="M3159" s="3">
        <v>0.05</v>
      </c>
      <c r="N3159" t="s">
        <v>29</v>
      </c>
      <c r="O3159" s="2">
        <v>131.57</v>
      </c>
      <c r="P3159" s="2">
        <v>71.91</v>
      </c>
      <c r="Q3159" s="2">
        <v>59.66</v>
      </c>
      <c r="R3159">
        <v>1</v>
      </c>
      <c r="S3159">
        <v>0</v>
      </c>
      <c r="T3159">
        <v>5</v>
      </c>
      <c r="U3159">
        <v>4</v>
      </c>
    </row>
    <row r="3160" spans="1:21" ht="16.5" x14ac:dyDescent="0.3">
      <c r="A3160" t="s">
        <v>3248</v>
      </c>
      <c r="B3160" s="1">
        <v>45762</v>
      </c>
      <c r="C3160">
        <v>2025</v>
      </c>
      <c r="D3160" t="s">
        <v>599</v>
      </c>
      <c r="E3160" t="s">
        <v>600</v>
      </c>
      <c r="F3160" t="s">
        <v>24</v>
      </c>
      <c r="G3160" t="s">
        <v>46</v>
      </c>
      <c r="H3160" t="s">
        <v>32</v>
      </c>
      <c r="I3160" t="s">
        <v>67</v>
      </c>
      <c r="J3160" t="s">
        <v>103</v>
      </c>
      <c r="K3160">
        <v>3</v>
      </c>
      <c r="L3160" s="2">
        <v>83.06</v>
      </c>
      <c r="M3160" s="3">
        <v>0.15</v>
      </c>
      <c r="N3160" t="s">
        <v>34</v>
      </c>
      <c r="O3160" s="2">
        <v>211.8</v>
      </c>
      <c r="P3160" s="2">
        <v>167.26</v>
      </c>
      <c r="Q3160" s="2">
        <v>44.54</v>
      </c>
      <c r="R3160">
        <v>1</v>
      </c>
      <c r="S3160">
        <v>0</v>
      </c>
      <c r="T3160">
        <v>6</v>
      </c>
      <c r="U3160">
        <v>3</v>
      </c>
    </row>
    <row r="3161" spans="1:21" ht="16.5" x14ac:dyDescent="0.3">
      <c r="A3161" t="s">
        <v>3249</v>
      </c>
      <c r="B3161" s="1">
        <v>45762</v>
      </c>
      <c r="C3161">
        <v>2025</v>
      </c>
      <c r="D3161" t="s">
        <v>599</v>
      </c>
      <c r="E3161" t="s">
        <v>600</v>
      </c>
      <c r="F3161" t="s">
        <v>24</v>
      </c>
      <c r="G3161" t="s">
        <v>51</v>
      </c>
      <c r="H3161" t="s">
        <v>32</v>
      </c>
      <c r="I3161" t="s">
        <v>67</v>
      </c>
      <c r="J3161" t="s">
        <v>68</v>
      </c>
      <c r="K3161">
        <v>1</v>
      </c>
      <c r="L3161" s="2">
        <v>74.459999999999994</v>
      </c>
      <c r="M3161" s="3">
        <v>0</v>
      </c>
      <c r="N3161" t="s">
        <v>38</v>
      </c>
      <c r="O3161" s="2">
        <v>74.459999999999994</v>
      </c>
      <c r="P3161" s="2">
        <v>47.67</v>
      </c>
      <c r="Q3161" s="2">
        <v>26.79</v>
      </c>
      <c r="R3161">
        <v>1</v>
      </c>
      <c r="S3161">
        <v>0</v>
      </c>
      <c r="T3161">
        <v>2</v>
      </c>
      <c r="U3161">
        <v>4</v>
      </c>
    </row>
    <row r="3162" spans="1:21" ht="16.5" x14ac:dyDescent="0.3">
      <c r="A3162" t="s">
        <v>3250</v>
      </c>
      <c r="B3162" s="1">
        <v>45762</v>
      </c>
      <c r="C3162">
        <v>2025</v>
      </c>
      <c r="D3162" t="s">
        <v>599</v>
      </c>
      <c r="E3162" t="s">
        <v>600</v>
      </c>
      <c r="F3162" t="s">
        <v>31</v>
      </c>
      <c r="G3162" t="s">
        <v>65</v>
      </c>
      <c r="H3162" t="s">
        <v>26</v>
      </c>
      <c r="I3162" t="s">
        <v>36</v>
      </c>
      <c r="J3162" t="s">
        <v>37</v>
      </c>
      <c r="K3162">
        <v>3</v>
      </c>
      <c r="L3162" s="2">
        <v>33.18</v>
      </c>
      <c r="M3162" s="3">
        <v>0.05</v>
      </c>
      <c r="N3162" t="s">
        <v>29</v>
      </c>
      <c r="O3162" s="2">
        <v>94.56</v>
      </c>
      <c r="P3162" s="2">
        <v>49.91</v>
      </c>
      <c r="Q3162" s="2">
        <v>44.65</v>
      </c>
      <c r="R3162">
        <v>1</v>
      </c>
      <c r="S3162">
        <v>0</v>
      </c>
      <c r="T3162">
        <v>5</v>
      </c>
      <c r="U3162">
        <v>5</v>
      </c>
    </row>
    <row r="3163" spans="1:21" ht="16.5" x14ac:dyDescent="0.3">
      <c r="A3163" t="s">
        <v>3251</v>
      </c>
      <c r="B3163" s="1">
        <v>45762</v>
      </c>
      <c r="C3163">
        <v>2025</v>
      </c>
      <c r="D3163" t="s">
        <v>599</v>
      </c>
      <c r="E3163" t="s">
        <v>600</v>
      </c>
      <c r="F3163" t="s">
        <v>24</v>
      </c>
      <c r="G3163" t="s">
        <v>65</v>
      </c>
      <c r="H3163" t="s">
        <v>26</v>
      </c>
      <c r="I3163" t="s">
        <v>70</v>
      </c>
      <c r="J3163" t="s">
        <v>87</v>
      </c>
      <c r="K3163">
        <v>1</v>
      </c>
      <c r="L3163" s="2">
        <v>490.3</v>
      </c>
      <c r="M3163" s="3">
        <v>0.15</v>
      </c>
      <c r="N3163" t="s">
        <v>34</v>
      </c>
      <c r="O3163" s="2">
        <v>416.76</v>
      </c>
      <c r="P3163" s="2">
        <v>388.31</v>
      </c>
      <c r="Q3163" s="2">
        <v>28.45</v>
      </c>
      <c r="R3163">
        <v>1</v>
      </c>
      <c r="S3163">
        <v>0</v>
      </c>
      <c r="T3163">
        <v>6</v>
      </c>
      <c r="U3163">
        <v>4</v>
      </c>
    </row>
    <row r="3164" spans="1:21" ht="16.5" x14ac:dyDescent="0.3">
      <c r="A3164" t="s">
        <v>3252</v>
      </c>
      <c r="B3164" s="1">
        <v>45763</v>
      </c>
      <c r="C3164">
        <v>2025</v>
      </c>
      <c r="D3164" t="s">
        <v>599</v>
      </c>
      <c r="E3164" t="s">
        <v>600</v>
      </c>
      <c r="F3164" t="s">
        <v>45</v>
      </c>
      <c r="G3164" t="s">
        <v>49</v>
      </c>
      <c r="H3164" t="s">
        <v>32</v>
      </c>
      <c r="I3164" t="s">
        <v>27</v>
      </c>
      <c r="J3164" t="s">
        <v>40</v>
      </c>
      <c r="K3164">
        <v>1</v>
      </c>
      <c r="L3164" s="2">
        <v>104.94</v>
      </c>
      <c r="M3164" s="3">
        <v>0.05</v>
      </c>
      <c r="N3164" t="s">
        <v>29</v>
      </c>
      <c r="O3164" s="2">
        <v>99.69</v>
      </c>
      <c r="P3164" s="2">
        <v>56.44</v>
      </c>
      <c r="Q3164" s="2">
        <v>43.25</v>
      </c>
      <c r="R3164">
        <v>1</v>
      </c>
      <c r="S3164">
        <v>0</v>
      </c>
      <c r="T3164">
        <v>4</v>
      </c>
      <c r="U3164">
        <v>4</v>
      </c>
    </row>
    <row r="3165" spans="1:21" ht="16.5" x14ac:dyDescent="0.3">
      <c r="A3165" t="s">
        <v>3253</v>
      </c>
      <c r="B3165" s="1">
        <v>45763</v>
      </c>
      <c r="C3165">
        <v>2025</v>
      </c>
      <c r="D3165" t="s">
        <v>599</v>
      </c>
      <c r="E3165" t="s">
        <v>600</v>
      </c>
      <c r="F3165" t="s">
        <v>24</v>
      </c>
      <c r="G3165" t="s">
        <v>25</v>
      </c>
      <c r="H3165" t="s">
        <v>26</v>
      </c>
      <c r="I3165" t="s">
        <v>67</v>
      </c>
      <c r="J3165" t="s">
        <v>78</v>
      </c>
      <c r="K3165">
        <v>1</v>
      </c>
      <c r="L3165" s="2">
        <v>85.42</v>
      </c>
      <c r="M3165" s="3">
        <v>0.25</v>
      </c>
      <c r="N3165" t="s">
        <v>62</v>
      </c>
      <c r="O3165" s="2">
        <v>64.06</v>
      </c>
      <c r="P3165" s="2">
        <v>55.3</v>
      </c>
      <c r="Q3165" s="2">
        <v>8.76</v>
      </c>
      <c r="R3165">
        <v>1</v>
      </c>
      <c r="S3165">
        <v>0</v>
      </c>
      <c r="T3165">
        <v>3</v>
      </c>
      <c r="U3165">
        <v>4</v>
      </c>
    </row>
    <row r="3166" spans="1:21" ht="16.5" x14ac:dyDescent="0.3">
      <c r="A3166" t="s">
        <v>3254</v>
      </c>
      <c r="B3166" s="1">
        <v>45763</v>
      </c>
      <c r="C3166">
        <v>2025</v>
      </c>
      <c r="D3166" t="s">
        <v>599</v>
      </c>
      <c r="E3166" t="s">
        <v>600</v>
      </c>
      <c r="F3166" t="s">
        <v>24</v>
      </c>
      <c r="G3166" t="s">
        <v>65</v>
      </c>
      <c r="H3166" t="s">
        <v>26</v>
      </c>
      <c r="I3166" t="s">
        <v>36</v>
      </c>
      <c r="J3166" t="s">
        <v>56</v>
      </c>
      <c r="K3166">
        <v>1</v>
      </c>
      <c r="L3166" s="2">
        <v>74.3</v>
      </c>
      <c r="M3166" s="3">
        <v>0.1</v>
      </c>
      <c r="N3166" t="s">
        <v>29</v>
      </c>
      <c r="O3166" s="2">
        <v>66.87</v>
      </c>
      <c r="P3166" s="2">
        <v>35.53</v>
      </c>
      <c r="Q3166" s="2">
        <v>31.34</v>
      </c>
      <c r="R3166">
        <v>1</v>
      </c>
      <c r="S3166">
        <v>0</v>
      </c>
      <c r="T3166">
        <v>5</v>
      </c>
      <c r="U3166">
        <v>5</v>
      </c>
    </row>
    <row r="3167" spans="1:21" ht="16.5" x14ac:dyDescent="0.3">
      <c r="A3167" t="s">
        <v>3255</v>
      </c>
      <c r="B3167" s="1">
        <v>45763</v>
      </c>
      <c r="C3167">
        <v>2025</v>
      </c>
      <c r="D3167" t="s">
        <v>599</v>
      </c>
      <c r="E3167" t="s">
        <v>600</v>
      </c>
      <c r="F3167" t="s">
        <v>31</v>
      </c>
      <c r="G3167" t="s">
        <v>25</v>
      </c>
      <c r="H3167" t="s">
        <v>26</v>
      </c>
      <c r="I3167" t="s">
        <v>36</v>
      </c>
      <c r="J3167" t="s">
        <v>56</v>
      </c>
      <c r="K3167">
        <v>1</v>
      </c>
      <c r="L3167" s="2">
        <v>74.3</v>
      </c>
      <c r="M3167" s="3">
        <v>0</v>
      </c>
      <c r="N3167" t="s">
        <v>38</v>
      </c>
      <c r="O3167" s="2">
        <v>74.3</v>
      </c>
      <c r="P3167" s="2">
        <v>36.89</v>
      </c>
      <c r="Q3167" s="2">
        <v>37.409999999999997</v>
      </c>
      <c r="R3167">
        <v>1</v>
      </c>
      <c r="S3167">
        <v>0</v>
      </c>
      <c r="T3167">
        <v>4</v>
      </c>
      <c r="U3167">
        <v>5</v>
      </c>
    </row>
    <row r="3168" spans="1:21" ht="16.5" x14ac:dyDescent="0.3">
      <c r="A3168" t="s">
        <v>3256</v>
      </c>
      <c r="B3168" s="1">
        <v>45763</v>
      </c>
      <c r="C3168">
        <v>2025</v>
      </c>
      <c r="D3168" t="s">
        <v>599</v>
      </c>
      <c r="E3168" t="s">
        <v>600</v>
      </c>
      <c r="F3168" t="s">
        <v>31</v>
      </c>
      <c r="G3168" t="s">
        <v>49</v>
      </c>
      <c r="H3168" t="s">
        <v>32</v>
      </c>
      <c r="I3168" t="s">
        <v>70</v>
      </c>
      <c r="J3168" t="s">
        <v>129</v>
      </c>
      <c r="K3168">
        <v>1</v>
      </c>
      <c r="L3168" s="2">
        <v>177.65</v>
      </c>
      <c r="M3168" s="3">
        <v>0.3</v>
      </c>
      <c r="N3168" t="s">
        <v>62</v>
      </c>
      <c r="O3168" s="2">
        <v>124.35</v>
      </c>
      <c r="P3168" s="2">
        <v>146.76</v>
      </c>
      <c r="Q3168" s="2">
        <v>-22.41</v>
      </c>
      <c r="R3168">
        <v>1</v>
      </c>
      <c r="S3168">
        <v>0</v>
      </c>
      <c r="T3168">
        <v>4</v>
      </c>
      <c r="U3168">
        <v>4</v>
      </c>
    </row>
    <row r="3169" spans="1:21" ht="16.5" x14ac:dyDescent="0.3">
      <c r="A3169" t="s">
        <v>3257</v>
      </c>
      <c r="B3169" s="1">
        <v>45763</v>
      </c>
      <c r="C3169">
        <v>2025</v>
      </c>
      <c r="D3169" t="s">
        <v>599</v>
      </c>
      <c r="E3169" t="s">
        <v>600</v>
      </c>
      <c r="F3169" t="s">
        <v>31</v>
      </c>
      <c r="G3169" t="s">
        <v>25</v>
      </c>
      <c r="H3169" t="s">
        <v>26</v>
      </c>
      <c r="I3169" t="s">
        <v>84</v>
      </c>
      <c r="J3169" t="s">
        <v>223</v>
      </c>
      <c r="K3169">
        <v>1</v>
      </c>
      <c r="L3169" s="2">
        <v>16.97</v>
      </c>
      <c r="M3169" s="3">
        <v>0</v>
      </c>
      <c r="N3169" t="s">
        <v>38</v>
      </c>
      <c r="O3169" s="2">
        <v>16.97</v>
      </c>
      <c r="P3169" s="2">
        <v>12.01</v>
      </c>
      <c r="Q3169" s="2">
        <v>4.96</v>
      </c>
      <c r="R3169">
        <v>1</v>
      </c>
      <c r="S3169">
        <v>0</v>
      </c>
      <c r="T3169">
        <v>3</v>
      </c>
      <c r="U3169">
        <v>5</v>
      </c>
    </row>
    <row r="3170" spans="1:21" ht="16.5" x14ac:dyDescent="0.3">
      <c r="A3170" t="s">
        <v>3258</v>
      </c>
      <c r="B3170" s="1">
        <v>45763</v>
      </c>
      <c r="C3170">
        <v>2025</v>
      </c>
      <c r="D3170" t="s">
        <v>599</v>
      </c>
      <c r="E3170" t="s">
        <v>600</v>
      </c>
      <c r="F3170" t="s">
        <v>24</v>
      </c>
      <c r="G3170" t="s">
        <v>51</v>
      </c>
      <c r="H3170" t="s">
        <v>32</v>
      </c>
      <c r="I3170" t="s">
        <v>27</v>
      </c>
      <c r="J3170" t="s">
        <v>33</v>
      </c>
      <c r="K3170">
        <v>1</v>
      </c>
      <c r="L3170" s="2">
        <v>78.510000000000005</v>
      </c>
      <c r="M3170" s="3">
        <v>0</v>
      </c>
      <c r="N3170" t="s">
        <v>38</v>
      </c>
      <c r="O3170" s="2">
        <v>78.510000000000005</v>
      </c>
      <c r="P3170" s="2">
        <v>41.08</v>
      </c>
      <c r="Q3170" s="2">
        <v>37.43</v>
      </c>
      <c r="R3170">
        <v>1</v>
      </c>
      <c r="S3170">
        <v>0</v>
      </c>
      <c r="T3170">
        <v>3</v>
      </c>
      <c r="U3170">
        <v>5</v>
      </c>
    </row>
    <row r="3171" spans="1:21" ht="16.5" x14ac:dyDescent="0.3">
      <c r="A3171" t="s">
        <v>3259</v>
      </c>
      <c r="B3171" s="1">
        <v>45763</v>
      </c>
      <c r="C3171">
        <v>2025</v>
      </c>
      <c r="D3171" t="s">
        <v>599</v>
      </c>
      <c r="E3171" t="s">
        <v>600</v>
      </c>
      <c r="F3171" t="s">
        <v>31</v>
      </c>
      <c r="G3171" t="s">
        <v>51</v>
      </c>
      <c r="H3171" t="s">
        <v>32</v>
      </c>
      <c r="I3171" t="s">
        <v>42</v>
      </c>
      <c r="J3171" t="s">
        <v>98</v>
      </c>
      <c r="K3171">
        <v>4</v>
      </c>
      <c r="L3171" s="2">
        <v>117.63</v>
      </c>
      <c r="M3171" s="3">
        <v>0.3</v>
      </c>
      <c r="N3171" t="s">
        <v>62</v>
      </c>
      <c r="O3171" s="2">
        <v>329.36</v>
      </c>
      <c r="P3171" s="2">
        <v>305.95</v>
      </c>
      <c r="Q3171" s="2">
        <v>23.41</v>
      </c>
      <c r="R3171">
        <v>1</v>
      </c>
      <c r="S3171">
        <v>0</v>
      </c>
      <c r="T3171">
        <v>2</v>
      </c>
      <c r="U3171">
        <v>5</v>
      </c>
    </row>
    <row r="3172" spans="1:21" ht="16.5" x14ac:dyDescent="0.3">
      <c r="A3172" t="s">
        <v>3260</v>
      </c>
      <c r="B3172" s="1">
        <v>45763</v>
      </c>
      <c r="C3172">
        <v>2025</v>
      </c>
      <c r="D3172" t="s">
        <v>599</v>
      </c>
      <c r="E3172" t="s">
        <v>600</v>
      </c>
      <c r="F3172" t="s">
        <v>31</v>
      </c>
      <c r="G3172" t="s">
        <v>49</v>
      </c>
      <c r="H3172" t="s">
        <v>32</v>
      </c>
      <c r="I3172" t="s">
        <v>36</v>
      </c>
      <c r="J3172" t="s">
        <v>115</v>
      </c>
      <c r="K3172">
        <v>1</v>
      </c>
      <c r="L3172" s="2">
        <v>33.479999999999997</v>
      </c>
      <c r="M3172" s="3">
        <v>0.2</v>
      </c>
      <c r="N3172" t="s">
        <v>34</v>
      </c>
      <c r="O3172" s="2">
        <v>26.78</v>
      </c>
      <c r="P3172" s="2">
        <v>16.32</v>
      </c>
      <c r="Q3172" s="2">
        <v>10.46</v>
      </c>
      <c r="R3172">
        <v>1</v>
      </c>
      <c r="S3172">
        <v>0</v>
      </c>
      <c r="T3172">
        <v>7</v>
      </c>
      <c r="U3172">
        <v>3</v>
      </c>
    </row>
    <row r="3173" spans="1:21" ht="16.5" x14ac:dyDescent="0.3">
      <c r="A3173" t="s">
        <v>3261</v>
      </c>
      <c r="B3173" s="1">
        <v>45763</v>
      </c>
      <c r="C3173">
        <v>2025</v>
      </c>
      <c r="D3173" t="s">
        <v>599</v>
      </c>
      <c r="E3173" t="s">
        <v>600</v>
      </c>
      <c r="F3173" t="s">
        <v>31</v>
      </c>
      <c r="G3173" t="s">
        <v>49</v>
      </c>
      <c r="H3173" t="s">
        <v>26</v>
      </c>
      <c r="I3173" t="s">
        <v>84</v>
      </c>
      <c r="J3173" t="s">
        <v>223</v>
      </c>
      <c r="K3173">
        <v>1</v>
      </c>
      <c r="L3173" s="2">
        <v>16.97</v>
      </c>
      <c r="M3173" s="3">
        <v>0.15</v>
      </c>
      <c r="N3173" t="s">
        <v>34</v>
      </c>
      <c r="O3173" s="2">
        <v>14.42</v>
      </c>
      <c r="P3173" s="2">
        <v>12.91</v>
      </c>
      <c r="Q3173" s="2">
        <v>1.51</v>
      </c>
      <c r="R3173">
        <v>1</v>
      </c>
      <c r="S3173">
        <v>0</v>
      </c>
      <c r="T3173">
        <v>3</v>
      </c>
      <c r="U3173">
        <v>5</v>
      </c>
    </row>
    <row r="3174" spans="1:21" ht="16.5" x14ac:dyDescent="0.3">
      <c r="A3174" t="s">
        <v>3262</v>
      </c>
      <c r="B3174" s="1">
        <v>45764</v>
      </c>
      <c r="C3174">
        <v>2025</v>
      </c>
      <c r="D3174" t="s">
        <v>599</v>
      </c>
      <c r="E3174" t="s">
        <v>600</v>
      </c>
      <c r="F3174" t="s">
        <v>31</v>
      </c>
      <c r="G3174" t="s">
        <v>49</v>
      </c>
      <c r="H3174" t="s">
        <v>26</v>
      </c>
      <c r="I3174" t="s">
        <v>84</v>
      </c>
      <c r="J3174" t="s">
        <v>85</v>
      </c>
      <c r="K3174">
        <v>1</v>
      </c>
      <c r="L3174" s="2">
        <v>57.92</v>
      </c>
      <c r="M3174" s="3">
        <v>0.1</v>
      </c>
      <c r="N3174" t="s">
        <v>29</v>
      </c>
      <c r="O3174" s="2">
        <v>52.13</v>
      </c>
      <c r="P3174" s="2">
        <v>39.94</v>
      </c>
      <c r="Q3174" s="2">
        <v>12.19</v>
      </c>
      <c r="R3174">
        <v>1</v>
      </c>
      <c r="S3174">
        <v>0</v>
      </c>
      <c r="T3174">
        <v>4</v>
      </c>
      <c r="U3174">
        <v>4</v>
      </c>
    </row>
    <row r="3175" spans="1:21" ht="16.5" x14ac:dyDescent="0.3">
      <c r="A3175" t="s">
        <v>3263</v>
      </c>
      <c r="B3175" s="1">
        <v>45764</v>
      </c>
      <c r="C3175">
        <v>2025</v>
      </c>
      <c r="D3175" t="s">
        <v>599</v>
      </c>
      <c r="E3175" t="s">
        <v>600</v>
      </c>
      <c r="F3175" t="s">
        <v>24</v>
      </c>
      <c r="G3175" t="s">
        <v>46</v>
      </c>
      <c r="H3175" t="s">
        <v>32</v>
      </c>
      <c r="I3175" t="s">
        <v>42</v>
      </c>
      <c r="J3175" t="s">
        <v>76</v>
      </c>
      <c r="K3175">
        <v>1</v>
      </c>
      <c r="L3175" s="2">
        <v>90.75</v>
      </c>
      <c r="M3175" s="3">
        <v>0.05</v>
      </c>
      <c r="N3175" t="s">
        <v>29</v>
      </c>
      <c r="O3175" s="2">
        <v>86.21</v>
      </c>
      <c r="P3175" s="2">
        <v>58.73</v>
      </c>
      <c r="Q3175" s="2">
        <v>27.48</v>
      </c>
      <c r="R3175">
        <v>1</v>
      </c>
      <c r="S3175">
        <v>0</v>
      </c>
      <c r="T3175">
        <v>7</v>
      </c>
      <c r="U3175">
        <v>5</v>
      </c>
    </row>
    <row r="3176" spans="1:21" ht="16.5" x14ac:dyDescent="0.3">
      <c r="A3176" t="s">
        <v>3264</v>
      </c>
      <c r="B3176" s="1">
        <v>45764</v>
      </c>
      <c r="C3176">
        <v>2025</v>
      </c>
      <c r="D3176" t="s">
        <v>599</v>
      </c>
      <c r="E3176" t="s">
        <v>600</v>
      </c>
      <c r="F3176" t="s">
        <v>45</v>
      </c>
      <c r="G3176" t="s">
        <v>49</v>
      </c>
      <c r="H3176" t="s">
        <v>26</v>
      </c>
      <c r="I3176" t="s">
        <v>42</v>
      </c>
      <c r="J3176" t="s">
        <v>98</v>
      </c>
      <c r="K3176">
        <v>1</v>
      </c>
      <c r="L3176" s="2">
        <v>117.63</v>
      </c>
      <c r="M3176" s="3">
        <v>0.05</v>
      </c>
      <c r="N3176" t="s">
        <v>29</v>
      </c>
      <c r="O3176" s="2">
        <v>111.75</v>
      </c>
      <c r="P3176" s="2">
        <v>81.91</v>
      </c>
      <c r="Q3176" s="2">
        <v>29.84</v>
      </c>
      <c r="R3176">
        <v>1</v>
      </c>
      <c r="S3176">
        <v>0</v>
      </c>
      <c r="T3176">
        <v>3</v>
      </c>
      <c r="U3176">
        <v>4</v>
      </c>
    </row>
    <row r="3177" spans="1:21" ht="16.5" x14ac:dyDescent="0.3">
      <c r="A3177" t="s">
        <v>3265</v>
      </c>
      <c r="B3177" s="1">
        <v>45764</v>
      </c>
      <c r="C3177">
        <v>2025</v>
      </c>
      <c r="D3177" t="s">
        <v>599</v>
      </c>
      <c r="E3177" t="s">
        <v>600</v>
      </c>
      <c r="F3177" t="s">
        <v>24</v>
      </c>
      <c r="G3177" t="s">
        <v>25</v>
      </c>
      <c r="H3177" t="s">
        <v>26</v>
      </c>
      <c r="I3177" t="s">
        <v>67</v>
      </c>
      <c r="J3177" t="s">
        <v>174</v>
      </c>
      <c r="K3177">
        <v>1</v>
      </c>
      <c r="L3177" s="2">
        <v>137.05000000000001</v>
      </c>
      <c r="M3177" s="3">
        <v>0.1</v>
      </c>
      <c r="N3177" t="s">
        <v>29</v>
      </c>
      <c r="O3177" s="2">
        <v>123.35</v>
      </c>
      <c r="P3177" s="2">
        <v>90.1</v>
      </c>
      <c r="Q3177" s="2">
        <v>33.25</v>
      </c>
      <c r="R3177">
        <v>1</v>
      </c>
      <c r="S3177">
        <v>0</v>
      </c>
      <c r="T3177">
        <v>4</v>
      </c>
      <c r="U3177">
        <v>5</v>
      </c>
    </row>
    <row r="3178" spans="1:21" ht="16.5" x14ac:dyDescent="0.3">
      <c r="A3178" t="s">
        <v>3266</v>
      </c>
      <c r="B3178" s="1">
        <v>45764</v>
      </c>
      <c r="C3178">
        <v>2025</v>
      </c>
      <c r="D3178" t="s">
        <v>599</v>
      </c>
      <c r="E3178" t="s">
        <v>600</v>
      </c>
      <c r="F3178" t="s">
        <v>24</v>
      </c>
      <c r="G3178" t="s">
        <v>51</v>
      </c>
      <c r="H3178" t="s">
        <v>32</v>
      </c>
      <c r="I3178" t="s">
        <v>70</v>
      </c>
      <c r="J3178" t="s">
        <v>87</v>
      </c>
      <c r="K3178">
        <v>1</v>
      </c>
      <c r="L3178" s="2">
        <v>490.3</v>
      </c>
      <c r="M3178" s="3">
        <v>0</v>
      </c>
      <c r="N3178" t="s">
        <v>38</v>
      </c>
      <c r="O3178" s="2">
        <v>490.3</v>
      </c>
      <c r="P3178" s="2">
        <v>397.6</v>
      </c>
      <c r="Q3178" s="2">
        <v>92.7</v>
      </c>
      <c r="R3178">
        <v>1</v>
      </c>
      <c r="S3178">
        <v>0</v>
      </c>
      <c r="T3178">
        <v>2</v>
      </c>
      <c r="U3178">
        <v>4</v>
      </c>
    </row>
    <row r="3179" spans="1:21" ht="16.5" x14ac:dyDescent="0.3">
      <c r="A3179" t="s">
        <v>3267</v>
      </c>
      <c r="B3179" s="1">
        <v>45765</v>
      </c>
      <c r="C3179">
        <v>2025</v>
      </c>
      <c r="D3179" t="s">
        <v>599</v>
      </c>
      <c r="E3179" t="s">
        <v>600</v>
      </c>
      <c r="F3179" t="s">
        <v>24</v>
      </c>
      <c r="G3179" t="s">
        <v>51</v>
      </c>
      <c r="H3179" t="s">
        <v>26</v>
      </c>
      <c r="I3179" t="s">
        <v>70</v>
      </c>
      <c r="J3179" t="s">
        <v>71</v>
      </c>
      <c r="K3179">
        <v>1</v>
      </c>
      <c r="L3179" s="2">
        <v>588.41</v>
      </c>
      <c r="M3179" s="3">
        <v>0.1</v>
      </c>
      <c r="N3179" t="s">
        <v>29</v>
      </c>
      <c r="O3179" s="2">
        <v>529.57000000000005</v>
      </c>
      <c r="P3179" s="2">
        <v>478.32</v>
      </c>
      <c r="Q3179" s="2">
        <v>51.25</v>
      </c>
      <c r="R3179">
        <v>1</v>
      </c>
      <c r="S3179">
        <v>0</v>
      </c>
      <c r="T3179">
        <v>3</v>
      </c>
      <c r="U3179">
        <v>5</v>
      </c>
    </row>
    <row r="3180" spans="1:21" ht="16.5" x14ac:dyDescent="0.3">
      <c r="A3180" t="s">
        <v>3268</v>
      </c>
      <c r="B3180" s="1">
        <v>45765</v>
      </c>
      <c r="C3180">
        <v>2025</v>
      </c>
      <c r="D3180" t="s">
        <v>599</v>
      </c>
      <c r="E3180" t="s">
        <v>600</v>
      </c>
      <c r="F3180" t="s">
        <v>31</v>
      </c>
      <c r="G3180" t="s">
        <v>49</v>
      </c>
      <c r="H3180" t="s">
        <v>26</v>
      </c>
      <c r="I3180" t="s">
        <v>42</v>
      </c>
      <c r="J3180" t="s">
        <v>76</v>
      </c>
      <c r="K3180">
        <v>1</v>
      </c>
      <c r="L3180" s="2">
        <v>90.75</v>
      </c>
      <c r="M3180" s="3">
        <v>0</v>
      </c>
      <c r="N3180" t="s">
        <v>38</v>
      </c>
      <c r="O3180" s="2">
        <v>90.75</v>
      </c>
      <c r="P3180" s="2">
        <v>62.2</v>
      </c>
      <c r="Q3180" s="2">
        <v>28.55</v>
      </c>
      <c r="R3180">
        <v>1</v>
      </c>
      <c r="S3180">
        <v>0</v>
      </c>
      <c r="T3180">
        <v>3</v>
      </c>
      <c r="U3180">
        <v>5</v>
      </c>
    </row>
    <row r="3181" spans="1:21" ht="16.5" x14ac:dyDescent="0.3">
      <c r="A3181" t="s">
        <v>3269</v>
      </c>
      <c r="B3181" s="1">
        <v>45765</v>
      </c>
      <c r="C3181">
        <v>2025</v>
      </c>
      <c r="D3181" t="s">
        <v>599</v>
      </c>
      <c r="E3181" t="s">
        <v>600</v>
      </c>
      <c r="F3181" t="s">
        <v>45</v>
      </c>
      <c r="G3181" t="s">
        <v>51</v>
      </c>
      <c r="H3181" t="s">
        <v>32</v>
      </c>
      <c r="I3181" t="s">
        <v>27</v>
      </c>
      <c r="J3181" t="s">
        <v>60</v>
      </c>
      <c r="K3181">
        <v>1</v>
      </c>
      <c r="L3181" s="2">
        <v>94.85</v>
      </c>
      <c r="M3181" s="3">
        <v>0.15</v>
      </c>
      <c r="N3181" t="s">
        <v>34</v>
      </c>
      <c r="O3181" s="2">
        <v>80.62</v>
      </c>
      <c r="P3181" s="2">
        <v>52.55</v>
      </c>
      <c r="Q3181" s="2">
        <v>28.07</v>
      </c>
      <c r="R3181">
        <v>1</v>
      </c>
      <c r="S3181">
        <v>0</v>
      </c>
      <c r="T3181">
        <v>3</v>
      </c>
      <c r="U3181">
        <v>4</v>
      </c>
    </row>
    <row r="3182" spans="1:21" ht="16.5" x14ac:dyDescent="0.3">
      <c r="A3182" t="s">
        <v>3270</v>
      </c>
      <c r="B3182" s="1">
        <v>45765</v>
      </c>
      <c r="C3182">
        <v>2025</v>
      </c>
      <c r="D3182" t="s">
        <v>599</v>
      </c>
      <c r="E3182" t="s">
        <v>600</v>
      </c>
      <c r="F3182" t="s">
        <v>24</v>
      </c>
      <c r="G3182" t="s">
        <v>49</v>
      </c>
      <c r="H3182" t="s">
        <v>32</v>
      </c>
      <c r="I3182" t="s">
        <v>36</v>
      </c>
      <c r="J3182" t="s">
        <v>56</v>
      </c>
      <c r="K3182">
        <v>2</v>
      </c>
      <c r="L3182" s="2">
        <v>74.3</v>
      </c>
      <c r="M3182" s="3">
        <v>0</v>
      </c>
      <c r="N3182" t="s">
        <v>38</v>
      </c>
      <c r="O3182" s="2">
        <v>148.6</v>
      </c>
      <c r="P3182" s="2">
        <v>75.47</v>
      </c>
      <c r="Q3182" s="2">
        <v>73.13</v>
      </c>
      <c r="R3182">
        <v>1</v>
      </c>
      <c r="S3182">
        <v>0</v>
      </c>
      <c r="T3182">
        <v>4</v>
      </c>
      <c r="U3182">
        <v>5</v>
      </c>
    </row>
    <row r="3183" spans="1:21" ht="16.5" x14ac:dyDescent="0.3">
      <c r="A3183" t="s">
        <v>3271</v>
      </c>
      <c r="B3183" s="1">
        <v>45765</v>
      </c>
      <c r="C3183">
        <v>2025</v>
      </c>
      <c r="D3183" t="s">
        <v>599</v>
      </c>
      <c r="E3183" t="s">
        <v>600</v>
      </c>
      <c r="F3183" t="s">
        <v>24</v>
      </c>
      <c r="G3183" t="s">
        <v>49</v>
      </c>
      <c r="H3183" t="s">
        <v>26</v>
      </c>
      <c r="I3183" t="s">
        <v>67</v>
      </c>
      <c r="J3183" t="s">
        <v>93</v>
      </c>
      <c r="K3183">
        <v>1</v>
      </c>
      <c r="L3183" s="2">
        <v>198.42</v>
      </c>
      <c r="M3183" s="3">
        <v>0.05</v>
      </c>
      <c r="N3183" t="s">
        <v>29</v>
      </c>
      <c r="O3183" s="2">
        <v>188.5</v>
      </c>
      <c r="P3183" s="2">
        <v>129.36000000000001</v>
      </c>
      <c r="Q3183" s="2">
        <v>59.14</v>
      </c>
      <c r="R3183">
        <v>1</v>
      </c>
      <c r="S3183">
        <v>0</v>
      </c>
      <c r="T3183">
        <v>3</v>
      </c>
      <c r="U3183">
        <v>4</v>
      </c>
    </row>
    <row r="3184" spans="1:21" ht="16.5" x14ac:dyDescent="0.3">
      <c r="A3184" t="s">
        <v>3272</v>
      </c>
      <c r="B3184" s="1">
        <v>45765</v>
      </c>
      <c r="C3184">
        <v>2025</v>
      </c>
      <c r="D3184" t="s">
        <v>599</v>
      </c>
      <c r="E3184" t="s">
        <v>600</v>
      </c>
      <c r="F3184" t="s">
        <v>31</v>
      </c>
      <c r="G3184" t="s">
        <v>49</v>
      </c>
      <c r="H3184" t="s">
        <v>32</v>
      </c>
      <c r="I3184" t="s">
        <v>84</v>
      </c>
      <c r="J3184" t="s">
        <v>85</v>
      </c>
      <c r="K3184">
        <v>1</v>
      </c>
      <c r="L3184" s="2">
        <v>57.92</v>
      </c>
      <c r="M3184" s="3">
        <v>0.1</v>
      </c>
      <c r="N3184" t="s">
        <v>29</v>
      </c>
      <c r="O3184" s="2">
        <v>52.13</v>
      </c>
      <c r="P3184" s="2">
        <v>42.86</v>
      </c>
      <c r="Q3184" s="2">
        <v>9.27</v>
      </c>
      <c r="R3184">
        <v>1</v>
      </c>
      <c r="S3184">
        <v>0</v>
      </c>
      <c r="T3184">
        <v>5</v>
      </c>
      <c r="U3184">
        <v>5</v>
      </c>
    </row>
    <row r="3185" spans="1:21" ht="16.5" x14ac:dyDescent="0.3">
      <c r="A3185" t="s">
        <v>3273</v>
      </c>
      <c r="B3185" s="1">
        <v>45765</v>
      </c>
      <c r="C3185">
        <v>2025</v>
      </c>
      <c r="D3185" t="s">
        <v>599</v>
      </c>
      <c r="E3185" t="s">
        <v>600</v>
      </c>
      <c r="F3185" t="s">
        <v>24</v>
      </c>
      <c r="G3185" t="s">
        <v>49</v>
      </c>
      <c r="H3185" t="s">
        <v>26</v>
      </c>
      <c r="I3185" t="s">
        <v>67</v>
      </c>
      <c r="J3185" t="s">
        <v>103</v>
      </c>
      <c r="K3185">
        <v>2</v>
      </c>
      <c r="L3185" s="2">
        <v>83.06</v>
      </c>
      <c r="M3185" s="3">
        <v>0</v>
      </c>
      <c r="N3185" t="s">
        <v>38</v>
      </c>
      <c r="O3185" s="2">
        <v>166.12</v>
      </c>
      <c r="P3185" s="2">
        <v>116.05</v>
      </c>
      <c r="Q3185" s="2">
        <v>50.07</v>
      </c>
      <c r="R3185">
        <v>1</v>
      </c>
      <c r="S3185">
        <v>0</v>
      </c>
      <c r="T3185">
        <v>4</v>
      </c>
      <c r="U3185">
        <v>3</v>
      </c>
    </row>
    <row r="3186" spans="1:21" ht="16.5" x14ac:dyDescent="0.3">
      <c r="A3186" t="s">
        <v>3274</v>
      </c>
      <c r="B3186" s="1">
        <v>45765</v>
      </c>
      <c r="C3186">
        <v>2025</v>
      </c>
      <c r="D3186" t="s">
        <v>599</v>
      </c>
      <c r="E3186" t="s">
        <v>600</v>
      </c>
      <c r="F3186" t="s">
        <v>45</v>
      </c>
      <c r="G3186" t="s">
        <v>51</v>
      </c>
      <c r="H3186" t="s">
        <v>26</v>
      </c>
      <c r="I3186" t="s">
        <v>27</v>
      </c>
      <c r="J3186" t="s">
        <v>33</v>
      </c>
      <c r="K3186">
        <v>1</v>
      </c>
      <c r="L3186" s="2">
        <v>78.510000000000005</v>
      </c>
      <c r="M3186" s="3">
        <v>0.25</v>
      </c>
      <c r="N3186" t="s">
        <v>62</v>
      </c>
      <c r="O3186" s="2">
        <v>58.88</v>
      </c>
      <c r="P3186" s="2">
        <v>42.86</v>
      </c>
      <c r="Q3186" s="2">
        <v>16.02</v>
      </c>
      <c r="R3186">
        <v>1</v>
      </c>
      <c r="S3186">
        <v>0</v>
      </c>
      <c r="T3186">
        <v>3</v>
      </c>
      <c r="U3186">
        <v>4</v>
      </c>
    </row>
    <row r="3187" spans="1:21" ht="16.5" x14ac:dyDescent="0.3">
      <c r="A3187" t="s">
        <v>3275</v>
      </c>
      <c r="B3187" s="1">
        <v>45765</v>
      </c>
      <c r="C3187">
        <v>2025</v>
      </c>
      <c r="D3187" t="s">
        <v>599</v>
      </c>
      <c r="E3187" t="s">
        <v>600</v>
      </c>
      <c r="F3187" t="s">
        <v>45</v>
      </c>
      <c r="G3187" t="s">
        <v>65</v>
      </c>
      <c r="H3187" t="s">
        <v>26</v>
      </c>
      <c r="I3187" t="s">
        <v>67</v>
      </c>
      <c r="J3187" t="s">
        <v>78</v>
      </c>
      <c r="K3187">
        <v>1</v>
      </c>
      <c r="L3187" s="2">
        <v>85.42</v>
      </c>
      <c r="M3187" s="3">
        <v>0.15</v>
      </c>
      <c r="N3187" t="s">
        <v>34</v>
      </c>
      <c r="O3187" s="2">
        <v>72.61</v>
      </c>
      <c r="P3187" s="2">
        <v>56.91</v>
      </c>
      <c r="Q3187" s="2">
        <v>15.7</v>
      </c>
      <c r="R3187">
        <v>1</v>
      </c>
      <c r="S3187">
        <v>0</v>
      </c>
      <c r="T3187">
        <v>5</v>
      </c>
      <c r="U3187">
        <v>5</v>
      </c>
    </row>
    <row r="3188" spans="1:21" ht="16.5" x14ac:dyDescent="0.3">
      <c r="A3188" t="s">
        <v>3276</v>
      </c>
      <c r="B3188" s="1">
        <v>45765</v>
      </c>
      <c r="C3188">
        <v>2025</v>
      </c>
      <c r="D3188" t="s">
        <v>599</v>
      </c>
      <c r="E3188" t="s">
        <v>600</v>
      </c>
      <c r="F3188" t="s">
        <v>31</v>
      </c>
      <c r="G3188" t="s">
        <v>25</v>
      </c>
      <c r="H3188" t="s">
        <v>32</v>
      </c>
      <c r="I3188" t="s">
        <v>27</v>
      </c>
      <c r="J3188" t="s">
        <v>33</v>
      </c>
      <c r="K3188">
        <v>1</v>
      </c>
      <c r="L3188" s="2">
        <v>78.510000000000005</v>
      </c>
      <c r="M3188" s="3">
        <v>0</v>
      </c>
      <c r="N3188" t="s">
        <v>38</v>
      </c>
      <c r="O3188" s="2">
        <v>78.510000000000005</v>
      </c>
      <c r="P3188" s="2">
        <v>45.16</v>
      </c>
      <c r="Q3188" s="2">
        <v>33.35</v>
      </c>
      <c r="R3188">
        <v>1</v>
      </c>
      <c r="S3188">
        <v>0</v>
      </c>
      <c r="T3188">
        <v>3</v>
      </c>
      <c r="U3188">
        <v>4</v>
      </c>
    </row>
    <row r="3189" spans="1:21" ht="16.5" x14ac:dyDescent="0.3">
      <c r="A3189" t="s">
        <v>3277</v>
      </c>
      <c r="B3189" s="1">
        <v>45765</v>
      </c>
      <c r="C3189">
        <v>2025</v>
      </c>
      <c r="D3189" t="s">
        <v>599</v>
      </c>
      <c r="E3189" t="s">
        <v>600</v>
      </c>
      <c r="F3189" t="s">
        <v>45</v>
      </c>
      <c r="G3189" t="s">
        <v>65</v>
      </c>
      <c r="H3189" t="s">
        <v>32</v>
      </c>
      <c r="I3189" t="s">
        <v>42</v>
      </c>
      <c r="J3189" t="s">
        <v>98</v>
      </c>
      <c r="K3189">
        <v>1</v>
      </c>
      <c r="L3189" s="2">
        <v>117.63</v>
      </c>
      <c r="M3189" s="3">
        <v>0.15</v>
      </c>
      <c r="N3189" t="s">
        <v>34</v>
      </c>
      <c r="O3189" s="2">
        <v>99.99</v>
      </c>
      <c r="P3189" s="2">
        <v>79.73</v>
      </c>
      <c r="Q3189" s="2">
        <v>20.260000000000002</v>
      </c>
      <c r="R3189">
        <v>1</v>
      </c>
      <c r="S3189">
        <v>0</v>
      </c>
      <c r="T3189">
        <v>6</v>
      </c>
      <c r="U3189">
        <v>3</v>
      </c>
    </row>
    <row r="3190" spans="1:21" ht="16.5" x14ac:dyDescent="0.3">
      <c r="A3190" t="s">
        <v>3278</v>
      </c>
      <c r="B3190" s="1">
        <v>45766</v>
      </c>
      <c r="C3190">
        <v>2025</v>
      </c>
      <c r="D3190" t="s">
        <v>599</v>
      </c>
      <c r="E3190" t="s">
        <v>600</v>
      </c>
      <c r="F3190" t="s">
        <v>31</v>
      </c>
      <c r="G3190" t="s">
        <v>51</v>
      </c>
      <c r="H3190" t="s">
        <v>32</v>
      </c>
      <c r="I3190" t="s">
        <v>36</v>
      </c>
      <c r="J3190" t="s">
        <v>52</v>
      </c>
      <c r="K3190">
        <v>2</v>
      </c>
      <c r="L3190" s="2">
        <v>92.54</v>
      </c>
      <c r="M3190" s="3">
        <v>0</v>
      </c>
      <c r="N3190" t="s">
        <v>38</v>
      </c>
      <c r="O3190" s="2">
        <v>185.08</v>
      </c>
      <c r="P3190" s="2">
        <v>95.69</v>
      </c>
      <c r="Q3190" s="2">
        <v>89.39</v>
      </c>
      <c r="R3190">
        <v>1</v>
      </c>
      <c r="S3190">
        <v>0</v>
      </c>
      <c r="T3190">
        <v>2</v>
      </c>
      <c r="U3190">
        <v>5</v>
      </c>
    </row>
    <row r="3191" spans="1:21" ht="16.5" x14ac:dyDescent="0.3">
      <c r="A3191" t="s">
        <v>3279</v>
      </c>
      <c r="B3191" s="1">
        <v>45766</v>
      </c>
      <c r="C3191">
        <v>2025</v>
      </c>
      <c r="D3191" t="s">
        <v>599</v>
      </c>
      <c r="E3191" t="s">
        <v>600</v>
      </c>
      <c r="F3191" t="s">
        <v>24</v>
      </c>
      <c r="G3191" t="s">
        <v>25</v>
      </c>
      <c r="H3191" t="s">
        <v>26</v>
      </c>
      <c r="I3191" t="s">
        <v>36</v>
      </c>
      <c r="J3191" t="s">
        <v>37</v>
      </c>
      <c r="K3191">
        <v>1</v>
      </c>
      <c r="L3191" s="2">
        <v>33.18</v>
      </c>
      <c r="M3191" s="3">
        <v>0.15</v>
      </c>
      <c r="N3191" t="s">
        <v>34</v>
      </c>
      <c r="O3191" s="2">
        <v>28.2</v>
      </c>
      <c r="P3191" s="2">
        <v>15.65</v>
      </c>
      <c r="Q3191" s="2">
        <v>12.55</v>
      </c>
      <c r="R3191">
        <v>1</v>
      </c>
      <c r="S3191">
        <v>0</v>
      </c>
      <c r="T3191">
        <v>4</v>
      </c>
      <c r="U3191">
        <v>4</v>
      </c>
    </row>
    <row r="3192" spans="1:21" ht="16.5" x14ac:dyDescent="0.3">
      <c r="A3192" t="s">
        <v>3280</v>
      </c>
      <c r="B3192" s="1">
        <v>45766</v>
      </c>
      <c r="C3192">
        <v>2025</v>
      </c>
      <c r="D3192" t="s">
        <v>599</v>
      </c>
      <c r="E3192" t="s">
        <v>600</v>
      </c>
      <c r="F3192" t="s">
        <v>24</v>
      </c>
      <c r="G3192" t="s">
        <v>51</v>
      </c>
      <c r="H3192" t="s">
        <v>32</v>
      </c>
      <c r="I3192" t="s">
        <v>27</v>
      </c>
      <c r="J3192" t="s">
        <v>47</v>
      </c>
      <c r="K3192">
        <v>1</v>
      </c>
      <c r="L3192" s="2">
        <v>33.99</v>
      </c>
      <c r="M3192" s="3">
        <v>0.15</v>
      </c>
      <c r="N3192" t="s">
        <v>34</v>
      </c>
      <c r="O3192" s="2">
        <v>28.89</v>
      </c>
      <c r="P3192" s="2">
        <v>19.45</v>
      </c>
      <c r="Q3192" s="2">
        <v>9.44</v>
      </c>
      <c r="R3192">
        <v>1</v>
      </c>
      <c r="S3192">
        <v>0</v>
      </c>
      <c r="T3192">
        <v>3</v>
      </c>
      <c r="U3192">
        <v>4</v>
      </c>
    </row>
    <row r="3193" spans="1:21" ht="16.5" x14ac:dyDescent="0.3">
      <c r="A3193" t="s">
        <v>3281</v>
      </c>
      <c r="B3193" s="1">
        <v>45766</v>
      </c>
      <c r="C3193">
        <v>2025</v>
      </c>
      <c r="D3193" t="s">
        <v>599</v>
      </c>
      <c r="E3193" t="s">
        <v>600</v>
      </c>
      <c r="F3193" t="s">
        <v>31</v>
      </c>
      <c r="G3193" t="s">
        <v>49</v>
      </c>
      <c r="H3193" t="s">
        <v>32</v>
      </c>
      <c r="I3193" t="s">
        <v>84</v>
      </c>
      <c r="J3193" t="s">
        <v>96</v>
      </c>
      <c r="K3193">
        <v>3</v>
      </c>
      <c r="L3193" s="2">
        <v>10.76</v>
      </c>
      <c r="M3193" s="3">
        <v>0.2</v>
      </c>
      <c r="N3193" t="s">
        <v>34</v>
      </c>
      <c r="O3193" s="2">
        <v>25.82</v>
      </c>
      <c r="P3193" s="2">
        <v>24.27</v>
      </c>
      <c r="Q3193" s="2">
        <v>1.55</v>
      </c>
      <c r="R3193">
        <v>1</v>
      </c>
      <c r="S3193">
        <v>0</v>
      </c>
      <c r="T3193">
        <v>4</v>
      </c>
      <c r="U3193">
        <v>5</v>
      </c>
    </row>
    <row r="3194" spans="1:21" ht="16.5" x14ac:dyDescent="0.3">
      <c r="A3194" t="s">
        <v>3282</v>
      </c>
      <c r="B3194" s="1">
        <v>45766</v>
      </c>
      <c r="C3194">
        <v>2025</v>
      </c>
      <c r="D3194" t="s">
        <v>599</v>
      </c>
      <c r="E3194" t="s">
        <v>600</v>
      </c>
      <c r="F3194" t="s">
        <v>31</v>
      </c>
      <c r="G3194" t="s">
        <v>49</v>
      </c>
      <c r="H3194" t="s">
        <v>32</v>
      </c>
      <c r="I3194" t="s">
        <v>84</v>
      </c>
      <c r="J3194" t="s">
        <v>96</v>
      </c>
      <c r="K3194">
        <v>1</v>
      </c>
      <c r="L3194" s="2">
        <v>10.76</v>
      </c>
      <c r="M3194" s="3">
        <v>0.15</v>
      </c>
      <c r="N3194" t="s">
        <v>34</v>
      </c>
      <c r="O3194" s="2">
        <v>9.15</v>
      </c>
      <c r="P3194" s="2">
        <v>7.92</v>
      </c>
      <c r="Q3194" s="2">
        <v>1.23</v>
      </c>
      <c r="R3194">
        <v>1</v>
      </c>
      <c r="S3194">
        <v>0</v>
      </c>
      <c r="T3194">
        <v>3</v>
      </c>
      <c r="U3194">
        <v>5</v>
      </c>
    </row>
    <row r="3195" spans="1:21" ht="16.5" x14ac:dyDescent="0.3">
      <c r="A3195" t="s">
        <v>3283</v>
      </c>
      <c r="B3195" s="1">
        <v>45766</v>
      </c>
      <c r="C3195">
        <v>2025</v>
      </c>
      <c r="D3195" t="s">
        <v>599</v>
      </c>
      <c r="E3195" t="s">
        <v>600</v>
      </c>
      <c r="F3195" t="s">
        <v>45</v>
      </c>
      <c r="G3195" t="s">
        <v>25</v>
      </c>
      <c r="H3195" t="s">
        <v>32</v>
      </c>
      <c r="I3195" t="s">
        <v>42</v>
      </c>
      <c r="J3195" t="s">
        <v>54</v>
      </c>
      <c r="K3195">
        <v>1</v>
      </c>
      <c r="L3195" s="2">
        <v>148.05000000000001</v>
      </c>
      <c r="M3195" s="3">
        <v>0.3</v>
      </c>
      <c r="N3195" t="s">
        <v>62</v>
      </c>
      <c r="O3195" s="2">
        <v>103.64</v>
      </c>
      <c r="P3195" s="2">
        <v>96.39</v>
      </c>
      <c r="Q3195" s="2">
        <v>7.25</v>
      </c>
      <c r="R3195">
        <v>1</v>
      </c>
      <c r="S3195">
        <v>0</v>
      </c>
      <c r="T3195">
        <v>6</v>
      </c>
      <c r="U3195">
        <v>3</v>
      </c>
    </row>
    <row r="3196" spans="1:21" ht="16.5" x14ac:dyDescent="0.3">
      <c r="A3196" t="s">
        <v>3284</v>
      </c>
      <c r="B3196" s="1">
        <v>45767</v>
      </c>
      <c r="C3196">
        <v>2025</v>
      </c>
      <c r="D3196" t="s">
        <v>599</v>
      </c>
      <c r="E3196" t="s">
        <v>600</v>
      </c>
      <c r="F3196" t="s">
        <v>45</v>
      </c>
      <c r="G3196" t="s">
        <v>51</v>
      </c>
      <c r="H3196" t="s">
        <v>26</v>
      </c>
      <c r="I3196" t="s">
        <v>84</v>
      </c>
      <c r="J3196" t="s">
        <v>106</v>
      </c>
      <c r="K3196">
        <v>3</v>
      </c>
      <c r="L3196" s="2">
        <v>45.28</v>
      </c>
      <c r="M3196" s="3">
        <v>0.2</v>
      </c>
      <c r="N3196" t="s">
        <v>34</v>
      </c>
      <c r="O3196" s="2">
        <v>108.67</v>
      </c>
      <c r="P3196" s="2">
        <v>94.83</v>
      </c>
      <c r="Q3196" s="2">
        <v>13.84</v>
      </c>
      <c r="R3196">
        <v>1</v>
      </c>
      <c r="S3196">
        <v>0</v>
      </c>
      <c r="T3196">
        <v>3</v>
      </c>
      <c r="U3196">
        <v>4</v>
      </c>
    </row>
    <row r="3197" spans="1:21" ht="16.5" x14ac:dyDescent="0.3">
      <c r="A3197" t="s">
        <v>3285</v>
      </c>
      <c r="B3197" s="1">
        <v>45767</v>
      </c>
      <c r="C3197">
        <v>2025</v>
      </c>
      <c r="D3197" t="s">
        <v>599</v>
      </c>
      <c r="E3197" t="s">
        <v>600</v>
      </c>
      <c r="F3197" t="s">
        <v>24</v>
      </c>
      <c r="G3197" t="s">
        <v>51</v>
      </c>
      <c r="H3197" t="s">
        <v>26</v>
      </c>
      <c r="I3197" t="s">
        <v>36</v>
      </c>
      <c r="J3197" t="s">
        <v>56</v>
      </c>
      <c r="K3197">
        <v>1</v>
      </c>
      <c r="L3197" s="2">
        <v>74.3</v>
      </c>
      <c r="M3197" s="3">
        <v>0.05</v>
      </c>
      <c r="N3197" t="s">
        <v>29</v>
      </c>
      <c r="O3197" s="2">
        <v>70.58</v>
      </c>
      <c r="P3197" s="2">
        <v>36.32</v>
      </c>
      <c r="Q3197" s="2">
        <v>34.26</v>
      </c>
      <c r="R3197">
        <v>1</v>
      </c>
      <c r="S3197">
        <v>0</v>
      </c>
      <c r="T3197">
        <v>5</v>
      </c>
      <c r="U3197">
        <v>5</v>
      </c>
    </row>
    <row r="3198" spans="1:21" ht="16.5" x14ac:dyDescent="0.3">
      <c r="A3198" t="s">
        <v>3286</v>
      </c>
      <c r="B3198" s="1">
        <v>45767</v>
      </c>
      <c r="C3198">
        <v>2025</v>
      </c>
      <c r="D3198" t="s">
        <v>599</v>
      </c>
      <c r="E3198" t="s">
        <v>600</v>
      </c>
      <c r="F3198" t="s">
        <v>24</v>
      </c>
      <c r="G3198" t="s">
        <v>51</v>
      </c>
      <c r="H3198" t="s">
        <v>26</v>
      </c>
      <c r="I3198" t="s">
        <v>42</v>
      </c>
      <c r="J3198" t="s">
        <v>43</v>
      </c>
      <c r="K3198">
        <v>1</v>
      </c>
      <c r="L3198" s="2">
        <v>154.66</v>
      </c>
      <c r="M3198" s="3">
        <v>0.05</v>
      </c>
      <c r="N3198" t="s">
        <v>29</v>
      </c>
      <c r="O3198" s="2">
        <v>146.93</v>
      </c>
      <c r="P3198" s="2">
        <v>101.95</v>
      </c>
      <c r="Q3198" s="2">
        <v>44.98</v>
      </c>
      <c r="R3198">
        <v>1</v>
      </c>
      <c r="S3198">
        <v>0</v>
      </c>
      <c r="T3198">
        <v>2</v>
      </c>
      <c r="U3198">
        <v>4</v>
      </c>
    </row>
    <row r="3199" spans="1:21" ht="16.5" x14ac:dyDescent="0.3">
      <c r="A3199" t="s">
        <v>3287</v>
      </c>
      <c r="B3199" s="1">
        <v>45767</v>
      </c>
      <c r="C3199">
        <v>2025</v>
      </c>
      <c r="D3199" t="s">
        <v>599</v>
      </c>
      <c r="E3199" t="s">
        <v>600</v>
      </c>
      <c r="F3199" t="s">
        <v>45</v>
      </c>
      <c r="G3199" t="s">
        <v>65</v>
      </c>
      <c r="H3199" t="s">
        <v>32</v>
      </c>
      <c r="I3199" t="s">
        <v>70</v>
      </c>
      <c r="J3199" t="s">
        <v>71</v>
      </c>
      <c r="K3199">
        <v>1</v>
      </c>
      <c r="L3199" s="2">
        <v>588.41</v>
      </c>
      <c r="M3199" s="3">
        <v>0</v>
      </c>
      <c r="N3199" t="s">
        <v>38</v>
      </c>
      <c r="O3199" s="2">
        <v>588.41</v>
      </c>
      <c r="P3199" s="2">
        <v>456.87</v>
      </c>
      <c r="Q3199" s="2">
        <v>131.54</v>
      </c>
      <c r="R3199">
        <v>1</v>
      </c>
      <c r="S3199">
        <v>0</v>
      </c>
      <c r="T3199">
        <v>5</v>
      </c>
      <c r="U3199">
        <v>4</v>
      </c>
    </row>
    <row r="3200" spans="1:21" ht="16.5" x14ac:dyDescent="0.3">
      <c r="A3200" t="s">
        <v>3288</v>
      </c>
      <c r="B3200" s="1">
        <v>45767</v>
      </c>
      <c r="C3200">
        <v>2025</v>
      </c>
      <c r="D3200" t="s">
        <v>599</v>
      </c>
      <c r="E3200" t="s">
        <v>600</v>
      </c>
      <c r="F3200" t="s">
        <v>24</v>
      </c>
      <c r="G3200" t="s">
        <v>25</v>
      </c>
      <c r="H3200" t="s">
        <v>26</v>
      </c>
      <c r="I3200" t="s">
        <v>27</v>
      </c>
      <c r="J3200" t="s">
        <v>40</v>
      </c>
      <c r="K3200">
        <v>1</v>
      </c>
      <c r="L3200" s="2">
        <v>104.94</v>
      </c>
      <c r="M3200" s="3">
        <v>0.05</v>
      </c>
      <c r="N3200" t="s">
        <v>29</v>
      </c>
      <c r="O3200" s="2">
        <v>99.69</v>
      </c>
      <c r="P3200" s="2">
        <v>56.49</v>
      </c>
      <c r="Q3200" s="2">
        <v>43.2</v>
      </c>
      <c r="R3200">
        <v>1</v>
      </c>
      <c r="S3200">
        <v>0</v>
      </c>
      <c r="T3200">
        <v>6</v>
      </c>
      <c r="U3200">
        <v>3</v>
      </c>
    </row>
    <row r="3201" spans="1:21" ht="16.5" x14ac:dyDescent="0.3">
      <c r="A3201" t="s">
        <v>3289</v>
      </c>
      <c r="B3201" s="1">
        <v>45767</v>
      </c>
      <c r="C3201">
        <v>2025</v>
      </c>
      <c r="D3201" t="s">
        <v>599</v>
      </c>
      <c r="E3201" t="s">
        <v>600</v>
      </c>
      <c r="F3201" t="s">
        <v>31</v>
      </c>
      <c r="G3201" t="s">
        <v>51</v>
      </c>
      <c r="H3201" t="s">
        <v>32</v>
      </c>
      <c r="I3201" t="s">
        <v>36</v>
      </c>
      <c r="J3201" t="s">
        <v>37</v>
      </c>
      <c r="K3201">
        <v>1</v>
      </c>
      <c r="L3201" s="2">
        <v>33.18</v>
      </c>
      <c r="M3201" s="3">
        <v>0.05</v>
      </c>
      <c r="N3201" t="s">
        <v>29</v>
      </c>
      <c r="O3201" s="2">
        <v>31.52</v>
      </c>
      <c r="P3201" s="2">
        <v>15.71</v>
      </c>
      <c r="Q3201" s="2">
        <v>15.81</v>
      </c>
      <c r="R3201">
        <v>1</v>
      </c>
      <c r="S3201">
        <v>0</v>
      </c>
      <c r="T3201">
        <v>2</v>
      </c>
      <c r="U3201">
        <v>4</v>
      </c>
    </row>
    <row r="3202" spans="1:21" ht="16.5" x14ac:dyDescent="0.3">
      <c r="A3202" t="s">
        <v>3290</v>
      </c>
      <c r="B3202" s="1">
        <v>45767</v>
      </c>
      <c r="C3202">
        <v>2025</v>
      </c>
      <c r="D3202" t="s">
        <v>599</v>
      </c>
      <c r="E3202" t="s">
        <v>600</v>
      </c>
      <c r="F3202" t="s">
        <v>45</v>
      </c>
      <c r="G3202" t="s">
        <v>25</v>
      </c>
      <c r="H3202" t="s">
        <v>32</v>
      </c>
      <c r="I3202" t="s">
        <v>70</v>
      </c>
      <c r="J3202" t="s">
        <v>252</v>
      </c>
      <c r="K3202">
        <v>3</v>
      </c>
      <c r="L3202" s="2">
        <v>216.08</v>
      </c>
      <c r="M3202" s="3">
        <v>0.05</v>
      </c>
      <c r="N3202" t="s">
        <v>29</v>
      </c>
      <c r="O3202" s="2">
        <v>615.83000000000004</v>
      </c>
      <c r="P3202" s="2">
        <v>514.88</v>
      </c>
      <c r="Q3202" s="2">
        <v>100.95</v>
      </c>
      <c r="R3202">
        <v>1</v>
      </c>
      <c r="S3202">
        <v>1</v>
      </c>
      <c r="T3202">
        <v>5</v>
      </c>
      <c r="U3202">
        <v>3</v>
      </c>
    </row>
    <row r="3203" spans="1:21" ht="16.5" x14ac:dyDescent="0.3">
      <c r="A3203" t="s">
        <v>3291</v>
      </c>
      <c r="B3203" s="1">
        <v>45767</v>
      </c>
      <c r="C3203">
        <v>2025</v>
      </c>
      <c r="D3203" t="s">
        <v>599</v>
      </c>
      <c r="E3203" t="s">
        <v>600</v>
      </c>
      <c r="F3203" t="s">
        <v>31</v>
      </c>
      <c r="G3203" t="s">
        <v>46</v>
      </c>
      <c r="H3203" t="s">
        <v>32</v>
      </c>
      <c r="I3203" t="s">
        <v>42</v>
      </c>
      <c r="J3203" t="s">
        <v>76</v>
      </c>
      <c r="K3203">
        <v>1</v>
      </c>
      <c r="L3203" s="2">
        <v>90.75</v>
      </c>
      <c r="M3203" s="3">
        <v>0.2</v>
      </c>
      <c r="N3203" t="s">
        <v>34</v>
      </c>
      <c r="O3203" s="2">
        <v>72.599999999999994</v>
      </c>
      <c r="P3203" s="2">
        <v>59.33</v>
      </c>
      <c r="Q3203" s="2">
        <v>13.27</v>
      </c>
      <c r="R3203">
        <v>1</v>
      </c>
      <c r="S3203">
        <v>0</v>
      </c>
      <c r="T3203">
        <v>5</v>
      </c>
      <c r="U3203">
        <v>5</v>
      </c>
    </row>
    <row r="3204" spans="1:21" ht="16.5" x14ac:dyDescent="0.3">
      <c r="A3204" t="s">
        <v>3292</v>
      </c>
      <c r="B3204" s="1">
        <v>45767</v>
      </c>
      <c r="C3204">
        <v>2025</v>
      </c>
      <c r="D3204" t="s">
        <v>599</v>
      </c>
      <c r="E3204" t="s">
        <v>600</v>
      </c>
      <c r="F3204" t="s">
        <v>24</v>
      </c>
      <c r="G3204" t="s">
        <v>25</v>
      </c>
      <c r="H3204" t="s">
        <v>32</v>
      </c>
      <c r="I3204" t="s">
        <v>42</v>
      </c>
      <c r="J3204" t="s">
        <v>89</v>
      </c>
      <c r="K3204">
        <v>2</v>
      </c>
      <c r="L3204" s="2">
        <v>68.349999999999994</v>
      </c>
      <c r="M3204" s="3">
        <v>0.05</v>
      </c>
      <c r="N3204" t="s">
        <v>29</v>
      </c>
      <c r="O3204" s="2">
        <v>129.86000000000001</v>
      </c>
      <c r="P3204" s="2">
        <v>88.15</v>
      </c>
      <c r="Q3204" s="2">
        <v>41.71</v>
      </c>
      <c r="R3204">
        <v>1</v>
      </c>
      <c r="S3204">
        <v>0</v>
      </c>
      <c r="T3204">
        <v>5</v>
      </c>
      <c r="U3204">
        <v>4</v>
      </c>
    </row>
    <row r="3205" spans="1:21" ht="16.5" x14ac:dyDescent="0.3">
      <c r="A3205" t="s">
        <v>3293</v>
      </c>
      <c r="B3205" s="1">
        <v>45768</v>
      </c>
      <c r="C3205">
        <v>2025</v>
      </c>
      <c r="D3205" t="s">
        <v>599</v>
      </c>
      <c r="E3205" t="s">
        <v>600</v>
      </c>
      <c r="F3205" t="s">
        <v>31</v>
      </c>
      <c r="G3205" t="s">
        <v>51</v>
      </c>
      <c r="H3205" t="s">
        <v>32</v>
      </c>
      <c r="I3205" t="s">
        <v>70</v>
      </c>
      <c r="J3205" t="s">
        <v>252</v>
      </c>
      <c r="K3205">
        <v>2</v>
      </c>
      <c r="L3205" s="2">
        <v>216.08</v>
      </c>
      <c r="M3205" s="3">
        <v>0.1</v>
      </c>
      <c r="N3205" t="s">
        <v>29</v>
      </c>
      <c r="O3205" s="2">
        <v>388.94</v>
      </c>
      <c r="P3205" s="2">
        <v>361.21</v>
      </c>
      <c r="Q3205" s="2">
        <v>27.73</v>
      </c>
      <c r="R3205">
        <v>1</v>
      </c>
      <c r="S3205">
        <v>1</v>
      </c>
      <c r="T3205">
        <v>2</v>
      </c>
      <c r="U3205">
        <v>3</v>
      </c>
    </row>
    <row r="3206" spans="1:21" ht="16.5" x14ac:dyDescent="0.3">
      <c r="A3206" t="s">
        <v>3294</v>
      </c>
      <c r="B3206" s="1">
        <v>45768</v>
      </c>
      <c r="C3206">
        <v>2025</v>
      </c>
      <c r="D3206" t="s">
        <v>599</v>
      </c>
      <c r="E3206" t="s">
        <v>600</v>
      </c>
      <c r="F3206" t="s">
        <v>24</v>
      </c>
      <c r="G3206" t="s">
        <v>51</v>
      </c>
      <c r="H3206" t="s">
        <v>32</v>
      </c>
      <c r="I3206" t="s">
        <v>70</v>
      </c>
      <c r="J3206" t="s">
        <v>87</v>
      </c>
      <c r="K3206">
        <v>2</v>
      </c>
      <c r="L3206" s="2">
        <v>490.3</v>
      </c>
      <c r="M3206" s="3">
        <v>0</v>
      </c>
      <c r="N3206" t="s">
        <v>38</v>
      </c>
      <c r="O3206" s="2">
        <v>980.6</v>
      </c>
      <c r="P3206" s="2">
        <v>818.03</v>
      </c>
      <c r="Q3206" s="2">
        <v>162.57</v>
      </c>
      <c r="R3206">
        <v>1</v>
      </c>
      <c r="S3206">
        <v>0</v>
      </c>
      <c r="T3206">
        <v>2</v>
      </c>
      <c r="U3206">
        <v>4</v>
      </c>
    </row>
    <row r="3207" spans="1:21" ht="16.5" x14ac:dyDescent="0.3">
      <c r="A3207" t="s">
        <v>3295</v>
      </c>
      <c r="B3207" s="1">
        <v>45768</v>
      </c>
      <c r="C3207">
        <v>2025</v>
      </c>
      <c r="D3207" t="s">
        <v>599</v>
      </c>
      <c r="E3207" t="s">
        <v>600</v>
      </c>
      <c r="F3207" t="s">
        <v>24</v>
      </c>
      <c r="G3207" t="s">
        <v>25</v>
      </c>
      <c r="H3207" t="s">
        <v>26</v>
      </c>
      <c r="I3207" t="s">
        <v>70</v>
      </c>
      <c r="J3207" t="s">
        <v>82</v>
      </c>
      <c r="K3207">
        <v>1</v>
      </c>
      <c r="L3207" s="2">
        <v>508.8</v>
      </c>
      <c r="M3207" s="3">
        <v>0.05</v>
      </c>
      <c r="N3207" t="s">
        <v>29</v>
      </c>
      <c r="O3207" s="2">
        <v>483.36</v>
      </c>
      <c r="P3207" s="2">
        <v>390.23</v>
      </c>
      <c r="Q3207" s="2">
        <v>93.13</v>
      </c>
      <c r="R3207">
        <v>1</v>
      </c>
      <c r="S3207">
        <v>0</v>
      </c>
      <c r="T3207">
        <v>5</v>
      </c>
      <c r="U3207">
        <v>3</v>
      </c>
    </row>
    <row r="3208" spans="1:21" ht="16.5" x14ac:dyDescent="0.3">
      <c r="A3208" t="s">
        <v>3296</v>
      </c>
      <c r="B3208" s="1">
        <v>45768</v>
      </c>
      <c r="C3208">
        <v>2025</v>
      </c>
      <c r="D3208" t="s">
        <v>599</v>
      </c>
      <c r="E3208" t="s">
        <v>600</v>
      </c>
      <c r="F3208" t="s">
        <v>31</v>
      </c>
      <c r="G3208" t="s">
        <v>51</v>
      </c>
      <c r="H3208" t="s">
        <v>32</v>
      </c>
      <c r="I3208" t="s">
        <v>42</v>
      </c>
      <c r="J3208" t="s">
        <v>76</v>
      </c>
      <c r="K3208">
        <v>1</v>
      </c>
      <c r="L3208" s="2">
        <v>90.75</v>
      </c>
      <c r="M3208" s="3">
        <v>0.1</v>
      </c>
      <c r="N3208" t="s">
        <v>29</v>
      </c>
      <c r="O3208" s="2">
        <v>81.680000000000007</v>
      </c>
      <c r="P3208" s="2">
        <v>59.24</v>
      </c>
      <c r="Q3208" s="2">
        <v>22.44</v>
      </c>
      <c r="R3208">
        <v>1</v>
      </c>
      <c r="S3208">
        <v>0</v>
      </c>
      <c r="T3208">
        <v>2</v>
      </c>
      <c r="U3208">
        <v>5</v>
      </c>
    </row>
    <row r="3209" spans="1:21" ht="16.5" x14ac:dyDescent="0.3">
      <c r="A3209" t="s">
        <v>3297</v>
      </c>
      <c r="B3209" s="1">
        <v>45768</v>
      </c>
      <c r="C3209">
        <v>2025</v>
      </c>
      <c r="D3209" t="s">
        <v>599</v>
      </c>
      <c r="E3209" t="s">
        <v>600</v>
      </c>
      <c r="F3209" t="s">
        <v>31</v>
      </c>
      <c r="G3209" t="s">
        <v>51</v>
      </c>
      <c r="H3209" t="s">
        <v>26</v>
      </c>
      <c r="I3209" t="s">
        <v>70</v>
      </c>
      <c r="J3209" t="s">
        <v>129</v>
      </c>
      <c r="K3209">
        <v>1</v>
      </c>
      <c r="L3209" s="2">
        <v>177.65</v>
      </c>
      <c r="M3209" s="3">
        <v>0.1</v>
      </c>
      <c r="N3209" t="s">
        <v>29</v>
      </c>
      <c r="O3209" s="2">
        <v>159.88999999999999</v>
      </c>
      <c r="P3209" s="2">
        <v>138.84</v>
      </c>
      <c r="Q3209" s="2">
        <v>21.05</v>
      </c>
      <c r="R3209">
        <v>1</v>
      </c>
      <c r="S3209">
        <v>0</v>
      </c>
      <c r="T3209">
        <v>2</v>
      </c>
      <c r="U3209">
        <v>5</v>
      </c>
    </row>
    <row r="3210" spans="1:21" ht="16.5" x14ac:dyDescent="0.3">
      <c r="A3210" t="s">
        <v>3298</v>
      </c>
      <c r="B3210" s="1">
        <v>45768</v>
      </c>
      <c r="C3210">
        <v>2025</v>
      </c>
      <c r="D3210" t="s">
        <v>599</v>
      </c>
      <c r="E3210" t="s">
        <v>600</v>
      </c>
      <c r="F3210" t="s">
        <v>31</v>
      </c>
      <c r="G3210" t="s">
        <v>51</v>
      </c>
      <c r="H3210" t="s">
        <v>32</v>
      </c>
      <c r="I3210" t="s">
        <v>84</v>
      </c>
      <c r="J3210" t="s">
        <v>132</v>
      </c>
      <c r="K3210">
        <v>1</v>
      </c>
      <c r="L3210" s="2">
        <v>48.86</v>
      </c>
      <c r="M3210" s="3">
        <v>0.1</v>
      </c>
      <c r="N3210" t="s">
        <v>29</v>
      </c>
      <c r="O3210" s="2">
        <v>43.97</v>
      </c>
      <c r="P3210" s="2">
        <v>34.78</v>
      </c>
      <c r="Q3210" s="2">
        <v>9.19</v>
      </c>
      <c r="R3210">
        <v>1</v>
      </c>
      <c r="S3210">
        <v>0</v>
      </c>
      <c r="T3210">
        <v>3</v>
      </c>
      <c r="U3210">
        <v>5</v>
      </c>
    </row>
    <row r="3211" spans="1:21" ht="16.5" x14ac:dyDescent="0.3">
      <c r="A3211" t="s">
        <v>3299</v>
      </c>
      <c r="B3211" s="1">
        <v>45768</v>
      </c>
      <c r="C3211">
        <v>2025</v>
      </c>
      <c r="D3211" t="s">
        <v>599</v>
      </c>
      <c r="E3211" t="s">
        <v>600</v>
      </c>
      <c r="F3211" t="s">
        <v>45</v>
      </c>
      <c r="G3211" t="s">
        <v>49</v>
      </c>
      <c r="H3211" t="s">
        <v>32</v>
      </c>
      <c r="I3211" t="s">
        <v>70</v>
      </c>
      <c r="J3211" t="s">
        <v>82</v>
      </c>
      <c r="K3211">
        <v>1</v>
      </c>
      <c r="L3211" s="2">
        <v>508.8</v>
      </c>
      <c r="M3211" s="3">
        <v>0.15</v>
      </c>
      <c r="N3211" t="s">
        <v>34</v>
      </c>
      <c r="O3211" s="2">
        <v>432.48</v>
      </c>
      <c r="P3211" s="2">
        <v>422.92</v>
      </c>
      <c r="Q3211" s="2">
        <v>9.56</v>
      </c>
      <c r="R3211">
        <v>1</v>
      </c>
      <c r="S3211">
        <v>0</v>
      </c>
      <c r="T3211">
        <v>4</v>
      </c>
      <c r="U3211">
        <v>5</v>
      </c>
    </row>
    <row r="3212" spans="1:21" ht="16.5" x14ac:dyDescent="0.3">
      <c r="A3212" t="s">
        <v>3300</v>
      </c>
      <c r="B3212" s="1">
        <v>45768</v>
      </c>
      <c r="C3212">
        <v>2025</v>
      </c>
      <c r="D3212" t="s">
        <v>599</v>
      </c>
      <c r="E3212" t="s">
        <v>600</v>
      </c>
      <c r="F3212" t="s">
        <v>24</v>
      </c>
      <c r="G3212" t="s">
        <v>25</v>
      </c>
      <c r="H3212" t="s">
        <v>32</v>
      </c>
      <c r="I3212" t="s">
        <v>27</v>
      </c>
      <c r="J3212" t="s">
        <v>110</v>
      </c>
      <c r="K3212">
        <v>3</v>
      </c>
      <c r="L3212" s="2">
        <v>19.41</v>
      </c>
      <c r="M3212" s="3">
        <v>0.3</v>
      </c>
      <c r="N3212" t="s">
        <v>62</v>
      </c>
      <c r="O3212" s="2">
        <v>40.76</v>
      </c>
      <c r="P3212" s="2">
        <v>32.28</v>
      </c>
      <c r="Q3212" s="2">
        <v>8.48</v>
      </c>
      <c r="R3212">
        <v>1</v>
      </c>
      <c r="S3212">
        <v>0</v>
      </c>
      <c r="T3212">
        <v>4</v>
      </c>
      <c r="U3212">
        <v>5</v>
      </c>
    </row>
    <row r="3213" spans="1:21" ht="16.5" x14ac:dyDescent="0.3">
      <c r="A3213" t="s">
        <v>3301</v>
      </c>
      <c r="B3213" s="1">
        <v>45768</v>
      </c>
      <c r="C3213">
        <v>2025</v>
      </c>
      <c r="D3213" t="s">
        <v>599</v>
      </c>
      <c r="E3213" t="s">
        <v>600</v>
      </c>
      <c r="F3213" t="s">
        <v>24</v>
      </c>
      <c r="G3213" t="s">
        <v>65</v>
      </c>
      <c r="H3213" t="s">
        <v>26</v>
      </c>
      <c r="I3213" t="s">
        <v>36</v>
      </c>
      <c r="J3213" t="s">
        <v>52</v>
      </c>
      <c r="K3213">
        <v>1</v>
      </c>
      <c r="L3213" s="2">
        <v>92.54</v>
      </c>
      <c r="M3213" s="3">
        <v>0</v>
      </c>
      <c r="N3213" t="s">
        <v>38</v>
      </c>
      <c r="O3213" s="2">
        <v>92.54</v>
      </c>
      <c r="P3213" s="2">
        <v>45.1</v>
      </c>
      <c r="Q3213" s="2">
        <v>47.44</v>
      </c>
      <c r="R3213">
        <v>1</v>
      </c>
      <c r="S3213">
        <v>0</v>
      </c>
      <c r="T3213">
        <v>6</v>
      </c>
      <c r="U3213">
        <v>4</v>
      </c>
    </row>
    <row r="3214" spans="1:21" ht="16.5" x14ac:dyDescent="0.3">
      <c r="A3214" t="s">
        <v>3302</v>
      </c>
      <c r="B3214" s="1">
        <v>45769</v>
      </c>
      <c r="C3214">
        <v>2025</v>
      </c>
      <c r="D3214" t="s">
        <v>599</v>
      </c>
      <c r="E3214" t="s">
        <v>600</v>
      </c>
      <c r="F3214" t="s">
        <v>24</v>
      </c>
      <c r="G3214" t="s">
        <v>25</v>
      </c>
      <c r="H3214" t="s">
        <v>26</v>
      </c>
      <c r="I3214" t="s">
        <v>36</v>
      </c>
      <c r="J3214" t="s">
        <v>126</v>
      </c>
      <c r="K3214">
        <v>1</v>
      </c>
      <c r="L3214" s="2">
        <v>54.56</v>
      </c>
      <c r="M3214" s="3">
        <v>0.15</v>
      </c>
      <c r="N3214" t="s">
        <v>34</v>
      </c>
      <c r="O3214" s="2">
        <v>46.38</v>
      </c>
      <c r="P3214" s="2">
        <v>27.81</v>
      </c>
      <c r="Q3214" s="2">
        <v>18.57</v>
      </c>
      <c r="R3214">
        <v>1</v>
      </c>
      <c r="S3214">
        <v>0</v>
      </c>
      <c r="T3214">
        <v>5</v>
      </c>
      <c r="U3214">
        <v>5</v>
      </c>
    </row>
    <row r="3215" spans="1:21" ht="16.5" x14ac:dyDescent="0.3">
      <c r="A3215" t="s">
        <v>3303</v>
      </c>
      <c r="B3215" s="1">
        <v>45769</v>
      </c>
      <c r="C3215">
        <v>2025</v>
      </c>
      <c r="D3215" t="s">
        <v>599</v>
      </c>
      <c r="E3215" t="s">
        <v>600</v>
      </c>
      <c r="F3215" t="s">
        <v>31</v>
      </c>
      <c r="G3215" t="s">
        <v>25</v>
      </c>
      <c r="H3215" t="s">
        <v>26</v>
      </c>
      <c r="I3215" t="s">
        <v>84</v>
      </c>
      <c r="J3215" t="s">
        <v>106</v>
      </c>
      <c r="K3215">
        <v>4</v>
      </c>
      <c r="L3215" s="2">
        <v>45.28</v>
      </c>
      <c r="M3215" s="3">
        <v>0</v>
      </c>
      <c r="N3215" t="s">
        <v>38</v>
      </c>
      <c r="O3215" s="2">
        <v>181.12</v>
      </c>
      <c r="P3215" s="2">
        <v>133.22999999999999</v>
      </c>
      <c r="Q3215" s="2">
        <v>47.89</v>
      </c>
      <c r="R3215">
        <v>1</v>
      </c>
      <c r="S3215">
        <v>0</v>
      </c>
      <c r="T3215">
        <v>5</v>
      </c>
      <c r="U3215">
        <v>4</v>
      </c>
    </row>
    <row r="3216" spans="1:21" ht="16.5" x14ac:dyDescent="0.3">
      <c r="A3216" t="s">
        <v>3304</v>
      </c>
      <c r="B3216" s="1">
        <v>45769</v>
      </c>
      <c r="C3216">
        <v>2025</v>
      </c>
      <c r="D3216" t="s">
        <v>599</v>
      </c>
      <c r="E3216" t="s">
        <v>600</v>
      </c>
      <c r="F3216" t="s">
        <v>45</v>
      </c>
      <c r="G3216" t="s">
        <v>51</v>
      </c>
      <c r="H3216" t="s">
        <v>26</v>
      </c>
      <c r="I3216" t="s">
        <v>84</v>
      </c>
      <c r="J3216" t="s">
        <v>96</v>
      </c>
      <c r="K3216">
        <v>2</v>
      </c>
      <c r="L3216" s="2">
        <v>10.76</v>
      </c>
      <c r="M3216" s="3">
        <v>0</v>
      </c>
      <c r="N3216" t="s">
        <v>38</v>
      </c>
      <c r="O3216" s="2">
        <v>21.52</v>
      </c>
      <c r="P3216" s="2">
        <v>16.52</v>
      </c>
      <c r="Q3216" s="2">
        <v>5</v>
      </c>
      <c r="R3216">
        <v>1</v>
      </c>
      <c r="S3216">
        <v>0</v>
      </c>
      <c r="T3216">
        <v>2</v>
      </c>
      <c r="U3216">
        <v>3</v>
      </c>
    </row>
    <row r="3217" spans="1:21" ht="16.5" x14ac:dyDescent="0.3">
      <c r="A3217" t="s">
        <v>3305</v>
      </c>
      <c r="B3217" s="1">
        <v>45770</v>
      </c>
      <c r="C3217">
        <v>2025</v>
      </c>
      <c r="D3217" t="s">
        <v>599</v>
      </c>
      <c r="E3217" t="s">
        <v>600</v>
      </c>
      <c r="F3217" t="s">
        <v>24</v>
      </c>
      <c r="G3217" t="s">
        <v>65</v>
      </c>
      <c r="H3217" t="s">
        <v>32</v>
      </c>
      <c r="I3217" t="s">
        <v>70</v>
      </c>
      <c r="J3217" t="s">
        <v>87</v>
      </c>
      <c r="K3217">
        <v>4</v>
      </c>
      <c r="L3217" s="2">
        <v>490.3</v>
      </c>
      <c r="M3217" s="3">
        <v>0.1</v>
      </c>
      <c r="N3217" t="s">
        <v>29</v>
      </c>
      <c r="O3217" s="2">
        <v>1765.08</v>
      </c>
      <c r="P3217" s="2">
        <v>1542.58</v>
      </c>
      <c r="Q3217" s="2">
        <v>222.5</v>
      </c>
      <c r="R3217">
        <v>1</v>
      </c>
      <c r="S3217">
        <v>0</v>
      </c>
      <c r="T3217">
        <v>5</v>
      </c>
      <c r="U3217">
        <v>4</v>
      </c>
    </row>
    <row r="3218" spans="1:21" ht="16.5" x14ac:dyDescent="0.3">
      <c r="A3218" t="s">
        <v>3306</v>
      </c>
      <c r="B3218" s="1">
        <v>45770</v>
      </c>
      <c r="C3218">
        <v>2025</v>
      </c>
      <c r="D3218" t="s">
        <v>599</v>
      </c>
      <c r="E3218" t="s">
        <v>600</v>
      </c>
      <c r="F3218" t="s">
        <v>24</v>
      </c>
      <c r="G3218" t="s">
        <v>49</v>
      </c>
      <c r="H3218" t="s">
        <v>32</v>
      </c>
      <c r="I3218" t="s">
        <v>70</v>
      </c>
      <c r="J3218" t="s">
        <v>87</v>
      </c>
      <c r="K3218">
        <v>1</v>
      </c>
      <c r="L3218" s="2">
        <v>490.3</v>
      </c>
      <c r="M3218" s="3">
        <v>0</v>
      </c>
      <c r="N3218" t="s">
        <v>38</v>
      </c>
      <c r="O3218" s="2">
        <v>490.3</v>
      </c>
      <c r="P3218" s="2">
        <v>399.96</v>
      </c>
      <c r="Q3218" s="2">
        <v>90.34</v>
      </c>
      <c r="R3218">
        <v>1</v>
      </c>
      <c r="S3218">
        <v>0</v>
      </c>
      <c r="T3218">
        <v>3</v>
      </c>
      <c r="U3218">
        <v>4</v>
      </c>
    </row>
    <row r="3219" spans="1:21" ht="16.5" x14ac:dyDescent="0.3">
      <c r="A3219" t="s">
        <v>3307</v>
      </c>
      <c r="B3219" s="1">
        <v>45770</v>
      </c>
      <c r="C3219">
        <v>2025</v>
      </c>
      <c r="D3219" t="s">
        <v>599</v>
      </c>
      <c r="E3219" t="s">
        <v>600</v>
      </c>
      <c r="F3219" t="s">
        <v>31</v>
      </c>
      <c r="G3219" t="s">
        <v>46</v>
      </c>
      <c r="H3219" t="s">
        <v>26</v>
      </c>
      <c r="I3219" t="s">
        <v>42</v>
      </c>
      <c r="J3219" t="s">
        <v>76</v>
      </c>
      <c r="K3219">
        <v>1</v>
      </c>
      <c r="L3219" s="2">
        <v>90.75</v>
      </c>
      <c r="M3219" s="3">
        <v>0.2</v>
      </c>
      <c r="N3219" t="s">
        <v>34</v>
      </c>
      <c r="O3219" s="2">
        <v>72.599999999999994</v>
      </c>
      <c r="P3219" s="2">
        <v>58.77</v>
      </c>
      <c r="Q3219" s="2">
        <v>13.83</v>
      </c>
      <c r="R3219">
        <v>1</v>
      </c>
      <c r="S3219">
        <v>0</v>
      </c>
      <c r="T3219">
        <v>6</v>
      </c>
      <c r="U3219">
        <v>4</v>
      </c>
    </row>
    <row r="3220" spans="1:21" ht="16.5" x14ac:dyDescent="0.3">
      <c r="A3220" t="s">
        <v>3308</v>
      </c>
      <c r="B3220" s="1">
        <v>45770</v>
      </c>
      <c r="C3220">
        <v>2025</v>
      </c>
      <c r="D3220" t="s">
        <v>599</v>
      </c>
      <c r="E3220" t="s">
        <v>600</v>
      </c>
      <c r="F3220" t="s">
        <v>31</v>
      </c>
      <c r="G3220" t="s">
        <v>49</v>
      </c>
      <c r="H3220" t="s">
        <v>32</v>
      </c>
      <c r="I3220" t="s">
        <v>36</v>
      </c>
      <c r="J3220" t="s">
        <v>126</v>
      </c>
      <c r="K3220">
        <v>1</v>
      </c>
      <c r="L3220" s="2">
        <v>54.56</v>
      </c>
      <c r="M3220" s="3">
        <v>0.05</v>
      </c>
      <c r="N3220" t="s">
        <v>29</v>
      </c>
      <c r="O3220" s="2">
        <v>51.83</v>
      </c>
      <c r="P3220" s="2">
        <v>25.11</v>
      </c>
      <c r="Q3220" s="2">
        <v>26.72</v>
      </c>
      <c r="R3220">
        <v>1</v>
      </c>
      <c r="S3220">
        <v>0</v>
      </c>
      <c r="T3220">
        <v>3</v>
      </c>
      <c r="U3220">
        <v>5</v>
      </c>
    </row>
    <row r="3221" spans="1:21" ht="16.5" x14ac:dyDescent="0.3">
      <c r="A3221" t="s">
        <v>3309</v>
      </c>
      <c r="B3221" s="1">
        <v>45770</v>
      </c>
      <c r="C3221">
        <v>2025</v>
      </c>
      <c r="D3221" t="s">
        <v>599</v>
      </c>
      <c r="E3221" t="s">
        <v>600</v>
      </c>
      <c r="F3221" t="s">
        <v>31</v>
      </c>
      <c r="G3221" t="s">
        <v>49</v>
      </c>
      <c r="H3221" t="s">
        <v>32</v>
      </c>
      <c r="I3221" t="s">
        <v>70</v>
      </c>
      <c r="J3221" t="s">
        <v>252</v>
      </c>
      <c r="K3221">
        <v>1</v>
      </c>
      <c r="L3221" s="2">
        <v>216.08</v>
      </c>
      <c r="M3221" s="3">
        <v>0.1</v>
      </c>
      <c r="N3221" t="s">
        <v>29</v>
      </c>
      <c r="O3221" s="2">
        <v>194.47</v>
      </c>
      <c r="P3221" s="2">
        <v>173.41</v>
      </c>
      <c r="Q3221" s="2">
        <v>21.06</v>
      </c>
      <c r="R3221">
        <v>1</v>
      </c>
      <c r="S3221">
        <v>0</v>
      </c>
      <c r="T3221">
        <v>3</v>
      </c>
      <c r="U3221">
        <v>4</v>
      </c>
    </row>
    <row r="3222" spans="1:21" ht="16.5" x14ac:dyDescent="0.3">
      <c r="A3222" t="s">
        <v>3310</v>
      </c>
      <c r="B3222" s="1">
        <v>45770</v>
      </c>
      <c r="C3222">
        <v>2025</v>
      </c>
      <c r="D3222" t="s">
        <v>599</v>
      </c>
      <c r="E3222" t="s">
        <v>600</v>
      </c>
      <c r="F3222" t="s">
        <v>31</v>
      </c>
      <c r="G3222" t="s">
        <v>25</v>
      </c>
      <c r="H3222" t="s">
        <v>32</v>
      </c>
      <c r="I3222" t="s">
        <v>36</v>
      </c>
      <c r="J3222" t="s">
        <v>37</v>
      </c>
      <c r="K3222">
        <v>2</v>
      </c>
      <c r="L3222" s="2">
        <v>33.18</v>
      </c>
      <c r="M3222" s="3">
        <v>0.05</v>
      </c>
      <c r="N3222" t="s">
        <v>29</v>
      </c>
      <c r="O3222" s="2">
        <v>63.04</v>
      </c>
      <c r="P3222" s="2">
        <v>32.44</v>
      </c>
      <c r="Q3222" s="2">
        <v>30.6</v>
      </c>
      <c r="R3222">
        <v>1</v>
      </c>
      <c r="S3222">
        <v>0</v>
      </c>
      <c r="T3222">
        <v>4</v>
      </c>
      <c r="U3222">
        <v>5</v>
      </c>
    </row>
    <row r="3223" spans="1:21" ht="16.5" x14ac:dyDescent="0.3">
      <c r="A3223" t="s">
        <v>3311</v>
      </c>
      <c r="B3223" s="1">
        <v>45770</v>
      </c>
      <c r="C3223">
        <v>2025</v>
      </c>
      <c r="D3223" t="s">
        <v>599</v>
      </c>
      <c r="E3223" t="s">
        <v>600</v>
      </c>
      <c r="F3223" t="s">
        <v>24</v>
      </c>
      <c r="G3223" t="s">
        <v>49</v>
      </c>
      <c r="H3223" t="s">
        <v>32</v>
      </c>
      <c r="I3223" t="s">
        <v>84</v>
      </c>
      <c r="J3223" t="s">
        <v>132</v>
      </c>
      <c r="K3223">
        <v>2</v>
      </c>
      <c r="L3223" s="2">
        <v>48.86</v>
      </c>
      <c r="M3223" s="3">
        <v>0</v>
      </c>
      <c r="N3223" t="s">
        <v>38</v>
      </c>
      <c r="O3223" s="2">
        <v>97.72</v>
      </c>
      <c r="P3223" s="2">
        <v>69.8</v>
      </c>
      <c r="Q3223" s="2">
        <v>27.92</v>
      </c>
      <c r="R3223">
        <v>1</v>
      </c>
      <c r="S3223">
        <v>0</v>
      </c>
      <c r="T3223">
        <v>3</v>
      </c>
      <c r="U3223">
        <v>5</v>
      </c>
    </row>
    <row r="3224" spans="1:21" ht="16.5" x14ac:dyDescent="0.3">
      <c r="A3224" t="s">
        <v>3312</v>
      </c>
      <c r="B3224" s="1">
        <v>45770</v>
      </c>
      <c r="C3224">
        <v>2025</v>
      </c>
      <c r="D3224" t="s">
        <v>599</v>
      </c>
      <c r="E3224" t="s">
        <v>600</v>
      </c>
      <c r="F3224" t="s">
        <v>24</v>
      </c>
      <c r="G3224" t="s">
        <v>25</v>
      </c>
      <c r="H3224" t="s">
        <v>26</v>
      </c>
      <c r="I3224" t="s">
        <v>27</v>
      </c>
      <c r="J3224" t="s">
        <v>33</v>
      </c>
      <c r="K3224">
        <v>2</v>
      </c>
      <c r="L3224" s="2">
        <v>78.510000000000005</v>
      </c>
      <c r="M3224" s="3">
        <v>0</v>
      </c>
      <c r="N3224" t="s">
        <v>38</v>
      </c>
      <c r="O3224" s="2">
        <v>157.02000000000001</v>
      </c>
      <c r="P3224" s="2">
        <v>87.49</v>
      </c>
      <c r="Q3224" s="2">
        <v>69.53</v>
      </c>
      <c r="R3224">
        <v>1</v>
      </c>
      <c r="S3224">
        <v>0</v>
      </c>
      <c r="T3224">
        <v>4</v>
      </c>
      <c r="U3224">
        <v>5</v>
      </c>
    </row>
    <row r="3225" spans="1:21" ht="16.5" x14ac:dyDescent="0.3">
      <c r="A3225" t="s">
        <v>3313</v>
      </c>
      <c r="B3225" s="1">
        <v>45770</v>
      </c>
      <c r="C3225">
        <v>2025</v>
      </c>
      <c r="D3225" t="s">
        <v>599</v>
      </c>
      <c r="E3225" t="s">
        <v>600</v>
      </c>
      <c r="F3225" t="s">
        <v>24</v>
      </c>
      <c r="G3225" t="s">
        <v>25</v>
      </c>
      <c r="H3225" t="s">
        <v>26</v>
      </c>
      <c r="I3225" t="s">
        <v>70</v>
      </c>
      <c r="J3225" t="s">
        <v>82</v>
      </c>
      <c r="K3225">
        <v>1</v>
      </c>
      <c r="L3225" s="2">
        <v>508.8</v>
      </c>
      <c r="M3225" s="3">
        <v>0.2</v>
      </c>
      <c r="N3225" t="s">
        <v>34</v>
      </c>
      <c r="O3225" s="2">
        <v>407.04</v>
      </c>
      <c r="P3225" s="2">
        <v>417.1</v>
      </c>
      <c r="Q3225" s="2">
        <v>-10.06</v>
      </c>
      <c r="R3225">
        <v>1</v>
      </c>
      <c r="S3225">
        <v>0</v>
      </c>
      <c r="T3225">
        <v>4</v>
      </c>
      <c r="U3225">
        <v>4</v>
      </c>
    </row>
    <row r="3226" spans="1:21" ht="16.5" x14ac:dyDescent="0.3">
      <c r="A3226" t="s">
        <v>3314</v>
      </c>
      <c r="B3226" s="1">
        <v>45770</v>
      </c>
      <c r="C3226">
        <v>2025</v>
      </c>
      <c r="D3226" t="s">
        <v>599</v>
      </c>
      <c r="E3226" t="s">
        <v>600</v>
      </c>
      <c r="F3226" t="s">
        <v>31</v>
      </c>
      <c r="G3226" t="s">
        <v>51</v>
      </c>
      <c r="H3226" t="s">
        <v>32</v>
      </c>
      <c r="I3226" t="s">
        <v>67</v>
      </c>
      <c r="J3226" t="s">
        <v>93</v>
      </c>
      <c r="K3226">
        <v>1</v>
      </c>
      <c r="L3226" s="2">
        <v>198.42</v>
      </c>
      <c r="M3226" s="3">
        <v>0.2</v>
      </c>
      <c r="N3226" t="s">
        <v>34</v>
      </c>
      <c r="O3226" s="2">
        <v>158.74</v>
      </c>
      <c r="P3226" s="2">
        <v>126.25</v>
      </c>
      <c r="Q3226" s="2">
        <v>32.49</v>
      </c>
      <c r="R3226">
        <v>1</v>
      </c>
      <c r="S3226">
        <v>1</v>
      </c>
      <c r="T3226">
        <v>2</v>
      </c>
      <c r="U3226">
        <v>4</v>
      </c>
    </row>
    <row r="3227" spans="1:21" ht="16.5" x14ac:dyDescent="0.3">
      <c r="A3227" t="s">
        <v>3315</v>
      </c>
      <c r="B3227" s="1">
        <v>45770</v>
      </c>
      <c r="C3227">
        <v>2025</v>
      </c>
      <c r="D3227" t="s">
        <v>599</v>
      </c>
      <c r="E3227" t="s">
        <v>600</v>
      </c>
      <c r="F3227" t="s">
        <v>45</v>
      </c>
      <c r="G3227" t="s">
        <v>51</v>
      </c>
      <c r="H3227" t="s">
        <v>26</v>
      </c>
      <c r="I3227" t="s">
        <v>36</v>
      </c>
      <c r="J3227" t="s">
        <v>52</v>
      </c>
      <c r="K3227">
        <v>2</v>
      </c>
      <c r="L3227" s="2">
        <v>92.54</v>
      </c>
      <c r="M3227" s="3">
        <v>0.1</v>
      </c>
      <c r="N3227" t="s">
        <v>29</v>
      </c>
      <c r="O3227" s="2">
        <v>166.57</v>
      </c>
      <c r="P3227" s="2">
        <v>86.75</v>
      </c>
      <c r="Q3227" s="2">
        <v>79.819999999999993</v>
      </c>
      <c r="R3227">
        <v>1</v>
      </c>
      <c r="S3227">
        <v>1</v>
      </c>
      <c r="T3227">
        <v>3</v>
      </c>
      <c r="U3227">
        <v>4</v>
      </c>
    </row>
    <row r="3228" spans="1:21" ht="16.5" x14ac:dyDescent="0.3">
      <c r="A3228" t="s">
        <v>3316</v>
      </c>
      <c r="B3228" s="1">
        <v>45771</v>
      </c>
      <c r="C3228">
        <v>2025</v>
      </c>
      <c r="D3228" t="s">
        <v>599</v>
      </c>
      <c r="E3228" t="s">
        <v>600</v>
      </c>
      <c r="F3228" t="s">
        <v>45</v>
      </c>
      <c r="G3228" t="s">
        <v>49</v>
      </c>
      <c r="H3228" t="s">
        <v>26</v>
      </c>
      <c r="I3228" t="s">
        <v>70</v>
      </c>
      <c r="J3228" t="s">
        <v>82</v>
      </c>
      <c r="K3228">
        <v>2</v>
      </c>
      <c r="L3228" s="2">
        <v>508.8</v>
      </c>
      <c r="M3228" s="3">
        <v>0.1</v>
      </c>
      <c r="N3228" t="s">
        <v>29</v>
      </c>
      <c r="O3228" s="2">
        <v>915.84</v>
      </c>
      <c r="P3228" s="2">
        <v>792.46</v>
      </c>
      <c r="Q3228" s="2">
        <v>123.38</v>
      </c>
      <c r="R3228">
        <v>1</v>
      </c>
      <c r="S3228">
        <v>0</v>
      </c>
      <c r="T3228">
        <v>5</v>
      </c>
      <c r="U3228">
        <v>4</v>
      </c>
    </row>
    <row r="3229" spans="1:21" ht="16.5" x14ac:dyDescent="0.3">
      <c r="A3229" t="s">
        <v>3317</v>
      </c>
      <c r="B3229" s="1">
        <v>45771</v>
      </c>
      <c r="C3229">
        <v>2025</v>
      </c>
      <c r="D3229" t="s">
        <v>599</v>
      </c>
      <c r="E3229" t="s">
        <v>600</v>
      </c>
      <c r="F3229" t="s">
        <v>31</v>
      </c>
      <c r="G3229" t="s">
        <v>51</v>
      </c>
      <c r="H3229" t="s">
        <v>26</v>
      </c>
      <c r="I3229" t="s">
        <v>42</v>
      </c>
      <c r="J3229" t="s">
        <v>98</v>
      </c>
      <c r="K3229">
        <v>1</v>
      </c>
      <c r="L3229" s="2">
        <v>117.63</v>
      </c>
      <c r="M3229" s="3">
        <v>0</v>
      </c>
      <c r="N3229" t="s">
        <v>38</v>
      </c>
      <c r="O3229" s="2">
        <v>117.63</v>
      </c>
      <c r="P3229" s="2">
        <v>79.400000000000006</v>
      </c>
      <c r="Q3229" s="2">
        <v>38.229999999999997</v>
      </c>
      <c r="R3229">
        <v>1</v>
      </c>
      <c r="S3229">
        <v>0</v>
      </c>
      <c r="T3229">
        <v>2</v>
      </c>
      <c r="U3229">
        <v>5</v>
      </c>
    </row>
    <row r="3230" spans="1:21" ht="16.5" x14ac:dyDescent="0.3">
      <c r="A3230" t="s">
        <v>3318</v>
      </c>
      <c r="B3230" s="1">
        <v>45771</v>
      </c>
      <c r="C3230">
        <v>2025</v>
      </c>
      <c r="D3230" t="s">
        <v>599</v>
      </c>
      <c r="E3230" t="s">
        <v>600</v>
      </c>
      <c r="F3230" t="s">
        <v>31</v>
      </c>
      <c r="G3230" t="s">
        <v>51</v>
      </c>
      <c r="H3230" t="s">
        <v>26</v>
      </c>
      <c r="I3230" t="s">
        <v>27</v>
      </c>
      <c r="J3230" t="s">
        <v>40</v>
      </c>
      <c r="K3230">
        <v>1</v>
      </c>
      <c r="L3230" s="2">
        <v>104.94</v>
      </c>
      <c r="M3230" s="3">
        <v>0</v>
      </c>
      <c r="N3230" t="s">
        <v>38</v>
      </c>
      <c r="O3230" s="2">
        <v>104.94</v>
      </c>
      <c r="P3230" s="2">
        <v>57.32</v>
      </c>
      <c r="Q3230" s="2">
        <v>47.62</v>
      </c>
      <c r="R3230">
        <v>1</v>
      </c>
      <c r="S3230">
        <v>0</v>
      </c>
      <c r="T3230">
        <v>3</v>
      </c>
      <c r="U3230">
        <v>4</v>
      </c>
    </row>
    <row r="3231" spans="1:21" ht="16.5" x14ac:dyDescent="0.3">
      <c r="A3231" t="s">
        <v>3319</v>
      </c>
      <c r="B3231" s="1">
        <v>45771</v>
      </c>
      <c r="C3231">
        <v>2025</v>
      </c>
      <c r="D3231" t="s">
        <v>599</v>
      </c>
      <c r="E3231" t="s">
        <v>600</v>
      </c>
      <c r="F3231" t="s">
        <v>24</v>
      </c>
      <c r="G3231" t="s">
        <v>46</v>
      </c>
      <c r="H3231" t="s">
        <v>26</v>
      </c>
      <c r="I3231" t="s">
        <v>27</v>
      </c>
      <c r="J3231" t="s">
        <v>47</v>
      </c>
      <c r="K3231">
        <v>1</v>
      </c>
      <c r="L3231" s="2">
        <v>33.99</v>
      </c>
      <c r="M3231" s="3">
        <v>0.25</v>
      </c>
      <c r="N3231" t="s">
        <v>62</v>
      </c>
      <c r="O3231" s="2">
        <v>25.49</v>
      </c>
      <c r="P3231" s="2">
        <v>18.489999999999998</v>
      </c>
      <c r="Q3231" s="2">
        <v>7</v>
      </c>
      <c r="R3231">
        <v>1</v>
      </c>
      <c r="S3231">
        <v>0</v>
      </c>
      <c r="T3231">
        <v>5</v>
      </c>
      <c r="U3231">
        <v>4</v>
      </c>
    </row>
    <row r="3232" spans="1:21" ht="16.5" x14ac:dyDescent="0.3">
      <c r="A3232" t="s">
        <v>3320</v>
      </c>
      <c r="B3232" s="1">
        <v>45771</v>
      </c>
      <c r="C3232">
        <v>2025</v>
      </c>
      <c r="D3232" t="s">
        <v>599</v>
      </c>
      <c r="E3232" t="s">
        <v>600</v>
      </c>
      <c r="F3232" t="s">
        <v>45</v>
      </c>
      <c r="G3232" t="s">
        <v>25</v>
      </c>
      <c r="H3232" t="s">
        <v>26</v>
      </c>
      <c r="I3232" t="s">
        <v>67</v>
      </c>
      <c r="J3232" t="s">
        <v>93</v>
      </c>
      <c r="K3232">
        <v>1</v>
      </c>
      <c r="L3232" s="2">
        <v>198.42</v>
      </c>
      <c r="M3232" s="3">
        <v>0.2</v>
      </c>
      <c r="N3232" t="s">
        <v>34</v>
      </c>
      <c r="O3232" s="2">
        <v>158.74</v>
      </c>
      <c r="P3232" s="2">
        <v>136.4</v>
      </c>
      <c r="Q3232" s="2">
        <v>22.34</v>
      </c>
      <c r="R3232">
        <v>1</v>
      </c>
      <c r="S3232">
        <v>0</v>
      </c>
      <c r="T3232">
        <v>4</v>
      </c>
      <c r="U3232">
        <v>4</v>
      </c>
    </row>
    <row r="3233" spans="1:21" ht="16.5" x14ac:dyDescent="0.3">
      <c r="A3233" t="s">
        <v>3321</v>
      </c>
      <c r="B3233" s="1">
        <v>45771</v>
      </c>
      <c r="C3233">
        <v>2025</v>
      </c>
      <c r="D3233" t="s">
        <v>599</v>
      </c>
      <c r="E3233" t="s">
        <v>600</v>
      </c>
      <c r="F3233" t="s">
        <v>45</v>
      </c>
      <c r="G3233" t="s">
        <v>51</v>
      </c>
      <c r="H3233" t="s">
        <v>26</v>
      </c>
      <c r="I3233" t="s">
        <v>42</v>
      </c>
      <c r="J3233" t="s">
        <v>76</v>
      </c>
      <c r="K3233">
        <v>1</v>
      </c>
      <c r="L3233" s="2">
        <v>90.75</v>
      </c>
      <c r="M3233" s="3">
        <v>0.05</v>
      </c>
      <c r="N3233" t="s">
        <v>29</v>
      </c>
      <c r="O3233" s="2">
        <v>86.21</v>
      </c>
      <c r="P3233" s="2">
        <v>55.52</v>
      </c>
      <c r="Q3233" s="2">
        <v>30.69</v>
      </c>
      <c r="R3233">
        <v>1</v>
      </c>
      <c r="S3233">
        <v>0</v>
      </c>
      <c r="T3233">
        <v>2</v>
      </c>
      <c r="U3233">
        <v>4</v>
      </c>
    </row>
    <row r="3234" spans="1:21" ht="16.5" x14ac:dyDescent="0.3">
      <c r="A3234" t="s">
        <v>3322</v>
      </c>
      <c r="B3234" s="1">
        <v>45771</v>
      </c>
      <c r="C3234">
        <v>2025</v>
      </c>
      <c r="D3234" t="s">
        <v>599</v>
      </c>
      <c r="E3234" t="s">
        <v>600</v>
      </c>
      <c r="F3234" t="s">
        <v>24</v>
      </c>
      <c r="G3234" t="s">
        <v>25</v>
      </c>
      <c r="H3234" t="s">
        <v>32</v>
      </c>
      <c r="I3234" t="s">
        <v>27</v>
      </c>
      <c r="J3234" t="s">
        <v>28</v>
      </c>
      <c r="K3234">
        <v>2</v>
      </c>
      <c r="L3234" s="2">
        <v>138.5</v>
      </c>
      <c r="M3234" s="3">
        <v>0.1</v>
      </c>
      <c r="N3234" t="s">
        <v>29</v>
      </c>
      <c r="O3234" s="2">
        <v>249.3</v>
      </c>
      <c r="P3234" s="2">
        <v>153.63999999999999</v>
      </c>
      <c r="Q3234" s="2">
        <v>95.66</v>
      </c>
      <c r="R3234">
        <v>1</v>
      </c>
      <c r="S3234">
        <v>1</v>
      </c>
      <c r="T3234">
        <v>4</v>
      </c>
      <c r="U3234">
        <v>3</v>
      </c>
    </row>
    <row r="3235" spans="1:21" ht="16.5" x14ac:dyDescent="0.3">
      <c r="A3235" t="s">
        <v>3323</v>
      </c>
      <c r="B3235" s="1">
        <v>45771</v>
      </c>
      <c r="C3235">
        <v>2025</v>
      </c>
      <c r="D3235" t="s">
        <v>599</v>
      </c>
      <c r="E3235" t="s">
        <v>600</v>
      </c>
      <c r="F3235" t="s">
        <v>24</v>
      </c>
      <c r="G3235" t="s">
        <v>49</v>
      </c>
      <c r="H3235" t="s">
        <v>32</v>
      </c>
      <c r="I3235" t="s">
        <v>42</v>
      </c>
      <c r="J3235" t="s">
        <v>58</v>
      </c>
      <c r="K3235">
        <v>4</v>
      </c>
      <c r="L3235" s="2">
        <v>233.81</v>
      </c>
      <c r="M3235" s="3">
        <v>0</v>
      </c>
      <c r="N3235" t="s">
        <v>38</v>
      </c>
      <c r="O3235" s="2">
        <v>935.24</v>
      </c>
      <c r="P3235" s="2">
        <v>620.41999999999996</v>
      </c>
      <c r="Q3235" s="2">
        <v>314.82</v>
      </c>
      <c r="R3235">
        <v>1</v>
      </c>
      <c r="S3235">
        <v>0</v>
      </c>
      <c r="T3235">
        <v>5</v>
      </c>
      <c r="U3235">
        <v>5</v>
      </c>
    </row>
    <row r="3236" spans="1:21" ht="16.5" x14ac:dyDescent="0.3">
      <c r="A3236" t="s">
        <v>3324</v>
      </c>
      <c r="B3236" s="1">
        <v>45771</v>
      </c>
      <c r="C3236">
        <v>2025</v>
      </c>
      <c r="D3236" t="s">
        <v>599</v>
      </c>
      <c r="E3236" t="s">
        <v>600</v>
      </c>
      <c r="F3236" t="s">
        <v>24</v>
      </c>
      <c r="G3236" t="s">
        <v>25</v>
      </c>
      <c r="H3236" t="s">
        <v>26</v>
      </c>
      <c r="I3236" t="s">
        <v>27</v>
      </c>
      <c r="J3236" t="s">
        <v>33</v>
      </c>
      <c r="K3236">
        <v>1</v>
      </c>
      <c r="L3236" s="2">
        <v>78.510000000000005</v>
      </c>
      <c r="M3236" s="3">
        <v>0</v>
      </c>
      <c r="N3236" t="s">
        <v>38</v>
      </c>
      <c r="O3236" s="2">
        <v>78.510000000000005</v>
      </c>
      <c r="P3236" s="2">
        <v>41.92</v>
      </c>
      <c r="Q3236" s="2">
        <v>36.590000000000003</v>
      </c>
      <c r="R3236">
        <v>1</v>
      </c>
      <c r="S3236">
        <v>0</v>
      </c>
      <c r="T3236">
        <v>3</v>
      </c>
      <c r="U3236">
        <v>5</v>
      </c>
    </row>
    <row r="3237" spans="1:21" ht="16.5" x14ac:dyDescent="0.3">
      <c r="A3237" t="s">
        <v>3325</v>
      </c>
      <c r="B3237" s="1">
        <v>45771</v>
      </c>
      <c r="C3237">
        <v>2025</v>
      </c>
      <c r="D3237" t="s">
        <v>599</v>
      </c>
      <c r="E3237" t="s">
        <v>600</v>
      </c>
      <c r="F3237" t="s">
        <v>45</v>
      </c>
      <c r="G3237" t="s">
        <v>65</v>
      </c>
      <c r="H3237" t="s">
        <v>32</v>
      </c>
      <c r="I3237" t="s">
        <v>42</v>
      </c>
      <c r="J3237" t="s">
        <v>54</v>
      </c>
      <c r="K3237">
        <v>1</v>
      </c>
      <c r="L3237" s="2">
        <v>148.05000000000001</v>
      </c>
      <c r="M3237" s="3">
        <v>0</v>
      </c>
      <c r="N3237" t="s">
        <v>38</v>
      </c>
      <c r="O3237" s="2">
        <v>148.05000000000001</v>
      </c>
      <c r="P3237" s="2">
        <v>96</v>
      </c>
      <c r="Q3237" s="2">
        <v>52.05</v>
      </c>
      <c r="R3237">
        <v>1</v>
      </c>
      <c r="S3237">
        <v>0</v>
      </c>
      <c r="T3237">
        <v>5</v>
      </c>
      <c r="U3237">
        <v>4</v>
      </c>
    </row>
    <row r="3238" spans="1:21" ht="16.5" x14ac:dyDescent="0.3">
      <c r="A3238" t="s">
        <v>3326</v>
      </c>
      <c r="B3238" s="1">
        <v>45772</v>
      </c>
      <c r="C3238">
        <v>2025</v>
      </c>
      <c r="D3238" t="s">
        <v>599</v>
      </c>
      <c r="E3238" t="s">
        <v>600</v>
      </c>
      <c r="F3238" t="s">
        <v>45</v>
      </c>
      <c r="G3238" t="s">
        <v>25</v>
      </c>
      <c r="H3238" t="s">
        <v>26</v>
      </c>
      <c r="I3238" t="s">
        <v>84</v>
      </c>
      <c r="J3238" t="s">
        <v>223</v>
      </c>
      <c r="K3238">
        <v>3</v>
      </c>
      <c r="L3238" s="2">
        <v>16.97</v>
      </c>
      <c r="M3238" s="3">
        <v>0.05</v>
      </c>
      <c r="N3238" t="s">
        <v>29</v>
      </c>
      <c r="O3238" s="2">
        <v>48.36</v>
      </c>
      <c r="P3238" s="2">
        <v>36.229999999999997</v>
      </c>
      <c r="Q3238" s="2">
        <v>12.13</v>
      </c>
      <c r="R3238">
        <v>1</v>
      </c>
      <c r="S3238">
        <v>0</v>
      </c>
      <c r="T3238">
        <v>5</v>
      </c>
      <c r="U3238">
        <v>5</v>
      </c>
    </row>
    <row r="3239" spans="1:21" ht="16.5" x14ac:dyDescent="0.3">
      <c r="A3239" t="s">
        <v>3327</v>
      </c>
      <c r="B3239" s="1">
        <v>45772</v>
      </c>
      <c r="C3239">
        <v>2025</v>
      </c>
      <c r="D3239" t="s">
        <v>599</v>
      </c>
      <c r="E3239" t="s">
        <v>600</v>
      </c>
      <c r="F3239" t="s">
        <v>31</v>
      </c>
      <c r="G3239" t="s">
        <v>49</v>
      </c>
      <c r="H3239" t="s">
        <v>32</v>
      </c>
      <c r="I3239" t="s">
        <v>70</v>
      </c>
      <c r="J3239" t="s">
        <v>252</v>
      </c>
      <c r="K3239">
        <v>1</v>
      </c>
      <c r="L3239" s="2">
        <v>216.08</v>
      </c>
      <c r="M3239" s="3">
        <v>0.05</v>
      </c>
      <c r="N3239" t="s">
        <v>29</v>
      </c>
      <c r="O3239" s="2">
        <v>205.28</v>
      </c>
      <c r="P3239" s="2">
        <v>160.41</v>
      </c>
      <c r="Q3239" s="2">
        <v>44.87</v>
      </c>
      <c r="R3239">
        <v>1</v>
      </c>
      <c r="S3239">
        <v>1</v>
      </c>
      <c r="T3239">
        <v>4</v>
      </c>
      <c r="U3239">
        <v>3</v>
      </c>
    </row>
    <row r="3240" spans="1:21" ht="16.5" x14ac:dyDescent="0.3">
      <c r="A3240" t="s">
        <v>3328</v>
      </c>
      <c r="B3240" s="1">
        <v>45772</v>
      </c>
      <c r="C3240">
        <v>2025</v>
      </c>
      <c r="D3240" t="s">
        <v>599</v>
      </c>
      <c r="E3240" t="s">
        <v>600</v>
      </c>
      <c r="F3240" t="s">
        <v>45</v>
      </c>
      <c r="G3240" t="s">
        <v>25</v>
      </c>
      <c r="H3240" t="s">
        <v>32</v>
      </c>
      <c r="I3240" t="s">
        <v>84</v>
      </c>
      <c r="J3240" t="s">
        <v>96</v>
      </c>
      <c r="K3240">
        <v>2</v>
      </c>
      <c r="L3240" s="2">
        <v>10.76</v>
      </c>
      <c r="M3240" s="3">
        <v>0.05</v>
      </c>
      <c r="N3240" t="s">
        <v>29</v>
      </c>
      <c r="O3240" s="2">
        <v>20.440000000000001</v>
      </c>
      <c r="P3240" s="2">
        <v>16.079999999999998</v>
      </c>
      <c r="Q3240" s="2">
        <v>4.3600000000000003</v>
      </c>
      <c r="R3240">
        <v>1</v>
      </c>
      <c r="S3240">
        <v>0</v>
      </c>
      <c r="T3240">
        <v>3</v>
      </c>
      <c r="U3240">
        <v>4</v>
      </c>
    </row>
    <row r="3241" spans="1:21" ht="16.5" x14ac:dyDescent="0.3">
      <c r="A3241" t="s">
        <v>3329</v>
      </c>
      <c r="B3241" s="1">
        <v>45772</v>
      </c>
      <c r="C3241">
        <v>2025</v>
      </c>
      <c r="D3241" t="s">
        <v>599</v>
      </c>
      <c r="E3241" t="s">
        <v>600</v>
      </c>
      <c r="F3241" t="s">
        <v>24</v>
      </c>
      <c r="G3241" t="s">
        <v>46</v>
      </c>
      <c r="H3241" t="s">
        <v>26</v>
      </c>
      <c r="I3241" t="s">
        <v>67</v>
      </c>
      <c r="J3241" t="s">
        <v>68</v>
      </c>
      <c r="K3241">
        <v>2</v>
      </c>
      <c r="L3241" s="2">
        <v>74.459999999999994</v>
      </c>
      <c r="M3241" s="3">
        <v>0.3</v>
      </c>
      <c r="N3241" t="s">
        <v>62</v>
      </c>
      <c r="O3241" s="2">
        <v>104.24</v>
      </c>
      <c r="P3241" s="2">
        <v>103.56</v>
      </c>
      <c r="Q3241" s="2">
        <v>0.68</v>
      </c>
      <c r="R3241">
        <v>1</v>
      </c>
      <c r="S3241">
        <v>0</v>
      </c>
      <c r="T3241">
        <v>6</v>
      </c>
      <c r="U3241">
        <v>5</v>
      </c>
    </row>
    <row r="3242" spans="1:21" ht="16.5" x14ac:dyDescent="0.3">
      <c r="A3242" t="s">
        <v>3330</v>
      </c>
      <c r="B3242" s="1">
        <v>45772</v>
      </c>
      <c r="C3242">
        <v>2025</v>
      </c>
      <c r="D3242" t="s">
        <v>599</v>
      </c>
      <c r="E3242" t="s">
        <v>600</v>
      </c>
      <c r="F3242" t="s">
        <v>31</v>
      </c>
      <c r="G3242" t="s">
        <v>51</v>
      </c>
      <c r="H3242" t="s">
        <v>32</v>
      </c>
      <c r="I3242" t="s">
        <v>27</v>
      </c>
      <c r="J3242" t="s">
        <v>33</v>
      </c>
      <c r="K3242">
        <v>2</v>
      </c>
      <c r="L3242" s="2">
        <v>78.510000000000005</v>
      </c>
      <c r="M3242" s="3">
        <v>0</v>
      </c>
      <c r="N3242" t="s">
        <v>38</v>
      </c>
      <c r="O3242" s="2">
        <v>157.02000000000001</v>
      </c>
      <c r="P3242" s="2">
        <v>83.02</v>
      </c>
      <c r="Q3242" s="2">
        <v>74</v>
      </c>
      <c r="R3242">
        <v>1</v>
      </c>
      <c r="S3242">
        <v>0</v>
      </c>
      <c r="T3242">
        <v>2</v>
      </c>
      <c r="U3242">
        <v>3</v>
      </c>
    </row>
    <row r="3243" spans="1:21" ht="16.5" x14ac:dyDescent="0.3">
      <c r="A3243" t="s">
        <v>3331</v>
      </c>
      <c r="B3243" s="1">
        <v>45772</v>
      </c>
      <c r="C3243">
        <v>2025</v>
      </c>
      <c r="D3243" t="s">
        <v>599</v>
      </c>
      <c r="E3243" t="s">
        <v>600</v>
      </c>
      <c r="F3243" t="s">
        <v>45</v>
      </c>
      <c r="G3243" t="s">
        <v>51</v>
      </c>
      <c r="H3243" t="s">
        <v>26</v>
      </c>
      <c r="I3243" t="s">
        <v>70</v>
      </c>
      <c r="J3243" t="s">
        <v>252</v>
      </c>
      <c r="K3243">
        <v>1</v>
      </c>
      <c r="L3243" s="2">
        <v>216.08</v>
      </c>
      <c r="M3243" s="3">
        <v>0.15</v>
      </c>
      <c r="N3243" t="s">
        <v>34</v>
      </c>
      <c r="O3243" s="2">
        <v>183.67</v>
      </c>
      <c r="P3243" s="2">
        <v>178.63</v>
      </c>
      <c r="Q3243" s="2">
        <v>5.04</v>
      </c>
      <c r="R3243">
        <v>1</v>
      </c>
      <c r="S3243">
        <v>0</v>
      </c>
      <c r="T3243">
        <v>6</v>
      </c>
      <c r="U3243">
        <v>4</v>
      </c>
    </row>
    <row r="3244" spans="1:21" ht="16.5" x14ac:dyDescent="0.3">
      <c r="A3244" t="s">
        <v>3332</v>
      </c>
      <c r="B3244" s="1">
        <v>45773</v>
      </c>
      <c r="C3244">
        <v>2025</v>
      </c>
      <c r="D3244" t="s">
        <v>599</v>
      </c>
      <c r="E3244" t="s">
        <v>600</v>
      </c>
      <c r="F3244" t="s">
        <v>31</v>
      </c>
      <c r="G3244" t="s">
        <v>51</v>
      </c>
      <c r="H3244" t="s">
        <v>26</v>
      </c>
      <c r="I3244" t="s">
        <v>42</v>
      </c>
      <c r="J3244" t="s">
        <v>89</v>
      </c>
      <c r="K3244">
        <v>1</v>
      </c>
      <c r="L3244" s="2">
        <v>68.349999999999994</v>
      </c>
      <c r="M3244" s="3">
        <v>0.2</v>
      </c>
      <c r="N3244" t="s">
        <v>34</v>
      </c>
      <c r="O3244" s="2">
        <v>54.68</v>
      </c>
      <c r="P3244" s="2">
        <v>46.94</v>
      </c>
      <c r="Q3244" s="2">
        <v>7.74</v>
      </c>
      <c r="R3244">
        <v>1</v>
      </c>
      <c r="S3244">
        <v>0</v>
      </c>
      <c r="T3244">
        <v>4</v>
      </c>
      <c r="U3244">
        <v>5</v>
      </c>
    </row>
    <row r="3245" spans="1:21" ht="16.5" x14ac:dyDescent="0.3">
      <c r="A3245" t="s">
        <v>3333</v>
      </c>
      <c r="B3245" s="1">
        <v>45773</v>
      </c>
      <c r="C3245">
        <v>2025</v>
      </c>
      <c r="D3245" t="s">
        <v>599</v>
      </c>
      <c r="E3245" t="s">
        <v>600</v>
      </c>
      <c r="F3245" t="s">
        <v>31</v>
      </c>
      <c r="G3245" t="s">
        <v>51</v>
      </c>
      <c r="H3245" t="s">
        <v>26</v>
      </c>
      <c r="I3245" t="s">
        <v>70</v>
      </c>
      <c r="J3245" t="s">
        <v>129</v>
      </c>
      <c r="K3245">
        <v>2</v>
      </c>
      <c r="L3245" s="2">
        <v>177.65</v>
      </c>
      <c r="M3245" s="3">
        <v>0</v>
      </c>
      <c r="N3245" t="s">
        <v>38</v>
      </c>
      <c r="O3245" s="2">
        <v>355.3</v>
      </c>
      <c r="P3245" s="2">
        <v>287.18</v>
      </c>
      <c r="Q3245" s="2">
        <v>68.12</v>
      </c>
      <c r="R3245">
        <v>1</v>
      </c>
      <c r="S3245">
        <v>0</v>
      </c>
      <c r="T3245">
        <v>3</v>
      </c>
      <c r="U3245">
        <v>5</v>
      </c>
    </row>
    <row r="3246" spans="1:21" ht="16.5" x14ac:dyDescent="0.3">
      <c r="A3246" t="s">
        <v>3334</v>
      </c>
      <c r="B3246" s="1">
        <v>45773</v>
      </c>
      <c r="C3246">
        <v>2025</v>
      </c>
      <c r="D3246" t="s">
        <v>599</v>
      </c>
      <c r="E3246" t="s">
        <v>600</v>
      </c>
      <c r="F3246" t="s">
        <v>31</v>
      </c>
      <c r="G3246" t="s">
        <v>25</v>
      </c>
      <c r="H3246" t="s">
        <v>32</v>
      </c>
      <c r="I3246" t="s">
        <v>70</v>
      </c>
      <c r="J3246" t="s">
        <v>71</v>
      </c>
      <c r="K3246">
        <v>2</v>
      </c>
      <c r="L3246" s="2">
        <v>588.41</v>
      </c>
      <c r="M3246" s="3">
        <v>0.15</v>
      </c>
      <c r="N3246" t="s">
        <v>34</v>
      </c>
      <c r="O3246" s="2">
        <v>1000.3</v>
      </c>
      <c r="P3246" s="2">
        <v>908.83</v>
      </c>
      <c r="Q3246" s="2">
        <v>91.47</v>
      </c>
      <c r="R3246">
        <v>1</v>
      </c>
      <c r="S3246">
        <v>0</v>
      </c>
      <c r="T3246">
        <v>3</v>
      </c>
      <c r="U3246">
        <v>3</v>
      </c>
    </row>
    <row r="3247" spans="1:21" ht="16.5" x14ac:dyDescent="0.3">
      <c r="A3247" t="s">
        <v>3335</v>
      </c>
      <c r="B3247" s="1">
        <v>45773</v>
      </c>
      <c r="C3247">
        <v>2025</v>
      </c>
      <c r="D3247" t="s">
        <v>599</v>
      </c>
      <c r="E3247" t="s">
        <v>600</v>
      </c>
      <c r="F3247" t="s">
        <v>31</v>
      </c>
      <c r="G3247" t="s">
        <v>51</v>
      </c>
      <c r="H3247" t="s">
        <v>32</v>
      </c>
      <c r="I3247" t="s">
        <v>67</v>
      </c>
      <c r="J3247" t="s">
        <v>103</v>
      </c>
      <c r="K3247">
        <v>1</v>
      </c>
      <c r="L3247" s="2">
        <v>83.06</v>
      </c>
      <c r="M3247" s="3">
        <v>0</v>
      </c>
      <c r="N3247" t="s">
        <v>38</v>
      </c>
      <c r="O3247" s="2">
        <v>83.06</v>
      </c>
      <c r="P3247" s="2">
        <v>54.46</v>
      </c>
      <c r="Q3247" s="2">
        <v>28.6</v>
      </c>
      <c r="R3247">
        <v>1</v>
      </c>
      <c r="S3247">
        <v>0</v>
      </c>
      <c r="T3247">
        <v>4</v>
      </c>
      <c r="U3247">
        <v>5</v>
      </c>
    </row>
    <row r="3248" spans="1:21" ht="16.5" x14ac:dyDescent="0.3">
      <c r="A3248" t="s">
        <v>3336</v>
      </c>
      <c r="B3248" s="1">
        <v>45773</v>
      </c>
      <c r="C3248">
        <v>2025</v>
      </c>
      <c r="D3248" t="s">
        <v>599</v>
      </c>
      <c r="E3248" t="s">
        <v>600</v>
      </c>
      <c r="F3248" t="s">
        <v>45</v>
      </c>
      <c r="G3248" t="s">
        <v>25</v>
      </c>
      <c r="H3248" t="s">
        <v>26</v>
      </c>
      <c r="I3248" t="s">
        <v>67</v>
      </c>
      <c r="J3248" t="s">
        <v>78</v>
      </c>
      <c r="K3248">
        <v>1</v>
      </c>
      <c r="L3248" s="2">
        <v>85.42</v>
      </c>
      <c r="M3248" s="3">
        <v>0</v>
      </c>
      <c r="N3248" t="s">
        <v>38</v>
      </c>
      <c r="O3248" s="2">
        <v>85.42</v>
      </c>
      <c r="P3248" s="2">
        <v>56.92</v>
      </c>
      <c r="Q3248" s="2">
        <v>28.5</v>
      </c>
      <c r="R3248">
        <v>1</v>
      </c>
      <c r="S3248">
        <v>1</v>
      </c>
      <c r="T3248">
        <v>3</v>
      </c>
      <c r="U3248">
        <v>2</v>
      </c>
    </row>
    <row r="3249" spans="1:21" ht="16.5" x14ac:dyDescent="0.3">
      <c r="A3249" t="s">
        <v>3337</v>
      </c>
      <c r="B3249" s="1">
        <v>45773</v>
      </c>
      <c r="C3249">
        <v>2025</v>
      </c>
      <c r="D3249" t="s">
        <v>599</v>
      </c>
      <c r="E3249" t="s">
        <v>600</v>
      </c>
      <c r="F3249" t="s">
        <v>45</v>
      </c>
      <c r="G3249" t="s">
        <v>51</v>
      </c>
      <c r="H3249" t="s">
        <v>26</v>
      </c>
      <c r="I3249" t="s">
        <v>84</v>
      </c>
      <c r="J3249" t="s">
        <v>85</v>
      </c>
      <c r="K3249">
        <v>1</v>
      </c>
      <c r="L3249" s="2">
        <v>57.92</v>
      </c>
      <c r="M3249" s="3">
        <v>0.05</v>
      </c>
      <c r="N3249" t="s">
        <v>29</v>
      </c>
      <c r="O3249" s="2">
        <v>55.02</v>
      </c>
      <c r="P3249" s="2">
        <v>40.729999999999997</v>
      </c>
      <c r="Q3249" s="2">
        <v>14.29</v>
      </c>
      <c r="R3249">
        <v>1</v>
      </c>
      <c r="S3249">
        <v>0</v>
      </c>
      <c r="T3249">
        <v>2</v>
      </c>
      <c r="U3249">
        <v>5</v>
      </c>
    </row>
    <row r="3250" spans="1:21" ht="16.5" x14ac:dyDescent="0.3">
      <c r="A3250" t="s">
        <v>3338</v>
      </c>
      <c r="B3250" s="1">
        <v>45774</v>
      </c>
      <c r="C3250">
        <v>2025</v>
      </c>
      <c r="D3250" t="s">
        <v>599</v>
      </c>
      <c r="E3250" t="s">
        <v>600</v>
      </c>
      <c r="F3250" t="s">
        <v>24</v>
      </c>
      <c r="G3250" t="s">
        <v>51</v>
      </c>
      <c r="H3250" t="s">
        <v>26</v>
      </c>
      <c r="I3250" t="s">
        <v>42</v>
      </c>
      <c r="J3250" t="s">
        <v>98</v>
      </c>
      <c r="K3250">
        <v>1</v>
      </c>
      <c r="L3250" s="2">
        <v>117.63</v>
      </c>
      <c r="M3250" s="3">
        <v>0.05</v>
      </c>
      <c r="N3250" t="s">
        <v>29</v>
      </c>
      <c r="O3250" s="2">
        <v>111.75</v>
      </c>
      <c r="P3250" s="2">
        <v>76.77</v>
      </c>
      <c r="Q3250" s="2">
        <v>34.979999999999997</v>
      </c>
      <c r="R3250">
        <v>1</v>
      </c>
      <c r="S3250">
        <v>0</v>
      </c>
      <c r="T3250">
        <v>3</v>
      </c>
      <c r="U3250">
        <v>5</v>
      </c>
    </row>
    <row r="3251" spans="1:21" ht="16.5" x14ac:dyDescent="0.3">
      <c r="A3251" t="s">
        <v>3339</v>
      </c>
      <c r="B3251" s="1">
        <v>45774</v>
      </c>
      <c r="C3251">
        <v>2025</v>
      </c>
      <c r="D3251" t="s">
        <v>599</v>
      </c>
      <c r="E3251" t="s">
        <v>600</v>
      </c>
      <c r="F3251" t="s">
        <v>45</v>
      </c>
      <c r="G3251" t="s">
        <v>49</v>
      </c>
      <c r="H3251" t="s">
        <v>26</v>
      </c>
      <c r="I3251" t="s">
        <v>42</v>
      </c>
      <c r="J3251" t="s">
        <v>43</v>
      </c>
      <c r="K3251">
        <v>2</v>
      </c>
      <c r="L3251" s="2">
        <v>154.66</v>
      </c>
      <c r="M3251" s="3">
        <v>0.05</v>
      </c>
      <c r="N3251" t="s">
        <v>29</v>
      </c>
      <c r="O3251" s="2">
        <v>293.85000000000002</v>
      </c>
      <c r="P3251" s="2">
        <v>205.49</v>
      </c>
      <c r="Q3251" s="2">
        <v>88.36</v>
      </c>
      <c r="R3251">
        <v>1</v>
      </c>
      <c r="S3251">
        <v>0</v>
      </c>
      <c r="T3251">
        <v>4</v>
      </c>
      <c r="U3251">
        <v>5</v>
      </c>
    </row>
    <row r="3252" spans="1:21" ht="16.5" x14ac:dyDescent="0.3">
      <c r="A3252" t="s">
        <v>3340</v>
      </c>
      <c r="B3252" s="1">
        <v>45774</v>
      </c>
      <c r="C3252">
        <v>2025</v>
      </c>
      <c r="D3252" t="s">
        <v>599</v>
      </c>
      <c r="E3252" t="s">
        <v>600</v>
      </c>
      <c r="F3252" t="s">
        <v>24</v>
      </c>
      <c r="G3252" t="s">
        <v>49</v>
      </c>
      <c r="H3252" t="s">
        <v>32</v>
      </c>
      <c r="I3252" t="s">
        <v>27</v>
      </c>
      <c r="J3252" t="s">
        <v>33</v>
      </c>
      <c r="K3252">
        <v>2</v>
      </c>
      <c r="L3252" s="2">
        <v>78.510000000000005</v>
      </c>
      <c r="M3252" s="3">
        <v>0.05</v>
      </c>
      <c r="N3252" t="s">
        <v>29</v>
      </c>
      <c r="O3252" s="2">
        <v>149.16999999999999</v>
      </c>
      <c r="P3252" s="2">
        <v>82.75</v>
      </c>
      <c r="Q3252" s="2">
        <v>66.42</v>
      </c>
      <c r="R3252">
        <v>1</v>
      </c>
      <c r="S3252">
        <v>0</v>
      </c>
      <c r="T3252">
        <v>4</v>
      </c>
      <c r="U3252">
        <v>3</v>
      </c>
    </row>
    <row r="3253" spans="1:21" ht="16.5" x14ac:dyDescent="0.3">
      <c r="A3253" t="s">
        <v>3341</v>
      </c>
      <c r="B3253" s="1">
        <v>45774</v>
      </c>
      <c r="C3253">
        <v>2025</v>
      </c>
      <c r="D3253" t="s">
        <v>599</v>
      </c>
      <c r="E3253" t="s">
        <v>600</v>
      </c>
      <c r="F3253" t="s">
        <v>31</v>
      </c>
      <c r="G3253" t="s">
        <v>65</v>
      </c>
      <c r="H3253" t="s">
        <v>26</v>
      </c>
      <c r="I3253" t="s">
        <v>27</v>
      </c>
      <c r="J3253" t="s">
        <v>60</v>
      </c>
      <c r="K3253">
        <v>1</v>
      </c>
      <c r="L3253" s="2">
        <v>94.85</v>
      </c>
      <c r="M3253" s="3">
        <v>0.2</v>
      </c>
      <c r="N3253" t="s">
        <v>34</v>
      </c>
      <c r="O3253" s="2">
        <v>75.88</v>
      </c>
      <c r="P3253" s="2">
        <v>52.38</v>
      </c>
      <c r="Q3253" s="2">
        <v>23.5</v>
      </c>
      <c r="R3253">
        <v>1</v>
      </c>
      <c r="S3253">
        <v>0</v>
      </c>
      <c r="T3253">
        <v>7</v>
      </c>
      <c r="U3253">
        <v>4</v>
      </c>
    </row>
    <row r="3254" spans="1:21" ht="16.5" x14ac:dyDescent="0.3">
      <c r="A3254" t="s">
        <v>3342</v>
      </c>
      <c r="B3254" s="1">
        <v>45774</v>
      </c>
      <c r="C3254">
        <v>2025</v>
      </c>
      <c r="D3254" t="s">
        <v>599</v>
      </c>
      <c r="E3254" t="s">
        <v>600</v>
      </c>
      <c r="F3254" t="s">
        <v>31</v>
      </c>
      <c r="G3254" t="s">
        <v>25</v>
      </c>
      <c r="H3254" t="s">
        <v>26</v>
      </c>
      <c r="I3254" t="s">
        <v>27</v>
      </c>
      <c r="J3254" t="s">
        <v>40</v>
      </c>
      <c r="K3254">
        <v>1</v>
      </c>
      <c r="L3254" s="2">
        <v>104.94</v>
      </c>
      <c r="M3254" s="3">
        <v>0.1</v>
      </c>
      <c r="N3254" t="s">
        <v>29</v>
      </c>
      <c r="O3254" s="2">
        <v>94.45</v>
      </c>
      <c r="P3254" s="2">
        <v>54.13</v>
      </c>
      <c r="Q3254" s="2">
        <v>40.32</v>
      </c>
      <c r="R3254">
        <v>1</v>
      </c>
      <c r="S3254">
        <v>0</v>
      </c>
      <c r="T3254">
        <v>3</v>
      </c>
      <c r="U3254">
        <v>4</v>
      </c>
    </row>
    <row r="3255" spans="1:21" ht="16.5" x14ac:dyDescent="0.3">
      <c r="A3255" t="s">
        <v>3343</v>
      </c>
      <c r="B3255" s="1">
        <v>45774</v>
      </c>
      <c r="C3255">
        <v>2025</v>
      </c>
      <c r="D3255" t="s">
        <v>599</v>
      </c>
      <c r="E3255" t="s">
        <v>600</v>
      </c>
      <c r="F3255" t="s">
        <v>31</v>
      </c>
      <c r="G3255" t="s">
        <v>51</v>
      </c>
      <c r="H3255" t="s">
        <v>26</v>
      </c>
      <c r="I3255" t="s">
        <v>36</v>
      </c>
      <c r="J3255" t="s">
        <v>126</v>
      </c>
      <c r="K3255">
        <v>1</v>
      </c>
      <c r="L3255" s="2">
        <v>54.56</v>
      </c>
      <c r="M3255" s="3">
        <v>0</v>
      </c>
      <c r="N3255" t="s">
        <v>38</v>
      </c>
      <c r="O3255" s="2">
        <v>54.56</v>
      </c>
      <c r="P3255" s="2">
        <v>26.07</v>
      </c>
      <c r="Q3255" s="2">
        <v>28.49</v>
      </c>
      <c r="R3255">
        <v>1</v>
      </c>
      <c r="S3255">
        <v>0</v>
      </c>
      <c r="T3255">
        <v>4</v>
      </c>
      <c r="U3255">
        <v>4</v>
      </c>
    </row>
    <row r="3256" spans="1:21" ht="16.5" x14ac:dyDescent="0.3">
      <c r="A3256" t="s">
        <v>3344</v>
      </c>
      <c r="B3256" s="1">
        <v>45774</v>
      </c>
      <c r="C3256">
        <v>2025</v>
      </c>
      <c r="D3256" t="s">
        <v>599</v>
      </c>
      <c r="E3256" t="s">
        <v>600</v>
      </c>
      <c r="F3256" t="s">
        <v>45</v>
      </c>
      <c r="G3256" t="s">
        <v>25</v>
      </c>
      <c r="H3256" t="s">
        <v>32</v>
      </c>
      <c r="I3256" t="s">
        <v>70</v>
      </c>
      <c r="J3256" t="s">
        <v>71</v>
      </c>
      <c r="K3256">
        <v>1</v>
      </c>
      <c r="L3256" s="2">
        <v>588.41</v>
      </c>
      <c r="M3256" s="3">
        <v>0</v>
      </c>
      <c r="N3256" t="s">
        <v>38</v>
      </c>
      <c r="O3256" s="2">
        <v>588.41</v>
      </c>
      <c r="P3256" s="2">
        <v>490.94</v>
      </c>
      <c r="Q3256" s="2">
        <v>97.47</v>
      </c>
      <c r="R3256">
        <v>1</v>
      </c>
      <c r="S3256">
        <v>1</v>
      </c>
      <c r="T3256">
        <v>4</v>
      </c>
      <c r="U3256">
        <v>3</v>
      </c>
    </row>
    <row r="3257" spans="1:21" ht="16.5" x14ac:dyDescent="0.3">
      <c r="A3257" t="s">
        <v>3345</v>
      </c>
      <c r="B3257" s="1">
        <v>45775</v>
      </c>
      <c r="C3257">
        <v>2025</v>
      </c>
      <c r="D3257" t="s">
        <v>599</v>
      </c>
      <c r="E3257" t="s">
        <v>600</v>
      </c>
      <c r="F3257" t="s">
        <v>31</v>
      </c>
      <c r="G3257" t="s">
        <v>49</v>
      </c>
      <c r="H3257" t="s">
        <v>32</v>
      </c>
      <c r="I3257" t="s">
        <v>27</v>
      </c>
      <c r="J3257" t="s">
        <v>28</v>
      </c>
      <c r="K3257">
        <v>1</v>
      </c>
      <c r="L3257" s="2">
        <v>138.5</v>
      </c>
      <c r="M3257" s="3">
        <v>0</v>
      </c>
      <c r="N3257" t="s">
        <v>38</v>
      </c>
      <c r="O3257" s="2">
        <v>138.5</v>
      </c>
      <c r="P3257" s="2">
        <v>73.86</v>
      </c>
      <c r="Q3257" s="2">
        <v>64.64</v>
      </c>
      <c r="R3257">
        <v>1</v>
      </c>
      <c r="S3257">
        <v>0</v>
      </c>
      <c r="T3257">
        <v>4</v>
      </c>
      <c r="U3257">
        <v>4</v>
      </c>
    </row>
    <row r="3258" spans="1:21" ht="16.5" x14ac:dyDescent="0.3">
      <c r="A3258" t="s">
        <v>3346</v>
      </c>
      <c r="B3258" s="1">
        <v>45775</v>
      </c>
      <c r="C3258">
        <v>2025</v>
      </c>
      <c r="D3258" t="s">
        <v>599</v>
      </c>
      <c r="E3258" t="s">
        <v>600</v>
      </c>
      <c r="F3258" t="s">
        <v>31</v>
      </c>
      <c r="G3258" t="s">
        <v>51</v>
      </c>
      <c r="H3258" t="s">
        <v>26</v>
      </c>
      <c r="I3258" t="s">
        <v>70</v>
      </c>
      <c r="J3258" t="s">
        <v>162</v>
      </c>
      <c r="K3258">
        <v>1</v>
      </c>
      <c r="L3258" s="2">
        <v>636.09</v>
      </c>
      <c r="M3258" s="3">
        <v>0</v>
      </c>
      <c r="N3258" t="s">
        <v>38</v>
      </c>
      <c r="O3258" s="2">
        <v>636.09</v>
      </c>
      <c r="P3258" s="2">
        <v>500.21</v>
      </c>
      <c r="Q3258" s="2">
        <v>135.88</v>
      </c>
      <c r="R3258">
        <v>1</v>
      </c>
      <c r="S3258">
        <v>0</v>
      </c>
      <c r="T3258">
        <v>2</v>
      </c>
      <c r="U3258">
        <v>5</v>
      </c>
    </row>
    <row r="3259" spans="1:21" ht="16.5" x14ac:dyDescent="0.3">
      <c r="A3259" t="s">
        <v>3347</v>
      </c>
      <c r="B3259" s="1">
        <v>45775</v>
      </c>
      <c r="C3259">
        <v>2025</v>
      </c>
      <c r="D3259" t="s">
        <v>599</v>
      </c>
      <c r="E3259" t="s">
        <v>600</v>
      </c>
      <c r="F3259" t="s">
        <v>31</v>
      </c>
      <c r="G3259" t="s">
        <v>46</v>
      </c>
      <c r="H3259" t="s">
        <v>32</v>
      </c>
      <c r="I3259" t="s">
        <v>70</v>
      </c>
      <c r="J3259" t="s">
        <v>129</v>
      </c>
      <c r="K3259">
        <v>1</v>
      </c>
      <c r="L3259" s="2">
        <v>177.65</v>
      </c>
      <c r="M3259" s="3">
        <v>0.15</v>
      </c>
      <c r="N3259" t="s">
        <v>34</v>
      </c>
      <c r="O3259" s="2">
        <v>151</v>
      </c>
      <c r="P3259" s="2">
        <v>148.12</v>
      </c>
      <c r="Q3259" s="2">
        <v>2.88</v>
      </c>
      <c r="R3259">
        <v>1</v>
      </c>
      <c r="S3259">
        <v>0</v>
      </c>
      <c r="T3259">
        <v>6</v>
      </c>
      <c r="U3259">
        <v>4</v>
      </c>
    </row>
    <row r="3260" spans="1:21" ht="16.5" x14ac:dyDescent="0.3">
      <c r="A3260" t="s">
        <v>3348</v>
      </c>
      <c r="B3260" s="1">
        <v>45775</v>
      </c>
      <c r="C3260">
        <v>2025</v>
      </c>
      <c r="D3260" t="s">
        <v>599</v>
      </c>
      <c r="E3260" t="s">
        <v>600</v>
      </c>
      <c r="F3260" t="s">
        <v>24</v>
      </c>
      <c r="G3260" t="s">
        <v>51</v>
      </c>
      <c r="H3260" t="s">
        <v>32</v>
      </c>
      <c r="I3260" t="s">
        <v>70</v>
      </c>
      <c r="J3260" t="s">
        <v>87</v>
      </c>
      <c r="K3260">
        <v>1</v>
      </c>
      <c r="L3260" s="2">
        <v>490.3</v>
      </c>
      <c r="M3260" s="3">
        <v>0.25</v>
      </c>
      <c r="N3260" t="s">
        <v>62</v>
      </c>
      <c r="O3260" s="2">
        <v>367.72</v>
      </c>
      <c r="P3260" s="2">
        <v>395.21</v>
      </c>
      <c r="Q3260" s="2">
        <v>-27.49</v>
      </c>
      <c r="R3260">
        <v>1</v>
      </c>
      <c r="S3260">
        <v>0</v>
      </c>
      <c r="T3260">
        <v>5</v>
      </c>
      <c r="U3260">
        <v>4</v>
      </c>
    </row>
    <row r="3261" spans="1:21" ht="16.5" x14ac:dyDescent="0.3">
      <c r="A3261" t="s">
        <v>3349</v>
      </c>
      <c r="B3261" s="1">
        <v>45775</v>
      </c>
      <c r="C3261">
        <v>2025</v>
      </c>
      <c r="D3261" t="s">
        <v>599</v>
      </c>
      <c r="E3261" t="s">
        <v>600</v>
      </c>
      <c r="F3261" t="s">
        <v>24</v>
      </c>
      <c r="G3261" t="s">
        <v>49</v>
      </c>
      <c r="H3261" t="s">
        <v>26</v>
      </c>
      <c r="I3261" t="s">
        <v>27</v>
      </c>
      <c r="J3261" t="s">
        <v>60</v>
      </c>
      <c r="K3261">
        <v>3</v>
      </c>
      <c r="L3261" s="2">
        <v>94.85</v>
      </c>
      <c r="M3261" s="3">
        <v>0.05</v>
      </c>
      <c r="N3261" t="s">
        <v>29</v>
      </c>
      <c r="O3261" s="2">
        <v>270.32</v>
      </c>
      <c r="P3261" s="2">
        <v>154.26</v>
      </c>
      <c r="Q3261" s="2">
        <v>116.06</v>
      </c>
      <c r="R3261">
        <v>1</v>
      </c>
      <c r="S3261">
        <v>0</v>
      </c>
      <c r="T3261">
        <v>6</v>
      </c>
      <c r="U3261">
        <v>4</v>
      </c>
    </row>
    <row r="3262" spans="1:21" ht="16.5" x14ac:dyDescent="0.3">
      <c r="A3262" t="s">
        <v>3350</v>
      </c>
      <c r="B3262" s="1">
        <v>45775</v>
      </c>
      <c r="C3262">
        <v>2025</v>
      </c>
      <c r="D3262" t="s">
        <v>599</v>
      </c>
      <c r="E3262" t="s">
        <v>600</v>
      </c>
      <c r="F3262" t="s">
        <v>31</v>
      </c>
      <c r="G3262" t="s">
        <v>49</v>
      </c>
      <c r="H3262" t="s">
        <v>26</v>
      </c>
      <c r="I3262" t="s">
        <v>70</v>
      </c>
      <c r="J3262" t="s">
        <v>252</v>
      </c>
      <c r="K3262">
        <v>1</v>
      </c>
      <c r="L3262" s="2">
        <v>216.08</v>
      </c>
      <c r="M3262" s="3">
        <v>0</v>
      </c>
      <c r="N3262" t="s">
        <v>38</v>
      </c>
      <c r="O3262" s="2">
        <v>216.08</v>
      </c>
      <c r="P3262" s="2">
        <v>174.43</v>
      </c>
      <c r="Q3262" s="2">
        <v>41.65</v>
      </c>
      <c r="R3262">
        <v>1</v>
      </c>
      <c r="S3262">
        <v>0</v>
      </c>
      <c r="T3262">
        <v>5</v>
      </c>
      <c r="U3262">
        <v>4</v>
      </c>
    </row>
    <row r="3263" spans="1:21" ht="16.5" x14ac:dyDescent="0.3">
      <c r="A3263" t="s">
        <v>3351</v>
      </c>
      <c r="B3263" s="1">
        <v>45775</v>
      </c>
      <c r="C3263">
        <v>2025</v>
      </c>
      <c r="D3263" t="s">
        <v>599</v>
      </c>
      <c r="E3263" t="s">
        <v>600</v>
      </c>
      <c r="F3263" t="s">
        <v>31</v>
      </c>
      <c r="G3263" t="s">
        <v>49</v>
      </c>
      <c r="H3263" t="s">
        <v>32</v>
      </c>
      <c r="I3263" t="s">
        <v>84</v>
      </c>
      <c r="J3263" t="s">
        <v>132</v>
      </c>
      <c r="K3263">
        <v>3</v>
      </c>
      <c r="L3263" s="2">
        <v>48.86</v>
      </c>
      <c r="M3263" s="3">
        <v>0.2</v>
      </c>
      <c r="N3263" t="s">
        <v>34</v>
      </c>
      <c r="O3263" s="2">
        <v>117.26</v>
      </c>
      <c r="P3263" s="2">
        <v>104.65</v>
      </c>
      <c r="Q3263" s="2">
        <v>12.61</v>
      </c>
      <c r="R3263">
        <v>1</v>
      </c>
      <c r="S3263">
        <v>0</v>
      </c>
      <c r="T3263">
        <v>4</v>
      </c>
      <c r="U3263">
        <v>3</v>
      </c>
    </row>
    <row r="3264" spans="1:21" ht="16.5" x14ac:dyDescent="0.3">
      <c r="A3264" t="s">
        <v>3352</v>
      </c>
      <c r="B3264" s="1">
        <v>45776</v>
      </c>
      <c r="C3264">
        <v>2025</v>
      </c>
      <c r="D3264" t="s">
        <v>599</v>
      </c>
      <c r="E3264" t="s">
        <v>600</v>
      </c>
      <c r="F3264" t="s">
        <v>45</v>
      </c>
      <c r="G3264" t="s">
        <v>51</v>
      </c>
      <c r="H3264" t="s">
        <v>26</v>
      </c>
      <c r="I3264" t="s">
        <v>27</v>
      </c>
      <c r="J3264" t="s">
        <v>28</v>
      </c>
      <c r="K3264">
        <v>1</v>
      </c>
      <c r="L3264" s="2">
        <v>138.5</v>
      </c>
      <c r="M3264" s="3">
        <v>0.1</v>
      </c>
      <c r="N3264" t="s">
        <v>29</v>
      </c>
      <c r="O3264" s="2">
        <v>124.65</v>
      </c>
      <c r="P3264" s="2">
        <v>73.06</v>
      </c>
      <c r="Q3264" s="2">
        <v>51.59</v>
      </c>
      <c r="R3264">
        <v>1</v>
      </c>
      <c r="S3264">
        <v>0</v>
      </c>
      <c r="T3264">
        <v>2</v>
      </c>
      <c r="U3264">
        <v>5</v>
      </c>
    </row>
    <row r="3265" spans="1:21" ht="16.5" x14ac:dyDescent="0.3">
      <c r="A3265" t="s">
        <v>3353</v>
      </c>
      <c r="B3265" s="1">
        <v>45776</v>
      </c>
      <c r="C3265">
        <v>2025</v>
      </c>
      <c r="D3265" t="s">
        <v>599</v>
      </c>
      <c r="E3265" t="s">
        <v>600</v>
      </c>
      <c r="F3265" t="s">
        <v>31</v>
      </c>
      <c r="G3265" t="s">
        <v>65</v>
      </c>
      <c r="H3265" t="s">
        <v>32</v>
      </c>
      <c r="I3265" t="s">
        <v>27</v>
      </c>
      <c r="J3265" t="s">
        <v>40</v>
      </c>
      <c r="K3265">
        <v>2</v>
      </c>
      <c r="L3265" s="2">
        <v>104.94</v>
      </c>
      <c r="M3265" s="3">
        <v>0</v>
      </c>
      <c r="N3265" t="s">
        <v>38</v>
      </c>
      <c r="O3265" s="2">
        <v>209.88</v>
      </c>
      <c r="P3265" s="2">
        <v>105.57</v>
      </c>
      <c r="Q3265" s="2">
        <v>104.31</v>
      </c>
      <c r="R3265">
        <v>1</v>
      </c>
      <c r="S3265">
        <v>0</v>
      </c>
      <c r="T3265">
        <v>8</v>
      </c>
      <c r="U3265">
        <v>4</v>
      </c>
    </row>
    <row r="3266" spans="1:21" ht="16.5" x14ac:dyDescent="0.3">
      <c r="A3266" t="s">
        <v>3354</v>
      </c>
      <c r="B3266" s="1">
        <v>45776</v>
      </c>
      <c r="C3266">
        <v>2025</v>
      </c>
      <c r="D3266" t="s">
        <v>599</v>
      </c>
      <c r="E3266" t="s">
        <v>600</v>
      </c>
      <c r="F3266" t="s">
        <v>31</v>
      </c>
      <c r="G3266" t="s">
        <v>46</v>
      </c>
      <c r="H3266" t="s">
        <v>32</v>
      </c>
      <c r="I3266" t="s">
        <v>70</v>
      </c>
      <c r="J3266" t="s">
        <v>252</v>
      </c>
      <c r="K3266">
        <v>1</v>
      </c>
      <c r="L3266" s="2">
        <v>216.08</v>
      </c>
      <c r="M3266" s="3">
        <v>0</v>
      </c>
      <c r="N3266" t="s">
        <v>38</v>
      </c>
      <c r="O3266" s="2">
        <v>216.08</v>
      </c>
      <c r="P3266" s="2">
        <v>176.67</v>
      </c>
      <c r="Q3266" s="2">
        <v>39.409999999999997</v>
      </c>
      <c r="R3266">
        <v>1</v>
      </c>
      <c r="S3266">
        <v>0</v>
      </c>
      <c r="T3266">
        <v>5</v>
      </c>
      <c r="U3266">
        <v>5</v>
      </c>
    </row>
    <row r="3267" spans="1:21" ht="16.5" x14ac:dyDescent="0.3">
      <c r="A3267" t="s">
        <v>3355</v>
      </c>
      <c r="B3267" s="1">
        <v>45776</v>
      </c>
      <c r="C3267">
        <v>2025</v>
      </c>
      <c r="D3267" t="s">
        <v>599</v>
      </c>
      <c r="E3267" t="s">
        <v>600</v>
      </c>
      <c r="F3267" t="s">
        <v>24</v>
      </c>
      <c r="G3267" t="s">
        <v>25</v>
      </c>
      <c r="H3267" t="s">
        <v>32</v>
      </c>
      <c r="I3267" t="s">
        <v>67</v>
      </c>
      <c r="J3267" t="s">
        <v>78</v>
      </c>
      <c r="K3267">
        <v>2</v>
      </c>
      <c r="L3267" s="2">
        <v>85.42</v>
      </c>
      <c r="M3267" s="3">
        <v>0.2</v>
      </c>
      <c r="N3267" t="s">
        <v>34</v>
      </c>
      <c r="O3267" s="2">
        <v>136.66999999999999</v>
      </c>
      <c r="P3267" s="2">
        <v>115.03</v>
      </c>
      <c r="Q3267" s="2">
        <v>21.64</v>
      </c>
      <c r="R3267">
        <v>1</v>
      </c>
      <c r="S3267">
        <v>0</v>
      </c>
      <c r="T3267">
        <v>3</v>
      </c>
      <c r="U3267">
        <v>4</v>
      </c>
    </row>
    <row r="3268" spans="1:21" ht="16.5" x14ac:dyDescent="0.3">
      <c r="A3268" t="s">
        <v>3356</v>
      </c>
      <c r="B3268" s="1">
        <v>45776</v>
      </c>
      <c r="C3268">
        <v>2025</v>
      </c>
      <c r="D3268" t="s">
        <v>599</v>
      </c>
      <c r="E3268" t="s">
        <v>600</v>
      </c>
      <c r="F3268" t="s">
        <v>24</v>
      </c>
      <c r="G3268" t="s">
        <v>46</v>
      </c>
      <c r="H3268" t="s">
        <v>26</v>
      </c>
      <c r="I3268" t="s">
        <v>36</v>
      </c>
      <c r="J3268" t="s">
        <v>37</v>
      </c>
      <c r="K3268">
        <v>1</v>
      </c>
      <c r="L3268" s="2">
        <v>33.18</v>
      </c>
      <c r="M3268" s="3">
        <v>0.05</v>
      </c>
      <c r="N3268" t="s">
        <v>29</v>
      </c>
      <c r="O3268" s="2">
        <v>31.52</v>
      </c>
      <c r="P3268" s="2">
        <v>16.29</v>
      </c>
      <c r="Q3268" s="2">
        <v>15.23</v>
      </c>
      <c r="R3268">
        <v>1</v>
      </c>
      <c r="S3268">
        <v>0</v>
      </c>
      <c r="T3268">
        <v>7</v>
      </c>
      <c r="U3268">
        <v>3</v>
      </c>
    </row>
    <row r="3269" spans="1:21" ht="16.5" x14ac:dyDescent="0.3">
      <c r="A3269" t="s">
        <v>3357</v>
      </c>
      <c r="B3269" s="1">
        <v>45776</v>
      </c>
      <c r="C3269">
        <v>2025</v>
      </c>
      <c r="D3269" t="s">
        <v>599</v>
      </c>
      <c r="E3269" t="s">
        <v>600</v>
      </c>
      <c r="F3269" t="s">
        <v>24</v>
      </c>
      <c r="G3269" t="s">
        <v>51</v>
      </c>
      <c r="H3269" t="s">
        <v>26</v>
      </c>
      <c r="I3269" t="s">
        <v>70</v>
      </c>
      <c r="J3269" t="s">
        <v>129</v>
      </c>
      <c r="K3269">
        <v>2</v>
      </c>
      <c r="L3269" s="2">
        <v>177.65</v>
      </c>
      <c r="M3269" s="3">
        <v>0</v>
      </c>
      <c r="N3269" t="s">
        <v>38</v>
      </c>
      <c r="O3269" s="2">
        <v>355.3</v>
      </c>
      <c r="P3269" s="2">
        <v>279.82</v>
      </c>
      <c r="Q3269" s="2">
        <v>75.48</v>
      </c>
      <c r="R3269">
        <v>1</v>
      </c>
      <c r="S3269">
        <v>0</v>
      </c>
      <c r="T3269">
        <v>4</v>
      </c>
      <c r="U3269">
        <v>4</v>
      </c>
    </row>
    <row r="3270" spans="1:21" ht="16.5" x14ac:dyDescent="0.3">
      <c r="A3270" t="s">
        <v>3358</v>
      </c>
      <c r="B3270" s="1">
        <v>45776</v>
      </c>
      <c r="C3270">
        <v>2025</v>
      </c>
      <c r="D3270" t="s">
        <v>599</v>
      </c>
      <c r="E3270" t="s">
        <v>600</v>
      </c>
      <c r="F3270" t="s">
        <v>24</v>
      </c>
      <c r="G3270" t="s">
        <v>25</v>
      </c>
      <c r="H3270" t="s">
        <v>26</v>
      </c>
      <c r="I3270" t="s">
        <v>70</v>
      </c>
      <c r="J3270" t="s">
        <v>87</v>
      </c>
      <c r="K3270">
        <v>1</v>
      </c>
      <c r="L3270" s="2">
        <v>490.3</v>
      </c>
      <c r="M3270" s="3">
        <v>0</v>
      </c>
      <c r="N3270" t="s">
        <v>38</v>
      </c>
      <c r="O3270" s="2">
        <v>490.3</v>
      </c>
      <c r="P3270" s="2">
        <v>373.26</v>
      </c>
      <c r="Q3270" s="2">
        <v>117.04</v>
      </c>
      <c r="R3270">
        <v>1</v>
      </c>
      <c r="S3270">
        <v>0</v>
      </c>
      <c r="T3270">
        <v>4</v>
      </c>
      <c r="U3270">
        <v>5</v>
      </c>
    </row>
    <row r="3271" spans="1:21" ht="16.5" x14ac:dyDescent="0.3">
      <c r="A3271" t="s">
        <v>3359</v>
      </c>
      <c r="B3271" s="1">
        <v>45776</v>
      </c>
      <c r="C3271">
        <v>2025</v>
      </c>
      <c r="D3271" t="s">
        <v>599</v>
      </c>
      <c r="E3271" t="s">
        <v>600</v>
      </c>
      <c r="F3271" t="s">
        <v>31</v>
      </c>
      <c r="G3271" t="s">
        <v>51</v>
      </c>
      <c r="H3271" t="s">
        <v>32</v>
      </c>
      <c r="I3271" t="s">
        <v>27</v>
      </c>
      <c r="J3271" t="s">
        <v>110</v>
      </c>
      <c r="K3271">
        <v>1</v>
      </c>
      <c r="L3271" s="2">
        <v>19.41</v>
      </c>
      <c r="M3271" s="3">
        <v>0.15</v>
      </c>
      <c r="N3271" t="s">
        <v>34</v>
      </c>
      <c r="O3271" s="2">
        <v>16.5</v>
      </c>
      <c r="P3271" s="2">
        <v>10.75</v>
      </c>
      <c r="Q3271" s="2">
        <v>5.75</v>
      </c>
      <c r="R3271">
        <v>1</v>
      </c>
      <c r="S3271">
        <v>0</v>
      </c>
      <c r="T3271">
        <v>3</v>
      </c>
      <c r="U3271">
        <v>5</v>
      </c>
    </row>
    <row r="3272" spans="1:21" ht="16.5" x14ac:dyDescent="0.3">
      <c r="A3272" t="s">
        <v>3360</v>
      </c>
      <c r="B3272" s="1">
        <v>45776</v>
      </c>
      <c r="C3272">
        <v>2025</v>
      </c>
      <c r="D3272" t="s">
        <v>599</v>
      </c>
      <c r="E3272" t="s">
        <v>600</v>
      </c>
      <c r="F3272" t="s">
        <v>24</v>
      </c>
      <c r="G3272" t="s">
        <v>25</v>
      </c>
      <c r="H3272" t="s">
        <v>26</v>
      </c>
      <c r="I3272" t="s">
        <v>42</v>
      </c>
      <c r="J3272" t="s">
        <v>43</v>
      </c>
      <c r="K3272">
        <v>3</v>
      </c>
      <c r="L3272" s="2">
        <v>154.66</v>
      </c>
      <c r="M3272" s="3">
        <v>0.1</v>
      </c>
      <c r="N3272" t="s">
        <v>29</v>
      </c>
      <c r="O3272" s="2">
        <v>417.58</v>
      </c>
      <c r="P3272" s="2">
        <v>303.43</v>
      </c>
      <c r="Q3272" s="2">
        <v>114.15</v>
      </c>
      <c r="R3272">
        <v>1</v>
      </c>
      <c r="S3272">
        <v>0</v>
      </c>
      <c r="T3272">
        <v>3</v>
      </c>
      <c r="U3272">
        <v>5</v>
      </c>
    </row>
    <row r="3273" spans="1:21" ht="16.5" x14ac:dyDescent="0.3">
      <c r="A3273" t="s">
        <v>3361</v>
      </c>
      <c r="B3273" s="1">
        <v>45776</v>
      </c>
      <c r="C3273">
        <v>2025</v>
      </c>
      <c r="D3273" t="s">
        <v>599</v>
      </c>
      <c r="E3273" t="s">
        <v>600</v>
      </c>
      <c r="F3273" t="s">
        <v>31</v>
      </c>
      <c r="G3273" t="s">
        <v>51</v>
      </c>
      <c r="H3273" t="s">
        <v>32</v>
      </c>
      <c r="I3273" t="s">
        <v>67</v>
      </c>
      <c r="J3273" t="s">
        <v>93</v>
      </c>
      <c r="K3273">
        <v>1</v>
      </c>
      <c r="L3273" s="2">
        <v>198.42</v>
      </c>
      <c r="M3273" s="3">
        <v>0.1</v>
      </c>
      <c r="N3273" t="s">
        <v>29</v>
      </c>
      <c r="O3273" s="2">
        <v>178.58</v>
      </c>
      <c r="P3273" s="2">
        <v>131.37</v>
      </c>
      <c r="Q3273" s="2">
        <v>47.21</v>
      </c>
      <c r="R3273">
        <v>1</v>
      </c>
      <c r="S3273">
        <v>0</v>
      </c>
      <c r="T3273">
        <v>3</v>
      </c>
      <c r="U3273">
        <v>4</v>
      </c>
    </row>
    <row r="3274" spans="1:21" ht="16.5" x14ac:dyDescent="0.3">
      <c r="A3274" t="s">
        <v>3362</v>
      </c>
      <c r="B3274" s="1">
        <v>45776</v>
      </c>
      <c r="C3274">
        <v>2025</v>
      </c>
      <c r="D3274" t="s">
        <v>599</v>
      </c>
      <c r="E3274" t="s">
        <v>600</v>
      </c>
      <c r="F3274" t="s">
        <v>31</v>
      </c>
      <c r="G3274" t="s">
        <v>25</v>
      </c>
      <c r="H3274" t="s">
        <v>32</v>
      </c>
      <c r="I3274" t="s">
        <v>67</v>
      </c>
      <c r="J3274" t="s">
        <v>103</v>
      </c>
      <c r="K3274">
        <v>2</v>
      </c>
      <c r="L3274" s="2">
        <v>83.06</v>
      </c>
      <c r="M3274" s="3">
        <v>0.05</v>
      </c>
      <c r="N3274" t="s">
        <v>29</v>
      </c>
      <c r="O3274" s="2">
        <v>157.81</v>
      </c>
      <c r="P3274" s="2">
        <v>109.12</v>
      </c>
      <c r="Q3274" s="2">
        <v>48.69</v>
      </c>
      <c r="R3274">
        <v>1</v>
      </c>
      <c r="S3274">
        <v>0</v>
      </c>
      <c r="T3274">
        <v>4</v>
      </c>
      <c r="U3274">
        <v>4</v>
      </c>
    </row>
    <row r="3275" spans="1:21" ht="16.5" x14ac:dyDescent="0.3">
      <c r="A3275" t="s">
        <v>3363</v>
      </c>
      <c r="B3275" s="1">
        <v>45777</v>
      </c>
      <c r="C3275">
        <v>2025</v>
      </c>
      <c r="D3275" t="s">
        <v>599</v>
      </c>
      <c r="E3275" t="s">
        <v>600</v>
      </c>
      <c r="F3275" t="s">
        <v>31</v>
      </c>
      <c r="G3275" t="s">
        <v>25</v>
      </c>
      <c r="H3275" t="s">
        <v>32</v>
      </c>
      <c r="I3275" t="s">
        <v>67</v>
      </c>
      <c r="J3275" t="s">
        <v>103</v>
      </c>
      <c r="K3275">
        <v>1</v>
      </c>
      <c r="L3275" s="2">
        <v>83.06</v>
      </c>
      <c r="M3275" s="3">
        <v>0</v>
      </c>
      <c r="N3275" t="s">
        <v>38</v>
      </c>
      <c r="O3275" s="2">
        <v>83.06</v>
      </c>
      <c r="P3275" s="2">
        <v>53.91</v>
      </c>
      <c r="Q3275" s="2">
        <v>29.15</v>
      </c>
      <c r="R3275">
        <v>1</v>
      </c>
      <c r="S3275">
        <v>0</v>
      </c>
      <c r="T3275">
        <v>5</v>
      </c>
      <c r="U3275">
        <v>4</v>
      </c>
    </row>
    <row r="3276" spans="1:21" ht="16.5" x14ac:dyDescent="0.3">
      <c r="A3276" t="s">
        <v>3364</v>
      </c>
      <c r="B3276" s="1">
        <v>45777</v>
      </c>
      <c r="C3276">
        <v>2025</v>
      </c>
      <c r="D3276" t="s">
        <v>599</v>
      </c>
      <c r="E3276" t="s">
        <v>600</v>
      </c>
      <c r="F3276" t="s">
        <v>45</v>
      </c>
      <c r="G3276" t="s">
        <v>25</v>
      </c>
      <c r="H3276" t="s">
        <v>32</v>
      </c>
      <c r="I3276" t="s">
        <v>70</v>
      </c>
      <c r="J3276" t="s">
        <v>252</v>
      </c>
      <c r="K3276">
        <v>1</v>
      </c>
      <c r="L3276" s="2">
        <v>216.08</v>
      </c>
      <c r="M3276" s="3">
        <v>0</v>
      </c>
      <c r="N3276" t="s">
        <v>38</v>
      </c>
      <c r="O3276" s="2">
        <v>216.08</v>
      </c>
      <c r="P3276" s="2">
        <v>172.79</v>
      </c>
      <c r="Q3276" s="2">
        <v>43.29</v>
      </c>
      <c r="R3276">
        <v>1</v>
      </c>
      <c r="S3276">
        <v>0</v>
      </c>
      <c r="T3276">
        <v>3</v>
      </c>
      <c r="U3276">
        <v>5</v>
      </c>
    </row>
    <row r="3277" spans="1:21" ht="16.5" x14ac:dyDescent="0.3">
      <c r="A3277" t="s">
        <v>3365</v>
      </c>
      <c r="B3277" s="1">
        <v>45777</v>
      </c>
      <c r="C3277">
        <v>2025</v>
      </c>
      <c r="D3277" t="s">
        <v>599</v>
      </c>
      <c r="E3277" t="s">
        <v>600</v>
      </c>
      <c r="F3277" t="s">
        <v>24</v>
      </c>
      <c r="G3277" t="s">
        <v>49</v>
      </c>
      <c r="H3277" t="s">
        <v>32</v>
      </c>
      <c r="I3277" t="s">
        <v>70</v>
      </c>
      <c r="J3277" t="s">
        <v>129</v>
      </c>
      <c r="K3277">
        <v>1</v>
      </c>
      <c r="L3277" s="2">
        <v>177.65</v>
      </c>
      <c r="M3277" s="3">
        <v>0.15</v>
      </c>
      <c r="N3277" t="s">
        <v>34</v>
      </c>
      <c r="O3277" s="2">
        <v>151</v>
      </c>
      <c r="P3277" s="2">
        <v>134.12</v>
      </c>
      <c r="Q3277" s="2">
        <v>16.88</v>
      </c>
      <c r="R3277">
        <v>1</v>
      </c>
      <c r="S3277">
        <v>0</v>
      </c>
      <c r="T3277">
        <v>4</v>
      </c>
      <c r="U3277">
        <v>5</v>
      </c>
    </row>
    <row r="3278" spans="1:21" ht="16.5" x14ac:dyDescent="0.3">
      <c r="A3278" t="s">
        <v>3366</v>
      </c>
      <c r="B3278" s="1">
        <v>45777</v>
      </c>
      <c r="C3278">
        <v>2025</v>
      </c>
      <c r="D3278" t="s">
        <v>599</v>
      </c>
      <c r="E3278" t="s">
        <v>600</v>
      </c>
      <c r="F3278" t="s">
        <v>31</v>
      </c>
      <c r="G3278" t="s">
        <v>49</v>
      </c>
      <c r="H3278" t="s">
        <v>32</v>
      </c>
      <c r="I3278" t="s">
        <v>42</v>
      </c>
      <c r="J3278" t="s">
        <v>43</v>
      </c>
      <c r="K3278">
        <v>1</v>
      </c>
      <c r="L3278" s="2">
        <v>154.66</v>
      </c>
      <c r="M3278" s="3">
        <v>0.1</v>
      </c>
      <c r="N3278" t="s">
        <v>29</v>
      </c>
      <c r="O3278" s="2">
        <v>139.19</v>
      </c>
      <c r="P3278" s="2">
        <v>103.92</v>
      </c>
      <c r="Q3278" s="2">
        <v>35.270000000000003</v>
      </c>
      <c r="R3278">
        <v>1</v>
      </c>
      <c r="S3278">
        <v>0</v>
      </c>
      <c r="T3278">
        <v>4</v>
      </c>
      <c r="U3278">
        <v>4</v>
      </c>
    </row>
    <row r="3279" spans="1:21" ht="16.5" x14ac:dyDescent="0.3">
      <c r="A3279" t="s">
        <v>3367</v>
      </c>
      <c r="B3279" s="1">
        <v>45777</v>
      </c>
      <c r="C3279">
        <v>2025</v>
      </c>
      <c r="D3279" t="s">
        <v>599</v>
      </c>
      <c r="E3279" t="s">
        <v>600</v>
      </c>
      <c r="F3279" t="s">
        <v>31</v>
      </c>
      <c r="G3279" t="s">
        <v>65</v>
      </c>
      <c r="H3279" t="s">
        <v>32</v>
      </c>
      <c r="I3279" t="s">
        <v>70</v>
      </c>
      <c r="J3279" t="s">
        <v>71</v>
      </c>
      <c r="K3279">
        <v>2</v>
      </c>
      <c r="L3279" s="2">
        <v>588.41</v>
      </c>
      <c r="M3279" s="3">
        <v>0.15</v>
      </c>
      <c r="N3279" t="s">
        <v>34</v>
      </c>
      <c r="O3279" s="2">
        <v>1000.3</v>
      </c>
      <c r="P3279" s="2">
        <v>916.03</v>
      </c>
      <c r="Q3279" s="2">
        <v>84.27</v>
      </c>
      <c r="R3279">
        <v>1</v>
      </c>
      <c r="S3279">
        <v>0</v>
      </c>
      <c r="T3279">
        <v>6</v>
      </c>
      <c r="U3279">
        <v>3</v>
      </c>
    </row>
    <row r="3280" spans="1:21" ht="16.5" x14ac:dyDescent="0.3">
      <c r="A3280" t="s">
        <v>3368</v>
      </c>
      <c r="B3280" s="1">
        <v>45777</v>
      </c>
      <c r="C3280">
        <v>2025</v>
      </c>
      <c r="D3280" t="s">
        <v>599</v>
      </c>
      <c r="E3280" t="s">
        <v>600</v>
      </c>
      <c r="F3280" t="s">
        <v>24</v>
      </c>
      <c r="G3280" t="s">
        <v>25</v>
      </c>
      <c r="H3280" t="s">
        <v>32</v>
      </c>
      <c r="I3280" t="s">
        <v>67</v>
      </c>
      <c r="J3280" t="s">
        <v>68</v>
      </c>
      <c r="K3280">
        <v>1</v>
      </c>
      <c r="L3280" s="2">
        <v>74.459999999999994</v>
      </c>
      <c r="M3280" s="3">
        <v>0.1</v>
      </c>
      <c r="N3280" t="s">
        <v>29</v>
      </c>
      <c r="O3280" s="2">
        <v>67.010000000000005</v>
      </c>
      <c r="P3280" s="2">
        <v>50.88</v>
      </c>
      <c r="Q3280" s="2">
        <v>16.13</v>
      </c>
      <c r="R3280">
        <v>1</v>
      </c>
      <c r="S3280">
        <v>0</v>
      </c>
      <c r="T3280">
        <v>4</v>
      </c>
      <c r="U3280">
        <v>4</v>
      </c>
    </row>
    <row r="3281" spans="1:21" ht="16.5" x14ac:dyDescent="0.3">
      <c r="A3281" t="s">
        <v>3369</v>
      </c>
      <c r="B3281" s="1">
        <v>45777</v>
      </c>
      <c r="C3281">
        <v>2025</v>
      </c>
      <c r="D3281" t="s">
        <v>599</v>
      </c>
      <c r="E3281" t="s">
        <v>600</v>
      </c>
      <c r="F3281" t="s">
        <v>24</v>
      </c>
      <c r="G3281" t="s">
        <v>49</v>
      </c>
      <c r="H3281" t="s">
        <v>26</v>
      </c>
      <c r="I3281" t="s">
        <v>36</v>
      </c>
      <c r="J3281" t="s">
        <v>37</v>
      </c>
      <c r="K3281">
        <v>1</v>
      </c>
      <c r="L3281" s="2">
        <v>33.18</v>
      </c>
      <c r="M3281" s="3">
        <v>0.1</v>
      </c>
      <c r="N3281" t="s">
        <v>29</v>
      </c>
      <c r="O3281" s="2">
        <v>29.86</v>
      </c>
      <c r="P3281" s="2">
        <v>16.260000000000002</v>
      </c>
      <c r="Q3281" s="2">
        <v>13.6</v>
      </c>
      <c r="R3281">
        <v>1</v>
      </c>
      <c r="S3281">
        <v>0</v>
      </c>
      <c r="T3281">
        <v>4</v>
      </c>
      <c r="U3281">
        <v>4</v>
      </c>
    </row>
    <row r="3282" spans="1:21" ht="16.5" x14ac:dyDescent="0.3">
      <c r="A3282" t="s">
        <v>3370</v>
      </c>
      <c r="B3282" s="1">
        <v>45777</v>
      </c>
      <c r="C3282">
        <v>2025</v>
      </c>
      <c r="D3282" t="s">
        <v>599</v>
      </c>
      <c r="E3282" t="s">
        <v>600</v>
      </c>
      <c r="F3282" t="s">
        <v>31</v>
      </c>
      <c r="G3282" t="s">
        <v>25</v>
      </c>
      <c r="H3282" t="s">
        <v>32</v>
      </c>
      <c r="I3282" t="s">
        <v>27</v>
      </c>
      <c r="J3282" t="s">
        <v>60</v>
      </c>
      <c r="K3282">
        <v>2</v>
      </c>
      <c r="L3282" s="2">
        <v>94.85</v>
      </c>
      <c r="M3282" s="3">
        <v>0</v>
      </c>
      <c r="N3282" t="s">
        <v>38</v>
      </c>
      <c r="O3282" s="2">
        <v>189.7</v>
      </c>
      <c r="P3282" s="2">
        <v>105.57</v>
      </c>
      <c r="Q3282" s="2">
        <v>84.13</v>
      </c>
      <c r="R3282">
        <v>1</v>
      </c>
      <c r="S3282">
        <v>0</v>
      </c>
      <c r="T3282">
        <v>4</v>
      </c>
      <c r="U3282">
        <v>3</v>
      </c>
    </row>
    <row r="3283" spans="1:21" ht="16.5" x14ac:dyDescent="0.3">
      <c r="A3283" t="s">
        <v>3371</v>
      </c>
      <c r="B3283" s="1">
        <v>45777</v>
      </c>
      <c r="C3283">
        <v>2025</v>
      </c>
      <c r="D3283" t="s">
        <v>599</v>
      </c>
      <c r="E3283" t="s">
        <v>600</v>
      </c>
      <c r="F3283" t="s">
        <v>45</v>
      </c>
      <c r="G3283" t="s">
        <v>51</v>
      </c>
      <c r="H3283" t="s">
        <v>26</v>
      </c>
      <c r="I3283" t="s">
        <v>67</v>
      </c>
      <c r="J3283" t="s">
        <v>68</v>
      </c>
      <c r="K3283">
        <v>1</v>
      </c>
      <c r="L3283" s="2">
        <v>74.459999999999994</v>
      </c>
      <c r="M3283" s="3">
        <v>0.2</v>
      </c>
      <c r="N3283" t="s">
        <v>34</v>
      </c>
      <c r="O3283" s="2">
        <v>59.57</v>
      </c>
      <c r="P3283" s="2">
        <v>52.56</v>
      </c>
      <c r="Q3283" s="2">
        <v>7.01</v>
      </c>
      <c r="R3283">
        <v>1</v>
      </c>
      <c r="S3283">
        <v>1</v>
      </c>
      <c r="T3283">
        <v>4</v>
      </c>
      <c r="U3283">
        <v>4</v>
      </c>
    </row>
    <row r="3284" spans="1:21" ht="16.5" x14ac:dyDescent="0.3">
      <c r="A3284" t="s">
        <v>3372</v>
      </c>
      <c r="B3284" s="1">
        <v>45778</v>
      </c>
      <c r="C3284">
        <v>2025</v>
      </c>
      <c r="D3284" t="s">
        <v>599</v>
      </c>
      <c r="E3284" t="s">
        <v>802</v>
      </c>
      <c r="F3284" t="s">
        <v>45</v>
      </c>
      <c r="G3284" t="s">
        <v>25</v>
      </c>
      <c r="H3284" t="s">
        <v>32</v>
      </c>
      <c r="I3284" t="s">
        <v>67</v>
      </c>
      <c r="J3284" t="s">
        <v>78</v>
      </c>
      <c r="K3284">
        <v>1</v>
      </c>
      <c r="L3284" s="2">
        <v>85.42</v>
      </c>
      <c r="M3284" s="3">
        <v>0</v>
      </c>
      <c r="N3284" t="s">
        <v>38</v>
      </c>
      <c r="O3284" s="2">
        <v>85.42</v>
      </c>
      <c r="P3284" s="2">
        <v>58.55</v>
      </c>
      <c r="Q3284" s="2">
        <v>26.87</v>
      </c>
      <c r="R3284">
        <v>1</v>
      </c>
      <c r="S3284">
        <v>0</v>
      </c>
      <c r="T3284">
        <v>6</v>
      </c>
      <c r="U3284">
        <v>5</v>
      </c>
    </row>
    <row r="3285" spans="1:21" ht="16.5" x14ac:dyDescent="0.3">
      <c r="A3285" t="s">
        <v>3373</v>
      </c>
      <c r="B3285" s="1">
        <v>45778</v>
      </c>
      <c r="C3285">
        <v>2025</v>
      </c>
      <c r="D3285" t="s">
        <v>599</v>
      </c>
      <c r="E3285" t="s">
        <v>802</v>
      </c>
      <c r="F3285" t="s">
        <v>45</v>
      </c>
      <c r="G3285" t="s">
        <v>25</v>
      </c>
      <c r="H3285" t="s">
        <v>32</v>
      </c>
      <c r="I3285" t="s">
        <v>84</v>
      </c>
      <c r="J3285" t="s">
        <v>132</v>
      </c>
      <c r="K3285">
        <v>2</v>
      </c>
      <c r="L3285" s="2">
        <v>48.86</v>
      </c>
      <c r="M3285" s="3">
        <v>0.05</v>
      </c>
      <c r="N3285" t="s">
        <v>29</v>
      </c>
      <c r="O3285" s="2">
        <v>92.83</v>
      </c>
      <c r="P3285" s="2">
        <v>74.849999999999994</v>
      </c>
      <c r="Q3285" s="2">
        <v>17.98</v>
      </c>
      <c r="R3285">
        <v>1</v>
      </c>
      <c r="S3285">
        <v>0</v>
      </c>
      <c r="T3285">
        <v>4</v>
      </c>
      <c r="U3285">
        <v>5</v>
      </c>
    </row>
    <row r="3286" spans="1:21" ht="16.5" x14ac:dyDescent="0.3">
      <c r="A3286" t="s">
        <v>3374</v>
      </c>
      <c r="B3286" s="1">
        <v>45778</v>
      </c>
      <c r="C3286">
        <v>2025</v>
      </c>
      <c r="D3286" t="s">
        <v>599</v>
      </c>
      <c r="E3286" t="s">
        <v>802</v>
      </c>
      <c r="F3286" t="s">
        <v>31</v>
      </c>
      <c r="G3286" t="s">
        <v>49</v>
      </c>
      <c r="H3286" t="s">
        <v>32</v>
      </c>
      <c r="I3286" t="s">
        <v>27</v>
      </c>
      <c r="J3286" t="s">
        <v>33</v>
      </c>
      <c r="K3286">
        <v>1</v>
      </c>
      <c r="L3286" s="2">
        <v>78.510000000000005</v>
      </c>
      <c r="M3286" s="3">
        <v>0</v>
      </c>
      <c r="N3286" t="s">
        <v>38</v>
      </c>
      <c r="O3286" s="2">
        <v>78.510000000000005</v>
      </c>
      <c r="P3286" s="2">
        <v>42.62</v>
      </c>
      <c r="Q3286" s="2">
        <v>35.89</v>
      </c>
      <c r="R3286">
        <v>1</v>
      </c>
      <c r="S3286">
        <v>0</v>
      </c>
      <c r="T3286">
        <v>3</v>
      </c>
      <c r="U3286">
        <v>5</v>
      </c>
    </row>
    <row r="3287" spans="1:21" ht="16.5" x14ac:dyDescent="0.3">
      <c r="A3287" t="s">
        <v>3375</v>
      </c>
      <c r="B3287" s="1">
        <v>45778</v>
      </c>
      <c r="C3287">
        <v>2025</v>
      </c>
      <c r="D3287" t="s">
        <v>599</v>
      </c>
      <c r="E3287" t="s">
        <v>802</v>
      </c>
      <c r="F3287" t="s">
        <v>45</v>
      </c>
      <c r="G3287" t="s">
        <v>51</v>
      </c>
      <c r="H3287" t="s">
        <v>32</v>
      </c>
      <c r="I3287" t="s">
        <v>27</v>
      </c>
      <c r="J3287" t="s">
        <v>110</v>
      </c>
      <c r="K3287">
        <v>1</v>
      </c>
      <c r="L3287" s="2">
        <v>19.41</v>
      </c>
      <c r="M3287" s="3">
        <v>0</v>
      </c>
      <c r="N3287" t="s">
        <v>38</v>
      </c>
      <c r="O3287" s="2">
        <v>19.41</v>
      </c>
      <c r="P3287" s="2">
        <v>10.4</v>
      </c>
      <c r="Q3287" s="2">
        <v>9.01</v>
      </c>
      <c r="R3287">
        <v>1</v>
      </c>
      <c r="S3287">
        <v>1</v>
      </c>
      <c r="T3287">
        <v>3</v>
      </c>
      <c r="U3287">
        <v>3</v>
      </c>
    </row>
    <row r="3288" spans="1:21" ht="16.5" x14ac:dyDescent="0.3">
      <c r="A3288" t="s">
        <v>3376</v>
      </c>
      <c r="B3288" s="1">
        <v>45778</v>
      </c>
      <c r="C3288">
        <v>2025</v>
      </c>
      <c r="D3288" t="s">
        <v>599</v>
      </c>
      <c r="E3288" t="s">
        <v>802</v>
      </c>
      <c r="F3288" t="s">
        <v>45</v>
      </c>
      <c r="G3288" t="s">
        <v>51</v>
      </c>
      <c r="H3288" t="s">
        <v>32</v>
      </c>
      <c r="I3288" t="s">
        <v>42</v>
      </c>
      <c r="J3288" t="s">
        <v>43</v>
      </c>
      <c r="K3288">
        <v>1</v>
      </c>
      <c r="L3288" s="2">
        <v>154.66</v>
      </c>
      <c r="M3288" s="3">
        <v>0.15</v>
      </c>
      <c r="N3288" t="s">
        <v>34</v>
      </c>
      <c r="O3288" s="2">
        <v>131.46</v>
      </c>
      <c r="P3288" s="2">
        <v>101.3</v>
      </c>
      <c r="Q3288" s="2">
        <v>30.16</v>
      </c>
      <c r="R3288">
        <v>1</v>
      </c>
      <c r="S3288">
        <v>0</v>
      </c>
      <c r="T3288">
        <v>3</v>
      </c>
      <c r="U3288">
        <v>5</v>
      </c>
    </row>
    <row r="3289" spans="1:21" ht="16.5" x14ac:dyDescent="0.3">
      <c r="A3289" t="s">
        <v>3377</v>
      </c>
      <c r="B3289" s="1">
        <v>45778</v>
      </c>
      <c r="C3289">
        <v>2025</v>
      </c>
      <c r="D3289" t="s">
        <v>599</v>
      </c>
      <c r="E3289" t="s">
        <v>802</v>
      </c>
      <c r="F3289" t="s">
        <v>31</v>
      </c>
      <c r="G3289" t="s">
        <v>51</v>
      </c>
      <c r="H3289" t="s">
        <v>32</v>
      </c>
      <c r="I3289" t="s">
        <v>70</v>
      </c>
      <c r="J3289" t="s">
        <v>162</v>
      </c>
      <c r="K3289">
        <v>2</v>
      </c>
      <c r="L3289" s="2">
        <v>636.09</v>
      </c>
      <c r="M3289" s="3">
        <v>0.15</v>
      </c>
      <c r="N3289" t="s">
        <v>34</v>
      </c>
      <c r="O3289" s="2">
        <v>1081.3499999999999</v>
      </c>
      <c r="P3289" s="2">
        <v>1018.83</v>
      </c>
      <c r="Q3289" s="2">
        <v>62.52</v>
      </c>
      <c r="R3289">
        <v>1</v>
      </c>
      <c r="S3289">
        <v>0</v>
      </c>
      <c r="T3289">
        <v>3</v>
      </c>
      <c r="U3289">
        <v>5</v>
      </c>
    </row>
    <row r="3290" spans="1:21" ht="16.5" x14ac:dyDescent="0.3">
      <c r="A3290" t="s">
        <v>3378</v>
      </c>
      <c r="B3290" s="1">
        <v>45778</v>
      </c>
      <c r="C3290">
        <v>2025</v>
      </c>
      <c r="D3290" t="s">
        <v>599</v>
      </c>
      <c r="E3290" t="s">
        <v>802</v>
      </c>
      <c r="F3290" t="s">
        <v>24</v>
      </c>
      <c r="G3290" t="s">
        <v>65</v>
      </c>
      <c r="H3290" t="s">
        <v>32</v>
      </c>
      <c r="I3290" t="s">
        <v>70</v>
      </c>
      <c r="J3290" t="s">
        <v>87</v>
      </c>
      <c r="K3290">
        <v>1</v>
      </c>
      <c r="L3290" s="2">
        <v>490.3</v>
      </c>
      <c r="M3290" s="3">
        <v>0.15</v>
      </c>
      <c r="N3290" t="s">
        <v>34</v>
      </c>
      <c r="O3290" s="2">
        <v>416.76</v>
      </c>
      <c r="P3290" s="2">
        <v>396.72</v>
      </c>
      <c r="Q3290" s="2">
        <v>20.04</v>
      </c>
      <c r="R3290">
        <v>1</v>
      </c>
      <c r="S3290">
        <v>0</v>
      </c>
      <c r="T3290">
        <v>6</v>
      </c>
      <c r="U3290">
        <v>3</v>
      </c>
    </row>
    <row r="3291" spans="1:21" ht="16.5" x14ac:dyDescent="0.3">
      <c r="A3291" t="s">
        <v>3379</v>
      </c>
      <c r="B3291" s="1">
        <v>45779</v>
      </c>
      <c r="C3291">
        <v>2025</v>
      </c>
      <c r="D3291" t="s">
        <v>599</v>
      </c>
      <c r="E3291" t="s">
        <v>802</v>
      </c>
      <c r="F3291" t="s">
        <v>31</v>
      </c>
      <c r="G3291" t="s">
        <v>49</v>
      </c>
      <c r="H3291" t="s">
        <v>32</v>
      </c>
      <c r="I3291" t="s">
        <v>36</v>
      </c>
      <c r="J3291" t="s">
        <v>56</v>
      </c>
      <c r="K3291">
        <v>3</v>
      </c>
      <c r="L3291" s="2">
        <v>74.3</v>
      </c>
      <c r="M3291" s="3">
        <v>0</v>
      </c>
      <c r="N3291" t="s">
        <v>38</v>
      </c>
      <c r="O3291" s="2">
        <v>222.9</v>
      </c>
      <c r="P3291" s="2">
        <v>114.96</v>
      </c>
      <c r="Q3291" s="2">
        <v>107.94</v>
      </c>
      <c r="R3291">
        <v>1</v>
      </c>
      <c r="S3291">
        <v>0</v>
      </c>
      <c r="T3291">
        <v>3</v>
      </c>
      <c r="U3291">
        <v>4</v>
      </c>
    </row>
    <row r="3292" spans="1:21" ht="16.5" x14ac:dyDescent="0.3">
      <c r="A3292" t="s">
        <v>3380</v>
      </c>
      <c r="B3292" s="1">
        <v>45779</v>
      </c>
      <c r="C3292">
        <v>2025</v>
      </c>
      <c r="D3292" t="s">
        <v>599</v>
      </c>
      <c r="E3292" t="s">
        <v>802</v>
      </c>
      <c r="F3292" t="s">
        <v>31</v>
      </c>
      <c r="G3292" t="s">
        <v>49</v>
      </c>
      <c r="H3292" t="s">
        <v>26</v>
      </c>
      <c r="I3292" t="s">
        <v>42</v>
      </c>
      <c r="J3292" t="s">
        <v>54</v>
      </c>
      <c r="K3292">
        <v>3</v>
      </c>
      <c r="L3292" s="2">
        <v>148.05000000000001</v>
      </c>
      <c r="M3292" s="3">
        <v>0.15</v>
      </c>
      <c r="N3292" t="s">
        <v>34</v>
      </c>
      <c r="O3292" s="2">
        <v>377.53</v>
      </c>
      <c r="P3292" s="2">
        <v>296.63</v>
      </c>
      <c r="Q3292" s="2">
        <v>80.900000000000006</v>
      </c>
      <c r="R3292">
        <v>1</v>
      </c>
      <c r="S3292">
        <v>0</v>
      </c>
      <c r="T3292">
        <v>4</v>
      </c>
      <c r="U3292">
        <v>4</v>
      </c>
    </row>
    <row r="3293" spans="1:21" ht="16.5" x14ac:dyDescent="0.3">
      <c r="A3293" t="s">
        <v>3381</v>
      </c>
      <c r="B3293" s="1">
        <v>45779</v>
      </c>
      <c r="C3293">
        <v>2025</v>
      </c>
      <c r="D3293" t="s">
        <v>599</v>
      </c>
      <c r="E3293" t="s">
        <v>802</v>
      </c>
      <c r="F3293" t="s">
        <v>31</v>
      </c>
      <c r="G3293" t="s">
        <v>51</v>
      </c>
      <c r="H3293" t="s">
        <v>26</v>
      </c>
      <c r="I3293" t="s">
        <v>42</v>
      </c>
      <c r="J3293" t="s">
        <v>89</v>
      </c>
      <c r="K3293">
        <v>1</v>
      </c>
      <c r="L3293" s="2">
        <v>68.349999999999994</v>
      </c>
      <c r="M3293" s="3">
        <v>0.05</v>
      </c>
      <c r="N3293" t="s">
        <v>29</v>
      </c>
      <c r="O3293" s="2">
        <v>64.930000000000007</v>
      </c>
      <c r="P3293" s="2">
        <v>46.08</v>
      </c>
      <c r="Q3293" s="2">
        <v>18.850000000000001</v>
      </c>
      <c r="R3293">
        <v>1</v>
      </c>
      <c r="S3293">
        <v>0</v>
      </c>
      <c r="T3293">
        <v>4</v>
      </c>
      <c r="U3293">
        <v>3</v>
      </c>
    </row>
    <row r="3294" spans="1:21" ht="16.5" x14ac:dyDescent="0.3">
      <c r="A3294" t="s">
        <v>3382</v>
      </c>
      <c r="B3294" s="1">
        <v>45779</v>
      </c>
      <c r="C3294">
        <v>2025</v>
      </c>
      <c r="D3294" t="s">
        <v>599</v>
      </c>
      <c r="E3294" t="s">
        <v>802</v>
      </c>
      <c r="F3294" t="s">
        <v>31</v>
      </c>
      <c r="G3294" t="s">
        <v>51</v>
      </c>
      <c r="H3294" t="s">
        <v>32</v>
      </c>
      <c r="I3294" t="s">
        <v>84</v>
      </c>
      <c r="J3294" t="s">
        <v>85</v>
      </c>
      <c r="K3294">
        <v>2</v>
      </c>
      <c r="L3294" s="2">
        <v>57.92</v>
      </c>
      <c r="M3294" s="3">
        <v>0.2</v>
      </c>
      <c r="N3294" t="s">
        <v>34</v>
      </c>
      <c r="O3294" s="2">
        <v>92.67</v>
      </c>
      <c r="P3294" s="2">
        <v>80.599999999999994</v>
      </c>
      <c r="Q3294" s="2">
        <v>12.07</v>
      </c>
      <c r="R3294">
        <v>1</v>
      </c>
      <c r="S3294">
        <v>0</v>
      </c>
      <c r="T3294">
        <v>4</v>
      </c>
      <c r="U3294">
        <v>4</v>
      </c>
    </row>
    <row r="3295" spans="1:21" ht="16.5" x14ac:dyDescent="0.3">
      <c r="A3295" t="s">
        <v>3383</v>
      </c>
      <c r="B3295" s="1">
        <v>45779</v>
      </c>
      <c r="C3295">
        <v>2025</v>
      </c>
      <c r="D3295" t="s">
        <v>599</v>
      </c>
      <c r="E3295" t="s">
        <v>802</v>
      </c>
      <c r="F3295" t="s">
        <v>24</v>
      </c>
      <c r="G3295" t="s">
        <v>51</v>
      </c>
      <c r="H3295" t="s">
        <v>32</v>
      </c>
      <c r="I3295" t="s">
        <v>27</v>
      </c>
      <c r="J3295" t="s">
        <v>40</v>
      </c>
      <c r="K3295">
        <v>4</v>
      </c>
      <c r="L3295" s="2">
        <v>104.94</v>
      </c>
      <c r="M3295" s="3">
        <v>0</v>
      </c>
      <c r="N3295" t="s">
        <v>38</v>
      </c>
      <c r="O3295" s="2">
        <v>419.76</v>
      </c>
      <c r="P3295" s="2">
        <v>234.18</v>
      </c>
      <c r="Q3295" s="2">
        <v>185.58</v>
      </c>
      <c r="R3295">
        <v>1</v>
      </c>
      <c r="S3295">
        <v>0</v>
      </c>
      <c r="T3295">
        <v>4</v>
      </c>
      <c r="U3295">
        <v>4</v>
      </c>
    </row>
    <row r="3296" spans="1:21" ht="16.5" x14ac:dyDescent="0.3">
      <c r="A3296" t="s">
        <v>3384</v>
      </c>
      <c r="B3296" s="1">
        <v>45779</v>
      </c>
      <c r="C3296">
        <v>2025</v>
      </c>
      <c r="D3296" t="s">
        <v>599</v>
      </c>
      <c r="E3296" t="s">
        <v>802</v>
      </c>
      <c r="F3296" t="s">
        <v>31</v>
      </c>
      <c r="G3296" t="s">
        <v>49</v>
      </c>
      <c r="H3296" t="s">
        <v>32</v>
      </c>
      <c r="I3296" t="s">
        <v>36</v>
      </c>
      <c r="J3296" t="s">
        <v>52</v>
      </c>
      <c r="K3296">
        <v>1</v>
      </c>
      <c r="L3296" s="2">
        <v>92.54</v>
      </c>
      <c r="M3296" s="3">
        <v>0.05</v>
      </c>
      <c r="N3296" t="s">
        <v>29</v>
      </c>
      <c r="O3296" s="2">
        <v>87.91</v>
      </c>
      <c r="P3296" s="2">
        <v>45.1</v>
      </c>
      <c r="Q3296" s="2">
        <v>42.81</v>
      </c>
      <c r="R3296">
        <v>1</v>
      </c>
      <c r="S3296">
        <v>0</v>
      </c>
      <c r="T3296">
        <v>4</v>
      </c>
      <c r="U3296">
        <v>4</v>
      </c>
    </row>
    <row r="3297" spans="1:21" ht="16.5" x14ac:dyDescent="0.3">
      <c r="A3297" t="s">
        <v>3385</v>
      </c>
      <c r="B3297" s="1">
        <v>45780</v>
      </c>
      <c r="C3297">
        <v>2025</v>
      </c>
      <c r="D3297" t="s">
        <v>599</v>
      </c>
      <c r="E3297" t="s">
        <v>802</v>
      </c>
      <c r="F3297" t="s">
        <v>24</v>
      </c>
      <c r="G3297" t="s">
        <v>51</v>
      </c>
      <c r="H3297" t="s">
        <v>26</v>
      </c>
      <c r="I3297" t="s">
        <v>70</v>
      </c>
      <c r="J3297" t="s">
        <v>162</v>
      </c>
      <c r="K3297">
        <v>2</v>
      </c>
      <c r="L3297" s="2">
        <v>636.09</v>
      </c>
      <c r="M3297" s="3">
        <v>0</v>
      </c>
      <c r="N3297" t="s">
        <v>38</v>
      </c>
      <c r="O3297" s="2">
        <v>1272.18</v>
      </c>
      <c r="P3297" s="2">
        <v>1064.67</v>
      </c>
      <c r="Q3297" s="2">
        <v>207.51</v>
      </c>
      <c r="R3297">
        <v>1</v>
      </c>
      <c r="S3297">
        <v>0</v>
      </c>
      <c r="T3297">
        <v>2</v>
      </c>
      <c r="U3297">
        <v>5</v>
      </c>
    </row>
    <row r="3298" spans="1:21" ht="16.5" x14ac:dyDescent="0.3">
      <c r="A3298" t="s">
        <v>3386</v>
      </c>
      <c r="B3298" s="1">
        <v>45780</v>
      </c>
      <c r="C3298">
        <v>2025</v>
      </c>
      <c r="D3298" t="s">
        <v>599</v>
      </c>
      <c r="E3298" t="s">
        <v>802</v>
      </c>
      <c r="F3298" t="s">
        <v>45</v>
      </c>
      <c r="G3298" t="s">
        <v>49</v>
      </c>
      <c r="H3298" t="s">
        <v>26</v>
      </c>
      <c r="I3298" t="s">
        <v>42</v>
      </c>
      <c r="J3298" t="s">
        <v>89</v>
      </c>
      <c r="K3298">
        <v>1</v>
      </c>
      <c r="L3298" s="2">
        <v>68.349999999999994</v>
      </c>
      <c r="M3298" s="3">
        <v>0.1</v>
      </c>
      <c r="N3298" t="s">
        <v>29</v>
      </c>
      <c r="O3298" s="2">
        <v>61.51</v>
      </c>
      <c r="P3298" s="2">
        <v>45.49</v>
      </c>
      <c r="Q3298" s="2">
        <v>16.02</v>
      </c>
      <c r="R3298">
        <v>1</v>
      </c>
      <c r="S3298">
        <v>0</v>
      </c>
      <c r="T3298">
        <v>3</v>
      </c>
      <c r="U3298">
        <v>5</v>
      </c>
    </row>
    <row r="3299" spans="1:21" ht="16.5" x14ac:dyDescent="0.3">
      <c r="A3299" t="s">
        <v>3387</v>
      </c>
      <c r="B3299" s="1">
        <v>45780</v>
      </c>
      <c r="C3299">
        <v>2025</v>
      </c>
      <c r="D3299" t="s">
        <v>599</v>
      </c>
      <c r="E3299" t="s">
        <v>802</v>
      </c>
      <c r="F3299" t="s">
        <v>31</v>
      </c>
      <c r="G3299" t="s">
        <v>25</v>
      </c>
      <c r="H3299" t="s">
        <v>32</v>
      </c>
      <c r="I3299" t="s">
        <v>27</v>
      </c>
      <c r="J3299" t="s">
        <v>60</v>
      </c>
      <c r="K3299">
        <v>1</v>
      </c>
      <c r="L3299" s="2">
        <v>94.85</v>
      </c>
      <c r="M3299" s="3">
        <v>0.15</v>
      </c>
      <c r="N3299" t="s">
        <v>34</v>
      </c>
      <c r="O3299" s="2">
        <v>80.62</v>
      </c>
      <c r="P3299" s="2">
        <v>52.41</v>
      </c>
      <c r="Q3299" s="2">
        <v>28.21</v>
      </c>
      <c r="R3299">
        <v>1</v>
      </c>
      <c r="S3299">
        <v>0</v>
      </c>
      <c r="T3299">
        <v>5</v>
      </c>
      <c r="U3299">
        <v>4</v>
      </c>
    </row>
    <row r="3300" spans="1:21" ht="16.5" x14ac:dyDescent="0.3">
      <c r="A3300" t="s">
        <v>3388</v>
      </c>
      <c r="B3300" s="1">
        <v>45780</v>
      </c>
      <c r="C3300">
        <v>2025</v>
      </c>
      <c r="D3300" t="s">
        <v>599</v>
      </c>
      <c r="E3300" t="s">
        <v>802</v>
      </c>
      <c r="F3300" t="s">
        <v>31</v>
      </c>
      <c r="G3300" t="s">
        <v>51</v>
      </c>
      <c r="H3300" t="s">
        <v>32</v>
      </c>
      <c r="I3300" t="s">
        <v>67</v>
      </c>
      <c r="J3300" t="s">
        <v>174</v>
      </c>
      <c r="K3300">
        <v>1</v>
      </c>
      <c r="L3300" s="2">
        <v>137.05000000000001</v>
      </c>
      <c r="M3300" s="3">
        <v>0</v>
      </c>
      <c r="N3300" t="s">
        <v>38</v>
      </c>
      <c r="O3300" s="2">
        <v>137.05000000000001</v>
      </c>
      <c r="P3300" s="2">
        <v>89.79</v>
      </c>
      <c r="Q3300" s="2">
        <v>47.26</v>
      </c>
      <c r="R3300">
        <v>1</v>
      </c>
      <c r="S3300">
        <v>0</v>
      </c>
      <c r="T3300">
        <v>3</v>
      </c>
      <c r="U3300">
        <v>5</v>
      </c>
    </row>
    <row r="3301" spans="1:21" ht="16.5" x14ac:dyDescent="0.3">
      <c r="A3301" t="s">
        <v>3389</v>
      </c>
      <c r="B3301" s="1">
        <v>45780</v>
      </c>
      <c r="C3301">
        <v>2025</v>
      </c>
      <c r="D3301" t="s">
        <v>599</v>
      </c>
      <c r="E3301" t="s">
        <v>802</v>
      </c>
      <c r="F3301" t="s">
        <v>24</v>
      </c>
      <c r="G3301" t="s">
        <v>25</v>
      </c>
      <c r="H3301" t="s">
        <v>32</v>
      </c>
      <c r="I3301" t="s">
        <v>27</v>
      </c>
      <c r="J3301" t="s">
        <v>110</v>
      </c>
      <c r="K3301">
        <v>2</v>
      </c>
      <c r="L3301" s="2">
        <v>19.41</v>
      </c>
      <c r="M3301" s="3">
        <v>0.1</v>
      </c>
      <c r="N3301" t="s">
        <v>29</v>
      </c>
      <c r="O3301" s="2">
        <v>34.94</v>
      </c>
      <c r="P3301" s="2">
        <v>21.38</v>
      </c>
      <c r="Q3301" s="2">
        <v>13.56</v>
      </c>
      <c r="R3301">
        <v>1</v>
      </c>
      <c r="S3301">
        <v>0</v>
      </c>
      <c r="T3301">
        <v>3</v>
      </c>
      <c r="U3301">
        <v>5</v>
      </c>
    </row>
    <row r="3302" spans="1:21" ht="16.5" x14ac:dyDescent="0.3">
      <c r="A3302" t="s">
        <v>3390</v>
      </c>
      <c r="B3302" s="1">
        <v>45780</v>
      </c>
      <c r="C3302">
        <v>2025</v>
      </c>
      <c r="D3302" t="s">
        <v>599</v>
      </c>
      <c r="E3302" t="s">
        <v>802</v>
      </c>
      <c r="F3302" t="s">
        <v>24</v>
      </c>
      <c r="G3302" t="s">
        <v>51</v>
      </c>
      <c r="H3302" t="s">
        <v>26</v>
      </c>
      <c r="I3302" t="s">
        <v>42</v>
      </c>
      <c r="J3302" t="s">
        <v>54</v>
      </c>
      <c r="K3302">
        <v>1</v>
      </c>
      <c r="L3302" s="2">
        <v>148.05000000000001</v>
      </c>
      <c r="M3302" s="3">
        <v>0</v>
      </c>
      <c r="N3302" t="s">
        <v>38</v>
      </c>
      <c r="O3302" s="2">
        <v>148.05000000000001</v>
      </c>
      <c r="P3302" s="2">
        <v>95.26</v>
      </c>
      <c r="Q3302" s="2">
        <v>52.79</v>
      </c>
      <c r="R3302">
        <v>1</v>
      </c>
      <c r="S3302">
        <v>0</v>
      </c>
      <c r="T3302">
        <v>4</v>
      </c>
      <c r="U3302">
        <v>4</v>
      </c>
    </row>
    <row r="3303" spans="1:21" ht="16.5" x14ac:dyDescent="0.3">
      <c r="A3303" t="s">
        <v>3391</v>
      </c>
      <c r="B3303" s="1">
        <v>45780</v>
      </c>
      <c r="C3303">
        <v>2025</v>
      </c>
      <c r="D3303" t="s">
        <v>599</v>
      </c>
      <c r="E3303" t="s">
        <v>802</v>
      </c>
      <c r="F3303" t="s">
        <v>31</v>
      </c>
      <c r="G3303" t="s">
        <v>25</v>
      </c>
      <c r="H3303" t="s">
        <v>32</v>
      </c>
      <c r="I3303" t="s">
        <v>27</v>
      </c>
      <c r="J3303" t="s">
        <v>60</v>
      </c>
      <c r="K3303">
        <v>1</v>
      </c>
      <c r="L3303" s="2">
        <v>94.85</v>
      </c>
      <c r="M3303" s="3">
        <v>0.05</v>
      </c>
      <c r="N3303" t="s">
        <v>29</v>
      </c>
      <c r="O3303" s="2">
        <v>90.11</v>
      </c>
      <c r="P3303" s="2">
        <v>50.31</v>
      </c>
      <c r="Q3303" s="2">
        <v>39.799999999999997</v>
      </c>
      <c r="R3303">
        <v>1</v>
      </c>
      <c r="S3303">
        <v>0</v>
      </c>
      <c r="T3303">
        <v>6</v>
      </c>
      <c r="U3303">
        <v>4</v>
      </c>
    </row>
    <row r="3304" spans="1:21" ht="16.5" x14ac:dyDescent="0.3">
      <c r="A3304" t="s">
        <v>3392</v>
      </c>
      <c r="B3304" s="1">
        <v>45781</v>
      </c>
      <c r="C3304">
        <v>2025</v>
      </c>
      <c r="D3304" t="s">
        <v>599</v>
      </c>
      <c r="E3304" t="s">
        <v>802</v>
      </c>
      <c r="F3304" t="s">
        <v>24</v>
      </c>
      <c r="G3304" t="s">
        <v>25</v>
      </c>
      <c r="H3304" t="s">
        <v>32</v>
      </c>
      <c r="I3304" t="s">
        <v>42</v>
      </c>
      <c r="J3304" t="s">
        <v>89</v>
      </c>
      <c r="K3304">
        <v>1</v>
      </c>
      <c r="L3304" s="2">
        <v>68.349999999999994</v>
      </c>
      <c r="M3304" s="3">
        <v>0</v>
      </c>
      <c r="N3304" t="s">
        <v>38</v>
      </c>
      <c r="O3304" s="2">
        <v>68.349999999999994</v>
      </c>
      <c r="P3304" s="2">
        <v>44.01</v>
      </c>
      <c r="Q3304" s="2">
        <v>24.34</v>
      </c>
      <c r="R3304">
        <v>1</v>
      </c>
      <c r="S3304">
        <v>0</v>
      </c>
      <c r="T3304">
        <v>4</v>
      </c>
      <c r="U3304">
        <v>4</v>
      </c>
    </row>
    <row r="3305" spans="1:21" ht="16.5" x14ac:dyDescent="0.3">
      <c r="A3305" t="s">
        <v>3393</v>
      </c>
      <c r="B3305" s="1">
        <v>45781</v>
      </c>
      <c r="C3305">
        <v>2025</v>
      </c>
      <c r="D3305" t="s">
        <v>599</v>
      </c>
      <c r="E3305" t="s">
        <v>802</v>
      </c>
      <c r="F3305" t="s">
        <v>31</v>
      </c>
      <c r="G3305" t="s">
        <v>25</v>
      </c>
      <c r="H3305" t="s">
        <v>26</v>
      </c>
      <c r="I3305" t="s">
        <v>70</v>
      </c>
      <c r="J3305" t="s">
        <v>162</v>
      </c>
      <c r="K3305">
        <v>1</v>
      </c>
      <c r="L3305" s="2">
        <v>636.09</v>
      </c>
      <c r="M3305" s="3">
        <v>0.05</v>
      </c>
      <c r="N3305" t="s">
        <v>29</v>
      </c>
      <c r="O3305" s="2">
        <v>604.29</v>
      </c>
      <c r="P3305" s="2">
        <v>498.76</v>
      </c>
      <c r="Q3305" s="2">
        <v>105.53</v>
      </c>
      <c r="R3305">
        <v>1</v>
      </c>
      <c r="S3305">
        <v>0</v>
      </c>
      <c r="T3305">
        <v>3</v>
      </c>
      <c r="U3305">
        <v>3</v>
      </c>
    </row>
    <row r="3306" spans="1:21" ht="16.5" x14ac:dyDescent="0.3">
      <c r="A3306" t="s">
        <v>3394</v>
      </c>
      <c r="B3306" s="1">
        <v>45781</v>
      </c>
      <c r="C3306">
        <v>2025</v>
      </c>
      <c r="D3306" t="s">
        <v>599</v>
      </c>
      <c r="E3306" t="s">
        <v>802</v>
      </c>
      <c r="F3306" t="s">
        <v>31</v>
      </c>
      <c r="G3306" t="s">
        <v>49</v>
      </c>
      <c r="H3306" t="s">
        <v>32</v>
      </c>
      <c r="I3306" t="s">
        <v>42</v>
      </c>
      <c r="J3306" t="s">
        <v>58</v>
      </c>
      <c r="K3306">
        <v>1</v>
      </c>
      <c r="L3306" s="2">
        <v>233.81</v>
      </c>
      <c r="M3306" s="3">
        <v>0.1</v>
      </c>
      <c r="N3306" t="s">
        <v>29</v>
      </c>
      <c r="O3306" s="2">
        <v>210.43</v>
      </c>
      <c r="P3306" s="2">
        <v>144.35</v>
      </c>
      <c r="Q3306" s="2">
        <v>66.08</v>
      </c>
      <c r="R3306">
        <v>1</v>
      </c>
      <c r="S3306">
        <v>0</v>
      </c>
      <c r="T3306">
        <v>4</v>
      </c>
      <c r="U3306">
        <v>4</v>
      </c>
    </row>
    <row r="3307" spans="1:21" ht="16.5" x14ac:dyDescent="0.3">
      <c r="A3307" t="s">
        <v>3395</v>
      </c>
      <c r="B3307" s="1">
        <v>45781</v>
      </c>
      <c r="C3307">
        <v>2025</v>
      </c>
      <c r="D3307" t="s">
        <v>599</v>
      </c>
      <c r="E3307" t="s">
        <v>802</v>
      </c>
      <c r="F3307" t="s">
        <v>24</v>
      </c>
      <c r="G3307" t="s">
        <v>49</v>
      </c>
      <c r="H3307" t="s">
        <v>26</v>
      </c>
      <c r="I3307" t="s">
        <v>36</v>
      </c>
      <c r="J3307" t="s">
        <v>56</v>
      </c>
      <c r="K3307">
        <v>3</v>
      </c>
      <c r="L3307" s="2">
        <v>74.3</v>
      </c>
      <c r="M3307" s="3">
        <v>0</v>
      </c>
      <c r="N3307" t="s">
        <v>38</v>
      </c>
      <c r="O3307" s="2">
        <v>222.9</v>
      </c>
      <c r="P3307" s="2">
        <v>107.69</v>
      </c>
      <c r="Q3307" s="2">
        <v>115.21</v>
      </c>
      <c r="R3307">
        <v>1</v>
      </c>
      <c r="S3307">
        <v>0</v>
      </c>
      <c r="T3307">
        <v>3</v>
      </c>
      <c r="U3307">
        <v>5</v>
      </c>
    </row>
    <row r="3308" spans="1:21" ht="16.5" x14ac:dyDescent="0.3">
      <c r="A3308" t="s">
        <v>3396</v>
      </c>
      <c r="B3308" s="1">
        <v>45781</v>
      </c>
      <c r="C3308">
        <v>2025</v>
      </c>
      <c r="D3308" t="s">
        <v>599</v>
      </c>
      <c r="E3308" t="s">
        <v>802</v>
      </c>
      <c r="F3308" t="s">
        <v>45</v>
      </c>
      <c r="G3308" t="s">
        <v>65</v>
      </c>
      <c r="H3308" t="s">
        <v>32</v>
      </c>
      <c r="I3308" t="s">
        <v>67</v>
      </c>
      <c r="J3308" t="s">
        <v>103</v>
      </c>
      <c r="K3308">
        <v>1</v>
      </c>
      <c r="L3308" s="2">
        <v>83.06</v>
      </c>
      <c r="M3308" s="3">
        <v>0.05</v>
      </c>
      <c r="N3308" t="s">
        <v>29</v>
      </c>
      <c r="O3308" s="2">
        <v>78.91</v>
      </c>
      <c r="P3308" s="2">
        <v>54.94</v>
      </c>
      <c r="Q3308" s="2">
        <v>23.97</v>
      </c>
      <c r="R3308">
        <v>1</v>
      </c>
      <c r="S3308">
        <v>0</v>
      </c>
      <c r="T3308">
        <v>6</v>
      </c>
      <c r="U3308">
        <v>4</v>
      </c>
    </row>
    <row r="3309" spans="1:21" ht="16.5" x14ac:dyDescent="0.3">
      <c r="A3309" t="s">
        <v>3397</v>
      </c>
      <c r="B3309" s="1">
        <v>45781</v>
      </c>
      <c r="C3309">
        <v>2025</v>
      </c>
      <c r="D3309" t="s">
        <v>599</v>
      </c>
      <c r="E3309" t="s">
        <v>802</v>
      </c>
      <c r="F3309" t="s">
        <v>45</v>
      </c>
      <c r="G3309" t="s">
        <v>51</v>
      </c>
      <c r="H3309" t="s">
        <v>26</v>
      </c>
      <c r="I3309" t="s">
        <v>42</v>
      </c>
      <c r="J3309" t="s">
        <v>54</v>
      </c>
      <c r="K3309">
        <v>1</v>
      </c>
      <c r="L3309" s="2">
        <v>148.05000000000001</v>
      </c>
      <c r="M3309" s="3">
        <v>0.1</v>
      </c>
      <c r="N3309" t="s">
        <v>29</v>
      </c>
      <c r="O3309" s="2">
        <v>133.24</v>
      </c>
      <c r="P3309" s="2">
        <v>101.23</v>
      </c>
      <c r="Q3309" s="2">
        <v>32.01</v>
      </c>
      <c r="R3309">
        <v>1</v>
      </c>
      <c r="S3309">
        <v>0</v>
      </c>
      <c r="T3309">
        <v>3</v>
      </c>
      <c r="U3309">
        <v>3</v>
      </c>
    </row>
    <row r="3310" spans="1:21" ht="16.5" x14ac:dyDescent="0.3">
      <c r="A3310" t="s">
        <v>3398</v>
      </c>
      <c r="B3310" s="1">
        <v>45781</v>
      </c>
      <c r="C3310">
        <v>2025</v>
      </c>
      <c r="D3310" t="s">
        <v>599</v>
      </c>
      <c r="E3310" t="s">
        <v>802</v>
      </c>
      <c r="F3310" t="s">
        <v>24</v>
      </c>
      <c r="G3310" t="s">
        <v>49</v>
      </c>
      <c r="H3310" t="s">
        <v>32</v>
      </c>
      <c r="I3310" t="s">
        <v>67</v>
      </c>
      <c r="J3310" t="s">
        <v>93</v>
      </c>
      <c r="K3310">
        <v>2</v>
      </c>
      <c r="L3310" s="2">
        <v>198.42</v>
      </c>
      <c r="M3310" s="3">
        <v>0.1</v>
      </c>
      <c r="N3310" t="s">
        <v>29</v>
      </c>
      <c r="O3310" s="2">
        <v>357.16</v>
      </c>
      <c r="P3310" s="2">
        <v>269.66000000000003</v>
      </c>
      <c r="Q3310" s="2">
        <v>87.5</v>
      </c>
      <c r="R3310">
        <v>1</v>
      </c>
      <c r="S3310">
        <v>0</v>
      </c>
      <c r="T3310">
        <v>5</v>
      </c>
      <c r="U3310">
        <v>4</v>
      </c>
    </row>
    <row r="3311" spans="1:21" ht="16.5" x14ac:dyDescent="0.3">
      <c r="A3311" t="s">
        <v>3399</v>
      </c>
      <c r="B3311" s="1">
        <v>45781</v>
      </c>
      <c r="C3311">
        <v>2025</v>
      </c>
      <c r="D3311" t="s">
        <v>599</v>
      </c>
      <c r="E3311" t="s">
        <v>802</v>
      </c>
      <c r="F3311" t="s">
        <v>24</v>
      </c>
      <c r="G3311" t="s">
        <v>65</v>
      </c>
      <c r="H3311" t="s">
        <v>26</v>
      </c>
      <c r="I3311" t="s">
        <v>36</v>
      </c>
      <c r="J3311" t="s">
        <v>37</v>
      </c>
      <c r="K3311">
        <v>1</v>
      </c>
      <c r="L3311" s="2">
        <v>33.18</v>
      </c>
      <c r="M3311" s="3">
        <v>0</v>
      </c>
      <c r="N3311" t="s">
        <v>38</v>
      </c>
      <c r="O3311" s="2">
        <v>33.18</v>
      </c>
      <c r="P3311" s="2">
        <v>16.7</v>
      </c>
      <c r="Q3311" s="2">
        <v>16.48</v>
      </c>
      <c r="R3311">
        <v>1</v>
      </c>
      <c r="S3311">
        <v>1</v>
      </c>
      <c r="T3311">
        <v>9</v>
      </c>
      <c r="U3311">
        <v>3</v>
      </c>
    </row>
    <row r="3312" spans="1:21" ht="16.5" x14ac:dyDescent="0.3">
      <c r="A3312" t="s">
        <v>3400</v>
      </c>
      <c r="B3312" s="1">
        <v>45781</v>
      </c>
      <c r="C3312">
        <v>2025</v>
      </c>
      <c r="D3312" t="s">
        <v>599</v>
      </c>
      <c r="E3312" t="s">
        <v>802</v>
      </c>
      <c r="F3312" t="s">
        <v>31</v>
      </c>
      <c r="G3312" t="s">
        <v>65</v>
      </c>
      <c r="H3312" t="s">
        <v>26</v>
      </c>
      <c r="I3312" t="s">
        <v>70</v>
      </c>
      <c r="J3312" t="s">
        <v>82</v>
      </c>
      <c r="K3312">
        <v>2</v>
      </c>
      <c r="L3312" s="2">
        <v>508.8</v>
      </c>
      <c r="M3312" s="3">
        <v>0.05</v>
      </c>
      <c r="N3312" t="s">
        <v>29</v>
      </c>
      <c r="O3312" s="2">
        <v>966.72</v>
      </c>
      <c r="P3312" s="2">
        <v>834.71</v>
      </c>
      <c r="Q3312" s="2">
        <v>132.01</v>
      </c>
      <c r="R3312">
        <v>1</v>
      </c>
      <c r="S3312">
        <v>0</v>
      </c>
      <c r="T3312">
        <v>7</v>
      </c>
      <c r="U3312">
        <v>4</v>
      </c>
    </row>
    <row r="3313" spans="1:21" ht="16.5" x14ac:dyDescent="0.3">
      <c r="A3313" t="s">
        <v>3401</v>
      </c>
      <c r="B3313" s="1">
        <v>45781</v>
      </c>
      <c r="C3313">
        <v>2025</v>
      </c>
      <c r="D3313" t="s">
        <v>599</v>
      </c>
      <c r="E3313" t="s">
        <v>802</v>
      </c>
      <c r="F3313" t="s">
        <v>45</v>
      </c>
      <c r="G3313" t="s">
        <v>25</v>
      </c>
      <c r="H3313" t="s">
        <v>32</v>
      </c>
      <c r="I3313" t="s">
        <v>67</v>
      </c>
      <c r="J3313" t="s">
        <v>174</v>
      </c>
      <c r="K3313">
        <v>1</v>
      </c>
      <c r="L3313" s="2">
        <v>137.05000000000001</v>
      </c>
      <c r="M3313" s="3">
        <v>0</v>
      </c>
      <c r="N3313" t="s">
        <v>38</v>
      </c>
      <c r="O3313" s="2">
        <v>137.05000000000001</v>
      </c>
      <c r="P3313" s="2">
        <v>89.87</v>
      </c>
      <c r="Q3313" s="2">
        <v>47.18</v>
      </c>
      <c r="R3313">
        <v>1</v>
      </c>
      <c r="S3313">
        <v>1</v>
      </c>
      <c r="T3313">
        <v>5</v>
      </c>
      <c r="U3313">
        <v>4</v>
      </c>
    </row>
    <row r="3314" spans="1:21" ht="16.5" x14ac:dyDescent="0.3">
      <c r="A3314" t="s">
        <v>3402</v>
      </c>
      <c r="B3314" s="1">
        <v>45781</v>
      </c>
      <c r="C3314">
        <v>2025</v>
      </c>
      <c r="D3314" t="s">
        <v>599</v>
      </c>
      <c r="E3314" t="s">
        <v>802</v>
      </c>
      <c r="F3314" t="s">
        <v>24</v>
      </c>
      <c r="G3314" t="s">
        <v>25</v>
      </c>
      <c r="H3314" t="s">
        <v>32</v>
      </c>
      <c r="I3314" t="s">
        <v>70</v>
      </c>
      <c r="J3314" t="s">
        <v>252</v>
      </c>
      <c r="K3314">
        <v>2</v>
      </c>
      <c r="L3314" s="2">
        <v>216.08</v>
      </c>
      <c r="M3314" s="3">
        <v>0.05</v>
      </c>
      <c r="N3314" t="s">
        <v>29</v>
      </c>
      <c r="O3314" s="2">
        <v>410.55</v>
      </c>
      <c r="P3314" s="2">
        <v>333.32</v>
      </c>
      <c r="Q3314" s="2">
        <v>77.23</v>
      </c>
      <c r="R3314">
        <v>1</v>
      </c>
      <c r="S3314">
        <v>0</v>
      </c>
      <c r="T3314">
        <v>4</v>
      </c>
      <c r="U3314">
        <v>4</v>
      </c>
    </row>
    <row r="3315" spans="1:21" ht="16.5" x14ac:dyDescent="0.3">
      <c r="A3315" t="s">
        <v>3403</v>
      </c>
      <c r="B3315" s="1">
        <v>45782</v>
      </c>
      <c r="C3315">
        <v>2025</v>
      </c>
      <c r="D3315" t="s">
        <v>599</v>
      </c>
      <c r="E3315" t="s">
        <v>802</v>
      </c>
      <c r="F3315" t="s">
        <v>31</v>
      </c>
      <c r="G3315" t="s">
        <v>65</v>
      </c>
      <c r="H3315" t="s">
        <v>32</v>
      </c>
      <c r="I3315" t="s">
        <v>84</v>
      </c>
      <c r="J3315" t="s">
        <v>85</v>
      </c>
      <c r="K3315">
        <v>2</v>
      </c>
      <c r="L3315" s="2">
        <v>57.92</v>
      </c>
      <c r="M3315" s="3">
        <v>0</v>
      </c>
      <c r="N3315" t="s">
        <v>38</v>
      </c>
      <c r="O3315" s="2">
        <v>115.84</v>
      </c>
      <c r="P3315" s="2">
        <v>86.11</v>
      </c>
      <c r="Q3315" s="2">
        <v>29.73</v>
      </c>
      <c r="R3315">
        <v>1</v>
      </c>
      <c r="S3315">
        <v>0</v>
      </c>
      <c r="T3315">
        <v>7</v>
      </c>
      <c r="U3315">
        <v>3</v>
      </c>
    </row>
    <row r="3316" spans="1:21" ht="16.5" x14ac:dyDescent="0.3">
      <c r="A3316" t="s">
        <v>3404</v>
      </c>
      <c r="B3316" s="1">
        <v>45782</v>
      </c>
      <c r="C3316">
        <v>2025</v>
      </c>
      <c r="D3316" t="s">
        <v>599</v>
      </c>
      <c r="E3316" t="s">
        <v>802</v>
      </c>
      <c r="F3316" t="s">
        <v>31</v>
      </c>
      <c r="G3316" t="s">
        <v>49</v>
      </c>
      <c r="H3316" t="s">
        <v>32</v>
      </c>
      <c r="I3316" t="s">
        <v>42</v>
      </c>
      <c r="J3316" t="s">
        <v>58</v>
      </c>
      <c r="K3316">
        <v>2</v>
      </c>
      <c r="L3316" s="2">
        <v>233.81</v>
      </c>
      <c r="M3316" s="3">
        <v>0.1</v>
      </c>
      <c r="N3316" t="s">
        <v>29</v>
      </c>
      <c r="O3316" s="2">
        <v>420.86</v>
      </c>
      <c r="P3316" s="2">
        <v>318.33</v>
      </c>
      <c r="Q3316" s="2">
        <v>102.53</v>
      </c>
      <c r="R3316">
        <v>1</v>
      </c>
      <c r="S3316">
        <v>0</v>
      </c>
      <c r="T3316">
        <v>5</v>
      </c>
      <c r="U3316">
        <v>5</v>
      </c>
    </row>
    <row r="3317" spans="1:21" ht="16.5" x14ac:dyDescent="0.3">
      <c r="A3317" t="s">
        <v>3405</v>
      </c>
      <c r="B3317" s="1">
        <v>45782</v>
      </c>
      <c r="C3317">
        <v>2025</v>
      </c>
      <c r="D3317" t="s">
        <v>599</v>
      </c>
      <c r="E3317" t="s">
        <v>802</v>
      </c>
      <c r="F3317" t="s">
        <v>31</v>
      </c>
      <c r="G3317" t="s">
        <v>51</v>
      </c>
      <c r="H3317" t="s">
        <v>32</v>
      </c>
      <c r="I3317" t="s">
        <v>42</v>
      </c>
      <c r="J3317" t="s">
        <v>76</v>
      </c>
      <c r="K3317">
        <v>1</v>
      </c>
      <c r="L3317" s="2">
        <v>90.75</v>
      </c>
      <c r="M3317" s="3">
        <v>0.05</v>
      </c>
      <c r="N3317" t="s">
        <v>29</v>
      </c>
      <c r="O3317" s="2">
        <v>86.21</v>
      </c>
      <c r="P3317" s="2">
        <v>56.54</v>
      </c>
      <c r="Q3317" s="2">
        <v>29.67</v>
      </c>
      <c r="R3317">
        <v>1</v>
      </c>
      <c r="S3317">
        <v>0</v>
      </c>
      <c r="T3317">
        <v>2</v>
      </c>
      <c r="U3317">
        <v>5</v>
      </c>
    </row>
    <row r="3318" spans="1:21" ht="16.5" x14ac:dyDescent="0.3">
      <c r="A3318" t="s">
        <v>3406</v>
      </c>
      <c r="B3318" s="1">
        <v>45782</v>
      </c>
      <c r="C3318">
        <v>2025</v>
      </c>
      <c r="D3318" t="s">
        <v>599</v>
      </c>
      <c r="E3318" t="s">
        <v>802</v>
      </c>
      <c r="F3318" t="s">
        <v>31</v>
      </c>
      <c r="G3318" t="s">
        <v>25</v>
      </c>
      <c r="H3318" t="s">
        <v>26</v>
      </c>
      <c r="I3318" t="s">
        <v>27</v>
      </c>
      <c r="J3318" t="s">
        <v>110</v>
      </c>
      <c r="K3318">
        <v>1</v>
      </c>
      <c r="L3318" s="2">
        <v>19.41</v>
      </c>
      <c r="M3318" s="3">
        <v>0.2</v>
      </c>
      <c r="N3318" t="s">
        <v>34</v>
      </c>
      <c r="O3318" s="2">
        <v>15.53</v>
      </c>
      <c r="P3318" s="2">
        <v>10.51</v>
      </c>
      <c r="Q3318" s="2">
        <v>5.0199999999999996</v>
      </c>
      <c r="R3318">
        <v>1</v>
      </c>
      <c r="S3318">
        <v>0</v>
      </c>
      <c r="T3318">
        <v>3</v>
      </c>
      <c r="U3318">
        <v>5</v>
      </c>
    </row>
    <row r="3319" spans="1:21" ht="16.5" x14ac:dyDescent="0.3">
      <c r="A3319" t="s">
        <v>3407</v>
      </c>
      <c r="B3319" s="1">
        <v>45782</v>
      </c>
      <c r="C3319">
        <v>2025</v>
      </c>
      <c r="D3319" t="s">
        <v>599</v>
      </c>
      <c r="E3319" t="s">
        <v>802</v>
      </c>
      <c r="F3319" t="s">
        <v>31</v>
      </c>
      <c r="G3319" t="s">
        <v>25</v>
      </c>
      <c r="H3319" t="s">
        <v>32</v>
      </c>
      <c r="I3319" t="s">
        <v>84</v>
      </c>
      <c r="J3319" t="s">
        <v>223</v>
      </c>
      <c r="K3319">
        <v>2</v>
      </c>
      <c r="L3319" s="2">
        <v>16.97</v>
      </c>
      <c r="M3319" s="3">
        <v>0</v>
      </c>
      <c r="N3319" t="s">
        <v>38</v>
      </c>
      <c r="O3319" s="2">
        <v>33.94</v>
      </c>
      <c r="P3319" s="2">
        <v>23.72</v>
      </c>
      <c r="Q3319" s="2">
        <v>10.220000000000001</v>
      </c>
      <c r="R3319">
        <v>1</v>
      </c>
      <c r="S3319">
        <v>0</v>
      </c>
      <c r="T3319">
        <v>5</v>
      </c>
      <c r="U3319">
        <v>5</v>
      </c>
    </row>
    <row r="3320" spans="1:21" ht="16.5" x14ac:dyDescent="0.3">
      <c r="A3320" t="s">
        <v>3408</v>
      </c>
      <c r="B3320" s="1">
        <v>45782</v>
      </c>
      <c r="C3320">
        <v>2025</v>
      </c>
      <c r="D3320" t="s">
        <v>599</v>
      </c>
      <c r="E3320" t="s">
        <v>802</v>
      </c>
      <c r="F3320" t="s">
        <v>31</v>
      </c>
      <c r="G3320" t="s">
        <v>51</v>
      </c>
      <c r="H3320" t="s">
        <v>32</v>
      </c>
      <c r="I3320" t="s">
        <v>27</v>
      </c>
      <c r="J3320" t="s">
        <v>33</v>
      </c>
      <c r="K3320">
        <v>2</v>
      </c>
      <c r="L3320" s="2">
        <v>78.510000000000005</v>
      </c>
      <c r="M3320" s="3">
        <v>0</v>
      </c>
      <c r="N3320" t="s">
        <v>38</v>
      </c>
      <c r="O3320" s="2">
        <v>157.02000000000001</v>
      </c>
      <c r="P3320" s="2">
        <v>82.72</v>
      </c>
      <c r="Q3320" s="2">
        <v>74.3</v>
      </c>
      <c r="R3320">
        <v>1</v>
      </c>
      <c r="S3320">
        <v>0</v>
      </c>
      <c r="T3320">
        <v>3</v>
      </c>
      <c r="U3320">
        <v>4</v>
      </c>
    </row>
    <row r="3321" spans="1:21" ht="16.5" x14ac:dyDescent="0.3">
      <c r="A3321" t="s">
        <v>3409</v>
      </c>
      <c r="B3321" s="1">
        <v>45782</v>
      </c>
      <c r="C3321">
        <v>2025</v>
      </c>
      <c r="D3321" t="s">
        <v>599</v>
      </c>
      <c r="E3321" t="s">
        <v>802</v>
      </c>
      <c r="F3321" t="s">
        <v>31</v>
      </c>
      <c r="G3321" t="s">
        <v>65</v>
      </c>
      <c r="H3321" t="s">
        <v>32</v>
      </c>
      <c r="I3321" t="s">
        <v>70</v>
      </c>
      <c r="J3321" t="s">
        <v>87</v>
      </c>
      <c r="K3321">
        <v>1</v>
      </c>
      <c r="L3321" s="2">
        <v>490.3</v>
      </c>
      <c r="M3321" s="3">
        <v>0.15</v>
      </c>
      <c r="N3321" t="s">
        <v>34</v>
      </c>
      <c r="O3321" s="2">
        <v>416.76</v>
      </c>
      <c r="P3321" s="2">
        <v>395.88</v>
      </c>
      <c r="Q3321" s="2">
        <v>20.88</v>
      </c>
      <c r="R3321">
        <v>1</v>
      </c>
      <c r="S3321">
        <v>0</v>
      </c>
      <c r="T3321">
        <v>5</v>
      </c>
      <c r="U3321">
        <v>5</v>
      </c>
    </row>
    <row r="3322" spans="1:21" ht="16.5" x14ac:dyDescent="0.3">
      <c r="A3322" t="s">
        <v>3410</v>
      </c>
      <c r="B3322" s="1">
        <v>45783</v>
      </c>
      <c r="C3322">
        <v>2025</v>
      </c>
      <c r="D3322" t="s">
        <v>599</v>
      </c>
      <c r="E3322" t="s">
        <v>802</v>
      </c>
      <c r="F3322" t="s">
        <v>24</v>
      </c>
      <c r="G3322" t="s">
        <v>46</v>
      </c>
      <c r="H3322" t="s">
        <v>26</v>
      </c>
      <c r="I3322" t="s">
        <v>42</v>
      </c>
      <c r="J3322" t="s">
        <v>58</v>
      </c>
      <c r="K3322">
        <v>1</v>
      </c>
      <c r="L3322" s="2">
        <v>233.81</v>
      </c>
      <c r="M3322" s="3">
        <v>0</v>
      </c>
      <c r="N3322" t="s">
        <v>38</v>
      </c>
      <c r="O3322" s="2">
        <v>233.81</v>
      </c>
      <c r="P3322" s="2">
        <v>162.78</v>
      </c>
      <c r="Q3322" s="2">
        <v>71.03</v>
      </c>
      <c r="R3322">
        <v>1</v>
      </c>
      <c r="S3322">
        <v>0</v>
      </c>
      <c r="T3322">
        <v>5</v>
      </c>
      <c r="U3322">
        <v>4</v>
      </c>
    </row>
    <row r="3323" spans="1:21" ht="16.5" x14ac:dyDescent="0.3">
      <c r="A3323" t="s">
        <v>3411</v>
      </c>
      <c r="B3323" s="1">
        <v>45783</v>
      </c>
      <c r="C3323">
        <v>2025</v>
      </c>
      <c r="D3323" t="s">
        <v>599</v>
      </c>
      <c r="E3323" t="s">
        <v>802</v>
      </c>
      <c r="F3323" t="s">
        <v>24</v>
      </c>
      <c r="G3323" t="s">
        <v>51</v>
      </c>
      <c r="H3323" t="s">
        <v>32</v>
      </c>
      <c r="I3323" t="s">
        <v>67</v>
      </c>
      <c r="J3323" t="s">
        <v>78</v>
      </c>
      <c r="K3323">
        <v>1</v>
      </c>
      <c r="L3323" s="2">
        <v>85.42</v>
      </c>
      <c r="M3323" s="3">
        <v>0.05</v>
      </c>
      <c r="N3323" t="s">
        <v>29</v>
      </c>
      <c r="O3323" s="2">
        <v>81.150000000000006</v>
      </c>
      <c r="P3323" s="2">
        <v>57.12</v>
      </c>
      <c r="Q3323" s="2">
        <v>24.03</v>
      </c>
      <c r="R3323">
        <v>1</v>
      </c>
      <c r="S3323">
        <v>0</v>
      </c>
      <c r="T3323">
        <v>6</v>
      </c>
      <c r="U3323">
        <v>4</v>
      </c>
    </row>
    <row r="3324" spans="1:21" ht="16.5" x14ac:dyDescent="0.3">
      <c r="A3324" t="s">
        <v>3412</v>
      </c>
      <c r="B3324" s="1">
        <v>45783</v>
      </c>
      <c r="C3324">
        <v>2025</v>
      </c>
      <c r="D3324" t="s">
        <v>599</v>
      </c>
      <c r="E3324" t="s">
        <v>802</v>
      </c>
      <c r="F3324" t="s">
        <v>31</v>
      </c>
      <c r="G3324" t="s">
        <v>49</v>
      </c>
      <c r="H3324" t="s">
        <v>26</v>
      </c>
      <c r="I3324" t="s">
        <v>36</v>
      </c>
      <c r="J3324" t="s">
        <v>56</v>
      </c>
      <c r="K3324">
        <v>1</v>
      </c>
      <c r="L3324" s="2">
        <v>74.3</v>
      </c>
      <c r="M3324" s="3">
        <v>0</v>
      </c>
      <c r="N3324" t="s">
        <v>38</v>
      </c>
      <c r="O3324" s="2">
        <v>74.3</v>
      </c>
      <c r="P3324" s="2">
        <v>37.590000000000003</v>
      </c>
      <c r="Q3324" s="2">
        <v>36.71</v>
      </c>
      <c r="R3324">
        <v>1</v>
      </c>
      <c r="S3324">
        <v>0</v>
      </c>
      <c r="T3324">
        <v>3</v>
      </c>
      <c r="U3324">
        <v>4</v>
      </c>
    </row>
    <row r="3325" spans="1:21" ht="16.5" x14ac:dyDescent="0.3">
      <c r="A3325" t="s">
        <v>3413</v>
      </c>
      <c r="B3325" s="1">
        <v>45783</v>
      </c>
      <c r="C3325">
        <v>2025</v>
      </c>
      <c r="D3325" t="s">
        <v>599</v>
      </c>
      <c r="E3325" t="s">
        <v>802</v>
      </c>
      <c r="F3325" t="s">
        <v>45</v>
      </c>
      <c r="G3325" t="s">
        <v>46</v>
      </c>
      <c r="H3325" t="s">
        <v>26</v>
      </c>
      <c r="I3325" t="s">
        <v>42</v>
      </c>
      <c r="J3325" t="s">
        <v>43</v>
      </c>
      <c r="K3325">
        <v>1</v>
      </c>
      <c r="L3325" s="2">
        <v>154.66</v>
      </c>
      <c r="M3325" s="3">
        <v>0.1</v>
      </c>
      <c r="N3325" t="s">
        <v>29</v>
      </c>
      <c r="O3325" s="2">
        <v>139.19</v>
      </c>
      <c r="P3325" s="2">
        <v>104.81</v>
      </c>
      <c r="Q3325" s="2">
        <v>34.380000000000003</v>
      </c>
      <c r="R3325">
        <v>1</v>
      </c>
      <c r="S3325">
        <v>1</v>
      </c>
      <c r="T3325">
        <v>5</v>
      </c>
      <c r="U3325">
        <v>4</v>
      </c>
    </row>
    <row r="3326" spans="1:21" ht="16.5" x14ac:dyDescent="0.3">
      <c r="A3326" t="s">
        <v>3414</v>
      </c>
      <c r="B3326" s="1">
        <v>45783</v>
      </c>
      <c r="C3326">
        <v>2025</v>
      </c>
      <c r="D3326" t="s">
        <v>599</v>
      </c>
      <c r="E3326" t="s">
        <v>802</v>
      </c>
      <c r="F3326" t="s">
        <v>45</v>
      </c>
      <c r="G3326" t="s">
        <v>49</v>
      </c>
      <c r="H3326" t="s">
        <v>32</v>
      </c>
      <c r="I3326" t="s">
        <v>70</v>
      </c>
      <c r="J3326" t="s">
        <v>252</v>
      </c>
      <c r="K3326">
        <v>2</v>
      </c>
      <c r="L3326" s="2">
        <v>216.08</v>
      </c>
      <c r="M3326" s="3">
        <v>0</v>
      </c>
      <c r="N3326" t="s">
        <v>38</v>
      </c>
      <c r="O3326" s="2">
        <v>432.16</v>
      </c>
      <c r="P3326" s="2">
        <v>335.25</v>
      </c>
      <c r="Q3326" s="2">
        <v>96.91</v>
      </c>
      <c r="R3326">
        <v>1</v>
      </c>
      <c r="S3326">
        <v>0</v>
      </c>
      <c r="T3326">
        <v>4</v>
      </c>
      <c r="U3326">
        <v>5</v>
      </c>
    </row>
    <row r="3327" spans="1:21" ht="16.5" x14ac:dyDescent="0.3">
      <c r="A3327" t="s">
        <v>3415</v>
      </c>
      <c r="B3327" s="1">
        <v>45783</v>
      </c>
      <c r="C3327">
        <v>2025</v>
      </c>
      <c r="D3327" t="s">
        <v>599</v>
      </c>
      <c r="E3327" t="s">
        <v>802</v>
      </c>
      <c r="F3327" t="s">
        <v>24</v>
      </c>
      <c r="G3327" t="s">
        <v>51</v>
      </c>
      <c r="H3327" t="s">
        <v>32</v>
      </c>
      <c r="I3327" t="s">
        <v>27</v>
      </c>
      <c r="J3327" t="s">
        <v>47</v>
      </c>
      <c r="K3327">
        <v>1</v>
      </c>
      <c r="L3327" s="2">
        <v>33.99</v>
      </c>
      <c r="M3327" s="3">
        <v>0</v>
      </c>
      <c r="N3327" t="s">
        <v>38</v>
      </c>
      <c r="O3327" s="2">
        <v>33.99</v>
      </c>
      <c r="P3327" s="2">
        <v>17.86</v>
      </c>
      <c r="Q3327" s="2">
        <v>16.13</v>
      </c>
      <c r="R3327">
        <v>1</v>
      </c>
      <c r="S3327">
        <v>0</v>
      </c>
      <c r="T3327">
        <v>5</v>
      </c>
      <c r="U3327">
        <v>4</v>
      </c>
    </row>
    <row r="3328" spans="1:21" ht="16.5" x14ac:dyDescent="0.3">
      <c r="A3328" t="s">
        <v>3416</v>
      </c>
      <c r="B3328" s="1">
        <v>45783</v>
      </c>
      <c r="C3328">
        <v>2025</v>
      </c>
      <c r="D3328" t="s">
        <v>599</v>
      </c>
      <c r="E3328" t="s">
        <v>802</v>
      </c>
      <c r="F3328" t="s">
        <v>24</v>
      </c>
      <c r="G3328" t="s">
        <v>51</v>
      </c>
      <c r="H3328" t="s">
        <v>32</v>
      </c>
      <c r="I3328" t="s">
        <v>67</v>
      </c>
      <c r="J3328" t="s">
        <v>93</v>
      </c>
      <c r="K3328">
        <v>1</v>
      </c>
      <c r="L3328" s="2">
        <v>198.42</v>
      </c>
      <c r="M3328" s="3">
        <v>0</v>
      </c>
      <c r="N3328" t="s">
        <v>38</v>
      </c>
      <c r="O3328" s="2">
        <v>198.42</v>
      </c>
      <c r="P3328" s="2">
        <v>135.04</v>
      </c>
      <c r="Q3328" s="2">
        <v>63.38</v>
      </c>
      <c r="R3328">
        <v>1</v>
      </c>
      <c r="S3328">
        <v>0</v>
      </c>
      <c r="T3328">
        <v>3</v>
      </c>
      <c r="U3328">
        <v>4</v>
      </c>
    </row>
    <row r="3329" spans="1:21" ht="16.5" x14ac:dyDescent="0.3">
      <c r="A3329" t="s">
        <v>3417</v>
      </c>
      <c r="B3329" s="1">
        <v>45783</v>
      </c>
      <c r="C3329">
        <v>2025</v>
      </c>
      <c r="D3329" t="s">
        <v>599</v>
      </c>
      <c r="E3329" t="s">
        <v>802</v>
      </c>
      <c r="F3329" t="s">
        <v>31</v>
      </c>
      <c r="G3329" t="s">
        <v>25</v>
      </c>
      <c r="H3329" t="s">
        <v>32</v>
      </c>
      <c r="I3329" t="s">
        <v>27</v>
      </c>
      <c r="J3329" t="s">
        <v>33</v>
      </c>
      <c r="K3329">
        <v>1</v>
      </c>
      <c r="L3329" s="2">
        <v>78.510000000000005</v>
      </c>
      <c r="M3329" s="3">
        <v>0</v>
      </c>
      <c r="N3329" t="s">
        <v>38</v>
      </c>
      <c r="O3329" s="2">
        <v>78.510000000000005</v>
      </c>
      <c r="P3329" s="2">
        <v>42.54</v>
      </c>
      <c r="Q3329" s="2">
        <v>35.97</v>
      </c>
      <c r="R3329">
        <v>1</v>
      </c>
      <c r="S3329">
        <v>0</v>
      </c>
      <c r="T3329">
        <v>3</v>
      </c>
      <c r="U3329">
        <v>5</v>
      </c>
    </row>
    <row r="3330" spans="1:21" ht="16.5" x14ac:dyDescent="0.3">
      <c r="A3330" t="s">
        <v>3418</v>
      </c>
      <c r="B3330" s="1">
        <v>45783</v>
      </c>
      <c r="C3330">
        <v>2025</v>
      </c>
      <c r="D3330" t="s">
        <v>599</v>
      </c>
      <c r="E3330" t="s">
        <v>802</v>
      </c>
      <c r="F3330" t="s">
        <v>24</v>
      </c>
      <c r="G3330" t="s">
        <v>25</v>
      </c>
      <c r="H3330" t="s">
        <v>32</v>
      </c>
      <c r="I3330" t="s">
        <v>27</v>
      </c>
      <c r="J3330" t="s">
        <v>47</v>
      </c>
      <c r="K3330">
        <v>1</v>
      </c>
      <c r="L3330" s="2">
        <v>33.99</v>
      </c>
      <c r="M3330" s="3">
        <v>0.15</v>
      </c>
      <c r="N3330" t="s">
        <v>34</v>
      </c>
      <c r="O3330" s="2">
        <v>28.89</v>
      </c>
      <c r="P3330" s="2">
        <v>17.920000000000002</v>
      </c>
      <c r="Q3330" s="2">
        <v>10.97</v>
      </c>
      <c r="R3330">
        <v>1</v>
      </c>
      <c r="S3330">
        <v>0</v>
      </c>
      <c r="T3330">
        <v>4</v>
      </c>
      <c r="U3330">
        <v>5</v>
      </c>
    </row>
    <row r="3331" spans="1:21" ht="16.5" x14ac:dyDescent="0.3">
      <c r="A3331" t="s">
        <v>3419</v>
      </c>
      <c r="B3331" s="1">
        <v>45784</v>
      </c>
      <c r="C3331">
        <v>2025</v>
      </c>
      <c r="D3331" t="s">
        <v>599</v>
      </c>
      <c r="E3331" t="s">
        <v>802</v>
      </c>
      <c r="F3331" t="s">
        <v>31</v>
      </c>
      <c r="G3331" t="s">
        <v>65</v>
      </c>
      <c r="H3331" t="s">
        <v>32</v>
      </c>
      <c r="I3331" t="s">
        <v>84</v>
      </c>
      <c r="J3331" t="s">
        <v>96</v>
      </c>
      <c r="K3331">
        <v>2</v>
      </c>
      <c r="L3331" s="2">
        <v>10.76</v>
      </c>
      <c r="M3331" s="3">
        <v>0.15</v>
      </c>
      <c r="N3331" t="s">
        <v>34</v>
      </c>
      <c r="O3331" s="2">
        <v>18.29</v>
      </c>
      <c r="P3331" s="2">
        <v>15.43</v>
      </c>
      <c r="Q3331" s="2">
        <v>2.86</v>
      </c>
      <c r="R3331">
        <v>1</v>
      </c>
      <c r="S3331">
        <v>0</v>
      </c>
      <c r="T3331">
        <v>6</v>
      </c>
      <c r="U3331">
        <v>3</v>
      </c>
    </row>
    <row r="3332" spans="1:21" ht="16.5" x14ac:dyDescent="0.3">
      <c r="A3332" t="s">
        <v>3420</v>
      </c>
      <c r="B3332" s="1">
        <v>45784</v>
      </c>
      <c r="C3332">
        <v>2025</v>
      </c>
      <c r="D3332" t="s">
        <v>599</v>
      </c>
      <c r="E3332" t="s">
        <v>802</v>
      </c>
      <c r="F3332" t="s">
        <v>24</v>
      </c>
      <c r="G3332" t="s">
        <v>51</v>
      </c>
      <c r="H3332" t="s">
        <v>32</v>
      </c>
      <c r="I3332" t="s">
        <v>67</v>
      </c>
      <c r="J3332" t="s">
        <v>174</v>
      </c>
      <c r="K3332">
        <v>2</v>
      </c>
      <c r="L3332" s="2">
        <v>137.05000000000001</v>
      </c>
      <c r="M3332" s="3">
        <v>0</v>
      </c>
      <c r="N3332" t="s">
        <v>38</v>
      </c>
      <c r="O3332" s="2">
        <v>274.10000000000002</v>
      </c>
      <c r="P3332" s="2">
        <v>196.22</v>
      </c>
      <c r="Q3332" s="2">
        <v>77.88</v>
      </c>
      <c r="R3332">
        <v>1</v>
      </c>
      <c r="S3332">
        <v>0</v>
      </c>
      <c r="T3332">
        <v>3</v>
      </c>
      <c r="U3332">
        <v>4</v>
      </c>
    </row>
    <row r="3333" spans="1:21" ht="16.5" x14ac:dyDescent="0.3">
      <c r="A3333" t="s">
        <v>3421</v>
      </c>
      <c r="B3333" s="1">
        <v>45784</v>
      </c>
      <c r="C3333">
        <v>2025</v>
      </c>
      <c r="D3333" t="s">
        <v>599</v>
      </c>
      <c r="E3333" t="s">
        <v>802</v>
      </c>
      <c r="F3333" t="s">
        <v>31</v>
      </c>
      <c r="G3333" t="s">
        <v>49</v>
      </c>
      <c r="H3333" t="s">
        <v>32</v>
      </c>
      <c r="I3333" t="s">
        <v>42</v>
      </c>
      <c r="J3333" t="s">
        <v>58</v>
      </c>
      <c r="K3333">
        <v>1</v>
      </c>
      <c r="L3333" s="2">
        <v>233.81</v>
      </c>
      <c r="M3333" s="3">
        <v>0.05</v>
      </c>
      <c r="N3333" t="s">
        <v>29</v>
      </c>
      <c r="O3333" s="2">
        <v>222.12</v>
      </c>
      <c r="P3333" s="2">
        <v>157.94999999999999</v>
      </c>
      <c r="Q3333" s="2">
        <v>64.17</v>
      </c>
      <c r="R3333">
        <v>1</v>
      </c>
      <c r="S3333">
        <v>0</v>
      </c>
      <c r="T3333">
        <v>3</v>
      </c>
      <c r="U3333">
        <v>5</v>
      </c>
    </row>
    <row r="3334" spans="1:21" ht="16.5" x14ac:dyDescent="0.3">
      <c r="A3334" t="s">
        <v>3422</v>
      </c>
      <c r="B3334" s="1">
        <v>45785</v>
      </c>
      <c r="C3334">
        <v>2025</v>
      </c>
      <c r="D3334" t="s">
        <v>599</v>
      </c>
      <c r="E3334" t="s">
        <v>802</v>
      </c>
      <c r="F3334" t="s">
        <v>31</v>
      </c>
      <c r="G3334" t="s">
        <v>51</v>
      </c>
      <c r="H3334" t="s">
        <v>26</v>
      </c>
      <c r="I3334" t="s">
        <v>42</v>
      </c>
      <c r="J3334" t="s">
        <v>43</v>
      </c>
      <c r="K3334">
        <v>1</v>
      </c>
      <c r="L3334" s="2">
        <v>154.66</v>
      </c>
      <c r="M3334" s="3">
        <v>0.05</v>
      </c>
      <c r="N3334" t="s">
        <v>29</v>
      </c>
      <c r="O3334" s="2">
        <v>146.93</v>
      </c>
      <c r="P3334" s="2">
        <v>104.56</v>
      </c>
      <c r="Q3334" s="2">
        <v>42.37</v>
      </c>
      <c r="R3334">
        <v>1</v>
      </c>
      <c r="S3334">
        <v>0</v>
      </c>
      <c r="T3334">
        <v>3</v>
      </c>
      <c r="U3334">
        <v>5</v>
      </c>
    </row>
    <row r="3335" spans="1:21" ht="16.5" x14ac:dyDescent="0.3">
      <c r="A3335" t="s">
        <v>3423</v>
      </c>
      <c r="B3335" s="1">
        <v>45785</v>
      </c>
      <c r="C3335">
        <v>2025</v>
      </c>
      <c r="D3335" t="s">
        <v>599</v>
      </c>
      <c r="E3335" t="s">
        <v>802</v>
      </c>
      <c r="F3335" t="s">
        <v>31</v>
      </c>
      <c r="G3335" t="s">
        <v>46</v>
      </c>
      <c r="H3335" t="s">
        <v>26</v>
      </c>
      <c r="I3335" t="s">
        <v>36</v>
      </c>
      <c r="J3335" t="s">
        <v>126</v>
      </c>
      <c r="K3335">
        <v>2</v>
      </c>
      <c r="L3335" s="2">
        <v>54.56</v>
      </c>
      <c r="M3335" s="3">
        <v>0.05</v>
      </c>
      <c r="N3335" t="s">
        <v>29</v>
      </c>
      <c r="O3335" s="2">
        <v>103.66</v>
      </c>
      <c r="P3335" s="2">
        <v>54.99</v>
      </c>
      <c r="Q3335" s="2">
        <v>48.67</v>
      </c>
      <c r="R3335">
        <v>1</v>
      </c>
      <c r="S3335">
        <v>0</v>
      </c>
      <c r="T3335">
        <v>6</v>
      </c>
      <c r="U3335">
        <v>3</v>
      </c>
    </row>
    <row r="3336" spans="1:21" ht="16.5" x14ac:dyDescent="0.3">
      <c r="A3336" t="s">
        <v>3424</v>
      </c>
      <c r="B3336" s="1">
        <v>45785</v>
      </c>
      <c r="C3336">
        <v>2025</v>
      </c>
      <c r="D3336" t="s">
        <v>599</v>
      </c>
      <c r="E3336" t="s">
        <v>802</v>
      </c>
      <c r="F3336" t="s">
        <v>24</v>
      </c>
      <c r="G3336" t="s">
        <v>25</v>
      </c>
      <c r="H3336" t="s">
        <v>26</v>
      </c>
      <c r="I3336" t="s">
        <v>42</v>
      </c>
      <c r="J3336" t="s">
        <v>98</v>
      </c>
      <c r="K3336">
        <v>1</v>
      </c>
      <c r="L3336" s="2">
        <v>117.63</v>
      </c>
      <c r="M3336" s="3">
        <v>0.05</v>
      </c>
      <c r="N3336" t="s">
        <v>29</v>
      </c>
      <c r="O3336" s="2">
        <v>111.75</v>
      </c>
      <c r="P3336" s="2">
        <v>78.22</v>
      </c>
      <c r="Q3336" s="2">
        <v>33.53</v>
      </c>
      <c r="R3336">
        <v>1</v>
      </c>
      <c r="S3336">
        <v>0</v>
      </c>
      <c r="T3336">
        <v>4</v>
      </c>
      <c r="U3336">
        <v>5</v>
      </c>
    </row>
    <row r="3337" spans="1:21" ht="16.5" x14ac:dyDescent="0.3">
      <c r="A3337" t="s">
        <v>3425</v>
      </c>
      <c r="B3337" s="1">
        <v>45785</v>
      </c>
      <c r="C3337">
        <v>2025</v>
      </c>
      <c r="D3337" t="s">
        <v>599</v>
      </c>
      <c r="E3337" t="s">
        <v>802</v>
      </c>
      <c r="F3337" t="s">
        <v>24</v>
      </c>
      <c r="G3337" t="s">
        <v>51</v>
      </c>
      <c r="H3337" t="s">
        <v>32</v>
      </c>
      <c r="I3337" t="s">
        <v>67</v>
      </c>
      <c r="J3337" t="s">
        <v>78</v>
      </c>
      <c r="K3337">
        <v>2</v>
      </c>
      <c r="L3337" s="2">
        <v>85.42</v>
      </c>
      <c r="M3337" s="3">
        <v>0.25</v>
      </c>
      <c r="N3337" t="s">
        <v>62</v>
      </c>
      <c r="O3337" s="2">
        <v>128.13</v>
      </c>
      <c r="P3337" s="2">
        <v>114.02</v>
      </c>
      <c r="Q3337" s="2">
        <v>14.11</v>
      </c>
      <c r="R3337">
        <v>1</v>
      </c>
      <c r="S3337">
        <v>0</v>
      </c>
      <c r="T3337">
        <v>3</v>
      </c>
      <c r="U3337">
        <v>4</v>
      </c>
    </row>
    <row r="3338" spans="1:21" ht="16.5" x14ac:dyDescent="0.3">
      <c r="A3338" t="s">
        <v>3426</v>
      </c>
      <c r="B3338" s="1">
        <v>45785</v>
      </c>
      <c r="C3338">
        <v>2025</v>
      </c>
      <c r="D3338" t="s">
        <v>599</v>
      </c>
      <c r="E3338" t="s">
        <v>802</v>
      </c>
      <c r="F3338" t="s">
        <v>24</v>
      </c>
      <c r="G3338" t="s">
        <v>49</v>
      </c>
      <c r="H3338" t="s">
        <v>32</v>
      </c>
      <c r="I3338" t="s">
        <v>70</v>
      </c>
      <c r="J3338" t="s">
        <v>162</v>
      </c>
      <c r="K3338">
        <v>1</v>
      </c>
      <c r="L3338" s="2">
        <v>636.09</v>
      </c>
      <c r="M3338" s="3">
        <v>0</v>
      </c>
      <c r="N3338" t="s">
        <v>38</v>
      </c>
      <c r="O3338" s="2">
        <v>636.09</v>
      </c>
      <c r="P3338" s="2">
        <v>528.87</v>
      </c>
      <c r="Q3338" s="2">
        <v>107.22</v>
      </c>
      <c r="R3338">
        <v>1</v>
      </c>
      <c r="S3338">
        <v>0</v>
      </c>
      <c r="T3338">
        <v>5</v>
      </c>
      <c r="U3338">
        <v>5</v>
      </c>
    </row>
    <row r="3339" spans="1:21" ht="16.5" x14ac:dyDescent="0.3">
      <c r="A3339" t="s">
        <v>3427</v>
      </c>
      <c r="B3339" s="1">
        <v>45785</v>
      </c>
      <c r="C3339">
        <v>2025</v>
      </c>
      <c r="D3339" t="s">
        <v>599</v>
      </c>
      <c r="E3339" t="s">
        <v>802</v>
      </c>
      <c r="F3339" t="s">
        <v>31</v>
      </c>
      <c r="G3339" t="s">
        <v>46</v>
      </c>
      <c r="H3339" t="s">
        <v>26</v>
      </c>
      <c r="I3339" t="s">
        <v>27</v>
      </c>
      <c r="J3339" t="s">
        <v>110</v>
      </c>
      <c r="K3339">
        <v>1</v>
      </c>
      <c r="L3339" s="2">
        <v>19.41</v>
      </c>
      <c r="M3339" s="3">
        <v>0.25</v>
      </c>
      <c r="N3339" t="s">
        <v>62</v>
      </c>
      <c r="O3339" s="2">
        <v>14.56</v>
      </c>
      <c r="P3339" s="2">
        <v>10.85</v>
      </c>
      <c r="Q3339" s="2">
        <v>3.71</v>
      </c>
      <c r="R3339">
        <v>1</v>
      </c>
      <c r="S3339">
        <v>0</v>
      </c>
      <c r="T3339">
        <v>6</v>
      </c>
      <c r="U3339">
        <v>5</v>
      </c>
    </row>
    <row r="3340" spans="1:21" ht="16.5" x14ac:dyDescent="0.3">
      <c r="A3340" t="s">
        <v>3428</v>
      </c>
      <c r="B3340" s="1">
        <v>45785</v>
      </c>
      <c r="C3340">
        <v>2025</v>
      </c>
      <c r="D3340" t="s">
        <v>599</v>
      </c>
      <c r="E3340" t="s">
        <v>802</v>
      </c>
      <c r="F3340" t="s">
        <v>24</v>
      </c>
      <c r="G3340" t="s">
        <v>25</v>
      </c>
      <c r="H3340" t="s">
        <v>26</v>
      </c>
      <c r="I3340" t="s">
        <v>27</v>
      </c>
      <c r="J3340" t="s">
        <v>60</v>
      </c>
      <c r="K3340">
        <v>2</v>
      </c>
      <c r="L3340" s="2">
        <v>94.85</v>
      </c>
      <c r="M3340" s="3">
        <v>0.1</v>
      </c>
      <c r="N3340" t="s">
        <v>29</v>
      </c>
      <c r="O3340" s="2">
        <v>170.73</v>
      </c>
      <c r="P3340" s="2">
        <v>101.77</v>
      </c>
      <c r="Q3340" s="2">
        <v>68.959999999999994</v>
      </c>
      <c r="R3340">
        <v>1</v>
      </c>
      <c r="S3340">
        <v>0</v>
      </c>
      <c r="T3340">
        <v>4</v>
      </c>
      <c r="U3340">
        <v>5</v>
      </c>
    </row>
    <row r="3341" spans="1:21" ht="16.5" x14ac:dyDescent="0.3">
      <c r="A3341" t="s">
        <v>3429</v>
      </c>
      <c r="B3341" s="1">
        <v>45786</v>
      </c>
      <c r="C3341">
        <v>2025</v>
      </c>
      <c r="D3341" t="s">
        <v>599</v>
      </c>
      <c r="E3341" t="s">
        <v>802</v>
      </c>
      <c r="F3341" t="s">
        <v>24</v>
      </c>
      <c r="G3341" t="s">
        <v>51</v>
      </c>
      <c r="H3341" t="s">
        <v>32</v>
      </c>
      <c r="I3341" t="s">
        <v>27</v>
      </c>
      <c r="J3341" t="s">
        <v>110</v>
      </c>
      <c r="K3341">
        <v>2</v>
      </c>
      <c r="L3341" s="2">
        <v>19.41</v>
      </c>
      <c r="M3341" s="3">
        <v>0</v>
      </c>
      <c r="N3341" t="s">
        <v>38</v>
      </c>
      <c r="O3341" s="2">
        <v>38.82</v>
      </c>
      <c r="P3341" s="2">
        <v>21.91</v>
      </c>
      <c r="Q3341" s="2">
        <v>16.91</v>
      </c>
      <c r="R3341">
        <v>1</v>
      </c>
      <c r="S3341">
        <v>0</v>
      </c>
      <c r="T3341">
        <v>2</v>
      </c>
      <c r="U3341">
        <v>4</v>
      </c>
    </row>
    <row r="3342" spans="1:21" ht="16.5" x14ac:dyDescent="0.3">
      <c r="A3342" t="s">
        <v>3430</v>
      </c>
      <c r="B3342" s="1">
        <v>45786</v>
      </c>
      <c r="C3342">
        <v>2025</v>
      </c>
      <c r="D3342" t="s">
        <v>599</v>
      </c>
      <c r="E3342" t="s">
        <v>802</v>
      </c>
      <c r="F3342" t="s">
        <v>24</v>
      </c>
      <c r="G3342" t="s">
        <v>46</v>
      </c>
      <c r="H3342" t="s">
        <v>32</v>
      </c>
      <c r="I3342" t="s">
        <v>70</v>
      </c>
      <c r="J3342" t="s">
        <v>129</v>
      </c>
      <c r="K3342">
        <v>1</v>
      </c>
      <c r="L3342" s="2">
        <v>177.65</v>
      </c>
      <c r="M3342" s="3">
        <v>0.1</v>
      </c>
      <c r="N3342" t="s">
        <v>29</v>
      </c>
      <c r="O3342" s="2">
        <v>159.88999999999999</v>
      </c>
      <c r="P3342" s="2">
        <v>145.22999999999999</v>
      </c>
      <c r="Q3342" s="2">
        <v>14.66</v>
      </c>
      <c r="R3342">
        <v>1</v>
      </c>
      <c r="S3342">
        <v>0</v>
      </c>
      <c r="T3342">
        <v>6</v>
      </c>
      <c r="U3342">
        <v>4</v>
      </c>
    </row>
    <row r="3343" spans="1:21" ht="16.5" x14ac:dyDescent="0.3">
      <c r="A3343" t="s">
        <v>3431</v>
      </c>
      <c r="B3343" s="1">
        <v>45786</v>
      </c>
      <c r="C3343">
        <v>2025</v>
      </c>
      <c r="D3343" t="s">
        <v>599</v>
      </c>
      <c r="E3343" t="s">
        <v>802</v>
      </c>
      <c r="F3343" t="s">
        <v>31</v>
      </c>
      <c r="G3343" t="s">
        <v>49</v>
      </c>
      <c r="H3343" t="s">
        <v>32</v>
      </c>
      <c r="I3343" t="s">
        <v>67</v>
      </c>
      <c r="J3343" t="s">
        <v>93</v>
      </c>
      <c r="K3343">
        <v>1</v>
      </c>
      <c r="L3343" s="2">
        <v>198.42</v>
      </c>
      <c r="M3343" s="3">
        <v>0.05</v>
      </c>
      <c r="N3343" t="s">
        <v>29</v>
      </c>
      <c r="O3343" s="2">
        <v>188.5</v>
      </c>
      <c r="P3343" s="2">
        <v>126.5</v>
      </c>
      <c r="Q3343" s="2">
        <v>62</v>
      </c>
      <c r="R3343">
        <v>1</v>
      </c>
      <c r="S3343">
        <v>0</v>
      </c>
      <c r="T3343">
        <v>3</v>
      </c>
      <c r="U3343">
        <v>4</v>
      </c>
    </row>
    <row r="3344" spans="1:21" ht="16.5" x14ac:dyDescent="0.3">
      <c r="A3344" t="s">
        <v>3432</v>
      </c>
      <c r="B3344" s="1">
        <v>45786</v>
      </c>
      <c r="C3344">
        <v>2025</v>
      </c>
      <c r="D3344" t="s">
        <v>599</v>
      </c>
      <c r="E3344" t="s">
        <v>802</v>
      </c>
      <c r="F3344" t="s">
        <v>31</v>
      </c>
      <c r="G3344" t="s">
        <v>51</v>
      </c>
      <c r="H3344" t="s">
        <v>26</v>
      </c>
      <c r="I3344" t="s">
        <v>70</v>
      </c>
      <c r="J3344" t="s">
        <v>87</v>
      </c>
      <c r="K3344">
        <v>1</v>
      </c>
      <c r="L3344" s="2">
        <v>490.3</v>
      </c>
      <c r="M3344" s="3">
        <v>0</v>
      </c>
      <c r="N3344" t="s">
        <v>38</v>
      </c>
      <c r="O3344" s="2">
        <v>490.3</v>
      </c>
      <c r="P3344" s="2">
        <v>382.65</v>
      </c>
      <c r="Q3344" s="2">
        <v>107.65</v>
      </c>
      <c r="R3344">
        <v>1</v>
      </c>
      <c r="S3344">
        <v>1</v>
      </c>
      <c r="T3344">
        <v>2</v>
      </c>
      <c r="U3344">
        <v>3</v>
      </c>
    </row>
    <row r="3345" spans="1:21" ht="16.5" x14ac:dyDescent="0.3">
      <c r="A3345" t="s">
        <v>3433</v>
      </c>
      <c r="B3345" s="1">
        <v>45786</v>
      </c>
      <c r="C3345">
        <v>2025</v>
      </c>
      <c r="D3345" t="s">
        <v>599</v>
      </c>
      <c r="E3345" t="s">
        <v>802</v>
      </c>
      <c r="F3345" t="s">
        <v>24</v>
      </c>
      <c r="G3345" t="s">
        <v>49</v>
      </c>
      <c r="H3345" t="s">
        <v>26</v>
      </c>
      <c r="I3345" t="s">
        <v>36</v>
      </c>
      <c r="J3345" t="s">
        <v>56</v>
      </c>
      <c r="K3345">
        <v>1</v>
      </c>
      <c r="L3345" s="2">
        <v>74.3</v>
      </c>
      <c r="M3345" s="3">
        <v>0.25</v>
      </c>
      <c r="N3345" t="s">
        <v>62</v>
      </c>
      <c r="O3345" s="2">
        <v>55.72</v>
      </c>
      <c r="P3345" s="2">
        <v>33.729999999999997</v>
      </c>
      <c r="Q3345" s="2">
        <v>21.99</v>
      </c>
      <c r="R3345">
        <v>1</v>
      </c>
      <c r="S3345">
        <v>0</v>
      </c>
      <c r="T3345">
        <v>4</v>
      </c>
      <c r="U3345">
        <v>4</v>
      </c>
    </row>
    <row r="3346" spans="1:21" ht="16.5" x14ac:dyDescent="0.3">
      <c r="A3346" t="s">
        <v>3434</v>
      </c>
      <c r="B3346" s="1">
        <v>45786</v>
      </c>
      <c r="C3346">
        <v>2025</v>
      </c>
      <c r="D3346" t="s">
        <v>599</v>
      </c>
      <c r="E3346" t="s">
        <v>802</v>
      </c>
      <c r="F3346" t="s">
        <v>31</v>
      </c>
      <c r="G3346" t="s">
        <v>25</v>
      </c>
      <c r="H3346" t="s">
        <v>32</v>
      </c>
      <c r="I3346" t="s">
        <v>84</v>
      </c>
      <c r="J3346" t="s">
        <v>106</v>
      </c>
      <c r="K3346">
        <v>1</v>
      </c>
      <c r="L3346" s="2">
        <v>45.28</v>
      </c>
      <c r="M3346" s="3">
        <v>0.05</v>
      </c>
      <c r="N3346" t="s">
        <v>29</v>
      </c>
      <c r="O3346" s="2">
        <v>43.02</v>
      </c>
      <c r="P3346" s="2">
        <v>32.85</v>
      </c>
      <c r="Q3346" s="2">
        <v>10.17</v>
      </c>
      <c r="R3346">
        <v>1</v>
      </c>
      <c r="S3346">
        <v>0</v>
      </c>
      <c r="T3346">
        <v>4</v>
      </c>
      <c r="U3346">
        <v>4</v>
      </c>
    </row>
    <row r="3347" spans="1:21" ht="16.5" x14ac:dyDescent="0.3">
      <c r="A3347" t="s">
        <v>3435</v>
      </c>
      <c r="B3347" s="1">
        <v>45786</v>
      </c>
      <c r="C3347">
        <v>2025</v>
      </c>
      <c r="D3347" t="s">
        <v>599</v>
      </c>
      <c r="E3347" t="s">
        <v>802</v>
      </c>
      <c r="F3347" t="s">
        <v>24</v>
      </c>
      <c r="G3347" t="s">
        <v>25</v>
      </c>
      <c r="H3347" t="s">
        <v>32</v>
      </c>
      <c r="I3347" t="s">
        <v>70</v>
      </c>
      <c r="J3347" t="s">
        <v>252</v>
      </c>
      <c r="K3347">
        <v>1</v>
      </c>
      <c r="L3347" s="2">
        <v>216.08</v>
      </c>
      <c r="M3347" s="3">
        <v>0</v>
      </c>
      <c r="N3347" t="s">
        <v>38</v>
      </c>
      <c r="O3347" s="2">
        <v>216.08</v>
      </c>
      <c r="P3347" s="2">
        <v>170.76</v>
      </c>
      <c r="Q3347" s="2">
        <v>45.32</v>
      </c>
      <c r="R3347">
        <v>1</v>
      </c>
      <c r="S3347">
        <v>0</v>
      </c>
      <c r="T3347">
        <v>7</v>
      </c>
      <c r="U3347">
        <v>3</v>
      </c>
    </row>
    <row r="3348" spans="1:21" ht="16.5" x14ac:dyDescent="0.3">
      <c r="A3348" t="s">
        <v>3436</v>
      </c>
      <c r="B3348" s="1">
        <v>45786</v>
      </c>
      <c r="C3348">
        <v>2025</v>
      </c>
      <c r="D3348" t="s">
        <v>599</v>
      </c>
      <c r="E3348" t="s">
        <v>802</v>
      </c>
      <c r="F3348" t="s">
        <v>31</v>
      </c>
      <c r="G3348" t="s">
        <v>49</v>
      </c>
      <c r="H3348" t="s">
        <v>32</v>
      </c>
      <c r="I3348" t="s">
        <v>67</v>
      </c>
      <c r="J3348" t="s">
        <v>68</v>
      </c>
      <c r="K3348">
        <v>2</v>
      </c>
      <c r="L3348" s="2">
        <v>74.459999999999994</v>
      </c>
      <c r="M3348" s="3">
        <v>0.1</v>
      </c>
      <c r="N3348" t="s">
        <v>29</v>
      </c>
      <c r="O3348" s="2">
        <v>134.03</v>
      </c>
      <c r="P3348" s="2">
        <v>111.19</v>
      </c>
      <c r="Q3348" s="2">
        <v>22.84</v>
      </c>
      <c r="R3348">
        <v>1</v>
      </c>
      <c r="S3348">
        <v>0</v>
      </c>
      <c r="T3348">
        <v>3</v>
      </c>
      <c r="U3348">
        <v>5</v>
      </c>
    </row>
    <row r="3349" spans="1:21" ht="16.5" x14ac:dyDescent="0.3">
      <c r="A3349" t="s">
        <v>3437</v>
      </c>
      <c r="B3349" s="1">
        <v>45786</v>
      </c>
      <c r="C3349">
        <v>2025</v>
      </c>
      <c r="D3349" t="s">
        <v>599</v>
      </c>
      <c r="E3349" t="s">
        <v>802</v>
      </c>
      <c r="F3349" t="s">
        <v>45</v>
      </c>
      <c r="G3349" t="s">
        <v>51</v>
      </c>
      <c r="H3349" t="s">
        <v>32</v>
      </c>
      <c r="I3349" t="s">
        <v>67</v>
      </c>
      <c r="J3349" t="s">
        <v>103</v>
      </c>
      <c r="K3349">
        <v>1</v>
      </c>
      <c r="L3349" s="2">
        <v>83.06</v>
      </c>
      <c r="M3349" s="3">
        <v>0.2</v>
      </c>
      <c r="N3349" t="s">
        <v>34</v>
      </c>
      <c r="O3349" s="2">
        <v>66.45</v>
      </c>
      <c r="P3349" s="2">
        <v>56.74</v>
      </c>
      <c r="Q3349" s="2">
        <v>9.7100000000000009</v>
      </c>
      <c r="R3349">
        <v>1</v>
      </c>
      <c r="S3349">
        <v>0</v>
      </c>
      <c r="T3349">
        <v>2</v>
      </c>
      <c r="U3349">
        <v>4</v>
      </c>
    </row>
    <row r="3350" spans="1:21" ht="16.5" x14ac:dyDescent="0.3">
      <c r="A3350" t="s">
        <v>3438</v>
      </c>
      <c r="B3350" s="1">
        <v>45786</v>
      </c>
      <c r="C3350">
        <v>2025</v>
      </c>
      <c r="D3350" t="s">
        <v>599</v>
      </c>
      <c r="E3350" t="s">
        <v>802</v>
      </c>
      <c r="F3350" t="s">
        <v>24</v>
      </c>
      <c r="G3350" t="s">
        <v>49</v>
      </c>
      <c r="H3350" t="s">
        <v>32</v>
      </c>
      <c r="I3350" t="s">
        <v>27</v>
      </c>
      <c r="J3350" t="s">
        <v>47</v>
      </c>
      <c r="K3350">
        <v>3</v>
      </c>
      <c r="L3350" s="2">
        <v>33.99</v>
      </c>
      <c r="M3350" s="3">
        <v>0</v>
      </c>
      <c r="N3350" t="s">
        <v>38</v>
      </c>
      <c r="O3350" s="2">
        <v>101.97</v>
      </c>
      <c r="P3350" s="2">
        <v>56</v>
      </c>
      <c r="Q3350" s="2">
        <v>45.97</v>
      </c>
      <c r="R3350">
        <v>1</v>
      </c>
      <c r="S3350">
        <v>0</v>
      </c>
      <c r="T3350">
        <v>6</v>
      </c>
      <c r="U3350">
        <v>2</v>
      </c>
    </row>
    <row r="3351" spans="1:21" ht="16.5" x14ac:dyDescent="0.3">
      <c r="A3351" t="s">
        <v>3439</v>
      </c>
      <c r="B3351" s="1">
        <v>45787</v>
      </c>
      <c r="C3351">
        <v>2025</v>
      </c>
      <c r="D3351" t="s">
        <v>599</v>
      </c>
      <c r="E3351" t="s">
        <v>802</v>
      </c>
      <c r="F3351" t="s">
        <v>31</v>
      </c>
      <c r="G3351" t="s">
        <v>51</v>
      </c>
      <c r="H3351" t="s">
        <v>32</v>
      </c>
      <c r="I3351" t="s">
        <v>70</v>
      </c>
      <c r="J3351" t="s">
        <v>252</v>
      </c>
      <c r="K3351">
        <v>1</v>
      </c>
      <c r="L3351" s="2">
        <v>216.08</v>
      </c>
      <c r="M3351" s="3">
        <v>0</v>
      </c>
      <c r="N3351" t="s">
        <v>38</v>
      </c>
      <c r="O3351" s="2">
        <v>216.08</v>
      </c>
      <c r="P3351" s="2">
        <v>172.67</v>
      </c>
      <c r="Q3351" s="2">
        <v>43.41</v>
      </c>
      <c r="R3351">
        <v>1</v>
      </c>
      <c r="S3351">
        <v>0</v>
      </c>
      <c r="T3351">
        <v>2</v>
      </c>
      <c r="U3351">
        <v>5</v>
      </c>
    </row>
    <row r="3352" spans="1:21" ht="16.5" x14ac:dyDescent="0.3">
      <c r="A3352" t="s">
        <v>3440</v>
      </c>
      <c r="B3352" s="1">
        <v>45787</v>
      </c>
      <c r="C3352">
        <v>2025</v>
      </c>
      <c r="D3352" t="s">
        <v>599</v>
      </c>
      <c r="E3352" t="s">
        <v>802</v>
      </c>
      <c r="F3352" t="s">
        <v>45</v>
      </c>
      <c r="G3352" t="s">
        <v>51</v>
      </c>
      <c r="H3352" t="s">
        <v>26</v>
      </c>
      <c r="I3352" t="s">
        <v>84</v>
      </c>
      <c r="J3352" t="s">
        <v>106</v>
      </c>
      <c r="K3352">
        <v>1</v>
      </c>
      <c r="L3352" s="2">
        <v>45.28</v>
      </c>
      <c r="M3352" s="3">
        <v>0.15</v>
      </c>
      <c r="N3352" t="s">
        <v>34</v>
      </c>
      <c r="O3352" s="2">
        <v>38.49</v>
      </c>
      <c r="P3352" s="2">
        <v>31.02</v>
      </c>
      <c r="Q3352" s="2">
        <v>7.47</v>
      </c>
      <c r="R3352">
        <v>1</v>
      </c>
      <c r="S3352">
        <v>0</v>
      </c>
      <c r="T3352">
        <v>4</v>
      </c>
      <c r="U3352">
        <v>4</v>
      </c>
    </row>
    <row r="3353" spans="1:21" ht="16.5" x14ac:dyDescent="0.3">
      <c r="A3353" t="s">
        <v>3441</v>
      </c>
      <c r="B3353" s="1">
        <v>45787</v>
      </c>
      <c r="C3353">
        <v>2025</v>
      </c>
      <c r="D3353" t="s">
        <v>599</v>
      </c>
      <c r="E3353" t="s">
        <v>802</v>
      </c>
      <c r="F3353" t="s">
        <v>24</v>
      </c>
      <c r="G3353" t="s">
        <v>25</v>
      </c>
      <c r="H3353" t="s">
        <v>32</v>
      </c>
      <c r="I3353" t="s">
        <v>27</v>
      </c>
      <c r="J3353" t="s">
        <v>60</v>
      </c>
      <c r="K3353">
        <v>1</v>
      </c>
      <c r="L3353" s="2">
        <v>94.85</v>
      </c>
      <c r="M3353" s="3">
        <v>0.05</v>
      </c>
      <c r="N3353" t="s">
        <v>29</v>
      </c>
      <c r="O3353" s="2">
        <v>90.11</v>
      </c>
      <c r="P3353" s="2">
        <v>52.8</v>
      </c>
      <c r="Q3353" s="2">
        <v>37.31</v>
      </c>
      <c r="R3353">
        <v>1</v>
      </c>
      <c r="S3353">
        <v>1</v>
      </c>
      <c r="T3353">
        <v>4</v>
      </c>
      <c r="U3353">
        <v>4</v>
      </c>
    </row>
    <row r="3354" spans="1:21" ht="16.5" x14ac:dyDescent="0.3">
      <c r="A3354" t="s">
        <v>3442</v>
      </c>
      <c r="B3354" s="1">
        <v>45787</v>
      </c>
      <c r="C3354">
        <v>2025</v>
      </c>
      <c r="D3354" t="s">
        <v>599</v>
      </c>
      <c r="E3354" t="s">
        <v>802</v>
      </c>
      <c r="F3354" t="s">
        <v>31</v>
      </c>
      <c r="G3354" t="s">
        <v>49</v>
      </c>
      <c r="H3354" t="s">
        <v>32</v>
      </c>
      <c r="I3354" t="s">
        <v>27</v>
      </c>
      <c r="J3354" t="s">
        <v>33</v>
      </c>
      <c r="K3354">
        <v>3</v>
      </c>
      <c r="L3354" s="2">
        <v>78.510000000000005</v>
      </c>
      <c r="M3354" s="3">
        <v>0.1</v>
      </c>
      <c r="N3354" t="s">
        <v>29</v>
      </c>
      <c r="O3354" s="2">
        <v>211.98</v>
      </c>
      <c r="P3354" s="2">
        <v>129.34</v>
      </c>
      <c r="Q3354" s="2">
        <v>82.64</v>
      </c>
      <c r="R3354">
        <v>1</v>
      </c>
      <c r="S3354">
        <v>0</v>
      </c>
      <c r="T3354">
        <v>5</v>
      </c>
      <c r="U3354">
        <v>4</v>
      </c>
    </row>
    <row r="3355" spans="1:21" ht="16.5" x14ac:dyDescent="0.3">
      <c r="A3355" t="s">
        <v>3443</v>
      </c>
      <c r="B3355" s="1">
        <v>45787</v>
      </c>
      <c r="C3355">
        <v>2025</v>
      </c>
      <c r="D3355" t="s">
        <v>599</v>
      </c>
      <c r="E3355" t="s">
        <v>802</v>
      </c>
      <c r="F3355" t="s">
        <v>31</v>
      </c>
      <c r="G3355" t="s">
        <v>25</v>
      </c>
      <c r="H3355" t="s">
        <v>26</v>
      </c>
      <c r="I3355" t="s">
        <v>67</v>
      </c>
      <c r="J3355" t="s">
        <v>174</v>
      </c>
      <c r="K3355">
        <v>1</v>
      </c>
      <c r="L3355" s="2">
        <v>137.05000000000001</v>
      </c>
      <c r="M3355" s="3">
        <v>0.15</v>
      </c>
      <c r="N3355" t="s">
        <v>34</v>
      </c>
      <c r="O3355" s="2">
        <v>116.49</v>
      </c>
      <c r="P3355" s="2">
        <v>91.34</v>
      </c>
      <c r="Q3355" s="2">
        <v>25.15</v>
      </c>
      <c r="R3355">
        <v>1</v>
      </c>
      <c r="S3355">
        <v>0</v>
      </c>
      <c r="T3355">
        <v>5</v>
      </c>
      <c r="U3355">
        <v>4</v>
      </c>
    </row>
    <row r="3356" spans="1:21" ht="16.5" x14ac:dyDescent="0.3">
      <c r="A3356" t="s">
        <v>3444</v>
      </c>
      <c r="B3356" s="1">
        <v>45787</v>
      </c>
      <c r="C3356">
        <v>2025</v>
      </c>
      <c r="D3356" t="s">
        <v>599</v>
      </c>
      <c r="E3356" t="s">
        <v>802</v>
      </c>
      <c r="F3356" t="s">
        <v>45</v>
      </c>
      <c r="G3356" t="s">
        <v>25</v>
      </c>
      <c r="H3356" t="s">
        <v>32</v>
      </c>
      <c r="I3356" t="s">
        <v>70</v>
      </c>
      <c r="J3356" t="s">
        <v>71</v>
      </c>
      <c r="K3356">
        <v>1</v>
      </c>
      <c r="L3356" s="2">
        <v>588.41</v>
      </c>
      <c r="M3356" s="3">
        <v>0.2</v>
      </c>
      <c r="N3356" t="s">
        <v>34</v>
      </c>
      <c r="O3356" s="2">
        <v>470.73</v>
      </c>
      <c r="P3356" s="2">
        <v>459.8</v>
      </c>
      <c r="Q3356" s="2">
        <v>10.93</v>
      </c>
      <c r="R3356">
        <v>1</v>
      </c>
      <c r="S3356">
        <v>0</v>
      </c>
      <c r="T3356">
        <v>4</v>
      </c>
      <c r="U3356">
        <v>5</v>
      </c>
    </row>
    <row r="3357" spans="1:21" ht="16.5" x14ac:dyDescent="0.3">
      <c r="A3357" t="s">
        <v>3445</v>
      </c>
      <c r="B3357" s="1">
        <v>45788</v>
      </c>
      <c r="C3357">
        <v>2025</v>
      </c>
      <c r="D3357" t="s">
        <v>599</v>
      </c>
      <c r="E3357" t="s">
        <v>802</v>
      </c>
      <c r="F3357" t="s">
        <v>45</v>
      </c>
      <c r="G3357" t="s">
        <v>51</v>
      </c>
      <c r="H3357" t="s">
        <v>32</v>
      </c>
      <c r="I3357" t="s">
        <v>67</v>
      </c>
      <c r="J3357" t="s">
        <v>93</v>
      </c>
      <c r="K3357">
        <v>2</v>
      </c>
      <c r="L3357" s="2">
        <v>198.42</v>
      </c>
      <c r="M3357" s="3">
        <v>0.15</v>
      </c>
      <c r="N3357" t="s">
        <v>34</v>
      </c>
      <c r="O3357" s="2">
        <v>337.31</v>
      </c>
      <c r="P3357" s="2">
        <v>273.85000000000002</v>
      </c>
      <c r="Q3357" s="2">
        <v>63.46</v>
      </c>
      <c r="R3357">
        <v>1</v>
      </c>
      <c r="S3357">
        <v>0</v>
      </c>
      <c r="T3357">
        <v>6</v>
      </c>
      <c r="U3357">
        <v>3</v>
      </c>
    </row>
    <row r="3358" spans="1:21" ht="16.5" x14ac:dyDescent="0.3">
      <c r="A3358" t="s">
        <v>3446</v>
      </c>
      <c r="B3358" s="1">
        <v>45788</v>
      </c>
      <c r="C3358">
        <v>2025</v>
      </c>
      <c r="D3358" t="s">
        <v>599</v>
      </c>
      <c r="E3358" t="s">
        <v>802</v>
      </c>
      <c r="F3358" t="s">
        <v>45</v>
      </c>
      <c r="G3358" t="s">
        <v>65</v>
      </c>
      <c r="H3358" t="s">
        <v>32</v>
      </c>
      <c r="I3358" t="s">
        <v>36</v>
      </c>
      <c r="J3358" t="s">
        <v>52</v>
      </c>
      <c r="K3358">
        <v>1</v>
      </c>
      <c r="L3358" s="2">
        <v>92.54</v>
      </c>
      <c r="M3358" s="3">
        <v>0.1</v>
      </c>
      <c r="N3358" t="s">
        <v>29</v>
      </c>
      <c r="O3358" s="2">
        <v>83.29</v>
      </c>
      <c r="P3358" s="2">
        <v>46.27</v>
      </c>
      <c r="Q3358" s="2">
        <v>37.020000000000003</v>
      </c>
      <c r="R3358">
        <v>1</v>
      </c>
      <c r="S3358">
        <v>0</v>
      </c>
      <c r="T3358">
        <v>5</v>
      </c>
      <c r="U3358">
        <v>5</v>
      </c>
    </row>
    <row r="3359" spans="1:21" ht="16.5" x14ac:dyDescent="0.3">
      <c r="A3359" t="s">
        <v>3447</v>
      </c>
      <c r="B3359" s="1">
        <v>45788</v>
      </c>
      <c r="C3359">
        <v>2025</v>
      </c>
      <c r="D3359" t="s">
        <v>599</v>
      </c>
      <c r="E3359" t="s">
        <v>802</v>
      </c>
      <c r="F3359" t="s">
        <v>24</v>
      </c>
      <c r="G3359" t="s">
        <v>51</v>
      </c>
      <c r="H3359" t="s">
        <v>32</v>
      </c>
      <c r="I3359" t="s">
        <v>84</v>
      </c>
      <c r="J3359" t="s">
        <v>96</v>
      </c>
      <c r="K3359">
        <v>1</v>
      </c>
      <c r="L3359" s="2">
        <v>10.76</v>
      </c>
      <c r="M3359" s="3">
        <v>0</v>
      </c>
      <c r="N3359" t="s">
        <v>38</v>
      </c>
      <c r="O3359" s="2">
        <v>10.76</v>
      </c>
      <c r="P3359" s="2">
        <v>7.86</v>
      </c>
      <c r="Q3359" s="2">
        <v>2.9</v>
      </c>
      <c r="R3359">
        <v>1</v>
      </c>
      <c r="S3359">
        <v>0</v>
      </c>
      <c r="T3359">
        <v>3</v>
      </c>
      <c r="U3359">
        <v>4</v>
      </c>
    </row>
    <row r="3360" spans="1:21" ht="16.5" x14ac:dyDescent="0.3">
      <c r="A3360" t="s">
        <v>3448</v>
      </c>
      <c r="B3360" s="1">
        <v>45788</v>
      </c>
      <c r="C3360">
        <v>2025</v>
      </c>
      <c r="D3360" t="s">
        <v>599</v>
      </c>
      <c r="E3360" t="s">
        <v>802</v>
      </c>
      <c r="F3360" t="s">
        <v>31</v>
      </c>
      <c r="G3360" t="s">
        <v>25</v>
      </c>
      <c r="H3360" t="s">
        <v>26</v>
      </c>
      <c r="I3360" t="s">
        <v>36</v>
      </c>
      <c r="J3360" t="s">
        <v>115</v>
      </c>
      <c r="K3360">
        <v>1</v>
      </c>
      <c r="L3360" s="2">
        <v>33.479999999999997</v>
      </c>
      <c r="M3360" s="3">
        <v>0.25</v>
      </c>
      <c r="N3360" t="s">
        <v>62</v>
      </c>
      <c r="O3360" s="2">
        <v>25.11</v>
      </c>
      <c r="P3360" s="2">
        <v>16.72</v>
      </c>
      <c r="Q3360" s="2">
        <v>8.39</v>
      </c>
      <c r="R3360">
        <v>1</v>
      </c>
      <c r="S3360">
        <v>0</v>
      </c>
      <c r="T3360">
        <v>3</v>
      </c>
      <c r="U3360">
        <v>3</v>
      </c>
    </row>
    <row r="3361" spans="1:21" ht="16.5" x14ac:dyDescent="0.3">
      <c r="A3361" t="s">
        <v>3449</v>
      </c>
      <c r="B3361" s="1">
        <v>45788</v>
      </c>
      <c r="C3361">
        <v>2025</v>
      </c>
      <c r="D3361" t="s">
        <v>599</v>
      </c>
      <c r="E3361" t="s">
        <v>802</v>
      </c>
      <c r="F3361" t="s">
        <v>31</v>
      </c>
      <c r="G3361" t="s">
        <v>46</v>
      </c>
      <c r="H3361" t="s">
        <v>32</v>
      </c>
      <c r="I3361" t="s">
        <v>70</v>
      </c>
      <c r="J3361" t="s">
        <v>71</v>
      </c>
      <c r="K3361">
        <v>3</v>
      </c>
      <c r="L3361" s="2">
        <v>588.41</v>
      </c>
      <c r="M3361" s="3">
        <v>0</v>
      </c>
      <c r="N3361" t="s">
        <v>38</v>
      </c>
      <c r="O3361" s="2">
        <v>1765.23</v>
      </c>
      <c r="P3361" s="2">
        <v>1440.99</v>
      </c>
      <c r="Q3361" s="2">
        <v>324.24</v>
      </c>
      <c r="R3361">
        <v>1</v>
      </c>
      <c r="S3361">
        <v>0</v>
      </c>
      <c r="T3361">
        <v>5</v>
      </c>
      <c r="U3361">
        <v>5</v>
      </c>
    </row>
    <row r="3362" spans="1:21" ht="16.5" x14ac:dyDescent="0.3">
      <c r="A3362" t="s">
        <v>3450</v>
      </c>
      <c r="B3362" s="1">
        <v>45788</v>
      </c>
      <c r="C3362">
        <v>2025</v>
      </c>
      <c r="D3362" t="s">
        <v>599</v>
      </c>
      <c r="E3362" t="s">
        <v>802</v>
      </c>
      <c r="F3362" t="s">
        <v>45</v>
      </c>
      <c r="G3362" t="s">
        <v>65</v>
      </c>
      <c r="H3362" t="s">
        <v>32</v>
      </c>
      <c r="I3362" t="s">
        <v>27</v>
      </c>
      <c r="J3362" t="s">
        <v>110</v>
      </c>
      <c r="K3362">
        <v>1</v>
      </c>
      <c r="L3362" s="2">
        <v>19.41</v>
      </c>
      <c r="M3362" s="3">
        <v>0.05</v>
      </c>
      <c r="N3362" t="s">
        <v>29</v>
      </c>
      <c r="O3362" s="2">
        <v>18.440000000000001</v>
      </c>
      <c r="P3362" s="2">
        <v>10.199999999999999</v>
      </c>
      <c r="Q3362" s="2">
        <v>8.24</v>
      </c>
      <c r="R3362">
        <v>1</v>
      </c>
      <c r="S3362">
        <v>0</v>
      </c>
      <c r="T3362">
        <v>9</v>
      </c>
      <c r="U3362">
        <v>3</v>
      </c>
    </row>
    <row r="3363" spans="1:21" ht="16.5" x14ac:dyDescent="0.3">
      <c r="A3363" t="s">
        <v>3451</v>
      </c>
      <c r="B3363" s="1">
        <v>45788</v>
      </c>
      <c r="C3363">
        <v>2025</v>
      </c>
      <c r="D3363" t="s">
        <v>599</v>
      </c>
      <c r="E3363" t="s">
        <v>802</v>
      </c>
      <c r="F3363" t="s">
        <v>24</v>
      </c>
      <c r="G3363" t="s">
        <v>25</v>
      </c>
      <c r="H3363" t="s">
        <v>32</v>
      </c>
      <c r="I3363" t="s">
        <v>67</v>
      </c>
      <c r="J3363" t="s">
        <v>103</v>
      </c>
      <c r="K3363">
        <v>3</v>
      </c>
      <c r="L3363" s="2">
        <v>83.06</v>
      </c>
      <c r="M3363" s="3">
        <v>0.05</v>
      </c>
      <c r="N3363" t="s">
        <v>29</v>
      </c>
      <c r="O3363" s="2">
        <v>236.72</v>
      </c>
      <c r="P3363" s="2">
        <v>166.95</v>
      </c>
      <c r="Q3363" s="2">
        <v>69.77</v>
      </c>
      <c r="R3363">
        <v>1</v>
      </c>
      <c r="S3363">
        <v>0</v>
      </c>
      <c r="T3363">
        <v>3</v>
      </c>
      <c r="U3363">
        <v>4</v>
      </c>
    </row>
    <row r="3364" spans="1:21" ht="16.5" x14ac:dyDescent="0.3">
      <c r="A3364" t="s">
        <v>3452</v>
      </c>
      <c r="B3364" s="1">
        <v>45789</v>
      </c>
      <c r="C3364">
        <v>2025</v>
      </c>
      <c r="D3364" t="s">
        <v>599</v>
      </c>
      <c r="E3364" t="s">
        <v>802</v>
      </c>
      <c r="F3364" t="s">
        <v>24</v>
      </c>
      <c r="G3364" t="s">
        <v>51</v>
      </c>
      <c r="H3364" t="s">
        <v>32</v>
      </c>
      <c r="I3364" t="s">
        <v>70</v>
      </c>
      <c r="J3364" t="s">
        <v>252</v>
      </c>
      <c r="K3364">
        <v>1</v>
      </c>
      <c r="L3364" s="2">
        <v>216.08</v>
      </c>
      <c r="M3364" s="3">
        <v>0.05</v>
      </c>
      <c r="N3364" t="s">
        <v>29</v>
      </c>
      <c r="O3364" s="2">
        <v>205.28</v>
      </c>
      <c r="P3364" s="2">
        <v>171.39</v>
      </c>
      <c r="Q3364" s="2">
        <v>33.89</v>
      </c>
      <c r="R3364">
        <v>1</v>
      </c>
      <c r="S3364">
        <v>0</v>
      </c>
      <c r="T3364">
        <v>4</v>
      </c>
      <c r="U3364">
        <v>4</v>
      </c>
    </row>
    <row r="3365" spans="1:21" ht="16.5" x14ac:dyDescent="0.3">
      <c r="A3365" t="s">
        <v>3453</v>
      </c>
      <c r="B3365" s="1">
        <v>45789</v>
      </c>
      <c r="C3365">
        <v>2025</v>
      </c>
      <c r="D3365" t="s">
        <v>599</v>
      </c>
      <c r="E3365" t="s">
        <v>802</v>
      </c>
      <c r="F3365" t="s">
        <v>24</v>
      </c>
      <c r="G3365" t="s">
        <v>51</v>
      </c>
      <c r="H3365" t="s">
        <v>32</v>
      </c>
      <c r="I3365" t="s">
        <v>70</v>
      </c>
      <c r="J3365" t="s">
        <v>252</v>
      </c>
      <c r="K3365">
        <v>4</v>
      </c>
      <c r="L3365" s="2">
        <v>216.08</v>
      </c>
      <c r="M3365" s="3">
        <v>0.1</v>
      </c>
      <c r="N3365" t="s">
        <v>29</v>
      </c>
      <c r="O3365" s="2">
        <v>777.89</v>
      </c>
      <c r="P3365" s="2">
        <v>696.51</v>
      </c>
      <c r="Q3365" s="2">
        <v>81.38</v>
      </c>
      <c r="R3365">
        <v>1</v>
      </c>
      <c r="S3365">
        <v>0</v>
      </c>
      <c r="T3365">
        <v>2</v>
      </c>
      <c r="U3365">
        <v>5</v>
      </c>
    </row>
    <row r="3366" spans="1:21" ht="16.5" x14ac:dyDescent="0.3">
      <c r="A3366" t="s">
        <v>3454</v>
      </c>
      <c r="B3366" s="1">
        <v>45789</v>
      </c>
      <c r="C3366">
        <v>2025</v>
      </c>
      <c r="D3366" t="s">
        <v>599</v>
      </c>
      <c r="E3366" t="s">
        <v>802</v>
      </c>
      <c r="F3366" t="s">
        <v>31</v>
      </c>
      <c r="G3366" t="s">
        <v>65</v>
      </c>
      <c r="H3366" t="s">
        <v>26</v>
      </c>
      <c r="I3366" t="s">
        <v>27</v>
      </c>
      <c r="J3366" t="s">
        <v>33</v>
      </c>
      <c r="K3366">
        <v>1</v>
      </c>
      <c r="L3366" s="2">
        <v>78.510000000000005</v>
      </c>
      <c r="M3366" s="3">
        <v>0.15</v>
      </c>
      <c r="N3366" t="s">
        <v>34</v>
      </c>
      <c r="O3366" s="2">
        <v>66.73</v>
      </c>
      <c r="P3366" s="2">
        <v>40.200000000000003</v>
      </c>
      <c r="Q3366" s="2">
        <v>26.53</v>
      </c>
      <c r="R3366">
        <v>1</v>
      </c>
      <c r="S3366">
        <v>0</v>
      </c>
      <c r="T3366">
        <v>7</v>
      </c>
      <c r="U3366">
        <v>3</v>
      </c>
    </row>
    <row r="3367" spans="1:21" ht="16.5" x14ac:dyDescent="0.3">
      <c r="A3367" t="s">
        <v>3455</v>
      </c>
      <c r="B3367" s="1">
        <v>45789</v>
      </c>
      <c r="C3367">
        <v>2025</v>
      </c>
      <c r="D3367" t="s">
        <v>599</v>
      </c>
      <c r="E3367" t="s">
        <v>802</v>
      </c>
      <c r="F3367" t="s">
        <v>24</v>
      </c>
      <c r="G3367" t="s">
        <v>49</v>
      </c>
      <c r="H3367" t="s">
        <v>32</v>
      </c>
      <c r="I3367" t="s">
        <v>42</v>
      </c>
      <c r="J3367" t="s">
        <v>98</v>
      </c>
      <c r="K3367">
        <v>1</v>
      </c>
      <c r="L3367" s="2">
        <v>117.63</v>
      </c>
      <c r="M3367" s="3">
        <v>0.2</v>
      </c>
      <c r="N3367" t="s">
        <v>34</v>
      </c>
      <c r="O3367" s="2">
        <v>94.1</v>
      </c>
      <c r="P3367" s="2">
        <v>83.42</v>
      </c>
      <c r="Q3367" s="2">
        <v>10.68</v>
      </c>
      <c r="R3367">
        <v>1</v>
      </c>
      <c r="S3367">
        <v>0</v>
      </c>
      <c r="T3367">
        <v>4</v>
      </c>
      <c r="U3367">
        <v>4</v>
      </c>
    </row>
    <row r="3368" spans="1:21" ht="16.5" x14ac:dyDescent="0.3">
      <c r="A3368" t="s">
        <v>3456</v>
      </c>
      <c r="B3368" s="1">
        <v>45789</v>
      </c>
      <c r="C3368">
        <v>2025</v>
      </c>
      <c r="D3368" t="s">
        <v>599</v>
      </c>
      <c r="E3368" t="s">
        <v>802</v>
      </c>
      <c r="F3368" t="s">
        <v>45</v>
      </c>
      <c r="G3368" t="s">
        <v>49</v>
      </c>
      <c r="H3368" t="s">
        <v>32</v>
      </c>
      <c r="I3368" t="s">
        <v>70</v>
      </c>
      <c r="J3368" t="s">
        <v>252</v>
      </c>
      <c r="K3368">
        <v>1</v>
      </c>
      <c r="L3368" s="2">
        <v>216.08</v>
      </c>
      <c r="M3368" s="3">
        <v>0</v>
      </c>
      <c r="N3368" t="s">
        <v>38</v>
      </c>
      <c r="O3368" s="2">
        <v>216.08</v>
      </c>
      <c r="P3368" s="2">
        <v>175.41</v>
      </c>
      <c r="Q3368" s="2">
        <v>40.67</v>
      </c>
      <c r="R3368">
        <v>1</v>
      </c>
      <c r="S3368">
        <v>0</v>
      </c>
      <c r="T3368">
        <v>4</v>
      </c>
      <c r="U3368">
        <v>5</v>
      </c>
    </row>
    <row r="3369" spans="1:21" ht="16.5" x14ac:dyDescent="0.3">
      <c r="A3369" t="s">
        <v>3457</v>
      </c>
      <c r="B3369" s="1">
        <v>45789</v>
      </c>
      <c r="C3369">
        <v>2025</v>
      </c>
      <c r="D3369" t="s">
        <v>599</v>
      </c>
      <c r="E3369" t="s">
        <v>802</v>
      </c>
      <c r="F3369" t="s">
        <v>24</v>
      </c>
      <c r="G3369" t="s">
        <v>51</v>
      </c>
      <c r="H3369" t="s">
        <v>32</v>
      </c>
      <c r="I3369" t="s">
        <v>70</v>
      </c>
      <c r="J3369" t="s">
        <v>162</v>
      </c>
      <c r="K3369">
        <v>2</v>
      </c>
      <c r="L3369" s="2">
        <v>636.09</v>
      </c>
      <c r="M3369" s="3">
        <v>0.05</v>
      </c>
      <c r="N3369" t="s">
        <v>29</v>
      </c>
      <c r="O3369" s="2">
        <v>1208.57</v>
      </c>
      <c r="P3369" s="2">
        <v>992.8</v>
      </c>
      <c r="Q3369" s="2">
        <v>215.77</v>
      </c>
      <c r="R3369">
        <v>1</v>
      </c>
      <c r="S3369">
        <v>0</v>
      </c>
      <c r="T3369">
        <v>3</v>
      </c>
      <c r="U3369">
        <v>5</v>
      </c>
    </row>
    <row r="3370" spans="1:21" ht="16.5" x14ac:dyDescent="0.3">
      <c r="A3370" t="s">
        <v>3458</v>
      </c>
      <c r="B3370" s="1">
        <v>45789</v>
      </c>
      <c r="C3370">
        <v>2025</v>
      </c>
      <c r="D3370" t="s">
        <v>599</v>
      </c>
      <c r="E3370" t="s">
        <v>802</v>
      </c>
      <c r="F3370" t="s">
        <v>24</v>
      </c>
      <c r="G3370" t="s">
        <v>46</v>
      </c>
      <c r="H3370" t="s">
        <v>32</v>
      </c>
      <c r="I3370" t="s">
        <v>36</v>
      </c>
      <c r="J3370" t="s">
        <v>56</v>
      </c>
      <c r="K3370">
        <v>2</v>
      </c>
      <c r="L3370" s="2">
        <v>74.3</v>
      </c>
      <c r="M3370" s="3">
        <v>0</v>
      </c>
      <c r="N3370" t="s">
        <v>38</v>
      </c>
      <c r="O3370" s="2">
        <v>148.6</v>
      </c>
      <c r="P3370" s="2">
        <v>73.87</v>
      </c>
      <c r="Q3370" s="2">
        <v>74.73</v>
      </c>
      <c r="R3370">
        <v>1</v>
      </c>
      <c r="S3370">
        <v>0</v>
      </c>
      <c r="T3370">
        <v>5</v>
      </c>
      <c r="U3370">
        <v>4</v>
      </c>
    </row>
    <row r="3371" spans="1:21" ht="16.5" x14ac:dyDescent="0.3">
      <c r="A3371" t="s">
        <v>3459</v>
      </c>
      <c r="B3371" s="1">
        <v>45789</v>
      </c>
      <c r="C3371">
        <v>2025</v>
      </c>
      <c r="D3371" t="s">
        <v>599</v>
      </c>
      <c r="E3371" t="s">
        <v>802</v>
      </c>
      <c r="F3371" t="s">
        <v>24</v>
      </c>
      <c r="G3371" t="s">
        <v>25</v>
      </c>
      <c r="H3371" t="s">
        <v>32</v>
      </c>
      <c r="I3371" t="s">
        <v>27</v>
      </c>
      <c r="J3371" t="s">
        <v>33</v>
      </c>
      <c r="K3371">
        <v>1</v>
      </c>
      <c r="L3371" s="2">
        <v>78.510000000000005</v>
      </c>
      <c r="M3371" s="3">
        <v>0.15</v>
      </c>
      <c r="N3371" t="s">
        <v>34</v>
      </c>
      <c r="O3371" s="2">
        <v>66.73</v>
      </c>
      <c r="P3371" s="2">
        <v>44.09</v>
      </c>
      <c r="Q3371" s="2">
        <v>22.64</v>
      </c>
      <c r="R3371">
        <v>1</v>
      </c>
      <c r="S3371">
        <v>0</v>
      </c>
      <c r="T3371">
        <v>3</v>
      </c>
      <c r="U3371">
        <v>4</v>
      </c>
    </row>
    <row r="3372" spans="1:21" ht="16.5" x14ac:dyDescent="0.3">
      <c r="A3372" t="s">
        <v>3460</v>
      </c>
      <c r="B3372" s="1">
        <v>45790</v>
      </c>
      <c r="C3372">
        <v>2025</v>
      </c>
      <c r="D3372" t="s">
        <v>599</v>
      </c>
      <c r="E3372" t="s">
        <v>802</v>
      </c>
      <c r="F3372" t="s">
        <v>24</v>
      </c>
      <c r="G3372" t="s">
        <v>51</v>
      </c>
      <c r="H3372" t="s">
        <v>26</v>
      </c>
      <c r="I3372" t="s">
        <v>67</v>
      </c>
      <c r="J3372" t="s">
        <v>103</v>
      </c>
      <c r="K3372">
        <v>1</v>
      </c>
      <c r="L3372" s="2">
        <v>83.06</v>
      </c>
      <c r="M3372" s="3">
        <v>0.05</v>
      </c>
      <c r="N3372" t="s">
        <v>29</v>
      </c>
      <c r="O3372" s="2">
        <v>78.91</v>
      </c>
      <c r="P3372" s="2">
        <v>55.85</v>
      </c>
      <c r="Q3372" s="2">
        <v>23.06</v>
      </c>
      <c r="R3372">
        <v>1</v>
      </c>
      <c r="S3372">
        <v>0</v>
      </c>
      <c r="T3372">
        <v>2</v>
      </c>
      <c r="U3372">
        <v>5</v>
      </c>
    </row>
    <row r="3373" spans="1:21" ht="16.5" x14ac:dyDescent="0.3">
      <c r="A3373" t="s">
        <v>3461</v>
      </c>
      <c r="B3373" s="1">
        <v>45790</v>
      </c>
      <c r="C3373">
        <v>2025</v>
      </c>
      <c r="D3373" t="s">
        <v>599</v>
      </c>
      <c r="E3373" t="s">
        <v>802</v>
      </c>
      <c r="F3373" t="s">
        <v>24</v>
      </c>
      <c r="G3373" t="s">
        <v>49</v>
      </c>
      <c r="H3373" t="s">
        <v>32</v>
      </c>
      <c r="I3373" t="s">
        <v>27</v>
      </c>
      <c r="J3373" t="s">
        <v>110</v>
      </c>
      <c r="K3373">
        <v>1</v>
      </c>
      <c r="L3373" s="2">
        <v>19.41</v>
      </c>
      <c r="M3373" s="3">
        <v>0</v>
      </c>
      <c r="N3373" t="s">
        <v>38</v>
      </c>
      <c r="O3373" s="2">
        <v>19.41</v>
      </c>
      <c r="P3373" s="2">
        <v>10.3</v>
      </c>
      <c r="Q3373" s="2">
        <v>9.11</v>
      </c>
      <c r="R3373">
        <v>1</v>
      </c>
      <c r="S3373">
        <v>0</v>
      </c>
      <c r="T3373">
        <v>7</v>
      </c>
      <c r="U3373">
        <v>4</v>
      </c>
    </row>
    <row r="3374" spans="1:21" ht="16.5" x14ac:dyDescent="0.3">
      <c r="A3374" t="s">
        <v>3462</v>
      </c>
      <c r="B3374" s="1">
        <v>45790</v>
      </c>
      <c r="C3374">
        <v>2025</v>
      </c>
      <c r="D3374" t="s">
        <v>599</v>
      </c>
      <c r="E3374" t="s">
        <v>802</v>
      </c>
      <c r="F3374" t="s">
        <v>45</v>
      </c>
      <c r="G3374" t="s">
        <v>51</v>
      </c>
      <c r="H3374" t="s">
        <v>32</v>
      </c>
      <c r="I3374" t="s">
        <v>70</v>
      </c>
      <c r="J3374" t="s">
        <v>129</v>
      </c>
      <c r="K3374">
        <v>2</v>
      </c>
      <c r="L3374" s="2">
        <v>177.65</v>
      </c>
      <c r="M3374" s="3">
        <v>0.3</v>
      </c>
      <c r="N3374" t="s">
        <v>62</v>
      </c>
      <c r="O3374" s="2">
        <v>248.71</v>
      </c>
      <c r="P3374" s="2">
        <v>290.92</v>
      </c>
      <c r="Q3374" s="2">
        <v>-42.21</v>
      </c>
      <c r="R3374">
        <v>1</v>
      </c>
      <c r="S3374">
        <v>0</v>
      </c>
      <c r="T3374">
        <v>3</v>
      </c>
      <c r="U3374">
        <v>4</v>
      </c>
    </row>
    <row r="3375" spans="1:21" ht="16.5" x14ac:dyDescent="0.3">
      <c r="A3375" t="s">
        <v>3463</v>
      </c>
      <c r="B3375" s="1">
        <v>45791</v>
      </c>
      <c r="C3375">
        <v>2025</v>
      </c>
      <c r="D3375" t="s">
        <v>599</v>
      </c>
      <c r="E3375" t="s">
        <v>802</v>
      </c>
      <c r="F3375" t="s">
        <v>24</v>
      </c>
      <c r="G3375" t="s">
        <v>46</v>
      </c>
      <c r="H3375" t="s">
        <v>32</v>
      </c>
      <c r="I3375" t="s">
        <v>27</v>
      </c>
      <c r="J3375" t="s">
        <v>28</v>
      </c>
      <c r="K3375">
        <v>2</v>
      </c>
      <c r="L3375" s="2">
        <v>138.5</v>
      </c>
      <c r="M3375" s="3">
        <v>0.2</v>
      </c>
      <c r="N3375" t="s">
        <v>34</v>
      </c>
      <c r="O3375" s="2">
        <v>221.6</v>
      </c>
      <c r="P3375" s="2">
        <v>148.26</v>
      </c>
      <c r="Q3375" s="2">
        <v>73.34</v>
      </c>
      <c r="R3375">
        <v>1</v>
      </c>
      <c r="S3375">
        <v>1</v>
      </c>
      <c r="T3375">
        <v>7</v>
      </c>
      <c r="U3375">
        <v>3</v>
      </c>
    </row>
    <row r="3376" spans="1:21" ht="16.5" x14ac:dyDescent="0.3">
      <c r="A3376" t="s">
        <v>3464</v>
      </c>
      <c r="B3376" s="1">
        <v>45791</v>
      </c>
      <c r="C3376">
        <v>2025</v>
      </c>
      <c r="D3376" t="s">
        <v>599</v>
      </c>
      <c r="E3376" t="s">
        <v>802</v>
      </c>
      <c r="F3376" t="s">
        <v>24</v>
      </c>
      <c r="G3376" t="s">
        <v>49</v>
      </c>
      <c r="H3376" t="s">
        <v>32</v>
      </c>
      <c r="I3376" t="s">
        <v>42</v>
      </c>
      <c r="J3376" t="s">
        <v>54</v>
      </c>
      <c r="K3376">
        <v>1</v>
      </c>
      <c r="L3376" s="2">
        <v>148.05000000000001</v>
      </c>
      <c r="M3376" s="3">
        <v>0.1</v>
      </c>
      <c r="N3376" t="s">
        <v>29</v>
      </c>
      <c r="O3376" s="2">
        <v>133.24</v>
      </c>
      <c r="P3376" s="2">
        <v>99.42</v>
      </c>
      <c r="Q3376" s="2">
        <v>33.82</v>
      </c>
      <c r="R3376">
        <v>1</v>
      </c>
      <c r="S3376">
        <v>1</v>
      </c>
      <c r="T3376">
        <v>3</v>
      </c>
      <c r="U3376">
        <v>3</v>
      </c>
    </row>
    <row r="3377" spans="1:21" ht="16.5" x14ac:dyDescent="0.3">
      <c r="A3377" t="s">
        <v>3465</v>
      </c>
      <c r="B3377" s="1">
        <v>45791</v>
      </c>
      <c r="C3377">
        <v>2025</v>
      </c>
      <c r="D3377" t="s">
        <v>599</v>
      </c>
      <c r="E3377" t="s">
        <v>802</v>
      </c>
      <c r="F3377" t="s">
        <v>45</v>
      </c>
      <c r="G3377" t="s">
        <v>49</v>
      </c>
      <c r="H3377" t="s">
        <v>32</v>
      </c>
      <c r="I3377" t="s">
        <v>42</v>
      </c>
      <c r="J3377" t="s">
        <v>89</v>
      </c>
      <c r="K3377">
        <v>1</v>
      </c>
      <c r="L3377" s="2">
        <v>68.349999999999994</v>
      </c>
      <c r="M3377" s="3">
        <v>0</v>
      </c>
      <c r="N3377" t="s">
        <v>38</v>
      </c>
      <c r="O3377" s="2">
        <v>68.349999999999994</v>
      </c>
      <c r="P3377" s="2">
        <v>45.37</v>
      </c>
      <c r="Q3377" s="2">
        <v>22.98</v>
      </c>
      <c r="R3377">
        <v>1</v>
      </c>
      <c r="S3377">
        <v>0</v>
      </c>
      <c r="T3377">
        <v>4</v>
      </c>
      <c r="U3377">
        <v>4</v>
      </c>
    </row>
    <row r="3378" spans="1:21" ht="16.5" x14ac:dyDescent="0.3">
      <c r="A3378" t="s">
        <v>3466</v>
      </c>
      <c r="B3378" s="1">
        <v>45791</v>
      </c>
      <c r="C3378">
        <v>2025</v>
      </c>
      <c r="D3378" t="s">
        <v>599</v>
      </c>
      <c r="E3378" t="s">
        <v>802</v>
      </c>
      <c r="F3378" t="s">
        <v>24</v>
      </c>
      <c r="G3378" t="s">
        <v>51</v>
      </c>
      <c r="H3378" t="s">
        <v>32</v>
      </c>
      <c r="I3378" t="s">
        <v>27</v>
      </c>
      <c r="J3378" t="s">
        <v>60</v>
      </c>
      <c r="K3378">
        <v>1</v>
      </c>
      <c r="L3378" s="2">
        <v>94.85</v>
      </c>
      <c r="M3378" s="3">
        <v>0.1</v>
      </c>
      <c r="N3378" t="s">
        <v>29</v>
      </c>
      <c r="O3378" s="2">
        <v>85.36</v>
      </c>
      <c r="P3378" s="2">
        <v>50.9</v>
      </c>
      <c r="Q3378" s="2">
        <v>34.46</v>
      </c>
      <c r="R3378">
        <v>1</v>
      </c>
      <c r="S3378">
        <v>0</v>
      </c>
      <c r="T3378">
        <v>2</v>
      </c>
      <c r="U3378">
        <v>5</v>
      </c>
    </row>
    <row r="3379" spans="1:21" ht="16.5" x14ac:dyDescent="0.3">
      <c r="A3379" t="s">
        <v>3467</v>
      </c>
      <c r="B3379" s="1">
        <v>45791</v>
      </c>
      <c r="C3379">
        <v>2025</v>
      </c>
      <c r="D3379" t="s">
        <v>599</v>
      </c>
      <c r="E3379" t="s">
        <v>802</v>
      </c>
      <c r="F3379" t="s">
        <v>45</v>
      </c>
      <c r="G3379" t="s">
        <v>49</v>
      </c>
      <c r="H3379" t="s">
        <v>26</v>
      </c>
      <c r="I3379" t="s">
        <v>67</v>
      </c>
      <c r="J3379" t="s">
        <v>68</v>
      </c>
      <c r="K3379">
        <v>1</v>
      </c>
      <c r="L3379" s="2">
        <v>74.459999999999994</v>
      </c>
      <c r="M3379" s="3">
        <v>0</v>
      </c>
      <c r="N3379" t="s">
        <v>38</v>
      </c>
      <c r="O3379" s="2">
        <v>74.459999999999994</v>
      </c>
      <c r="P3379" s="2">
        <v>50</v>
      </c>
      <c r="Q3379" s="2">
        <v>24.46</v>
      </c>
      <c r="R3379">
        <v>1</v>
      </c>
      <c r="S3379">
        <v>0</v>
      </c>
      <c r="T3379">
        <v>5</v>
      </c>
      <c r="U3379">
        <v>4</v>
      </c>
    </row>
    <row r="3380" spans="1:21" ht="16.5" x14ac:dyDescent="0.3">
      <c r="A3380" t="s">
        <v>3468</v>
      </c>
      <c r="B3380" s="1">
        <v>45791</v>
      </c>
      <c r="C3380">
        <v>2025</v>
      </c>
      <c r="D3380" t="s">
        <v>599</v>
      </c>
      <c r="E3380" t="s">
        <v>802</v>
      </c>
      <c r="F3380" t="s">
        <v>31</v>
      </c>
      <c r="G3380" t="s">
        <v>46</v>
      </c>
      <c r="H3380" t="s">
        <v>26</v>
      </c>
      <c r="I3380" t="s">
        <v>84</v>
      </c>
      <c r="J3380" t="s">
        <v>106</v>
      </c>
      <c r="K3380">
        <v>1</v>
      </c>
      <c r="L3380" s="2">
        <v>45.28</v>
      </c>
      <c r="M3380" s="3">
        <v>0.25</v>
      </c>
      <c r="N3380" t="s">
        <v>62</v>
      </c>
      <c r="O3380" s="2">
        <v>33.96</v>
      </c>
      <c r="P3380" s="2">
        <v>32.520000000000003</v>
      </c>
      <c r="Q3380" s="2">
        <v>1.44</v>
      </c>
      <c r="R3380">
        <v>1</v>
      </c>
      <c r="S3380">
        <v>1</v>
      </c>
      <c r="T3380">
        <v>7</v>
      </c>
      <c r="U3380">
        <v>2</v>
      </c>
    </row>
    <row r="3381" spans="1:21" ht="16.5" x14ac:dyDescent="0.3">
      <c r="A3381" t="s">
        <v>3469</v>
      </c>
      <c r="B3381" s="1">
        <v>45791</v>
      </c>
      <c r="C3381">
        <v>2025</v>
      </c>
      <c r="D3381" t="s">
        <v>599</v>
      </c>
      <c r="E3381" t="s">
        <v>802</v>
      </c>
      <c r="F3381" t="s">
        <v>31</v>
      </c>
      <c r="G3381" t="s">
        <v>51</v>
      </c>
      <c r="H3381" t="s">
        <v>32</v>
      </c>
      <c r="I3381" t="s">
        <v>27</v>
      </c>
      <c r="J3381" t="s">
        <v>33</v>
      </c>
      <c r="K3381">
        <v>1</v>
      </c>
      <c r="L3381" s="2">
        <v>78.510000000000005</v>
      </c>
      <c r="M3381" s="3">
        <v>0.1</v>
      </c>
      <c r="N3381" t="s">
        <v>29</v>
      </c>
      <c r="O3381" s="2">
        <v>70.66</v>
      </c>
      <c r="P3381" s="2">
        <v>43.76</v>
      </c>
      <c r="Q3381" s="2">
        <v>26.9</v>
      </c>
      <c r="R3381">
        <v>1</v>
      </c>
      <c r="S3381">
        <v>0</v>
      </c>
      <c r="T3381">
        <v>2</v>
      </c>
      <c r="U3381">
        <v>3</v>
      </c>
    </row>
    <row r="3382" spans="1:21" ht="16.5" x14ac:dyDescent="0.3">
      <c r="A3382" t="s">
        <v>3470</v>
      </c>
      <c r="B3382" s="1">
        <v>45792</v>
      </c>
      <c r="C3382">
        <v>2025</v>
      </c>
      <c r="D3382" t="s">
        <v>599</v>
      </c>
      <c r="E3382" t="s">
        <v>802</v>
      </c>
      <c r="F3382" t="s">
        <v>31</v>
      </c>
      <c r="G3382" t="s">
        <v>65</v>
      </c>
      <c r="H3382" t="s">
        <v>26</v>
      </c>
      <c r="I3382" t="s">
        <v>27</v>
      </c>
      <c r="J3382" t="s">
        <v>110</v>
      </c>
      <c r="K3382">
        <v>1</v>
      </c>
      <c r="L3382" s="2">
        <v>19.41</v>
      </c>
      <c r="M3382" s="3">
        <v>0</v>
      </c>
      <c r="N3382" t="s">
        <v>38</v>
      </c>
      <c r="O3382" s="2">
        <v>19.41</v>
      </c>
      <c r="P3382" s="2">
        <v>10.14</v>
      </c>
      <c r="Q3382" s="2">
        <v>9.27</v>
      </c>
      <c r="R3382">
        <v>1</v>
      </c>
      <c r="S3382">
        <v>0</v>
      </c>
      <c r="T3382">
        <v>6</v>
      </c>
      <c r="U3382">
        <v>3</v>
      </c>
    </row>
    <row r="3383" spans="1:21" ht="16.5" x14ac:dyDescent="0.3">
      <c r="A3383" t="s">
        <v>3471</v>
      </c>
      <c r="B3383" s="1">
        <v>45792</v>
      </c>
      <c r="C3383">
        <v>2025</v>
      </c>
      <c r="D3383" t="s">
        <v>599</v>
      </c>
      <c r="E3383" t="s">
        <v>802</v>
      </c>
      <c r="F3383" t="s">
        <v>31</v>
      </c>
      <c r="G3383" t="s">
        <v>65</v>
      </c>
      <c r="H3383" t="s">
        <v>32</v>
      </c>
      <c r="I3383" t="s">
        <v>70</v>
      </c>
      <c r="J3383" t="s">
        <v>82</v>
      </c>
      <c r="K3383">
        <v>1</v>
      </c>
      <c r="L3383" s="2">
        <v>508.8</v>
      </c>
      <c r="M3383" s="3">
        <v>0.1</v>
      </c>
      <c r="N3383" t="s">
        <v>29</v>
      </c>
      <c r="O3383" s="2">
        <v>457.92</v>
      </c>
      <c r="P3383" s="2">
        <v>404.93</v>
      </c>
      <c r="Q3383" s="2">
        <v>52.99</v>
      </c>
      <c r="R3383">
        <v>1</v>
      </c>
      <c r="S3383">
        <v>0</v>
      </c>
      <c r="T3383">
        <v>7</v>
      </c>
      <c r="U3383">
        <v>3</v>
      </c>
    </row>
    <row r="3384" spans="1:21" ht="16.5" x14ac:dyDescent="0.3">
      <c r="A3384" t="s">
        <v>3472</v>
      </c>
      <c r="B3384" s="1">
        <v>45792</v>
      </c>
      <c r="C3384">
        <v>2025</v>
      </c>
      <c r="D3384" t="s">
        <v>599</v>
      </c>
      <c r="E3384" t="s">
        <v>802</v>
      </c>
      <c r="F3384" t="s">
        <v>24</v>
      </c>
      <c r="G3384" t="s">
        <v>49</v>
      </c>
      <c r="H3384" t="s">
        <v>32</v>
      </c>
      <c r="I3384" t="s">
        <v>42</v>
      </c>
      <c r="J3384" t="s">
        <v>54</v>
      </c>
      <c r="K3384">
        <v>4</v>
      </c>
      <c r="L3384" s="2">
        <v>148.05000000000001</v>
      </c>
      <c r="M3384" s="3">
        <v>0</v>
      </c>
      <c r="N3384" t="s">
        <v>38</v>
      </c>
      <c r="O3384" s="2">
        <v>592.20000000000005</v>
      </c>
      <c r="P3384" s="2">
        <v>366.32</v>
      </c>
      <c r="Q3384" s="2">
        <v>225.88</v>
      </c>
      <c r="R3384">
        <v>1</v>
      </c>
      <c r="S3384">
        <v>0</v>
      </c>
      <c r="T3384">
        <v>3</v>
      </c>
      <c r="U3384">
        <v>4</v>
      </c>
    </row>
    <row r="3385" spans="1:21" ht="16.5" x14ac:dyDescent="0.3">
      <c r="A3385" t="s">
        <v>3473</v>
      </c>
      <c r="B3385" s="1">
        <v>45792</v>
      </c>
      <c r="C3385">
        <v>2025</v>
      </c>
      <c r="D3385" t="s">
        <v>599</v>
      </c>
      <c r="E3385" t="s">
        <v>802</v>
      </c>
      <c r="F3385" t="s">
        <v>24</v>
      </c>
      <c r="G3385" t="s">
        <v>65</v>
      </c>
      <c r="H3385" t="s">
        <v>32</v>
      </c>
      <c r="I3385" t="s">
        <v>27</v>
      </c>
      <c r="J3385" t="s">
        <v>33</v>
      </c>
      <c r="K3385">
        <v>3</v>
      </c>
      <c r="L3385" s="2">
        <v>78.510000000000005</v>
      </c>
      <c r="M3385" s="3">
        <v>0.1</v>
      </c>
      <c r="N3385" t="s">
        <v>29</v>
      </c>
      <c r="O3385" s="2">
        <v>211.98</v>
      </c>
      <c r="P3385" s="2">
        <v>127.08</v>
      </c>
      <c r="Q3385" s="2">
        <v>84.9</v>
      </c>
      <c r="R3385">
        <v>1</v>
      </c>
      <c r="S3385">
        <v>0</v>
      </c>
      <c r="T3385">
        <v>5</v>
      </c>
      <c r="U3385">
        <v>5</v>
      </c>
    </row>
    <row r="3386" spans="1:21" ht="16.5" x14ac:dyDescent="0.3">
      <c r="A3386" t="s">
        <v>3474</v>
      </c>
      <c r="B3386" s="1">
        <v>45792</v>
      </c>
      <c r="C3386">
        <v>2025</v>
      </c>
      <c r="D3386" t="s">
        <v>599</v>
      </c>
      <c r="E3386" t="s">
        <v>802</v>
      </c>
      <c r="F3386" t="s">
        <v>31</v>
      </c>
      <c r="G3386" t="s">
        <v>51</v>
      </c>
      <c r="H3386" t="s">
        <v>32</v>
      </c>
      <c r="I3386" t="s">
        <v>27</v>
      </c>
      <c r="J3386" t="s">
        <v>60</v>
      </c>
      <c r="K3386">
        <v>1</v>
      </c>
      <c r="L3386" s="2">
        <v>94.85</v>
      </c>
      <c r="M3386" s="3">
        <v>0.05</v>
      </c>
      <c r="N3386" t="s">
        <v>29</v>
      </c>
      <c r="O3386" s="2">
        <v>90.11</v>
      </c>
      <c r="P3386" s="2">
        <v>51.49</v>
      </c>
      <c r="Q3386" s="2">
        <v>38.619999999999997</v>
      </c>
      <c r="R3386">
        <v>1</v>
      </c>
      <c r="S3386">
        <v>0</v>
      </c>
      <c r="T3386">
        <v>2</v>
      </c>
      <c r="U3386">
        <v>4</v>
      </c>
    </row>
    <row r="3387" spans="1:21" ht="16.5" x14ac:dyDescent="0.3">
      <c r="A3387" t="s">
        <v>3475</v>
      </c>
      <c r="B3387" s="1">
        <v>45793</v>
      </c>
      <c r="C3387">
        <v>2025</v>
      </c>
      <c r="D3387" t="s">
        <v>599</v>
      </c>
      <c r="E3387" t="s">
        <v>802</v>
      </c>
      <c r="F3387" t="s">
        <v>24</v>
      </c>
      <c r="G3387" t="s">
        <v>51</v>
      </c>
      <c r="H3387" t="s">
        <v>26</v>
      </c>
      <c r="I3387" t="s">
        <v>42</v>
      </c>
      <c r="J3387" t="s">
        <v>54</v>
      </c>
      <c r="K3387">
        <v>1</v>
      </c>
      <c r="L3387" s="2">
        <v>148.05000000000001</v>
      </c>
      <c r="M3387" s="3">
        <v>0.25</v>
      </c>
      <c r="N3387" t="s">
        <v>62</v>
      </c>
      <c r="O3387" s="2">
        <v>111.04</v>
      </c>
      <c r="P3387" s="2">
        <v>100.14</v>
      </c>
      <c r="Q3387" s="2">
        <v>10.9</v>
      </c>
      <c r="R3387">
        <v>1</v>
      </c>
      <c r="S3387">
        <v>0</v>
      </c>
      <c r="T3387">
        <v>4</v>
      </c>
      <c r="U3387">
        <v>4</v>
      </c>
    </row>
    <row r="3388" spans="1:21" ht="16.5" x14ac:dyDescent="0.3">
      <c r="A3388" t="s">
        <v>3476</v>
      </c>
      <c r="B3388" s="1">
        <v>45793</v>
      </c>
      <c r="C3388">
        <v>2025</v>
      </c>
      <c r="D3388" t="s">
        <v>599</v>
      </c>
      <c r="E3388" t="s">
        <v>802</v>
      </c>
      <c r="F3388" t="s">
        <v>45</v>
      </c>
      <c r="G3388" t="s">
        <v>25</v>
      </c>
      <c r="H3388" t="s">
        <v>32</v>
      </c>
      <c r="I3388" t="s">
        <v>36</v>
      </c>
      <c r="J3388" t="s">
        <v>115</v>
      </c>
      <c r="K3388">
        <v>1</v>
      </c>
      <c r="L3388" s="2">
        <v>33.479999999999997</v>
      </c>
      <c r="M3388" s="3">
        <v>0.1</v>
      </c>
      <c r="N3388" t="s">
        <v>29</v>
      </c>
      <c r="O3388" s="2">
        <v>30.13</v>
      </c>
      <c r="P3388" s="2">
        <v>16.3</v>
      </c>
      <c r="Q3388" s="2">
        <v>13.83</v>
      </c>
      <c r="R3388">
        <v>1</v>
      </c>
      <c r="S3388">
        <v>0</v>
      </c>
      <c r="T3388">
        <v>4</v>
      </c>
      <c r="U3388">
        <v>5</v>
      </c>
    </row>
    <row r="3389" spans="1:21" ht="16.5" x14ac:dyDescent="0.3">
      <c r="A3389" t="s">
        <v>3477</v>
      </c>
      <c r="B3389" s="1">
        <v>45793</v>
      </c>
      <c r="C3389">
        <v>2025</v>
      </c>
      <c r="D3389" t="s">
        <v>599</v>
      </c>
      <c r="E3389" t="s">
        <v>802</v>
      </c>
      <c r="F3389" t="s">
        <v>45</v>
      </c>
      <c r="G3389" t="s">
        <v>49</v>
      </c>
      <c r="H3389" t="s">
        <v>32</v>
      </c>
      <c r="I3389" t="s">
        <v>42</v>
      </c>
      <c r="J3389" t="s">
        <v>76</v>
      </c>
      <c r="K3389">
        <v>1</v>
      </c>
      <c r="L3389" s="2">
        <v>90.75</v>
      </c>
      <c r="M3389" s="3">
        <v>0.05</v>
      </c>
      <c r="N3389" t="s">
        <v>29</v>
      </c>
      <c r="O3389" s="2">
        <v>86.21</v>
      </c>
      <c r="P3389" s="2">
        <v>60.35</v>
      </c>
      <c r="Q3389" s="2">
        <v>25.86</v>
      </c>
      <c r="R3389">
        <v>1</v>
      </c>
      <c r="S3389">
        <v>0</v>
      </c>
      <c r="T3389">
        <v>4</v>
      </c>
      <c r="U3389">
        <v>4</v>
      </c>
    </row>
    <row r="3390" spans="1:21" ht="16.5" x14ac:dyDescent="0.3">
      <c r="A3390" t="s">
        <v>3478</v>
      </c>
      <c r="B3390" s="1">
        <v>45793</v>
      </c>
      <c r="C3390">
        <v>2025</v>
      </c>
      <c r="D3390" t="s">
        <v>599</v>
      </c>
      <c r="E3390" t="s">
        <v>802</v>
      </c>
      <c r="F3390" t="s">
        <v>45</v>
      </c>
      <c r="G3390" t="s">
        <v>25</v>
      </c>
      <c r="H3390" t="s">
        <v>32</v>
      </c>
      <c r="I3390" t="s">
        <v>36</v>
      </c>
      <c r="J3390" t="s">
        <v>115</v>
      </c>
      <c r="K3390">
        <v>2</v>
      </c>
      <c r="L3390" s="2">
        <v>33.479999999999997</v>
      </c>
      <c r="M3390" s="3">
        <v>0.05</v>
      </c>
      <c r="N3390" t="s">
        <v>29</v>
      </c>
      <c r="O3390" s="2">
        <v>63.61</v>
      </c>
      <c r="P3390" s="2">
        <v>31.94</v>
      </c>
      <c r="Q3390" s="2">
        <v>31.67</v>
      </c>
      <c r="R3390">
        <v>1</v>
      </c>
      <c r="S3390">
        <v>0</v>
      </c>
      <c r="T3390">
        <v>4</v>
      </c>
      <c r="U3390">
        <v>4</v>
      </c>
    </row>
    <row r="3391" spans="1:21" ht="16.5" x14ac:dyDescent="0.3">
      <c r="A3391" t="s">
        <v>3479</v>
      </c>
      <c r="B3391" s="1">
        <v>45793</v>
      </c>
      <c r="C3391">
        <v>2025</v>
      </c>
      <c r="D3391" t="s">
        <v>599</v>
      </c>
      <c r="E3391" t="s">
        <v>802</v>
      </c>
      <c r="F3391" t="s">
        <v>31</v>
      </c>
      <c r="G3391" t="s">
        <v>49</v>
      </c>
      <c r="H3391" t="s">
        <v>32</v>
      </c>
      <c r="I3391" t="s">
        <v>42</v>
      </c>
      <c r="J3391" t="s">
        <v>58</v>
      </c>
      <c r="K3391">
        <v>3</v>
      </c>
      <c r="L3391" s="2">
        <v>233.81</v>
      </c>
      <c r="M3391" s="3">
        <v>0</v>
      </c>
      <c r="N3391" t="s">
        <v>38</v>
      </c>
      <c r="O3391" s="2">
        <v>701.43</v>
      </c>
      <c r="P3391" s="2">
        <v>456.64</v>
      </c>
      <c r="Q3391" s="2">
        <v>244.79</v>
      </c>
      <c r="R3391">
        <v>1</v>
      </c>
      <c r="S3391">
        <v>0</v>
      </c>
      <c r="T3391">
        <v>4</v>
      </c>
      <c r="U3391">
        <v>5</v>
      </c>
    </row>
    <row r="3392" spans="1:21" ht="16.5" x14ac:dyDescent="0.3">
      <c r="A3392" t="s">
        <v>3480</v>
      </c>
      <c r="B3392" s="1">
        <v>45793</v>
      </c>
      <c r="C3392">
        <v>2025</v>
      </c>
      <c r="D3392" t="s">
        <v>599</v>
      </c>
      <c r="E3392" t="s">
        <v>802</v>
      </c>
      <c r="F3392" t="s">
        <v>24</v>
      </c>
      <c r="G3392" t="s">
        <v>49</v>
      </c>
      <c r="H3392" t="s">
        <v>32</v>
      </c>
      <c r="I3392" t="s">
        <v>42</v>
      </c>
      <c r="J3392" t="s">
        <v>98</v>
      </c>
      <c r="K3392">
        <v>1</v>
      </c>
      <c r="L3392" s="2">
        <v>117.63</v>
      </c>
      <c r="M3392" s="3">
        <v>0.1</v>
      </c>
      <c r="N3392" t="s">
        <v>29</v>
      </c>
      <c r="O3392" s="2">
        <v>105.87</v>
      </c>
      <c r="P3392" s="2">
        <v>78.67</v>
      </c>
      <c r="Q3392" s="2">
        <v>27.2</v>
      </c>
      <c r="R3392">
        <v>1</v>
      </c>
      <c r="S3392">
        <v>0</v>
      </c>
      <c r="T3392">
        <v>3</v>
      </c>
      <c r="U3392">
        <v>5</v>
      </c>
    </row>
    <row r="3393" spans="1:21" ht="16.5" x14ac:dyDescent="0.3">
      <c r="A3393" t="s">
        <v>3481</v>
      </c>
      <c r="B3393" s="1">
        <v>45794</v>
      </c>
      <c r="C3393">
        <v>2025</v>
      </c>
      <c r="D3393" t="s">
        <v>599</v>
      </c>
      <c r="E3393" t="s">
        <v>802</v>
      </c>
      <c r="F3393" t="s">
        <v>31</v>
      </c>
      <c r="G3393" t="s">
        <v>51</v>
      </c>
      <c r="H3393" t="s">
        <v>26</v>
      </c>
      <c r="I3393" t="s">
        <v>36</v>
      </c>
      <c r="J3393" t="s">
        <v>115</v>
      </c>
      <c r="K3393">
        <v>1</v>
      </c>
      <c r="L3393" s="2">
        <v>33.479999999999997</v>
      </c>
      <c r="M3393" s="3">
        <v>0.05</v>
      </c>
      <c r="N3393" t="s">
        <v>29</v>
      </c>
      <c r="O3393" s="2">
        <v>31.81</v>
      </c>
      <c r="P3393" s="2">
        <v>15.81</v>
      </c>
      <c r="Q3393" s="2">
        <v>16</v>
      </c>
      <c r="R3393">
        <v>1</v>
      </c>
      <c r="S3393">
        <v>0</v>
      </c>
      <c r="T3393">
        <v>2</v>
      </c>
      <c r="U3393">
        <v>4</v>
      </c>
    </row>
    <row r="3394" spans="1:21" ht="16.5" x14ac:dyDescent="0.3">
      <c r="A3394" t="s">
        <v>3482</v>
      </c>
      <c r="B3394" s="1">
        <v>45794</v>
      </c>
      <c r="C3394">
        <v>2025</v>
      </c>
      <c r="D3394" t="s">
        <v>599</v>
      </c>
      <c r="E3394" t="s">
        <v>802</v>
      </c>
      <c r="F3394" t="s">
        <v>31</v>
      </c>
      <c r="G3394" t="s">
        <v>65</v>
      </c>
      <c r="H3394" t="s">
        <v>32</v>
      </c>
      <c r="I3394" t="s">
        <v>70</v>
      </c>
      <c r="J3394" t="s">
        <v>87</v>
      </c>
      <c r="K3394">
        <v>2</v>
      </c>
      <c r="L3394" s="2">
        <v>490.3</v>
      </c>
      <c r="M3394" s="3">
        <v>0</v>
      </c>
      <c r="N3394" t="s">
        <v>38</v>
      </c>
      <c r="O3394" s="2">
        <v>980.6</v>
      </c>
      <c r="P3394" s="2">
        <v>773.74</v>
      </c>
      <c r="Q3394" s="2">
        <v>206.86</v>
      </c>
      <c r="R3394">
        <v>1</v>
      </c>
      <c r="S3394">
        <v>0</v>
      </c>
      <c r="T3394">
        <v>5</v>
      </c>
      <c r="U3394">
        <v>3</v>
      </c>
    </row>
    <row r="3395" spans="1:21" ht="16.5" x14ac:dyDescent="0.3">
      <c r="A3395" t="s">
        <v>3483</v>
      </c>
      <c r="B3395" s="1">
        <v>45794</v>
      </c>
      <c r="C3395">
        <v>2025</v>
      </c>
      <c r="D3395" t="s">
        <v>599</v>
      </c>
      <c r="E3395" t="s">
        <v>802</v>
      </c>
      <c r="F3395" t="s">
        <v>45</v>
      </c>
      <c r="G3395" t="s">
        <v>25</v>
      </c>
      <c r="H3395" t="s">
        <v>32</v>
      </c>
      <c r="I3395" t="s">
        <v>67</v>
      </c>
      <c r="J3395" t="s">
        <v>174</v>
      </c>
      <c r="K3395">
        <v>1</v>
      </c>
      <c r="L3395" s="2">
        <v>137.05000000000001</v>
      </c>
      <c r="M3395" s="3">
        <v>0</v>
      </c>
      <c r="N3395" t="s">
        <v>38</v>
      </c>
      <c r="O3395" s="2">
        <v>137.05000000000001</v>
      </c>
      <c r="P3395" s="2">
        <v>94.92</v>
      </c>
      <c r="Q3395" s="2">
        <v>42.13</v>
      </c>
      <c r="R3395">
        <v>1</v>
      </c>
      <c r="S3395">
        <v>0</v>
      </c>
      <c r="T3395">
        <v>3</v>
      </c>
      <c r="U3395">
        <v>4</v>
      </c>
    </row>
    <row r="3396" spans="1:21" ht="16.5" x14ac:dyDescent="0.3">
      <c r="A3396" t="s">
        <v>3484</v>
      </c>
      <c r="B3396" s="1">
        <v>45794</v>
      </c>
      <c r="C3396">
        <v>2025</v>
      </c>
      <c r="D3396" t="s">
        <v>599</v>
      </c>
      <c r="E3396" t="s">
        <v>802</v>
      </c>
      <c r="F3396" t="s">
        <v>24</v>
      </c>
      <c r="G3396" t="s">
        <v>51</v>
      </c>
      <c r="H3396" t="s">
        <v>26</v>
      </c>
      <c r="I3396" t="s">
        <v>70</v>
      </c>
      <c r="J3396" t="s">
        <v>71</v>
      </c>
      <c r="K3396">
        <v>1</v>
      </c>
      <c r="L3396" s="2">
        <v>588.41</v>
      </c>
      <c r="M3396" s="3">
        <v>0</v>
      </c>
      <c r="N3396" t="s">
        <v>38</v>
      </c>
      <c r="O3396" s="2">
        <v>588.41</v>
      </c>
      <c r="P3396" s="2">
        <v>478.39</v>
      </c>
      <c r="Q3396" s="2">
        <v>110.02</v>
      </c>
      <c r="R3396">
        <v>1</v>
      </c>
      <c r="S3396">
        <v>0</v>
      </c>
      <c r="T3396">
        <v>2</v>
      </c>
      <c r="U3396">
        <v>4</v>
      </c>
    </row>
    <row r="3397" spans="1:21" ht="16.5" x14ac:dyDescent="0.3">
      <c r="A3397" t="s">
        <v>3485</v>
      </c>
      <c r="B3397" s="1">
        <v>45794</v>
      </c>
      <c r="C3397">
        <v>2025</v>
      </c>
      <c r="D3397" t="s">
        <v>599</v>
      </c>
      <c r="E3397" t="s">
        <v>802</v>
      </c>
      <c r="F3397" t="s">
        <v>45</v>
      </c>
      <c r="G3397" t="s">
        <v>46</v>
      </c>
      <c r="H3397" t="s">
        <v>32</v>
      </c>
      <c r="I3397" t="s">
        <v>84</v>
      </c>
      <c r="J3397" t="s">
        <v>106</v>
      </c>
      <c r="K3397">
        <v>1</v>
      </c>
      <c r="L3397" s="2">
        <v>45.28</v>
      </c>
      <c r="M3397" s="3">
        <v>0</v>
      </c>
      <c r="N3397" t="s">
        <v>38</v>
      </c>
      <c r="O3397" s="2">
        <v>45.28</v>
      </c>
      <c r="P3397" s="2">
        <v>30.38</v>
      </c>
      <c r="Q3397" s="2">
        <v>14.9</v>
      </c>
      <c r="R3397">
        <v>1</v>
      </c>
      <c r="S3397">
        <v>0</v>
      </c>
      <c r="T3397">
        <v>5</v>
      </c>
      <c r="U3397">
        <v>4</v>
      </c>
    </row>
    <row r="3398" spans="1:21" ht="16.5" x14ac:dyDescent="0.3">
      <c r="A3398" t="s">
        <v>3486</v>
      </c>
      <c r="B3398" s="1">
        <v>45794</v>
      </c>
      <c r="C3398">
        <v>2025</v>
      </c>
      <c r="D3398" t="s">
        <v>599</v>
      </c>
      <c r="E3398" t="s">
        <v>802</v>
      </c>
      <c r="F3398" t="s">
        <v>31</v>
      </c>
      <c r="G3398" t="s">
        <v>65</v>
      </c>
      <c r="H3398" t="s">
        <v>26</v>
      </c>
      <c r="I3398" t="s">
        <v>42</v>
      </c>
      <c r="J3398" t="s">
        <v>98</v>
      </c>
      <c r="K3398">
        <v>3</v>
      </c>
      <c r="L3398" s="2">
        <v>117.63</v>
      </c>
      <c r="M3398" s="3">
        <v>0.1</v>
      </c>
      <c r="N3398" t="s">
        <v>29</v>
      </c>
      <c r="O3398" s="2">
        <v>317.60000000000002</v>
      </c>
      <c r="P3398" s="2">
        <v>222.68</v>
      </c>
      <c r="Q3398" s="2">
        <v>94.92</v>
      </c>
      <c r="R3398">
        <v>1</v>
      </c>
      <c r="S3398">
        <v>0</v>
      </c>
      <c r="T3398">
        <v>7</v>
      </c>
      <c r="U3398">
        <v>3</v>
      </c>
    </row>
    <row r="3399" spans="1:21" ht="16.5" x14ac:dyDescent="0.3">
      <c r="A3399" t="s">
        <v>3487</v>
      </c>
      <c r="B3399" s="1">
        <v>45794</v>
      </c>
      <c r="C3399">
        <v>2025</v>
      </c>
      <c r="D3399" t="s">
        <v>599</v>
      </c>
      <c r="E3399" t="s">
        <v>802</v>
      </c>
      <c r="F3399" t="s">
        <v>31</v>
      </c>
      <c r="G3399" t="s">
        <v>51</v>
      </c>
      <c r="H3399" t="s">
        <v>32</v>
      </c>
      <c r="I3399" t="s">
        <v>27</v>
      </c>
      <c r="J3399" t="s">
        <v>110</v>
      </c>
      <c r="K3399">
        <v>1</v>
      </c>
      <c r="L3399" s="2">
        <v>19.41</v>
      </c>
      <c r="M3399" s="3">
        <v>0.3</v>
      </c>
      <c r="N3399" t="s">
        <v>62</v>
      </c>
      <c r="O3399" s="2">
        <v>13.59</v>
      </c>
      <c r="P3399" s="2">
        <v>10.18</v>
      </c>
      <c r="Q3399" s="2">
        <v>3.41</v>
      </c>
      <c r="R3399">
        <v>1</v>
      </c>
      <c r="S3399">
        <v>0</v>
      </c>
      <c r="T3399">
        <v>2</v>
      </c>
      <c r="U3399">
        <v>4</v>
      </c>
    </row>
    <row r="3400" spans="1:21" ht="16.5" x14ac:dyDescent="0.3">
      <c r="A3400" t="s">
        <v>3488</v>
      </c>
      <c r="B3400" s="1">
        <v>45794</v>
      </c>
      <c r="C3400">
        <v>2025</v>
      </c>
      <c r="D3400" t="s">
        <v>599</v>
      </c>
      <c r="E3400" t="s">
        <v>802</v>
      </c>
      <c r="F3400" t="s">
        <v>45</v>
      </c>
      <c r="G3400" t="s">
        <v>65</v>
      </c>
      <c r="H3400" t="s">
        <v>32</v>
      </c>
      <c r="I3400" t="s">
        <v>36</v>
      </c>
      <c r="J3400" t="s">
        <v>37</v>
      </c>
      <c r="K3400">
        <v>1</v>
      </c>
      <c r="L3400" s="2">
        <v>33.18</v>
      </c>
      <c r="M3400" s="3">
        <v>0.15</v>
      </c>
      <c r="N3400" t="s">
        <v>34</v>
      </c>
      <c r="O3400" s="2">
        <v>28.2</v>
      </c>
      <c r="P3400" s="2">
        <v>15.8</v>
      </c>
      <c r="Q3400" s="2">
        <v>12.4</v>
      </c>
      <c r="R3400">
        <v>1</v>
      </c>
      <c r="S3400">
        <v>0</v>
      </c>
      <c r="T3400">
        <v>6</v>
      </c>
      <c r="U3400">
        <v>3</v>
      </c>
    </row>
    <row r="3401" spans="1:21" ht="16.5" x14ac:dyDescent="0.3">
      <c r="A3401" t="s">
        <v>3489</v>
      </c>
      <c r="B3401" s="1">
        <v>45794</v>
      </c>
      <c r="C3401">
        <v>2025</v>
      </c>
      <c r="D3401" t="s">
        <v>599</v>
      </c>
      <c r="E3401" t="s">
        <v>802</v>
      </c>
      <c r="F3401" t="s">
        <v>31</v>
      </c>
      <c r="G3401" t="s">
        <v>65</v>
      </c>
      <c r="H3401" t="s">
        <v>26</v>
      </c>
      <c r="I3401" t="s">
        <v>70</v>
      </c>
      <c r="J3401" t="s">
        <v>129</v>
      </c>
      <c r="K3401">
        <v>1</v>
      </c>
      <c r="L3401" s="2">
        <v>177.65</v>
      </c>
      <c r="M3401" s="3">
        <v>0</v>
      </c>
      <c r="N3401" t="s">
        <v>38</v>
      </c>
      <c r="O3401" s="2">
        <v>177.65</v>
      </c>
      <c r="P3401" s="2">
        <v>136.35</v>
      </c>
      <c r="Q3401" s="2">
        <v>41.3</v>
      </c>
      <c r="R3401">
        <v>1</v>
      </c>
      <c r="S3401">
        <v>0</v>
      </c>
      <c r="T3401">
        <v>5</v>
      </c>
      <c r="U3401">
        <v>4</v>
      </c>
    </row>
    <row r="3402" spans="1:21" ht="16.5" x14ac:dyDescent="0.3">
      <c r="A3402" t="s">
        <v>3490</v>
      </c>
      <c r="B3402" s="1">
        <v>45794</v>
      </c>
      <c r="C3402">
        <v>2025</v>
      </c>
      <c r="D3402" t="s">
        <v>599</v>
      </c>
      <c r="E3402" t="s">
        <v>802</v>
      </c>
      <c r="F3402" t="s">
        <v>31</v>
      </c>
      <c r="G3402" t="s">
        <v>51</v>
      </c>
      <c r="H3402" t="s">
        <v>26</v>
      </c>
      <c r="I3402" t="s">
        <v>84</v>
      </c>
      <c r="J3402" t="s">
        <v>106</v>
      </c>
      <c r="K3402">
        <v>1</v>
      </c>
      <c r="L3402" s="2">
        <v>45.28</v>
      </c>
      <c r="M3402" s="3">
        <v>0.15</v>
      </c>
      <c r="N3402" t="s">
        <v>34</v>
      </c>
      <c r="O3402" s="2">
        <v>38.49</v>
      </c>
      <c r="P3402" s="2">
        <v>32.369999999999997</v>
      </c>
      <c r="Q3402" s="2">
        <v>6.12</v>
      </c>
      <c r="R3402">
        <v>1</v>
      </c>
      <c r="S3402">
        <v>0</v>
      </c>
      <c r="T3402">
        <v>2</v>
      </c>
      <c r="U3402">
        <v>4</v>
      </c>
    </row>
    <row r="3403" spans="1:21" ht="16.5" x14ac:dyDescent="0.3">
      <c r="A3403" t="s">
        <v>3491</v>
      </c>
      <c r="B3403" s="1">
        <v>45794</v>
      </c>
      <c r="C3403">
        <v>2025</v>
      </c>
      <c r="D3403" t="s">
        <v>599</v>
      </c>
      <c r="E3403" t="s">
        <v>802</v>
      </c>
      <c r="F3403" t="s">
        <v>24</v>
      </c>
      <c r="G3403" t="s">
        <v>51</v>
      </c>
      <c r="H3403" t="s">
        <v>26</v>
      </c>
      <c r="I3403" t="s">
        <v>67</v>
      </c>
      <c r="J3403" t="s">
        <v>93</v>
      </c>
      <c r="K3403">
        <v>1</v>
      </c>
      <c r="L3403" s="2">
        <v>198.42</v>
      </c>
      <c r="M3403" s="3">
        <v>0.05</v>
      </c>
      <c r="N3403" t="s">
        <v>29</v>
      </c>
      <c r="O3403" s="2">
        <v>188.5</v>
      </c>
      <c r="P3403" s="2">
        <v>125.78</v>
      </c>
      <c r="Q3403" s="2">
        <v>62.72</v>
      </c>
      <c r="R3403">
        <v>1</v>
      </c>
      <c r="S3403">
        <v>0</v>
      </c>
      <c r="T3403">
        <v>2</v>
      </c>
      <c r="U3403">
        <v>5</v>
      </c>
    </row>
    <row r="3404" spans="1:21" ht="16.5" x14ac:dyDescent="0.3">
      <c r="A3404" t="s">
        <v>3492</v>
      </c>
      <c r="B3404" s="1">
        <v>45794</v>
      </c>
      <c r="C3404">
        <v>2025</v>
      </c>
      <c r="D3404" t="s">
        <v>599</v>
      </c>
      <c r="E3404" t="s">
        <v>802</v>
      </c>
      <c r="F3404" t="s">
        <v>31</v>
      </c>
      <c r="G3404" t="s">
        <v>25</v>
      </c>
      <c r="H3404" t="s">
        <v>26</v>
      </c>
      <c r="I3404" t="s">
        <v>27</v>
      </c>
      <c r="J3404" t="s">
        <v>60</v>
      </c>
      <c r="K3404">
        <v>2</v>
      </c>
      <c r="L3404" s="2">
        <v>94.85</v>
      </c>
      <c r="M3404" s="3">
        <v>0</v>
      </c>
      <c r="N3404" t="s">
        <v>38</v>
      </c>
      <c r="O3404" s="2">
        <v>189.7</v>
      </c>
      <c r="P3404" s="2">
        <v>100.65</v>
      </c>
      <c r="Q3404" s="2">
        <v>89.05</v>
      </c>
      <c r="R3404">
        <v>1</v>
      </c>
      <c r="S3404">
        <v>0</v>
      </c>
      <c r="T3404">
        <v>4</v>
      </c>
      <c r="U3404">
        <v>5</v>
      </c>
    </row>
    <row r="3405" spans="1:21" ht="16.5" x14ac:dyDescent="0.3">
      <c r="A3405" t="s">
        <v>3493</v>
      </c>
      <c r="B3405" s="1">
        <v>45794</v>
      </c>
      <c r="C3405">
        <v>2025</v>
      </c>
      <c r="D3405" t="s">
        <v>599</v>
      </c>
      <c r="E3405" t="s">
        <v>802</v>
      </c>
      <c r="F3405" t="s">
        <v>31</v>
      </c>
      <c r="G3405" t="s">
        <v>51</v>
      </c>
      <c r="H3405" t="s">
        <v>26</v>
      </c>
      <c r="I3405" t="s">
        <v>67</v>
      </c>
      <c r="J3405" t="s">
        <v>103</v>
      </c>
      <c r="K3405">
        <v>1</v>
      </c>
      <c r="L3405" s="2">
        <v>83.06</v>
      </c>
      <c r="M3405" s="3">
        <v>0.2</v>
      </c>
      <c r="N3405" t="s">
        <v>34</v>
      </c>
      <c r="O3405" s="2">
        <v>66.45</v>
      </c>
      <c r="P3405" s="2">
        <v>56.81</v>
      </c>
      <c r="Q3405" s="2">
        <v>9.64</v>
      </c>
      <c r="R3405">
        <v>1</v>
      </c>
      <c r="S3405">
        <v>0</v>
      </c>
      <c r="T3405">
        <v>4</v>
      </c>
      <c r="U3405">
        <v>5</v>
      </c>
    </row>
    <row r="3406" spans="1:21" ht="16.5" x14ac:dyDescent="0.3">
      <c r="A3406" t="s">
        <v>3494</v>
      </c>
      <c r="B3406" s="1">
        <v>45795</v>
      </c>
      <c r="C3406">
        <v>2025</v>
      </c>
      <c r="D3406" t="s">
        <v>599</v>
      </c>
      <c r="E3406" t="s">
        <v>802</v>
      </c>
      <c r="F3406" t="s">
        <v>24</v>
      </c>
      <c r="G3406" t="s">
        <v>25</v>
      </c>
      <c r="H3406" t="s">
        <v>32</v>
      </c>
      <c r="I3406" t="s">
        <v>27</v>
      </c>
      <c r="J3406" t="s">
        <v>60</v>
      </c>
      <c r="K3406">
        <v>4</v>
      </c>
      <c r="L3406" s="2">
        <v>94.85</v>
      </c>
      <c r="M3406" s="3">
        <v>0.2</v>
      </c>
      <c r="N3406" t="s">
        <v>34</v>
      </c>
      <c r="O3406" s="2">
        <v>303.52</v>
      </c>
      <c r="P3406" s="2">
        <v>209.31</v>
      </c>
      <c r="Q3406" s="2">
        <v>94.21</v>
      </c>
      <c r="R3406">
        <v>1</v>
      </c>
      <c r="S3406">
        <v>0</v>
      </c>
      <c r="T3406">
        <v>3</v>
      </c>
      <c r="U3406">
        <v>4</v>
      </c>
    </row>
    <row r="3407" spans="1:21" ht="16.5" x14ac:dyDescent="0.3">
      <c r="A3407" t="s">
        <v>3495</v>
      </c>
      <c r="B3407" s="1">
        <v>45795</v>
      </c>
      <c r="C3407">
        <v>2025</v>
      </c>
      <c r="D3407" t="s">
        <v>599</v>
      </c>
      <c r="E3407" t="s">
        <v>802</v>
      </c>
      <c r="F3407" t="s">
        <v>24</v>
      </c>
      <c r="G3407" t="s">
        <v>51</v>
      </c>
      <c r="H3407" t="s">
        <v>32</v>
      </c>
      <c r="I3407" t="s">
        <v>70</v>
      </c>
      <c r="J3407" t="s">
        <v>82</v>
      </c>
      <c r="K3407">
        <v>1</v>
      </c>
      <c r="L3407" s="2">
        <v>508.8</v>
      </c>
      <c r="M3407" s="3">
        <v>0</v>
      </c>
      <c r="N3407" t="s">
        <v>38</v>
      </c>
      <c r="O3407" s="2">
        <v>508.8</v>
      </c>
      <c r="P3407" s="2">
        <v>397.09</v>
      </c>
      <c r="Q3407" s="2">
        <v>111.71</v>
      </c>
      <c r="R3407">
        <v>1</v>
      </c>
      <c r="S3407">
        <v>0</v>
      </c>
      <c r="T3407">
        <v>2</v>
      </c>
      <c r="U3407">
        <v>4</v>
      </c>
    </row>
    <row r="3408" spans="1:21" ht="16.5" x14ac:dyDescent="0.3">
      <c r="A3408" t="s">
        <v>3496</v>
      </c>
      <c r="B3408" s="1">
        <v>45795</v>
      </c>
      <c r="C3408">
        <v>2025</v>
      </c>
      <c r="D3408" t="s">
        <v>599</v>
      </c>
      <c r="E3408" t="s">
        <v>802</v>
      </c>
      <c r="F3408" t="s">
        <v>31</v>
      </c>
      <c r="G3408" t="s">
        <v>46</v>
      </c>
      <c r="H3408" t="s">
        <v>32</v>
      </c>
      <c r="I3408" t="s">
        <v>42</v>
      </c>
      <c r="J3408" t="s">
        <v>54</v>
      </c>
      <c r="K3408">
        <v>1</v>
      </c>
      <c r="L3408" s="2">
        <v>148.05000000000001</v>
      </c>
      <c r="M3408" s="3">
        <v>0.05</v>
      </c>
      <c r="N3408" t="s">
        <v>29</v>
      </c>
      <c r="O3408" s="2">
        <v>140.65</v>
      </c>
      <c r="P3408" s="2">
        <v>100.45</v>
      </c>
      <c r="Q3408" s="2">
        <v>40.200000000000003</v>
      </c>
      <c r="R3408">
        <v>1</v>
      </c>
      <c r="S3408">
        <v>0</v>
      </c>
      <c r="T3408">
        <v>8</v>
      </c>
      <c r="U3408">
        <v>3</v>
      </c>
    </row>
    <row r="3409" spans="1:21" ht="16.5" x14ac:dyDescent="0.3">
      <c r="A3409" t="s">
        <v>3497</v>
      </c>
      <c r="B3409" s="1">
        <v>45795</v>
      </c>
      <c r="C3409">
        <v>2025</v>
      </c>
      <c r="D3409" t="s">
        <v>599</v>
      </c>
      <c r="E3409" t="s">
        <v>802</v>
      </c>
      <c r="F3409" t="s">
        <v>31</v>
      </c>
      <c r="G3409" t="s">
        <v>51</v>
      </c>
      <c r="H3409" t="s">
        <v>26</v>
      </c>
      <c r="I3409" t="s">
        <v>42</v>
      </c>
      <c r="J3409" t="s">
        <v>98</v>
      </c>
      <c r="K3409">
        <v>1</v>
      </c>
      <c r="L3409" s="2">
        <v>117.63</v>
      </c>
      <c r="M3409" s="3">
        <v>0.15</v>
      </c>
      <c r="N3409" t="s">
        <v>34</v>
      </c>
      <c r="O3409" s="2">
        <v>99.99</v>
      </c>
      <c r="P3409" s="2">
        <v>80.739999999999995</v>
      </c>
      <c r="Q3409" s="2">
        <v>19.25</v>
      </c>
      <c r="R3409">
        <v>1</v>
      </c>
      <c r="S3409">
        <v>0</v>
      </c>
      <c r="T3409">
        <v>4</v>
      </c>
      <c r="U3409">
        <v>5</v>
      </c>
    </row>
    <row r="3410" spans="1:21" ht="16.5" x14ac:dyDescent="0.3">
      <c r="A3410" t="s">
        <v>3498</v>
      </c>
      <c r="B3410" s="1">
        <v>45795</v>
      </c>
      <c r="C3410">
        <v>2025</v>
      </c>
      <c r="D3410" t="s">
        <v>599</v>
      </c>
      <c r="E3410" t="s">
        <v>802</v>
      </c>
      <c r="F3410" t="s">
        <v>31</v>
      </c>
      <c r="G3410" t="s">
        <v>25</v>
      </c>
      <c r="H3410" t="s">
        <v>26</v>
      </c>
      <c r="I3410" t="s">
        <v>27</v>
      </c>
      <c r="J3410" t="s">
        <v>110</v>
      </c>
      <c r="K3410">
        <v>2</v>
      </c>
      <c r="L3410" s="2">
        <v>19.41</v>
      </c>
      <c r="M3410" s="3">
        <v>0.05</v>
      </c>
      <c r="N3410" t="s">
        <v>29</v>
      </c>
      <c r="O3410" s="2">
        <v>36.880000000000003</v>
      </c>
      <c r="P3410" s="2">
        <v>21.64</v>
      </c>
      <c r="Q3410" s="2">
        <v>15.24</v>
      </c>
      <c r="R3410">
        <v>1</v>
      </c>
      <c r="S3410">
        <v>0</v>
      </c>
      <c r="T3410">
        <v>3</v>
      </c>
      <c r="U3410">
        <v>3</v>
      </c>
    </row>
    <row r="3411" spans="1:21" ht="16.5" x14ac:dyDescent="0.3">
      <c r="A3411" t="s">
        <v>3499</v>
      </c>
      <c r="B3411" s="1">
        <v>45795</v>
      </c>
      <c r="C3411">
        <v>2025</v>
      </c>
      <c r="D3411" t="s">
        <v>599</v>
      </c>
      <c r="E3411" t="s">
        <v>802</v>
      </c>
      <c r="F3411" t="s">
        <v>24</v>
      </c>
      <c r="G3411" t="s">
        <v>51</v>
      </c>
      <c r="H3411" t="s">
        <v>32</v>
      </c>
      <c r="I3411" t="s">
        <v>42</v>
      </c>
      <c r="J3411" t="s">
        <v>76</v>
      </c>
      <c r="K3411">
        <v>1</v>
      </c>
      <c r="L3411" s="2">
        <v>90.75</v>
      </c>
      <c r="M3411" s="3">
        <v>0.05</v>
      </c>
      <c r="N3411" t="s">
        <v>29</v>
      </c>
      <c r="O3411" s="2">
        <v>86.21</v>
      </c>
      <c r="P3411" s="2">
        <v>61.22</v>
      </c>
      <c r="Q3411" s="2">
        <v>24.99</v>
      </c>
      <c r="R3411">
        <v>1</v>
      </c>
      <c r="S3411">
        <v>0</v>
      </c>
      <c r="T3411">
        <v>2</v>
      </c>
      <c r="U3411">
        <v>5</v>
      </c>
    </row>
    <row r="3412" spans="1:21" ht="16.5" x14ac:dyDescent="0.3">
      <c r="A3412" t="s">
        <v>3500</v>
      </c>
      <c r="B3412" s="1">
        <v>45795</v>
      </c>
      <c r="C3412">
        <v>2025</v>
      </c>
      <c r="D3412" t="s">
        <v>599</v>
      </c>
      <c r="E3412" t="s">
        <v>802</v>
      </c>
      <c r="F3412" t="s">
        <v>31</v>
      </c>
      <c r="G3412" t="s">
        <v>65</v>
      </c>
      <c r="H3412" t="s">
        <v>32</v>
      </c>
      <c r="I3412" t="s">
        <v>36</v>
      </c>
      <c r="J3412" t="s">
        <v>126</v>
      </c>
      <c r="K3412">
        <v>2</v>
      </c>
      <c r="L3412" s="2">
        <v>54.56</v>
      </c>
      <c r="M3412" s="3">
        <v>0.25</v>
      </c>
      <c r="N3412" t="s">
        <v>62</v>
      </c>
      <c r="O3412" s="2">
        <v>81.84</v>
      </c>
      <c r="P3412" s="2">
        <v>53.69</v>
      </c>
      <c r="Q3412" s="2">
        <v>28.15</v>
      </c>
      <c r="R3412">
        <v>1</v>
      </c>
      <c r="S3412">
        <v>0</v>
      </c>
      <c r="T3412">
        <v>6</v>
      </c>
      <c r="U3412">
        <v>4</v>
      </c>
    </row>
    <row r="3413" spans="1:21" ht="16.5" x14ac:dyDescent="0.3">
      <c r="A3413" t="s">
        <v>3501</v>
      </c>
      <c r="B3413" s="1">
        <v>45795</v>
      </c>
      <c r="C3413">
        <v>2025</v>
      </c>
      <c r="D3413" t="s">
        <v>599</v>
      </c>
      <c r="E3413" t="s">
        <v>802</v>
      </c>
      <c r="F3413" t="s">
        <v>24</v>
      </c>
      <c r="G3413" t="s">
        <v>51</v>
      </c>
      <c r="H3413" t="s">
        <v>32</v>
      </c>
      <c r="I3413" t="s">
        <v>36</v>
      </c>
      <c r="J3413" t="s">
        <v>115</v>
      </c>
      <c r="K3413">
        <v>1</v>
      </c>
      <c r="L3413" s="2">
        <v>33.479999999999997</v>
      </c>
      <c r="M3413" s="3">
        <v>0.05</v>
      </c>
      <c r="N3413" t="s">
        <v>29</v>
      </c>
      <c r="O3413" s="2">
        <v>31.81</v>
      </c>
      <c r="P3413" s="2">
        <v>16.16</v>
      </c>
      <c r="Q3413" s="2">
        <v>15.65</v>
      </c>
      <c r="R3413">
        <v>1</v>
      </c>
      <c r="S3413">
        <v>0</v>
      </c>
      <c r="T3413">
        <v>3</v>
      </c>
      <c r="U3413">
        <v>4</v>
      </c>
    </row>
    <row r="3414" spans="1:21" ht="16.5" x14ac:dyDescent="0.3">
      <c r="A3414" t="s">
        <v>3502</v>
      </c>
      <c r="B3414" s="1">
        <v>45795</v>
      </c>
      <c r="C3414">
        <v>2025</v>
      </c>
      <c r="D3414" t="s">
        <v>599</v>
      </c>
      <c r="E3414" t="s">
        <v>802</v>
      </c>
      <c r="F3414" t="s">
        <v>31</v>
      </c>
      <c r="G3414" t="s">
        <v>49</v>
      </c>
      <c r="H3414" t="s">
        <v>32</v>
      </c>
      <c r="I3414" t="s">
        <v>67</v>
      </c>
      <c r="J3414" t="s">
        <v>174</v>
      </c>
      <c r="K3414">
        <v>1</v>
      </c>
      <c r="L3414" s="2">
        <v>137.05000000000001</v>
      </c>
      <c r="M3414" s="3">
        <v>0</v>
      </c>
      <c r="N3414" t="s">
        <v>38</v>
      </c>
      <c r="O3414" s="2">
        <v>137.05000000000001</v>
      </c>
      <c r="P3414" s="2">
        <v>91.36</v>
      </c>
      <c r="Q3414" s="2">
        <v>45.69</v>
      </c>
      <c r="R3414">
        <v>1</v>
      </c>
      <c r="S3414">
        <v>0</v>
      </c>
      <c r="T3414">
        <v>3</v>
      </c>
      <c r="U3414">
        <v>4</v>
      </c>
    </row>
    <row r="3415" spans="1:21" ht="16.5" x14ac:dyDescent="0.3">
      <c r="A3415" t="s">
        <v>3503</v>
      </c>
      <c r="B3415" s="1">
        <v>45796</v>
      </c>
      <c r="C3415">
        <v>2025</v>
      </c>
      <c r="D3415" t="s">
        <v>599</v>
      </c>
      <c r="E3415" t="s">
        <v>802</v>
      </c>
      <c r="F3415" t="s">
        <v>45</v>
      </c>
      <c r="G3415" t="s">
        <v>65</v>
      </c>
      <c r="H3415" t="s">
        <v>26</v>
      </c>
      <c r="I3415" t="s">
        <v>27</v>
      </c>
      <c r="J3415" t="s">
        <v>60</v>
      </c>
      <c r="K3415">
        <v>1</v>
      </c>
      <c r="L3415" s="2">
        <v>94.85</v>
      </c>
      <c r="M3415" s="3">
        <v>0.15</v>
      </c>
      <c r="N3415" t="s">
        <v>34</v>
      </c>
      <c r="O3415" s="2">
        <v>80.62</v>
      </c>
      <c r="P3415" s="2">
        <v>50.59</v>
      </c>
      <c r="Q3415" s="2">
        <v>30.03</v>
      </c>
      <c r="R3415">
        <v>1</v>
      </c>
      <c r="S3415">
        <v>0</v>
      </c>
      <c r="T3415">
        <v>5</v>
      </c>
      <c r="U3415">
        <v>5</v>
      </c>
    </row>
    <row r="3416" spans="1:21" ht="16.5" x14ac:dyDescent="0.3">
      <c r="A3416" t="s">
        <v>3504</v>
      </c>
      <c r="B3416" s="1">
        <v>45796</v>
      </c>
      <c r="C3416">
        <v>2025</v>
      </c>
      <c r="D3416" t="s">
        <v>599</v>
      </c>
      <c r="E3416" t="s">
        <v>802</v>
      </c>
      <c r="F3416" t="s">
        <v>31</v>
      </c>
      <c r="G3416" t="s">
        <v>51</v>
      </c>
      <c r="H3416" t="s">
        <v>26</v>
      </c>
      <c r="I3416" t="s">
        <v>70</v>
      </c>
      <c r="J3416" t="s">
        <v>252</v>
      </c>
      <c r="K3416">
        <v>1</v>
      </c>
      <c r="L3416" s="2">
        <v>216.08</v>
      </c>
      <c r="M3416" s="3">
        <v>0.05</v>
      </c>
      <c r="N3416" t="s">
        <v>29</v>
      </c>
      <c r="O3416" s="2">
        <v>205.28</v>
      </c>
      <c r="P3416" s="2">
        <v>163.62</v>
      </c>
      <c r="Q3416" s="2">
        <v>41.66</v>
      </c>
      <c r="R3416">
        <v>1</v>
      </c>
      <c r="S3416">
        <v>0</v>
      </c>
      <c r="T3416">
        <v>3</v>
      </c>
      <c r="U3416">
        <v>5</v>
      </c>
    </row>
    <row r="3417" spans="1:21" ht="16.5" x14ac:dyDescent="0.3">
      <c r="A3417" t="s">
        <v>3505</v>
      </c>
      <c r="B3417" s="1">
        <v>45796</v>
      </c>
      <c r="C3417">
        <v>2025</v>
      </c>
      <c r="D3417" t="s">
        <v>599</v>
      </c>
      <c r="E3417" t="s">
        <v>802</v>
      </c>
      <c r="F3417" t="s">
        <v>45</v>
      </c>
      <c r="G3417" t="s">
        <v>65</v>
      </c>
      <c r="H3417" t="s">
        <v>32</v>
      </c>
      <c r="I3417" t="s">
        <v>70</v>
      </c>
      <c r="J3417" t="s">
        <v>252</v>
      </c>
      <c r="K3417">
        <v>1</v>
      </c>
      <c r="L3417" s="2">
        <v>216.08</v>
      </c>
      <c r="M3417" s="3">
        <v>0.15</v>
      </c>
      <c r="N3417" t="s">
        <v>34</v>
      </c>
      <c r="O3417" s="2">
        <v>183.67</v>
      </c>
      <c r="P3417" s="2">
        <v>176.17</v>
      </c>
      <c r="Q3417" s="2">
        <v>7.5</v>
      </c>
      <c r="R3417">
        <v>1</v>
      </c>
      <c r="S3417">
        <v>0</v>
      </c>
      <c r="T3417">
        <v>5</v>
      </c>
      <c r="U3417">
        <v>5</v>
      </c>
    </row>
    <row r="3418" spans="1:21" ht="16.5" x14ac:dyDescent="0.3">
      <c r="A3418" t="s">
        <v>3506</v>
      </c>
      <c r="B3418" s="1">
        <v>45796</v>
      </c>
      <c r="C3418">
        <v>2025</v>
      </c>
      <c r="D3418" t="s">
        <v>599</v>
      </c>
      <c r="E3418" t="s">
        <v>802</v>
      </c>
      <c r="F3418" t="s">
        <v>31</v>
      </c>
      <c r="G3418" t="s">
        <v>49</v>
      </c>
      <c r="H3418" t="s">
        <v>26</v>
      </c>
      <c r="I3418" t="s">
        <v>42</v>
      </c>
      <c r="J3418" t="s">
        <v>98</v>
      </c>
      <c r="K3418">
        <v>3</v>
      </c>
      <c r="L3418" s="2">
        <v>117.63</v>
      </c>
      <c r="M3418" s="3">
        <v>0.05</v>
      </c>
      <c r="N3418" t="s">
        <v>29</v>
      </c>
      <c r="O3418" s="2">
        <v>335.25</v>
      </c>
      <c r="P3418" s="2">
        <v>224.34</v>
      </c>
      <c r="Q3418" s="2">
        <v>110.91</v>
      </c>
      <c r="R3418">
        <v>1</v>
      </c>
      <c r="S3418">
        <v>0</v>
      </c>
      <c r="T3418">
        <v>3</v>
      </c>
      <c r="U3418">
        <v>4</v>
      </c>
    </row>
    <row r="3419" spans="1:21" ht="16.5" x14ac:dyDescent="0.3">
      <c r="A3419" t="s">
        <v>3507</v>
      </c>
      <c r="B3419" s="1">
        <v>45796</v>
      </c>
      <c r="C3419">
        <v>2025</v>
      </c>
      <c r="D3419" t="s">
        <v>599</v>
      </c>
      <c r="E3419" t="s">
        <v>802</v>
      </c>
      <c r="F3419" t="s">
        <v>45</v>
      </c>
      <c r="G3419" t="s">
        <v>51</v>
      </c>
      <c r="H3419" t="s">
        <v>32</v>
      </c>
      <c r="I3419" t="s">
        <v>36</v>
      </c>
      <c r="J3419" t="s">
        <v>115</v>
      </c>
      <c r="K3419">
        <v>1</v>
      </c>
      <c r="L3419" s="2">
        <v>33.479999999999997</v>
      </c>
      <c r="M3419" s="3">
        <v>0</v>
      </c>
      <c r="N3419" t="s">
        <v>38</v>
      </c>
      <c r="O3419" s="2">
        <v>33.479999999999997</v>
      </c>
      <c r="P3419" s="2">
        <v>16.260000000000002</v>
      </c>
      <c r="Q3419" s="2">
        <v>17.22</v>
      </c>
      <c r="R3419">
        <v>1</v>
      </c>
      <c r="S3419">
        <v>0</v>
      </c>
      <c r="T3419">
        <v>4</v>
      </c>
      <c r="U3419">
        <v>5</v>
      </c>
    </row>
    <row r="3420" spans="1:21" ht="16.5" x14ac:dyDescent="0.3">
      <c r="A3420" t="s">
        <v>3508</v>
      </c>
      <c r="B3420" s="1">
        <v>45796</v>
      </c>
      <c r="C3420">
        <v>2025</v>
      </c>
      <c r="D3420" t="s">
        <v>599</v>
      </c>
      <c r="E3420" t="s">
        <v>802</v>
      </c>
      <c r="F3420" t="s">
        <v>31</v>
      </c>
      <c r="G3420" t="s">
        <v>25</v>
      </c>
      <c r="H3420" t="s">
        <v>32</v>
      </c>
      <c r="I3420" t="s">
        <v>67</v>
      </c>
      <c r="J3420" t="s">
        <v>68</v>
      </c>
      <c r="K3420">
        <v>1</v>
      </c>
      <c r="L3420" s="2">
        <v>74.459999999999994</v>
      </c>
      <c r="M3420" s="3">
        <v>0.15</v>
      </c>
      <c r="N3420" t="s">
        <v>34</v>
      </c>
      <c r="O3420" s="2">
        <v>63.29</v>
      </c>
      <c r="P3420" s="2">
        <v>50.23</v>
      </c>
      <c r="Q3420" s="2">
        <v>13.06</v>
      </c>
      <c r="R3420">
        <v>1</v>
      </c>
      <c r="S3420">
        <v>0</v>
      </c>
      <c r="T3420">
        <v>5</v>
      </c>
      <c r="U3420">
        <v>5</v>
      </c>
    </row>
    <row r="3421" spans="1:21" ht="16.5" x14ac:dyDescent="0.3">
      <c r="A3421" t="s">
        <v>3509</v>
      </c>
      <c r="B3421" s="1">
        <v>45796</v>
      </c>
      <c r="C3421">
        <v>2025</v>
      </c>
      <c r="D3421" t="s">
        <v>599</v>
      </c>
      <c r="E3421" t="s">
        <v>802</v>
      </c>
      <c r="F3421" t="s">
        <v>31</v>
      </c>
      <c r="G3421" t="s">
        <v>65</v>
      </c>
      <c r="H3421" t="s">
        <v>32</v>
      </c>
      <c r="I3421" t="s">
        <v>27</v>
      </c>
      <c r="J3421" t="s">
        <v>110</v>
      </c>
      <c r="K3421">
        <v>1</v>
      </c>
      <c r="L3421" s="2">
        <v>19.41</v>
      </c>
      <c r="M3421" s="3">
        <v>0</v>
      </c>
      <c r="N3421" t="s">
        <v>38</v>
      </c>
      <c r="O3421" s="2">
        <v>19.41</v>
      </c>
      <c r="P3421" s="2">
        <v>10.57</v>
      </c>
      <c r="Q3421" s="2">
        <v>8.84</v>
      </c>
      <c r="R3421">
        <v>1</v>
      </c>
      <c r="S3421">
        <v>0</v>
      </c>
      <c r="T3421">
        <v>8</v>
      </c>
      <c r="U3421">
        <v>4</v>
      </c>
    </row>
    <row r="3422" spans="1:21" ht="16.5" x14ac:dyDescent="0.3">
      <c r="A3422" t="s">
        <v>3510</v>
      </c>
      <c r="B3422" s="1">
        <v>45797</v>
      </c>
      <c r="C3422">
        <v>2025</v>
      </c>
      <c r="D3422" t="s">
        <v>599</v>
      </c>
      <c r="E3422" t="s">
        <v>802</v>
      </c>
      <c r="F3422" t="s">
        <v>24</v>
      </c>
      <c r="G3422" t="s">
        <v>65</v>
      </c>
      <c r="H3422" t="s">
        <v>32</v>
      </c>
      <c r="I3422" t="s">
        <v>67</v>
      </c>
      <c r="J3422" t="s">
        <v>68</v>
      </c>
      <c r="K3422">
        <v>3</v>
      </c>
      <c r="L3422" s="2">
        <v>74.459999999999994</v>
      </c>
      <c r="M3422" s="3">
        <v>0.2</v>
      </c>
      <c r="N3422" t="s">
        <v>34</v>
      </c>
      <c r="O3422" s="2">
        <v>178.7</v>
      </c>
      <c r="P3422" s="2">
        <v>147.62</v>
      </c>
      <c r="Q3422" s="2">
        <v>31.08</v>
      </c>
      <c r="R3422">
        <v>1</v>
      </c>
      <c r="S3422">
        <v>0</v>
      </c>
      <c r="T3422">
        <v>5</v>
      </c>
      <c r="U3422">
        <v>3</v>
      </c>
    </row>
    <row r="3423" spans="1:21" ht="16.5" x14ac:dyDescent="0.3">
      <c r="A3423" t="s">
        <v>3511</v>
      </c>
      <c r="B3423" s="1">
        <v>45797</v>
      </c>
      <c r="C3423">
        <v>2025</v>
      </c>
      <c r="D3423" t="s">
        <v>599</v>
      </c>
      <c r="E3423" t="s">
        <v>802</v>
      </c>
      <c r="F3423" t="s">
        <v>31</v>
      </c>
      <c r="G3423" t="s">
        <v>51</v>
      </c>
      <c r="H3423" t="s">
        <v>32</v>
      </c>
      <c r="I3423" t="s">
        <v>36</v>
      </c>
      <c r="J3423" t="s">
        <v>126</v>
      </c>
      <c r="K3423">
        <v>2</v>
      </c>
      <c r="L3423" s="2">
        <v>54.56</v>
      </c>
      <c r="M3423" s="3">
        <v>0.1</v>
      </c>
      <c r="N3423" t="s">
        <v>29</v>
      </c>
      <c r="O3423" s="2">
        <v>98.21</v>
      </c>
      <c r="P3423" s="2">
        <v>52.26</v>
      </c>
      <c r="Q3423" s="2">
        <v>45.95</v>
      </c>
      <c r="R3423">
        <v>1</v>
      </c>
      <c r="S3423">
        <v>0</v>
      </c>
      <c r="T3423">
        <v>3</v>
      </c>
      <c r="U3423">
        <v>4</v>
      </c>
    </row>
    <row r="3424" spans="1:21" ht="16.5" x14ac:dyDescent="0.3">
      <c r="A3424" t="s">
        <v>3512</v>
      </c>
      <c r="B3424" s="1">
        <v>45797</v>
      </c>
      <c r="C3424">
        <v>2025</v>
      </c>
      <c r="D3424" t="s">
        <v>599</v>
      </c>
      <c r="E3424" t="s">
        <v>802</v>
      </c>
      <c r="F3424" t="s">
        <v>31</v>
      </c>
      <c r="G3424" t="s">
        <v>46</v>
      </c>
      <c r="H3424" t="s">
        <v>32</v>
      </c>
      <c r="I3424" t="s">
        <v>70</v>
      </c>
      <c r="J3424" t="s">
        <v>82</v>
      </c>
      <c r="K3424">
        <v>1</v>
      </c>
      <c r="L3424" s="2">
        <v>508.8</v>
      </c>
      <c r="M3424" s="3">
        <v>0.05</v>
      </c>
      <c r="N3424" t="s">
        <v>29</v>
      </c>
      <c r="O3424" s="2">
        <v>483.36</v>
      </c>
      <c r="P3424" s="2">
        <v>407.47</v>
      </c>
      <c r="Q3424" s="2">
        <v>75.89</v>
      </c>
      <c r="R3424">
        <v>1</v>
      </c>
      <c r="S3424">
        <v>0</v>
      </c>
      <c r="T3424">
        <v>5</v>
      </c>
      <c r="U3424">
        <v>5</v>
      </c>
    </row>
    <row r="3425" spans="1:21" ht="16.5" x14ac:dyDescent="0.3">
      <c r="A3425" t="s">
        <v>3513</v>
      </c>
      <c r="B3425" s="1">
        <v>45798</v>
      </c>
      <c r="C3425">
        <v>2025</v>
      </c>
      <c r="D3425" t="s">
        <v>599</v>
      </c>
      <c r="E3425" t="s">
        <v>802</v>
      </c>
      <c r="F3425" t="s">
        <v>45</v>
      </c>
      <c r="G3425" t="s">
        <v>51</v>
      </c>
      <c r="H3425" t="s">
        <v>32</v>
      </c>
      <c r="I3425" t="s">
        <v>84</v>
      </c>
      <c r="J3425" t="s">
        <v>106</v>
      </c>
      <c r="K3425">
        <v>2</v>
      </c>
      <c r="L3425" s="2">
        <v>45.28</v>
      </c>
      <c r="M3425" s="3">
        <v>0</v>
      </c>
      <c r="N3425" t="s">
        <v>38</v>
      </c>
      <c r="O3425" s="2">
        <v>90.56</v>
      </c>
      <c r="P3425" s="2">
        <v>63.85</v>
      </c>
      <c r="Q3425" s="2">
        <v>26.71</v>
      </c>
      <c r="R3425">
        <v>1</v>
      </c>
      <c r="S3425">
        <v>0</v>
      </c>
      <c r="T3425">
        <v>3</v>
      </c>
      <c r="U3425">
        <v>4</v>
      </c>
    </row>
    <row r="3426" spans="1:21" ht="16.5" x14ac:dyDescent="0.3">
      <c r="A3426" t="s">
        <v>3514</v>
      </c>
      <c r="B3426" s="1">
        <v>45798</v>
      </c>
      <c r="C3426">
        <v>2025</v>
      </c>
      <c r="D3426" t="s">
        <v>599</v>
      </c>
      <c r="E3426" t="s">
        <v>802</v>
      </c>
      <c r="F3426" t="s">
        <v>31</v>
      </c>
      <c r="G3426" t="s">
        <v>25</v>
      </c>
      <c r="H3426" t="s">
        <v>32</v>
      </c>
      <c r="I3426" t="s">
        <v>70</v>
      </c>
      <c r="J3426" t="s">
        <v>71</v>
      </c>
      <c r="K3426">
        <v>1</v>
      </c>
      <c r="L3426" s="2">
        <v>588.41</v>
      </c>
      <c r="M3426" s="3">
        <v>0.05</v>
      </c>
      <c r="N3426" t="s">
        <v>29</v>
      </c>
      <c r="O3426" s="2">
        <v>558.99</v>
      </c>
      <c r="P3426" s="2">
        <v>474.31</v>
      </c>
      <c r="Q3426" s="2">
        <v>84.68</v>
      </c>
      <c r="R3426">
        <v>1</v>
      </c>
      <c r="S3426">
        <v>0</v>
      </c>
      <c r="T3426">
        <v>4</v>
      </c>
      <c r="U3426">
        <v>5</v>
      </c>
    </row>
    <row r="3427" spans="1:21" ht="16.5" x14ac:dyDescent="0.3">
      <c r="A3427" t="s">
        <v>3515</v>
      </c>
      <c r="B3427" s="1">
        <v>45798</v>
      </c>
      <c r="C3427">
        <v>2025</v>
      </c>
      <c r="D3427" t="s">
        <v>599</v>
      </c>
      <c r="E3427" t="s">
        <v>802</v>
      </c>
      <c r="F3427" t="s">
        <v>24</v>
      </c>
      <c r="G3427" t="s">
        <v>51</v>
      </c>
      <c r="H3427" t="s">
        <v>32</v>
      </c>
      <c r="I3427" t="s">
        <v>27</v>
      </c>
      <c r="J3427" t="s">
        <v>47</v>
      </c>
      <c r="K3427">
        <v>2</v>
      </c>
      <c r="L3427" s="2">
        <v>33.99</v>
      </c>
      <c r="M3427" s="3">
        <v>0</v>
      </c>
      <c r="N3427" t="s">
        <v>38</v>
      </c>
      <c r="O3427" s="2">
        <v>67.98</v>
      </c>
      <c r="P3427" s="2">
        <v>35.770000000000003</v>
      </c>
      <c r="Q3427" s="2">
        <v>32.21</v>
      </c>
      <c r="R3427">
        <v>1</v>
      </c>
      <c r="S3427">
        <v>0</v>
      </c>
      <c r="T3427">
        <v>5</v>
      </c>
      <c r="U3427">
        <v>4</v>
      </c>
    </row>
    <row r="3428" spans="1:21" ht="16.5" x14ac:dyDescent="0.3">
      <c r="A3428" t="s">
        <v>3516</v>
      </c>
      <c r="B3428" s="1">
        <v>45799</v>
      </c>
      <c r="C3428">
        <v>2025</v>
      </c>
      <c r="D3428" t="s">
        <v>599</v>
      </c>
      <c r="E3428" t="s">
        <v>802</v>
      </c>
      <c r="F3428" t="s">
        <v>31</v>
      </c>
      <c r="G3428" t="s">
        <v>51</v>
      </c>
      <c r="H3428" t="s">
        <v>26</v>
      </c>
      <c r="I3428" t="s">
        <v>70</v>
      </c>
      <c r="J3428" t="s">
        <v>129</v>
      </c>
      <c r="K3428">
        <v>2</v>
      </c>
      <c r="L3428" s="2">
        <v>177.65</v>
      </c>
      <c r="M3428" s="3">
        <v>0.05</v>
      </c>
      <c r="N3428" t="s">
        <v>29</v>
      </c>
      <c r="O3428" s="2">
        <v>337.54</v>
      </c>
      <c r="P3428" s="2">
        <v>284.82</v>
      </c>
      <c r="Q3428" s="2">
        <v>52.72</v>
      </c>
      <c r="R3428">
        <v>1</v>
      </c>
      <c r="S3428">
        <v>0</v>
      </c>
      <c r="T3428">
        <v>6</v>
      </c>
      <c r="U3428">
        <v>3</v>
      </c>
    </row>
    <row r="3429" spans="1:21" ht="16.5" x14ac:dyDescent="0.3">
      <c r="A3429" t="s">
        <v>3517</v>
      </c>
      <c r="B3429" s="1">
        <v>45799</v>
      </c>
      <c r="C3429">
        <v>2025</v>
      </c>
      <c r="D3429" t="s">
        <v>599</v>
      </c>
      <c r="E3429" t="s">
        <v>802</v>
      </c>
      <c r="F3429" t="s">
        <v>31</v>
      </c>
      <c r="G3429" t="s">
        <v>25</v>
      </c>
      <c r="H3429" t="s">
        <v>32</v>
      </c>
      <c r="I3429" t="s">
        <v>67</v>
      </c>
      <c r="J3429" t="s">
        <v>93</v>
      </c>
      <c r="K3429">
        <v>2</v>
      </c>
      <c r="L3429" s="2">
        <v>198.42</v>
      </c>
      <c r="M3429" s="3">
        <v>0.15</v>
      </c>
      <c r="N3429" t="s">
        <v>34</v>
      </c>
      <c r="O3429" s="2">
        <v>337.31</v>
      </c>
      <c r="P3429" s="2">
        <v>281.95999999999998</v>
      </c>
      <c r="Q3429" s="2">
        <v>55.35</v>
      </c>
      <c r="R3429">
        <v>1</v>
      </c>
      <c r="S3429">
        <v>0</v>
      </c>
      <c r="T3429">
        <v>4</v>
      </c>
      <c r="U3429">
        <v>5</v>
      </c>
    </row>
    <row r="3430" spans="1:21" ht="16.5" x14ac:dyDescent="0.3">
      <c r="A3430" t="s">
        <v>3518</v>
      </c>
      <c r="B3430" s="1">
        <v>45799</v>
      </c>
      <c r="C3430">
        <v>2025</v>
      </c>
      <c r="D3430" t="s">
        <v>599</v>
      </c>
      <c r="E3430" t="s">
        <v>802</v>
      </c>
      <c r="F3430" t="s">
        <v>31</v>
      </c>
      <c r="G3430" t="s">
        <v>25</v>
      </c>
      <c r="H3430" t="s">
        <v>32</v>
      </c>
      <c r="I3430" t="s">
        <v>27</v>
      </c>
      <c r="J3430" t="s">
        <v>40</v>
      </c>
      <c r="K3430">
        <v>1</v>
      </c>
      <c r="L3430" s="2">
        <v>104.94</v>
      </c>
      <c r="M3430" s="3">
        <v>0</v>
      </c>
      <c r="N3430" t="s">
        <v>38</v>
      </c>
      <c r="O3430" s="2">
        <v>104.94</v>
      </c>
      <c r="P3430" s="2">
        <v>56.82</v>
      </c>
      <c r="Q3430" s="2">
        <v>48.12</v>
      </c>
      <c r="R3430">
        <v>1</v>
      </c>
      <c r="S3430">
        <v>0</v>
      </c>
      <c r="T3430">
        <v>5</v>
      </c>
      <c r="U3430">
        <v>4</v>
      </c>
    </row>
    <row r="3431" spans="1:21" ht="16.5" x14ac:dyDescent="0.3">
      <c r="A3431" t="s">
        <v>3519</v>
      </c>
      <c r="B3431" s="1">
        <v>45799</v>
      </c>
      <c r="C3431">
        <v>2025</v>
      </c>
      <c r="D3431" t="s">
        <v>599</v>
      </c>
      <c r="E3431" t="s">
        <v>802</v>
      </c>
      <c r="F3431" t="s">
        <v>24</v>
      </c>
      <c r="G3431" t="s">
        <v>65</v>
      </c>
      <c r="H3431" t="s">
        <v>26</v>
      </c>
      <c r="I3431" t="s">
        <v>70</v>
      </c>
      <c r="J3431" t="s">
        <v>129</v>
      </c>
      <c r="K3431">
        <v>1</v>
      </c>
      <c r="L3431" s="2">
        <v>177.65</v>
      </c>
      <c r="M3431" s="3">
        <v>0.05</v>
      </c>
      <c r="N3431" t="s">
        <v>29</v>
      </c>
      <c r="O3431" s="2">
        <v>168.77</v>
      </c>
      <c r="P3431" s="2">
        <v>148.84</v>
      </c>
      <c r="Q3431" s="2">
        <v>19.93</v>
      </c>
      <c r="R3431">
        <v>1</v>
      </c>
      <c r="S3431">
        <v>0</v>
      </c>
      <c r="T3431">
        <v>6</v>
      </c>
      <c r="U3431">
        <v>3</v>
      </c>
    </row>
    <row r="3432" spans="1:21" ht="16.5" x14ac:dyDescent="0.3">
      <c r="A3432" t="s">
        <v>3520</v>
      </c>
      <c r="B3432" s="1">
        <v>45799</v>
      </c>
      <c r="C3432">
        <v>2025</v>
      </c>
      <c r="D3432" t="s">
        <v>599</v>
      </c>
      <c r="E3432" t="s">
        <v>802</v>
      </c>
      <c r="F3432" t="s">
        <v>31</v>
      </c>
      <c r="G3432" t="s">
        <v>46</v>
      </c>
      <c r="H3432" t="s">
        <v>32</v>
      </c>
      <c r="I3432" t="s">
        <v>36</v>
      </c>
      <c r="J3432" t="s">
        <v>126</v>
      </c>
      <c r="K3432">
        <v>1</v>
      </c>
      <c r="L3432" s="2">
        <v>54.56</v>
      </c>
      <c r="M3432" s="3">
        <v>0.2</v>
      </c>
      <c r="N3432" t="s">
        <v>34</v>
      </c>
      <c r="O3432" s="2">
        <v>43.65</v>
      </c>
      <c r="P3432" s="2">
        <v>25.3</v>
      </c>
      <c r="Q3432" s="2">
        <v>18.350000000000001</v>
      </c>
      <c r="R3432">
        <v>1</v>
      </c>
      <c r="S3432">
        <v>0</v>
      </c>
      <c r="T3432">
        <v>6</v>
      </c>
      <c r="U3432">
        <v>4</v>
      </c>
    </row>
    <row r="3433" spans="1:21" ht="16.5" x14ac:dyDescent="0.3">
      <c r="A3433" t="s">
        <v>3521</v>
      </c>
      <c r="B3433" s="1">
        <v>45799</v>
      </c>
      <c r="C3433">
        <v>2025</v>
      </c>
      <c r="D3433" t="s">
        <v>599</v>
      </c>
      <c r="E3433" t="s">
        <v>802</v>
      </c>
      <c r="F3433" t="s">
        <v>24</v>
      </c>
      <c r="G3433" t="s">
        <v>51</v>
      </c>
      <c r="H3433" t="s">
        <v>26</v>
      </c>
      <c r="I3433" t="s">
        <v>42</v>
      </c>
      <c r="J3433" t="s">
        <v>54</v>
      </c>
      <c r="K3433">
        <v>1</v>
      </c>
      <c r="L3433" s="2">
        <v>148.05000000000001</v>
      </c>
      <c r="M3433" s="3">
        <v>0</v>
      </c>
      <c r="N3433" t="s">
        <v>38</v>
      </c>
      <c r="O3433" s="2">
        <v>148.05000000000001</v>
      </c>
      <c r="P3433" s="2">
        <v>99.79</v>
      </c>
      <c r="Q3433" s="2">
        <v>48.26</v>
      </c>
      <c r="R3433">
        <v>1</v>
      </c>
      <c r="S3433">
        <v>0</v>
      </c>
      <c r="T3433">
        <v>6</v>
      </c>
      <c r="U3433">
        <v>3</v>
      </c>
    </row>
    <row r="3434" spans="1:21" ht="16.5" x14ac:dyDescent="0.3">
      <c r="A3434" t="s">
        <v>3522</v>
      </c>
      <c r="B3434" s="1">
        <v>45799</v>
      </c>
      <c r="C3434">
        <v>2025</v>
      </c>
      <c r="D3434" t="s">
        <v>599</v>
      </c>
      <c r="E3434" t="s">
        <v>802</v>
      </c>
      <c r="F3434" t="s">
        <v>31</v>
      </c>
      <c r="G3434" t="s">
        <v>49</v>
      </c>
      <c r="H3434" t="s">
        <v>26</v>
      </c>
      <c r="I3434" t="s">
        <v>36</v>
      </c>
      <c r="J3434" t="s">
        <v>126</v>
      </c>
      <c r="K3434">
        <v>1</v>
      </c>
      <c r="L3434" s="2">
        <v>54.56</v>
      </c>
      <c r="M3434" s="3">
        <v>0.05</v>
      </c>
      <c r="N3434" t="s">
        <v>29</v>
      </c>
      <c r="O3434" s="2">
        <v>51.83</v>
      </c>
      <c r="P3434" s="2">
        <v>27.23</v>
      </c>
      <c r="Q3434" s="2">
        <v>24.6</v>
      </c>
      <c r="R3434">
        <v>1</v>
      </c>
      <c r="S3434">
        <v>0</v>
      </c>
      <c r="T3434">
        <v>4</v>
      </c>
      <c r="U3434">
        <v>5</v>
      </c>
    </row>
    <row r="3435" spans="1:21" ht="16.5" x14ac:dyDescent="0.3">
      <c r="A3435" t="s">
        <v>3523</v>
      </c>
      <c r="B3435" s="1">
        <v>45799</v>
      </c>
      <c r="C3435">
        <v>2025</v>
      </c>
      <c r="D3435" t="s">
        <v>599</v>
      </c>
      <c r="E3435" t="s">
        <v>802</v>
      </c>
      <c r="F3435" t="s">
        <v>24</v>
      </c>
      <c r="G3435" t="s">
        <v>65</v>
      </c>
      <c r="H3435" t="s">
        <v>26</v>
      </c>
      <c r="I3435" t="s">
        <v>70</v>
      </c>
      <c r="J3435" t="s">
        <v>71</v>
      </c>
      <c r="K3435">
        <v>1</v>
      </c>
      <c r="L3435" s="2">
        <v>588.41</v>
      </c>
      <c r="M3435" s="3">
        <v>0</v>
      </c>
      <c r="N3435" t="s">
        <v>38</v>
      </c>
      <c r="O3435" s="2">
        <v>588.41</v>
      </c>
      <c r="P3435" s="2">
        <v>475.79</v>
      </c>
      <c r="Q3435" s="2">
        <v>112.62</v>
      </c>
      <c r="R3435">
        <v>1</v>
      </c>
      <c r="S3435">
        <v>0</v>
      </c>
      <c r="T3435">
        <v>7</v>
      </c>
      <c r="U3435">
        <v>4</v>
      </c>
    </row>
    <row r="3436" spans="1:21" ht="16.5" x14ac:dyDescent="0.3">
      <c r="A3436" t="s">
        <v>3524</v>
      </c>
      <c r="B3436" s="1">
        <v>45799</v>
      </c>
      <c r="C3436">
        <v>2025</v>
      </c>
      <c r="D3436" t="s">
        <v>599</v>
      </c>
      <c r="E3436" t="s">
        <v>802</v>
      </c>
      <c r="F3436" t="s">
        <v>31</v>
      </c>
      <c r="G3436" t="s">
        <v>25</v>
      </c>
      <c r="H3436" t="s">
        <v>32</v>
      </c>
      <c r="I3436" t="s">
        <v>27</v>
      </c>
      <c r="J3436" t="s">
        <v>28</v>
      </c>
      <c r="K3436">
        <v>1</v>
      </c>
      <c r="L3436" s="2">
        <v>138.5</v>
      </c>
      <c r="M3436" s="3">
        <v>0.3</v>
      </c>
      <c r="N3436" t="s">
        <v>62</v>
      </c>
      <c r="O3436" s="2">
        <v>96.95</v>
      </c>
      <c r="P3436" s="2">
        <v>72.66</v>
      </c>
      <c r="Q3436" s="2">
        <v>24.29</v>
      </c>
      <c r="R3436">
        <v>1</v>
      </c>
      <c r="S3436">
        <v>0</v>
      </c>
      <c r="T3436">
        <v>4</v>
      </c>
      <c r="U3436">
        <v>4</v>
      </c>
    </row>
    <row r="3437" spans="1:21" ht="16.5" x14ac:dyDescent="0.3">
      <c r="A3437" t="s">
        <v>3525</v>
      </c>
      <c r="B3437" s="1">
        <v>45799</v>
      </c>
      <c r="C3437">
        <v>2025</v>
      </c>
      <c r="D3437" t="s">
        <v>599</v>
      </c>
      <c r="E3437" t="s">
        <v>802</v>
      </c>
      <c r="F3437" t="s">
        <v>31</v>
      </c>
      <c r="G3437" t="s">
        <v>49</v>
      </c>
      <c r="H3437" t="s">
        <v>26</v>
      </c>
      <c r="I3437" t="s">
        <v>67</v>
      </c>
      <c r="J3437" t="s">
        <v>68</v>
      </c>
      <c r="K3437">
        <v>1</v>
      </c>
      <c r="L3437" s="2">
        <v>74.459999999999994</v>
      </c>
      <c r="M3437" s="3">
        <v>0.05</v>
      </c>
      <c r="N3437" t="s">
        <v>29</v>
      </c>
      <c r="O3437" s="2">
        <v>70.739999999999995</v>
      </c>
      <c r="P3437" s="2">
        <v>51.66</v>
      </c>
      <c r="Q3437" s="2">
        <v>19.079999999999998</v>
      </c>
      <c r="R3437">
        <v>1</v>
      </c>
      <c r="S3437">
        <v>0</v>
      </c>
      <c r="T3437">
        <v>4</v>
      </c>
      <c r="U3437">
        <v>4</v>
      </c>
    </row>
    <row r="3438" spans="1:21" ht="16.5" x14ac:dyDescent="0.3">
      <c r="A3438" t="s">
        <v>3526</v>
      </c>
      <c r="B3438" s="1">
        <v>45799</v>
      </c>
      <c r="C3438">
        <v>2025</v>
      </c>
      <c r="D3438" t="s">
        <v>599</v>
      </c>
      <c r="E3438" t="s">
        <v>802</v>
      </c>
      <c r="F3438" t="s">
        <v>24</v>
      </c>
      <c r="G3438" t="s">
        <v>65</v>
      </c>
      <c r="H3438" t="s">
        <v>32</v>
      </c>
      <c r="I3438" t="s">
        <v>42</v>
      </c>
      <c r="J3438" t="s">
        <v>54</v>
      </c>
      <c r="K3438">
        <v>2</v>
      </c>
      <c r="L3438" s="2">
        <v>148.05000000000001</v>
      </c>
      <c r="M3438" s="3">
        <v>0.05</v>
      </c>
      <c r="N3438" t="s">
        <v>29</v>
      </c>
      <c r="O3438" s="2">
        <v>281.3</v>
      </c>
      <c r="P3438" s="2">
        <v>200.69</v>
      </c>
      <c r="Q3438" s="2">
        <v>80.61</v>
      </c>
      <c r="R3438">
        <v>1</v>
      </c>
      <c r="S3438">
        <v>0</v>
      </c>
      <c r="T3438">
        <v>6</v>
      </c>
      <c r="U3438">
        <v>4</v>
      </c>
    </row>
    <row r="3439" spans="1:21" ht="16.5" x14ac:dyDescent="0.3">
      <c r="A3439" t="s">
        <v>3527</v>
      </c>
      <c r="B3439" s="1">
        <v>45799</v>
      </c>
      <c r="C3439">
        <v>2025</v>
      </c>
      <c r="D3439" t="s">
        <v>599</v>
      </c>
      <c r="E3439" t="s">
        <v>802</v>
      </c>
      <c r="F3439" t="s">
        <v>24</v>
      </c>
      <c r="G3439" t="s">
        <v>51</v>
      </c>
      <c r="H3439" t="s">
        <v>26</v>
      </c>
      <c r="I3439" t="s">
        <v>36</v>
      </c>
      <c r="J3439" t="s">
        <v>37</v>
      </c>
      <c r="K3439">
        <v>3</v>
      </c>
      <c r="L3439" s="2">
        <v>33.18</v>
      </c>
      <c r="M3439" s="3">
        <v>0.1</v>
      </c>
      <c r="N3439" t="s">
        <v>29</v>
      </c>
      <c r="O3439" s="2">
        <v>89.59</v>
      </c>
      <c r="P3439" s="2">
        <v>45.51</v>
      </c>
      <c r="Q3439" s="2">
        <v>44.08</v>
      </c>
      <c r="R3439">
        <v>1</v>
      </c>
      <c r="S3439">
        <v>0</v>
      </c>
      <c r="T3439">
        <v>2</v>
      </c>
      <c r="U3439">
        <v>4</v>
      </c>
    </row>
    <row r="3440" spans="1:21" ht="16.5" x14ac:dyDescent="0.3">
      <c r="A3440" t="s">
        <v>3528</v>
      </c>
      <c r="B3440" s="1">
        <v>45799</v>
      </c>
      <c r="C3440">
        <v>2025</v>
      </c>
      <c r="D3440" t="s">
        <v>599</v>
      </c>
      <c r="E3440" t="s">
        <v>802</v>
      </c>
      <c r="F3440" t="s">
        <v>24</v>
      </c>
      <c r="G3440" t="s">
        <v>65</v>
      </c>
      <c r="H3440" t="s">
        <v>32</v>
      </c>
      <c r="I3440" t="s">
        <v>70</v>
      </c>
      <c r="J3440" t="s">
        <v>162</v>
      </c>
      <c r="K3440">
        <v>1</v>
      </c>
      <c r="L3440" s="2">
        <v>636.09</v>
      </c>
      <c r="M3440" s="3">
        <v>0</v>
      </c>
      <c r="N3440" t="s">
        <v>38</v>
      </c>
      <c r="O3440" s="2">
        <v>636.09</v>
      </c>
      <c r="P3440" s="2">
        <v>523.48</v>
      </c>
      <c r="Q3440" s="2">
        <v>112.61</v>
      </c>
      <c r="R3440">
        <v>1</v>
      </c>
      <c r="S3440">
        <v>0</v>
      </c>
      <c r="T3440">
        <v>6</v>
      </c>
      <c r="U3440">
        <v>5</v>
      </c>
    </row>
    <row r="3441" spans="1:21" ht="16.5" x14ac:dyDescent="0.3">
      <c r="A3441" t="s">
        <v>3529</v>
      </c>
      <c r="B3441" s="1">
        <v>45799</v>
      </c>
      <c r="C3441">
        <v>2025</v>
      </c>
      <c r="D3441" t="s">
        <v>599</v>
      </c>
      <c r="E3441" t="s">
        <v>802</v>
      </c>
      <c r="F3441" t="s">
        <v>45</v>
      </c>
      <c r="G3441" t="s">
        <v>51</v>
      </c>
      <c r="H3441" t="s">
        <v>32</v>
      </c>
      <c r="I3441" t="s">
        <v>67</v>
      </c>
      <c r="J3441" t="s">
        <v>78</v>
      </c>
      <c r="K3441">
        <v>1</v>
      </c>
      <c r="L3441" s="2">
        <v>85.42</v>
      </c>
      <c r="M3441" s="3">
        <v>0.2</v>
      </c>
      <c r="N3441" t="s">
        <v>34</v>
      </c>
      <c r="O3441" s="2">
        <v>68.34</v>
      </c>
      <c r="P3441" s="2">
        <v>58.61</v>
      </c>
      <c r="Q3441" s="2">
        <v>9.73</v>
      </c>
      <c r="R3441">
        <v>1</v>
      </c>
      <c r="S3441">
        <v>1</v>
      </c>
      <c r="T3441">
        <v>3</v>
      </c>
      <c r="U3441">
        <v>3</v>
      </c>
    </row>
    <row r="3442" spans="1:21" ht="16.5" x14ac:dyDescent="0.3">
      <c r="A3442" t="s">
        <v>3530</v>
      </c>
      <c r="B3442" s="1">
        <v>45799</v>
      </c>
      <c r="C3442">
        <v>2025</v>
      </c>
      <c r="D3442" t="s">
        <v>599</v>
      </c>
      <c r="E3442" t="s">
        <v>802</v>
      </c>
      <c r="F3442" t="s">
        <v>31</v>
      </c>
      <c r="G3442" t="s">
        <v>51</v>
      </c>
      <c r="H3442" t="s">
        <v>32</v>
      </c>
      <c r="I3442" t="s">
        <v>36</v>
      </c>
      <c r="J3442" t="s">
        <v>52</v>
      </c>
      <c r="K3442">
        <v>1</v>
      </c>
      <c r="L3442" s="2">
        <v>92.54</v>
      </c>
      <c r="M3442" s="3">
        <v>0.3</v>
      </c>
      <c r="N3442" t="s">
        <v>62</v>
      </c>
      <c r="O3442" s="2">
        <v>64.78</v>
      </c>
      <c r="P3442" s="2">
        <v>42.28</v>
      </c>
      <c r="Q3442" s="2">
        <v>22.5</v>
      </c>
      <c r="R3442">
        <v>1</v>
      </c>
      <c r="S3442">
        <v>0</v>
      </c>
      <c r="T3442">
        <v>3</v>
      </c>
      <c r="U3442">
        <v>4</v>
      </c>
    </row>
    <row r="3443" spans="1:21" ht="16.5" x14ac:dyDescent="0.3">
      <c r="A3443" t="s">
        <v>3531</v>
      </c>
      <c r="B3443" s="1">
        <v>45799</v>
      </c>
      <c r="C3443">
        <v>2025</v>
      </c>
      <c r="D3443" t="s">
        <v>599</v>
      </c>
      <c r="E3443" t="s">
        <v>802</v>
      </c>
      <c r="F3443" t="s">
        <v>31</v>
      </c>
      <c r="G3443" t="s">
        <v>25</v>
      </c>
      <c r="H3443" t="s">
        <v>32</v>
      </c>
      <c r="I3443" t="s">
        <v>84</v>
      </c>
      <c r="J3443" t="s">
        <v>223</v>
      </c>
      <c r="K3443">
        <v>1</v>
      </c>
      <c r="L3443" s="2">
        <v>16.97</v>
      </c>
      <c r="M3443" s="3">
        <v>0.1</v>
      </c>
      <c r="N3443" t="s">
        <v>29</v>
      </c>
      <c r="O3443" s="2">
        <v>15.27</v>
      </c>
      <c r="P3443" s="2">
        <v>12.6</v>
      </c>
      <c r="Q3443" s="2">
        <v>2.67</v>
      </c>
      <c r="R3443">
        <v>1</v>
      </c>
      <c r="S3443">
        <v>0</v>
      </c>
      <c r="T3443">
        <v>4</v>
      </c>
      <c r="U3443">
        <v>5</v>
      </c>
    </row>
    <row r="3444" spans="1:21" ht="16.5" x14ac:dyDescent="0.3">
      <c r="A3444" t="s">
        <v>3532</v>
      </c>
      <c r="B3444" s="1">
        <v>45799</v>
      </c>
      <c r="C3444">
        <v>2025</v>
      </c>
      <c r="D3444" t="s">
        <v>599</v>
      </c>
      <c r="E3444" t="s">
        <v>802</v>
      </c>
      <c r="F3444" t="s">
        <v>24</v>
      </c>
      <c r="G3444" t="s">
        <v>25</v>
      </c>
      <c r="H3444" t="s">
        <v>32</v>
      </c>
      <c r="I3444" t="s">
        <v>42</v>
      </c>
      <c r="J3444" t="s">
        <v>43</v>
      </c>
      <c r="K3444">
        <v>2</v>
      </c>
      <c r="L3444" s="2">
        <v>154.66</v>
      </c>
      <c r="M3444" s="3">
        <v>0</v>
      </c>
      <c r="N3444" t="s">
        <v>38</v>
      </c>
      <c r="O3444" s="2">
        <v>309.32</v>
      </c>
      <c r="P3444" s="2">
        <v>209.01</v>
      </c>
      <c r="Q3444" s="2">
        <v>100.31</v>
      </c>
      <c r="R3444">
        <v>1</v>
      </c>
      <c r="S3444">
        <v>0</v>
      </c>
      <c r="T3444">
        <v>4</v>
      </c>
      <c r="U3444">
        <v>4</v>
      </c>
    </row>
    <row r="3445" spans="1:21" ht="16.5" x14ac:dyDescent="0.3">
      <c r="A3445" t="s">
        <v>3533</v>
      </c>
      <c r="B3445" s="1">
        <v>45799</v>
      </c>
      <c r="C3445">
        <v>2025</v>
      </c>
      <c r="D3445" t="s">
        <v>599</v>
      </c>
      <c r="E3445" t="s">
        <v>802</v>
      </c>
      <c r="F3445" t="s">
        <v>24</v>
      </c>
      <c r="G3445" t="s">
        <v>49</v>
      </c>
      <c r="H3445" t="s">
        <v>32</v>
      </c>
      <c r="I3445" t="s">
        <v>67</v>
      </c>
      <c r="J3445" t="s">
        <v>174</v>
      </c>
      <c r="K3445">
        <v>1</v>
      </c>
      <c r="L3445" s="2">
        <v>137.05000000000001</v>
      </c>
      <c r="M3445" s="3">
        <v>0.15</v>
      </c>
      <c r="N3445" t="s">
        <v>34</v>
      </c>
      <c r="O3445" s="2">
        <v>116.49</v>
      </c>
      <c r="P3445" s="2">
        <v>91.79</v>
      </c>
      <c r="Q3445" s="2">
        <v>24.7</v>
      </c>
      <c r="R3445">
        <v>1</v>
      </c>
      <c r="S3445">
        <v>0</v>
      </c>
      <c r="T3445">
        <v>3</v>
      </c>
      <c r="U3445">
        <v>5</v>
      </c>
    </row>
    <row r="3446" spans="1:21" ht="16.5" x14ac:dyDescent="0.3">
      <c r="A3446" t="s">
        <v>3534</v>
      </c>
      <c r="B3446" s="1">
        <v>45800</v>
      </c>
      <c r="C3446">
        <v>2025</v>
      </c>
      <c r="D3446" t="s">
        <v>599</v>
      </c>
      <c r="E3446" t="s">
        <v>802</v>
      </c>
      <c r="F3446" t="s">
        <v>24</v>
      </c>
      <c r="G3446" t="s">
        <v>51</v>
      </c>
      <c r="H3446" t="s">
        <v>32</v>
      </c>
      <c r="I3446" t="s">
        <v>67</v>
      </c>
      <c r="J3446" t="s">
        <v>68</v>
      </c>
      <c r="K3446">
        <v>2</v>
      </c>
      <c r="L3446" s="2">
        <v>74.459999999999994</v>
      </c>
      <c r="M3446" s="3">
        <v>0</v>
      </c>
      <c r="N3446" t="s">
        <v>38</v>
      </c>
      <c r="O3446" s="2">
        <v>148.91999999999999</v>
      </c>
      <c r="P3446" s="2">
        <v>100.42</v>
      </c>
      <c r="Q3446" s="2">
        <v>48.5</v>
      </c>
      <c r="R3446">
        <v>1</v>
      </c>
      <c r="S3446">
        <v>0</v>
      </c>
      <c r="T3446">
        <v>5</v>
      </c>
      <c r="U3446">
        <v>5</v>
      </c>
    </row>
    <row r="3447" spans="1:21" ht="16.5" x14ac:dyDescent="0.3">
      <c r="A3447" t="s">
        <v>3535</v>
      </c>
      <c r="B3447" s="1">
        <v>45800</v>
      </c>
      <c r="C3447">
        <v>2025</v>
      </c>
      <c r="D3447" t="s">
        <v>599</v>
      </c>
      <c r="E3447" t="s">
        <v>802</v>
      </c>
      <c r="F3447" t="s">
        <v>31</v>
      </c>
      <c r="G3447" t="s">
        <v>51</v>
      </c>
      <c r="H3447" t="s">
        <v>26</v>
      </c>
      <c r="I3447" t="s">
        <v>27</v>
      </c>
      <c r="J3447" t="s">
        <v>47</v>
      </c>
      <c r="K3447">
        <v>1</v>
      </c>
      <c r="L3447" s="2">
        <v>33.99</v>
      </c>
      <c r="M3447" s="3">
        <v>0.05</v>
      </c>
      <c r="N3447" t="s">
        <v>29</v>
      </c>
      <c r="O3447" s="2">
        <v>32.29</v>
      </c>
      <c r="P3447" s="2">
        <v>19.45</v>
      </c>
      <c r="Q3447" s="2">
        <v>12.84</v>
      </c>
      <c r="R3447">
        <v>1</v>
      </c>
      <c r="S3447">
        <v>1</v>
      </c>
      <c r="T3447">
        <v>3</v>
      </c>
      <c r="U3447">
        <v>2</v>
      </c>
    </row>
    <row r="3448" spans="1:21" ht="16.5" x14ac:dyDescent="0.3">
      <c r="A3448" t="s">
        <v>3536</v>
      </c>
      <c r="B3448" s="1">
        <v>45800</v>
      </c>
      <c r="C3448">
        <v>2025</v>
      </c>
      <c r="D3448" t="s">
        <v>599</v>
      </c>
      <c r="E3448" t="s">
        <v>802</v>
      </c>
      <c r="F3448" t="s">
        <v>24</v>
      </c>
      <c r="G3448" t="s">
        <v>51</v>
      </c>
      <c r="H3448" t="s">
        <v>32</v>
      </c>
      <c r="I3448" t="s">
        <v>84</v>
      </c>
      <c r="J3448" t="s">
        <v>85</v>
      </c>
      <c r="K3448">
        <v>1</v>
      </c>
      <c r="L3448" s="2">
        <v>57.92</v>
      </c>
      <c r="M3448" s="3">
        <v>0.2</v>
      </c>
      <c r="N3448" t="s">
        <v>34</v>
      </c>
      <c r="O3448" s="2">
        <v>46.34</v>
      </c>
      <c r="P3448" s="2">
        <v>43.17</v>
      </c>
      <c r="Q3448" s="2">
        <v>3.17</v>
      </c>
      <c r="R3448">
        <v>1</v>
      </c>
      <c r="S3448">
        <v>0</v>
      </c>
      <c r="T3448">
        <v>3</v>
      </c>
      <c r="U3448">
        <v>4</v>
      </c>
    </row>
    <row r="3449" spans="1:21" ht="16.5" x14ac:dyDescent="0.3">
      <c r="A3449" t="s">
        <v>3537</v>
      </c>
      <c r="B3449" s="1">
        <v>45800</v>
      </c>
      <c r="C3449">
        <v>2025</v>
      </c>
      <c r="D3449" t="s">
        <v>599</v>
      </c>
      <c r="E3449" t="s">
        <v>802</v>
      </c>
      <c r="F3449" t="s">
        <v>24</v>
      </c>
      <c r="G3449" t="s">
        <v>25</v>
      </c>
      <c r="H3449" t="s">
        <v>26</v>
      </c>
      <c r="I3449" t="s">
        <v>42</v>
      </c>
      <c r="J3449" t="s">
        <v>43</v>
      </c>
      <c r="K3449">
        <v>1</v>
      </c>
      <c r="L3449" s="2">
        <v>154.66</v>
      </c>
      <c r="M3449" s="3">
        <v>0</v>
      </c>
      <c r="N3449" t="s">
        <v>38</v>
      </c>
      <c r="O3449" s="2">
        <v>154.66</v>
      </c>
      <c r="P3449" s="2">
        <v>105.01</v>
      </c>
      <c r="Q3449" s="2">
        <v>49.65</v>
      </c>
      <c r="R3449">
        <v>1</v>
      </c>
      <c r="S3449">
        <v>0</v>
      </c>
      <c r="T3449">
        <v>6</v>
      </c>
      <c r="U3449">
        <v>3</v>
      </c>
    </row>
    <row r="3450" spans="1:21" ht="16.5" x14ac:dyDescent="0.3">
      <c r="A3450" t="s">
        <v>3538</v>
      </c>
      <c r="B3450" s="1">
        <v>45800</v>
      </c>
      <c r="C3450">
        <v>2025</v>
      </c>
      <c r="D3450" t="s">
        <v>599</v>
      </c>
      <c r="E3450" t="s">
        <v>802</v>
      </c>
      <c r="F3450" t="s">
        <v>24</v>
      </c>
      <c r="G3450" t="s">
        <v>49</v>
      </c>
      <c r="H3450" t="s">
        <v>32</v>
      </c>
      <c r="I3450" t="s">
        <v>27</v>
      </c>
      <c r="J3450" t="s">
        <v>40</v>
      </c>
      <c r="K3450">
        <v>1</v>
      </c>
      <c r="L3450" s="2">
        <v>104.94</v>
      </c>
      <c r="M3450" s="3">
        <v>0.15</v>
      </c>
      <c r="N3450" t="s">
        <v>34</v>
      </c>
      <c r="O3450" s="2">
        <v>89.2</v>
      </c>
      <c r="P3450" s="2">
        <v>58.53</v>
      </c>
      <c r="Q3450" s="2">
        <v>30.67</v>
      </c>
      <c r="R3450">
        <v>1</v>
      </c>
      <c r="S3450">
        <v>0</v>
      </c>
      <c r="T3450">
        <v>3</v>
      </c>
      <c r="U3450">
        <v>4</v>
      </c>
    </row>
    <row r="3451" spans="1:21" ht="16.5" x14ac:dyDescent="0.3">
      <c r="A3451" t="s">
        <v>3539</v>
      </c>
      <c r="B3451" s="1">
        <v>45800</v>
      </c>
      <c r="C3451">
        <v>2025</v>
      </c>
      <c r="D3451" t="s">
        <v>599</v>
      </c>
      <c r="E3451" t="s">
        <v>802</v>
      </c>
      <c r="F3451" t="s">
        <v>24</v>
      </c>
      <c r="G3451" t="s">
        <v>49</v>
      </c>
      <c r="H3451" t="s">
        <v>26</v>
      </c>
      <c r="I3451" t="s">
        <v>42</v>
      </c>
      <c r="J3451" t="s">
        <v>43</v>
      </c>
      <c r="K3451">
        <v>2</v>
      </c>
      <c r="L3451" s="2">
        <v>154.66</v>
      </c>
      <c r="M3451" s="3">
        <v>0</v>
      </c>
      <c r="N3451" t="s">
        <v>38</v>
      </c>
      <c r="O3451" s="2">
        <v>309.32</v>
      </c>
      <c r="P3451" s="2">
        <v>207.91</v>
      </c>
      <c r="Q3451" s="2">
        <v>101.41</v>
      </c>
      <c r="R3451">
        <v>1</v>
      </c>
      <c r="S3451">
        <v>0</v>
      </c>
      <c r="T3451">
        <v>5</v>
      </c>
      <c r="U3451">
        <v>4</v>
      </c>
    </row>
    <row r="3452" spans="1:21" ht="16.5" x14ac:dyDescent="0.3">
      <c r="A3452" t="s">
        <v>3540</v>
      </c>
      <c r="B3452" s="1">
        <v>45800</v>
      </c>
      <c r="C3452">
        <v>2025</v>
      </c>
      <c r="D3452" t="s">
        <v>599</v>
      </c>
      <c r="E3452" t="s">
        <v>802</v>
      </c>
      <c r="F3452" t="s">
        <v>31</v>
      </c>
      <c r="G3452" t="s">
        <v>65</v>
      </c>
      <c r="H3452" t="s">
        <v>26</v>
      </c>
      <c r="I3452" t="s">
        <v>42</v>
      </c>
      <c r="J3452" t="s">
        <v>76</v>
      </c>
      <c r="K3452">
        <v>1</v>
      </c>
      <c r="L3452" s="2">
        <v>90.75</v>
      </c>
      <c r="M3452" s="3">
        <v>0.05</v>
      </c>
      <c r="N3452" t="s">
        <v>29</v>
      </c>
      <c r="O3452" s="2">
        <v>86.21</v>
      </c>
      <c r="P3452" s="2">
        <v>58.44</v>
      </c>
      <c r="Q3452" s="2">
        <v>27.77</v>
      </c>
      <c r="R3452">
        <v>1</v>
      </c>
      <c r="S3452">
        <v>0</v>
      </c>
      <c r="T3452">
        <v>7</v>
      </c>
      <c r="U3452">
        <v>3</v>
      </c>
    </row>
    <row r="3453" spans="1:21" ht="16.5" x14ac:dyDescent="0.3">
      <c r="A3453" t="s">
        <v>3541</v>
      </c>
      <c r="B3453" s="1">
        <v>45800</v>
      </c>
      <c r="C3453">
        <v>2025</v>
      </c>
      <c r="D3453" t="s">
        <v>599</v>
      </c>
      <c r="E3453" t="s">
        <v>802</v>
      </c>
      <c r="F3453" t="s">
        <v>31</v>
      </c>
      <c r="G3453" t="s">
        <v>25</v>
      </c>
      <c r="H3453" t="s">
        <v>32</v>
      </c>
      <c r="I3453" t="s">
        <v>27</v>
      </c>
      <c r="J3453" t="s">
        <v>28</v>
      </c>
      <c r="K3453">
        <v>1</v>
      </c>
      <c r="L3453" s="2">
        <v>138.5</v>
      </c>
      <c r="M3453" s="3">
        <v>0.05</v>
      </c>
      <c r="N3453" t="s">
        <v>29</v>
      </c>
      <c r="O3453" s="2">
        <v>131.57</v>
      </c>
      <c r="P3453" s="2">
        <v>76.03</v>
      </c>
      <c r="Q3453" s="2">
        <v>55.54</v>
      </c>
      <c r="R3453">
        <v>1</v>
      </c>
      <c r="S3453">
        <v>0</v>
      </c>
      <c r="T3453">
        <v>5</v>
      </c>
      <c r="U3453">
        <v>5</v>
      </c>
    </row>
    <row r="3454" spans="1:21" ht="16.5" x14ac:dyDescent="0.3">
      <c r="A3454" t="s">
        <v>3542</v>
      </c>
      <c r="B3454" s="1">
        <v>45800</v>
      </c>
      <c r="C3454">
        <v>2025</v>
      </c>
      <c r="D3454" t="s">
        <v>599</v>
      </c>
      <c r="E3454" t="s">
        <v>802</v>
      </c>
      <c r="F3454" t="s">
        <v>24</v>
      </c>
      <c r="G3454" t="s">
        <v>49</v>
      </c>
      <c r="H3454" t="s">
        <v>32</v>
      </c>
      <c r="I3454" t="s">
        <v>27</v>
      </c>
      <c r="J3454" t="s">
        <v>110</v>
      </c>
      <c r="K3454">
        <v>1</v>
      </c>
      <c r="L3454" s="2">
        <v>19.41</v>
      </c>
      <c r="M3454" s="3">
        <v>0.2</v>
      </c>
      <c r="N3454" t="s">
        <v>34</v>
      </c>
      <c r="O3454" s="2">
        <v>15.53</v>
      </c>
      <c r="P3454" s="2">
        <v>10.44</v>
      </c>
      <c r="Q3454" s="2">
        <v>5.09</v>
      </c>
      <c r="R3454">
        <v>1</v>
      </c>
      <c r="S3454">
        <v>0</v>
      </c>
      <c r="T3454">
        <v>4</v>
      </c>
      <c r="U3454">
        <v>4</v>
      </c>
    </row>
    <row r="3455" spans="1:21" ht="16.5" x14ac:dyDescent="0.3">
      <c r="A3455" t="s">
        <v>3543</v>
      </c>
      <c r="B3455" s="1">
        <v>45800</v>
      </c>
      <c r="C3455">
        <v>2025</v>
      </c>
      <c r="D3455" t="s">
        <v>599</v>
      </c>
      <c r="E3455" t="s">
        <v>802</v>
      </c>
      <c r="F3455" t="s">
        <v>31</v>
      </c>
      <c r="G3455" t="s">
        <v>25</v>
      </c>
      <c r="H3455" t="s">
        <v>32</v>
      </c>
      <c r="I3455" t="s">
        <v>42</v>
      </c>
      <c r="J3455" t="s">
        <v>58</v>
      </c>
      <c r="K3455">
        <v>1</v>
      </c>
      <c r="L3455" s="2">
        <v>233.81</v>
      </c>
      <c r="M3455" s="3">
        <v>0.3</v>
      </c>
      <c r="N3455" t="s">
        <v>62</v>
      </c>
      <c r="O3455" s="2">
        <v>163.66999999999999</v>
      </c>
      <c r="P3455" s="2">
        <v>155.04</v>
      </c>
      <c r="Q3455" s="2">
        <v>8.6300000000000008</v>
      </c>
      <c r="R3455">
        <v>1</v>
      </c>
      <c r="S3455">
        <v>0</v>
      </c>
      <c r="T3455">
        <v>5</v>
      </c>
      <c r="U3455">
        <v>4</v>
      </c>
    </row>
    <row r="3456" spans="1:21" ht="16.5" x14ac:dyDescent="0.3">
      <c r="A3456" t="s">
        <v>3544</v>
      </c>
      <c r="B3456" s="1">
        <v>45800</v>
      </c>
      <c r="C3456">
        <v>2025</v>
      </c>
      <c r="D3456" t="s">
        <v>599</v>
      </c>
      <c r="E3456" t="s">
        <v>802</v>
      </c>
      <c r="F3456" t="s">
        <v>24</v>
      </c>
      <c r="G3456" t="s">
        <v>49</v>
      </c>
      <c r="H3456" t="s">
        <v>32</v>
      </c>
      <c r="I3456" t="s">
        <v>67</v>
      </c>
      <c r="J3456" t="s">
        <v>174</v>
      </c>
      <c r="K3456">
        <v>2</v>
      </c>
      <c r="L3456" s="2">
        <v>137.05000000000001</v>
      </c>
      <c r="M3456" s="3">
        <v>0.15</v>
      </c>
      <c r="N3456" t="s">
        <v>34</v>
      </c>
      <c r="O3456" s="2">
        <v>232.98</v>
      </c>
      <c r="P3456" s="2">
        <v>174.36</v>
      </c>
      <c r="Q3456" s="2">
        <v>58.62</v>
      </c>
      <c r="R3456">
        <v>1</v>
      </c>
      <c r="S3456">
        <v>0</v>
      </c>
      <c r="T3456">
        <v>4</v>
      </c>
      <c r="U3456">
        <v>5</v>
      </c>
    </row>
    <row r="3457" spans="1:21" ht="16.5" x14ac:dyDescent="0.3">
      <c r="A3457" t="s">
        <v>3545</v>
      </c>
      <c r="B3457" s="1">
        <v>45801</v>
      </c>
      <c r="C3457">
        <v>2025</v>
      </c>
      <c r="D3457" t="s">
        <v>599</v>
      </c>
      <c r="E3457" t="s">
        <v>802</v>
      </c>
      <c r="F3457" t="s">
        <v>24</v>
      </c>
      <c r="G3457" t="s">
        <v>65</v>
      </c>
      <c r="H3457" t="s">
        <v>26</v>
      </c>
      <c r="I3457" t="s">
        <v>70</v>
      </c>
      <c r="J3457" t="s">
        <v>162</v>
      </c>
      <c r="K3457">
        <v>1</v>
      </c>
      <c r="L3457" s="2">
        <v>636.09</v>
      </c>
      <c r="M3457" s="3">
        <v>0</v>
      </c>
      <c r="N3457" t="s">
        <v>38</v>
      </c>
      <c r="O3457" s="2">
        <v>636.09</v>
      </c>
      <c r="P3457" s="2">
        <v>502.83</v>
      </c>
      <c r="Q3457" s="2">
        <v>133.26</v>
      </c>
      <c r="R3457">
        <v>1</v>
      </c>
      <c r="S3457">
        <v>0</v>
      </c>
      <c r="T3457">
        <v>7</v>
      </c>
      <c r="U3457">
        <v>4</v>
      </c>
    </row>
    <row r="3458" spans="1:21" ht="16.5" x14ac:dyDescent="0.3">
      <c r="A3458" t="s">
        <v>3546</v>
      </c>
      <c r="B3458" s="1">
        <v>45801</v>
      </c>
      <c r="C3458">
        <v>2025</v>
      </c>
      <c r="D3458" t="s">
        <v>599</v>
      </c>
      <c r="E3458" t="s">
        <v>802</v>
      </c>
      <c r="F3458" t="s">
        <v>24</v>
      </c>
      <c r="G3458" t="s">
        <v>65</v>
      </c>
      <c r="H3458" t="s">
        <v>32</v>
      </c>
      <c r="I3458" t="s">
        <v>70</v>
      </c>
      <c r="J3458" t="s">
        <v>129</v>
      </c>
      <c r="K3458">
        <v>2</v>
      </c>
      <c r="L3458" s="2">
        <v>177.65</v>
      </c>
      <c r="M3458" s="3">
        <v>0</v>
      </c>
      <c r="N3458" t="s">
        <v>38</v>
      </c>
      <c r="O3458" s="2">
        <v>355.3</v>
      </c>
      <c r="P3458" s="2">
        <v>276.26</v>
      </c>
      <c r="Q3458" s="2">
        <v>79.040000000000006</v>
      </c>
      <c r="R3458">
        <v>1</v>
      </c>
      <c r="S3458">
        <v>0</v>
      </c>
      <c r="T3458">
        <v>5</v>
      </c>
      <c r="U3458">
        <v>4</v>
      </c>
    </row>
    <row r="3459" spans="1:21" ht="16.5" x14ac:dyDescent="0.3">
      <c r="A3459" t="s">
        <v>3547</v>
      </c>
      <c r="B3459" s="1">
        <v>45801</v>
      </c>
      <c r="C3459">
        <v>2025</v>
      </c>
      <c r="D3459" t="s">
        <v>599</v>
      </c>
      <c r="E3459" t="s">
        <v>802</v>
      </c>
      <c r="F3459" t="s">
        <v>31</v>
      </c>
      <c r="G3459" t="s">
        <v>49</v>
      </c>
      <c r="H3459" t="s">
        <v>26</v>
      </c>
      <c r="I3459" t="s">
        <v>27</v>
      </c>
      <c r="J3459" t="s">
        <v>33</v>
      </c>
      <c r="K3459">
        <v>1</v>
      </c>
      <c r="L3459" s="2">
        <v>78.510000000000005</v>
      </c>
      <c r="M3459" s="3">
        <v>0.1</v>
      </c>
      <c r="N3459" t="s">
        <v>29</v>
      </c>
      <c r="O3459" s="2">
        <v>70.66</v>
      </c>
      <c r="P3459" s="2">
        <v>45.45</v>
      </c>
      <c r="Q3459" s="2">
        <v>25.21</v>
      </c>
      <c r="R3459">
        <v>1</v>
      </c>
      <c r="S3459">
        <v>0</v>
      </c>
      <c r="T3459">
        <v>4</v>
      </c>
      <c r="U3459">
        <v>3</v>
      </c>
    </row>
    <row r="3460" spans="1:21" ht="16.5" x14ac:dyDescent="0.3">
      <c r="A3460" t="s">
        <v>3548</v>
      </c>
      <c r="B3460" s="1">
        <v>45801</v>
      </c>
      <c r="C3460">
        <v>2025</v>
      </c>
      <c r="D3460" t="s">
        <v>599</v>
      </c>
      <c r="E3460" t="s">
        <v>802</v>
      </c>
      <c r="F3460" t="s">
        <v>45</v>
      </c>
      <c r="G3460" t="s">
        <v>49</v>
      </c>
      <c r="H3460" t="s">
        <v>32</v>
      </c>
      <c r="I3460" t="s">
        <v>36</v>
      </c>
      <c r="J3460" t="s">
        <v>37</v>
      </c>
      <c r="K3460">
        <v>2</v>
      </c>
      <c r="L3460" s="2">
        <v>33.18</v>
      </c>
      <c r="M3460" s="3">
        <v>0</v>
      </c>
      <c r="N3460" t="s">
        <v>38</v>
      </c>
      <c r="O3460" s="2">
        <v>66.36</v>
      </c>
      <c r="P3460" s="2">
        <v>30.63</v>
      </c>
      <c r="Q3460" s="2">
        <v>35.729999999999997</v>
      </c>
      <c r="R3460">
        <v>1</v>
      </c>
      <c r="S3460">
        <v>0</v>
      </c>
      <c r="T3460">
        <v>4</v>
      </c>
      <c r="U3460">
        <v>5</v>
      </c>
    </row>
    <row r="3461" spans="1:21" ht="16.5" x14ac:dyDescent="0.3">
      <c r="A3461" t="s">
        <v>3549</v>
      </c>
      <c r="B3461" s="1">
        <v>45801</v>
      </c>
      <c r="C3461">
        <v>2025</v>
      </c>
      <c r="D3461" t="s">
        <v>599</v>
      </c>
      <c r="E3461" t="s">
        <v>802</v>
      </c>
      <c r="F3461" t="s">
        <v>31</v>
      </c>
      <c r="G3461" t="s">
        <v>25</v>
      </c>
      <c r="H3461" t="s">
        <v>32</v>
      </c>
      <c r="I3461" t="s">
        <v>42</v>
      </c>
      <c r="J3461" t="s">
        <v>98</v>
      </c>
      <c r="K3461">
        <v>1</v>
      </c>
      <c r="L3461" s="2">
        <v>117.63</v>
      </c>
      <c r="M3461" s="3">
        <v>0</v>
      </c>
      <c r="N3461" t="s">
        <v>38</v>
      </c>
      <c r="O3461" s="2">
        <v>117.63</v>
      </c>
      <c r="P3461" s="2">
        <v>74.569999999999993</v>
      </c>
      <c r="Q3461" s="2">
        <v>43.06</v>
      </c>
      <c r="R3461">
        <v>1</v>
      </c>
      <c r="S3461">
        <v>0</v>
      </c>
      <c r="T3461">
        <v>4</v>
      </c>
      <c r="U3461">
        <v>4</v>
      </c>
    </row>
    <row r="3462" spans="1:21" ht="16.5" x14ac:dyDescent="0.3">
      <c r="A3462" t="s">
        <v>3550</v>
      </c>
      <c r="B3462" s="1">
        <v>45801</v>
      </c>
      <c r="C3462">
        <v>2025</v>
      </c>
      <c r="D3462" t="s">
        <v>599</v>
      </c>
      <c r="E3462" t="s">
        <v>802</v>
      </c>
      <c r="F3462" t="s">
        <v>24</v>
      </c>
      <c r="G3462" t="s">
        <v>65</v>
      </c>
      <c r="H3462" t="s">
        <v>32</v>
      </c>
      <c r="I3462" t="s">
        <v>70</v>
      </c>
      <c r="J3462" t="s">
        <v>252</v>
      </c>
      <c r="K3462">
        <v>1</v>
      </c>
      <c r="L3462" s="2">
        <v>216.08</v>
      </c>
      <c r="M3462" s="3">
        <v>0.05</v>
      </c>
      <c r="N3462" t="s">
        <v>29</v>
      </c>
      <c r="O3462" s="2">
        <v>205.28</v>
      </c>
      <c r="P3462" s="2">
        <v>169.66</v>
      </c>
      <c r="Q3462" s="2">
        <v>35.619999999999997</v>
      </c>
      <c r="R3462">
        <v>1</v>
      </c>
      <c r="S3462">
        <v>0</v>
      </c>
      <c r="T3462">
        <v>7</v>
      </c>
      <c r="U3462">
        <v>4</v>
      </c>
    </row>
    <row r="3463" spans="1:21" ht="16.5" x14ac:dyDescent="0.3">
      <c r="A3463" t="s">
        <v>3551</v>
      </c>
      <c r="B3463" s="1">
        <v>45801</v>
      </c>
      <c r="C3463">
        <v>2025</v>
      </c>
      <c r="D3463" t="s">
        <v>599</v>
      </c>
      <c r="E3463" t="s">
        <v>802</v>
      </c>
      <c r="F3463" t="s">
        <v>31</v>
      </c>
      <c r="G3463" t="s">
        <v>49</v>
      </c>
      <c r="H3463" t="s">
        <v>26</v>
      </c>
      <c r="I3463" t="s">
        <v>27</v>
      </c>
      <c r="J3463" t="s">
        <v>110</v>
      </c>
      <c r="K3463">
        <v>2</v>
      </c>
      <c r="L3463" s="2">
        <v>19.41</v>
      </c>
      <c r="M3463" s="3">
        <v>0.05</v>
      </c>
      <c r="N3463" t="s">
        <v>29</v>
      </c>
      <c r="O3463" s="2">
        <v>36.880000000000003</v>
      </c>
      <c r="P3463" s="2">
        <v>21.12</v>
      </c>
      <c r="Q3463" s="2">
        <v>15.76</v>
      </c>
      <c r="R3463">
        <v>1</v>
      </c>
      <c r="S3463">
        <v>0</v>
      </c>
      <c r="T3463">
        <v>4</v>
      </c>
      <c r="U3463">
        <v>5</v>
      </c>
    </row>
    <row r="3464" spans="1:21" ht="16.5" x14ac:dyDescent="0.3">
      <c r="A3464" t="s">
        <v>3552</v>
      </c>
      <c r="B3464" s="1">
        <v>45801</v>
      </c>
      <c r="C3464">
        <v>2025</v>
      </c>
      <c r="D3464" t="s">
        <v>599</v>
      </c>
      <c r="E3464" t="s">
        <v>802</v>
      </c>
      <c r="F3464" t="s">
        <v>45</v>
      </c>
      <c r="G3464" t="s">
        <v>49</v>
      </c>
      <c r="H3464" t="s">
        <v>26</v>
      </c>
      <c r="I3464" t="s">
        <v>70</v>
      </c>
      <c r="J3464" t="s">
        <v>71</v>
      </c>
      <c r="K3464">
        <v>1</v>
      </c>
      <c r="L3464" s="2">
        <v>588.41</v>
      </c>
      <c r="M3464" s="3">
        <v>0.15</v>
      </c>
      <c r="N3464" t="s">
        <v>34</v>
      </c>
      <c r="O3464" s="2">
        <v>500.15</v>
      </c>
      <c r="P3464" s="2">
        <v>459.56</v>
      </c>
      <c r="Q3464" s="2">
        <v>40.590000000000003</v>
      </c>
      <c r="R3464">
        <v>1</v>
      </c>
      <c r="S3464">
        <v>0</v>
      </c>
      <c r="T3464">
        <v>3</v>
      </c>
      <c r="U3464">
        <v>4</v>
      </c>
    </row>
    <row r="3465" spans="1:21" ht="16.5" x14ac:dyDescent="0.3">
      <c r="A3465" t="s">
        <v>3553</v>
      </c>
      <c r="B3465" s="1">
        <v>45801</v>
      </c>
      <c r="C3465">
        <v>2025</v>
      </c>
      <c r="D3465" t="s">
        <v>599</v>
      </c>
      <c r="E3465" t="s">
        <v>802</v>
      </c>
      <c r="F3465" t="s">
        <v>31</v>
      </c>
      <c r="G3465" t="s">
        <v>49</v>
      </c>
      <c r="H3465" t="s">
        <v>32</v>
      </c>
      <c r="I3465" t="s">
        <v>84</v>
      </c>
      <c r="J3465" t="s">
        <v>106</v>
      </c>
      <c r="K3465">
        <v>2</v>
      </c>
      <c r="L3465" s="2">
        <v>45.28</v>
      </c>
      <c r="M3465" s="3">
        <v>0</v>
      </c>
      <c r="N3465" t="s">
        <v>38</v>
      </c>
      <c r="O3465" s="2">
        <v>90.56</v>
      </c>
      <c r="P3465" s="2">
        <v>65.290000000000006</v>
      </c>
      <c r="Q3465" s="2">
        <v>25.27</v>
      </c>
      <c r="R3465">
        <v>1</v>
      </c>
      <c r="S3465">
        <v>0</v>
      </c>
      <c r="T3465">
        <v>3</v>
      </c>
      <c r="U3465">
        <v>4</v>
      </c>
    </row>
    <row r="3466" spans="1:21" ht="16.5" x14ac:dyDescent="0.3">
      <c r="A3466" t="s">
        <v>3554</v>
      </c>
      <c r="B3466" s="1">
        <v>45801</v>
      </c>
      <c r="C3466">
        <v>2025</v>
      </c>
      <c r="D3466" t="s">
        <v>599</v>
      </c>
      <c r="E3466" t="s">
        <v>802</v>
      </c>
      <c r="F3466" t="s">
        <v>24</v>
      </c>
      <c r="G3466" t="s">
        <v>49</v>
      </c>
      <c r="H3466" t="s">
        <v>32</v>
      </c>
      <c r="I3466" t="s">
        <v>42</v>
      </c>
      <c r="J3466" t="s">
        <v>58</v>
      </c>
      <c r="K3466">
        <v>1</v>
      </c>
      <c r="L3466" s="2">
        <v>233.81</v>
      </c>
      <c r="M3466" s="3">
        <v>0</v>
      </c>
      <c r="N3466" t="s">
        <v>38</v>
      </c>
      <c r="O3466" s="2">
        <v>233.81</v>
      </c>
      <c r="P3466" s="2">
        <v>157.88999999999999</v>
      </c>
      <c r="Q3466" s="2">
        <v>75.92</v>
      </c>
      <c r="R3466">
        <v>1</v>
      </c>
      <c r="S3466">
        <v>0</v>
      </c>
      <c r="T3466">
        <v>4</v>
      </c>
      <c r="U3466">
        <v>4</v>
      </c>
    </row>
    <row r="3467" spans="1:21" ht="16.5" x14ac:dyDescent="0.3">
      <c r="A3467" t="s">
        <v>3555</v>
      </c>
      <c r="B3467" s="1">
        <v>45801</v>
      </c>
      <c r="C3467">
        <v>2025</v>
      </c>
      <c r="D3467" t="s">
        <v>599</v>
      </c>
      <c r="E3467" t="s">
        <v>802</v>
      </c>
      <c r="F3467" t="s">
        <v>31</v>
      </c>
      <c r="G3467" t="s">
        <v>25</v>
      </c>
      <c r="H3467" t="s">
        <v>26</v>
      </c>
      <c r="I3467" t="s">
        <v>27</v>
      </c>
      <c r="J3467" t="s">
        <v>40</v>
      </c>
      <c r="K3467">
        <v>2</v>
      </c>
      <c r="L3467" s="2">
        <v>104.94</v>
      </c>
      <c r="M3467" s="3">
        <v>0</v>
      </c>
      <c r="N3467" t="s">
        <v>38</v>
      </c>
      <c r="O3467" s="2">
        <v>209.88</v>
      </c>
      <c r="P3467" s="2">
        <v>116.79</v>
      </c>
      <c r="Q3467" s="2">
        <v>93.09</v>
      </c>
      <c r="R3467">
        <v>1</v>
      </c>
      <c r="S3467">
        <v>1</v>
      </c>
      <c r="T3467">
        <v>3</v>
      </c>
      <c r="U3467">
        <v>2</v>
      </c>
    </row>
    <row r="3468" spans="1:21" ht="16.5" x14ac:dyDescent="0.3">
      <c r="A3468" t="s">
        <v>3556</v>
      </c>
      <c r="B3468" s="1">
        <v>45802</v>
      </c>
      <c r="C3468">
        <v>2025</v>
      </c>
      <c r="D3468" t="s">
        <v>599</v>
      </c>
      <c r="E3468" t="s">
        <v>802</v>
      </c>
      <c r="F3468" t="s">
        <v>24</v>
      </c>
      <c r="G3468" t="s">
        <v>25</v>
      </c>
      <c r="H3468" t="s">
        <v>32</v>
      </c>
      <c r="I3468" t="s">
        <v>27</v>
      </c>
      <c r="J3468" t="s">
        <v>33</v>
      </c>
      <c r="K3468">
        <v>1</v>
      </c>
      <c r="L3468" s="2">
        <v>78.510000000000005</v>
      </c>
      <c r="M3468" s="3">
        <v>0</v>
      </c>
      <c r="N3468" t="s">
        <v>38</v>
      </c>
      <c r="O3468" s="2">
        <v>78.510000000000005</v>
      </c>
      <c r="P3468" s="2">
        <v>42.53</v>
      </c>
      <c r="Q3468" s="2">
        <v>35.979999999999997</v>
      </c>
      <c r="R3468">
        <v>1</v>
      </c>
      <c r="S3468">
        <v>0</v>
      </c>
      <c r="T3468">
        <v>4</v>
      </c>
      <c r="U3468">
        <v>4</v>
      </c>
    </row>
    <row r="3469" spans="1:21" ht="16.5" x14ac:dyDescent="0.3">
      <c r="A3469" t="s">
        <v>3557</v>
      </c>
      <c r="B3469" s="1">
        <v>45802</v>
      </c>
      <c r="C3469">
        <v>2025</v>
      </c>
      <c r="D3469" t="s">
        <v>599</v>
      </c>
      <c r="E3469" t="s">
        <v>802</v>
      </c>
      <c r="F3469" t="s">
        <v>31</v>
      </c>
      <c r="G3469" t="s">
        <v>49</v>
      </c>
      <c r="H3469" t="s">
        <v>26</v>
      </c>
      <c r="I3469" t="s">
        <v>70</v>
      </c>
      <c r="J3469" t="s">
        <v>129</v>
      </c>
      <c r="K3469">
        <v>1</v>
      </c>
      <c r="L3469" s="2">
        <v>177.65</v>
      </c>
      <c r="M3469" s="3">
        <v>0.15</v>
      </c>
      <c r="N3469" t="s">
        <v>34</v>
      </c>
      <c r="O3469" s="2">
        <v>151</v>
      </c>
      <c r="P3469" s="2">
        <v>137.16999999999999</v>
      </c>
      <c r="Q3469" s="2">
        <v>13.83</v>
      </c>
      <c r="R3469">
        <v>1</v>
      </c>
      <c r="S3469">
        <v>0</v>
      </c>
      <c r="T3469">
        <v>5</v>
      </c>
      <c r="U3469">
        <v>5</v>
      </c>
    </row>
    <row r="3470" spans="1:21" ht="16.5" x14ac:dyDescent="0.3">
      <c r="A3470" t="s">
        <v>3558</v>
      </c>
      <c r="B3470" s="1">
        <v>45802</v>
      </c>
      <c r="C3470">
        <v>2025</v>
      </c>
      <c r="D3470" t="s">
        <v>599</v>
      </c>
      <c r="E3470" t="s">
        <v>802</v>
      </c>
      <c r="F3470" t="s">
        <v>31</v>
      </c>
      <c r="G3470" t="s">
        <v>49</v>
      </c>
      <c r="H3470" t="s">
        <v>32</v>
      </c>
      <c r="I3470" t="s">
        <v>36</v>
      </c>
      <c r="J3470" t="s">
        <v>115</v>
      </c>
      <c r="K3470">
        <v>3</v>
      </c>
      <c r="L3470" s="2">
        <v>33.479999999999997</v>
      </c>
      <c r="M3470" s="3">
        <v>0.2</v>
      </c>
      <c r="N3470" t="s">
        <v>34</v>
      </c>
      <c r="O3470" s="2">
        <v>80.349999999999994</v>
      </c>
      <c r="P3470" s="2">
        <v>46.56</v>
      </c>
      <c r="Q3470" s="2">
        <v>33.79</v>
      </c>
      <c r="R3470">
        <v>1</v>
      </c>
      <c r="S3470">
        <v>0</v>
      </c>
      <c r="T3470">
        <v>3</v>
      </c>
      <c r="U3470">
        <v>5</v>
      </c>
    </row>
    <row r="3471" spans="1:21" ht="16.5" x14ac:dyDescent="0.3">
      <c r="A3471" t="s">
        <v>3559</v>
      </c>
      <c r="B3471" s="1">
        <v>45802</v>
      </c>
      <c r="C3471">
        <v>2025</v>
      </c>
      <c r="D3471" t="s">
        <v>599</v>
      </c>
      <c r="E3471" t="s">
        <v>802</v>
      </c>
      <c r="F3471" t="s">
        <v>31</v>
      </c>
      <c r="G3471" t="s">
        <v>51</v>
      </c>
      <c r="H3471" t="s">
        <v>32</v>
      </c>
      <c r="I3471" t="s">
        <v>70</v>
      </c>
      <c r="J3471" t="s">
        <v>82</v>
      </c>
      <c r="K3471">
        <v>1</v>
      </c>
      <c r="L3471" s="2">
        <v>508.8</v>
      </c>
      <c r="M3471" s="3">
        <v>0</v>
      </c>
      <c r="N3471" t="s">
        <v>38</v>
      </c>
      <c r="O3471" s="2">
        <v>508.8</v>
      </c>
      <c r="P3471" s="2">
        <v>406.47</v>
      </c>
      <c r="Q3471" s="2">
        <v>102.33</v>
      </c>
      <c r="R3471">
        <v>1</v>
      </c>
      <c r="S3471">
        <v>0</v>
      </c>
      <c r="T3471">
        <v>3</v>
      </c>
      <c r="U3471">
        <v>5</v>
      </c>
    </row>
    <row r="3472" spans="1:21" ht="16.5" x14ac:dyDescent="0.3">
      <c r="A3472" t="s">
        <v>3560</v>
      </c>
      <c r="B3472" s="1">
        <v>45802</v>
      </c>
      <c r="C3472">
        <v>2025</v>
      </c>
      <c r="D3472" t="s">
        <v>599</v>
      </c>
      <c r="E3472" t="s">
        <v>802</v>
      </c>
      <c r="F3472" t="s">
        <v>45</v>
      </c>
      <c r="G3472" t="s">
        <v>51</v>
      </c>
      <c r="H3472" t="s">
        <v>26</v>
      </c>
      <c r="I3472" t="s">
        <v>42</v>
      </c>
      <c r="J3472" t="s">
        <v>98</v>
      </c>
      <c r="K3472">
        <v>1</v>
      </c>
      <c r="L3472" s="2">
        <v>117.63</v>
      </c>
      <c r="M3472" s="3">
        <v>0</v>
      </c>
      <c r="N3472" t="s">
        <v>38</v>
      </c>
      <c r="O3472" s="2">
        <v>117.63</v>
      </c>
      <c r="P3472" s="2">
        <v>76.91</v>
      </c>
      <c r="Q3472" s="2">
        <v>40.72</v>
      </c>
      <c r="R3472">
        <v>1</v>
      </c>
      <c r="S3472">
        <v>0</v>
      </c>
      <c r="T3472">
        <v>2</v>
      </c>
      <c r="U3472">
        <v>3</v>
      </c>
    </row>
    <row r="3473" spans="1:21" ht="16.5" x14ac:dyDescent="0.3">
      <c r="A3473" t="s">
        <v>3561</v>
      </c>
      <c r="B3473" s="1">
        <v>45803</v>
      </c>
      <c r="C3473">
        <v>2025</v>
      </c>
      <c r="D3473" t="s">
        <v>599</v>
      </c>
      <c r="E3473" t="s">
        <v>802</v>
      </c>
      <c r="F3473" t="s">
        <v>31</v>
      </c>
      <c r="G3473" t="s">
        <v>46</v>
      </c>
      <c r="H3473" t="s">
        <v>32</v>
      </c>
      <c r="I3473" t="s">
        <v>67</v>
      </c>
      <c r="J3473" t="s">
        <v>93</v>
      </c>
      <c r="K3473">
        <v>1</v>
      </c>
      <c r="L3473" s="2">
        <v>198.42</v>
      </c>
      <c r="M3473" s="3">
        <v>0</v>
      </c>
      <c r="N3473" t="s">
        <v>38</v>
      </c>
      <c r="O3473" s="2">
        <v>198.42</v>
      </c>
      <c r="P3473" s="2">
        <v>131.72999999999999</v>
      </c>
      <c r="Q3473" s="2">
        <v>66.69</v>
      </c>
      <c r="R3473">
        <v>1</v>
      </c>
      <c r="S3473">
        <v>0</v>
      </c>
      <c r="T3473">
        <v>8</v>
      </c>
      <c r="U3473">
        <v>4</v>
      </c>
    </row>
    <row r="3474" spans="1:21" ht="16.5" x14ac:dyDescent="0.3">
      <c r="A3474" t="s">
        <v>3562</v>
      </c>
      <c r="B3474" s="1">
        <v>45803</v>
      </c>
      <c r="C3474">
        <v>2025</v>
      </c>
      <c r="D3474" t="s">
        <v>599</v>
      </c>
      <c r="E3474" t="s">
        <v>802</v>
      </c>
      <c r="F3474" t="s">
        <v>45</v>
      </c>
      <c r="G3474" t="s">
        <v>46</v>
      </c>
      <c r="H3474" t="s">
        <v>32</v>
      </c>
      <c r="I3474" t="s">
        <v>67</v>
      </c>
      <c r="J3474" t="s">
        <v>103</v>
      </c>
      <c r="K3474">
        <v>1</v>
      </c>
      <c r="L3474" s="2">
        <v>83.06</v>
      </c>
      <c r="M3474" s="3">
        <v>0.3</v>
      </c>
      <c r="N3474" t="s">
        <v>62</v>
      </c>
      <c r="O3474" s="2">
        <v>58.14</v>
      </c>
      <c r="P3474" s="2">
        <v>51.86</v>
      </c>
      <c r="Q3474" s="2">
        <v>6.28</v>
      </c>
      <c r="R3474">
        <v>1</v>
      </c>
      <c r="S3474">
        <v>0</v>
      </c>
      <c r="T3474">
        <v>6</v>
      </c>
      <c r="U3474">
        <v>3</v>
      </c>
    </row>
    <row r="3475" spans="1:21" ht="16.5" x14ac:dyDescent="0.3">
      <c r="A3475" t="s">
        <v>3563</v>
      </c>
      <c r="B3475" s="1">
        <v>45803</v>
      </c>
      <c r="C3475">
        <v>2025</v>
      </c>
      <c r="D3475" t="s">
        <v>599</v>
      </c>
      <c r="E3475" t="s">
        <v>802</v>
      </c>
      <c r="F3475" t="s">
        <v>24</v>
      </c>
      <c r="G3475" t="s">
        <v>49</v>
      </c>
      <c r="H3475" t="s">
        <v>32</v>
      </c>
      <c r="I3475" t="s">
        <v>67</v>
      </c>
      <c r="J3475" t="s">
        <v>103</v>
      </c>
      <c r="K3475">
        <v>2</v>
      </c>
      <c r="L3475" s="2">
        <v>83.06</v>
      </c>
      <c r="M3475" s="3">
        <v>0</v>
      </c>
      <c r="N3475" t="s">
        <v>38</v>
      </c>
      <c r="O3475" s="2">
        <v>166.12</v>
      </c>
      <c r="P3475" s="2">
        <v>115.37</v>
      </c>
      <c r="Q3475" s="2">
        <v>50.75</v>
      </c>
      <c r="R3475">
        <v>1</v>
      </c>
      <c r="S3475">
        <v>0</v>
      </c>
      <c r="T3475">
        <v>4</v>
      </c>
      <c r="U3475">
        <v>3</v>
      </c>
    </row>
    <row r="3476" spans="1:21" ht="16.5" x14ac:dyDescent="0.3">
      <c r="A3476" t="s">
        <v>3564</v>
      </c>
      <c r="B3476" s="1">
        <v>45803</v>
      </c>
      <c r="C3476">
        <v>2025</v>
      </c>
      <c r="D3476" t="s">
        <v>599</v>
      </c>
      <c r="E3476" t="s">
        <v>802</v>
      </c>
      <c r="F3476" t="s">
        <v>31</v>
      </c>
      <c r="G3476" t="s">
        <v>25</v>
      </c>
      <c r="H3476" t="s">
        <v>32</v>
      </c>
      <c r="I3476" t="s">
        <v>36</v>
      </c>
      <c r="J3476" t="s">
        <v>126</v>
      </c>
      <c r="K3476">
        <v>1</v>
      </c>
      <c r="L3476" s="2">
        <v>54.56</v>
      </c>
      <c r="M3476" s="3">
        <v>0.05</v>
      </c>
      <c r="N3476" t="s">
        <v>29</v>
      </c>
      <c r="O3476" s="2">
        <v>51.83</v>
      </c>
      <c r="P3476" s="2">
        <v>26.33</v>
      </c>
      <c r="Q3476" s="2">
        <v>25.5</v>
      </c>
      <c r="R3476">
        <v>1</v>
      </c>
      <c r="S3476">
        <v>0</v>
      </c>
      <c r="T3476">
        <v>3</v>
      </c>
      <c r="U3476">
        <v>5</v>
      </c>
    </row>
    <row r="3477" spans="1:21" ht="16.5" x14ac:dyDescent="0.3">
      <c r="A3477" t="s">
        <v>3565</v>
      </c>
      <c r="B3477" s="1">
        <v>45803</v>
      </c>
      <c r="C3477">
        <v>2025</v>
      </c>
      <c r="D3477" t="s">
        <v>599</v>
      </c>
      <c r="E3477" t="s">
        <v>802</v>
      </c>
      <c r="F3477" t="s">
        <v>45</v>
      </c>
      <c r="G3477" t="s">
        <v>49</v>
      </c>
      <c r="H3477" t="s">
        <v>26</v>
      </c>
      <c r="I3477" t="s">
        <v>84</v>
      </c>
      <c r="J3477" t="s">
        <v>223</v>
      </c>
      <c r="K3477">
        <v>1</v>
      </c>
      <c r="L3477" s="2">
        <v>16.97</v>
      </c>
      <c r="M3477" s="3">
        <v>0.2</v>
      </c>
      <c r="N3477" t="s">
        <v>34</v>
      </c>
      <c r="O3477" s="2">
        <v>13.58</v>
      </c>
      <c r="P3477" s="2">
        <v>12.11</v>
      </c>
      <c r="Q3477" s="2">
        <v>1.47</v>
      </c>
      <c r="R3477">
        <v>1</v>
      </c>
      <c r="S3477">
        <v>0</v>
      </c>
      <c r="T3477">
        <v>4</v>
      </c>
      <c r="U3477">
        <v>4</v>
      </c>
    </row>
    <row r="3478" spans="1:21" ht="16.5" x14ac:dyDescent="0.3">
      <c r="A3478" t="s">
        <v>3566</v>
      </c>
      <c r="B3478" s="1">
        <v>45803</v>
      </c>
      <c r="C3478">
        <v>2025</v>
      </c>
      <c r="D3478" t="s">
        <v>599</v>
      </c>
      <c r="E3478" t="s">
        <v>802</v>
      </c>
      <c r="F3478" t="s">
        <v>31</v>
      </c>
      <c r="G3478" t="s">
        <v>49</v>
      </c>
      <c r="H3478" t="s">
        <v>26</v>
      </c>
      <c r="I3478" t="s">
        <v>36</v>
      </c>
      <c r="J3478" t="s">
        <v>56</v>
      </c>
      <c r="K3478">
        <v>1</v>
      </c>
      <c r="L3478" s="2">
        <v>74.3</v>
      </c>
      <c r="M3478" s="3">
        <v>0.25</v>
      </c>
      <c r="N3478" t="s">
        <v>62</v>
      </c>
      <c r="O3478" s="2">
        <v>55.72</v>
      </c>
      <c r="P3478" s="2">
        <v>35.79</v>
      </c>
      <c r="Q3478" s="2">
        <v>19.93</v>
      </c>
      <c r="R3478">
        <v>1</v>
      </c>
      <c r="S3478">
        <v>0</v>
      </c>
      <c r="T3478">
        <v>3</v>
      </c>
      <c r="U3478">
        <v>5</v>
      </c>
    </row>
    <row r="3479" spans="1:21" ht="16.5" x14ac:dyDescent="0.3">
      <c r="A3479" t="s">
        <v>3567</v>
      </c>
      <c r="B3479" s="1">
        <v>45803</v>
      </c>
      <c r="C3479">
        <v>2025</v>
      </c>
      <c r="D3479" t="s">
        <v>599</v>
      </c>
      <c r="E3479" t="s">
        <v>802</v>
      </c>
      <c r="F3479" t="s">
        <v>24</v>
      </c>
      <c r="G3479" t="s">
        <v>49</v>
      </c>
      <c r="H3479" t="s">
        <v>32</v>
      </c>
      <c r="I3479" t="s">
        <v>42</v>
      </c>
      <c r="J3479" t="s">
        <v>54</v>
      </c>
      <c r="K3479">
        <v>1</v>
      </c>
      <c r="L3479" s="2">
        <v>148.05000000000001</v>
      </c>
      <c r="M3479" s="3">
        <v>0.15</v>
      </c>
      <c r="N3479" t="s">
        <v>34</v>
      </c>
      <c r="O3479" s="2">
        <v>125.84</v>
      </c>
      <c r="P3479" s="2">
        <v>102.41</v>
      </c>
      <c r="Q3479" s="2">
        <v>23.43</v>
      </c>
      <c r="R3479">
        <v>1</v>
      </c>
      <c r="S3479">
        <v>0</v>
      </c>
      <c r="T3479">
        <v>3</v>
      </c>
      <c r="U3479">
        <v>5</v>
      </c>
    </row>
    <row r="3480" spans="1:21" ht="16.5" x14ac:dyDescent="0.3">
      <c r="A3480" t="s">
        <v>3568</v>
      </c>
      <c r="B3480" s="1">
        <v>45804</v>
      </c>
      <c r="C3480">
        <v>2025</v>
      </c>
      <c r="D3480" t="s">
        <v>599</v>
      </c>
      <c r="E3480" t="s">
        <v>802</v>
      </c>
      <c r="F3480" t="s">
        <v>31</v>
      </c>
      <c r="G3480" t="s">
        <v>51</v>
      </c>
      <c r="H3480" t="s">
        <v>26</v>
      </c>
      <c r="I3480" t="s">
        <v>67</v>
      </c>
      <c r="J3480" t="s">
        <v>174</v>
      </c>
      <c r="K3480">
        <v>1</v>
      </c>
      <c r="L3480" s="2">
        <v>137.05000000000001</v>
      </c>
      <c r="M3480" s="3">
        <v>0.15</v>
      </c>
      <c r="N3480" t="s">
        <v>34</v>
      </c>
      <c r="O3480" s="2">
        <v>116.49</v>
      </c>
      <c r="P3480" s="2">
        <v>95.15</v>
      </c>
      <c r="Q3480" s="2">
        <v>21.34</v>
      </c>
      <c r="R3480">
        <v>1</v>
      </c>
      <c r="S3480">
        <v>0</v>
      </c>
      <c r="T3480">
        <v>3</v>
      </c>
      <c r="U3480">
        <v>5</v>
      </c>
    </row>
    <row r="3481" spans="1:21" ht="16.5" x14ac:dyDescent="0.3">
      <c r="A3481" t="s">
        <v>3569</v>
      </c>
      <c r="B3481" s="1">
        <v>45804</v>
      </c>
      <c r="C3481">
        <v>2025</v>
      </c>
      <c r="D3481" t="s">
        <v>599</v>
      </c>
      <c r="E3481" t="s">
        <v>802</v>
      </c>
      <c r="F3481" t="s">
        <v>24</v>
      </c>
      <c r="G3481" t="s">
        <v>46</v>
      </c>
      <c r="H3481" t="s">
        <v>32</v>
      </c>
      <c r="I3481" t="s">
        <v>67</v>
      </c>
      <c r="J3481" t="s">
        <v>78</v>
      </c>
      <c r="K3481">
        <v>1</v>
      </c>
      <c r="L3481" s="2">
        <v>85.42</v>
      </c>
      <c r="M3481" s="3">
        <v>0.2</v>
      </c>
      <c r="N3481" t="s">
        <v>34</v>
      </c>
      <c r="O3481" s="2">
        <v>68.34</v>
      </c>
      <c r="P3481" s="2">
        <v>56.94</v>
      </c>
      <c r="Q3481" s="2">
        <v>11.4</v>
      </c>
      <c r="R3481">
        <v>1</v>
      </c>
      <c r="S3481">
        <v>0</v>
      </c>
      <c r="T3481">
        <v>5</v>
      </c>
      <c r="U3481">
        <v>5</v>
      </c>
    </row>
    <row r="3482" spans="1:21" ht="16.5" x14ac:dyDescent="0.3">
      <c r="A3482" t="s">
        <v>3570</v>
      </c>
      <c r="B3482" s="1">
        <v>45804</v>
      </c>
      <c r="C3482">
        <v>2025</v>
      </c>
      <c r="D3482" t="s">
        <v>599</v>
      </c>
      <c r="E3482" t="s">
        <v>802</v>
      </c>
      <c r="F3482" t="s">
        <v>24</v>
      </c>
      <c r="G3482" t="s">
        <v>65</v>
      </c>
      <c r="H3482" t="s">
        <v>26</v>
      </c>
      <c r="I3482" t="s">
        <v>27</v>
      </c>
      <c r="J3482" t="s">
        <v>40</v>
      </c>
      <c r="K3482">
        <v>4</v>
      </c>
      <c r="L3482" s="2">
        <v>104.94</v>
      </c>
      <c r="M3482" s="3">
        <v>0.05</v>
      </c>
      <c r="N3482" t="s">
        <v>29</v>
      </c>
      <c r="O3482" s="2">
        <v>398.77</v>
      </c>
      <c r="P3482" s="2">
        <v>205.39</v>
      </c>
      <c r="Q3482" s="2">
        <v>193.38</v>
      </c>
      <c r="R3482">
        <v>1</v>
      </c>
      <c r="S3482">
        <v>0</v>
      </c>
      <c r="T3482">
        <v>5</v>
      </c>
      <c r="U3482">
        <v>5</v>
      </c>
    </row>
    <row r="3483" spans="1:21" ht="16.5" x14ac:dyDescent="0.3">
      <c r="A3483" t="s">
        <v>3571</v>
      </c>
      <c r="B3483" s="1">
        <v>45804</v>
      </c>
      <c r="C3483">
        <v>2025</v>
      </c>
      <c r="D3483" t="s">
        <v>599</v>
      </c>
      <c r="E3483" t="s">
        <v>802</v>
      </c>
      <c r="F3483" t="s">
        <v>24</v>
      </c>
      <c r="G3483" t="s">
        <v>25</v>
      </c>
      <c r="H3483" t="s">
        <v>26</v>
      </c>
      <c r="I3483" t="s">
        <v>36</v>
      </c>
      <c r="J3483" t="s">
        <v>126</v>
      </c>
      <c r="K3483">
        <v>1</v>
      </c>
      <c r="L3483" s="2">
        <v>54.56</v>
      </c>
      <c r="M3483" s="3">
        <v>0.3</v>
      </c>
      <c r="N3483" t="s">
        <v>62</v>
      </c>
      <c r="O3483" s="2">
        <v>38.19</v>
      </c>
      <c r="P3483" s="2">
        <v>25.38</v>
      </c>
      <c r="Q3483" s="2">
        <v>12.81</v>
      </c>
      <c r="R3483">
        <v>1</v>
      </c>
      <c r="S3483">
        <v>0</v>
      </c>
      <c r="T3483">
        <v>6</v>
      </c>
      <c r="U3483">
        <v>4</v>
      </c>
    </row>
    <row r="3484" spans="1:21" ht="16.5" x14ac:dyDescent="0.3">
      <c r="A3484" t="s">
        <v>3572</v>
      </c>
      <c r="B3484" s="1">
        <v>45804</v>
      </c>
      <c r="C3484">
        <v>2025</v>
      </c>
      <c r="D3484" t="s">
        <v>599</v>
      </c>
      <c r="E3484" t="s">
        <v>802</v>
      </c>
      <c r="F3484" t="s">
        <v>24</v>
      </c>
      <c r="G3484" t="s">
        <v>51</v>
      </c>
      <c r="H3484" t="s">
        <v>26</v>
      </c>
      <c r="I3484" t="s">
        <v>42</v>
      </c>
      <c r="J3484" t="s">
        <v>76</v>
      </c>
      <c r="K3484">
        <v>2</v>
      </c>
      <c r="L3484" s="2">
        <v>90.75</v>
      </c>
      <c r="M3484" s="3">
        <v>0</v>
      </c>
      <c r="N3484" t="s">
        <v>38</v>
      </c>
      <c r="O3484" s="2">
        <v>181.5</v>
      </c>
      <c r="P3484" s="2">
        <v>122.66</v>
      </c>
      <c r="Q3484" s="2">
        <v>58.84</v>
      </c>
      <c r="R3484">
        <v>1</v>
      </c>
      <c r="S3484">
        <v>0</v>
      </c>
      <c r="T3484">
        <v>3</v>
      </c>
      <c r="U3484">
        <v>5</v>
      </c>
    </row>
    <row r="3485" spans="1:21" ht="16.5" x14ac:dyDescent="0.3">
      <c r="A3485" t="s">
        <v>3573</v>
      </c>
      <c r="B3485" s="1">
        <v>45804</v>
      </c>
      <c r="C3485">
        <v>2025</v>
      </c>
      <c r="D3485" t="s">
        <v>599</v>
      </c>
      <c r="E3485" t="s">
        <v>802</v>
      </c>
      <c r="F3485" t="s">
        <v>24</v>
      </c>
      <c r="G3485" t="s">
        <v>46</v>
      </c>
      <c r="H3485" t="s">
        <v>26</v>
      </c>
      <c r="I3485" t="s">
        <v>84</v>
      </c>
      <c r="J3485" t="s">
        <v>106</v>
      </c>
      <c r="K3485">
        <v>1</v>
      </c>
      <c r="L3485" s="2">
        <v>45.28</v>
      </c>
      <c r="M3485" s="3">
        <v>0.25</v>
      </c>
      <c r="N3485" t="s">
        <v>62</v>
      </c>
      <c r="O3485" s="2">
        <v>33.96</v>
      </c>
      <c r="P3485" s="2">
        <v>34.08</v>
      </c>
      <c r="Q3485" s="2">
        <v>-0.12</v>
      </c>
      <c r="R3485">
        <v>1</v>
      </c>
      <c r="S3485">
        <v>0</v>
      </c>
      <c r="T3485">
        <v>5</v>
      </c>
      <c r="U3485">
        <v>4</v>
      </c>
    </row>
    <row r="3486" spans="1:21" ht="16.5" x14ac:dyDescent="0.3">
      <c r="A3486" t="s">
        <v>3574</v>
      </c>
      <c r="B3486" s="1">
        <v>45804</v>
      </c>
      <c r="C3486">
        <v>2025</v>
      </c>
      <c r="D3486" t="s">
        <v>599</v>
      </c>
      <c r="E3486" t="s">
        <v>802</v>
      </c>
      <c r="F3486" t="s">
        <v>24</v>
      </c>
      <c r="G3486" t="s">
        <v>25</v>
      </c>
      <c r="H3486" t="s">
        <v>26</v>
      </c>
      <c r="I3486" t="s">
        <v>36</v>
      </c>
      <c r="J3486" t="s">
        <v>37</v>
      </c>
      <c r="K3486">
        <v>1</v>
      </c>
      <c r="L3486" s="2">
        <v>33.18</v>
      </c>
      <c r="M3486" s="3">
        <v>0</v>
      </c>
      <c r="N3486" t="s">
        <v>38</v>
      </c>
      <c r="O3486" s="2">
        <v>33.18</v>
      </c>
      <c r="P3486" s="2">
        <v>16.149999999999999</v>
      </c>
      <c r="Q3486" s="2">
        <v>17.03</v>
      </c>
      <c r="R3486">
        <v>1</v>
      </c>
      <c r="S3486">
        <v>0</v>
      </c>
      <c r="T3486">
        <v>5</v>
      </c>
      <c r="U3486">
        <v>3</v>
      </c>
    </row>
    <row r="3487" spans="1:21" ht="16.5" x14ac:dyDescent="0.3">
      <c r="A3487" t="s">
        <v>3575</v>
      </c>
      <c r="B3487" s="1">
        <v>45804</v>
      </c>
      <c r="C3487">
        <v>2025</v>
      </c>
      <c r="D3487" t="s">
        <v>599</v>
      </c>
      <c r="E3487" t="s">
        <v>802</v>
      </c>
      <c r="F3487" t="s">
        <v>31</v>
      </c>
      <c r="G3487" t="s">
        <v>25</v>
      </c>
      <c r="H3487" t="s">
        <v>32</v>
      </c>
      <c r="I3487" t="s">
        <v>36</v>
      </c>
      <c r="J3487" t="s">
        <v>126</v>
      </c>
      <c r="K3487">
        <v>2</v>
      </c>
      <c r="L3487" s="2">
        <v>54.56</v>
      </c>
      <c r="M3487" s="3">
        <v>0.05</v>
      </c>
      <c r="N3487" t="s">
        <v>29</v>
      </c>
      <c r="O3487" s="2">
        <v>103.66</v>
      </c>
      <c r="P3487" s="2">
        <v>53.94</v>
      </c>
      <c r="Q3487" s="2">
        <v>49.72</v>
      </c>
      <c r="R3487">
        <v>1</v>
      </c>
      <c r="S3487">
        <v>0</v>
      </c>
      <c r="T3487">
        <v>4</v>
      </c>
      <c r="U3487">
        <v>5</v>
      </c>
    </row>
    <row r="3488" spans="1:21" ht="16.5" x14ac:dyDescent="0.3">
      <c r="A3488" t="s">
        <v>3576</v>
      </c>
      <c r="B3488" s="1">
        <v>45805</v>
      </c>
      <c r="C3488">
        <v>2025</v>
      </c>
      <c r="D3488" t="s">
        <v>599</v>
      </c>
      <c r="E3488" t="s">
        <v>802</v>
      </c>
      <c r="F3488" t="s">
        <v>24</v>
      </c>
      <c r="G3488" t="s">
        <v>46</v>
      </c>
      <c r="H3488" t="s">
        <v>32</v>
      </c>
      <c r="I3488" t="s">
        <v>36</v>
      </c>
      <c r="J3488" t="s">
        <v>56</v>
      </c>
      <c r="K3488">
        <v>1</v>
      </c>
      <c r="L3488" s="2">
        <v>74.3</v>
      </c>
      <c r="M3488" s="3">
        <v>0.15</v>
      </c>
      <c r="N3488" t="s">
        <v>34</v>
      </c>
      <c r="O3488" s="2">
        <v>63.15</v>
      </c>
      <c r="P3488" s="2">
        <v>35.97</v>
      </c>
      <c r="Q3488" s="2">
        <v>27.18</v>
      </c>
      <c r="R3488">
        <v>1</v>
      </c>
      <c r="S3488">
        <v>0</v>
      </c>
      <c r="T3488">
        <v>5</v>
      </c>
      <c r="U3488">
        <v>4</v>
      </c>
    </row>
    <row r="3489" spans="1:21" ht="16.5" x14ac:dyDescent="0.3">
      <c r="A3489" t="s">
        <v>3577</v>
      </c>
      <c r="B3489" s="1">
        <v>45805</v>
      </c>
      <c r="C3489">
        <v>2025</v>
      </c>
      <c r="D3489" t="s">
        <v>599</v>
      </c>
      <c r="E3489" t="s">
        <v>802</v>
      </c>
      <c r="F3489" t="s">
        <v>24</v>
      </c>
      <c r="G3489" t="s">
        <v>46</v>
      </c>
      <c r="H3489" t="s">
        <v>32</v>
      </c>
      <c r="I3489" t="s">
        <v>84</v>
      </c>
      <c r="J3489" t="s">
        <v>106</v>
      </c>
      <c r="K3489">
        <v>2</v>
      </c>
      <c r="L3489" s="2">
        <v>45.28</v>
      </c>
      <c r="M3489" s="3">
        <v>0</v>
      </c>
      <c r="N3489" t="s">
        <v>38</v>
      </c>
      <c r="O3489" s="2">
        <v>90.56</v>
      </c>
      <c r="P3489" s="2">
        <v>67.09</v>
      </c>
      <c r="Q3489" s="2">
        <v>23.47</v>
      </c>
      <c r="R3489">
        <v>1</v>
      </c>
      <c r="S3489">
        <v>0</v>
      </c>
      <c r="T3489">
        <v>5</v>
      </c>
      <c r="U3489">
        <v>4</v>
      </c>
    </row>
    <row r="3490" spans="1:21" ht="16.5" x14ac:dyDescent="0.3">
      <c r="A3490" t="s">
        <v>3578</v>
      </c>
      <c r="B3490" s="1">
        <v>45805</v>
      </c>
      <c r="C3490">
        <v>2025</v>
      </c>
      <c r="D3490" t="s">
        <v>599</v>
      </c>
      <c r="E3490" t="s">
        <v>802</v>
      </c>
      <c r="F3490" t="s">
        <v>31</v>
      </c>
      <c r="G3490" t="s">
        <v>25</v>
      </c>
      <c r="H3490" t="s">
        <v>32</v>
      </c>
      <c r="I3490" t="s">
        <v>27</v>
      </c>
      <c r="J3490" t="s">
        <v>60</v>
      </c>
      <c r="K3490">
        <v>1</v>
      </c>
      <c r="L3490" s="2">
        <v>94.85</v>
      </c>
      <c r="M3490" s="3">
        <v>0.05</v>
      </c>
      <c r="N3490" t="s">
        <v>29</v>
      </c>
      <c r="O3490" s="2">
        <v>90.11</v>
      </c>
      <c r="P3490" s="2">
        <v>51.12</v>
      </c>
      <c r="Q3490" s="2">
        <v>38.99</v>
      </c>
      <c r="R3490">
        <v>1</v>
      </c>
      <c r="S3490">
        <v>0</v>
      </c>
      <c r="T3490">
        <v>4</v>
      </c>
      <c r="U3490">
        <v>5</v>
      </c>
    </row>
    <row r="3491" spans="1:21" ht="16.5" x14ac:dyDescent="0.3">
      <c r="A3491" t="s">
        <v>3579</v>
      </c>
      <c r="B3491" s="1">
        <v>45805</v>
      </c>
      <c r="C3491">
        <v>2025</v>
      </c>
      <c r="D3491" t="s">
        <v>599</v>
      </c>
      <c r="E3491" t="s">
        <v>802</v>
      </c>
      <c r="F3491" t="s">
        <v>24</v>
      </c>
      <c r="G3491" t="s">
        <v>25</v>
      </c>
      <c r="H3491" t="s">
        <v>26</v>
      </c>
      <c r="I3491" t="s">
        <v>27</v>
      </c>
      <c r="J3491" t="s">
        <v>47</v>
      </c>
      <c r="K3491">
        <v>1</v>
      </c>
      <c r="L3491" s="2">
        <v>33.99</v>
      </c>
      <c r="M3491" s="3">
        <v>0.05</v>
      </c>
      <c r="N3491" t="s">
        <v>29</v>
      </c>
      <c r="O3491" s="2">
        <v>32.29</v>
      </c>
      <c r="P3491" s="2">
        <v>18.43</v>
      </c>
      <c r="Q3491" s="2">
        <v>13.86</v>
      </c>
      <c r="R3491">
        <v>1</v>
      </c>
      <c r="S3491">
        <v>0</v>
      </c>
      <c r="T3491">
        <v>4</v>
      </c>
      <c r="U3491">
        <v>4</v>
      </c>
    </row>
    <row r="3492" spans="1:21" ht="16.5" x14ac:dyDescent="0.3">
      <c r="A3492" t="s">
        <v>3580</v>
      </c>
      <c r="B3492" s="1">
        <v>45805</v>
      </c>
      <c r="C3492">
        <v>2025</v>
      </c>
      <c r="D3492" t="s">
        <v>599</v>
      </c>
      <c r="E3492" t="s">
        <v>802</v>
      </c>
      <c r="F3492" t="s">
        <v>31</v>
      </c>
      <c r="G3492" t="s">
        <v>51</v>
      </c>
      <c r="H3492" t="s">
        <v>26</v>
      </c>
      <c r="I3492" t="s">
        <v>27</v>
      </c>
      <c r="J3492" t="s">
        <v>47</v>
      </c>
      <c r="K3492">
        <v>2</v>
      </c>
      <c r="L3492" s="2">
        <v>33.99</v>
      </c>
      <c r="M3492" s="3">
        <v>0.05</v>
      </c>
      <c r="N3492" t="s">
        <v>29</v>
      </c>
      <c r="O3492" s="2">
        <v>64.58</v>
      </c>
      <c r="P3492" s="2">
        <v>37.32</v>
      </c>
      <c r="Q3492" s="2">
        <v>27.26</v>
      </c>
      <c r="R3492">
        <v>1</v>
      </c>
      <c r="S3492">
        <v>1</v>
      </c>
      <c r="T3492">
        <v>2</v>
      </c>
      <c r="U3492">
        <v>4</v>
      </c>
    </row>
    <row r="3493" spans="1:21" ht="16.5" x14ac:dyDescent="0.3">
      <c r="A3493" t="s">
        <v>3581</v>
      </c>
      <c r="B3493" s="1">
        <v>45805</v>
      </c>
      <c r="C3493">
        <v>2025</v>
      </c>
      <c r="D3493" t="s">
        <v>599</v>
      </c>
      <c r="E3493" t="s">
        <v>802</v>
      </c>
      <c r="F3493" t="s">
        <v>45</v>
      </c>
      <c r="G3493" t="s">
        <v>65</v>
      </c>
      <c r="H3493" t="s">
        <v>26</v>
      </c>
      <c r="I3493" t="s">
        <v>42</v>
      </c>
      <c r="J3493" t="s">
        <v>98</v>
      </c>
      <c r="K3493">
        <v>1</v>
      </c>
      <c r="L3493" s="2">
        <v>117.63</v>
      </c>
      <c r="M3493" s="3">
        <v>0.15</v>
      </c>
      <c r="N3493" t="s">
        <v>34</v>
      </c>
      <c r="O3493" s="2">
        <v>99.99</v>
      </c>
      <c r="P3493" s="2">
        <v>78.739999999999995</v>
      </c>
      <c r="Q3493" s="2">
        <v>21.25</v>
      </c>
      <c r="R3493">
        <v>1</v>
      </c>
      <c r="S3493">
        <v>0</v>
      </c>
      <c r="T3493">
        <v>6</v>
      </c>
      <c r="U3493">
        <v>3</v>
      </c>
    </row>
    <row r="3494" spans="1:21" ht="16.5" x14ac:dyDescent="0.3">
      <c r="A3494" t="s">
        <v>3582</v>
      </c>
      <c r="B3494" s="1">
        <v>45805</v>
      </c>
      <c r="C3494">
        <v>2025</v>
      </c>
      <c r="D3494" t="s">
        <v>599</v>
      </c>
      <c r="E3494" t="s">
        <v>802</v>
      </c>
      <c r="F3494" t="s">
        <v>31</v>
      </c>
      <c r="G3494" t="s">
        <v>51</v>
      </c>
      <c r="H3494" t="s">
        <v>26</v>
      </c>
      <c r="I3494" t="s">
        <v>27</v>
      </c>
      <c r="J3494" t="s">
        <v>60</v>
      </c>
      <c r="K3494">
        <v>1</v>
      </c>
      <c r="L3494" s="2">
        <v>94.85</v>
      </c>
      <c r="M3494" s="3">
        <v>0.1</v>
      </c>
      <c r="N3494" t="s">
        <v>29</v>
      </c>
      <c r="O3494" s="2">
        <v>85.36</v>
      </c>
      <c r="P3494" s="2">
        <v>53.56</v>
      </c>
      <c r="Q3494" s="2">
        <v>31.8</v>
      </c>
      <c r="R3494">
        <v>1</v>
      </c>
      <c r="S3494">
        <v>0</v>
      </c>
      <c r="T3494">
        <v>4</v>
      </c>
      <c r="U3494">
        <v>4</v>
      </c>
    </row>
    <row r="3495" spans="1:21" ht="16.5" x14ac:dyDescent="0.3">
      <c r="A3495" t="s">
        <v>3583</v>
      </c>
      <c r="B3495" s="1">
        <v>45805</v>
      </c>
      <c r="C3495">
        <v>2025</v>
      </c>
      <c r="D3495" t="s">
        <v>599</v>
      </c>
      <c r="E3495" t="s">
        <v>802</v>
      </c>
      <c r="F3495" t="s">
        <v>31</v>
      </c>
      <c r="G3495" t="s">
        <v>51</v>
      </c>
      <c r="H3495" t="s">
        <v>26</v>
      </c>
      <c r="I3495" t="s">
        <v>67</v>
      </c>
      <c r="J3495" t="s">
        <v>103</v>
      </c>
      <c r="K3495">
        <v>1</v>
      </c>
      <c r="L3495" s="2">
        <v>83.06</v>
      </c>
      <c r="M3495" s="3">
        <v>0.1</v>
      </c>
      <c r="N3495" t="s">
        <v>29</v>
      </c>
      <c r="O3495" s="2">
        <v>74.75</v>
      </c>
      <c r="P3495" s="2">
        <v>55.1</v>
      </c>
      <c r="Q3495" s="2">
        <v>19.649999999999999</v>
      </c>
      <c r="R3495">
        <v>1</v>
      </c>
      <c r="S3495">
        <v>0</v>
      </c>
      <c r="T3495">
        <v>3</v>
      </c>
      <c r="U3495">
        <v>5</v>
      </c>
    </row>
    <row r="3496" spans="1:21" ht="16.5" x14ac:dyDescent="0.3">
      <c r="A3496" t="s">
        <v>3584</v>
      </c>
      <c r="B3496" s="1">
        <v>45805</v>
      </c>
      <c r="C3496">
        <v>2025</v>
      </c>
      <c r="D3496" t="s">
        <v>599</v>
      </c>
      <c r="E3496" t="s">
        <v>802</v>
      </c>
      <c r="F3496" t="s">
        <v>31</v>
      </c>
      <c r="G3496" t="s">
        <v>51</v>
      </c>
      <c r="H3496" t="s">
        <v>32</v>
      </c>
      <c r="I3496" t="s">
        <v>67</v>
      </c>
      <c r="J3496" t="s">
        <v>93</v>
      </c>
      <c r="K3496">
        <v>1</v>
      </c>
      <c r="L3496" s="2">
        <v>198.42</v>
      </c>
      <c r="M3496" s="3">
        <v>0.15</v>
      </c>
      <c r="N3496" t="s">
        <v>34</v>
      </c>
      <c r="O3496" s="2">
        <v>168.66</v>
      </c>
      <c r="P3496" s="2">
        <v>128</v>
      </c>
      <c r="Q3496" s="2">
        <v>40.659999999999997</v>
      </c>
      <c r="R3496">
        <v>1</v>
      </c>
      <c r="S3496">
        <v>0</v>
      </c>
      <c r="T3496">
        <v>3</v>
      </c>
      <c r="U3496">
        <v>4</v>
      </c>
    </row>
    <row r="3497" spans="1:21" ht="16.5" x14ac:dyDescent="0.3">
      <c r="A3497" t="s">
        <v>3585</v>
      </c>
      <c r="B3497" s="1">
        <v>45805</v>
      </c>
      <c r="C3497">
        <v>2025</v>
      </c>
      <c r="D3497" t="s">
        <v>599</v>
      </c>
      <c r="E3497" t="s">
        <v>802</v>
      </c>
      <c r="F3497" t="s">
        <v>45</v>
      </c>
      <c r="G3497" t="s">
        <v>49</v>
      </c>
      <c r="H3497" t="s">
        <v>32</v>
      </c>
      <c r="I3497" t="s">
        <v>67</v>
      </c>
      <c r="J3497" t="s">
        <v>68</v>
      </c>
      <c r="K3497">
        <v>2</v>
      </c>
      <c r="L3497" s="2">
        <v>74.459999999999994</v>
      </c>
      <c r="M3497" s="3">
        <v>0.05</v>
      </c>
      <c r="N3497" t="s">
        <v>29</v>
      </c>
      <c r="O3497" s="2">
        <v>141.47</v>
      </c>
      <c r="P3497" s="2">
        <v>98.45</v>
      </c>
      <c r="Q3497" s="2">
        <v>43.02</v>
      </c>
      <c r="R3497">
        <v>1</v>
      </c>
      <c r="S3497">
        <v>0</v>
      </c>
      <c r="T3497">
        <v>3</v>
      </c>
      <c r="U3497">
        <v>4</v>
      </c>
    </row>
    <row r="3498" spans="1:21" ht="16.5" x14ac:dyDescent="0.3">
      <c r="A3498" t="s">
        <v>3586</v>
      </c>
      <c r="B3498" s="1">
        <v>45806</v>
      </c>
      <c r="C3498">
        <v>2025</v>
      </c>
      <c r="D3498" t="s">
        <v>599</v>
      </c>
      <c r="E3498" t="s">
        <v>802</v>
      </c>
      <c r="F3498" t="s">
        <v>24</v>
      </c>
      <c r="G3498" t="s">
        <v>49</v>
      </c>
      <c r="H3498" t="s">
        <v>32</v>
      </c>
      <c r="I3498" t="s">
        <v>70</v>
      </c>
      <c r="J3498" t="s">
        <v>87</v>
      </c>
      <c r="K3498">
        <v>1</v>
      </c>
      <c r="L3498" s="2">
        <v>490.3</v>
      </c>
      <c r="M3498" s="3">
        <v>0.05</v>
      </c>
      <c r="N3498" t="s">
        <v>29</v>
      </c>
      <c r="O3498" s="2">
        <v>465.78</v>
      </c>
      <c r="P3498" s="2">
        <v>408.63</v>
      </c>
      <c r="Q3498" s="2">
        <v>57.15</v>
      </c>
      <c r="R3498">
        <v>1</v>
      </c>
      <c r="S3498">
        <v>0</v>
      </c>
      <c r="T3498">
        <v>4</v>
      </c>
      <c r="U3498">
        <v>4</v>
      </c>
    </row>
    <row r="3499" spans="1:21" ht="16.5" x14ac:dyDescent="0.3">
      <c r="A3499" t="s">
        <v>3587</v>
      </c>
      <c r="B3499" s="1">
        <v>45806</v>
      </c>
      <c r="C3499">
        <v>2025</v>
      </c>
      <c r="D3499" t="s">
        <v>599</v>
      </c>
      <c r="E3499" t="s">
        <v>802</v>
      </c>
      <c r="F3499" t="s">
        <v>31</v>
      </c>
      <c r="G3499" t="s">
        <v>65</v>
      </c>
      <c r="H3499" t="s">
        <v>32</v>
      </c>
      <c r="I3499" t="s">
        <v>67</v>
      </c>
      <c r="J3499" t="s">
        <v>78</v>
      </c>
      <c r="K3499">
        <v>1</v>
      </c>
      <c r="L3499" s="2">
        <v>85.42</v>
      </c>
      <c r="M3499" s="3">
        <v>0.05</v>
      </c>
      <c r="N3499" t="s">
        <v>29</v>
      </c>
      <c r="O3499" s="2">
        <v>81.150000000000006</v>
      </c>
      <c r="P3499" s="2">
        <v>57.19</v>
      </c>
      <c r="Q3499" s="2">
        <v>23.96</v>
      </c>
      <c r="R3499">
        <v>1</v>
      </c>
      <c r="S3499">
        <v>0</v>
      </c>
      <c r="T3499">
        <v>7</v>
      </c>
      <c r="U3499">
        <v>3</v>
      </c>
    </row>
    <row r="3500" spans="1:21" ht="16.5" x14ac:dyDescent="0.3">
      <c r="A3500" t="s">
        <v>3588</v>
      </c>
      <c r="B3500" s="1">
        <v>45806</v>
      </c>
      <c r="C3500">
        <v>2025</v>
      </c>
      <c r="D3500" t="s">
        <v>599</v>
      </c>
      <c r="E3500" t="s">
        <v>802</v>
      </c>
      <c r="F3500" t="s">
        <v>31</v>
      </c>
      <c r="G3500" t="s">
        <v>25</v>
      </c>
      <c r="H3500" t="s">
        <v>32</v>
      </c>
      <c r="I3500" t="s">
        <v>67</v>
      </c>
      <c r="J3500" t="s">
        <v>93</v>
      </c>
      <c r="K3500">
        <v>2</v>
      </c>
      <c r="L3500" s="2">
        <v>198.42</v>
      </c>
      <c r="M3500" s="3">
        <v>0</v>
      </c>
      <c r="N3500" t="s">
        <v>38</v>
      </c>
      <c r="O3500" s="2">
        <v>396.84</v>
      </c>
      <c r="P3500" s="2">
        <v>260.39999999999998</v>
      </c>
      <c r="Q3500" s="2">
        <v>136.44</v>
      </c>
      <c r="R3500">
        <v>1</v>
      </c>
      <c r="S3500">
        <v>1</v>
      </c>
      <c r="T3500">
        <v>3</v>
      </c>
      <c r="U3500">
        <v>3</v>
      </c>
    </row>
    <row r="3501" spans="1:21" ht="16.5" x14ac:dyDescent="0.3">
      <c r="A3501" t="s">
        <v>3589</v>
      </c>
      <c r="B3501" s="1">
        <v>45806</v>
      </c>
      <c r="C3501">
        <v>2025</v>
      </c>
      <c r="D3501" t="s">
        <v>599</v>
      </c>
      <c r="E3501" t="s">
        <v>802</v>
      </c>
      <c r="F3501" t="s">
        <v>45</v>
      </c>
      <c r="G3501" t="s">
        <v>49</v>
      </c>
      <c r="H3501" t="s">
        <v>26</v>
      </c>
      <c r="I3501" t="s">
        <v>67</v>
      </c>
      <c r="J3501" t="s">
        <v>174</v>
      </c>
      <c r="K3501">
        <v>1</v>
      </c>
      <c r="L3501" s="2">
        <v>137.05000000000001</v>
      </c>
      <c r="M3501" s="3">
        <v>0.15</v>
      </c>
      <c r="N3501" t="s">
        <v>34</v>
      </c>
      <c r="O3501" s="2">
        <v>116.49</v>
      </c>
      <c r="P3501" s="2">
        <v>92.99</v>
      </c>
      <c r="Q3501" s="2">
        <v>23.5</v>
      </c>
      <c r="R3501">
        <v>1</v>
      </c>
      <c r="S3501">
        <v>1</v>
      </c>
      <c r="T3501">
        <v>4</v>
      </c>
      <c r="U3501">
        <v>3</v>
      </c>
    </row>
    <row r="3502" spans="1:21" ht="16.5" x14ac:dyDescent="0.3">
      <c r="A3502" t="s">
        <v>3590</v>
      </c>
      <c r="B3502" s="1">
        <v>45806</v>
      </c>
      <c r="C3502">
        <v>2025</v>
      </c>
      <c r="D3502" t="s">
        <v>599</v>
      </c>
      <c r="E3502" t="s">
        <v>802</v>
      </c>
      <c r="F3502" t="s">
        <v>31</v>
      </c>
      <c r="G3502" t="s">
        <v>46</v>
      </c>
      <c r="H3502" t="s">
        <v>32</v>
      </c>
      <c r="I3502" t="s">
        <v>70</v>
      </c>
      <c r="J3502" t="s">
        <v>82</v>
      </c>
      <c r="K3502">
        <v>2</v>
      </c>
      <c r="L3502" s="2">
        <v>508.8</v>
      </c>
      <c r="M3502" s="3">
        <v>0</v>
      </c>
      <c r="N3502" t="s">
        <v>38</v>
      </c>
      <c r="O3502" s="2">
        <v>1017.6</v>
      </c>
      <c r="P3502" s="2">
        <v>794.99</v>
      </c>
      <c r="Q3502" s="2">
        <v>222.61</v>
      </c>
      <c r="R3502">
        <v>1</v>
      </c>
      <c r="S3502">
        <v>0</v>
      </c>
      <c r="T3502">
        <v>5</v>
      </c>
      <c r="U3502">
        <v>4</v>
      </c>
    </row>
    <row r="3503" spans="1:21" ht="16.5" x14ac:dyDescent="0.3">
      <c r="A3503" t="s">
        <v>3591</v>
      </c>
      <c r="B3503" s="1">
        <v>45806</v>
      </c>
      <c r="C3503">
        <v>2025</v>
      </c>
      <c r="D3503" t="s">
        <v>599</v>
      </c>
      <c r="E3503" t="s">
        <v>802</v>
      </c>
      <c r="F3503" t="s">
        <v>24</v>
      </c>
      <c r="G3503" t="s">
        <v>25</v>
      </c>
      <c r="H3503" t="s">
        <v>26</v>
      </c>
      <c r="I3503" t="s">
        <v>27</v>
      </c>
      <c r="J3503" t="s">
        <v>33</v>
      </c>
      <c r="K3503">
        <v>1</v>
      </c>
      <c r="L3503" s="2">
        <v>78.510000000000005</v>
      </c>
      <c r="M3503" s="3">
        <v>0.1</v>
      </c>
      <c r="N3503" t="s">
        <v>29</v>
      </c>
      <c r="O3503" s="2">
        <v>70.66</v>
      </c>
      <c r="P3503" s="2">
        <v>43.31</v>
      </c>
      <c r="Q3503" s="2">
        <v>27.35</v>
      </c>
      <c r="R3503">
        <v>1</v>
      </c>
      <c r="S3503">
        <v>0</v>
      </c>
      <c r="T3503">
        <v>5</v>
      </c>
      <c r="U3503">
        <v>4</v>
      </c>
    </row>
    <row r="3504" spans="1:21" ht="16.5" x14ac:dyDescent="0.3">
      <c r="A3504" t="s">
        <v>3592</v>
      </c>
      <c r="B3504" s="1">
        <v>45806</v>
      </c>
      <c r="C3504">
        <v>2025</v>
      </c>
      <c r="D3504" t="s">
        <v>599</v>
      </c>
      <c r="E3504" t="s">
        <v>802</v>
      </c>
      <c r="F3504" t="s">
        <v>31</v>
      </c>
      <c r="G3504" t="s">
        <v>25</v>
      </c>
      <c r="H3504" t="s">
        <v>32</v>
      </c>
      <c r="I3504" t="s">
        <v>27</v>
      </c>
      <c r="J3504" t="s">
        <v>33</v>
      </c>
      <c r="K3504">
        <v>1</v>
      </c>
      <c r="L3504" s="2">
        <v>78.510000000000005</v>
      </c>
      <c r="M3504" s="3">
        <v>0</v>
      </c>
      <c r="N3504" t="s">
        <v>38</v>
      </c>
      <c r="O3504" s="2">
        <v>78.510000000000005</v>
      </c>
      <c r="P3504" s="2">
        <v>41.56</v>
      </c>
      <c r="Q3504" s="2">
        <v>36.950000000000003</v>
      </c>
      <c r="R3504">
        <v>1</v>
      </c>
      <c r="S3504">
        <v>0</v>
      </c>
      <c r="T3504">
        <v>6</v>
      </c>
      <c r="U3504">
        <v>3</v>
      </c>
    </row>
    <row r="3505" spans="1:21" ht="16.5" x14ac:dyDescent="0.3">
      <c r="A3505" t="s">
        <v>3593</v>
      </c>
      <c r="B3505" s="1">
        <v>45807</v>
      </c>
      <c r="C3505">
        <v>2025</v>
      </c>
      <c r="D3505" t="s">
        <v>599</v>
      </c>
      <c r="E3505" t="s">
        <v>802</v>
      </c>
      <c r="F3505" t="s">
        <v>31</v>
      </c>
      <c r="G3505" t="s">
        <v>51</v>
      </c>
      <c r="H3505" t="s">
        <v>26</v>
      </c>
      <c r="I3505" t="s">
        <v>27</v>
      </c>
      <c r="J3505" t="s">
        <v>40</v>
      </c>
      <c r="K3505">
        <v>1</v>
      </c>
      <c r="L3505" s="2">
        <v>104.94</v>
      </c>
      <c r="M3505" s="3">
        <v>0.05</v>
      </c>
      <c r="N3505" t="s">
        <v>29</v>
      </c>
      <c r="O3505" s="2">
        <v>99.69</v>
      </c>
      <c r="P3505" s="2">
        <v>54.93</v>
      </c>
      <c r="Q3505" s="2">
        <v>44.76</v>
      </c>
      <c r="R3505">
        <v>1</v>
      </c>
      <c r="S3505">
        <v>0</v>
      </c>
      <c r="T3505">
        <v>3</v>
      </c>
      <c r="U3505">
        <v>3</v>
      </c>
    </row>
    <row r="3506" spans="1:21" ht="16.5" x14ac:dyDescent="0.3">
      <c r="A3506" t="s">
        <v>3594</v>
      </c>
      <c r="B3506" s="1">
        <v>45807</v>
      </c>
      <c r="C3506">
        <v>2025</v>
      </c>
      <c r="D3506" t="s">
        <v>599</v>
      </c>
      <c r="E3506" t="s">
        <v>802</v>
      </c>
      <c r="F3506" t="s">
        <v>31</v>
      </c>
      <c r="G3506" t="s">
        <v>51</v>
      </c>
      <c r="H3506" t="s">
        <v>32</v>
      </c>
      <c r="I3506" t="s">
        <v>70</v>
      </c>
      <c r="J3506" t="s">
        <v>82</v>
      </c>
      <c r="K3506">
        <v>1</v>
      </c>
      <c r="L3506" s="2">
        <v>508.8</v>
      </c>
      <c r="M3506" s="3">
        <v>0.15</v>
      </c>
      <c r="N3506" t="s">
        <v>34</v>
      </c>
      <c r="O3506" s="2">
        <v>432.48</v>
      </c>
      <c r="P3506" s="2">
        <v>412.73</v>
      </c>
      <c r="Q3506" s="2">
        <v>19.75</v>
      </c>
      <c r="R3506">
        <v>1</v>
      </c>
      <c r="S3506">
        <v>0</v>
      </c>
      <c r="T3506">
        <v>3</v>
      </c>
      <c r="U3506">
        <v>5</v>
      </c>
    </row>
    <row r="3507" spans="1:21" ht="16.5" x14ac:dyDescent="0.3">
      <c r="A3507" t="s">
        <v>3595</v>
      </c>
      <c r="B3507" s="1">
        <v>45807</v>
      </c>
      <c r="C3507">
        <v>2025</v>
      </c>
      <c r="D3507" t="s">
        <v>599</v>
      </c>
      <c r="E3507" t="s">
        <v>802</v>
      </c>
      <c r="F3507" t="s">
        <v>31</v>
      </c>
      <c r="G3507" t="s">
        <v>51</v>
      </c>
      <c r="H3507" t="s">
        <v>26</v>
      </c>
      <c r="I3507" t="s">
        <v>27</v>
      </c>
      <c r="J3507" t="s">
        <v>28</v>
      </c>
      <c r="K3507">
        <v>1</v>
      </c>
      <c r="L3507" s="2">
        <v>138.5</v>
      </c>
      <c r="M3507" s="3">
        <v>0.2</v>
      </c>
      <c r="N3507" t="s">
        <v>34</v>
      </c>
      <c r="O3507" s="2">
        <v>110.8</v>
      </c>
      <c r="P3507" s="2">
        <v>72.73</v>
      </c>
      <c r="Q3507" s="2">
        <v>38.07</v>
      </c>
      <c r="R3507">
        <v>1</v>
      </c>
      <c r="S3507">
        <v>0</v>
      </c>
      <c r="T3507">
        <v>2</v>
      </c>
      <c r="U3507">
        <v>5</v>
      </c>
    </row>
    <row r="3508" spans="1:21" ht="16.5" x14ac:dyDescent="0.3">
      <c r="A3508" t="s">
        <v>3596</v>
      </c>
      <c r="B3508" s="1">
        <v>45807</v>
      </c>
      <c r="C3508">
        <v>2025</v>
      </c>
      <c r="D3508" t="s">
        <v>599</v>
      </c>
      <c r="E3508" t="s">
        <v>802</v>
      </c>
      <c r="F3508" t="s">
        <v>24</v>
      </c>
      <c r="G3508" t="s">
        <v>51</v>
      </c>
      <c r="H3508" t="s">
        <v>32</v>
      </c>
      <c r="I3508" t="s">
        <v>27</v>
      </c>
      <c r="J3508" t="s">
        <v>110</v>
      </c>
      <c r="K3508">
        <v>2</v>
      </c>
      <c r="L3508" s="2">
        <v>19.41</v>
      </c>
      <c r="M3508" s="3">
        <v>0</v>
      </c>
      <c r="N3508" t="s">
        <v>38</v>
      </c>
      <c r="O3508" s="2">
        <v>38.82</v>
      </c>
      <c r="P3508" s="2">
        <v>22.04</v>
      </c>
      <c r="Q3508" s="2">
        <v>16.78</v>
      </c>
      <c r="R3508">
        <v>1</v>
      </c>
      <c r="S3508">
        <v>0</v>
      </c>
      <c r="T3508">
        <v>2</v>
      </c>
      <c r="U3508">
        <v>5</v>
      </c>
    </row>
    <row r="3509" spans="1:21" ht="16.5" x14ac:dyDescent="0.3">
      <c r="A3509" t="s">
        <v>3597</v>
      </c>
      <c r="B3509" s="1">
        <v>45807</v>
      </c>
      <c r="C3509">
        <v>2025</v>
      </c>
      <c r="D3509" t="s">
        <v>599</v>
      </c>
      <c r="E3509" t="s">
        <v>802</v>
      </c>
      <c r="F3509" t="s">
        <v>31</v>
      </c>
      <c r="G3509" t="s">
        <v>51</v>
      </c>
      <c r="H3509" t="s">
        <v>32</v>
      </c>
      <c r="I3509" t="s">
        <v>27</v>
      </c>
      <c r="J3509" t="s">
        <v>40</v>
      </c>
      <c r="K3509">
        <v>2</v>
      </c>
      <c r="L3509" s="2">
        <v>104.94</v>
      </c>
      <c r="M3509" s="3">
        <v>0.1</v>
      </c>
      <c r="N3509" t="s">
        <v>29</v>
      </c>
      <c r="O3509" s="2">
        <v>188.89</v>
      </c>
      <c r="P3509" s="2">
        <v>115.74</v>
      </c>
      <c r="Q3509" s="2">
        <v>73.150000000000006</v>
      </c>
      <c r="R3509">
        <v>1</v>
      </c>
      <c r="S3509">
        <v>0</v>
      </c>
      <c r="T3509">
        <v>4</v>
      </c>
      <c r="U3509">
        <v>4</v>
      </c>
    </row>
    <row r="3510" spans="1:21" ht="16.5" x14ac:dyDescent="0.3">
      <c r="A3510" t="s">
        <v>3598</v>
      </c>
      <c r="B3510" s="1">
        <v>45807</v>
      </c>
      <c r="C3510">
        <v>2025</v>
      </c>
      <c r="D3510" t="s">
        <v>599</v>
      </c>
      <c r="E3510" t="s">
        <v>802</v>
      </c>
      <c r="F3510" t="s">
        <v>24</v>
      </c>
      <c r="G3510" t="s">
        <v>65</v>
      </c>
      <c r="H3510" t="s">
        <v>32</v>
      </c>
      <c r="I3510" t="s">
        <v>67</v>
      </c>
      <c r="J3510" t="s">
        <v>68</v>
      </c>
      <c r="K3510">
        <v>1</v>
      </c>
      <c r="L3510" s="2">
        <v>74.459999999999994</v>
      </c>
      <c r="M3510" s="3">
        <v>0.25</v>
      </c>
      <c r="N3510" t="s">
        <v>62</v>
      </c>
      <c r="O3510" s="2">
        <v>55.84</v>
      </c>
      <c r="P3510" s="2">
        <v>47.84</v>
      </c>
      <c r="Q3510" s="2">
        <v>8</v>
      </c>
      <c r="R3510">
        <v>1</v>
      </c>
      <c r="S3510">
        <v>0</v>
      </c>
      <c r="T3510">
        <v>7</v>
      </c>
      <c r="U3510">
        <v>3</v>
      </c>
    </row>
    <row r="3511" spans="1:21" ht="16.5" x14ac:dyDescent="0.3">
      <c r="A3511" t="s">
        <v>3599</v>
      </c>
      <c r="B3511" s="1">
        <v>45807</v>
      </c>
      <c r="C3511">
        <v>2025</v>
      </c>
      <c r="D3511" t="s">
        <v>599</v>
      </c>
      <c r="E3511" t="s">
        <v>802</v>
      </c>
      <c r="F3511" t="s">
        <v>24</v>
      </c>
      <c r="G3511" t="s">
        <v>49</v>
      </c>
      <c r="H3511" t="s">
        <v>26</v>
      </c>
      <c r="I3511" t="s">
        <v>84</v>
      </c>
      <c r="J3511" t="s">
        <v>96</v>
      </c>
      <c r="K3511">
        <v>2</v>
      </c>
      <c r="L3511" s="2">
        <v>10.76</v>
      </c>
      <c r="M3511" s="3">
        <v>0.2</v>
      </c>
      <c r="N3511" t="s">
        <v>34</v>
      </c>
      <c r="O3511" s="2">
        <v>17.22</v>
      </c>
      <c r="P3511" s="2">
        <v>16.11</v>
      </c>
      <c r="Q3511" s="2">
        <v>1.1100000000000001</v>
      </c>
      <c r="R3511">
        <v>1</v>
      </c>
      <c r="S3511">
        <v>0</v>
      </c>
      <c r="T3511">
        <v>4</v>
      </c>
      <c r="U3511">
        <v>5</v>
      </c>
    </row>
    <row r="3512" spans="1:21" ht="16.5" x14ac:dyDescent="0.3">
      <c r="A3512" t="s">
        <v>3600</v>
      </c>
      <c r="B3512" s="1">
        <v>45807</v>
      </c>
      <c r="C3512">
        <v>2025</v>
      </c>
      <c r="D3512" t="s">
        <v>599</v>
      </c>
      <c r="E3512" t="s">
        <v>802</v>
      </c>
      <c r="F3512" t="s">
        <v>31</v>
      </c>
      <c r="G3512" t="s">
        <v>25</v>
      </c>
      <c r="H3512" t="s">
        <v>26</v>
      </c>
      <c r="I3512" t="s">
        <v>70</v>
      </c>
      <c r="J3512" t="s">
        <v>162</v>
      </c>
      <c r="K3512">
        <v>2</v>
      </c>
      <c r="L3512" s="2">
        <v>636.09</v>
      </c>
      <c r="M3512" s="3">
        <v>0.15</v>
      </c>
      <c r="N3512" t="s">
        <v>34</v>
      </c>
      <c r="O3512" s="2">
        <v>1081.3499999999999</v>
      </c>
      <c r="P3512" s="2">
        <v>1000.39</v>
      </c>
      <c r="Q3512" s="2">
        <v>80.959999999999994</v>
      </c>
      <c r="R3512">
        <v>1</v>
      </c>
      <c r="S3512">
        <v>0</v>
      </c>
      <c r="T3512">
        <v>3</v>
      </c>
      <c r="U3512">
        <v>4</v>
      </c>
    </row>
    <row r="3513" spans="1:21" ht="16.5" x14ac:dyDescent="0.3">
      <c r="A3513" t="s">
        <v>3601</v>
      </c>
      <c r="B3513" s="1">
        <v>45807</v>
      </c>
      <c r="C3513">
        <v>2025</v>
      </c>
      <c r="D3513" t="s">
        <v>599</v>
      </c>
      <c r="E3513" t="s">
        <v>802</v>
      </c>
      <c r="F3513" t="s">
        <v>31</v>
      </c>
      <c r="G3513" t="s">
        <v>51</v>
      </c>
      <c r="H3513" t="s">
        <v>26</v>
      </c>
      <c r="I3513" t="s">
        <v>27</v>
      </c>
      <c r="J3513" t="s">
        <v>33</v>
      </c>
      <c r="K3513">
        <v>2</v>
      </c>
      <c r="L3513" s="2">
        <v>78.510000000000005</v>
      </c>
      <c r="M3513" s="3">
        <v>0.25</v>
      </c>
      <c r="N3513" t="s">
        <v>62</v>
      </c>
      <c r="O3513" s="2">
        <v>117.77</v>
      </c>
      <c r="P3513" s="2">
        <v>88.96</v>
      </c>
      <c r="Q3513" s="2">
        <v>28.81</v>
      </c>
      <c r="R3513">
        <v>1</v>
      </c>
      <c r="S3513">
        <v>0</v>
      </c>
      <c r="T3513">
        <v>3</v>
      </c>
      <c r="U3513">
        <v>4</v>
      </c>
    </row>
    <row r="3514" spans="1:21" ht="16.5" x14ac:dyDescent="0.3">
      <c r="A3514" t="s">
        <v>3602</v>
      </c>
      <c r="B3514" s="1">
        <v>45808</v>
      </c>
      <c r="C3514">
        <v>2025</v>
      </c>
      <c r="D3514" t="s">
        <v>599</v>
      </c>
      <c r="E3514" t="s">
        <v>802</v>
      </c>
      <c r="F3514" t="s">
        <v>31</v>
      </c>
      <c r="G3514" t="s">
        <v>25</v>
      </c>
      <c r="H3514" t="s">
        <v>32</v>
      </c>
      <c r="I3514" t="s">
        <v>36</v>
      </c>
      <c r="J3514" t="s">
        <v>126</v>
      </c>
      <c r="K3514">
        <v>4</v>
      </c>
      <c r="L3514" s="2">
        <v>54.56</v>
      </c>
      <c r="M3514" s="3">
        <v>0.2</v>
      </c>
      <c r="N3514" t="s">
        <v>34</v>
      </c>
      <c r="O3514" s="2">
        <v>174.59</v>
      </c>
      <c r="P3514" s="2">
        <v>107.57</v>
      </c>
      <c r="Q3514" s="2">
        <v>67.02</v>
      </c>
      <c r="R3514">
        <v>1</v>
      </c>
      <c r="S3514">
        <v>0</v>
      </c>
      <c r="T3514">
        <v>4</v>
      </c>
      <c r="U3514">
        <v>5</v>
      </c>
    </row>
    <row r="3515" spans="1:21" ht="16.5" x14ac:dyDescent="0.3">
      <c r="A3515" t="s">
        <v>3603</v>
      </c>
      <c r="B3515" s="1">
        <v>45808</v>
      </c>
      <c r="C3515">
        <v>2025</v>
      </c>
      <c r="D3515" t="s">
        <v>599</v>
      </c>
      <c r="E3515" t="s">
        <v>802</v>
      </c>
      <c r="F3515" t="s">
        <v>31</v>
      </c>
      <c r="G3515" t="s">
        <v>46</v>
      </c>
      <c r="H3515" t="s">
        <v>26</v>
      </c>
      <c r="I3515" t="s">
        <v>70</v>
      </c>
      <c r="J3515" t="s">
        <v>162</v>
      </c>
      <c r="K3515">
        <v>1</v>
      </c>
      <c r="L3515" s="2">
        <v>636.09</v>
      </c>
      <c r="M3515" s="3">
        <v>0.1</v>
      </c>
      <c r="N3515" t="s">
        <v>29</v>
      </c>
      <c r="O3515" s="2">
        <v>572.48</v>
      </c>
      <c r="P3515" s="2">
        <v>500.54</v>
      </c>
      <c r="Q3515" s="2">
        <v>71.94</v>
      </c>
      <c r="R3515">
        <v>1</v>
      </c>
      <c r="S3515">
        <v>0</v>
      </c>
      <c r="T3515">
        <v>5</v>
      </c>
      <c r="U3515">
        <v>4</v>
      </c>
    </row>
    <row r="3516" spans="1:21" ht="16.5" x14ac:dyDescent="0.3">
      <c r="A3516" t="s">
        <v>3604</v>
      </c>
      <c r="B3516" s="1">
        <v>45808</v>
      </c>
      <c r="C3516">
        <v>2025</v>
      </c>
      <c r="D3516" t="s">
        <v>599</v>
      </c>
      <c r="E3516" t="s">
        <v>802</v>
      </c>
      <c r="F3516" t="s">
        <v>31</v>
      </c>
      <c r="G3516" t="s">
        <v>25</v>
      </c>
      <c r="H3516" t="s">
        <v>32</v>
      </c>
      <c r="I3516" t="s">
        <v>36</v>
      </c>
      <c r="J3516" t="s">
        <v>52</v>
      </c>
      <c r="K3516">
        <v>1</v>
      </c>
      <c r="L3516" s="2">
        <v>92.54</v>
      </c>
      <c r="M3516" s="3">
        <v>0.2</v>
      </c>
      <c r="N3516" t="s">
        <v>34</v>
      </c>
      <c r="O3516" s="2">
        <v>74.03</v>
      </c>
      <c r="P3516" s="2">
        <v>44.07</v>
      </c>
      <c r="Q3516" s="2">
        <v>29.96</v>
      </c>
      <c r="R3516">
        <v>1</v>
      </c>
      <c r="S3516">
        <v>0</v>
      </c>
      <c r="T3516">
        <v>3</v>
      </c>
      <c r="U3516">
        <v>5</v>
      </c>
    </row>
    <row r="3517" spans="1:21" ht="16.5" x14ac:dyDescent="0.3">
      <c r="A3517" t="s">
        <v>3605</v>
      </c>
      <c r="B3517" s="1">
        <v>45809</v>
      </c>
      <c r="C3517">
        <v>2025</v>
      </c>
      <c r="D3517" t="s">
        <v>599</v>
      </c>
      <c r="E3517" t="s">
        <v>1000</v>
      </c>
      <c r="F3517" t="s">
        <v>31</v>
      </c>
      <c r="G3517" t="s">
        <v>51</v>
      </c>
      <c r="H3517" t="s">
        <v>32</v>
      </c>
      <c r="I3517" t="s">
        <v>84</v>
      </c>
      <c r="J3517" t="s">
        <v>85</v>
      </c>
      <c r="K3517">
        <v>1</v>
      </c>
      <c r="L3517" s="2">
        <v>57.92</v>
      </c>
      <c r="M3517" s="3">
        <v>0.05</v>
      </c>
      <c r="N3517" t="s">
        <v>29</v>
      </c>
      <c r="O3517" s="2">
        <v>55.02</v>
      </c>
      <c r="P3517" s="2">
        <v>42.22</v>
      </c>
      <c r="Q3517" s="2">
        <v>12.8</v>
      </c>
      <c r="R3517">
        <v>1</v>
      </c>
      <c r="S3517">
        <v>0</v>
      </c>
      <c r="T3517">
        <v>2</v>
      </c>
      <c r="U3517">
        <v>5</v>
      </c>
    </row>
    <row r="3518" spans="1:21" ht="16.5" x14ac:dyDescent="0.3">
      <c r="A3518" t="s">
        <v>3606</v>
      </c>
      <c r="B3518" s="1">
        <v>45809</v>
      </c>
      <c r="C3518">
        <v>2025</v>
      </c>
      <c r="D3518" t="s">
        <v>599</v>
      </c>
      <c r="E3518" t="s">
        <v>1000</v>
      </c>
      <c r="F3518" t="s">
        <v>31</v>
      </c>
      <c r="G3518" t="s">
        <v>25</v>
      </c>
      <c r="H3518" t="s">
        <v>32</v>
      </c>
      <c r="I3518" t="s">
        <v>84</v>
      </c>
      <c r="J3518" t="s">
        <v>106</v>
      </c>
      <c r="K3518">
        <v>1</v>
      </c>
      <c r="L3518" s="2">
        <v>45.28</v>
      </c>
      <c r="M3518" s="3">
        <v>0.1</v>
      </c>
      <c r="N3518" t="s">
        <v>29</v>
      </c>
      <c r="O3518" s="2">
        <v>40.75</v>
      </c>
      <c r="P3518" s="2">
        <v>32.31</v>
      </c>
      <c r="Q3518" s="2">
        <v>8.44</v>
      </c>
      <c r="R3518">
        <v>1</v>
      </c>
      <c r="S3518">
        <v>0</v>
      </c>
      <c r="T3518">
        <v>4</v>
      </c>
      <c r="U3518">
        <v>4</v>
      </c>
    </row>
    <row r="3519" spans="1:21" ht="16.5" x14ac:dyDescent="0.3">
      <c r="A3519" t="s">
        <v>3607</v>
      </c>
      <c r="B3519" s="1">
        <v>45809</v>
      </c>
      <c r="C3519">
        <v>2025</v>
      </c>
      <c r="D3519" t="s">
        <v>599</v>
      </c>
      <c r="E3519" t="s">
        <v>1000</v>
      </c>
      <c r="F3519" t="s">
        <v>31</v>
      </c>
      <c r="G3519" t="s">
        <v>25</v>
      </c>
      <c r="H3519" t="s">
        <v>26</v>
      </c>
      <c r="I3519" t="s">
        <v>27</v>
      </c>
      <c r="J3519" t="s">
        <v>60</v>
      </c>
      <c r="K3519">
        <v>2</v>
      </c>
      <c r="L3519" s="2">
        <v>94.85</v>
      </c>
      <c r="M3519" s="3">
        <v>0.15</v>
      </c>
      <c r="N3519" t="s">
        <v>34</v>
      </c>
      <c r="O3519" s="2">
        <v>161.24</v>
      </c>
      <c r="P3519" s="2">
        <v>105.41</v>
      </c>
      <c r="Q3519" s="2">
        <v>55.83</v>
      </c>
      <c r="R3519">
        <v>1</v>
      </c>
      <c r="S3519">
        <v>0</v>
      </c>
      <c r="T3519">
        <v>5</v>
      </c>
      <c r="U3519">
        <v>5</v>
      </c>
    </row>
    <row r="3520" spans="1:21" ht="16.5" x14ac:dyDescent="0.3">
      <c r="A3520" t="s">
        <v>3608</v>
      </c>
      <c r="B3520" s="1">
        <v>45809</v>
      </c>
      <c r="C3520">
        <v>2025</v>
      </c>
      <c r="D3520" t="s">
        <v>599</v>
      </c>
      <c r="E3520" t="s">
        <v>1000</v>
      </c>
      <c r="F3520" t="s">
        <v>31</v>
      </c>
      <c r="G3520" t="s">
        <v>65</v>
      </c>
      <c r="H3520" t="s">
        <v>32</v>
      </c>
      <c r="I3520" t="s">
        <v>70</v>
      </c>
      <c r="J3520" t="s">
        <v>87</v>
      </c>
      <c r="K3520">
        <v>1</v>
      </c>
      <c r="L3520" s="2">
        <v>490.3</v>
      </c>
      <c r="M3520" s="3">
        <v>0</v>
      </c>
      <c r="N3520" t="s">
        <v>38</v>
      </c>
      <c r="O3520" s="2">
        <v>490.3</v>
      </c>
      <c r="P3520" s="2">
        <v>365.95</v>
      </c>
      <c r="Q3520" s="2">
        <v>124.35</v>
      </c>
      <c r="R3520">
        <v>1</v>
      </c>
      <c r="S3520">
        <v>0</v>
      </c>
      <c r="T3520">
        <v>9</v>
      </c>
      <c r="U3520">
        <v>3</v>
      </c>
    </row>
    <row r="3521" spans="1:21" ht="16.5" x14ac:dyDescent="0.3">
      <c r="A3521" t="s">
        <v>3609</v>
      </c>
      <c r="B3521" s="1">
        <v>45809</v>
      </c>
      <c r="C3521">
        <v>2025</v>
      </c>
      <c r="D3521" t="s">
        <v>599</v>
      </c>
      <c r="E3521" t="s">
        <v>1000</v>
      </c>
      <c r="F3521" t="s">
        <v>31</v>
      </c>
      <c r="G3521" t="s">
        <v>51</v>
      </c>
      <c r="H3521" t="s">
        <v>26</v>
      </c>
      <c r="I3521" t="s">
        <v>70</v>
      </c>
      <c r="J3521" t="s">
        <v>252</v>
      </c>
      <c r="K3521">
        <v>1</v>
      </c>
      <c r="L3521" s="2">
        <v>216.08</v>
      </c>
      <c r="M3521" s="3">
        <v>0.1</v>
      </c>
      <c r="N3521" t="s">
        <v>29</v>
      </c>
      <c r="O3521" s="2">
        <v>194.47</v>
      </c>
      <c r="P3521" s="2">
        <v>173.24</v>
      </c>
      <c r="Q3521" s="2">
        <v>21.23</v>
      </c>
      <c r="R3521">
        <v>1</v>
      </c>
      <c r="S3521">
        <v>0</v>
      </c>
      <c r="T3521">
        <v>2</v>
      </c>
      <c r="U3521">
        <v>4</v>
      </c>
    </row>
    <row r="3522" spans="1:21" ht="16.5" x14ac:dyDescent="0.3">
      <c r="A3522" t="s">
        <v>3610</v>
      </c>
      <c r="B3522" s="1">
        <v>45810</v>
      </c>
      <c r="C3522">
        <v>2025</v>
      </c>
      <c r="D3522" t="s">
        <v>599</v>
      </c>
      <c r="E3522" t="s">
        <v>1000</v>
      </c>
      <c r="F3522" t="s">
        <v>45</v>
      </c>
      <c r="G3522" t="s">
        <v>46</v>
      </c>
      <c r="H3522" t="s">
        <v>32</v>
      </c>
      <c r="I3522" t="s">
        <v>42</v>
      </c>
      <c r="J3522" t="s">
        <v>58</v>
      </c>
      <c r="K3522">
        <v>1</v>
      </c>
      <c r="L3522" s="2">
        <v>233.81</v>
      </c>
      <c r="M3522" s="3">
        <v>0.1</v>
      </c>
      <c r="N3522" t="s">
        <v>29</v>
      </c>
      <c r="O3522" s="2">
        <v>210.43</v>
      </c>
      <c r="P3522" s="2">
        <v>162.30000000000001</v>
      </c>
      <c r="Q3522" s="2">
        <v>48.13</v>
      </c>
      <c r="R3522">
        <v>1</v>
      </c>
      <c r="S3522">
        <v>0</v>
      </c>
      <c r="T3522">
        <v>5</v>
      </c>
      <c r="U3522">
        <v>5</v>
      </c>
    </row>
    <row r="3523" spans="1:21" ht="16.5" x14ac:dyDescent="0.3">
      <c r="A3523" t="s">
        <v>3611</v>
      </c>
      <c r="B3523" s="1">
        <v>45810</v>
      </c>
      <c r="C3523">
        <v>2025</v>
      </c>
      <c r="D3523" t="s">
        <v>599</v>
      </c>
      <c r="E3523" t="s">
        <v>1000</v>
      </c>
      <c r="F3523" t="s">
        <v>24</v>
      </c>
      <c r="G3523" t="s">
        <v>49</v>
      </c>
      <c r="H3523" t="s">
        <v>32</v>
      </c>
      <c r="I3523" t="s">
        <v>84</v>
      </c>
      <c r="J3523" t="s">
        <v>132</v>
      </c>
      <c r="K3523">
        <v>1</v>
      </c>
      <c r="L3523" s="2">
        <v>48.86</v>
      </c>
      <c r="M3523" s="3">
        <v>0</v>
      </c>
      <c r="N3523" t="s">
        <v>38</v>
      </c>
      <c r="O3523" s="2">
        <v>48.86</v>
      </c>
      <c r="P3523" s="2">
        <v>34.590000000000003</v>
      </c>
      <c r="Q3523" s="2">
        <v>14.27</v>
      </c>
      <c r="R3523">
        <v>1</v>
      </c>
      <c r="S3523">
        <v>0</v>
      </c>
      <c r="T3523">
        <v>5</v>
      </c>
      <c r="U3523">
        <v>4</v>
      </c>
    </row>
    <row r="3524" spans="1:21" ht="16.5" x14ac:dyDescent="0.3">
      <c r="A3524" t="s">
        <v>3612</v>
      </c>
      <c r="B3524" s="1">
        <v>45810</v>
      </c>
      <c r="C3524">
        <v>2025</v>
      </c>
      <c r="D3524" t="s">
        <v>599</v>
      </c>
      <c r="E3524" t="s">
        <v>1000</v>
      </c>
      <c r="F3524" t="s">
        <v>31</v>
      </c>
      <c r="G3524" t="s">
        <v>65</v>
      </c>
      <c r="H3524" t="s">
        <v>26</v>
      </c>
      <c r="I3524" t="s">
        <v>70</v>
      </c>
      <c r="J3524" t="s">
        <v>71</v>
      </c>
      <c r="K3524">
        <v>1</v>
      </c>
      <c r="L3524" s="2">
        <v>588.41</v>
      </c>
      <c r="M3524" s="3">
        <v>0</v>
      </c>
      <c r="N3524" t="s">
        <v>38</v>
      </c>
      <c r="O3524" s="2">
        <v>588.41</v>
      </c>
      <c r="P3524" s="2">
        <v>462.73</v>
      </c>
      <c r="Q3524" s="2">
        <v>125.68</v>
      </c>
      <c r="R3524">
        <v>1</v>
      </c>
      <c r="S3524">
        <v>0</v>
      </c>
      <c r="T3524">
        <v>7</v>
      </c>
      <c r="U3524">
        <v>3</v>
      </c>
    </row>
    <row r="3525" spans="1:21" ht="16.5" x14ac:dyDescent="0.3">
      <c r="A3525" t="s">
        <v>3613</v>
      </c>
      <c r="B3525" s="1">
        <v>45810</v>
      </c>
      <c r="C3525">
        <v>2025</v>
      </c>
      <c r="D3525" t="s">
        <v>599</v>
      </c>
      <c r="E3525" t="s">
        <v>1000</v>
      </c>
      <c r="F3525" t="s">
        <v>24</v>
      </c>
      <c r="G3525" t="s">
        <v>65</v>
      </c>
      <c r="H3525" t="s">
        <v>32</v>
      </c>
      <c r="I3525" t="s">
        <v>36</v>
      </c>
      <c r="J3525" t="s">
        <v>56</v>
      </c>
      <c r="K3525">
        <v>1</v>
      </c>
      <c r="L3525" s="2">
        <v>74.3</v>
      </c>
      <c r="M3525" s="3">
        <v>0</v>
      </c>
      <c r="N3525" t="s">
        <v>38</v>
      </c>
      <c r="O3525" s="2">
        <v>74.3</v>
      </c>
      <c r="P3525" s="2">
        <v>36.26</v>
      </c>
      <c r="Q3525" s="2">
        <v>38.04</v>
      </c>
      <c r="R3525">
        <v>1</v>
      </c>
      <c r="S3525">
        <v>0</v>
      </c>
      <c r="T3525">
        <v>6</v>
      </c>
      <c r="U3525">
        <v>3</v>
      </c>
    </row>
    <row r="3526" spans="1:21" ht="16.5" x14ac:dyDescent="0.3">
      <c r="A3526" t="s">
        <v>3614</v>
      </c>
      <c r="B3526" s="1">
        <v>45811</v>
      </c>
      <c r="C3526">
        <v>2025</v>
      </c>
      <c r="D3526" t="s">
        <v>599</v>
      </c>
      <c r="E3526" t="s">
        <v>1000</v>
      </c>
      <c r="F3526" t="s">
        <v>24</v>
      </c>
      <c r="G3526" t="s">
        <v>51</v>
      </c>
      <c r="H3526" t="s">
        <v>26</v>
      </c>
      <c r="I3526" t="s">
        <v>70</v>
      </c>
      <c r="J3526" t="s">
        <v>82</v>
      </c>
      <c r="K3526">
        <v>1</v>
      </c>
      <c r="L3526" s="2">
        <v>508.8</v>
      </c>
      <c r="M3526" s="3">
        <v>0</v>
      </c>
      <c r="N3526" t="s">
        <v>38</v>
      </c>
      <c r="O3526" s="2">
        <v>508.8</v>
      </c>
      <c r="P3526" s="2">
        <v>402.15</v>
      </c>
      <c r="Q3526" s="2">
        <v>106.65</v>
      </c>
      <c r="R3526">
        <v>1</v>
      </c>
      <c r="S3526">
        <v>1</v>
      </c>
      <c r="T3526">
        <v>3</v>
      </c>
      <c r="U3526">
        <v>3</v>
      </c>
    </row>
    <row r="3527" spans="1:21" ht="16.5" x14ac:dyDescent="0.3">
      <c r="A3527" t="s">
        <v>3615</v>
      </c>
      <c r="B3527" s="1">
        <v>45811</v>
      </c>
      <c r="C3527">
        <v>2025</v>
      </c>
      <c r="D3527" t="s">
        <v>599</v>
      </c>
      <c r="E3527" t="s">
        <v>1000</v>
      </c>
      <c r="F3527" t="s">
        <v>24</v>
      </c>
      <c r="G3527" t="s">
        <v>49</v>
      </c>
      <c r="H3527" t="s">
        <v>32</v>
      </c>
      <c r="I3527" t="s">
        <v>36</v>
      </c>
      <c r="J3527" t="s">
        <v>37</v>
      </c>
      <c r="K3527">
        <v>1</v>
      </c>
      <c r="L3527" s="2">
        <v>33.18</v>
      </c>
      <c r="M3527" s="3">
        <v>0.15</v>
      </c>
      <c r="N3527" t="s">
        <v>34</v>
      </c>
      <c r="O3527" s="2">
        <v>28.2</v>
      </c>
      <c r="P3527" s="2">
        <v>16.04</v>
      </c>
      <c r="Q3527" s="2">
        <v>12.16</v>
      </c>
      <c r="R3527">
        <v>1</v>
      </c>
      <c r="S3527">
        <v>0</v>
      </c>
      <c r="T3527">
        <v>3</v>
      </c>
      <c r="U3527">
        <v>5</v>
      </c>
    </row>
    <row r="3528" spans="1:21" ht="16.5" x14ac:dyDescent="0.3">
      <c r="A3528" t="s">
        <v>3616</v>
      </c>
      <c r="B3528" s="1">
        <v>45811</v>
      </c>
      <c r="C3528">
        <v>2025</v>
      </c>
      <c r="D3528" t="s">
        <v>599</v>
      </c>
      <c r="E3528" t="s">
        <v>1000</v>
      </c>
      <c r="F3528" t="s">
        <v>24</v>
      </c>
      <c r="G3528" t="s">
        <v>51</v>
      </c>
      <c r="H3528" t="s">
        <v>32</v>
      </c>
      <c r="I3528" t="s">
        <v>27</v>
      </c>
      <c r="J3528" t="s">
        <v>47</v>
      </c>
      <c r="K3528">
        <v>1</v>
      </c>
      <c r="L3528" s="2">
        <v>33.99</v>
      </c>
      <c r="M3528" s="3">
        <v>0.05</v>
      </c>
      <c r="N3528" t="s">
        <v>29</v>
      </c>
      <c r="O3528" s="2">
        <v>32.29</v>
      </c>
      <c r="P3528" s="2">
        <v>17.579999999999998</v>
      </c>
      <c r="Q3528" s="2">
        <v>14.71</v>
      </c>
      <c r="R3528">
        <v>1</v>
      </c>
      <c r="S3528">
        <v>0</v>
      </c>
      <c r="T3528">
        <v>3</v>
      </c>
      <c r="U3528">
        <v>5</v>
      </c>
    </row>
    <row r="3529" spans="1:21" ht="16.5" x14ac:dyDescent="0.3">
      <c r="A3529" t="s">
        <v>3617</v>
      </c>
      <c r="B3529" s="1">
        <v>45811</v>
      </c>
      <c r="C3529">
        <v>2025</v>
      </c>
      <c r="D3529" t="s">
        <v>599</v>
      </c>
      <c r="E3529" t="s">
        <v>1000</v>
      </c>
      <c r="F3529" t="s">
        <v>24</v>
      </c>
      <c r="G3529" t="s">
        <v>49</v>
      </c>
      <c r="H3529" t="s">
        <v>26</v>
      </c>
      <c r="I3529" t="s">
        <v>36</v>
      </c>
      <c r="J3529" t="s">
        <v>37</v>
      </c>
      <c r="K3529">
        <v>1</v>
      </c>
      <c r="L3529" s="2">
        <v>33.18</v>
      </c>
      <c r="M3529" s="3">
        <v>0.3</v>
      </c>
      <c r="N3529" t="s">
        <v>62</v>
      </c>
      <c r="O3529" s="2">
        <v>23.23</v>
      </c>
      <c r="P3529" s="2">
        <v>15.93</v>
      </c>
      <c r="Q3529" s="2">
        <v>7.3</v>
      </c>
      <c r="R3529">
        <v>1</v>
      </c>
      <c r="S3529">
        <v>0</v>
      </c>
      <c r="T3529">
        <v>3</v>
      </c>
      <c r="U3529">
        <v>5</v>
      </c>
    </row>
    <row r="3530" spans="1:21" ht="16.5" x14ac:dyDescent="0.3">
      <c r="A3530" t="s">
        <v>3618</v>
      </c>
      <c r="B3530" s="1">
        <v>45811</v>
      </c>
      <c r="C3530">
        <v>2025</v>
      </c>
      <c r="D3530" t="s">
        <v>599</v>
      </c>
      <c r="E3530" t="s">
        <v>1000</v>
      </c>
      <c r="F3530" t="s">
        <v>24</v>
      </c>
      <c r="G3530" t="s">
        <v>25</v>
      </c>
      <c r="H3530" t="s">
        <v>32</v>
      </c>
      <c r="I3530" t="s">
        <v>70</v>
      </c>
      <c r="J3530" t="s">
        <v>162</v>
      </c>
      <c r="K3530">
        <v>2</v>
      </c>
      <c r="L3530" s="2">
        <v>636.09</v>
      </c>
      <c r="M3530" s="3">
        <v>0</v>
      </c>
      <c r="N3530" t="s">
        <v>38</v>
      </c>
      <c r="O3530" s="2">
        <v>1272.18</v>
      </c>
      <c r="P3530" s="2">
        <v>1034.6300000000001</v>
      </c>
      <c r="Q3530" s="2">
        <v>237.55</v>
      </c>
      <c r="R3530">
        <v>1</v>
      </c>
      <c r="S3530">
        <v>1</v>
      </c>
      <c r="T3530">
        <v>4</v>
      </c>
      <c r="U3530">
        <v>3</v>
      </c>
    </row>
    <row r="3531" spans="1:21" ht="16.5" x14ac:dyDescent="0.3">
      <c r="A3531" t="s">
        <v>3619</v>
      </c>
      <c r="B3531" s="1">
        <v>45811</v>
      </c>
      <c r="C3531">
        <v>2025</v>
      </c>
      <c r="D3531" t="s">
        <v>599</v>
      </c>
      <c r="E3531" t="s">
        <v>1000</v>
      </c>
      <c r="F3531" t="s">
        <v>24</v>
      </c>
      <c r="G3531" t="s">
        <v>49</v>
      </c>
      <c r="H3531" t="s">
        <v>32</v>
      </c>
      <c r="I3531" t="s">
        <v>27</v>
      </c>
      <c r="J3531" t="s">
        <v>28</v>
      </c>
      <c r="K3531">
        <v>1</v>
      </c>
      <c r="L3531" s="2">
        <v>138.5</v>
      </c>
      <c r="M3531" s="3">
        <v>0</v>
      </c>
      <c r="N3531" t="s">
        <v>38</v>
      </c>
      <c r="O3531" s="2">
        <v>138.5</v>
      </c>
      <c r="P3531" s="2">
        <v>77.010000000000005</v>
      </c>
      <c r="Q3531" s="2">
        <v>61.49</v>
      </c>
      <c r="R3531">
        <v>1</v>
      </c>
      <c r="S3531">
        <v>0</v>
      </c>
      <c r="T3531">
        <v>4</v>
      </c>
      <c r="U3531">
        <v>4</v>
      </c>
    </row>
    <row r="3532" spans="1:21" ht="16.5" x14ac:dyDescent="0.3">
      <c r="A3532" t="s">
        <v>3620</v>
      </c>
      <c r="B3532" s="1">
        <v>45811</v>
      </c>
      <c r="C3532">
        <v>2025</v>
      </c>
      <c r="D3532" t="s">
        <v>599</v>
      </c>
      <c r="E3532" t="s">
        <v>1000</v>
      </c>
      <c r="F3532" t="s">
        <v>24</v>
      </c>
      <c r="G3532" t="s">
        <v>25</v>
      </c>
      <c r="H3532" t="s">
        <v>32</v>
      </c>
      <c r="I3532" t="s">
        <v>36</v>
      </c>
      <c r="J3532" t="s">
        <v>115</v>
      </c>
      <c r="K3532">
        <v>1</v>
      </c>
      <c r="L3532" s="2">
        <v>33.479999999999997</v>
      </c>
      <c r="M3532" s="3">
        <v>0</v>
      </c>
      <c r="N3532" t="s">
        <v>38</v>
      </c>
      <c r="O3532" s="2">
        <v>33.479999999999997</v>
      </c>
      <c r="P3532" s="2">
        <v>15.58</v>
      </c>
      <c r="Q3532" s="2">
        <v>17.899999999999999</v>
      </c>
      <c r="R3532">
        <v>1</v>
      </c>
      <c r="S3532">
        <v>0</v>
      </c>
      <c r="T3532">
        <v>4</v>
      </c>
      <c r="U3532">
        <v>4</v>
      </c>
    </row>
    <row r="3533" spans="1:21" ht="16.5" x14ac:dyDescent="0.3">
      <c r="A3533" t="s">
        <v>3621</v>
      </c>
      <c r="B3533" s="1">
        <v>45811</v>
      </c>
      <c r="C3533">
        <v>2025</v>
      </c>
      <c r="D3533" t="s">
        <v>599</v>
      </c>
      <c r="E3533" t="s">
        <v>1000</v>
      </c>
      <c r="F3533" t="s">
        <v>31</v>
      </c>
      <c r="G3533" t="s">
        <v>51</v>
      </c>
      <c r="H3533" t="s">
        <v>32</v>
      </c>
      <c r="I3533" t="s">
        <v>42</v>
      </c>
      <c r="J3533" t="s">
        <v>54</v>
      </c>
      <c r="K3533">
        <v>1</v>
      </c>
      <c r="L3533" s="2">
        <v>148.05000000000001</v>
      </c>
      <c r="M3533" s="3">
        <v>0</v>
      </c>
      <c r="N3533" t="s">
        <v>38</v>
      </c>
      <c r="O3533" s="2">
        <v>148.05000000000001</v>
      </c>
      <c r="P3533" s="2">
        <v>95.66</v>
      </c>
      <c r="Q3533" s="2">
        <v>52.39</v>
      </c>
      <c r="R3533">
        <v>1</v>
      </c>
      <c r="S3533">
        <v>0</v>
      </c>
      <c r="T3533">
        <v>3</v>
      </c>
      <c r="U3533">
        <v>5</v>
      </c>
    </row>
    <row r="3534" spans="1:21" ht="16.5" x14ac:dyDescent="0.3">
      <c r="A3534" t="s">
        <v>3622</v>
      </c>
      <c r="B3534" s="1">
        <v>45811</v>
      </c>
      <c r="C3534">
        <v>2025</v>
      </c>
      <c r="D3534" t="s">
        <v>599</v>
      </c>
      <c r="E3534" t="s">
        <v>1000</v>
      </c>
      <c r="F3534" t="s">
        <v>31</v>
      </c>
      <c r="G3534" t="s">
        <v>51</v>
      </c>
      <c r="H3534" t="s">
        <v>26</v>
      </c>
      <c r="I3534" t="s">
        <v>27</v>
      </c>
      <c r="J3534" t="s">
        <v>110</v>
      </c>
      <c r="K3534">
        <v>4</v>
      </c>
      <c r="L3534" s="2">
        <v>19.41</v>
      </c>
      <c r="M3534" s="3">
        <v>0.15</v>
      </c>
      <c r="N3534" t="s">
        <v>34</v>
      </c>
      <c r="O3534" s="2">
        <v>65.989999999999995</v>
      </c>
      <c r="P3534" s="2">
        <v>42.27</v>
      </c>
      <c r="Q3534" s="2">
        <v>23.72</v>
      </c>
      <c r="R3534">
        <v>1</v>
      </c>
      <c r="S3534">
        <v>0</v>
      </c>
      <c r="T3534">
        <v>3</v>
      </c>
      <c r="U3534">
        <v>5</v>
      </c>
    </row>
    <row r="3535" spans="1:21" ht="16.5" x14ac:dyDescent="0.3">
      <c r="A3535" t="s">
        <v>3623</v>
      </c>
      <c r="B3535" s="1">
        <v>45812</v>
      </c>
      <c r="C3535">
        <v>2025</v>
      </c>
      <c r="D3535" t="s">
        <v>599</v>
      </c>
      <c r="E3535" t="s">
        <v>1000</v>
      </c>
      <c r="F3535" t="s">
        <v>45</v>
      </c>
      <c r="G3535" t="s">
        <v>49</v>
      </c>
      <c r="H3535" t="s">
        <v>32</v>
      </c>
      <c r="I3535" t="s">
        <v>67</v>
      </c>
      <c r="J3535" t="s">
        <v>103</v>
      </c>
      <c r="K3535">
        <v>1</v>
      </c>
      <c r="L3535" s="2">
        <v>83.06</v>
      </c>
      <c r="M3535" s="3">
        <v>0.1</v>
      </c>
      <c r="N3535" t="s">
        <v>29</v>
      </c>
      <c r="O3535" s="2">
        <v>74.75</v>
      </c>
      <c r="P3535" s="2">
        <v>57.16</v>
      </c>
      <c r="Q3535" s="2">
        <v>17.59</v>
      </c>
      <c r="R3535">
        <v>1</v>
      </c>
      <c r="S3535">
        <v>0</v>
      </c>
      <c r="T3535">
        <v>4</v>
      </c>
      <c r="U3535">
        <v>5</v>
      </c>
    </row>
    <row r="3536" spans="1:21" ht="16.5" x14ac:dyDescent="0.3">
      <c r="A3536" t="s">
        <v>3624</v>
      </c>
      <c r="B3536" s="1">
        <v>45812</v>
      </c>
      <c r="C3536">
        <v>2025</v>
      </c>
      <c r="D3536" t="s">
        <v>599</v>
      </c>
      <c r="E3536" t="s">
        <v>1000</v>
      </c>
      <c r="F3536" t="s">
        <v>31</v>
      </c>
      <c r="G3536" t="s">
        <v>49</v>
      </c>
      <c r="H3536" t="s">
        <v>32</v>
      </c>
      <c r="I3536" t="s">
        <v>84</v>
      </c>
      <c r="J3536" t="s">
        <v>223</v>
      </c>
      <c r="K3536">
        <v>1</v>
      </c>
      <c r="L3536" s="2">
        <v>16.97</v>
      </c>
      <c r="M3536" s="3">
        <v>0</v>
      </c>
      <c r="N3536" t="s">
        <v>38</v>
      </c>
      <c r="O3536" s="2">
        <v>16.97</v>
      </c>
      <c r="P3536" s="2">
        <v>12.27</v>
      </c>
      <c r="Q3536" s="2">
        <v>4.7</v>
      </c>
      <c r="R3536">
        <v>1</v>
      </c>
      <c r="S3536">
        <v>0</v>
      </c>
      <c r="T3536">
        <v>3</v>
      </c>
      <c r="U3536">
        <v>5</v>
      </c>
    </row>
    <row r="3537" spans="1:21" ht="16.5" x14ac:dyDescent="0.3">
      <c r="A3537" t="s">
        <v>3625</v>
      </c>
      <c r="B3537" s="1">
        <v>45812</v>
      </c>
      <c r="C3537">
        <v>2025</v>
      </c>
      <c r="D3537" t="s">
        <v>599</v>
      </c>
      <c r="E3537" t="s">
        <v>1000</v>
      </c>
      <c r="F3537" t="s">
        <v>45</v>
      </c>
      <c r="G3537" t="s">
        <v>25</v>
      </c>
      <c r="H3537" t="s">
        <v>26</v>
      </c>
      <c r="I3537" t="s">
        <v>67</v>
      </c>
      <c r="J3537" t="s">
        <v>103</v>
      </c>
      <c r="K3537">
        <v>1</v>
      </c>
      <c r="L3537" s="2">
        <v>83.06</v>
      </c>
      <c r="M3537" s="3">
        <v>0.05</v>
      </c>
      <c r="N3537" t="s">
        <v>29</v>
      </c>
      <c r="O3537" s="2">
        <v>78.91</v>
      </c>
      <c r="P3537" s="2">
        <v>54.26</v>
      </c>
      <c r="Q3537" s="2">
        <v>24.65</v>
      </c>
      <c r="R3537">
        <v>1</v>
      </c>
      <c r="S3537">
        <v>0</v>
      </c>
      <c r="T3537">
        <v>6</v>
      </c>
      <c r="U3537">
        <v>4</v>
      </c>
    </row>
    <row r="3538" spans="1:21" ht="16.5" x14ac:dyDescent="0.3">
      <c r="A3538" t="s">
        <v>3626</v>
      </c>
      <c r="B3538" s="1">
        <v>45812</v>
      </c>
      <c r="C3538">
        <v>2025</v>
      </c>
      <c r="D3538" t="s">
        <v>599</v>
      </c>
      <c r="E3538" t="s">
        <v>1000</v>
      </c>
      <c r="F3538" t="s">
        <v>24</v>
      </c>
      <c r="G3538" t="s">
        <v>25</v>
      </c>
      <c r="H3538" t="s">
        <v>32</v>
      </c>
      <c r="I3538" t="s">
        <v>36</v>
      </c>
      <c r="J3538" t="s">
        <v>52</v>
      </c>
      <c r="K3538">
        <v>2</v>
      </c>
      <c r="L3538" s="2">
        <v>92.54</v>
      </c>
      <c r="M3538" s="3">
        <v>0</v>
      </c>
      <c r="N3538" t="s">
        <v>38</v>
      </c>
      <c r="O3538" s="2">
        <v>185.08</v>
      </c>
      <c r="P3538" s="2">
        <v>90.14</v>
      </c>
      <c r="Q3538" s="2">
        <v>94.94</v>
      </c>
      <c r="R3538">
        <v>1</v>
      </c>
      <c r="S3538">
        <v>0</v>
      </c>
      <c r="T3538">
        <v>4</v>
      </c>
      <c r="U3538">
        <v>5</v>
      </c>
    </row>
    <row r="3539" spans="1:21" ht="16.5" x14ac:dyDescent="0.3">
      <c r="A3539" t="s">
        <v>3627</v>
      </c>
      <c r="B3539" s="1">
        <v>45812</v>
      </c>
      <c r="C3539">
        <v>2025</v>
      </c>
      <c r="D3539" t="s">
        <v>599</v>
      </c>
      <c r="E3539" t="s">
        <v>1000</v>
      </c>
      <c r="F3539" t="s">
        <v>24</v>
      </c>
      <c r="G3539" t="s">
        <v>51</v>
      </c>
      <c r="H3539" t="s">
        <v>26</v>
      </c>
      <c r="I3539" t="s">
        <v>42</v>
      </c>
      <c r="J3539" t="s">
        <v>89</v>
      </c>
      <c r="K3539">
        <v>1</v>
      </c>
      <c r="L3539" s="2">
        <v>68.349999999999994</v>
      </c>
      <c r="M3539" s="3">
        <v>0</v>
      </c>
      <c r="N3539" t="s">
        <v>38</v>
      </c>
      <c r="O3539" s="2">
        <v>68.349999999999994</v>
      </c>
      <c r="P3539" s="2">
        <v>46.12</v>
      </c>
      <c r="Q3539" s="2">
        <v>22.23</v>
      </c>
      <c r="R3539">
        <v>1</v>
      </c>
      <c r="S3539">
        <v>0</v>
      </c>
      <c r="T3539">
        <v>4</v>
      </c>
      <c r="U3539">
        <v>5</v>
      </c>
    </row>
    <row r="3540" spans="1:21" ht="16.5" x14ac:dyDescent="0.3">
      <c r="A3540" t="s">
        <v>3628</v>
      </c>
      <c r="B3540" s="1">
        <v>45813</v>
      </c>
      <c r="C3540">
        <v>2025</v>
      </c>
      <c r="D3540" t="s">
        <v>599</v>
      </c>
      <c r="E3540" t="s">
        <v>1000</v>
      </c>
      <c r="F3540" t="s">
        <v>31</v>
      </c>
      <c r="G3540" t="s">
        <v>65</v>
      </c>
      <c r="H3540" t="s">
        <v>32</v>
      </c>
      <c r="I3540" t="s">
        <v>27</v>
      </c>
      <c r="J3540" t="s">
        <v>40</v>
      </c>
      <c r="K3540">
        <v>1</v>
      </c>
      <c r="L3540" s="2">
        <v>104.94</v>
      </c>
      <c r="M3540" s="3">
        <v>0</v>
      </c>
      <c r="N3540" t="s">
        <v>38</v>
      </c>
      <c r="O3540" s="2">
        <v>104.94</v>
      </c>
      <c r="P3540" s="2">
        <v>56.79</v>
      </c>
      <c r="Q3540" s="2">
        <v>48.15</v>
      </c>
      <c r="R3540">
        <v>1</v>
      </c>
      <c r="S3540">
        <v>0</v>
      </c>
      <c r="T3540">
        <v>6</v>
      </c>
      <c r="U3540">
        <v>4</v>
      </c>
    </row>
    <row r="3541" spans="1:21" ht="16.5" x14ac:dyDescent="0.3">
      <c r="A3541" t="s">
        <v>3629</v>
      </c>
      <c r="B3541" s="1">
        <v>45813</v>
      </c>
      <c r="C3541">
        <v>2025</v>
      </c>
      <c r="D3541" t="s">
        <v>599</v>
      </c>
      <c r="E3541" t="s">
        <v>1000</v>
      </c>
      <c r="F3541" t="s">
        <v>31</v>
      </c>
      <c r="G3541" t="s">
        <v>51</v>
      </c>
      <c r="H3541" t="s">
        <v>32</v>
      </c>
      <c r="I3541" t="s">
        <v>42</v>
      </c>
      <c r="J3541" t="s">
        <v>89</v>
      </c>
      <c r="K3541">
        <v>2</v>
      </c>
      <c r="L3541" s="2">
        <v>68.349999999999994</v>
      </c>
      <c r="M3541" s="3">
        <v>0</v>
      </c>
      <c r="N3541" t="s">
        <v>38</v>
      </c>
      <c r="O3541" s="2">
        <v>136.69999999999999</v>
      </c>
      <c r="P3541" s="2">
        <v>88.26</v>
      </c>
      <c r="Q3541" s="2">
        <v>48.44</v>
      </c>
      <c r="R3541">
        <v>1</v>
      </c>
      <c r="S3541">
        <v>0</v>
      </c>
      <c r="T3541">
        <v>5</v>
      </c>
      <c r="U3541">
        <v>5</v>
      </c>
    </row>
    <row r="3542" spans="1:21" ht="16.5" x14ac:dyDescent="0.3">
      <c r="A3542" t="s">
        <v>3630</v>
      </c>
      <c r="B3542" s="1">
        <v>45813</v>
      </c>
      <c r="C3542">
        <v>2025</v>
      </c>
      <c r="D3542" t="s">
        <v>599</v>
      </c>
      <c r="E3542" t="s">
        <v>1000</v>
      </c>
      <c r="F3542" t="s">
        <v>31</v>
      </c>
      <c r="G3542" t="s">
        <v>49</v>
      </c>
      <c r="H3542" t="s">
        <v>26</v>
      </c>
      <c r="I3542" t="s">
        <v>27</v>
      </c>
      <c r="J3542" t="s">
        <v>40</v>
      </c>
      <c r="K3542">
        <v>1</v>
      </c>
      <c r="L3542" s="2">
        <v>104.94</v>
      </c>
      <c r="M3542" s="3">
        <v>0.15</v>
      </c>
      <c r="N3542" t="s">
        <v>34</v>
      </c>
      <c r="O3542" s="2">
        <v>89.2</v>
      </c>
      <c r="P3542" s="2">
        <v>55.9</v>
      </c>
      <c r="Q3542" s="2">
        <v>33.299999999999997</v>
      </c>
      <c r="R3542">
        <v>1</v>
      </c>
      <c r="S3542">
        <v>0</v>
      </c>
      <c r="T3542">
        <v>3</v>
      </c>
      <c r="U3542">
        <v>5</v>
      </c>
    </row>
    <row r="3543" spans="1:21" ht="16.5" x14ac:dyDescent="0.3">
      <c r="A3543" t="s">
        <v>3631</v>
      </c>
      <c r="B3543" s="1">
        <v>45814</v>
      </c>
      <c r="C3543">
        <v>2025</v>
      </c>
      <c r="D3543" t="s">
        <v>599</v>
      </c>
      <c r="E3543" t="s">
        <v>1000</v>
      </c>
      <c r="F3543" t="s">
        <v>45</v>
      </c>
      <c r="G3543" t="s">
        <v>51</v>
      </c>
      <c r="H3543" t="s">
        <v>26</v>
      </c>
      <c r="I3543" t="s">
        <v>70</v>
      </c>
      <c r="J3543" t="s">
        <v>162</v>
      </c>
      <c r="K3543">
        <v>1</v>
      </c>
      <c r="L3543" s="2">
        <v>636.09</v>
      </c>
      <c r="M3543" s="3">
        <v>0</v>
      </c>
      <c r="N3543" t="s">
        <v>38</v>
      </c>
      <c r="O3543" s="2">
        <v>636.09</v>
      </c>
      <c r="P3543" s="2">
        <v>515.12</v>
      </c>
      <c r="Q3543" s="2">
        <v>120.97</v>
      </c>
      <c r="R3543">
        <v>1</v>
      </c>
      <c r="S3543">
        <v>0</v>
      </c>
      <c r="T3543">
        <v>3</v>
      </c>
      <c r="U3543">
        <v>5</v>
      </c>
    </row>
    <row r="3544" spans="1:21" ht="16.5" x14ac:dyDescent="0.3">
      <c r="A3544" t="s">
        <v>3632</v>
      </c>
      <c r="B3544" s="1">
        <v>45814</v>
      </c>
      <c r="C3544">
        <v>2025</v>
      </c>
      <c r="D3544" t="s">
        <v>599</v>
      </c>
      <c r="E3544" t="s">
        <v>1000</v>
      </c>
      <c r="F3544" t="s">
        <v>45</v>
      </c>
      <c r="G3544" t="s">
        <v>51</v>
      </c>
      <c r="H3544" t="s">
        <v>32</v>
      </c>
      <c r="I3544" t="s">
        <v>27</v>
      </c>
      <c r="J3544" t="s">
        <v>60</v>
      </c>
      <c r="K3544">
        <v>3</v>
      </c>
      <c r="L3544" s="2">
        <v>94.85</v>
      </c>
      <c r="M3544" s="3">
        <v>0.15</v>
      </c>
      <c r="N3544" t="s">
        <v>34</v>
      </c>
      <c r="O3544" s="2">
        <v>241.87</v>
      </c>
      <c r="P3544" s="2">
        <v>155.88</v>
      </c>
      <c r="Q3544" s="2">
        <v>85.99</v>
      </c>
      <c r="R3544">
        <v>1</v>
      </c>
      <c r="S3544">
        <v>1</v>
      </c>
      <c r="T3544">
        <v>2</v>
      </c>
      <c r="U3544">
        <v>4</v>
      </c>
    </row>
    <row r="3545" spans="1:21" ht="16.5" x14ac:dyDescent="0.3">
      <c r="A3545" t="s">
        <v>3633</v>
      </c>
      <c r="B3545" s="1">
        <v>45814</v>
      </c>
      <c r="C3545">
        <v>2025</v>
      </c>
      <c r="D3545" t="s">
        <v>599</v>
      </c>
      <c r="E3545" t="s">
        <v>1000</v>
      </c>
      <c r="F3545" t="s">
        <v>31</v>
      </c>
      <c r="G3545" t="s">
        <v>65</v>
      </c>
      <c r="H3545" t="s">
        <v>26</v>
      </c>
      <c r="I3545" t="s">
        <v>42</v>
      </c>
      <c r="J3545" t="s">
        <v>54</v>
      </c>
      <c r="K3545">
        <v>2</v>
      </c>
      <c r="L3545" s="2">
        <v>148.05000000000001</v>
      </c>
      <c r="M3545" s="3">
        <v>0.1</v>
      </c>
      <c r="N3545" t="s">
        <v>29</v>
      </c>
      <c r="O3545" s="2">
        <v>266.49</v>
      </c>
      <c r="P3545" s="2">
        <v>196.11</v>
      </c>
      <c r="Q3545" s="2">
        <v>70.38</v>
      </c>
      <c r="R3545">
        <v>1</v>
      </c>
      <c r="S3545">
        <v>0</v>
      </c>
      <c r="T3545">
        <v>6</v>
      </c>
      <c r="U3545">
        <v>3</v>
      </c>
    </row>
    <row r="3546" spans="1:21" ht="16.5" x14ac:dyDescent="0.3">
      <c r="A3546" t="s">
        <v>3634</v>
      </c>
      <c r="B3546" s="1">
        <v>45814</v>
      </c>
      <c r="C3546">
        <v>2025</v>
      </c>
      <c r="D3546" t="s">
        <v>599</v>
      </c>
      <c r="E3546" t="s">
        <v>1000</v>
      </c>
      <c r="F3546" t="s">
        <v>31</v>
      </c>
      <c r="G3546" t="s">
        <v>51</v>
      </c>
      <c r="H3546" t="s">
        <v>32</v>
      </c>
      <c r="I3546" t="s">
        <v>27</v>
      </c>
      <c r="J3546" t="s">
        <v>60</v>
      </c>
      <c r="K3546">
        <v>1</v>
      </c>
      <c r="L3546" s="2">
        <v>94.85</v>
      </c>
      <c r="M3546" s="3">
        <v>0.1</v>
      </c>
      <c r="N3546" t="s">
        <v>29</v>
      </c>
      <c r="O3546" s="2">
        <v>85.36</v>
      </c>
      <c r="P3546" s="2">
        <v>50.22</v>
      </c>
      <c r="Q3546" s="2">
        <v>35.14</v>
      </c>
      <c r="R3546">
        <v>1</v>
      </c>
      <c r="S3546">
        <v>0</v>
      </c>
      <c r="T3546">
        <v>2</v>
      </c>
      <c r="U3546">
        <v>5</v>
      </c>
    </row>
    <row r="3547" spans="1:21" ht="16.5" x14ac:dyDescent="0.3">
      <c r="A3547" t="s">
        <v>3635</v>
      </c>
      <c r="B3547" s="1">
        <v>45815</v>
      </c>
      <c r="C3547">
        <v>2025</v>
      </c>
      <c r="D3547" t="s">
        <v>599</v>
      </c>
      <c r="E3547" t="s">
        <v>1000</v>
      </c>
      <c r="F3547" t="s">
        <v>45</v>
      </c>
      <c r="G3547" t="s">
        <v>25</v>
      </c>
      <c r="H3547" t="s">
        <v>26</v>
      </c>
      <c r="I3547" t="s">
        <v>36</v>
      </c>
      <c r="J3547" t="s">
        <v>52</v>
      </c>
      <c r="K3547">
        <v>1</v>
      </c>
      <c r="L3547" s="2">
        <v>92.54</v>
      </c>
      <c r="M3547" s="3">
        <v>0.15</v>
      </c>
      <c r="N3547" t="s">
        <v>34</v>
      </c>
      <c r="O3547" s="2">
        <v>78.66</v>
      </c>
      <c r="P3547" s="2">
        <v>45.28</v>
      </c>
      <c r="Q3547" s="2">
        <v>33.380000000000003</v>
      </c>
      <c r="R3547">
        <v>1</v>
      </c>
      <c r="S3547">
        <v>0</v>
      </c>
      <c r="T3547">
        <v>7</v>
      </c>
      <c r="U3547">
        <v>3</v>
      </c>
    </row>
    <row r="3548" spans="1:21" ht="16.5" x14ac:dyDescent="0.3">
      <c r="A3548" t="s">
        <v>3636</v>
      </c>
      <c r="B3548" s="1">
        <v>45815</v>
      </c>
      <c r="C3548">
        <v>2025</v>
      </c>
      <c r="D3548" t="s">
        <v>599</v>
      </c>
      <c r="E3548" t="s">
        <v>1000</v>
      </c>
      <c r="F3548" t="s">
        <v>24</v>
      </c>
      <c r="G3548" t="s">
        <v>51</v>
      </c>
      <c r="H3548" t="s">
        <v>26</v>
      </c>
      <c r="I3548" t="s">
        <v>42</v>
      </c>
      <c r="J3548" t="s">
        <v>58</v>
      </c>
      <c r="K3548">
        <v>1</v>
      </c>
      <c r="L3548" s="2">
        <v>233.81</v>
      </c>
      <c r="M3548" s="3">
        <v>0</v>
      </c>
      <c r="N3548" t="s">
        <v>38</v>
      </c>
      <c r="O3548" s="2">
        <v>233.81</v>
      </c>
      <c r="P3548" s="2">
        <v>147.08000000000001</v>
      </c>
      <c r="Q3548" s="2">
        <v>86.73</v>
      </c>
      <c r="R3548">
        <v>1</v>
      </c>
      <c r="S3548">
        <v>0</v>
      </c>
      <c r="T3548">
        <v>4</v>
      </c>
      <c r="U3548">
        <v>5</v>
      </c>
    </row>
    <row r="3549" spans="1:21" ht="16.5" x14ac:dyDescent="0.3">
      <c r="A3549" t="s">
        <v>3637</v>
      </c>
      <c r="B3549" s="1">
        <v>45815</v>
      </c>
      <c r="C3549">
        <v>2025</v>
      </c>
      <c r="D3549" t="s">
        <v>599</v>
      </c>
      <c r="E3549" t="s">
        <v>1000</v>
      </c>
      <c r="F3549" t="s">
        <v>31</v>
      </c>
      <c r="G3549" t="s">
        <v>65</v>
      </c>
      <c r="H3549" t="s">
        <v>26</v>
      </c>
      <c r="I3549" t="s">
        <v>70</v>
      </c>
      <c r="J3549" t="s">
        <v>252</v>
      </c>
      <c r="K3549">
        <v>1</v>
      </c>
      <c r="L3549" s="2">
        <v>216.08</v>
      </c>
      <c r="M3549" s="3">
        <v>0</v>
      </c>
      <c r="N3549" t="s">
        <v>38</v>
      </c>
      <c r="O3549" s="2">
        <v>216.08</v>
      </c>
      <c r="P3549" s="2">
        <v>173.94</v>
      </c>
      <c r="Q3549" s="2">
        <v>42.14</v>
      </c>
      <c r="R3549">
        <v>1</v>
      </c>
      <c r="S3549">
        <v>0</v>
      </c>
      <c r="T3549">
        <v>7</v>
      </c>
      <c r="U3549">
        <v>3</v>
      </c>
    </row>
    <row r="3550" spans="1:21" ht="16.5" x14ac:dyDescent="0.3">
      <c r="A3550" t="s">
        <v>3638</v>
      </c>
      <c r="B3550" s="1">
        <v>45815</v>
      </c>
      <c r="C3550">
        <v>2025</v>
      </c>
      <c r="D3550" t="s">
        <v>599</v>
      </c>
      <c r="E3550" t="s">
        <v>1000</v>
      </c>
      <c r="F3550" t="s">
        <v>24</v>
      </c>
      <c r="G3550" t="s">
        <v>49</v>
      </c>
      <c r="H3550" t="s">
        <v>32</v>
      </c>
      <c r="I3550" t="s">
        <v>42</v>
      </c>
      <c r="J3550" t="s">
        <v>76</v>
      </c>
      <c r="K3550">
        <v>3</v>
      </c>
      <c r="L3550" s="2">
        <v>90.75</v>
      </c>
      <c r="M3550" s="3">
        <v>0.25</v>
      </c>
      <c r="N3550" t="s">
        <v>62</v>
      </c>
      <c r="O3550" s="2">
        <v>204.19</v>
      </c>
      <c r="P3550" s="2">
        <v>179.09</v>
      </c>
      <c r="Q3550" s="2">
        <v>25.1</v>
      </c>
      <c r="R3550">
        <v>1</v>
      </c>
      <c r="S3550">
        <v>0</v>
      </c>
      <c r="T3550">
        <v>4</v>
      </c>
      <c r="U3550">
        <v>4</v>
      </c>
    </row>
    <row r="3551" spans="1:21" ht="16.5" x14ac:dyDescent="0.3">
      <c r="A3551" t="s">
        <v>3639</v>
      </c>
      <c r="B3551" s="1">
        <v>45815</v>
      </c>
      <c r="C3551">
        <v>2025</v>
      </c>
      <c r="D3551" t="s">
        <v>599</v>
      </c>
      <c r="E3551" t="s">
        <v>1000</v>
      </c>
      <c r="F3551" t="s">
        <v>31</v>
      </c>
      <c r="G3551" t="s">
        <v>49</v>
      </c>
      <c r="H3551" t="s">
        <v>32</v>
      </c>
      <c r="I3551" t="s">
        <v>70</v>
      </c>
      <c r="J3551" t="s">
        <v>87</v>
      </c>
      <c r="K3551">
        <v>1</v>
      </c>
      <c r="L3551" s="2">
        <v>490.3</v>
      </c>
      <c r="M3551" s="3">
        <v>0.1</v>
      </c>
      <c r="N3551" t="s">
        <v>29</v>
      </c>
      <c r="O3551" s="2">
        <v>441.27</v>
      </c>
      <c r="P3551" s="2">
        <v>389.69</v>
      </c>
      <c r="Q3551" s="2">
        <v>51.58</v>
      </c>
      <c r="R3551">
        <v>1</v>
      </c>
      <c r="S3551">
        <v>0</v>
      </c>
      <c r="T3551">
        <v>4</v>
      </c>
      <c r="U3551">
        <v>5</v>
      </c>
    </row>
    <row r="3552" spans="1:21" ht="16.5" x14ac:dyDescent="0.3">
      <c r="A3552" t="s">
        <v>3640</v>
      </c>
      <c r="B3552" s="1">
        <v>45815</v>
      </c>
      <c r="C3552">
        <v>2025</v>
      </c>
      <c r="D3552" t="s">
        <v>599</v>
      </c>
      <c r="E3552" t="s">
        <v>1000</v>
      </c>
      <c r="F3552" t="s">
        <v>24</v>
      </c>
      <c r="G3552" t="s">
        <v>51</v>
      </c>
      <c r="H3552" t="s">
        <v>32</v>
      </c>
      <c r="I3552" t="s">
        <v>27</v>
      </c>
      <c r="J3552" t="s">
        <v>40</v>
      </c>
      <c r="K3552">
        <v>1</v>
      </c>
      <c r="L3552" s="2">
        <v>104.94</v>
      </c>
      <c r="M3552" s="3">
        <v>0.25</v>
      </c>
      <c r="N3552" t="s">
        <v>62</v>
      </c>
      <c r="O3552" s="2">
        <v>78.7</v>
      </c>
      <c r="P3552" s="2">
        <v>60.4</v>
      </c>
      <c r="Q3552" s="2">
        <v>18.3</v>
      </c>
      <c r="R3552">
        <v>1</v>
      </c>
      <c r="S3552">
        <v>0</v>
      </c>
      <c r="T3552">
        <v>2</v>
      </c>
      <c r="U3552">
        <v>4</v>
      </c>
    </row>
    <row r="3553" spans="1:21" ht="16.5" x14ac:dyDescent="0.3">
      <c r="A3553" t="s">
        <v>3641</v>
      </c>
      <c r="B3553" s="1">
        <v>45815</v>
      </c>
      <c r="C3553">
        <v>2025</v>
      </c>
      <c r="D3553" t="s">
        <v>599</v>
      </c>
      <c r="E3553" t="s">
        <v>1000</v>
      </c>
      <c r="F3553" t="s">
        <v>31</v>
      </c>
      <c r="G3553" t="s">
        <v>25</v>
      </c>
      <c r="H3553" t="s">
        <v>32</v>
      </c>
      <c r="I3553" t="s">
        <v>70</v>
      </c>
      <c r="J3553" t="s">
        <v>87</v>
      </c>
      <c r="K3553">
        <v>3</v>
      </c>
      <c r="L3553" s="2">
        <v>490.3</v>
      </c>
      <c r="M3553" s="3">
        <v>0.1</v>
      </c>
      <c r="N3553" t="s">
        <v>29</v>
      </c>
      <c r="O3553" s="2">
        <v>1323.81</v>
      </c>
      <c r="P3553" s="2">
        <v>1277.1199999999999</v>
      </c>
      <c r="Q3553" s="2">
        <v>46.69</v>
      </c>
      <c r="R3553">
        <v>1</v>
      </c>
      <c r="S3553">
        <v>0</v>
      </c>
      <c r="T3553">
        <v>3</v>
      </c>
      <c r="U3553">
        <v>4</v>
      </c>
    </row>
    <row r="3554" spans="1:21" ht="16.5" x14ac:dyDescent="0.3">
      <c r="A3554" t="s">
        <v>3642</v>
      </c>
      <c r="B3554" s="1">
        <v>45815</v>
      </c>
      <c r="C3554">
        <v>2025</v>
      </c>
      <c r="D3554" t="s">
        <v>599</v>
      </c>
      <c r="E3554" t="s">
        <v>1000</v>
      </c>
      <c r="F3554" t="s">
        <v>45</v>
      </c>
      <c r="G3554" t="s">
        <v>49</v>
      </c>
      <c r="H3554" t="s">
        <v>26</v>
      </c>
      <c r="I3554" t="s">
        <v>42</v>
      </c>
      <c r="J3554" t="s">
        <v>89</v>
      </c>
      <c r="K3554">
        <v>3</v>
      </c>
      <c r="L3554" s="2">
        <v>68.349999999999994</v>
      </c>
      <c r="M3554" s="3">
        <v>0.05</v>
      </c>
      <c r="N3554" t="s">
        <v>29</v>
      </c>
      <c r="O3554" s="2">
        <v>194.8</v>
      </c>
      <c r="P3554" s="2">
        <v>135.74</v>
      </c>
      <c r="Q3554" s="2">
        <v>59.06</v>
      </c>
      <c r="R3554">
        <v>1</v>
      </c>
      <c r="S3554">
        <v>0</v>
      </c>
      <c r="T3554">
        <v>4</v>
      </c>
      <c r="U3554">
        <v>4</v>
      </c>
    </row>
    <row r="3555" spans="1:21" ht="16.5" x14ac:dyDescent="0.3">
      <c r="A3555" t="s">
        <v>3643</v>
      </c>
      <c r="B3555" s="1">
        <v>45815</v>
      </c>
      <c r="C3555">
        <v>2025</v>
      </c>
      <c r="D3555" t="s">
        <v>599</v>
      </c>
      <c r="E3555" t="s">
        <v>1000</v>
      </c>
      <c r="F3555" t="s">
        <v>45</v>
      </c>
      <c r="G3555" t="s">
        <v>65</v>
      </c>
      <c r="H3555" t="s">
        <v>26</v>
      </c>
      <c r="I3555" t="s">
        <v>70</v>
      </c>
      <c r="J3555" t="s">
        <v>87</v>
      </c>
      <c r="K3555">
        <v>1</v>
      </c>
      <c r="L3555" s="2">
        <v>490.3</v>
      </c>
      <c r="M3555" s="3">
        <v>0</v>
      </c>
      <c r="N3555" t="s">
        <v>38</v>
      </c>
      <c r="O3555" s="2">
        <v>490.3</v>
      </c>
      <c r="P3555" s="2">
        <v>385.71</v>
      </c>
      <c r="Q3555" s="2">
        <v>104.59</v>
      </c>
      <c r="R3555">
        <v>1</v>
      </c>
      <c r="S3555">
        <v>0</v>
      </c>
      <c r="T3555">
        <v>5</v>
      </c>
      <c r="U3555">
        <v>4</v>
      </c>
    </row>
    <row r="3556" spans="1:21" ht="16.5" x14ac:dyDescent="0.3">
      <c r="A3556" t="s">
        <v>3644</v>
      </c>
      <c r="B3556" s="1">
        <v>45815</v>
      </c>
      <c r="C3556">
        <v>2025</v>
      </c>
      <c r="D3556" t="s">
        <v>599</v>
      </c>
      <c r="E3556" t="s">
        <v>1000</v>
      </c>
      <c r="F3556" t="s">
        <v>24</v>
      </c>
      <c r="G3556" t="s">
        <v>25</v>
      </c>
      <c r="H3556" t="s">
        <v>32</v>
      </c>
      <c r="I3556" t="s">
        <v>27</v>
      </c>
      <c r="J3556" t="s">
        <v>33</v>
      </c>
      <c r="K3556">
        <v>2</v>
      </c>
      <c r="L3556" s="2">
        <v>78.510000000000005</v>
      </c>
      <c r="M3556" s="3">
        <v>0.05</v>
      </c>
      <c r="N3556" t="s">
        <v>29</v>
      </c>
      <c r="O3556" s="2">
        <v>149.16999999999999</v>
      </c>
      <c r="P3556" s="2">
        <v>84.42</v>
      </c>
      <c r="Q3556" s="2">
        <v>64.75</v>
      </c>
      <c r="R3556">
        <v>1</v>
      </c>
      <c r="S3556">
        <v>0</v>
      </c>
      <c r="T3556">
        <v>3</v>
      </c>
      <c r="U3556">
        <v>4</v>
      </c>
    </row>
    <row r="3557" spans="1:21" ht="16.5" x14ac:dyDescent="0.3">
      <c r="A3557" t="s">
        <v>3645</v>
      </c>
      <c r="B3557" s="1">
        <v>45815</v>
      </c>
      <c r="C3557">
        <v>2025</v>
      </c>
      <c r="D3557" t="s">
        <v>599</v>
      </c>
      <c r="E3557" t="s">
        <v>1000</v>
      </c>
      <c r="F3557" t="s">
        <v>31</v>
      </c>
      <c r="G3557" t="s">
        <v>49</v>
      </c>
      <c r="H3557" t="s">
        <v>32</v>
      </c>
      <c r="I3557" t="s">
        <v>27</v>
      </c>
      <c r="J3557" t="s">
        <v>28</v>
      </c>
      <c r="K3557">
        <v>1</v>
      </c>
      <c r="L3557" s="2">
        <v>138.5</v>
      </c>
      <c r="M3557" s="3">
        <v>0</v>
      </c>
      <c r="N3557" t="s">
        <v>38</v>
      </c>
      <c r="O3557" s="2">
        <v>138.5</v>
      </c>
      <c r="P3557" s="2">
        <v>74.790000000000006</v>
      </c>
      <c r="Q3557" s="2">
        <v>63.71</v>
      </c>
      <c r="R3557">
        <v>1</v>
      </c>
      <c r="S3557">
        <v>0</v>
      </c>
      <c r="T3557">
        <v>3</v>
      </c>
      <c r="U3557">
        <v>4</v>
      </c>
    </row>
    <row r="3558" spans="1:21" ht="16.5" x14ac:dyDescent="0.3">
      <c r="A3558" t="s">
        <v>3646</v>
      </c>
      <c r="B3558" s="1">
        <v>45815</v>
      </c>
      <c r="C3558">
        <v>2025</v>
      </c>
      <c r="D3558" t="s">
        <v>599</v>
      </c>
      <c r="E3558" t="s">
        <v>1000</v>
      </c>
      <c r="F3558" t="s">
        <v>24</v>
      </c>
      <c r="G3558" t="s">
        <v>25</v>
      </c>
      <c r="H3558" t="s">
        <v>26</v>
      </c>
      <c r="I3558" t="s">
        <v>67</v>
      </c>
      <c r="J3558" t="s">
        <v>78</v>
      </c>
      <c r="K3558">
        <v>1</v>
      </c>
      <c r="L3558" s="2">
        <v>85.42</v>
      </c>
      <c r="M3558" s="3">
        <v>0.05</v>
      </c>
      <c r="N3558" t="s">
        <v>29</v>
      </c>
      <c r="O3558" s="2">
        <v>81.150000000000006</v>
      </c>
      <c r="P3558" s="2">
        <v>56.89</v>
      </c>
      <c r="Q3558" s="2">
        <v>24.26</v>
      </c>
      <c r="R3558">
        <v>1</v>
      </c>
      <c r="S3558">
        <v>0</v>
      </c>
      <c r="T3558">
        <v>4</v>
      </c>
      <c r="U3558">
        <v>5</v>
      </c>
    </row>
    <row r="3559" spans="1:21" ht="16.5" x14ac:dyDescent="0.3">
      <c r="A3559" t="s">
        <v>3647</v>
      </c>
      <c r="B3559" s="1">
        <v>45816</v>
      </c>
      <c r="C3559">
        <v>2025</v>
      </c>
      <c r="D3559" t="s">
        <v>599</v>
      </c>
      <c r="E3559" t="s">
        <v>1000</v>
      </c>
      <c r="F3559" t="s">
        <v>24</v>
      </c>
      <c r="G3559" t="s">
        <v>25</v>
      </c>
      <c r="H3559" t="s">
        <v>32</v>
      </c>
      <c r="I3559" t="s">
        <v>42</v>
      </c>
      <c r="J3559" t="s">
        <v>58</v>
      </c>
      <c r="K3559">
        <v>2</v>
      </c>
      <c r="L3559" s="2">
        <v>233.81</v>
      </c>
      <c r="M3559" s="3">
        <v>0.15</v>
      </c>
      <c r="N3559" t="s">
        <v>34</v>
      </c>
      <c r="O3559" s="2">
        <v>397.48</v>
      </c>
      <c r="P3559" s="2">
        <v>313.07</v>
      </c>
      <c r="Q3559" s="2">
        <v>84.41</v>
      </c>
      <c r="R3559">
        <v>1</v>
      </c>
      <c r="S3559">
        <v>0</v>
      </c>
      <c r="T3559">
        <v>4</v>
      </c>
      <c r="U3559">
        <v>3</v>
      </c>
    </row>
    <row r="3560" spans="1:21" ht="16.5" x14ac:dyDescent="0.3">
      <c r="A3560" t="s">
        <v>3648</v>
      </c>
      <c r="B3560" s="1">
        <v>45816</v>
      </c>
      <c r="C3560">
        <v>2025</v>
      </c>
      <c r="D3560" t="s">
        <v>599</v>
      </c>
      <c r="E3560" t="s">
        <v>1000</v>
      </c>
      <c r="F3560" t="s">
        <v>31</v>
      </c>
      <c r="G3560" t="s">
        <v>65</v>
      </c>
      <c r="H3560" t="s">
        <v>26</v>
      </c>
      <c r="I3560" t="s">
        <v>27</v>
      </c>
      <c r="J3560" t="s">
        <v>110</v>
      </c>
      <c r="K3560">
        <v>2</v>
      </c>
      <c r="L3560" s="2">
        <v>19.41</v>
      </c>
      <c r="M3560" s="3">
        <v>0.15</v>
      </c>
      <c r="N3560" t="s">
        <v>34</v>
      </c>
      <c r="O3560" s="2">
        <v>33</v>
      </c>
      <c r="P3560" s="2">
        <v>21.22</v>
      </c>
      <c r="Q3560" s="2">
        <v>11.78</v>
      </c>
      <c r="R3560">
        <v>1</v>
      </c>
      <c r="S3560">
        <v>0</v>
      </c>
      <c r="T3560">
        <v>5</v>
      </c>
      <c r="U3560">
        <v>5</v>
      </c>
    </row>
    <row r="3561" spans="1:21" ht="16.5" x14ac:dyDescent="0.3">
      <c r="A3561" t="s">
        <v>3649</v>
      </c>
      <c r="B3561" s="1">
        <v>45816</v>
      </c>
      <c r="C3561">
        <v>2025</v>
      </c>
      <c r="D3561" t="s">
        <v>599</v>
      </c>
      <c r="E3561" t="s">
        <v>1000</v>
      </c>
      <c r="F3561" t="s">
        <v>24</v>
      </c>
      <c r="G3561" t="s">
        <v>65</v>
      </c>
      <c r="H3561" t="s">
        <v>26</v>
      </c>
      <c r="I3561" t="s">
        <v>42</v>
      </c>
      <c r="J3561" t="s">
        <v>58</v>
      </c>
      <c r="K3561">
        <v>2</v>
      </c>
      <c r="L3561" s="2">
        <v>233.81</v>
      </c>
      <c r="M3561" s="3">
        <v>0.15</v>
      </c>
      <c r="N3561" t="s">
        <v>34</v>
      </c>
      <c r="O3561" s="2">
        <v>397.48</v>
      </c>
      <c r="P3561" s="2">
        <v>321.51</v>
      </c>
      <c r="Q3561" s="2">
        <v>75.97</v>
      </c>
      <c r="R3561">
        <v>1</v>
      </c>
      <c r="S3561">
        <v>1</v>
      </c>
      <c r="T3561">
        <v>6</v>
      </c>
      <c r="U3561">
        <v>3</v>
      </c>
    </row>
    <row r="3562" spans="1:21" ht="16.5" x14ac:dyDescent="0.3">
      <c r="A3562" t="s">
        <v>3650</v>
      </c>
      <c r="B3562" s="1">
        <v>45816</v>
      </c>
      <c r="C3562">
        <v>2025</v>
      </c>
      <c r="D3562" t="s">
        <v>599</v>
      </c>
      <c r="E3562" t="s">
        <v>1000</v>
      </c>
      <c r="F3562" t="s">
        <v>31</v>
      </c>
      <c r="G3562" t="s">
        <v>51</v>
      </c>
      <c r="H3562" t="s">
        <v>32</v>
      </c>
      <c r="I3562" t="s">
        <v>84</v>
      </c>
      <c r="J3562" t="s">
        <v>96</v>
      </c>
      <c r="K3562">
        <v>1</v>
      </c>
      <c r="L3562" s="2">
        <v>10.76</v>
      </c>
      <c r="M3562" s="3">
        <v>0</v>
      </c>
      <c r="N3562" t="s">
        <v>38</v>
      </c>
      <c r="O3562" s="2">
        <v>10.76</v>
      </c>
      <c r="P3562" s="2">
        <v>7.56</v>
      </c>
      <c r="Q3562" s="2">
        <v>3.2</v>
      </c>
      <c r="R3562">
        <v>1</v>
      </c>
      <c r="S3562">
        <v>0</v>
      </c>
      <c r="T3562">
        <v>2</v>
      </c>
      <c r="U3562">
        <v>4</v>
      </c>
    </row>
    <row r="3563" spans="1:21" ht="16.5" x14ac:dyDescent="0.3">
      <c r="A3563" t="s">
        <v>3651</v>
      </c>
      <c r="B3563" s="1">
        <v>45816</v>
      </c>
      <c r="C3563">
        <v>2025</v>
      </c>
      <c r="D3563" t="s">
        <v>599</v>
      </c>
      <c r="E3563" t="s">
        <v>1000</v>
      </c>
      <c r="F3563" t="s">
        <v>45</v>
      </c>
      <c r="G3563" t="s">
        <v>25</v>
      </c>
      <c r="H3563" t="s">
        <v>32</v>
      </c>
      <c r="I3563" t="s">
        <v>67</v>
      </c>
      <c r="J3563" t="s">
        <v>103</v>
      </c>
      <c r="K3563">
        <v>1</v>
      </c>
      <c r="L3563" s="2">
        <v>83.06</v>
      </c>
      <c r="M3563" s="3">
        <v>0</v>
      </c>
      <c r="N3563" t="s">
        <v>38</v>
      </c>
      <c r="O3563" s="2">
        <v>83.06</v>
      </c>
      <c r="P3563" s="2">
        <v>54.03</v>
      </c>
      <c r="Q3563" s="2">
        <v>29.03</v>
      </c>
      <c r="R3563">
        <v>1</v>
      </c>
      <c r="S3563">
        <v>0</v>
      </c>
      <c r="T3563">
        <v>4</v>
      </c>
      <c r="U3563">
        <v>4</v>
      </c>
    </row>
    <row r="3564" spans="1:21" ht="16.5" x14ac:dyDescent="0.3">
      <c r="A3564" t="s">
        <v>3652</v>
      </c>
      <c r="B3564" s="1">
        <v>45817</v>
      </c>
      <c r="C3564">
        <v>2025</v>
      </c>
      <c r="D3564" t="s">
        <v>599</v>
      </c>
      <c r="E3564" t="s">
        <v>1000</v>
      </c>
      <c r="F3564" t="s">
        <v>31</v>
      </c>
      <c r="G3564" t="s">
        <v>25</v>
      </c>
      <c r="H3564" t="s">
        <v>32</v>
      </c>
      <c r="I3564" t="s">
        <v>70</v>
      </c>
      <c r="J3564" t="s">
        <v>162</v>
      </c>
      <c r="K3564">
        <v>1</v>
      </c>
      <c r="L3564" s="2">
        <v>636.09</v>
      </c>
      <c r="M3564" s="3">
        <v>0.15</v>
      </c>
      <c r="N3564" t="s">
        <v>34</v>
      </c>
      <c r="O3564" s="2">
        <v>540.67999999999995</v>
      </c>
      <c r="P3564" s="2">
        <v>536.03</v>
      </c>
      <c r="Q3564" s="2">
        <v>4.6500000000000004</v>
      </c>
      <c r="R3564">
        <v>1</v>
      </c>
      <c r="S3564">
        <v>0</v>
      </c>
      <c r="T3564">
        <v>3</v>
      </c>
      <c r="U3564">
        <v>4</v>
      </c>
    </row>
    <row r="3565" spans="1:21" ht="16.5" x14ac:dyDescent="0.3">
      <c r="A3565" t="s">
        <v>3653</v>
      </c>
      <c r="B3565" s="1">
        <v>45817</v>
      </c>
      <c r="C3565">
        <v>2025</v>
      </c>
      <c r="D3565" t="s">
        <v>599</v>
      </c>
      <c r="E3565" t="s">
        <v>1000</v>
      </c>
      <c r="F3565" t="s">
        <v>31</v>
      </c>
      <c r="G3565" t="s">
        <v>25</v>
      </c>
      <c r="H3565" t="s">
        <v>32</v>
      </c>
      <c r="I3565" t="s">
        <v>84</v>
      </c>
      <c r="J3565" t="s">
        <v>106</v>
      </c>
      <c r="K3565">
        <v>1</v>
      </c>
      <c r="L3565" s="2">
        <v>45.28</v>
      </c>
      <c r="M3565" s="3">
        <v>0.05</v>
      </c>
      <c r="N3565" t="s">
        <v>29</v>
      </c>
      <c r="O3565" s="2">
        <v>43.02</v>
      </c>
      <c r="P3565" s="2">
        <v>33.54</v>
      </c>
      <c r="Q3565" s="2">
        <v>9.48</v>
      </c>
      <c r="R3565">
        <v>1</v>
      </c>
      <c r="S3565">
        <v>0</v>
      </c>
      <c r="T3565">
        <v>4</v>
      </c>
      <c r="U3565">
        <v>3</v>
      </c>
    </row>
    <row r="3566" spans="1:21" ht="16.5" x14ac:dyDescent="0.3">
      <c r="A3566" t="s">
        <v>3654</v>
      </c>
      <c r="B3566" s="1">
        <v>45817</v>
      </c>
      <c r="C3566">
        <v>2025</v>
      </c>
      <c r="D3566" t="s">
        <v>599</v>
      </c>
      <c r="E3566" t="s">
        <v>1000</v>
      </c>
      <c r="F3566" t="s">
        <v>31</v>
      </c>
      <c r="G3566" t="s">
        <v>65</v>
      </c>
      <c r="H3566" t="s">
        <v>32</v>
      </c>
      <c r="I3566" t="s">
        <v>42</v>
      </c>
      <c r="J3566" t="s">
        <v>98</v>
      </c>
      <c r="K3566">
        <v>3</v>
      </c>
      <c r="L3566" s="2">
        <v>117.63</v>
      </c>
      <c r="M3566" s="3">
        <v>0</v>
      </c>
      <c r="N3566" t="s">
        <v>38</v>
      </c>
      <c r="O3566" s="2">
        <v>352.89</v>
      </c>
      <c r="P3566" s="2">
        <v>240.01</v>
      </c>
      <c r="Q3566" s="2">
        <v>112.88</v>
      </c>
      <c r="R3566">
        <v>1</v>
      </c>
      <c r="S3566">
        <v>0</v>
      </c>
      <c r="T3566">
        <v>5</v>
      </c>
      <c r="U3566">
        <v>4</v>
      </c>
    </row>
    <row r="3567" spans="1:21" ht="16.5" x14ac:dyDescent="0.3">
      <c r="A3567" t="s">
        <v>3655</v>
      </c>
      <c r="B3567" s="1">
        <v>45818</v>
      </c>
      <c r="C3567">
        <v>2025</v>
      </c>
      <c r="D3567" t="s">
        <v>599</v>
      </c>
      <c r="E3567" t="s">
        <v>1000</v>
      </c>
      <c r="F3567" t="s">
        <v>24</v>
      </c>
      <c r="G3567" t="s">
        <v>51</v>
      </c>
      <c r="H3567" t="s">
        <v>26</v>
      </c>
      <c r="I3567" t="s">
        <v>36</v>
      </c>
      <c r="J3567" t="s">
        <v>115</v>
      </c>
      <c r="K3567">
        <v>1</v>
      </c>
      <c r="L3567" s="2">
        <v>33.479999999999997</v>
      </c>
      <c r="M3567" s="3">
        <v>0.25</v>
      </c>
      <c r="N3567" t="s">
        <v>62</v>
      </c>
      <c r="O3567" s="2">
        <v>25.11</v>
      </c>
      <c r="P3567" s="2">
        <v>16.37</v>
      </c>
      <c r="Q3567" s="2">
        <v>8.74</v>
      </c>
      <c r="R3567">
        <v>1</v>
      </c>
      <c r="S3567">
        <v>0</v>
      </c>
      <c r="T3567">
        <v>2</v>
      </c>
      <c r="U3567">
        <v>5</v>
      </c>
    </row>
    <row r="3568" spans="1:21" ht="16.5" x14ac:dyDescent="0.3">
      <c r="A3568" t="s">
        <v>3656</v>
      </c>
      <c r="B3568" s="1">
        <v>45818</v>
      </c>
      <c r="C3568">
        <v>2025</v>
      </c>
      <c r="D3568" t="s">
        <v>599</v>
      </c>
      <c r="E3568" t="s">
        <v>1000</v>
      </c>
      <c r="F3568" t="s">
        <v>24</v>
      </c>
      <c r="G3568" t="s">
        <v>51</v>
      </c>
      <c r="H3568" t="s">
        <v>32</v>
      </c>
      <c r="I3568" t="s">
        <v>42</v>
      </c>
      <c r="J3568" t="s">
        <v>58</v>
      </c>
      <c r="K3568">
        <v>3</v>
      </c>
      <c r="L3568" s="2">
        <v>233.81</v>
      </c>
      <c r="M3568" s="3">
        <v>0.2</v>
      </c>
      <c r="N3568" t="s">
        <v>34</v>
      </c>
      <c r="O3568" s="2">
        <v>561.14</v>
      </c>
      <c r="P3568" s="2">
        <v>459.99</v>
      </c>
      <c r="Q3568" s="2">
        <v>101.15</v>
      </c>
      <c r="R3568">
        <v>1</v>
      </c>
      <c r="S3568">
        <v>1</v>
      </c>
      <c r="T3568">
        <v>4</v>
      </c>
      <c r="U3568">
        <v>4</v>
      </c>
    </row>
    <row r="3569" spans="1:21" ht="16.5" x14ac:dyDescent="0.3">
      <c r="A3569" t="s">
        <v>3657</v>
      </c>
      <c r="B3569" s="1">
        <v>45818</v>
      </c>
      <c r="C3569">
        <v>2025</v>
      </c>
      <c r="D3569" t="s">
        <v>599</v>
      </c>
      <c r="E3569" t="s">
        <v>1000</v>
      </c>
      <c r="F3569" t="s">
        <v>24</v>
      </c>
      <c r="G3569" t="s">
        <v>49</v>
      </c>
      <c r="H3569" t="s">
        <v>32</v>
      </c>
      <c r="I3569" t="s">
        <v>42</v>
      </c>
      <c r="J3569" t="s">
        <v>98</v>
      </c>
      <c r="K3569">
        <v>2</v>
      </c>
      <c r="L3569" s="2">
        <v>117.63</v>
      </c>
      <c r="M3569" s="3">
        <v>0</v>
      </c>
      <c r="N3569" t="s">
        <v>38</v>
      </c>
      <c r="O3569" s="2">
        <v>235.26</v>
      </c>
      <c r="P3569" s="2">
        <v>153.52000000000001</v>
      </c>
      <c r="Q3569" s="2">
        <v>81.739999999999995</v>
      </c>
      <c r="R3569">
        <v>1</v>
      </c>
      <c r="S3569">
        <v>0</v>
      </c>
      <c r="T3569">
        <v>4</v>
      </c>
      <c r="U3569">
        <v>4</v>
      </c>
    </row>
    <row r="3570" spans="1:21" ht="16.5" x14ac:dyDescent="0.3">
      <c r="A3570" t="s">
        <v>3658</v>
      </c>
      <c r="B3570" s="1">
        <v>45818</v>
      </c>
      <c r="C3570">
        <v>2025</v>
      </c>
      <c r="D3570" t="s">
        <v>599</v>
      </c>
      <c r="E3570" t="s">
        <v>1000</v>
      </c>
      <c r="F3570" t="s">
        <v>31</v>
      </c>
      <c r="G3570" t="s">
        <v>49</v>
      </c>
      <c r="H3570" t="s">
        <v>26</v>
      </c>
      <c r="I3570" t="s">
        <v>27</v>
      </c>
      <c r="J3570" t="s">
        <v>33</v>
      </c>
      <c r="K3570">
        <v>2</v>
      </c>
      <c r="L3570" s="2">
        <v>78.510000000000005</v>
      </c>
      <c r="M3570" s="3">
        <v>0</v>
      </c>
      <c r="N3570" t="s">
        <v>38</v>
      </c>
      <c r="O3570" s="2">
        <v>157.02000000000001</v>
      </c>
      <c r="P3570" s="2">
        <v>83.68</v>
      </c>
      <c r="Q3570" s="2">
        <v>73.34</v>
      </c>
      <c r="R3570">
        <v>1</v>
      </c>
      <c r="S3570">
        <v>0</v>
      </c>
      <c r="T3570">
        <v>3</v>
      </c>
      <c r="U3570">
        <v>4</v>
      </c>
    </row>
    <row r="3571" spans="1:21" ht="16.5" x14ac:dyDescent="0.3">
      <c r="A3571" t="s">
        <v>3659</v>
      </c>
      <c r="B3571" s="1">
        <v>45818</v>
      </c>
      <c r="C3571">
        <v>2025</v>
      </c>
      <c r="D3571" t="s">
        <v>599</v>
      </c>
      <c r="E3571" t="s">
        <v>1000</v>
      </c>
      <c r="F3571" t="s">
        <v>24</v>
      </c>
      <c r="G3571" t="s">
        <v>25</v>
      </c>
      <c r="H3571" t="s">
        <v>26</v>
      </c>
      <c r="I3571" t="s">
        <v>70</v>
      </c>
      <c r="J3571" t="s">
        <v>87</v>
      </c>
      <c r="K3571">
        <v>1</v>
      </c>
      <c r="L3571" s="2">
        <v>490.3</v>
      </c>
      <c r="M3571" s="3">
        <v>0.25</v>
      </c>
      <c r="N3571" t="s">
        <v>62</v>
      </c>
      <c r="O3571" s="2">
        <v>367.72</v>
      </c>
      <c r="P3571" s="2">
        <v>387.25</v>
      </c>
      <c r="Q3571" s="2">
        <v>-19.53</v>
      </c>
      <c r="R3571">
        <v>1</v>
      </c>
      <c r="S3571">
        <v>0</v>
      </c>
      <c r="T3571">
        <v>3</v>
      </c>
      <c r="U3571">
        <v>4</v>
      </c>
    </row>
    <row r="3572" spans="1:21" ht="16.5" x14ac:dyDescent="0.3">
      <c r="A3572" t="s">
        <v>3660</v>
      </c>
      <c r="B3572" s="1">
        <v>45818</v>
      </c>
      <c r="C3572">
        <v>2025</v>
      </c>
      <c r="D3572" t="s">
        <v>599</v>
      </c>
      <c r="E3572" t="s">
        <v>1000</v>
      </c>
      <c r="F3572" t="s">
        <v>31</v>
      </c>
      <c r="G3572" t="s">
        <v>51</v>
      </c>
      <c r="H3572" t="s">
        <v>32</v>
      </c>
      <c r="I3572" t="s">
        <v>42</v>
      </c>
      <c r="J3572" t="s">
        <v>43</v>
      </c>
      <c r="K3572">
        <v>1</v>
      </c>
      <c r="L3572" s="2">
        <v>154.66</v>
      </c>
      <c r="M3572" s="3">
        <v>0.15</v>
      </c>
      <c r="N3572" t="s">
        <v>34</v>
      </c>
      <c r="O3572" s="2">
        <v>131.46</v>
      </c>
      <c r="P3572" s="2">
        <v>106.61</v>
      </c>
      <c r="Q3572" s="2">
        <v>24.85</v>
      </c>
      <c r="R3572">
        <v>1</v>
      </c>
      <c r="S3572">
        <v>0</v>
      </c>
      <c r="T3572">
        <v>3</v>
      </c>
      <c r="U3572">
        <v>5</v>
      </c>
    </row>
    <row r="3573" spans="1:21" ht="16.5" x14ac:dyDescent="0.3">
      <c r="A3573" t="s">
        <v>3661</v>
      </c>
      <c r="B3573" s="1">
        <v>45818</v>
      </c>
      <c r="C3573">
        <v>2025</v>
      </c>
      <c r="D3573" t="s">
        <v>599</v>
      </c>
      <c r="E3573" t="s">
        <v>1000</v>
      </c>
      <c r="F3573" t="s">
        <v>24</v>
      </c>
      <c r="G3573" t="s">
        <v>49</v>
      </c>
      <c r="H3573" t="s">
        <v>32</v>
      </c>
      <c r="I3573" t="s">
        <v>27</v>
      </c>
      <c r="J3573" t="s">
        <v>28</v>
      </c>
      <c r="K3573">
        <v>3</v>
      </c>
      <c r="L3573" s="2">
        <v>138.5</v>
      </c>
      <c r="M3573" s="3">
        <v>0</v>
      </c>
      <c r="N3573" t="s">
        <v>38</v>
      </c>
      <c r="O3573" s="2">
        <v>415.5</v>
      </c>
      <c r="P3573" s="2">
        <v>217.33</v>
      </c>
      <c r="Q3573" s="2">
        <v>198.17</v>
      </c>
      <c r="R3573">
        <v>1</v>
      </c>
      <c r="S3573">
        <v>0</v>
      </c>
      <c r="T3573">
        <v>3</v>
      </c>
      <c r="U3573">
        <v>5</v>
      </c>
    </row>
    <row r="3574" spans="1:21" ht="16.5" x14ac:dyDescent="0.3">
      <c r="A3574" t="s">
        <v>3662</v>
      </c>
      <c r="B3574" s="1">
        <v>45818</v>
      </c>
      <c r="C3574">
        <v>2025</v>
      </c>
      <c r="D3574" t="s">
        <v>599</v>
      </c>
      <c r="E3574" t="s">
        <v>1000</v>
      </c>
      <c r="F3574" t="s">
        <v>31</v>
      </c>
      <c r="G3574" t="s">
        <v>25</v>
      </c>
      <c r="H3574" t="s">
        <v>26</v>
      </c>
      <c r="I3574" t="s">
        <v>70</v>
      </c>
      <c r="J3574" t="s">
        <v>87</v>
      </c>
      <c r="K3574">
        <v>1</v>
      </c>
      <c r="L3574" s="2">
        <v>490.3</v>
      </c>
      <c r="M3574" s="3">
        <v>0.1</v>
      </c>
      <c r="N3574" t="s">
        <v>29</v>
      </c>
      <c r="O3574" s="2">
        <v>441.27</v>
      </c>
      <c r="P3574" s="2">
        <v>389.19</v>
      </c>
      <c r="Q3574" s="2">
        <v>52.08</v>
      </c>
      <c r="R3574">
        <v>1</v>
      </c>
      <c r="S3574">
        <v>0</v>
      </c>
      <c r="T3574">
        <v>4</v>
      </c>
      <c r="U3574">
        <v>4</v>
      </c>
    </row>
    <row r="3575" spans="1:21" ht="16.5" x14ac:dyDescent="0.3">
      <c r="A3575" t="s">
        <v>3663</v>
      </c>
      <c r="B3575" s="1">
        <v>45819</v>
      </c>
      <c r="C3575">
        <v>2025</v>
      </c>
      <c r="D3575" t="s">
        <v>599</v>
      </c>
      <c r="E3575" t="s">
        <v>1000</v>
      </c>
      <c r="F3575" t="s">
        <v>31</v>
      </c>
      <c r="G3575" t="s">
        <v>25</v>
      </c>
      <c r="H3575" t="s">
        <v>32</v>
      </c>
      <c r="I3575" t="s">
        <v>36</v>
      </c>
      <c r="J3575" t="s">
        <v>126</v>
      </c>
      <c r="K3575">
        <v>3</v>
      </c>
      <c r="L3575" s="2">
        <v>54.56</v>
      </c>
      <c r="M3575" s="3">
        <v>0</v>
      </c>
      <c r="N3575" t="s">
        <v>38</v>
      </c>
      <c r="O3575" s="2">
        <v>163.68</v>
      </c>
      <c r="P3575" s="2">
        <v>79.62</v>
      </c>
      <c r="Q3575" s="2">
        <v>84.06</v>
      </c>
      <c r="R3575">
        <v>1</v>
      </c>
      <c r="S3575">
        <v>0</v>
      </c>
      <c r="T3575">
        <v>4</v>
      </c>
      <c r="U3575">
        <v>4</v>
      </c>
    </row>
    <row r="3576" spans="1:21" ht="16.5" x14ac:dyDescent="0.3">
      <c r="A3576" t="s">
        <v>3664</v>
      </c>
      <c r="B3576" s="1">
        <v>45819</v>
      </c>
      <c r="C3576">
        <v>2025</v>
      </c>
      <c r="D3576" t="s">
        <v>599</v>
      </c>
      <c r="E3576" t="s">
        <v>1000</v>
      </c>
      <c r="F3576" t="s">
        <v>31</v>
      </c>
      <c r="G3576" t="s">
        <v>25</v>
      </c>
      <c r="H3576" t="s">
        <v>26</v>
      </c>
      <c r="I3576" t="s">
        <v>27</v>
      </c>
      <c r="J3576" t="s">
        <v>33</v>
      </c>
      <c r="K3576">
        <v>4</v>
      </c>
      <c r="L3576" s="2">
        <v>78.510000000000005</v>
      </c>
      <c r="M3576" s="3">
        <v>0.1</v>
      </c>
      <c r="N3576" t="s">
        <v>29</v>
      </c>
      <c r="O3576" s="2">
        <v>282.64</v>
      </c>
      <c r="P3576" s="2">
        <v>177.28</v>
      </c>
      <c r="Q3576" s="2">
        <v>105.36</v>
      </c>
      <c r="R3576">
        <v>1</v>
      </c>
      <c r="S3576">
        <v>1</v>
      </c>
      <c r="T3576">
        <v>5</v>
      </c>
      <c r="U3576">
        <v>4</v>
      </c>
    </row>
    <row r="3577" spans="1:21" ht="16.5" x14ac:dyDescent="0.3">
      <c r="A3577" t="s">
        <v>3665</v>
      </c>
      <c r="B3577" s="1">
        <v>45819</v>
      </c>
      <c r="C3577">
        <v>2025</v>
      </c>
      <c r="D3577" t="s">
        <v>599</v>
      </c>
      <c r="E3577" t="s">
        <v>1000</v>
      </c>
      <c r="F3577" t="s">
        <v>31</v>
      </c>
      <c r="G3577" t="s">
        <v>49</v>
      </c>
      <c r="H3577" t="s">
        <v>26</v>
      </c>
      <c r="I3577" t="s">
        <v>67</v>
      </c>
      <c r="J3577" t="s">
        <v>68</v>
      </c>
      <c r="K3577">
        <v>2</v>
      </c>
      <c r="L3577" s="2">
        <v>74.459999999999994</v>
      </c>
      <c r="M3577" s="3">
        <v>0.1</v>
      </c>
      <c r="N3577" t="s">
        <v>29</v>
      </c>
      <c r="O3577" s="2">
        <v>134.03</v>
      </c>
      <c r="P3577" s="2">
        <v>99.81</v>
      </c>
      <c r="Q3577" s="2">
        <v>34.22</v>
      </c>
      <c r="R3577">
        <v>1</v>
      </c>
      <c r="S3577">
        <v>0</v>
      </c>
      <c r="T3577">
        <v>5</v>
      </c>
      <c r="U3577">
        <v>3</v>
      </c>
    </row>
    <row r="3578" spans="1:21" ht="16.5" x14ac:dyDescent="0.3">
      <c r="A3578" t="s">
        <v>3666</v>
      </c>
      <c r="B3578" s="1">
        <v>45819</v>
      </c>
      <c r="C3578">
        <v>2025</v>
      </c>
      <c r="D3578" t="s">
        <v>599</v>
      </c>
      <c r="E3578" t="s">
        <v>1000</v>
      </c>
      <c r="F3578" t="s">
        <v>31</v>
      </c>
      <c r="G3578" t="s">
        <v>25</v>
      </c>
      <c r="H3578" t="s">
        <v>26</v>
      </c>
      <c r="I3578" t="s">
        <v>70</v>
      </c>
      <c r="J3578" t="s">
        <v>87</v>
      </c>
      <c r="K3578">
        <v>1</v>
      </c>
      <c r="L3578" s="2">
        <v>490.3</v>
      </c>
      <c r="M3578" s="3">
        <v>0</v>
      </c>
      <c r="N3578" t="s">
        <v>38</v>
      </c>
      <c r="O3578" s="2">
        <v>490.3</v>
      </c>
      <c r="P3578" s="2">
        <v>401.36</v>
      </c>
      <c r="Q3578" s="2">
        <v>88.94</v>
      </c>
      <c r="R3578">
        <v>1</v>
      </c>
      <c r="S3578">
        <v>1</v>
      </c>
      <c r="T3578">
        <v>3</v>
      </c>
      <c r="U3578">
        <v>2</v>
      </c>
    </row>
    <row r="3579" spans="1:21" ht="16.5" x14ac:dyDescent="0.3">
      <c r="A3579" t="s">
        <v>3667</v>
      </c>
      <c r="B3579" s="1">
        <v>45819</v>
      </c>
      <c r="C3579">
        <v>2025</v>
      </c>
      <c r="D3579" t="s">
        <v>599</v>
      </c>
      <c r="E3579" t="s">
        <v>1000</v>
      </c>
      <c r="F3579" t="s">
        <v>24</v>
      </c>
      <c r="G3579" t="s">
        <v>25</v>
      </c>
      <c r="H3579" t="s">
        <v>26</v>
      </c>
      <c r="I3579" t="s">
        <v>67</v>
      </c>
      <c r="J3579" t="s">
        <v>174</v>
      </c>
      <c r="K3579">
        <v>3</v>
      </c>
      <c r="L3579" s="2">
        <v>137.05000000000001</v>
      </c>
      <c r="M3579" s="3">
        <v>0.05</v>
      </c>
      <c r="N3579" t="s">
        <v>29</v>
      </c>
      <c r="O3579" s="2">
        <v>390.59</v>
      </c>
      <c r="P3579" s="2">
        <v>274.7</v>
      </c>
      <c r="Q3579" s="2">
        <v>115.89</v>
      </c>
      <c r="R3579">
        <v>1</v>
      </c>
      <c r="S3579">
        <v>0</v>
      </c>
      <c r="T3579">
        <v>4</v>
      </c>
      <c r="U3579">
        <v>4</v>
      </c>
    </row>
    <row r="3580" spans="1:21" ht="16.5" x14ac:dyDescent="0.3">
      <c r="A3580" t="s">
        <v>3668</v>
      </c>
      <c r="B3580" s="1">
        <v>45819</v>
      </c>
      <c r="C3580">
        <v>2025</v>
      </c>
      <c r="D3580" t="s">
        <v>599</v>
      </c>
      <c r="E3580" t="s">
        <v>1000</v>
      </c>
      <c r="F3580" t="s">
        <v>24</v>
      </c>
      <c r="G3580" t="s">
        <v>51</v>
      </c>
      <c r="H3580" t="s">
        <v>32</v>
      </c>
      <c r="I3580" t="s">
        <v>36</v>
      </c>
      <c r="J3580" t="s">
        <v>37</v>
      </c>
      <c r="K3580">
        <v>3</v>
      </c>
      <c r="L3580" s="2">
        <v>33.18</v>
      </c>
      <c r="M3580" s="3">
        <v>0.15</v>
      </c>
      <c r="N3580" t="s">
        <v>34</v>
      </c>
      <c r="O3580" s="2">
        <v>84.61</v>
      </c>
      <c r="P3580" s="2">
        <v>49.18</v>
      </c>
      <c r="Q3580" s="2">
        <v>35.43</v>
      </c>
      <c r="R3580">
        <v>1</v>
      </c>
      <c r="S3580">
        <v>0</v>
      </c>
      <c r="T3580">
        <v>2</v>
      </c>
      <c r="U3580">
        <v>4</v>
      </c>
    </row>
    <row r="3581" spans="1:21" ht="16.5" x14ac:dyDescent="0.3">
      <c r="A3581" t="s">
        <v>3669</v>
      </c>
      <c r="B3581" s="1">
        <v>45819</v>
      </c>
      <c r="C3581">
        <v>2025</v>
      </c>
      <c r="D3581" t="s">
        <v>599</v>
      </c>
      <c r="E3581" t="s">
        <v>1000</v>
      </c>
      <c r="F3581" t="s">
        <v>31</v>
      </c>
      <c r="G3581" t="s">
        <v>25</v>
      </c>
      <c r="H3581" t="s">
        <v>32</v>
      </c>
      <c r="I3581" t="s">
        <v>84</v>
      </c>
      <c r="J3581" t="s">
        <v>223</v>
      </c>
      <c r="K3581">
        <v>1</v>
      </c>
      <c r="L3581" s="2">
        <v>16.97</v>
      </c>
      <c r="M3581" s="3">
        <v>0</v>
      </c>
      <c r="N3581" t="s">
        <v>38</v>
      </c>
      <c r="O3581" s="2">
        <v>16.97</v>
      </c>
      <c r="P3581" s="2">
        <v>12.1</v>
      </c>
      <c r="Q3581" s="2">
        <v>4.87</v>
      </c>
      <c r="R3581">
        <v>1</v>
      </c>
      <c r="S3581">
        <v>0</v>
      </c>
      <c r="T3581">
        <v>5</v>
      </c>
      <c r="U3581">
        <v>4</v>
      </c>
    </row>
    <row r="3582" spans="1:21" ht="16.5" x14ac:dyDescent="0.3">
      <c r="A3582" t="s">
        <v>3670</v>
      </c>
      <c r="B3582" s="1">
        <v>45819</v>
      </c>
      <c r="C3582">
        <v>2025</v>
      </c>
      <c r="D3582" t="s">
        <v>599</v>
      </c>
      <c r="E3582" t="s">
        <v>1000</v>
      </c>
      <c r="F3582" t="s">
        <v>24</v>
      </c>
      <c r="G3582" t="s">
        <v>51</v>
      </c>
      <c r="H3582" t="s">
        <v>32</v>
      </c>
      <c r="I3582" t="s">
        <v>42</v>
      </c>
      <c r="J3582" t="s">
        <v>58</v>
      </c>
      <c r="K3582">
        <v>2</v>
      </c>
      <c r="L3582" s="2">
        <v>233.81</v>
      </c>
      <c r="M3582" s="3">
        <v>0.15</v>
      </c>
      <c r="N3582" t="s">
        <v>34</v>
      </c>
      <c r="O3582" s="2">
        <v>397.48</v>
      </c>
      <c r="P3582" s="2">
        <v>303.77999999999997</v>
      </c>
      <c r="Q3582" s="2">
        <v>93.7</v>
      </c>
      <c r="R3582">
        <v>1</v>
      </c>
      <c r="S3582">
        <v>0</v>
      </c>
      <c r="T3582">
        <v>3</v>
      </c>
      <c r="U3582">
        <v>4</v>
      </c>
    </row>
    <row r="3583" spans="1:21" ht="16.5" x14ac:dyDescent="0.3">
      <c r="A3583" t="s">
        <v>3671</v>
      </c>
      <c r="B3583" s="1">
        <v>45819</v>
      </c>
      <c r="C3583">
        <v>2025</v>
      </c>
      <c r="D3583" t="s">
        <v>599</v>
      </c>
      <c r="E3583" t="s">
        <v>1000</v>
      </c>
      <c r="F3583" t="s">
        <v>31</v>
      </c>
      <c r="G3583" t="s">
        <v>46</v>
      </c>
      <c r="H3583" t="s">
        <v>26</v>
      </c>
      <c r="I3583" t="s">
        <v>84</v>
      </c>
      <c r="J3583" t="s">
        <v>85</v>
      </c>
      <c r="K3583">
        <v>1</v>
      </c>
      <c r="L3583" s="2">
        <v>57.92</v>
      </c>
      <c r="M3583" s="3">
        <v>0</v>
      </c>
      <c r="N3583" t="s">
        <v>38</v>
      </c>
      <c r="O3583" s="2">
        <v>57.92</v>
      </c>
      <c r="P3583" s="2">
        <v>43.93</v>
      </c>
      <c r="Q3583" s="2">
        <v>13.99</v>
      </c>
      <c r="R3583">
        <v>1</v>
      </c>
      <c r="S3583">
        <v>0</v>
      </c>
      <c r="T3583">
        <v>5</v>
      </c>
      <c r="U3583">
        <v>4</v>
      </c>
    </row>
    <row r="3584" spans="1:21" ht="16.5" x14ac:dyDescent="0.3">
      <c r="A3584" t="s">
        <v>3672</v>
      </c>
      <c r="B3584" s="1">
        <v>45820</v>
      </c>
      <c r="C3584">
        <v>2025</v>
      </c>
      <c r="D3584" t="s">
        <v>599</v>
      </c>
      <c r="E3584" t="s">
        <v>1000</v>
      </c>
      <c r="F3584" t="s">
        <v>24</v>
      </c>
      <c r="G3584" t="s">
        <v>51</v>
      </c>
      <c r="H3584" t="s">
        <v>32</v>
      </c>
      <c r="I3584" t="s">
        <v>70</v>
      </c>
      <c r="J3584" t="s">
        <v>82</v>
      </c>
      <c r="K3584">
        <v>2</v>
      </c>
      <c r="L3584" s="2">
        <v>508.8</v>
      </c>
      <c r="M3584" s="3">
        <v>0</v>
      </c>
      <c r="N3584" t="s">
        <v>38</v>
      </c>
      <c r="O3584" s="2">
        <v>1017.6</v>
      </c>
      <c r="P3584" s="2">
        <v>830.61</v>
      </c>
      <c r="Q3584" s="2">
        <v>186.99</v>
      </c>
      <c r="R3584">
        <v>1</v>
      </c>
      <c r="S3584">
        <v>0</v>
      </c>
      <c r="T3584">
        <v>3</v>
      </c>
      <c r="U3584">
        <v>5</v>
      </c>
    </row>
    <row r="3585" spans="1:21" ht="16.5" x14ac:dyDescent="0.3">
      <c r="A3585" t="s">
        <v>3673</v>
      </c>
      <c r="B3585" s="1">
        <v>45820</v>
      </c>
      <c r="C3585">
        <v>2025</v>
      </c>
      <c r="D3585" t="s">
        <v>599</v>
      </c>
      <c r="E3585" t="s">
        <v>1000</v>
      </c>
      <c r="F3585" t="s">
        <v>31</v>
      </c>
      <c r="G3585" t="s">
        <v>49</v>
      </c>
      <c r="H3585" t="s">
        <v>26</v>
      </c>
      <c r="I3585" t="s">
        <v>67</v>
      </c>
      <c r="J3585" t="s">
        <v>93</v>
      </c>
      <c r="K3585">
        <v>3</v>
      </c>
      <c r="L3585" s="2">
        <v>198.42</v>
      </c>
      <c r="M3585" s="3">
        <v>0</v>
      </c>
      <c r="N3585" t="s">
        <v>38</v>
      </c>
      <c r="O3585" s="2">
        <v>595.26</v>
      </c>
      <c r="P3585" s="2">
        <v>393.04</v>
      </c>
      <c r="Q3585" s="2">
        <v>202.22</v>
      </c>
      <c r="R3585">
        <v>1</v>
      </c>
      <c r="S3585">
        <v>0</v>
      </c>
      <c r="T3585">
        <v>4</v>
      </c>
      <c r="U3585">
        <v>5</v>
      </c>
    </row>
    <row r="3586" spans="1:21" ht="16.5" x14ac:dyDescent="0.3">
      <c r="A3586" t="s">
        <v>3674</v>
      </c>
      <c r="B3586" s="1">
        <v>45820</v>
      </c>
      <c r="C3586">
        <v>2025</v>
      </c>
      <c r="D3586" t="s">
        <v>599</v>
      </c>
      <c r="E3586" t="s">
        <v>1000</v>
      </c>
      <c r="F3586" t="s">
        <v>24</v>
      </c>
      <c r="G3586" t="s">
        <v>49</v>
      </c>
      <c r="H3586" t="s">
        <v>32</v>
      </c>
      <c r="I3586" t="s">
        <v>36</v>
      </c>
      <c r="J3586" t="s">
        <v>37</v>
      </c>
      <c r="K3586">
        <v>2</v>
      </c>
      <c r="L3586" s="2">
        <v>33.18</v>
      </c>
      <c r="M3586" s="3">
        <v>0.3</v>
      </c>
      <c r="N3586" t="s">
        <v>62</v>
      </c>
      <c r="O3586" s="2">
        <v>46.45</v>
      </c>
      <c r="P3586" s="2">
        <v>31.26</v>
      </c>
      <c r="Q3586" s="2">
        <v>15.19</v>
      </c>
      <c r="R3586">
        <v>1</v>
      </c>
      <c r="S3586">
        <v>0</v>
      </c>
      <c r="T3586">
        <v>4</v>
      </c>
      <c r="U3586">
        <v>5</v>
      </c>
    </row>
    <row r="3587" spans="1:21" ht="16.5" x14ac:dyDescent="0.3">
      <c r="A3587" t="s">
        <v>3675</v>
      </c>
      <c r="B3587" s="1">
        <v>45820</v>
      </c>
      <c r="C3587">
        <v>2025</v>
      </c>
      <c r="D3587" t="s">
        <v>599</v>
      </c>
      <c r="E3587" t="s">
        <v>1000</v>
      </c>
      <c r="F3587" t="s">
        <v>31</v>
      </c>
      <c r="G3587" t="s">
        <v>49</v>
      </c>
      <c r="H3587" t="s">
        <v>32</v>
      </c>
      <c r="I3587" t="s">
        <v>27</v>
      </c>
      <c r="J3587" t="s">
        <v>47</v>
      </c>
      <c r="K3587">
        <v>1</v>
      </c>
      <c r="L3587" s="2">
        <v>33.99</v>
      </c>
      <c r="M3587" s="3">
        <v>0</v>
      </c>
      <c r="N3587" t="s">
        <v>38</v>
      </c>
      <c r="O3587" s="2">
        <v>33.99</v>
      </c>
      <c r="P3587" s="2">
        <v>17.579999999999998</v>
      </c>
      <c r="Q3587" s="2">
        <v>16.41</v>
      </c>
      <c r="R3587">
        <v>1</v>
      </c>
      <c r="S3587">
        <v>0</v>
      </c>
      <c r="T3587">
        <v>5</v>
      </c>
      <c r="U3587">
        <v>4</v>
      </c>
    </row>
    <row r="3588" spans="1:21" ht="16.5" x14ac:dyDescent="0.3">
      <c r="A3588" t="s">
        <v>3676</v>
      </c>
      <c r="B3588" s="1">
        <v>45820</v>
      </c>
      <c r="C3588">
        <v>2025</v>
      </c>
      <c r="D3588" t="s">
        <v>599</v>
      </c>
      <c r="E3588" t="s">
        <v>1000</v>
      </c>
      <c r="F3588" t="s">
        <v>24</v>
      </c>
      <c r="G3588" t="s">
        <v>25</v>
      </c>
      <c r="H3588" t="s">
        <v>26</v>
      </c>
      <c r="I3588" t="s">
        <v>42</v>
      </c>
      <c r="J3588" t="s">
        <v>76</v>
      </c>
      <c r="K3588">
        <v>1</v>
      </c>
      <c r="L3588" s="2">
        <v>90.75</v>
      </c>
      <c r="M3588" s="3">
        <v>0</v>
      </c>
      <c r="N3588" t="s">
        <v>38</v>
      </c>
      <c r="O3588" s="2">
        <v>90.75</v>
      </c>
      <c r="P3588" s="2">
        <v>60.68</v>
      </c>
      <c r="Q3588" s="2">
        <v>30.07</v>
      </c>
      <c r="R3588">
        <v>1</v>
      </c>
      <c r="S3588">
        <v>0</v>
      </c>
      <c r="T3588">
        <v>3</v>
      </c>
      <c r="U3588">
        <v>5</v>
      </c>
    </row>
    <row r="3589" spans="1:21" ht="16.5" x14ac:dyDescent="0.3">
      <c r="A3589" t="s">
        <v>3677</v>
      </c>
      <c r="B3589" s="1">
        <v>45820</v>
      </c>
      <c r="C3589">
        <v>2025</v>
      </c>
      <c r="D3589" t="s">
        <v>599</v>
      </c>
      <c r="E3589" t="s">
        <v>1000</v>
      </c>
      <c r="F3589" t="s">
        <v>45</v>
      </c>
      <c r="G3589" t="s">
        <v>25</v>
      </c>
      <c r="H3589" t="s">
        <v>26</v>
      </c>
      <c r="I3589" t="s">
        <v>42</v>
      </c>
      <c r="J3589" t="s">
        <v>76</v>
      </c>
      <c r="K3589">
        <v>1</v>
      </c>
      <c r="L3589" s="2">
        <v>90.75</v>
      </c>
      <c r="M3589" s="3">
        <v>0</v>
      </c>
      <c r="N3589" t="s">
        <v>38</v>
      </c>
      <c r="O3589" s="2">
        <v>90.75</v>
      </c>
      <c r="P3589" s="2">
        <v>58.94</v>
      </c>
      <c r="Q3589" s="2">
        <v>31.81</v>
      </c>
      <c r="R3589">
        <v>1</v>
      </c>
      <c r="S3589">
        <v>0</v>
      </c>
      <c r="T3589">
        <v>4</v>
      </c>
      <c r="U3589">
        <v>5</v>
      </c>
    </row>
    <row r="3590" spans="1:21" ht="16.5" x14ac:dyDescent="0.3">
      <c r="A3590" t="s">
        <v>3678</v>
      </c>
      <c r="B3590" s="1">
        <v>45820</v>
      </c>
      <c r="C3590">
        <v>2025</v>
      </c>
      <c r="D3590" t="s">
        <v>599</v>
      </c>
      <c r="E3590" t="s">
        <v>1000</v>
      </c>
      <c r="F3590" t="s">
        <v>24</v>
      </c>
      <c r="G3590" t="s">
        <v>51</v>
      </c>
      <c r="H3590" t="s">
        <v>32</v>
      </c>
      <c r="I3590" t="s">
        <v>27</v>
      </c>
      <c r="J3590" t="s">
        <v>47</v>
      </c>
      <c r="K3590">
        <v>3</v>
      </c>
      <c r="L3590" s="2">
        <v>33.99</v>
      </c>
      <c r="M3590" s="3">
        <v>0</v>
      </c>
      <c r="N3590" t="s">
        <v>38</v>
      </c>
      <c r="O3590" s="2">
        <v>101.97</v>
      </c>
      <c r="P3590" s="2">
        <v>53.62</v>
      </c>
      <c r="Q3590" s="2">
        <v>48.35</v>
      </c>
      <c r="R3590">
        <v>1</v>
      </c>
      <c r="S3590">
        <v>0</v>
      </c>
      <c r="T3590">
        <v>3</v>
      </c>
      <c r="U3590">
        <v>4</v>
      </c>
    </row>
    <row r="3591" spans="1:21" ht="16.5" x14ac:dyDescent="0.3">
      <c r="A3591" t="s">
        <v>3679</v>
      </c>
      <c r="B3591" s="1">
        <v>45820</v>
      </c>
      <c r="C3591">
        <v>2025</v>
      </c>
      <c r="D3591" t="s">
        <v>599</v>
      </c>
      <c r="E3591" t="s">
        <v>1000</v>
      </c>
      <c r="F3591" t="s">
        <v>24</v>
      </c>
      <c r="G3591" t="s">
        <v>49</v>
      </c>
      <c r="H3591" t="s">
        <v>32</v>
      </c>
      <c r="I3591" t="s">
        <v>67</v>
      </c>
      <c r="J3591" t="s">
        <v>78</v>
      </c>
      <c r="K3591">
        <v>2</v>
      </c>
      <c r="L3591" s="2">
        <v>85.42</v>
      </c>
      <c r="M3591" s="3">
        <v>0</v>
      </c>
      <c r="N3591" t="s">
        <v>38</v>
      </c>
      <c r="O3591" s="2">
        <v>170.84</v>
      </c>
      <c r="P3591" s="2">
        <v>110.49</v>
      </c>
      <c r="Q3591" s="2">
        <v>60.35</v>
      </c>
      <c r="R3591">
        <v>1</v>
      </c>
      <c r="S3591">
        <v>0</v>
      </c>
      <c r="T3591">
        <v>4</v>
      </c>
      <c r="U3591">
        <v>5</v>
      </c>
    </row>
    <row r="3592" spans="1:21" ht="16.5" x14ac:dyDescent="0.3">
      <c r="A3592" t="s">
        <v>3680</v>
      </c>
      <c r="B3592" s="1">
        <v>45821</v>
      </c>
      <c r="C3592">
        <v>2025</v>
      </c>
      <c r="D3592" t="s">
        <v>599</v>
      </c>
      <c r="E3592" t="s">
        <v>1000</v>
      </c>
      <c r="F3592" t="s">
        <v>31</v>
      </c>
      <c r="G3592" t="s">
        <v>65</v>
      </c>
      <c r="H3592" t="s">
        <v>26</v>
      </c>
      <c r="I3592" t="s">
        <v>27</v>
      </c>
      <c r="J3592" t="s">
        <v>33</v>
      </c>
      <c r="K3592">
        <v>1</v>
      </c>
      <c r="L3592" s="2">
        <v>78.510000000000005</v>
      </c>
      <c r="M3592" s="3">
        <v>0.05</v>
      </c>
      <c r="N3592" t="s">
        <v>29</v>
      </c>
      <c r="O3592" s="2">
        <v>74.58</v>
      </c>
      <c r="P3592" s="2">
        <v>40.770000000000003</v>
      </c>
      <c r="Q3592" s="2">
        <v>33.81</v>
      </c>
      <c r="R3592">
        <v>1</v>
      </c>
      <c r="S3592">
        <v>0</v>
      </c>
      <c r="T3592">
        <v>6</v>
      </c>
      <c r="U3592">
        <v>5</v>
      </c>
    </row>
    <row r="3593" spans="1:21" ht="16.5" x14ac:dyDescent="0.3">
      <c r="A3593" t="s">
        <v>3681</v>
      </c>
      <c r="B3593" s="1">
        <v>45821</v>
      </c>
      <c r="C3593">
        <v>2025</v>
      </c>
      <c r="D3593" t="s">
        <v>599</v>
      </c>
      <c r="E3593" t="s">
        <v>1000</v>
      </c>
      <c r="F3593" t="s">
        <v>31</v>
      </c>
      <c r="G3593" t="s">
        <v>49</v>
      </c>
      <c r="H3593" t="s">
        <v>32</v>
      </c>
      <c r="I3593" t="s">
        <v>36</v>
      </c>
      <c r="J3593" t="s">
        <v>37</v>
      </c>
      <c r="K3593">
        <v>3</v>
      </c>
      <c r="L3593" s="2">
        <v>33.18</v>
      </c>
      <c r="M3593" s="3">
        <v>0.1</v>
      </c>
      <c r="N3593" t="s">
        <v>29</v>
      </c>
      <c r="O3593" s="2">
        <v>89.59</v>
      </c>
      <c r="P3593" s="2">
        <v>48.85</v>
      </c>
      <c r="Q3593" s="2">
        <v>40.74</v>
      </c>
      <c r="R3593">
        <v>1</v>
      </c>
      <c r="S3593">
        <v>0</v>
      </c>
      <c r="T3593">
        <v>3</v>
      </c>
      <c r="U3593">
        <v>4</v>
      </c>
    </row>
    <row r="3594" spans="1:21" ht="16.5" x14ac:dyDescent="0.3">
      <c r="A3594" t="s">
        <v>3682</v>
      </c>
      <c r="B3594" s="1">
        <v>45821</v>
      </c>
      <c r="C3594">
        <v>2025</v>
      </c>
      <c r="D3594" t="s">
        <v>599</v>
      </c>
      <c r="E3594" t="s">
        <v>1000</v>
      </c>
      <c r="F3594" t="s">
        <v>24</v>
      </c>
      <c r="G3594" t="s">
        <v>46</v>
      </c>
      <c r="H3594" t="s">
        <v>26</v>
      </c>
      <c r="I3594" t="s">
        <v>70</v>
      </c>
      <c r="J3594" t="s">
        <v>87</v>
      </c>
      <c r="K3594">
        <v>1</v>
      </c>
      <c r="L3594" s="2">
        <v>490.3</v>
      </c>
      <c r="M3594" s="3">
        <v>0.05</v>
      </c>
      <c r="N3594" t="s">
        <v>29</v>
      </c>
      <c r="O3594" s="2">
        <v>465.78</v>
      </c>
      <c r="P3594" s="2">
        <v>387.32</v>
      </c>
      <c r="Q3594" s="2">
        <v>78.459999999999994</v>
      </c>
      <c r="R3594">
        <v>1</v>
      </c>
      <c r="S3594">
        <v>0</v>
      </c>
      <c r="T3594">
        <v>7</v>
      </c>
      <c r="U3594">
        <v>4</v>
      </c>
    </row>
    <row r="3595" spans="1:21" ht="16.5" x14ac:dyDescent="0.3">
      <c r="A3595" t="s">
        <v>3683</v>
      </c>
      <c r="B3595" s="1">
        <v>45821</v>
      </c>
      <c r="C3595">
        <v>2025</v>
      </c>
      <c r="D3595" t="s">
        <v>599</v>
      </c>
      <c r="E3595" t="s">
        <v>1000</v>
      </c>
      <c r="F3595" t="s">
        <v>24</v>
      </c>
      <c r="G3595" t="s">
        <v>25</v>
      </c>
      <c r="H3595" t="s">
        <v>26</v>
      </c>
      <c r="I3595" t="s">
        <v>42</v>
      </c>
      <c r="J3595" t="s">
        <v>58</v>
      </c>
      <c r="K3595">
        <v>1</v>
      </c>
      <c r="L3595" s="2">
        <v>233.81</v>
      </c>
      <c r="M3595" s="3">
        <v>0</v>
      </c>
      <c r="N3595" t="s">
        <v>38</v>
      </c>
      <c r="O3595" s="2">
        <v>233.81</v>
      </c>
      <c r="P3595" s="2">
        <v>153.34</v>
      </c>
      <c r="Q3595" s="2">
        <v>80.47</v>
      </c>
      <c r="R3595">
        <v>1</v>
      </c>
      <c r="S3595">
        <v>0</v>
      </c>
      <c r="T3595">
        <v>4</v>
      </c>
      <c r="U3595">
        <v>5</v>
      </c>
    </row>
    <row r="3596" spans="1:21" ht="16.5" x14ac:dyDescent="0.3">
      <c r="A3596" t="s">
        <v>3684</v>
      </c>
      <c r="B3596" s="1">
        <v>45821</v>
      </c>
      <c r="C3596">
        <v>2025</v>
      </c>
      <c r="D3596" t="s">
        <v>599</v>
      </c>
      <c r="E3596" t="s">
        <v>1000</v>
      </c>
      <c r="F3596" t="s">
        <v>24</v>
      </c>
      <c r="G3596" t="s">
        <v>46</v>
      </c>
      <c r="H3596" t="s">
        <v>32</v>
      </c>
      <c r="I3596" t="s">
        <v>70</v>
      </c>
      <c r="J3596" t="s">
        <v>252</v>
      </c>
      <c r="K3596">
        <v>1</v>
      </c>
      <c r="L3596" s="2">
        <v>216.08</v>
      </c>
      <c r="M3596" s="3">
        <v>0.05</v>
      </c>
      <c r="N3596" t="s">
        <v>29</v>
      </c>
      <c r="O3596" s="2">
        <v>205.28</v>
      </c>
      <c r="P3596" s="2">
        <v>165.9</v>
      </c>
      <c r="Q3596" s="2">
        <v>39.380000000000003</v>
      </c>
      <c r="R3596">
        <v>1</v>
      </c>
      <c r="S3596">
        <v>0</v>
      </c>
      <c r="T3596">
        <v>6</v>
      </c>
      <c r="U3596">
        <v>3</v>
      </c>
    </row>
    <row r="3597" spans="1:21" ht="16.5" x14ac:dyDescent="0.3">
      <c r="A3597" t="s">
        <v>3685</v>
      </c>
      <c r="B3597" s="1">
        <v>45821</v>
      </c>
      <c r="C3597">
        <v>2025</v>
      </c>
      <c r="D3597" t="s">
        <v>599</v>
      </c>
      <c r="E3597" t="s">
        <v>1000</v>
      </c>
      <c r="F3597" t="s">
        <v>31</v>
      </c>
      <c r="G3597" t="s">
        <v>65</v>
      </c>
      <c r="H3597" t="s">
        <v>32</v>
      </c>
      <c r="I3597" t="s">
        <v>42</v>
      </c>
      <c r="J3597" t="s">
        <v>98</v>
      </c>
      <c r="K3597">
        <v>1</v>
      </c>
      <c r="L3597" s="2">
        <v>117.63</v>
      </c>
      <c r="M3597" s="3">
        <v>0.1</v>
      </c>
      <c r="N3597" t="s">
        <v>29</v>
      </c>
      <c r="O3597" s="2">
        <v>105.87</v>
      </c>
      <c r="P3597" s="2">
        <v>77.36</v>
      </c>
      <c r="Q3597" s="2">
        <v>28.51</v>
      </c>
      <c r="R3597">
        <v>1</v>
      </c>
      <c r="S3597">
        <v>0</v>
      </c>
      <c r="T3597">
        <v>7</v>
      </c>
      <c r="U3597">
        <v>3</v>
      </c>
    </row>
    <row r="3598" spans="1:21" ht="16.5" x14ac:dyDescent="0.3">
      <c r="A3598" t="s">
        <v>3686</v>
      </c>
      <c r="B3598" s="1">
        <v>45821</v>
      </c>
      <c r="C3598">
        <v>2025</v>
      </c>
      <c r="D3598" t="s">
        <v>599</v>
      </c>
      <c r="E3598" t="s">
        <v>1000</v>
      </c>
      <c r="F3598" t="s">
        <v>24</v>
      </c>
      <c r="G3598" t="s">
        <v>51</v>
      </c>
      <c r="H3598" t="s">
        <v>32</v>
      </c>
      <c r="I3598" t="s">
        <v>42</v>
      </c>
      <c r="J3598" t="s">
        <v>54</v>
      </c>
      <c r="K3598">
        <v>3</v>
      </c>
      <c r="L3598" s="2">
        <v>148.05000000000001</v>
      </c>
      <c r="M3598" s="3">
        <v>0.05</v>
      </c>
      <c r="N3598" t="s">
        <v>29</v>
      </c>
      <c r="O3598" s="2">
        <v>421.94</v>
      </c>
      <c r="P3598" s="2">
        <v>287.94</v>
      </c>
      <c r="Q3598" s="2">
        <v>134</v>
      </c>
      <c r="R3598">
        <v>1</v>
      </c>
      <c r="S3598">
        <v>0</v>
      </c>
      <c r="T3598">
        <v>3</v>
      </c>
      <c r="U3598">
        <v>4</v>
      </c>
    </row>
    <row r="3599" spans="1:21" ht="16.5" x14ac:dyDescent="0.3">
      <c r="A3599" t="s">
        <v>3687</v>
      </c>
      <c r="B3599" s="1">
        <v>45821</v>
      </c>
      <c r="C3599">
        <v>2025</v>
      </c>
      <c r="D3599" t="s">
        <v>599</v>
      </c>
      <c r="E3599" t="s">
        <v>1000</v>
      </c>
      <c r="F3599" t="s">
        <v>31</v>
      </c>
      <c r="G3599" t="s">
        <v>51</v>
      </c>
      <c r="H3599" t="s">
        <v>26</v>
      </c>
      <c r="I3599" t="s">
        <v>70</v>
      </c>
      <c r="J3599" t="s">
        <v>252</v>
      </c>
      <c r="K3599">
        <v>1</v>
      </c>
      <c r="L3599" s="2">
        <v>216.08</v>
      </c>
      <c r="M3599" s="3">
        <v>0.1</v>
      </c>
      <c r="N3599" t="s">
        <v>29</v>
      </c>
      <c r="O3599" s="2">
        <v>194.47</v>
      </c>
      <c r="P3599" s="2">
        <v>175.22</v>
      </c>
      <c r="Q3599" s="2">
        <v>19.25</v>
      </c>
      <c r="R3599">
        <v>1</v>
      </c>
      <c r="S3599">
        <v>0</v>
      </c>
      <c r="T3599">
        <v>3</v>
      </c>
      <c r="U3599">
        <v>4</v>
      </c>
    </row>
    <row r="3600" spans="1:21" ht="16.5" x14ac:dyDescent="0.3">
      <c r="A3600" t="s">
        <v>3688</v>
      </c>
      <c r="B3600" s="1">
        <v>45821</v>
      </c>
      <c r="C3600">
        <v>2025</v>
      </c>
      <c r="D3600" t="s">
        <v>599</v>
      </c>
      <c r="E3600" t="s">
        <v>1000</v>
      </c>
      <c r="F3600" t="s">
        <v>24</v>
      </c>
      <c r="G3600" t="s">
        <v>25</v>
      </c>
      <c r="H3600" t="s">
        <v>32</v>
      </c>
      <c r="I3600" t="s">
        <v>27</v>
      </c>
      <c r="J3600" t="s">
        <v>33</v>
      </c>
      <c r="K3600">
        <v>3</v>
      </c>
      <c r="L3600" s="2">
        <v>78.510000000000005</v>
      </c>
      <c r="M3600" s="3">
        <v>0.25</v>
      </c>
      <c r="N3600" t="s">
        <v>62</v>
      </c>
      <c r="O3600" s="2">
        <v>176.65</v>
      </c>
      <c r="P3600" s="2">
        <v>127.57</v>
      </c>
      <c r="Q3600" s="2">
        <v>49.08</v>
      </c>
      <c r="R3600">
        <v>1</v>
      </c>
      <c r="S3600">
        <v>0</v>
      </c>
      <c r="T3600">
        <v>4</v>
      </c>
      <c r="U3600">
        <v>4</v>
      </c>
    </row>
    <row r="3601" spans="1:21" ht="16.5" x14ac:dyDescent="0.3">
      <c r="A3601" t="s">
        <v>3689</v>
      </c>
      <c r="B3601" s="1">
        <v>45822</v>
      </c>
      <c r="C3601">
        <v>2025</v>
      </c>
      <c r="D3601" t="s">
        <v>599</v>
      </c>
      <c r="E3601" t="s">
        <v>1000</v>
      </c>
      <c r="F3601" t="s">
        <v>24</v>
      </c>
      <c r="G3601" t="s">
        <v>51</v>
      </c>
      <c r="H3601" t="s">
        <v>32</v>
      </c>
      <c r="I3601" t="s">
        <v>70</v>
      </c>
      <c r="J3601" t="s">
        <v>82</v>
      </c>
      <c r="K3601">
        <v>1</v>
      </c>
      <c r="L3601" s="2">
        <v>508.8</v>
      </c>
      <c r="M3601" s="3">
        <v>0.05</v>
      </c>
      <c r="N3601" t="s">
        <v>29</v>
      </c>
      <c r="O3601" s="2">
        <v>483.36</v>
      </c>
      <c r="P3601" s="2">
        <v>409.94</v>
      </c>
      <c r="Q3601" s="2">
        <v>73.42</v>
      </c>
      <c r="R3601">
        <v>1</v>
      </c>
      <c r="S3601">
        <v>1</v>
      </c>
      <c r="T3601">
        <v>2</v>
      </c>
      <c r="U3601">
        <v>4</v>
      </c>
    </row>
    <row r="3602" spans="1:21" ht="16.5" x14ac:dyDescent="0.3">
      <c r="A3602" t="s">
        <v>3690</v>
      </c>
      <c r="B3602" s="1">
        <v>45822</v>
      </c>
      <c r="C3602">
        <v>2025</v>
      </c>
      <c r="D3602" t="s">
        <v>599</v>
      </c>
      <c r="E3602" t="s">
        <v>1000</v>
      </c>
      <c r="F3602" t="s">
        <v>31</v>
      </c>
      <c r="G3602" t="s">
        <v>49</v>
      </c>
      <c r="H3602" t="s">
        <v>32</v>
      </c>
      <c r="I3602" t="s">
        <v>70</v>
      </c>
      <c r="J3602" t="s">
        <v>129</v>
      </c>
      <c r="K3602">
        <v>2</v>
      </c>
      <c r="L3602" s="2">
        <v>177.65</v>
      </c>
      <c r="M3602" s="3">
        <v>0.15</v>
      </c>
      <c r="N3602" t="s">
        <v>34</v>
      </c>
      <c r="O3602" s="2">
        <v>302</v>
      </c>
      <c r="P3602" s="2">
        <v>273.39999999999998</v>
      </c>
      <c r="Q3602" s="2">
        <v>28.6</v>
      </c>
      <c r="R3602">
        <v>1</v>
      </c>
      <c r="S3602">
        <v>0</v>
      </c>
      <c r="T3602">
        <v>5</v>
      </c>
      <c r="U3602">
        <v>4</v>
      </c>
    </row>
    <row r="3603" spans="1:21" ht="16.5" x14ac:dyDescent="0.3">
      <c r="A3603" t="s">
        <v>3691</v>
      </c>
      <c r="B3603" s="1">
        <v>45822</v>
      </c>
      <c r="C3603">
        <v>2025</v>
      </c>
      <c r="D3603" t="s">
        <v>599</v>
      </c>
      <c r="E3603" t="s">
        <v>1000</v>
      </c>
      <c r="F3603" t="s">
        <v>31</v>
      </c>
      <c r="G3603" t="s">
        <v>25</v>
      </c>
      <c r="H3603" t="s">
        <v>26</v>
      </c>
      <c r="I3603" t="s">
        <v>42</v>
      </c>
      <c r="J3603" t="s">
        <v>54</v>
      </c>
      <c r="K3603">
        <v>1</v>
      </c>
      <c r="L3603" s="2">
        <v>148.05000000000001</v>
      </c>
      <c r="M3603" s="3">
        <v>0</v>
      </c>
      <c r="N3603" t="s">
        <v>38</v>
      </c>
      <c r="O3603" s="2">
        <v>148.05000000000001</v>
      </c>
      <c r="P3603" s="2">
        <v>99.73</v>
      </c>
      <c r="Q3603" s="2">
        <v>48.32</v>
      </c>
      <c r="R3603">
        <v>1</v>
      </c>
      <c r="S3603">
        <v>0</v>
      </c>
      <c r="T3603">
        <v>4</v>
      </c>
      <c r="U3603">
        <v>4</v>
      </c>
    </row>
    <row r="3604" spans="1:21" ht="16.5" x14ac:dyDescent="0.3">
      <c r="A3604" t="s">
        <v>3692</v>
      </c>
      <c r="B3604" s="1">
        <v>45822</v>
      </c>
      <c r="C3604">
        <v>2025</v>
      </c>
      <c r="D3604" t="s">
        <v>599</v>
      </c>
      <c r="E3604" t="s">
        <v>1000</v>
      </c>
      <c r="F3604" t="s">
        <v>24</v>
      </c>
      <c r="G3604" t="s">
        <v>25</v>
      </c>
      <c r="H3604" t="s">
        <v>26</v>
      </c>
      <c r="I3604" t="s">
        <v>36</v>
      </c>
      <c r="J3604" t="s">
        <v>56</v>
      </c>
      <c r="K3604">
        <v>1</v>
      </c>
      <c r="L3604" s="2">
        <v>74.3</v>
      </c>
      <c r="M3604" s="3">
        <v>0.05</v>
      </c>
      <c r="N3604" t="s">
        <v>29</v>
      </c>
      <c r="O3604" s="2">
        <v>70.58</v>
      </c>
      <c r="P3604" s="2">
        <v>35.36</v>
      </c>
      <c r="Q3604" s="2">
        <v>35.22</v>
      </c>
      <c r="R3604">
        <v>1</v>
      </c>
      <c r="S3604">
        <v>0</v>
      </c>
      <c r="T3604">
        <v>6</v>
      </c>
      <c r="U3604">
        <v>4</v>
      </c>
    </row>
    <row r="3605" spans="1:21" ht="16.5" x14ac:dyDescent="0.3">
      <c r="A3605" t="s">
        <v>3693</v>
      </c>
      <c r="B3605" s="1">
        <v>45822</v>
      </c>
      <c r="C3605">
        <v>2025</v>
      </c>
      <c r="D3605" t="s">
        <v>599</v>
      </c>
      <c r="E3605" t="s">
        <v>1000</v>
      </c>
      <c r="F3605" t="s">
        <v>31</v>
      </c>
      <c r="G3605" t="s">
        <v>49</v>
      </c>
      <c r="H3605" t="s">
        <v>32</v>
      </c>
      <c r="I3605" t="s">
        <v>42</v>
      </c>
      <c r="J3605" t="s">
        <v>89</v>
      </c>
      <c r="K3605">
        <v>2</v>
      </c>
      <c r="L3605" s="2">
        <v>68.349999999999994</v>
      </c>
      <c r="M3605" s="3">
        <v>0.1</v>
      </c>
      <c r="N3605" t="s">
        <v>29</v>
      </c>
      <c r="O3605" s="2">
        <v>123.03</v>
      </c>
      <c r="P3605" s="2">
        <v>94.91</v>
      </c>
      <c r="Q3605" s="2">
        <v>28.12</v>
      </c>
      <c r="R3605">
        <v>1</v>
      </c>
      <c r="S3605">
        <v>0</v>
      </c>
      <c r="T3605">
        <v>3</v>
      </c>
      <c r="U3605">
        <v>4</v>
      </c>
    </row>
    <row r="3606" spans="1:21" ht="16.5" x14ac:dyDescent="0.3">
      <c r="A3606" t="s">
        <v>3694</v>
      </c>
      <c r="B3606" s="1">
        <v>45823</v>
      </c>
      <c r="C3606">
        <v>2025</v>
      </c>
      <c r="D3606" t="s">
        <v>599</v>
      </c>
      <c r="E3606" t="s">
        <v>1000</v>
      </c>
      <c r="F3606" t="s">
        <v>45</v>
      </c>
      <c r="G3606" t="s">
        <v>46</v>
      </c>
      <c r="H3606" t="s">
        <v>26</v>
      </c>
      <c r="I3606" t="s">
        <v>27</v>
      </c>
      <c r="J3606" t="s">
        <v>110</v>
      </c>
      <c r="K3606">
        <v>2</v>
      </c>
      <c r="L3606" s="2">
        <v>19.41</v>
      </c>
      <c r="M3606" s="3">
        <v>0.2</v>
      </c>
      <c r="N3606" t="s">
        <v>34</v>
      </c>
      <c r="O3606" s="2">
        <v>31.06</v>
      </c>
      <c r="P3606" s="2">
        <v>21.69</v>
      </c>
      <c r="Q3606" s="2">
        <v>9.3699999999999992</v>
      </c>
      <c r="R3606">
        <v>1</v>
      </c>
      <c r="S3606">
        <v>1</v>
      </c>
      <c r="T3606">
        <v>6</v>
      </c>
      <c r="U3606">
        <v>3</v>
      </c>
    </row>
    <row r="3607" spans="1:21" ht="16.5" x14ac:dyDescent="0.3">
      <c r="A3607" t="s">
        <v>3695</v>
      </c>
      <c r="B3607" s="1">
        <v>45823</v>
      </c>
      <c r="C3607">
        <v>2025</v>
      </c>
      <c r="D3607" t="s">
        <v>599</v>
      </c>
      <c r="E3607" t="s">
        <v>1000</v>
      </c>
      <c r="F3607" t="s">
        <v>24</v>
      </c>
      <c r="G3607" t="s">
        <v>25</v>
      </c>
      <c r="H3607" t="s">
        <v>32</v>
      </c>
      <c r="I3607" t="s">
        <v>67</v>
      </c>
      <c r="J3607" t="s">
        <v>103</v>
      </c>
      <c r="K3607">
        <v>2</v>
      </c>
      <c r="L3607" s="2">
        <v>83.06</v>
      </c>
      <c r="M3607" s="3">
        <v>0.25</v>
      </c>
      <c r="N3607" t="s">
        <v>62</v>
      </c>
      <c r="O3607" s="2">
        <v>124.59</v>
      </c>
      <c r="P3607" s="2">
        <v>114.24</v>
      </c>
      <c r="Q3607" s="2">
        <v>10.35</v>
      </c>
      <c r="R3607">
        <v>1</v>
      </c>
      <c r="S3607">
        <v>0</v>
      </c>
      <c r="T3607">
        <v>5</v>
      </c>
      <c r="U3607">
        <v>5</v>
      </c>
    </row>
    <row r="3608" spans="1:21" ht="16.5" x14ac:dyDescent="0.3">
      <c r="A3608" t="s">
        <v>3696</v>
      </c>
      <c r="B3608" s="1">
        <v>45823</v>
      </c>
      <c r="C3608">
        <v>2025</v>
      </c>
      <c r="D3608" t="s">
        <v>599</v>
      </c>
      <c r="E3608" t="s">
        <v>1000</v>
      </c>
      <c r="F3608" t="s">
        <v>24</v>
      </c>
      <c r="G3608" t="s">
        <v>65</v>
      </c>
      <c r="H3608" t="s">
        <v>32</v>
      </c>
      <c r="I3608" t="s">
        <v>70</v>
      </c>
      <c r="J3608" t="s">
        <v>162</v>
      </c>
      <c r="K3608">
        <v>1</v>
      </c>
      <c r="L3608" s="2">
        <v>636.09</v>
      </c>
      <c r="M3608" s="3">
        <v>0.1</v>
      </c>
      <c r="N3608" t="s">
        <v>29</v>
      </c>
      <c r="O3608" s="2">
        <v>572.48</v>
      </c>
      <c r="P3608" s="2">
        <v>494.61</v>
      </c>
      <c r="Q3608" s="2">
        <v>77.87</v>
      </c>
      <c r="R3608">
        <v>1</v>
      </c>
      <c r="S3608">
        <v>0</v>
      </c>
      <c r="T3608">
        <v>6</v>
      </c>
      <c r="U3608">
        <v>4</v>
      </c>
    </row>
    <row r="3609" spans="1:21" ht="16.5" x14ac:dyDescent="0.3">
      <c r="A3609" t="s">
        <v>3697</v>
      </c>
      <c r="B3609" s="1">
        <v>45823</v>
      </c>
      <c r="C3609">
        <v>2025</v>
      </c>
      <c r="D3609" t="s">
        <v>599</v>
      </c>
      <c r="E3609" t="s">
        <v>1000</v>
      </c>
      <c r="F3609" t="s">
        <v>24</v>
      </c>
      <c r="G3609" t="s">
        <v>51</v>
      </c>
      <c r="H3609" t="s">
        <v>32</v>
      </c>
      <c r="I3609" t="s">
        <v>27</v>
      </c>
      <c r="J3609" t="s">
        <v>110</v>
      </c>
      <c r="K3609">
        <v>1</v>
      </c>
      <c r="L3609" s="2">
        <v>19.41</v>
      </c>
      <c r="M3609" s="3">
        <v>0</v>
      </c>
      <c r="N3609" t="s">
        <v>38</v>
      </c>
      <c r="O3609" s="2">
        <v>19.41</v>
      </c>
      <c r="P3609" s="2">
        <v>10.28</v>
      </c>
      <c r="Q3609" s="2">
        <v>9.1300000000000008</v>
      </c>
      <c r="R3609">
        <v>1</v>
      </c>
      <c r="S3609">
        <v>0</v>
      </c>
      <c r="T3609">
        <v>2</v>
      </c>
      <c r="U3609">
        <v>4</v>
      </c>
    </row>
    <row r="3610" spans="1:21" ht="16.5" x14ac:dyDescent="0.3">
      <c r="A3610" t="s">
        <v>3698</v>
      </c>
      <c r="B3610" s="1">
        <v>45823</v>
      </c>
      <c r="C3610">
        <v>2025</v>
      </c>
      <c r="D3610" t="s">
        <v>599</v>
      </c>
      <c r="E3610" t="s">
        <v>1000</v>
      </c>
      <c r="F3610" t="s">
        <v>31</v>
      </c>
      <c r="G3610" t="s">
        <v>65</v>
      </c>
      <c r="H3610" t="s">
        <v>26</v>
      </c>
      <c r="I3610" t="s">
        <v>84</v>
      </c>
      <c r="J3610" t="s">
        <v>132</v>
      </c>
      <c r="K3610">
        <v>1</v>
      </c>
      <c r="L3610" s="2">
        <v>48.86</v>
      </c>
      <c r="M3610" s="3">
        <v>0</v>
      </c>
      <c r="N3610" t="s">
        <v>38</v>
      </c>
      <c r="O3610" s="2">
        <v>48.86</v>
      </c>
      <c r="P3610" s="2">
        <v>35.03</v>
      </c>
      <c r="Q3610" s="2">
        <v>13.83</v>
      </c>
      <c r="R3610">
        <v>1</v>
      </c>
      <c r="S3610">
        <v>0</v>
      </c>
      <c r="T3610">
        <v>7</v>
      </c>
      <c r="U3610">
        <v>4</v>
      </c>
    </row>
    <row r="3611" spans="1:21" ht="16.5" x14ac:dyDescent="0.3">
      <c r="A3611" t="s">
        <v>3699</v>
      </c>
      <c r="B3611" s="1">
        <v>45823</v>
      </c>
      <c r="C3611">
        <v>2025</v>
      </c>
      <c r="D3611" t="s">
        <v>599</v>
      </c>
      <c r="E3611" t="s">
        <v>1000</v>
      </c>
      <c r="F3611" t="s">
        <v>31</v>
      </c>
      <c r="G3611" t="s">
        <v>51</v>
      </c>
      <c r="H3611" t="s">
        <v>32</v>
      </c>
      <c r="I3611" t="s">
        <v>70</v>
      </c>
      <c r="J3611" t="s">
        <v>71</v>
      </c>
      <c r="K3611">
        <v>1</v>
      </c>
      <c r="L3611" s="2">
        <v>588.41</v>
      </c>
      <c r="M3611" s="3">
        <v>0</v>
      </c>
      <c r="N3611" t="s">
        <v>38</v>
      </c>
      <c r="O3611" s="2">
        <v>588.41</v>
      </c>
      <c r="P3611" s="2">
        <v>454.61</v>
      </c>
      <c r="Q3611" s="2">
        <v>133.80000000000001</v>
      </c>
      <c r="R3611">
        <v>1</v>
      </c>
      <c r="S3611">
        <v>0</v>
      </c>
      <c r="T3611">
        <v>3</v>
      </c>
      <c r="U3611">
        <v>5</v>
      </c>
    </row>
    <row r="3612" spans="1:21" ht="16.5" x14ac:dyDescent="0.3">
      <c r="A3612" t="s">
        <v>3700</v>
      </c>
      <c r="B3612" s="1">
        <v>45823</v>
      </c>
      <c r="C3612">
        <v>2025</v>
      </c>
      <c r="D3612" t="s">
        <v>599</v>
      </c>
      <c r="E3612" t="s">
        <v>1000</v>
      </c>
      <c r="F3612" t="s">
        <v>31</v>
      </c>
      <c r="G3612" t="s">
        <v>51</v>
      </c>
      <c r="H3612" t="s">
        <v>26</v>
      </c>
      <c r="I3612" t="s">
        <v>84</v>
      </c>
      <c r="J3612" t="s">
        <v>96</v>
      </c>
      <c r="K3612">
        <v>1</v>
      </c>
      <c r="L3612" s="2">
        <v>10.76</v>
      </c>
      <c r="M3612" s="3">
        <v>0.3</v>
      </c>
      <c r="N3612" t="s">
        <v>62</v>
      </c>
      <c r="O3612" s="2">
        <v>7.53</v>
      </c>
      <c r="P3612" s="2">
        <v>7.78</v>
      </c>
      <c r="Q3612" s="2">
        <v>-0.25</v>
      </c>
      <c r="R3612">
        <v>1</v>
      </c>
      <c r="S3612">
        <v>0</v>
      </c>
      <c r="T3612">
        <v>3</v>
      </c>
      <c r="U3612">
        <v>5</v>
      </c>
    </row>
    <row r="3613" spans="1:21" ht="16.5" x14ac:dyDescent="0.3">
      <c r="A3613" t="s">
        <v>3701</v>
      </c>
      <c r="B3613" s="1">
        <v>45823</v>
      </c>
      <c r="C3613">
        <v>2025</v>
      </c>
      <c r="D3613" t="s">
        <v>599</v>
      </c>
      <c r="E3613" t="s">
        <v>1000</v>
      </c>
      <c r="F3613" t="s">
        <v>24</v>
      </c>
      <c r="G3613" t="s">
        <v>49</v>
      </c>
      <c r="H3613" t="s">
        <v>32</v>
      </c>
      <c r="I3613" t="s">
        <v>67</v>
      </c>
      <c r="J3613" t="s">
        <v>174</v>
      </c>
      <c r="K3613">
        <v>1</v>
      </c>
      <c r="L3613" s="2">
        <v>137.05000000000001</v>
      </c>
      <c r="M3613" s="3">
        <v>0.15</v>
      </c>
      <c r="N3613" t="s">
        <v>34</v>
      </c>
      <c r="O3613" s="2">
        <v>116.49</v>
      </c>
      <c r="P3613" s="2">
        <v>88.5</v>
      </c>
      <c r="Q3613" s="2">
        <v>27.99</v>
      </c>
      <c r="R3613">
        <v>1</v>
      </c>
      <c r="S3613">
        <v>0</v>
      </c>
      <c r="T3613">
        <v>4</v>
      </c>
      <c r="U3613">
        <v>4</v>
      </c>
    </row>
    <row r="3614" spans="1:21" ht="16.5" x14ac:dyDescent="0.3">
      <c r="A3614" t="s">
        <v>3702</v>
      </c>
      <c r="B3614" s="1">
        <v>45823</v>
      </c>
      <c r="C3614">
        <v>2025</v>
      </c>
      <c r="D3614" t="s">
        <v>599</v>
      </c>
      <c r="E3614" t="s">
        <v>1000</v>
      </c>
      <c r="F3614" t="s">
        <v>31</v>
      </c>
      <c r="G3614" t="s">
        <v>51</v>
      </c>
      <c r="H3614" t="s">
        <v>32</v>
      </c>
      <c r="I3614" t="s">
        <v>70</v>
      </c>
      <c r="J3614" t="s">
        <v>71</v>
      </c>
      <c r="K3614">
        <v>4</v>
      </c>
      <c r="L3614" s="2">
        <v>588.41</v>
      </c>
      <c r="M3614" s="3">
        <v>0.05</v>
      </c>
      <c r="N3614" t="s">
        <v>29</v>
      </c>
      <c r="O3614" s="2">
        <v>2235.96</v>
      </c>
      <c r="P3614" s="2">
        <v>1843</v>
      </c>
      <c r="Q3614" s="2">
        <v>392.96</v>
      </c>
      <c r="R3614">
        <v>1</v>
      </c>
      <c r="S3614">
        <v>0</v>
      </c>
      <c r="T3614">
        <v>5</v>
      </c>
      <c r="U3614">
        <v>4</v>
      </c>
    </row>
    <row r="3615" spans="1:21" ht="16.5" x14ac:dyDescent="0.3">
      <c r="A3615" t="s">
        <v>3703</v>
      </c>
      <c r="B3615" s="1">
        <v>45823</v>
      </c>
      <c r="C3615">
        <v>2025</v>
      </c>
      <c r="D3615" t="s">
        <v>599</v>
      </c>
      <c r="E3615" t="s">
        <v>1000</v>
      </c>
      <c r="F3615" t="s">
        <v>24</v>
      </c>
      <c r="G3615" t="s">
        <v>49</v>
      </c>
      <c r="H3615" t="s">
        <v>26</v>
      </c>
      <c r="I3615" t="s">
        <v>36</v>
      </c>
      <c r="J3615" t="s">
        <v>56</v>
      </c>
      <c r="K3615">
        <v>1</v>
      </c>
      <c r="L3615" s="2">
        <v>74.3</v>
      </c>
      <c r="M3615" s="3">
        <v>0</v>
      </c>
      <c r="N3615" t="s">
        <v>38</v>
      </c>
      <c r="O3615" s="2">
        <v>74.3</v>
      </c>
      <c r="P3615" s="2">
        <v>35.35</v>
      </c>
      <c r="Q3615" s="2">
        <v>38.950000000000003</v>
      </c>
      <c r="R3615">
        <v>1</v>
      </c>
      <c r="S3615">
        <v>0</v>
      </c>
      <c r="T3615">
        <v>3</v>
      </c>
      <c r="U3615">
        <v>4</v>
      </c>
    </row>
    <row r="3616" spans="1:21" ht="16.5" x14ac:dyDescent="0.3">
      <c r="A3616" t="s">
        <v>3704</v>
      </c>
      <c r="B3616" s="1">
        <v>45823</v>
      </c>
      <c r="C3616">
        <v>2025</v>
      </c>
      <c r="D3616" t="s">
        <v>599</v>
      </c>
      <c r="E3616" t="s">
        <v>1000</v>
      </c>
      <c r="F3616" t="s">
        <v>31</v>
      </c>
      <c r="G3616" t="s">
        <v>25</v>
      </c>
      <c r="H3616" t="s">
        <v>32</v>
      </c>
      <c r="I3616" t="s">
        <v>36</v>
      </c>
      <c r="J3616" t="s">
        <v>115</v>
      </c>
      <c r="K3616">
        <v>1</v>
      </c>
      <c r="L3616" s="2">
        <v>33.479999999999997</v>
      </c>
      <c r="M3616" s="3">
        <v>0.25</v>
      </c>
      <c r="N3616" t="s">
        <v>62</v>
      </c>
      <c r="O3616" s="2">
        <v>25.11</v>
      </c>
      <c r="P3616" s="2">
        <v>15.45</v>
      </c>
      <c r="Q3616" s="2">
        <v>9.66</v>
      </c>
      <c r="R3616">
        <v>1</v>
      </c>
      <c r="S3616">
        <v>0</v>
      </c>
      <c r="T3616">
        <v>3</v>
      </c>
      <c r="U3616">
        <v>4</v>
      </c>
    </row>
    <row r="3617" spans="1:21" ht="16.5" x14ac:dyDescent="0.3">
      <c r="A3617" t="s">
        <v>3705</v>
      </c>
      <c r="B3617" s="1">
        <v>45823</v>
      </c>
      <c r="C3617">
        <v>2025</v>
      </c>
      <c r="D3617" t="s">
        <v>599</v>
      </c>
      <c r="E3617" t="s">
        <v>1000</v>
      </c>
      <c r="F3617" t="s">
        <v>24</v>
      </c>
      <c r="G3617" t="s">
        <v>51</v>
      </c>
      <c r="H3617" t="s">
        <v>26</v>
      </c>
      <c r="I3617" t="s">
        <v>67</v>
      </c>
      <c r="J3617" t="s">
        <v>68</v>
      </c>
      <c r="K3617">
        <v>1</v>
      </c>
      <c r="L3617" s="2">
        <v>74.459999999999994</v>
      </c>
      <c r="M3617" s="3">
        <v>0.05</v>
      </c>
      <c r="N3617" t="s">
        <v>29</v>
      </c>
      <c r="O3617" s="2">
        <v>70.739999999999995</v>
      </c>
      <c r="P3617" s="2">
        <v>50.84</v>
      </c>
      <c r="Q3617" s="2">
        <v>19.899999999999999</v>
      </c>
      <c r="R3617">
        <v>1</v>
      </c>
      <c r="S3617">
        <v>0</v>
      </c>
      <c r="T3617">
        <v>2</v>
      </c>
      <c r="U3617">
        <v>4</v>
      </c>
    </row>
    <row r="3618" spans="1:21" ht="16.5" x14ac:dyDescent="0.3">
      <c r="A3618" t="s">
        <v>3706</v>
      </c>
      <c r="B3618" s="1">
        <v>45823</v>
      </c>
      <c r="C3618">
        <v>2025</v>
      </c>
      <c r="D3618" t="s">
        <v>599</v>
      </c>
      <c r="E3618" t="s">
        <v>1000</v>
      </c>
      <c r="F3618" t="s">
        <v>24</v>
      </c>
      <c r="G3618" t="s">
        <v>51</v>
      </c>
      <c r="H3618" t="s">
        <v>32</v>
      </c>
      <c r="I3618" t="s">
        <v>70</v>
      </c>
      <c r="J3618" t="s">
        <v>71</v>
      </c>
      <c r="K3618">
        <v>1</v>
      </c>
      <c r="L3618" s="2">
        <v>588.41</v>
      </c>
      <c r="M3618" s="3">
        <v>0</v>
      </c>
      <c r="N3618" t="s">
        <v>38</v>
      </c>
      <c r="O3618" s="2">
        <v>588.41</v>
      </c>
      <c r="P3618" s="2">
        <v>455.27</v>
      </c>
      <c r="Q3618" s="2">
        <v>133.13999999999999</v>
      </c>
      <c r="R3618">
        <v>1</v>
      </c>
      <c r="S3618">
        <v>0</v>
      </c>
      <c r="T3618">
        <v>2</v>
      </c>
      <c r="U3618">
        <v>5</v>
      </c>
    </row>
    <row r="3619" spans="1:21" ht="16.5" x14ac:dyDescent="0.3">
      <c r="A3619" t="s">
        <v>3707</v>
      </c>
      <c r="B3619" s="1">
        <v>45824</v>
      </c>
      <c r="C3619">
        <v>2025</v>
      </c>
      <c r="D3619" t="s">
        <v>599</v>
      </c>
      <c r="E3619" t="s">
        <v>1000</v>
      </c>
      <c r="F3619" t="s">
        <v>45</v>
      </c>
      <c r="G3619" t="s">
        <v>65</v>
      </c>
      <c r="H3619" t="s">
        <v>26</v>
      </c>
      <c r="I3619" t="s">
        <v>70</v>
      </c>
      <c r="J3619" t="s">
        <v>82</v>
      </c>
      <c r="K3619">
        <v>1</v>
      </c>
      <c r="L3619" s="2">
        <v>508.8</v>
      </c>
      <c r="M3619" s="3">
        <v>0.15</v>
      </c>
      <c r="N3619" t="s">
        <v>34</v>
      </c>
      <c r="O3619" s="2">
        <v>432.48</v>
      </c>
      <c r="P3619" s="2">
        <v>393.52</v>
      </c>
      <c r="Q3619" s="2">
        <v>38.96</v>
      </c>
      <c r="R3619">
        <v>1</v>
      </c>
      <c r="S3619">
        <v>0</v>
      </c>
      <c r="T3619">
        <v>5</v>
      </c>
      <c r="U3619">
        <v>5</v>
      </c>
    </row>
    <row r="3620" spans="1:21" ht="16.5" x14ac:dyDescent="0.3">
      <c r="A3620" t="s">
        <v>3708</v>
      </c>
      <c r="B3620" s="1">
        <v>45824</v>
      </c>
      <c r="C3620">
        <v>2025</v>
      </c>
      <c r="D3620" t="s">
        <v>599</v>
      </c>
      <c r="E3620" t="s">
        <v>1000</v>
      </c>
      <c r="F3620" t="s">
        <v>31</v>
      </c>
      <c r="G3620" t="s">
        <v>25</v>
      </c>
      <c r="H3620" t="s">
        <v>32</v>
      </c>
      <c r="I3620" t="s">
        <v>27</v>
      </c>
      <c r="J3620" t="s">
        <v>33</v>
      </c>
      <c r="K3620">
        <v>2</v>
      </c>
      <c r="L3620" s="2">
        <v>78.510000000000005</v>
      </c>
      <c r="M3620" s="3">
        <v>0.05</v>
      </c>
      <c r="N3620" t="s">
        <v>29</v>
      </c>
      <c r="O3620" s="2">
        <v>149.16999999999999</v>
      </c>
      <c r="P3620" s="2">
        <v>85.46</v>
      </c>
      <c r="Q3620" s="2">
        <v>63.71</v>
      </c>
      <c r="R3620">
        <v>1</v>
      </c>
      <c r="S3620">
        <v>0</v>
      </c>
      <c r="T3620">
        <v>4</v>
      </c>
      <c r="U3620">
        <v>5</v>
      </c>
    </row>
    <row r="3621" spans="1:21" ht="16.5" x14ac:dyDescent="0.3">
      <c r="A3621" t="s">
        <v>3709</v>
      </c>
      <c r="B3621" s="1">
        <v>45824</v>
      </c>
      <c r="C3621">
        <v>2025</v>
      </c>
      <c r="D3621" t="s">
        <v>599</v>
      </c>
      <c r="E3621" t="s">
        <v>1000</v>
      </c>
      <c r="F3621" t="s">
        <v>24</v>
      </c>
      <c r="G3621" t="s">
        <v>49</v>
      </c>
      <c r="H3621" t="s">
        <v>26</v>
      </c>
      <c r="I3621" t="s">
        <v>42</v>
      </c>
      <c r="J3621" t="s">
        <v>54</v>
      </c>
      <c r="K3621">
        <v>1</v>
      </c>
      <c r="L3621" s="2">
        <v>148.05000000000001</v>
      </c>
      <c r="M3621" s="3">
        <v>0</v>
      </c>
      <c r="N3621" t="s">
        <v>38</v>
      </c>
      <c r="O3621" s="2">
        <v>148.05000000000001</v>
      </c>
      <c r="P3621" s="2">
        <v>96.98</v>
      </c>
      <c r="Q3621" s="2">
        <v>51.07</v>
      </c>
      <c r="R3621">
        <v>1</v>
      </c>
      <c r="S3621">
        <v>0</v>
      </c>
      <c r="T3621">
        <v>5</v>
      </c>
      <c r="U3621">
        <v>5</v>
      </c>
    </row>
    <row r="3622" spans="1:21" ht="16.5" x14ac:dyDescent="0.3">
      <c r="A3622" t="s">
        <v>3710</v>
      </c>
      <c r="B3622" s="1">
        <v>45824</v>
      </c>
      <c r="C3622">
        <v>2025</v>
      </c>
      <c r="D3622" t="s">
        <v>599</v>
      </c>
      <c r="E3622" t="s">
        <v>1000</v>
      </c>
      <c r="F3622" t="s">
        <v>24</v>
      </c>
      <c r="G3622" t="s">
        <v>51</v>
      </c>
      <c r="H3622" t="s">
        <v>32</v>
      </c>
      <c r="I3622" t="s">
        <v>67</v>
      </c>
      <c r="J3622" t="s">
        <v>78</v>
      </c>
      <c r="K3622">
        <v>3</v>
      </c>
      <c r="L3622" s="2">
        <v>85.42</v>
      </c>
      <c r="M3622" s="3">
        <v>0.05</v>
      </c>
      <c r="N3622" t="s">
        <v>29</v>
      </c>
      <c r="O3622" s="2">
        <v>243.45</v>
      </c>
      <c r="P3622" s="2">
        <v>175.46</v>
      </c>
      <c r="Q3622" s="2">
        <v>67.989999999999995</v>
      </c>
      <c r="R3622">
        <v>1</v>
      </c>
      <c r="S3622">
        <v>0</v>
      </c>
      <c r="T3622">
        <v>3</v>
      </c>
      <c r="U3622">
        <v>4</v>
      </c>
    </row>
    <row r="3623" spans="1:21" ht="16.5" x14ac:dyDescent="0.3">
      <c r="A3623" t="s">
        <v>3711</v>
      </c>
      <c r="B3623" s="1">
        <v>45824</v>
      </c>
      <c r="C3623">
        <v>2025</v>
      </c>
      <c r="D3623" t="s">
        <v>599</v>
      </c>
      <c r="E3623" t="s">
        <v>1000</v>
      </c>
      <c r="F3623" t="s">
        <v>31</v>
      </c>
      <c r="G3623" t="s">
        <v>51</v>
      </c>
      <c r="H3623" t="s">
        <v>26</v>
      </c>
      <c r="I3623" t="s">
        <v>42</v>
      </c>
      <c r="J3623" t="s">
        <v>98</v>
      </c>
      <c r="K3623">
        <v>2</v>
      </c>
      <c r="L3623" s="2">
        <v>117.63</v>
      </c>
      <c r="M3623" s="3">
        <v>0.1</v>
      </c>
      <c r="N3623" t="s">
        <v>29</v>
      </c>
      <c r="O3623" s="2">
        <v>211.73</v>
      </c>
      <c r="P3623" s="2">
        <v>149.41999999999999</v>
      </c>
      <c r="Q3623" s="2">
        <v>62.31</v>
      </c>
      <c r="R3623">
        <v>1</v>
      </c>
      <c r="S3623">
        <v>0</v>
      </c>
      <c r="T3623">
        <v>3</v>
      </c>
      <c r="U3623">
        <v>5</v>
      </c>
    </row>
    <row r="3624" spans="1:21" ht="16.5" x14ac:dyDescent="0.3">
      <c r="A3624" t="s">
        <v>3712</v>
      </c>
      <c r="B3624" s="1">
        <v>45825</v>
      </c>
      <c r="C3624">
        <v>2025</v>
      </c>
      <c r="D3624" t="s">
        <v>599</v>
      </c>
      <c r="E3624" t="s">
        <v>1000</v>
      </c>
      <c r="F3624" t="s">
        <v>24</v>
      </c>
      <c r="G3624" t="s">
        <v>25</v>
      </c>
      <c r="H3624" t="s">
        <v>26</v>
      </c>
      <c r="I3624" t="s">
        <v>27</v>
      </c>
      <c r="J3624" t="s">
        <v>28</v>
      </c>
      <c r="K3624">
        <v>1</v>
      </c>
      <c r="L3624" s="2">
        <v>138.5</v>
      </c>
      <c r="M3624" s="3">
        <v>0.1</v>
      </c>
      <c r="N3624" t="s">
        <v>29</v>
      </c>
      <c r="O3624" s="2">
        <v>124.65</v>
      </c>
      <c r="P3624" s="2">
        <v>72.180000000000007</v>
      </c>
      <c r="Q3624" s="2">
        <v>52.47</v>
      </c>
      <c r="R3624">
        <v>1</v>
      </c>
      <c r="S3624">
        <v>1</v>
      </c>
      <c r="T3624">
        <v>4</v>
      </c>
      <c r="U3624">
        <v>4</v>
      </c>
    </row>
    <row r="3625" spans="1:21" ht="16.5" x14ac:dyDescent="0.3">
      <c r="A3625" t="s">
        <v>3713</v>
      </c>
      <c r="B3625" s="1">
        <v>45825</v>
      </c>
      <c r="C3625">
        <v>2025</v>
      </c>
      <c r="D3625" t="s">
        <v>599</v>
      </c>
      <c r="E3625" t="s">
        <v>1000</v>
      </c>
      <c r="F3625" t="s">
        <v>31</v>
      </c>
      <c r="G3625" t="s">
        <v>51</v>
      </c>
      <c r="H3625" t="s">
        <v>32</v>
      </c>
      <c r="I3625" t="s">
        <v>27</v>
      </c>
      <c r="J3625" t="s">
        <v>40</v>
      </c>
      <c r="K3625">
        <v>1</v>
      </c>
      <c r="L3625" s="2">
        <v>104.94</v>
      </c>
      <c r="M3625" s="3">
        <v>0</v>
      </c>
      <c r="N3625" t="s">
        <v>38</v>
      </c>
      <c r="O3625" s="2">
        <v>104.94</v>
      </c>
      <c r="P3625" s="2">
        <v>56.21</v>
      </c>
      <c r="Q3625" s="2">
        <v>48.73</v>
      </c>
      <c r="R3625">
        <v>1</v>
      </c>
      <c r="S3625">
        <v>0</v>
      </c>
      <c r="T3625">
        <v>2</v>
      </c>
      <c r="U3625">
        <v>5</v>
      </c>
    </row>
    <row r="3626" spans="1:21" ht="16.5" x14ac:dyDescent="0.3">
      <c r="A3626" t="s">
        <v>3714</v>
      </c>
      <c r="B3626" s="1">
        <v>45825</v>
      </c>
      <c r="C3626">
        <v>2025</v>
      </c>
      <c r="D3626" t="s">
        <v>599</v>
      </c>
      <c r="E3626" t="s">
        <v>1000</v>
      </c>
      <c r="F3626" t="s">
        <v>24</v>
      </c>
      <c r="G3626" t="s">
        <v>25</v>
      </c>
      <c r="H3626" t="s">
        <v>32</v>
      </c>
      <c r="I3626" t="s">
        <v>67</v>
      </c>
      <c r="J3626" t="s">
        <v>103</v>
      </c>
      <c r="K3626">
        <v>1</v>
      </c>
      <c r="L3626" s="2">
        <v>83.06</v>
      </c>
      <c r="M3626" s="3">
        <v>0.3</v>
      </c>
      <c r="N3626" t="s">
        <v>62</v>
      </c>
      <c r="O3626" s="2">
        <v>58.14</v>
      </c>
      <c r="P3626" s="2">
        <v>51.97</v>
      </c>
      <c r="Q3626" s="2">
        <v>6.17</v>
      </c>
      <c r="R3626">
        <v>1</v>
      </c>
      <c r="S3626">
        <v>1</v>
      </c>
      <c r="T3626">
        <v>4</v>
      </c>
      <c r="U3626">
        <v>4</v>
      </c>
    </row>
    <row r="3627" spans="1:21" ht="16.5" x14ac:dyDescent="0.3">
      <c r="A3627" t="s">
        <v>3715</v>
      </c>
      <c r="B3627" s="1">
        <v>45825</v>
      </c>
      <c r="C3627">
        <v>2025</v>
      </c>
      <c r="D3627" t="s">
        <v>599</v>
      </c>
      <c r="E3627" t="s">
        <v>1000</v>
      </c>
      <c r="F3627" t="s">
        <v>24</v>
      </c>
      <c r="G3627" t="s">
        <v>49</v>
      </c>
      <c r="H3627" t="s">
        <v>26</v>
      </c>
      <c r="I3627" t="s">
        <v>27</v>
      </c>
      <c r="J3627" t="s">
        <v>40</v>
      </c>
      <c r="K3627">
        <v>1</v>
      </c>
      <c r="L3627" s="2">
        <v>104.94</v>
      </c>
      <c r="M3627" s="3">
        <v>0.1</v>
      </c>
      <c r="N3627" t="s">
        <v>29</v>
      </c>
      <c r="O3627" s="2">
        <v>94.45</v>
      </c>
      <c r="P3627" s="2">
        <v>57.92</v>
      </c>
      <c r="Q3627" s="2">
        <v>36.53</v>
      </c>
      <c r="R3627">
        <v>1</v>
      </c>
      <c r="S3627">
        <v>0</v>
      </c>
      <c r="T3627">
        <v>6</v>
      </c>
      <c r="U3627">
        <v>3</v>
      </c>
    </row>
    <row r="3628" spans="1:21" ht="16.5" x14ac:dyDescent="0.3">
      <c r="A3628" t="s">
        <v>3716</v>
      </c>
      <c r="B3628" s="1">
        <v>45825</v>
      </c>
      <c r="C3628">
        <v>2025</v>
      </c>
      <c r="D3628" t="s">
        <v>599</v>
      </c>
      <c r="E3628" t="s">
        <v>1000</v>
      </c>
      <c r="F3628" t="s">
        <v>45</v>
      </c>
      <c r="G3628" t="s">
        <v>49</v>
      </c>
      <c r="H3628" t="s">
        <v>32</v>
      </c>
      <c r="I3628" t="s">
        <v>42</v>
      </c>
      <c r="J3628" t="s">
        <v>54</v>
      </c>
      <c r="K3628">
        <v>1</v>
      </c>
      <c r="L3628" s="2">
        <v>148.05000000000001</v>
      </c>
      <c r="M3628" s="3">
        <v>0.25</v>
      </c>
      <c r="N3628" t="s">
        <v>62</v>
      </c>
      <c r="O3628" s="2">
        <v>111.04</v>
      </c>
      <c r="P3628" s="2">
        <v>96.7</v>
      </c>
      <c r="Q3628" s="2">
        <v>14.34</v>
      </c>
      <c r="R3628">
        <v>1</v>
      </c>
      <c r="S3628">
        <v>1</v>
      </c>
      <c r="T3628">
        <v>4</v>
      </c>
      <c r="U3628">
        <v>3</v>
      </c>
    </row>
    <row r="3629" spans="1:21" ht="16.5" x14ac:dyDescent="0.3">
      <c r="A3629" t="s">
        <v>3717</v>
      </c>
      <c r="B3629" s="1">
        <v>45826</v>
      </c>
      <c r="C3629">
        <v>2025</v>
      </c>
      <c r="D3629" t="s">
        <v>599</v>
      </c>
      <c r="E3629" t="s">
        <v>1000</v>
      </c>
      <c r="F3629" t="s">
        <v>31</v>
      </c>
      <c r="G3629" t="s">
        <v>25</v>
      </c>
      <c r="H3629" t="s">
        <v>32</v>
      </c>
      <c r="I3629" t="s">
        <v>27</v>
      </c>
      <c r="J3629" t="s">
        <v>110</v>
      </c>
      <c r="K3629">
        <v>1</v>
      </c>
      <c r="L3629" s="2">
        <v>19.41</v>
      </c>
      <c r="M3629" s="3">
        <v>0</v>
      </c>
      <c r="N3629" t="s">
        <v>38</v>
      </c>
      <c r="O3629" s="2">
        <v>19.41</v>
      </c>
      <c r="P3629" s="2">
        <v>10.99</v>
      </c>
      <c r="Q3629" s="2">
        <v>8.42</v>
      </c>
      <c r="R3629">
        <v>1</v>
      </c>
      <c r="S3629">
        <v>0</v>
      </c>
      <c r="T3629">
        <v>3</v>
      </c>
      <c r="U3629">
        <v>4</v>
      </c>
    </row>
    <row r="3630" spans="1:21" ht="16.5" x14ac:dyDescent="0.3">
      <c r="A3630" t="s">
        <v>3718</v>
      </c>
      <c r="B3630" s="1">
        <v>45826</v>
      </c>
      <c r="C3630">
        <v>2025</v>
      </c>
      <c r="D3630" t="s">
        <v>599</v>
      </c>
      <c r="E3630" t="s">
        <v>1000</v>
      </c>
      <c r="F3630" t="s">
        <v>24</v>
      </c>
      <c r="G3630" t="s">
        <v>51</v>
      </c>
      <c r="H3630" t="s">
        <v>32</v>
      </c>
      <c r="I3630" t="s">
        <v>70</v>
      </c>
      <c r="J3630" t="s">
        <v>82</v>
      </c>
      <c r="K3630">
        <v>1</v>
      </c>
      <c r="L3630" s="2">
        <v>508.8</v>
      </c>
      <c r="M3630" s="3">
        <v>0.1</v>
      </c>
      <c r="N3630" t="s">
        <v>29</v>
      </c>
      <c r="O3630" s="2">
        <v>457.92</v>
      </c>
      <c r="P3630" s="2">
        <v>423.29</v>
      </c>
      <c r="Q3630" s="2">
        <v>34.630000000000003</v>
      </c>
      <c r="R3630">
        <v>1</v>
      </c>
      <c r="S3630">
        <v>0</v>
      </c>
      <c r="T3630">
        <v>4</v>
      </c>
      <c r="U3630">
        <v>4</v>
      </c>
    </row>
    <row r="3631" spans="1:21" ht="16.5" x14ac:dyDescent="0.3">
      <c r="A3631" t="s">
        <v>3719</v>
      </c>
      <c r="B3631" s="1">
        <v>45826</v>
      </c>
      <c r="C3631">
        <v>2025</v>
      </c>
      <c r="D3631" t="s">
        <v>599</v>
      </c>
      <c r="E3631" t="s">
        <v>1000</v>
      </c>
      <c r="F3631" t="s">
        <v>31</v>
      </c>
      <c r="G3631" t="s">
        <v>51</v>
      </c>
      <c r="H3631" t="s">
        <v>26</v>
      </c>
      <c r="I3631" t="s">
        <v>27</v>
      </c>
      <c r="J3631" t="s">
        <v>47</v>
      </c>
      <c r="K3631">
        <v>2</v>
      </c>
      <c r="L3631" s="2">
        <v>33.99</v>
      </c>
      <c r="M3631" s="3">
        <v>0</v>
      </c>
      <c r="N3631" t="s">
        <v>38</v>
      </c>
      <c r="O3631" s="2">
        <v>67.98</v>
      </c>
      <c r="P3631" s="2">
        <v>35.24</v>
      </c>
      <c r="Q3631" s="2">
        <v>32.74</v>
      </c>
      <c r="R3631">
        <v>1</v>
      </c>
      <c r="S3631">
        <v>0</v>
      </c>
      <c r="T3631">
        <v>3</v>
      </c>
      <c r="U3631">
        <v>5</v>
      </c>
    </row>
    <row r="3632" spans="1:21" ht="16.5" x14ac:dyDescent="0.3">
      <c r="A3632" t="s">
        <v>3720</v>
      </c>
      <c r="B3632" s="1">
        <v>45826</v>
      </c>
      <c r="C3632">
        <v>2025</v>
      </c>
      <c r="D3632" t="s">
        <v>599</v>
      </c>
      <c r="E3632" t="s">
        <v>1000</v>
      </c>
      <c r="F3632" t="s">
        <v>24</v>
      </c>
      <c r="G3632" t="s">
        <v>49</v>
      </c>
      <c r="H3632" t="s">
        <v>32</v>
      </c>
      <c r="I3632" t="s">
        <v>42</v>
      </c>
      <c r="J3632" t="s">
        <v>98</v>
      </c>
      <c r="K3632">
        <v>1</v>
      </c>
      <c r="L3632" s="2">
        <v>117.63</v>
      </c>
      <c r="M3632" s="3">
        <v>0.05</v>
      </c>
      <c r="N3632" t="s">
        <v>29</v>
      </c>
      <c r="O3632" s="2">
        <v>111.75</v>
      </c>
      <c r="P3632" s="2">
        <v>76.69</v>
      </c>
      <c r="Q3632" s="2">
        <v>35.06</v>
      </c>
      <c r="R3632">
        <v>1</v>
      </c>
      <c r="S3632">
        <v>0</v>
      </c>
      <c r="T3632">
        <v>4</v>
      </c>
      <c r="U3632">
        <v>4</v>
      </c>
    </row>
    <row r="3633" spans="1:21" ht="16.5" x14ac:dyDescent="0.3">
      <c r="A3633" t="s">
        <v>3721</v>
      </c>
      <c r="B3633" s="1">
        <v>45826</v>
      </c>
      <c r="C3633">
        <v>2025</v>
      </c>
      <c r="D3633" t="s">
        <v>599</v>
      </c>
      <c r="E3633" t="s">
        <v>1000</v>
      </c>
      <c r="F3633" t="s">
        <v>24</v>
      </c>
      <c r="G3633" t="s">
        <v>51</v>
      </c>
      <c r="H3633" t="s">
        <v>32</v>
      </c>
      <c r="I3633" t="s">
        <v>67</v>
      </c>
      <c r="J3633" t="s">
        <v>174</v>
      </c>
      <c r="K3633">
        <v>1</v>
      </c>
      <c r="L3633" s="2">
        <v>137.05000000000001</v>
      </c>
      <c r="M3633" s="3">
        <v>0.15</v>
      </c>
      <c r="N3633" t="s">
        <v>34</v>
      </c>
      <c r="O3633" s="2">
        <v>116.49</v>
      </c>
      <c r="P3633" s="2">
        <v>88.25</v>
      </c>
      <c r="Q3633" s="2">
        <v>28.24</v>
      </c>
      <c r="R3633">
        <v>1</v>
      </c>
      <c r="S3633">
        <v>1</v>
      </c>
      <c r="T3633">
        <v>5</v>
      </c>
      <c r="U3633">
        <v>3</v>
      </c>
    </row>
    <row r="3634" spans="1:21" ht="16.5" x14ac:dyDescent="0.3">
      <c r="A3634" t="s">
        <v>3722</v>
      </c>
      <c r="B3634" s="1">
        <v>45826</v>
      </c>
      <c r="C3634">
        <v>2025</v>
      </c>
      <c r="D3634" t="s">
        <v>599</v>
      </c>
      <c r="E3634" t="s">
        <v>1000</v>
      </c>
      <c r="F3634" t="s">
        <v>24</v>
      </c>
      <c r="G3634" t="s">
        <v>25</v>
      </c>
      <c r="H3634" t="s">
        <v>26</v>
      </c>
      <c r="I3634" t="s">
        <v>36</v>
      </c>
      <c r="J3634" t="s">
        <v>52</v>
      </c>
      <c r="K3634">
        <v>1</v>
      </c>
      <c r="L3634" s="2">
        <v>92.54</v>
      </c>
      <c r="M3634" s="3">
        <v>0</v>
      </c>
      <c r="N3634" t="s">
        <v>38</v>
      </c>
      <c r="O3634" s="2">
        <v>92.54</v>
      </c>
      <c r="P3634" s="2">
        <v>45.07</v>
      </c>
      <c r="Q3634" s="2">
        <v>47.47</v>
      </c>
      <c r="R3634">
        <v>1</v>
      </c>
      <c r="S3634">
        <v>0</v>
      </c>
      <c r="T3634">
        <v>4</v>
      </c>
      <c r="U3634">
        <v>3</v>
      </c>
    </row>
    <row r="3635" spans="1:21" ht="16.5" x14ac:dyDescent="0.3">
      <c r="A3635" t="s">
        <v>3723</v>
      </c>
      <c r="B3635" s="1">
        <v>45826</v>
      </c>
      <c r="C3635">
        <v>2025</v>
      </c>
      <c r="D3635" t="s">
        <v>599</v>
      </c>
      <c r="E3635" t="s">
        <v>1000</v>
      </c>
      <c r="F3635" t="s">
        <v>24</v>
      </c>
      <c r="G3635" t="s">
        <v>46</v>
      </c>
      <c r="H3635" t="s">
        <v>26</v>
      </c>
      <c r="I3635" t="s">
        <v>70</v>
      </c>
      <c r="J3635" t="s">
        <v>252</v>
      </c>
      <c r="K3635">
        <v>3</v>
      </c>
      <c r="L3635" s="2">
        <v>216.08</v>
      </c>
      <c r="M3635" s="3">
        <v>0.05</v>
      </c>
      <c r="N3635" t="s">
        <v>29</v>
      </c>
      <c r="O3635" s="2">
        <v>615.83000000000004</v>
      </c>
      <c r="P3635" s="2">
        <v>511.45</v>
      </c>
      <c r="Q3635" s="2">
        <v>104.38</v>
      </c>
      <c r="R3635">
        <v>1</v>
      </c>
      <c r="S3635">
        <v>0</v>
      </c>
      <c r="T3635">
        <v>6</v>
      </c>
      <c r="U3635">
        <v>4</v>
      </c>
    </row>
    <row r="3636" spans="1:21" ht="16.5" x14ac:dyDescent="0.3">
      <c r="A3636" t="s">
        <v>3724</v>
      </c>
      <c r="B3636" s="1">
        <v>45826</v>
      </c>
      <c r="C3636">
        <v>2025</v>
      </c>
      <c r="D3636" t="s">
        <v>599</v>
      </c>
      <c r="E3636" t="s">
        <v>1000</v>
      </c>
      <c r="F3636" t="s">
        <v>31</v>
      </c>
      <c r="G3636" t="s">
        <v>51</v>
      </c>
      <c r="H3636" t="s">
        <v>32</v>
      </c>
      <c r="I3636" t="s">
        <v>84</v>
      </c>
      <c r="J3636" t="s">
        <v>106</v>
      </c>
      <c r="K3636">
        <v>4</v>
      </c>
      <c r="L3636" s="2">
        <v>45.28</v>
      </c>
      <c r="M3636" s="3">
        <v>0.15</v>
      </c>
      <c r="N3636" t="s">
        <v>34</v>
      </c>
      <c r="O3636" s="2">
        <v>153.94999999999999</v>
      </c>
      <c r="P3636" s="2">
        <v>133.69999999999999</v>
      </c>
      <c r="Q3636" s="2">
        <v>20.25</v>
      </c>
      <c r="R3636">
        <v>1</v>
      </c>
      <c r="S3636">
        <v>0</v>
      </c>
      <c r="T3636">
        <v>3</v>
      </c>
      <c r="U3636">
        <v>4</v>
      </c>
    </row>
    <row r="3637" spans="1:21" ht="16.5" x14ac:dyDescent="0.3">
      <c r="A3637" t="s">
        <v>3725</v>
      </c>
      <c r="B3637" s="1">
        <v>45827</v>
      </c>
      <c r="C3637">
        <v>2025</v>
      </c>
      <c r="D3637" t="s">
        <v>599</v>
      </c>
      <c r="E3637" t="s">
        <v>1000</v>
      </c>
      <c r="F3637" t="s">
        <v>24</v>
      </c>
      <c r="G3637" t="s">
        <v>49</v>
      </c>
      <c r="H3637" t="s">
        <v>26</v>
      </c>
      <c r="I3637" t="s">
        <v>27</v>
      </c>
      <c r="J3637" t="s">
        <v>47</v>
      </c>
      <c r="K3637">
        <v>1</v>
      </c>
      <c r="L3637" s="2">
        <v>33.99</v>
      </c>
      <c r="M3637" s="3">
        <v>0</v>
      </c>
      <c r="N3637" t="s">
        <v>38</v>
      </c>
      <c r="O3637" s="2">
        <v>33.99</v>
      </c>
      <c r="P3637" s="2">
        <v>18.13</v>
      </c>
      <c r="Q3637" s="2">
        <v>15.86</v>
      </c>
      <c r="R3637">
        <v>1</v>
      </c>
      <c r="S3637">
        <v>0</v>
      </c>
      <c r="T3637">
        <v>4</v>
      </c>
      <c r="U3637">
        <v>3</v>
      </c>
    </row>
    <row r="3638" spans="1:21" ht="16.5" x14ac:dyDescent="0.3">
      <c r="A3638" t="s">
        <v>3726</v>
      </c>
      <c r="B3638" s="1">
        <v>45827</v>
      </c>
      <c r="C3638">
        <v>2025</v>
      </c>
      <c r="D3638" t="s">
        <v>599</v>
      </c>
      <c r="E3638" t="s">
        <v>1000</v>
      </c>
      <c r="F3638" t="s">
        <v>31</v>
      </c>
      <c r="G3638" t="s">
        <v>49</v>
      </c>
      <c r="H3638" t="s">
        <v>32</v>
      </c>
      <c r="I3638" t="s">
        <v>42</v>
      </c>
      <c r="J3638" t="s">
        <v>89</v>
      </c>
      <c r="K3638">
        <v>2</v>
      </c>
      <c r="L3638" s="2">
        <v>68.349999999999994</v>
      </c>
      <c r="M3638" s="3">
        <v>0.25</v>
      </c>
      <c r="N3638" t="s">
        <v>62</v>
      </c>
      <c r="O3638" s="2">
        <v>102.52</v>
      </c>
      <c r="P3638" s="2">
        <v>85.78</v>
      </c>
      <c r="Q3638" s="2">
        <v>16.739999999999998</v>
      </c>
      <c r="R3638">
        <v>1</v>
      </c>
      <c r="S3638">
        <v>0</v>
      </c>
      <c r="T3638">
        <v>4</v>
      </c>
      <c r="U3638">
        <v>5</v>
      </c>
    </row>
    <row r="3639" spans="1:21" ht="16.5" x14ac:dyDescent="0.3">
      <c r="A3639" t="s">
        <v>3727</v>
      </c>
      <c r="B3639" s="1">
        <v>45827</v>
      </c>
      <c r="C3639">
        <v>2025</v>
      </c>
      <c r="D3639" t="s">
        <v>599</v>
      </c>
      <c r="E3639" t="s">
        <v>1000</v>
      </c>
      <c r="F3639" t="s">
        <v>31</v>
      </c>
      <c r="G3639" t="s">
        <v>49</v>
      </c>
      <c r="H3639" t="s">
        <v>26</v>
      </c>
      <c r="I3639" t="s">
        <v>27</v>
      </c>
      <c r="J3639" t="s">
        <v>47</v>
      </c>
      <c r="K3639">
        <v>2</v>
      </c>
      <c r="L3639" s="2">
        <v>33.99</v>
      </c>
      <c r="M3639" s="3">
        <v>0.3</v>
      </c>
      <c r="N3639" t="s">
        <v>62</v>
      </c>
      <c r="O3639" s="2">
        <v>47.59</v>
      </c>
      <c r="P3639" s="2">
        <v>37.229999999999997</v>
      </c>
      <c r="Q3639" s="2">
        <v>10.36</v>
      </c>
      <c r="R3639">
        <v>1</v>
      </c>
      <c r="S3639">
        <v>0</v>
      </c>
      <c r="T3639">
        <v>3</v>
      </c>
      <c r="U3639">
        <v>4</v>
      </c>
    </row>
    <row r="3640" spans="1:21" ht="16.5" x14ac:dyDescent="0.3">
      <c r="A3640" t="s">
        <v>3728</v>
      </c>
      <c r="B3640" s="1">
        <v>45827</v>
      </c>
      <c r="C3640">
        <v>2025</v>
      </c>
      <c r="D3640" t="s">
        <v>599</v>
      </c>
      <c r="E3640" t="s">
        <v>1000</v>
      </c>
      <c r="F3640" t="s">
        <v>45</v>
      </c>
      <c r="G3640" t="s">
        <v>51</v>
      </c>
      <c r="H3640" t="s">
        <v>26</v>
      </c>
      <c r="I3640" t="s">
        <v>70</v>
      </c>
      <c r="J3640" t="s">
        <v>82</v>
      </c>
      <c r="K3640">
        <v>1</v>
      </c>
      <c r="L3640" s="2">
        <v>508.8</v>
      </c>
      <c r="M3640" s="3">
        <v>0</v>
      </c>
      <c r="N3640" t="s">
        <v>38</v>
      </c>
      <c r="O3640" s="2">
        <v>508.8</v>
      </c>
      <c r="P3640" s="2">
        <v>401.45</v>
      </c>
      <c r="Q3640" s="2">
        <v>107.35</v>
      </c>
      <c r="R3640">
        <v>1</v>
      </c>
      <c r="S3640">
        <v>0</v>
      </c>
      <c r="T3640">
        <v>3</v>
      </c>
      <c r="U3640">
        <v>5</v>
      </c>
    </row>
    <row r="3641" spans="1:21" ht="16.5" x14ac:dyDescent="0.3">
      <c r="A3641" t="s">
        <v>3729</v>
      </c>
      <c r="B3641" s="1">
        <v>45827</v>
      </c>
      <c r="C3641">
        <v>2025</v>
      </c>
      <c r="D3641" t="s">
        <v>599</v>
      </c>
      <c r="E3641" t="s">
        <v>1000</v>
      </c>
      <c r="F3641" t="s">
        <v>24</v>
      </c>
      <c r="G3641" t="s">
        <v>25</v>
      </c>
      <c r="H3641" t="s">
        <v>32</v>
      </c>
      <c r="I3641" t="s">
        <v>42</v>
      </c>
      <c r="J3641" t="s">
        <v>54</v>
      </c>
      <c r="K3641">
        <v>3</v>
      </c>
      <c r="L3641" s="2">
        <v>148.05000000000001</v>
      </c>
      <c r="M3641" s="3">
        <v>0.15</v>
      </c>
      <c r="N3641" t="s">
        <v>34</v>
      </c>
      <c r="O3641" s="2">
        <v>377.53</v>
      </c>
      <c r="P3641" s="2">
        <v>299.23</v>
      </c>
      <c r="Q3641" s="2">
        <v>78.3</v>
      </c>
      <c r="R3641">
        <v>1</v>
      </c>
      <c r="S3641">
        <v>0</v>
      </c>
      <c r="T3641">
        <v>4</v>
      </c>
      <c r="U3641">
        <v>5</v>
      </c>
    </row>
    <row r="3642" spans="1:21" ht="16.5" x14ac:dyDescent="0.3">
      <c r="A3642" t="s">
        <v>3730</v>
      </c>
      <c r="B3642" s="1">
        <v>45828</v>
      </c>
      <c r="C3642">
        <v>2025</v>
      </c>
      <c r="D3642" t="s">
        <v>599</v>
      </c>
      <c r="E3642" t="s">
        <v>1000</v>
      </c>
      <c r="F3642" t="s">
        <v>24</v>
      </c>
      <c r="G3642" t="s">
        <v>25</v>
      </c>
      <c r="H3642" t="s">
        <v>32</v>
      </c>
      <c r="I3642" t="s">
        <v>84</v>
      </c>
      <c r="J3642" t="s">
        <v>96</v>
      </c>
      <c r="K3642">
        <v>1</v>
      </c>
      <c r="L3642" s="2">
        <v>10.76</v>
      </c>
      <c r="M3642" s="3">
        <v>0.2</v>
      </c>
      <c r="N3642" t="s">
        <v>34</v>
      </c>
      <c r="O3642" s="2">
        <v>8.61</v>
      </c>
      <c r="P3642" s="2">
        <v>7.66</v>
      </c>
      <c r="Q3642" s="2">
        <v>0.95</v>
      </c>
      <c r="R3642">
        <v>1</v>
      </c>
      <c r="S3642">
        <v>0</v>
      </c>
      <c r="T3642">
        <v>5</v>
      </c>
      <c r="U3642">
        <v>4</v>
      </c>
    </row>
    <row r="3643" spans="1:21" ht="16.5" x14ac:dyDescent="0.3">
      <c r="A3643" t="s">
        <v>3731</v>
      </c>
      <c r="B3643" s="1">
        <v>45828</v>
      </c>
      <c r="C3643">
        <v>2025</v>
      </c>
      <c r="D3643" t="s">
        <v>599</v>
      </c>
      <c r="E3643" t="s">
        <v>1000</v>
      </c>
      <c r="F3643" t="s">
        <v>31</v>
      </c>
      <c r="G3643" t="s">
        <v>51</v>
      </c>
      <c r="H3643" t="s">
        <v>32</v>
      </c>
      <c r="I3643" t="s">
        <v>36</v>
      </c>
      <c r="J3643" t="s">
        <v>52</v>
      </c>
      <c r="K3643">
        <v>1</v>
      </c>
      <c r="L3643" s="2">
        <v>92.54</v>
      </c>
      <c r="M3643" s="3">
        <v>0.15</v>
      </c>
      <c r="N3643" t="s">
        <v>34</v>
      </c>
      <c r="O3643" s="2">
        <v>78.66</v>
      </c>
      <c r="P3643" s="2">
        <v>43.58</v>
      </c>
      <c r="Q3643" s="2">
        <v>35.08</v>
      </c>
      <c r="R3643">
        <v>1</v>
      </c>
      <c r="S3643">
        <v>0</v>
      </c>
      <c r="T3643">
        <v>2</v>
      </c>
      <c r="U3643">
        <v>4</v>
      </c>
    </row>
    <row r="3644" spans="1:21" ht="16.5" x14ac:dyDescent="0.3">
      <c r="A3644" t="s">
        <v>3732</v>
      </c>
      <c r="B3644" s="1">
        <v>45828</v>
      </c>
      <c r="C3644">
        <v>2025</v>
      </c>
      <c r="D3644" t="s">
        <v>599</v>
      </c>
      <c r="E3644" t="s">
        <v>1000</v>
      </c>
      <c r="F3644" t="s">
        <v>24</v>
      </c>
      <c r="G3644" t="s">
        <v>51</v>
      </c>
      <c r="H3644" t="s">
        <v>26</v>
      </c>
      <c r="I3644" t="s">
        <v>42</v>
      </c>
      <c r="J3644" t="s">
        <v>76</v>
      </c>
      <c r="K3644">
        <v>2</v>
      </c>
      <c r="L3644" s="2">
        <v>90.75</v>
      </c>
      <c r="M3644" s="3">
        <v>0</v>
      </c>
      <c r="N3644" t="s">
        <v>38</v>
      </c>
      <c r="O3644" s="2">
        <v>181.5</v>
      </c>
      <c r="P3644" s="2">
        <v>119.65</v>
      </c>
      <c r="Q3644" s="2">
        <v>61.85</v>
      </c>
      <c r="R3644">
        <v>1</v>
      </c>
      <c r="S3644">
        <v>0</v>
      </c>
      <c r="T3644">
        <v>4</v>
      </c>
      <c r="U3644">
        <v>5</v>
      </c>
    </row>
    <row r="3645" spans="1:21" ht="16.5" x14ac:dyDescent="0.3">
      <c r="A3645" t="s">
        <v>3733</v>
      </c>
      <c r="B3645" s="1">
        <v>45828</v>
      </c>
      <c r="C3645">
        <v>2025</v>
      </c>
      <c r="D3645" t="s">
        <v>599</v>
      </c>
      <c r="E3645" t="s">
        <v>1000</v>
      </c>
      <c r="F3645" t="s">
        <v>45</v>
      </c>
      <c r="G3645" t="s">
        <v>51</v>
      </c>
      <c r="H3645" t="s">
        <v>26</v>
      </c>
      <c r="I3645" t="s">
        <v>70</v>
      </c>
      <c r="J3645" t="s">
        <v>252</v>
      </c>
      <c r="K3645">
        <v>2</v>
      </c>
      <c r="L3645" s="2">
        <v>216.08</v>
      </c>
      <c r="M3645" s="3">
        <v>0</v>
      </c>
      <c r="N3645" t="s">
        <v>38</v>
      </c>
      <c r="O3645" s="2">
        <v>432.16</v>
      </c>
      <c r="P3645" s="2">
        <v>379.03</v>
      </c>
      <c r="Q3645" s="2">
        <v>53.13</v>
      </c>
      <c r="R3645">
        <v>1</v>
      </c>
      <c r="S3645">
        <v>0</v>
      </c>
      <c r="T3645">
        <v>2</v>
      </c>
      <c r="U3645">
        <v>4</v>
      </c>
    </row>
    <row r="3646" spans="1:21" ht="16.5" x14ac:dyDescent="0.3">
      <c r="A3646" t="s">
        <v>3734</v>
      </c>
      <c r="B3646" s="1">
        <v>45828</v>
      </c>
      <c r="C3646">
        <v>2025</v>
      </c>
      <c r="D3646" t="s">
        <v>599</v>
      </c>
      <c r="E3646" t="s">
        <v>1000</v>
      </c>
      <c r="F3646" t="s">
        <v>45</v>
      </c>
      <c r="G3646" t="s">
        <v>51</v>
      </c>
      <c r="H3646" t="s">
        <v>26</v>
      </c>
      <c r="I3646" t="s">
        <v>42</v>
      </c>
      <c r="J3646" t="s">
        <v>98</v>
      </c>
      <c r="K3646">
        <v>2</v>
      </c>
      <c r="L3646" s="2">
        <v>117.63</v>
      </c>
      <c r="M3646" s="3">
        <v>0.2</v>
      </c>
      <c r="N3646" t="s">
        <v>34</v>
      </c>
      <c r="O3646" s="2">
        <v>188.21</v>
      </c>
      <c r="P3646" s="2">
        <v>151.02000000000001</v>
      </c>
      <c r="Q3646" s="2">
        <v>37.19</v>
      </c>
      <c r="R3646">
        <v>1</v>
      </c>
      <c r="S3646">
        <v>0</v>
      </c>
      <c r="T3646">
        <v>2</v>
      </c>
      <c r="U3646">
        <v>5</v>
      </c>
    </row>
    <row r="3647" spans="1:21" ht="16.5" x14ac:dyDescent="0.3">
      <c r="A3647" t="s">
        <v>3735</v>
      </c>
      <c r="B3647" s="1">
        <v>45828</v>
      </c>
      <c r="C3647">
        <v>2025</v>
      </c>
      <c r="D3647" t="s">
        <v>599</v>
      </c>
      <c r="E3647" t="s">
        <v>1000</v>
      </c>
      <c r="F3647" t="s">
        <v>31</v>
      </c>
      <c r="G3647" t="s">
        <v>51</v>
      </c>
      <c r="H3647" t="s">
        <v>32</v>
      </c>
      <c r="I3647" t="s">
        <v>70</v>
      </c>
      <c r="J3647" t="s">
        <v>129</v>
      </c>
      <c r="K3647">
        <v>2</v>
      </c>
      <c r="L3647" s="2">
        <v>177.65</v>
      </c>
      <c r="M3647" s="3">
        <v>0.1</v>
      </c>
      <c r="N3647" t="s">
        <v>29</v>
      </c>
      <c r="O3647" s="2">
        <v>319.77</v>
      </c>
      <c r="P3647" s="2">
        <v>277.99</v>
      </c>
      <c r="Q3647" s="2">
        <v>41.78</v>
      </c>
      <c r="R3647">
        <v>1</v>
      </c>
      <c r="S3647">
        <v>0</v>
      </c>
      <c r="T3647">
        <v>2</v>
      </c>
      <c r="U3647">
        <v>4</v>
      </c>
    </row>
    <row r="3648" spans="1:21" ht="16.5" x14ac:dyDescent="0.3">
      <c r="A3648" t="s">
        <v>3736</v>
      </c>
      <c r="B3648" s="1">
        <v>45829</v>
      </c>
      <c r="C3648">
        <v>2025</v>
      </c>
      <c r="D3648" t="s">
        <v>599</v>
      </c>
      <c r="E3648" t="s">
        <v>1000</v>
      </c>
      <c r="F3648" t="s">
        <v>24</v>
      </c>
      <c r="G3648" t="s">
        <v>49</v>
      </c>
      <c r="H3648" t="s">
        <v>26</v>
      </c>
      <c r="I3648" t="s">
        <v>67</v>
      </c>
      <c r="J3648" t="s">
        <v>78</v>
      </c>
      <c r="K3648">
        <v>1</v>
      </c>
      <c r="L3648" s="2">
        <v>85.42</v>
      </c>
      <c r="M3648" s="3">
        <v>0</v>
      </c>
      <c r="N3648" t="s">
        <v>38</v>
      </c>
      <c r="O3648" s="2">
        <v>85.42</v>
      </c>
      <c r="P3648" s="2">
        <v>56.66</v>
      </c>
      <c r="Q3648" s="2">
        <v>28.76</v>
      </c>
      <c r="R3648">
        <v>1</v>
      </c>
      <c r="S3648">
        <v>0</v>
      </c>
      <c r="T3648">
        <v>4</v>
      </c>
      <c r="U3648">
        <v>4</v>
      </c>
    </row>
    <row r="3649" spans="1:21" ht="16.5" x14ac:dyDescent="0.3">
      <c r="A3649" t="s">
        <v>3737</v>
      </c>
      <c r="B3649" s="1">
        <v>45829</v>
      </c>
      <c r="C3649">
        <v>2025</v>
      </c>
      <c r="D3649" t="s">
        <v>599</v>
      </c>
      <c r="E3649" t="s">
        <v>1000</v>
      </c>
      <c r="F3649" t="s">
        <v>45</v>
      </c>
      <c r="G3649" t="s">
        <v>46</v>
      </c>
      <c r="H3649" t="s">
        <v>26</v>
      </c>
      <c r="I3649" t="s">
        <v>27</v>
      </c>
      <c r="J3649" t="s">
        <v>40</v>
      </c>
      <c r="K3649">
        <v>1</v>
      </c>
      <c r="L3649" s="2">
        <v>104.94</v>
      </c>
      <c r="M3649" s="3">
        <v>0.15</v>
      </c>
      <c r="N3649" t="s">
        <v>34</v>
      </c>
      <c r="O3649" s="2">
        <v>89.2</v>
      </c>
      <c r="P3649" s="2">
        <v>55.59</v>
      </c>
      <c r="Q3649" s="2">
        <v>33.61</v>
      </c>
      <c r="R3649">
        <v>1</v>
      </c>
      <c r="S3649">
        <v>0</v>
      </c>
      <c r="T3649">
        <v>6</v>
      </c>
      <c r="U3649">
        <v>3</v>
      </c>
    </row>
    <row r="3650" spans="1:21" ht="16.5" x14ac:dyDescent="0.3">
      <c r="A3650" t="s">
        <v>3738</v>
      </c>
      <c r="B3650" s="1">
        <v>45829</v>
      </c>
      <c r="C3650">
        <v>2025</v>
      </c>
      <c r="D3650" t="s">
        <v>599</v>
      </c>
      <c r="E3650" t="s">
        <v>1000</v>
      </c>
      <c r="F3650" t="s">
        <v>24</v>
      </c>
      <c r="G3650" t="s">
        <v>25</v>
      </c>
      <c r="H3650" t="s">
        <v>32</v>
      </c>
      <c r="I3650" t="s">
        <v>27</v>
      </c>
      <c r="J3650" t="s">
        <v>40</v>
      </c>
      <c r="K3650">
        <v>3</v>
      </c>
      <c r="L3650" s="2">
        <v>104.94</v>
      </c>
      <c r="M3650" s="3">
        <v>0.05</v>
      </c>
      <c r="N3650" t="s">
        <v>29</v>
      </c>
      <c r="O3650" s="2">
        <v>299.08</v>
      </c>
      <c r="P3650" s="2">
        <v>170.79</v>
      </c>
      <c r="Q3650" s="2">
        <v>128.29</v>
      </c>
      <c r="R3650">
        <v>1</v>
      </c>
      <c r="S3650">
        <v>0</v>
      </c>
      <c r="T3650">
        <v>5</v>
      </c>
      <c r="U3650">
        <v>4</v>
      </c>
    </row>
    <row r="3651" spans="1:21" ht="16.5" x14ac:dyDescent="0.3">
      <c r="A3651" t="s">
        <v>3739</v>
      </c>
      <c r="B3651" s="1">
        <v>45829</v>
      </c>
      <c r="C3651">
        <v>2025</v>
      </c>
      <c r="D3651" t="s">
        <v>599</v>
      </c>
      <c r="E3651" t="s">
        <v>1000</v>
      </c>
      <c r="F3651" t="s">
        <v>24</v>
      </c>
      <c r="G3651" t="s">
        <v>49</v>
      </c>
      <c r="H3651" t="s">
        <v>32</v>
      </c>
      <c r="I3651" t="s">
        <v>27</v>
      </c>
      <c r="J3651" t="s">
        <v>28</v>
      </c>
      <c r="K3651">
        <v>1</v>
      </c>
      <c r="L3651" s="2">
        <v>138.5</v>
      </c>
      <c r="M3651" s="3">
        <v>0</v>
      </c>
      <c r="N3651" t="s">
        <v>38</v>
      </c>
      <c r="O3651" s="2">
        <v>138.5</v>
      </c>
      <c r="P3651" s="2">
        <v>74.459999999999994</v>
      </c>
      <c r="Q3651" s="2">
        <v>64.040000000000006</v>
      </c>
      <c r="R3651">
        <v>1</v>
      </c>
      <c r="S3651">
        <v>0</v>
      </c>
      <c r="T3651">
        <v>5</v>
      </c>
      <c r="U3651">
        <v>5</v>
      </c>
    </row>
    <row r="3652" spans="1:21" ht="16.5" x14ac:dyDescent="0.3">
      <c r="A3652" t="s">
        <v>3740</v>
      </c>
      <c r="B3652" s="1">
        <v>45829</v>
      </c>
      <c r="C3652">
        <v>2025</v>
      </c>
      <c r="D3652" t="s">
        <v>599</v>
      </c>
      <c r="E3652" t="s">
        <v>1000</v>
      </c>
      <c r="F3652" t="s">
        <v>24</v>
      </c>
      <c r="G3652" t="s">
        <v>25</v>
      </c>
      <c r="H3652" t="s">
        <v>32</v>
      </c>
      <c r="I3652" t="s">
        <v>70</v>
      </c>
      <c r="J3652" t="s">
        <v>162</v>
      </c>
      <c r="K3652">
        <v>2</v>
      </c>
      <c r="L3652" s="2">
        <v>636.09</v>
      </c>
      <c r="M3652" s="3">
        <v>0</v>
      </c>
      <c r="N3652" t="s">
        <v>38</v>
      </c>
      <c r="O3652" s="2">
        <v>1272.18</v>
      </c>
      <c r="P3652" s="2">
        <v>1041.07</v>
      </c>
      <c r="Q3652" s="2">
        <v>231.11</v>
      </c>
      <c r="R3652">
        <v>1</v>
      </c>
      <c r="S3652">
        <v>0</v>
      </c>
      <c r="T3652">
        <v>3</v>
      </c>
      <c r="U3652">
        <v>5</v>
      </c>
    </row>
    <row r="3653" spans="1:21" ht="16.5" x14ac:dyDescent="0.3">
      <c r="A3653" t="s">
        <v>3741</v>
      </c>
      <c r="B3653" s="1">
        <v>45829</v>
      </c>
      <c r="C3653">
        <v>2025</v>
      </c>
      <c r="D3653" t="s">
        <v>599</v>
      </c>
      <c r="E3653" t="s">
        <v>1000</v>
      </c>
      <c r="F3653" t="s">
        <v>31</v>
      </c>
      <c r="G3653" t="s">
        <v>65</v>
      </c>
      <c r="H3653" t="s">
        <v>32</v>
      </c>
      <c r="I3653" t="s">
        <v>42</v>
      </c>
      <c r="J3653" t="s">
        <v>43</v>
      </c>
      <c r="K3653">
        <v>1</v>
      </c>
      <c r="L3653" s="2">
        <v>154.66</v>
      </c>
      <c r="M3653" s="3">
        <v>0.2</v>
      </c>
      <c r="N3653" t="s">
        <v>34</v>
      </c>
      <c r="O3653" s="2">
        <v>123.73</v>
      </c>
      <c r="P3653" s="2">
        <v>97.15</v>
      </c>
      <c r="Q3653" s="2">
        <v>26.58</v>
      </c>
      <c r="R3653">
        <v>1</v>
      </c>
      <c r="S3653">
        <v>0</v>
      </c>
      <c r="T3653">
        <v>8</v>
      </c>
      <c r="U3653">
        <v>3</v>
      </c>
    </row>
    <row r="3654" spans="1:21" ht="16.5" x14ac:dyDescent="0.3">
      <c r="A3654" t="s">
        <v>3742</v>
      </c>
      <c r="B3654" s="1">
        <v>45829</v>
      </c>
      <c r="C3654">
        <v>2025</v>
      </c>
      <c r="D3654" t="s">
        <v>599</v>
      </c>
      <c r="E3654" t="s">
        <v>1000</v>
      </c>
      <c r="F3654" t="s">
        <v>45</v>
      </c>
      <c r="G3654" t="s">
        <v>46</v>
      </c>
      <c r="H3654" t="s">
        <v>32</v>
      </c>
      <c r="I3654" t="s">
        <v>70</v>
      </c>
      <c r="J3654" t="s">
        <v>87</v>
      </c>
      <c r="K3654">
        <v>4</v>
      </c>
      <c r="L3654" s="2">
        <v>490.3</v>
      </c>
      <c r="M3654" s="3">
        <v>0.3</v>
      </c>
      <c r="N3654" t="s">
        <v>62</v>
      </c>
      <c r="O3654" s="2">
        <v>1372.84</v>
      </c>
      <c r="P3654" s="2">
        <v>1556.44</v>
      </c>
      <c r="Q3654" s="2">
        <v>-183.6</v>
      </c>
      <c r="R3654">
        <v>1</v>
      </c>
      <c r="S3654">
        <v>1</v>
      </c>
      <c r="T3654">
        <v>6</v>
      </c>
      <c r="U3654">
        <v>2</v>
      </c>
    </row>
    <row r="3655" spans="1:21" ht="16.5" x14ac:dyDescent="0.3">
      <c r="A3655" t="s">
        <v>3743</v>
      </c>
      <c r="B3655" s="1">
        <v>45829</v>
      </c>
      <c r="C3655">
        <v>2025</v>
      </c>
      <c r="D3655" t="s">
        <v>599</v>
      </c>
      <c r="E3655" t="s">
        <v>1000</v>
      </c>
      <c r="F3655" t="s">
        <v>31</v>
      </c>
      <c r="G3655" t="s">
        <v>46</v>
      </c>
      <c r="H3655" t="s">
        <v>26</v>
      </c>
      <c r="I3655" t="s">
        <v>42</v>
      </c>
      <c r="J3655" t="s">
        <v>54</v>
      </c>
      <c r="K3655">
        <v>1</v>
      </c>
      <c r="L3655" s="2">
        <v>148.05000000000001</v>
      </c>
      <c r="M3655" s="3">
        <v>0.1</v>
      </c>
      <c r="N3655" t="s">
        <v>29</v>
      </c>
      <c r="O3655" s="2">
        <v>133.24</v>
      </c>
      <c r="P3655" s="2">
        <v>97.23</v>
      </c>
      <c r="Q3655" s="2">
        <v>36.01</v>
      </c>
      <c r="R3655">
        <v>1</v>
      </c>
      <c r="S3655">
        <v>0</v>
      </c>
      <c r="T3655">
        <v>7</v>
      </c>
      <c r="U3655">
        <v>4</v>
      </c>
    </row>
    <row r="3656" spans="1:21" ht="16.5" x14ac:dyDescent="0.3">
      <c r="A3656" t="s">
        <v>3744</v>
      </c>
      <c r="B3656" s="1">
        <v>45829</v>
      </c>
      <c r="C3656">
        <v>2025</v>
      </c>
      <c r="D3656" t="s">
        <v>599</v>
      </c>
      <c r="E3656" t="s">
        <v>1000</v>
      </c>
      <c r="F3656" t="s">
        <v>31</v>
      </c>
      <c r="G3656" t="s">
        <v>51</v>
      </c>
      <c r="H3656" t="s">
        <v>32</v>
      </c>
      <c r="I3656" t="s">
        <v>42</v>
      </c>
      <c r="J3656" t="s">
        <v>98</v>
      </c>
      <c r="K3656">
        <v>2</v>
      </c>
      <c r="L3656" s="2">
        <v>117.63</v>
      </c>
      <c r="M3656" s="3">
        <v>0.05</v>
      </c>
      <c r="N3656" t="s">
        <v>29</v>
      </c>
      <c r="O3656" s="2">
        <v>223.5</v>
      </c>
      <c r="P3656" s="2">
        <v>151.46</v>
      </c>
      <c r="Q3656" s="2">
        <v>72.040000000000006</v>
      </c>
      <c r="R3656">
        <v>1</v>
      </c>
      <c r="S3656">
        <v>0</v>
      </c>
      <c r="T3656">
        <v>3</v>
      </c>
      <c r="U3656">
        <v>4</v>
      </c>
    </row>
    <row r="3657" spans="1:21" ht="16.5" x14ac:dyDescent="0.3">
      <c r="A3657" t="s">
        <v>3745</v>
      </c>
      <c r="B3657" s="1">
        <v>45829</v>
      </c>
      <c r="C3657">
        <v>2025</v>
      </c>
      <c r="D3657" t="s">
        <v>599</v>
      </c>
      <c r="E3657" t="s">
        <v>1000</v>
      </c>
      <c r="F3657" t="s">
        <v>24</v>
      </c>
      <c r="G3657" t="s">
        <v>51</v>
      </c>
      <c r="H3657" t="s">
        <v>32</v>
      </c>
      <c r="I3657" t="s">
        <v>36</v>
      </c>
      <c r="J3657" t="s">
        <v>56</v>
      </c>
      <c r="K3657">
        <v>1</v>
      </c>
      <c r="L3657" s="2">
        <v>74.3</v>
      </c>
      <c r="M3657" s="3">
        <v>0.2</v>
      </c>
      <c r="N3657" t="s">
        <v>34</v>
      </c>
      <c r="O3657" s="2">
        <v>59.44</v>
      </c>
      <c r="P3657" s="2">
        <v>33.67</v>
      </c>
      <c r="Q3657" s="2">
        <v>25.77</v>
      </c>
      <c r="R3657">
        <v>1</v>
      </c>
      <c r="S3657">
        <v>0</v>
      </c>
      <c r="T3657">
        <v>2</v>
      </c>
      <c r="U3657">
        <v>5</v>
      </c>
    </row>
    <row r="3658" spans="1:21" ht="16.5" x14ac:dyDescent="0.3">
      <c r="A3658" t="s">
        <v>3746</v>
      </c>
      <c r="B3658" s="1">
        <v>45829</v>
      </c>
      <c r="C3658">
        <v>2025</v>
      </c>
      <c r="D3658" t="s">
        <v>599</v>
      </c>
      <c r="E3658" t="s">
        <v>1000</v>
      </c>
      <c r="F3658" t="s">
        <v>24</v>
      </c>
      <c r="G3658" t="s">
        <v>51</v>
      </c>
      <c r="H3658" t="s">
        <v>26</v>
      </c>
      <c r="I3658" t="s">
        <v>27</v>
      </c>
      <c r="J3658" t="s">
        <v>110</v>
      </c>
      <c r="K3658">
        <v>2</v>
      </c>
      <c r="L3658" s="2">
        <v>19.41</v>
      </c>
      <c r="M3658" s="3">
        <v>0</v>
      </c>
      <c r="N3658" t="s">
        <v>38</v>
      </c>
      <c r="O3658" s="2">
        <v>38.82</v>
      </c>
      <c r="P3658" s="2">
        <v>21.93</v>
      </c>
      <c r="Q3658" s="2">
        <v>16.89</v>
      </c>
      <c r="R3658">
        <v>1</v>
      </c>
      <c r="S3658">
        <v>0</v>
      </c>
      <c r="T3658">
        <v>2</v>
      </c>
      <c r="U3658">
        <v>5</v>
      </c>
    </row>
    <row r="3659" spans="1:21" ht="16.5" x14ac:dyDescent="0.3">
      <c r="A3659" t="s">
        <v>3747</v>
      </c>
      <c r="B3659" s="1">
        <v>45830</v>
      </c>
      <c r="C3659">
        <v>2025</v>
      </c>
      <c r="D3659" t="s">
        <v>599</v>
      </c>
      <c r="E3659" t="s">
        <v>1000</v>
      </c>
      <c r="F3659" t="s">
        <v>24</v>
      </c>
      <c r="G3659" t="s">
        <v>51</v>
      </c>
      <c r="H3659" t="s">
        <v>26</v>
      </c>
      <c r="I3659" t="s">
        <v>42</v>
      </c>
      <c r="J3659" t="s">
        <v>89</v>
      </c>
      <c r="K3659">
        <v>3</v>
      </c>
      <c r="L3659" s="2">
        <v>68.349999999999994</v>
      </c>
      <c r="M3659" s="3">
        <v>0.05</v>
      </c>
      <c r="N3659" t="s">
        <v>29</v>
      </c>
      <c r="O3659" s="2">
        <v>194.8</v>
      </c>
      <c r="P3659" s="2">
        <v>134.32</v>
      </c>
      <c r="Q3659" s="2">
        <v>60.48</v>
      </c>
      <c r="R3659">
        <v>1</v>
      </c>
      <c r="S3659">
        <v>0</v>
      </c>
      <c r="T3659">
        <v>2</v>
      </c>
      <c r="U3659">
        <v>4</v>
      </c>
    </row>
    <row r="3660" spans="1:21" ht="16.5" x14ac:dyDescent="0.3">
      <c r="A3660" t="s">
        <v>3748</v>
      </c>
      <c r="B3660" s="1">
        <v>45830</v>
      </c>
      <c r="C3660">
        <v>2025</v>
      </c>
      <c r="D3660" t="s">
        <v>599</v>
      </c>
      <c r="E3660" t="s">
        <v>1000</v>
      </c>
      <c r="F3660" t="s">
        <v>24</v>
      </c>
      <c r="G3660" t="s">
        <v>51</v>
      </c>
      <c r="H3660" t="s">
        <v>26</v>
      </c>
      <c r="I3660" t="s">
        <v>67</v>
      </c>
      <c r="J3660" t="s">
        <v>93</v>
      </c>
      <c r="K3660">
        <v>1</v>
      </c>
      <c r="L3660" s="2">
        <v>198.42</v>
      </c>
      <c r="M3660" s="3">
        <v>0.05</v>
      </c>
      <c r="N3660" t="s">
        <v>29</v>
      </c>
      <c r="O3660" s="2">
        <v>188.5</v>
      </c>
      <c r="P3660" s="2">
        <v>126.5</v>
      </c>
      <c r="Q3660" s="2">
        <v>62</v>
      </c>
      <c r="R3660">
        <v>1</v>
      </c>
      <c r="S3660">
        <v>0</v>
      </c>
      <c r="T3660">
        <v>3</v>
      </c>
      <c r="U3660">
        <v>4</v>
      </c>
    </row>
    <row r="3661" spans="1:21" ht="16.5" x14ac:dyDescent="0.3">
      <c r="A3661" t="s">
        <v>3749</v>
      </c>
      <c r="B3661" s="1">
        <v>45830</v>
      </c>
      <c r="C3661">
        <v>2025</v>
      </c>
      <c r="D3661" t="s">
        <v>599</v>
      </c>
      <c r="E3661" t="s">
        <v>1000</v>
      </c>
      <c r="F3661" t="s">
        <v>24</v>
      </c>
      <c r="G3661" t="s">
        <v>65</v>
      </c>
      <c r="H3661" t="s">
        <v>32</v>
      </c>
      <c r="I3661" t="s">
        <v>67</v>
      </c>
      <c r="J3661" t="s">
        <v>68</v>
      </c>
      <c r="K3661">
        <v>1</v>
      </c>
      <c r="L3661" s="2">
        <v>74.459999999999994</v>
      </c>
      <c r="M3661" s="3">
        <v>0.05</v>
      </c>
      <c r="N3661" t="s">
        <v>29</v>
      </c>
      <c r="O3661" s="2">
        <v>70.739999999999995</v>
      </c>
      <c r="P3661" s="2">
        <v>50.1</v>
      </c>
      <c r="Q3661" s="2">
        <v>20.64</v>
      </c>
      <c r="R3661">
        <v>1</v>
      </c>
      <c r="S3661">
        <v>0</v>
      </c>
      <c r="T3661">
        <v>6</v>
      </c>
      <c r="U3661">
        <v>4</v>
      </c>
    </row>
    <row r="3662" spans="1:21" ht="16.5" x14ac:dyDescent="0.3">
      <c r="A3662" t="s">
        <v>3750</v>
      </c>
      <c r="B3662" s="1">
        <v>45830</v>
      </c>
      <c r="C3662">
        <v>2025</v>
      </c>
      <c r="D3662" t="s">
        <v>599</v>
      </c>
      <c r="E3662" t="s">
        <v>1000</v>
      </c>
      <c r="F3662" t="s">
        <v>31</v>
      </c>
      <c r="G3662" t="s">
        <v>65</v>
      </c>
      <c r="H3662" t="s">
        <v>32</v>
      </c>
      <c r="I3662" t="s">
        <v>42</v>
      </c>
      <c r="J3662" t="s">
        <v>54</v>
      </c>
      <c r="K3662">
        <v>1</v>
      </c>
      <c r="L3662" s="2">
        <v>148.05000000000001</v>
      </c>
      <c r="M3662" s="3">
        <v>0.15</v>
      </c>
      <c r="N3662" t="s">
        <v>34</v>
      </c>
      <c r="O3662" s="2">
        <v>125.84</v>
      </c>
      <c r="P3662" s="2">
        <v>100.38</v>
      </c>
      <c r="Q3662" s="2">
        <v>25.46</v>
      </c>
      <c r="R3662">
        <v>1</v>
      </c>
      <c r="S3662">
        <v>0</v>
      </c>
      <c r="T3662">
        <v>5</v>
      </c>
      <c r="U3662">
        <v>5</v>
      </c>
    </row>
    <row r="3663" spans="1:21" ht="16.5" x14ac:dyDescent="0.3">
      <c r="A3663" t="s">
        <v>3751</v>
      </c>
      <c r="B3663" s="1">
        <v>45830</v>
      </c>
      <c r="C3663">
        <v>2025</v>
      </c>
      <c r="D3663" t="s">
        <v>599</v>
      </c>
      <c r="E3663" t="s">
        <v>1000</v>
      </c>
      <c r="F3663" t="s">
        <v>31</v>
      </c>
      <c r="G3663" t="s">
        <v>65</v>
      </c>
      <c r="H3663" t="s">
        <v>32</v>
      </c>
      <c r="I3663" t="s">
        <v>84</v>
      </c>
      <c r="J3663" t="s">
        <v>106</v>
      </c>
      <c r="K3663">
        <v>1</v>
      </c>
      <c r="L3663" s="2">
        <v>45.28</v>
      </c>
      <c r="M3663" s="3">
        <v>0</v>
      </c>
      <c r="N3663" t="s">
        <v>38</v>
      </c>
      <c r="O3663" s="2">
        <v>45.28</v>
      </c>
      <c r="P3663" s="2">
        <v>32.14</v>
      </c>
      <c r="Q3663" s="2">
        <v>13.14</v>
      </c>
      <c r="R3663">
        <v>1</v>
      </c>
      <c r="S3663">
        <v>0</v>
      </c>
      <c r="T3663">
        <v>6</v>
      </c>
      <c r="U3663">
        <v>3</v>
      </c>
    </row>
    <row r="3664" spans="1:21" ht="16.5" x14ac:dyDescent="0.3">
      <c r="A3664" t="s">
        <v>3752</v>
      </c>
      <c r="B3664" s="1">
        <v>45830</v>
      </c>
      <c r="C3664">
        <v>2025</v>
      </c>
      <c r="D3664" t="s">
        <v>599</v>
      </c>
      <c r="E3664" t="s">
        <v>1000</v>
      </c>
      <c r="F3664" t="s">
        <v>31</v>
      </c>
      <c r="G3664" t="s">
        <v>46</v>
      </c>
      <c r="H3664" t="s">
        <v>32</v>
      </c>
      <c r="I3664" t="s">
        <v>70</v>
      </c>
      <c r="J3664" t="s">
        <v>87</v>
      </c>
      <c r="K3664">
        <v>1</v>
      </c>
      <c r="L3664" s="2">
        <v>490.3</v>
      </c>
      <c r="M3664" s="3">
        <v>0.1</v>
      </c>
      <c r="N3664" t="s">
        <v>29</v>
      </c>
      <c r="O3664" s="2">
        <v>441.27</v>
      </c>
      <c r="P3664" s="2">
        <v>393.55</v>
      </c>
      <c r="Q3664" s="2">
        <v>47.72</v>
      </c>
      <c r="R3664">
        <v>1</v>
      </c>
      <c r="S3664">
        <v>0</v>
      </c>
      <c r="T3664">
        <v>5</v>
      </c>
      <c r="U3664">
        <v>4</v>
      </c>
    </row>
    <row r="3665" spans="1:21" ht="16.5" x14ac:dyDescent="0.3">
      <c r="A3665" t="s">
        <v>3753</v>
      </c>
      <c r="B3665" s="1">
        <v>45830</v>
      </c>
      <c r="C3665">
        <v>2025</v>
      </c>
      <c r="D3665" t="s">
        <v>599</v>
      </c>
      <c r="E3665" t="s">
        <v>1000</v>
      </c>
      <c r="F3665" t="s">
        <v>45</v>
      </c>
      <c r="G3665" t="s">
        <v>51</v>
      </c>
      <c r="H3665" t="s">
        <v>26</v>
      </c>
      <c r="I3665" t="s">
        <v>27</v>
      </c>
      <c r="J3665" t="s">
        <v>60</v>
      </c>
      <c r="K3665">
        <v>3</v>
      </c>
      <c r="L3665" s="2">
        <v>94.85</v>
      </c>
      <c r="M3665" s="3">
        <v>0.1</v>
      </c>
      <c r="N3665" t="s">
        <v>29</v>
      </c>
      <c r="O3665" s="2">
        <v>256.08999999999997</v>
      </c>
      <c r="P3665" s="2">
        <v>153.33000000000001</v>
      </c>
      <c r="Q3665" s="2">
        <v>102.76</v>
      </c>
      <c r="R3665">
        <v>1</v>
      </c>
      <c r="S3665">
        <v>0</v>
      </c>
      <c r="T3665">
        <v>3</v>
      </c>
      <c r="U3665">
        <v>5</v>
      </c>
    </row>
    <row r="3666" spans="1:21" ht="16.5" x14ac:dyDescent="0.3">
      <c r="A3666" t="s">
        <v>3754</v>
      </c>
      <c r="B3666" s="1">
        <v>45830</v>
      </c>
      <c r="C3666">
        <v>2025</v>
      </c>
      <c r="D3666" t="s">
        <v>599</v>
      </c>
      <c r="E3666" t="s">
        <v>1000</v>
      </c>
      <c r="F3666" t="s">
        <v>24</v>
      </c>
      <c r="G3666" t="s">
        <v>51</v>
      </c>
      <c r="H3666" t="s">
        <v>32</v>
      </c>
      <c r="I3666" t="s">
        <v>36</v>
      </c>
      <c r="J3666" t="s">
        <v>52</v>
      </c>
      <c r="K3666">
        <v>4</v>
      </c>
      <c r="L3666" s="2">
        <v>92.54</v>
      </c>
      <c r="M3666" s="3">
        <v>0.15</v>
      </c>
      <c r="N3666" t="s">
        <v>34</v>
      </c>
      <c r="O3666" s="2">
        <v>314.64</v>
      </c>
      <c r="P3666" s="2">
        <v>178.83</v>
      </c>
      <c r="Q3666" s="2">
        <v>135.81</v>
      </c>
      <c r="R3666">
        <v>1</v>
      </c>
      <c r="S3666">
        <v>0</v>
      </c>
      <c r="T3666">
        <v>4</v>
      </c>
      <c r="U3666">
        <v>4</v>
      </c>
    </row>
    <row r="3667" spans="1:21" ht="16.5" x14ac:dyDescent="0.3">
      <c r="A3667" t="s">
        <v>3755</v>
      </c>
      <c r="B3667" s="1">
        <v>45830</v>
      </c>
      <c r="C3667">
        <v>2025</v>
      </c>
      <c r="D3667" t="s">
        <v>599</v>
      </c>
      <c r="E3667" t="s">
        <v>1000</v>
      </c>
      <c r="F3667" t="s">
        <v>31</v>
      </c>
      <c r="G3667" t="s">
        <v>51</v>
      </c>
      <c r="H3667" t="s">
        <v>32</v>
      </c>
      <c r="I3667" t="s">
        <v>42</v>
      </c>
      <c r="J3667" t="s">
        <v>54</v>
      </c>
      <c r="K3667">
        <v>4</v>
      </c>
      <c r="L3667" s="2">
        <v>148.05000000000001</v>
      </c>
      <c r="M3667" s="3">
        <v>0</v>
      </c>
      <c r="N3667" t="s">
        <v>38</v>
      </c>
      <c r="O3667" s="2">
        <v>592.20000000000005</v>
      </c>
      <c r="P3667" s="2">
        <v>393.15</v>
      </c>
      <c r="Q3667" s="2">
        <v>199.05</v>
      </c>
      <c r="R3667">
        <v>1</v>
      </c>
      <c r="S3667">
        <v>0</v>
      </c>
      <c r="T3667">
        <v>2</v>
      </c>
      <c r="U3667">
        <v>4</v>
      </c>
    </row>
    <row r="3668" spans="1:21" ht="16.5" x14ac:dyDescent="0.3">
      <c r="A3668" t="s">
        <v>3756</v>
      </c>
      <c r="B3668" s="1">
        <v>45831</v>
      </c>
      <c r="C3668">
        <v>2025</v>
      </c>
      <c r="D3668" t="s">
        <v>599</v>
      </c>
      <c r="E3668" t="s">
        <v>1000</v>
      </c>
      <c r="F3668" t="s">
        <v>24</v>
      </c>
      <c r="G3668" t="s">
        <v>51</v>
      </c>
      <c r="H3668" t="s">
        <v>26</v>
      </c>
      <c r="I3668" t="s">
        <v>42</v>
      </c>
      <c r="J3668" t="s">
        <v>76</v>
      </c>
      <c r="K3668">
        <v>1</v>
      </c>
      <c r="L3668" s="2">
        <v>90.75</v>
      </c>
      <c r="M3668" s="3">
        <v>0.05</v>
      </c>
      <c r="N3668" t="s">
        <v>29</v>
      </c>
      <c r="O3668" s="2">
        <v>86.21</v>
      </c>
      <c r="P3668" s="2">
        <v>59.6</v>
      </c>
      <c r="Q3668" s="2">
        <v>26.61</v>
      </c>
      <c r="R3668">
        <v>1</v>
      </c>
      <c r="S3668">
        <v>0</v>
      </c>
      <c r="T3668">
        <v>2</v>
      </c>
      <c r="U3668">
        <v>4</v>
      </c>
    </row>
    <row r="3669" spans="1:21" ht="16.5" x14ac:dyDescent="0.3">
      <c r="A3669" t="s">
        <v>3757</v>
      </c>
      <c r="B3669" s="1">
        <v>45831</v>
      </c>
      <c r="C3669">
        <v>2025</v>
      </c>
      <c r="D3669" t="s">
        <v>599</v>
      </c>
      <c r="E3669" t="s">
        <v>1000</v>
      </c>
      <c r="F3669" t="s">
        <v>24</v>
      </c>
      <c r="G3669" t="s">
        <v>49</v>
      </c>
      <c r="H3669" t="s">
        <v>32</v>
      </c>
      <c r="I3669" t="s">
        <v>42</v>
      </c>
      <c r="J3669" t="s">
        <v>98</v>
      </c>
      <c r="K3669">
        <v>1</v>
      </c>
      <c r="L3669" s="2">
        <v>117.63</v>
      </c>
      <c r="M3669" s="3">
        <v>0.1</v>
      </c>
      <c r="N3669" t="s">
        <v>29</v>
      </c>
      <c r="O3669" s="2">
        <v>105.87</v>
      </c>
      <c r="P3669" s="2">
        <v>73.260000000000005</v>
      </c>
      <c r="Q3669" s="2">
        <v>32.61</v>
      </c>
      <c r="R3669">
        <v>1</v>
      </c>
      <c r="S3669">
        <v>0</v>
      </c>
      <c r="T3669">
        <v>4</v>
      </c>
      <c r="U3669">
        <v>5</v>
      </c>
    </row>
    <row r="3670" spans="1:21" ht="16.5" x14ac:dyDescent="0.3">
      <c r="A3670" t="s">
        <v>3758</v>
      </c>
      <c r="B3670" s="1">
        <v>45831</v>
      </c>
      <c r="C3670">
        <v>2025</v>
      </c>
      <c r="D3670" t="s">
        <v>599</v>
      </c>
      <c r="E3670" t="s">
        <v>1000</v>
      </c>
      <c r="F3670" t="s">
        <v>24</v>
      </c>
      <c r="G3670" t="s">
        <v>49</v>
      </c>
      <c r="H3670" t="s">
        <v>32</v>
      </c>
      <c r="I3670" t="s">
        <v>42</v>
      </c>
      <c r="J3670" t="s">
        <v>76</v>
      </c>
      <c r="K3670">
        <v>1</v>
      </c>
      <c r="L3670" s="2">
        <v>90.75</v>
      </c>
      <c r="M3670" s="3">
        <v>0.05</v>
      </c>
      <c r="N3670" t="s">
        <v>29</v>
      </c>
      <c r="O3670" s="2">
        <v>86.21</v>
      </c>
      <c r="P3670" s="2">
        <v>57.23</v>
      </c>
      <c r="Q3670" s="2">
        <v>28.98</v>
      </c>
      <c r="R3670">
        <v>1</v>
      </c>
      <c r="S3670">
        <v>0</v>
      </c>
      <c r="T3670">
        <v>4</v>
      </c>
      <c r="U3670">
        <v>5</v>
      </c>
    </row>
    <row r="3671" spans="1:21" ht="16.5" x14ac:dyDescent="0.3">
      <c r="A3671" t="s">
        <v>3759</v>
      </c>
      <c r="B3671" s="1">
        <v>45832</v>
      </c>
      <c r="C3671">
        <v>2025</v>
      </c>
      <c r="D3671" t="s">
        <v>599</v>
      </c>
      <c r="E3671" t="s">
        <v>1000</v>
      </c>
      <c r="F3671" t="s">
        <v>31</v>
      </c>
      <c r="G3671" t="s">
        <v>25</v>
      </c>
      <c r="H3671" t="s">
        <v>32</v>
      </c>
      <c r="I3671" t="s">
        <v>84</v>
      </c>
      <c r="J3671" t="s">
        <v>96</v>
      </c>
      <c r="K3671">
        <v>1</v>
      </c>
      <c r="L3671" s="2">
        <v>10.76</v>
      </c>
      <c r="M3671" s="3">
        <v>0.1</v>
      </c>
      <c r="N3671" t="s">
        <v>29</v>
      </c>
      <c r="O3671" s="2">
        <v>9.68</v>
      </c>
      <c r="P3671" s="2">
        <v>8.02</v>
      </c>
      <c r="Q3671" s="2">
        <v>1.66</v>
      </c>
      <c r="R3671">
        <v>1</v>
      </c>
      <c r="S3671">
        <v>0</v>
      </c>
      <c r="T3671">
        <v>4</v>
      </c>
      <c r="U3671">
        <v>4</v>
      </c>
    </row>
    <row r="3672" spans="1:21" ht="16.5" x14ac:dyDescent="0.3">
      <c r="A3672" t="s">
        <v>3760</v>
      </c>
      <c r="B3672" s="1">
        <v>45832</v>
      </c>
      <c r="C3672">
        <v>2025</v>
      </c>
      <c r="D3672" t="s">
        <v>599</v>
      </c>
      <c r="E3672" t="s">
        <v>1000</v>
      </c>
      <c r="F3672" t="s">
        <v>45</v>
      </c>
      <c r="G3672" t="s">
        <v>51</v>
      </c>
      <c r="H3672" t="s">
        <v>32</v>
      </c>
      <c r="I3672" t="s">
        <v>36</v>
      </c>
      <c r="J3672" t="s">
        <v>56</v>
      </c>
      <c r="K3672">
        <v>1</v>
      </c>
      <c r="L3672" s="2">
        <v>74.3</v>
      </c>
      <c r="M3672" s="3">
        <v>0</v>
      </c>
      <c r="N3672" t="s">
        <v>38</v>
      </c>
      <c r="O3672" s="2">
        <v>74.3</v>
      </c>
      <c r="P3672" s="2">
        <v>37.5</v>
      </c>
      <c r="Q3672" s="2">
        <v>36.799999999999997</v>
      </c>
      <c r="R3672">
        <v>1</v>
      </c>
      <c r="S3672">
        <v>0</v>
      </c>
      <c r="T3672">
        <v>5</v>
      </c>
      <c r="U3672">
        <v>5</v>
      </c>
    </row>
    <row r="3673" spans="1:21" ht="16.5" x14ac:dyDescent="0.3">
      <c r="A3673" t="s">
        <v>3761</v>
      </c>
      <c r="B3673" s="1">
        <v>45832</v>
      </c>
      <c r="C3673">
        <v>2025</v>
      </c>
      <c r="D3673" t="s">
        <v>599</v>
      </c>
      <c r="E3673" t="s">
        <v>1000</v>
      </c>
      <c r="F3673" t="s">
        <v>31</v>
      </c>
      <c r="G3673" t="s">
        <v>51</v>
      </c>
      <c r="H3673" t="s">
        <v>26</v>
      </c>
      <c r="I3673" t="s">
        <v>27</v>
      </c>
      <c r="J3673" t="s">
        <v>60</v>
      </c>
      <c r="K3673">
        <v>1</v>
      </c>
      <c r="L3673" s="2">
        <v>94.85</v>
      </c>
      <c r="M3673" s="3">
        <v>0.1</v>
      </c>
      <c r="N3673" t="s">
        <v>29</v>
      </c>
      <c r="O3673" s="2">
        <v>85.36</v>
      </c>
      <c r="P3673" s="2">
        <v>52.68</v>
      </c>
      <c r="Q3673" s="2">
        <v>32.68</v>
      </c>
      <c r="R3673">
        <v>1</v>
      </c>
      <c r="S3673">
        <v>0</v>
      </c>
      <c r="T3673">
        <v>3</v>
      </c>
      <c r="U3673">
        <v>5</v>
      </c>
    </row>
    <row r="3674" spans="1:21" ht="16.5" x14ac:dyDescent="0.3">
      <c r="A3674" t="s">
        <v>3762</v>
      </c>
      <c r="B3674" s="1">
        <v>45832</v>
      </c>
      <c r="C3674">
        <v>2025</v>
      </c>
      <c r="D3674" t="s">
        <v>599</v>
      </c>
      <c r="E3674" t="s">
        <v>1000</v>
      </c>
      <c r="F3674" t="s">
        <v>45</v>
      </c>
      <c r="G3674" t="s">
        <v>25</v>
      </c>
      <c r="H3674" t="s">
        <v>32</v>
      </c>
      <c r="I3674" t="s">
        <v>70</v>
      </c>
      <c r="J3674" t="s">
        <v>87</v>
      </c>
      <c r="K3674">
        <v>2</v>
      </c>
      <c r="L3674" s="2">
        <v>490.3</v>
      </c>
      <c r="M3674" s="3">
        <v>0.05</v>
      </c>
      <c r="N3674" t="s">
        <v>29</v>
      </c>
      <c r="O3674" s="2">
        <v>931.57</v>
      </c>
      <c r="P3674" s="2">
        <v>772.33</v>
      </c>
      <c r="Q3674" s="2">
        <v>159.24</v>
      </c>
      <c r="R3674">
        <v>1</v>
      </c>
      <c r="S3674">
        <v>1</v>
      </c>
      <c r="T3674">
        <v>7</v>
      </c>
      <c r="U3674">
        <v>2</v>
      </c>
    </row>
    <row r="3675" spans="1:21" ht="16.5" x14ac:dyDescent="0.3">
      <c r="A3675" t="s">
        <v>3763</v>
      </c>
      <c r="B3675" s="1">
        <v>45832</v>
      </c>
      <c r="C3675">
        <v>2025</v>
      </c>
      <c r="D3675" t="s">
        <v>599</v>
      </c>
      <c r="E3675" t="s">
        <v>1000</v>
      </c>
      <c r="F3675" t="s">
        <v>24</v>
      </c>
      <c r="G3675" t="s">
        <v>51</v>
      </c>
      <c r="H3675" t="s">
        <v>32</v>
      </c>
      <c r="I3675" t="s">
        <v>67</v>
      </c>
      <c r="J3675" t="s">
        <v>174</v>
      </c>
      <c r="K3675">
        <v>1</v>
      </c>
      <c r="L3675" s="2">
        <v>137.05000000000001</v>
      </c>
      <c r="M3675" s="3">
        <v>0.1</v>
      </c>
      <c r="N3675" t="s">
        <v>29</v>
      </c>
      <c r="O3675" s="2">
        <v>123.35</v>
      </c>
      <c r="P3675" s="2">
        <v>94.56</v>
      </c>
      <c r="Q3675" s="2">
        <v>28.79</v>
      </c>
      <c r="R3675">
        <v>1</v>
      </c>
      <c r="S3675">
        <v>0</v>
      </c>
      <c r="T3675">
        <v>2</v>
      </c>
      <c r="U3675">
        <v>4</v>
      </c>
    </row>
    <row r="3676" spans="1:21" ht="16.5" x14ac:dyDescent="0.3">
      <c r="A3676" t="s">
        <v>3764</v>
      </c>
      <c r="B3676" s="1">
        <v>45832</v>
      </c>
      <c r="C3676">
        <v>2025</v>
      </c>
      <c r="D3676" t="s">
        <v>599</v>
      </c>
      <c r="E3676" t="s">
        <v>1000</v>
      </c>
      <c r="F3676" t="s">
        <v>45</v>
      </c>
      <c r="G3676" t="s">
        <v>25</v>
      </c>
      <c r="H3676" t="s">
        <v>32</v>
      </c>
      <c r="I3676" t="s">
        <v>27</v>
      </c>
      <c r="J3676" t="s">
        <v>60</v>
      </c>
      <c r="K3676">
        <v>2</v>
      </c>
      <c r="L3676" s="2">
        <v>94.85</v>
      </c>
      <c r="M3676" s="3">
        <v>0</v>
      </c>
      <c r="N3676" t="s">
        <v>38</v>
      </c>
      <c r="O3676" s="2">
        <v>189.7</v>
      </c>
      <c r="P3676" s="2">
        <v>102.8</v>
      </c>
      <c r="Q3676" s="2">
        <v>86.9</v>
      </c>
      <c r="R3676">
        <v>1</v>
      </c>
      <c r="S3676">
        <v>0</v>
      </c>
      <c r="T3676">
        <v>4</v>
      </c>
      <c r="U3676">
        <v>5</v>
      </c>
    </row>
    <row r="3677" spans="1:21" ht="16.5" x14ac:dyDescent="0.3">
      <c r="A3677" t="s">
        <v>3765</v>
      </c>
      <c r="B3677" s="1">
        <v>45832</v>
      </c>
      <c r="C3677">
        <v>2025</v>
      </c>
      <c r="D3677" t="s">
        <v>599</v>
      </c>
      <c r="E3677" t="s">
        <v>1000</v>
      </c>
      <c r="F3677" t="s">
        <v>31</v>
      </c>
      <c r="G3677" t="s">
        <v>51</v>
      </c>
      <c r="H3677" t="s">
        <v>32</v>
      </c>
      <c r="I3677" t="s">
        <v>67</v>
      </c>
      <c r="J3677" t="s">
        <v>68</v>
      </c>
      <c r="K3677">
        <v>1</v>
      </c>
      <c r="L3677" s="2">
        <v>74.459999999999994</v>
      </c>
      <c r="M3677" s="3">
        <v>0.05</v>
      </c>
      <c r="N3677" t="s">
        <v>29</v>
      </c>
      <c r="O3677" s="2">
        <v>70.739999999999995</v>
      </c>
      <c r="P3677" s="2">
        <v>48.27</v>
      </c>
      <c r="Q3677" s="2">
        <v>22.47</v>
      </c>
      <c r="R3677">
        <v>1</v>
      </c>
      <c r="S3677">
        <v>1</v>
      </c>
      <c r="T3677">
        <v>3</v>
      </c>
      <c r="U3677">
        <v>3</v>
      </c>
    </row>
    <row r="3678" spans="1:21" ht="16.5" x14ac:dyDescent="0.3">
      <c r="A3678" t="s">
        <v>3766</v>
      </c>
      <c r="B3678" s="1">
        <v>45832</v>
      </c>
      <c r="C3678">
        <v>2025</v>
      </c>
      <c r="D3678" t="s">
        <v>599</v>
      </c>
      <c r="E3678" t="s">
        <v>1000</v>
      </c>
      <c r="F3678" t="s">
        <v>31</v>
      </c>
      <c r="G3678" t="s">
        <v>46</v>
      </c>
      <c r="H3678" t="s">
        <v>32</v>
      </c>
      <c r="I3678" t="s">
        <v>36</v>
      </c>
      <c r="J3678" t="s">
        <v>37</v>
      </c>
      <c r="K3678">
        <v>2</v>
      </c>
      <c r="L3678" s="2">
        <v>33.18</v>
      </c>
      <c r="M3678" s="3">
        <v>0.1</v>
      </c>
      <c r="N3678" t="s">
        <v>29</v>
      </c>
      <c r="O3678" s="2">
        <v>59.72</v>
      </c>
      <c r="P3678" s="2">
        <v>32.799999999999997</v>
      </c>
      <c r="Q3678" s="2">
        <v>26.92</v>
      </c>
      <c r="R3678">
        <v>1</v>
      </c>
      <c r="S3678">
        <v>0</v>
      </c>
      <c r="T3678">
        <v>6</v>
      </c>
      <c r="U3678">
        <v>4</v>
      </c>
    </row>
    <row r="3679" spans="1:21" ht="16.5" x14ac:dyDescent="0.3">
      <c r="A3679" t="s">
        <v>3767</v>
      </c>
      <c r="B3679" s="1">
        <v>45832</v>
      </c>
      <c r="C3679">
        <v>2025</v>
      </c>
      <c r="D3679" t="s">
        <v>599</v>
      </c>
      <c r="E3679" t="s">
        <v>1000</v>
      </c>
      <c r="F3679" t="s">
        <v>24</v>
      </c>
      <c r="G3679" t="s">
        <v>51</v>
      </c>
      <c r="H3679" t="s">
        <v>26</v>
      </c>
      <c r="I3679" t="s">
        <v>67</v>
      </c>
      <c r="J3679" t="s">
        <v>68</v>
      </c>
      <c r="K3679">
        <v>1</v>
      </c>
      <c r="L3679" s="2">
        <v>74.459999999999994</v>
      </c>
      <c r="M3679" s="3">
        <v>0</v>
      </c>
      <c r="N3679" t="s">
        <v>38</v>
      </c>
      <c r="O3679" s="2">
        <v>74.459999999999994</v>
      </c>
      <c r="P3679" s="2">
        <v>48.72</v>
      </c>
      <c r="Q3679" s="2">
        <v>25.74</v>
      </c>
      <c r="R3679">
        <v>1</v>
      </c>
      <c r="S3679">
        <v>0</v>
      </c>
      <c r="T3679">
        <v>3</v>
      </c>
      <c r="U3679">
        <v>4</v>
      </c>
    </row>
    <row r="3680" spans="1:21" ht="16.5" x14ac:dyDescent="0.3">
      <c r="A3680" t="s">
        <v>3768</v>
      </c>
      <c r="B3680" s="1">
        <v>45832</v>
      </c>
      <c r="C3680">
        <v>2025</v>
      </c>
      <c r="D3680" t="s">
        <v>599</v>
      </c>
      <c r="E3680" t="s">
        <v>1000</v>
      </c>
      <c r="F3680" t="s">
        <v>24</v>
      </c>
      <c r="G3680" t="s">
        <v>25</v>
      </c>
      <c r="H3680" t="s">
        <v>26</v>
      </c>
      <c r="I3680" t="s">
        <v>27</v>
      </c>
      <c r="J3680" t="s">
        <v>47</v>
      </c>
      <c r="K3680">
        <v>1</v>
      </c>
      <c r="L3680" s="2">
        <v>33.99</v>
      </c>
      <c r="M3680" s="3">
        <v>0.1</v>
      </c>
      <c r="N3680" t="s">
        <v>29</v>
      </c>
      <c r="O3680" s="2">
        <v>30.59</v>
      </c>
      <c r="P3680" s="2">
        <v>17.600000000000001</v>
      </c>
      <c r="Q3680" s="2">
        <v>12.99</v>
      </c>
      <c r="R3680">
        <v>1</v>
      </c>
      <c r="S3680">
        <v>0</v>
      </c>
      <c r="T3680">
        <v>3</v>
      </c>
      <c r="U3680">
        <v>3</v>
      </c>
    </row>
    <row r="3681" spans="1:21" ht="16.5" x14ac:dyDescent="0.3">
      <c r="A3681" t="s">
        <v>3769</v>
      </c>
      <c r="B3681" s="1">
        <v>45832</v>
      </c>
      <c r="C3681">
        <v>2025</v>
      </c>
      <c r="D3681" t="s">
        <v>599</v>
      </c>
      <c r="E3681" t="s">
        <v>1000</v>
      </c>
      <c r="F3681" t="s">
        <v>24</v>
      </c>
      <c r="G3681" t="s">
        <v>51</v>
      </c>
      <c r="H3681" t="s">
        <v>32</v>
      </c>
      <c r="I3681" t="s">
        <v>42</v>
      </c>
      <c r="J3681" t="s">
        <v>54</v>
      </c>
      <c r="K3681">
        <v>4</v>
      </c>
      <c r="L3681" s="2">
        <v>148.05000000000001</v>
      </c>
      <c r="M3681" s="3">
        <v>0.15</v>
      </c>
      <c r="N3681" t="s">
        <v>34</v>
      </c>
      <c r="O3681" s="2">
        <v>503.37</v>
      </c>
      <c r="P3681" s="2">
        <v>386.24</v>
      </c>
      <c r="Q3681" s="2">
        <v>117.13</v>
      </c>
      <c r="R3681">
        <v>1</v>
      </c>
      <c r="S3681">
        <v>0</v>
      </c>
      <c r="T3681">
        <v>3</v>
      </c>
      <c r="U3681">
        <v>5</v>
      </c>
    </row>
    <row r="3682" spans="1:21" ht="16.5" x14ac:dyDescent="0.3">
      <c r="A3682" t="s">
        <v>3770</v>
      </c>
      <c r="B3682" s="1">
        <v>45832</v>
      </c>
      <c r="C3682">
        <v>2025</v>
      </c>
      <c r="D3682" t="s">
        <v>599</v>
      </c>
      <c r="E3682" t="s">
        <v>1000</v>
      </c>
      <c r="F3682" t="s">
        <v>31</v>
      </c>
      <c r="G3682" t="s">
        <v>49</v>
      </c>
      <c r="H3682" t="s">
        <v>32</v>
      </c>
      <c r="I3682" t="s">
        <v>70</v>
      </c>
      <c r="J3682" t="s">
        <v>82</v>
      </c>
      <c r="K3682">
        <v>3</v>
      </c>
      <c r="L3682" s="2">
        <v>508.8</v>
      </c>
      <c r="M3682" s="3">
        <v>0</v>
      </c>
      <c r="N3682" t="s">
        <v>38</v>
      </c>
      <c r="O3682" s="2">
        <v>1526.4</v>
      </c>
      <c r="P3682" s="2">
        <v>1203.6500000000001</v>
      </c>
      <c r="Q3682" s="2">
        <v>322.75</v>
      </c>
      <c r="R3682">
        <v>1</v>
      </c>
      <c r="S3682">
        <v>0</v>
      </c>
      <c r="T3682">
        <v>4</v>
      </c>
      <c r="U3682">
        <v>5</v>
      </c>
    </row>
    <row r="3683" spans="1:21" ht="16.5" x14ac:dyDescent="0.3">
      <c r="A3683" t="s">
        <v>3771</v>
      </c>
      <c r="B3683" s="1">
        <v>45832</v>
      </c>
      <c r="C3683">
        <v>2025</v>
      </c>
      <c r="D3683" t="s">
        <v>599</v>
      </c>
      <c r="E3683" t="s">
        <v>1000</v>
      </c>
      <c r="F3683" t="s">
        <v>24</v>
      </c>
      <c r="G3683" t="s">
        <v>49</v>
      </c>
      <c r="H3683" t="s">
        <v>26</v>
      </c>
      <c r="I3683" t="s">
        <v>84</v>
      </c>
      <c r="J3683" t="s">
        <v>132</v>
      </c>
      <c r="K3683">
        <v>1</v>
      </c>
      <c r="L3683" s="2">
        <v>48.86</v>
      </c>
      <c r="M3683" s="3">
        <v>0</v>
      </c>
      <c r="N3683" t="s">
        <v>38</v>
      </c>
      <c r="O3683" s="2">
        <v>48.86</v>
      </c>
      <c r="P3683" s="2">
        <v>34.72</v>
      </c>
      <c r="Q3683" s="2">
        <v>14.14</v>
      </c>
      <c r="R3683">
        <v>1</v>
      </c>
      <c r="S3683">
        <v>0</v>
      </c>
      <c r="T3683">
        <v>4</v>
      </c>
      <c r="U3683">
        <v>3</v>
      </c>
    </row>
    <row r="3684" spans="1:21" ht="16.5" x14ac:dyDescent="0.3">
      <c r="A3684" t="s">
        <v>3772</v>
      </c>
      <c r="B3684" s="1">
        <v>45832</v>
      </c>
      <c r="C3684">
        <v>2025</v>
      </c>
      <c r="D3684" t="s">
        <v>599</v>
      </c>
      <c r="E3684" t="s">
        <v>1000</v>
      </c>
      <c r="F3684" t="s">
        <v>45</v>
      </c>
      <c r="G3684" t="s">
        <v>25</v>
      </c>
      <c r="H3684" t="s">
        <v>32</v>
      </c>
      <c r="I3684" t="s">
        <v>27</v>
      </c>
      <c r="J3684" t="s">
        <v>28</v>
      </c>
      <c r="K3684">
        <v>1</v>
      </c>
      <c r="L3684" s="2">
        <v>138.5</v>
      </c>
      <c r="M3684" s="3">
        <v>0.2</v>
      </c>
      <c r="N3684" t="s">
        <v>34</v>
      </c>
      <c r="O3684" s="2">
        <v>110.8</v>
      </c>
      <c r="P3684" s="2">
        <v>72.19</v>
      </c>
      <c r="Q3684" s="2">
        <v>38.61</v>
      </c>
      <c r="R3684">
        <v>1</v>
      </c>
      <c r="S3684">
        <v>0</v>
      </c>
      <c r="T3684">
        <v>4</v>
      </c>
      <c r="U3684">
        <v>4</v>
      </c>
    </row>
    <row r="3685" spans="1:21" ht="16.5" x14ac:dyDescent="0.3">
      <c r="A3685" t="s">
        <v>3773</v>
      </c>
      <c r="B3685" s="1">
        <v>45832</v>
      </c>
      <c r="C3685">
        <v>2025</v>
      </c>
      <c r="D3685" t="s">
        <v>599</v>
      </c>
      <c r="E3685" t="s">
        <v>1000</v>
      </c>
      <c r="F3685" t="s">
        <v>24</v>
      </c>
      <c r="G3685" t="s">
        <v>51</v>
      </c>
      <c r="H3685" t="s">
        <v>32</v>
      </c>
      <c r="I3685" t="s">
        <v>84</v>
      </c>
      <c r="J3685" t="s">
        <v>223</v>
      </c>
      <c r="K3685">
        <v>1</v>
      </c>
      <c r="L3685" s="2">
        <v>16.97</v>
      </c>
      <c r="M3685" s="3">
        <v>0.05</v>
      </c>
      <c r="N3685" t="s">
        <v>29</v>
      </c>
      <c r="O3685" s="2">
        <v>16.12</v>
      </c>
      <c r="P3685" s="2">
        <v>12.5</v>
      </c>
      <c r="Q3685" s="2">
        <v>3.62</v>
      </c>
      <c r="R3685">
        <v>1</v>
      </c>
      <c r="S3685">
        <v>0</v>
      </c>
      <c r="T3685">
        <v>2</v>
      </c>
      <c r="U3685">
        <v>4</v>
      </c>
    </row>
    <row r="3686" spans="1:21" ht="16.5" x14ac:dyDescent="0.3">
      <c r="A3686" t="s">
        <v>3774</v>
      </c>
      <c r="B3686" s="1">
        <v>45832</v>
      </c>
      <c r="C3686">
        <v>2025</v>
      </c>
      <c r="D3686" t="s">
        <v>599</v>
      </c>
      <c r="E3686" t="s">
        <v>1000</v>
      </c>
      <c r="F3686" t="s">
        <v>24</v>
      </c>
      <c r="G3686" t="s">
        <v>51</v>
      </c>
      <c r="H3686" t="s">
        <v>26</v>
      </c>
      <c r="I3686" t="s">
        <v>27</v>
      </c>
      <c r="J3686" t="s">
        <v>28</v>
      </c>
      <c r="K3686">
        <v>1</v>
      </c>
      <c r="L3686" s="2">
        <v>138.5</v>
      </c>
      <c r="M3686" s="3">
        <v>0.05</v>
      </c>
      <c r="N3686" t="s">
        <v>29</v>
      </c>
      <c r="O3686" s="2">
        <v>131.57</v>
      </c>
      <c r="P3686" s="2">
        <v>72.900000000000006</v>
      </c>
      <c r="Q3686" s="2">
        <v>58.67</v>
      </c>
      <c r="R3686">
        <v>1</v>
      </c>
      <c r="S3686">
        <v>0</v>
      </c>
      <c r="T3686">
        <v>2</v>
      </c>
      <c r="U3686">
        <v>4</v>
      </c>
    </row>
    <row r="3687" spans="1:21" ht="16.5" x14ac:dyDescent="0.3">
      <c r="A3687" t="s">
        <v>3775</v>
      </c>
      <c r="B3687" s="1">
        <v>45833</v>
      </c>
      <c r="C3687">
        <v>2025</v>
      </c>
      <c r="D3687" t="s">
        <v>599</v>
      </c>
      <c r="E3687" t="s">
        <v>1000</v>
      </c>
      <c r="F3687" t="s">
        <v>24</v>
      </c>
      <c r="G3687" t="s">
        <v>51</v>
      </c>
      <c r="H3687" t="s">
        <v>32</v>
      </c>
      <c r="I3687" t="s">
        <v>70</v>
      </c>
      <c r="J3687" t="s">
        <v>162</v>
      </c>
      <c r="K3687">
        <v>1</v>
      </c>
      <c r="L3687" s="2">
        <v>636.09</v>
      </c>
      <c r="M3687" s="3">
        <v>0.1</v>
      </c>
      <c r="N3687" t="s">
        <v>29</v>
      </c>
      <c r="O3687" s="2">
        <v>572.48</v>
      </c>
      <c r="P3687" s="2">
        <v>537.91999999999996</v>
      </c>
      <c r="Q3687" s="2">
        <v>34.56</v>
      </c>
      <c r="R3687">
        <v>1</v>
      </c>
      <c r="S3687">
        <v>0</v>
      </c>
      <c r="T3687">
        <v>3</v>
      </c>
      <c r="U3687">
        <v>5</v>
      </c>
    </row>
    <row r="3688" spans="1:21" ht="16.5" x14ac:dyDescent="0.3">
      <c r="A3688" t="s">
        <v>3776</v>
      </c>
      <c r="B3688" s="1">
        <v>45833</v>
      </c>
      <c r="C3688">
        <v>2025</v>
      </c>
      <c r="D3688" t="s">
        <v>599</v>
      </c>
      <c r="E3688" t="s">
        <v>1000</v>
      </c>
      <c r="F3688" t="s">
        <v>24</v>
      </c>
      <c r="G3688" t="s">
        <v>65</v>
      </c>
      <c r="H3688" t="s">
        <v>26</v>
      </c>
      <c r="I3688" t="s">
        <v>70</v>
      </c>
      <c r="J3688" t="s">
        <v>82</v>
      </c>
      <c r="K3688">
        <v>1</v>
      </c>
      <c r="L3688" s="2">
        <v>508.8</v>
      </c>
      <c r="M3688" s="3">
        <v>0</v>
      </c>
      <c r="N3688" t="s">
        <v>38</v>
      </c>
      <c r="O3688" s="2">
        <v>508.8</v>
      </c>
      <c r="P3688" s="2">
        <v>408.46</v>
      </c>
      <c r="Q3688" s="2">
        <v>100.34</v>
      </c>
      <c r="R3688">
        <v>1</v>
      </c>
      <c r="S3688">
        <v>0</v>
      </c>
      <c r="T3688">
        <v>5</v>
      </c>
      <c r="U3688">
        <v>4</v>
      </c>
    </row>
    <row r="3689" spans="1:21" ht="16.5" x14ac:dyDescent="0.3">
      <c r="A3689" t="s">
        <v>3777</v>
      </c>
      <c r="B3689" s="1">
        <v>45833</v>
      </c>
      <c r="C3689">
        <v>2025</v>
      </c>
      <c r="D3689" t="s">
        <v>599</v>
      </c>
      <c r="E3689" t="s">
        <v>1000</v>
      </c>
      <c r="F3689" t="s">
        <v>31</v>
      </c>
      <c r="G3689" t="s">
        <v>49</v>
      </c>
      <c r="H3689" t="s">
        <v>32</v>
      </c>
      <c r="I3689" t="s">
        <v>42</v>
      </c>
      <c r="J3689" t="s">
        <v>54</v>
      </c>
      <c r="K3689">
        <v>2</v>
      </c>
      <c r="L3689" s="2">
        <v>148.05000000000001</v>
      </c>
      <c r="M3689" s="3">
        <v>0</v>
      </c>
      <c r="N3689" t="s">
        <v>38</v>
      </c>
      <c r="O3689" s="2">
        <v>296.10000000000002</v>
      </c>
      <c r="P3689" s="2">
        <v>207.26</v>
      </c>
      <c r="Q3689" s="2">
        <v>88.84</v>
      </c>
      <c r="R3689">
        <v>1</v>
      </c>
      <c r="S3689">
        <v>0</v>
      </c>
      <c r="T3689">
        <v>5</v>
      </c>
      <c r="U3689">
        <v>5</v>
      </c>
    </row>
    <row r="3690" spans="1:21" ht="16.5" x14ac:dyDescent="0.3">
      <c r="A3690" t="s">
        <v>3778</v>
      </c>
      <c r="B3690" s="1">
        <v>45833</v>
      </c>
      <c r="C3690">
        <v>2025</v>
      </c>
      <c r="D3690" t="s">
        <v>599</v>
      </c>
      <c r="E3690" t="s">
        <v>1000</v>
      </c>
      <c r="F3690" t="s">
        <v>31</v>
      </c>
      <c r="G3690" t="s">
        <v>25</v>
      </c>
      <c r="H3690" t="s">
        <v>32</v>
      </c>
      <c r="I3690" t="s">
        <v>27</v>
      </c>
      <c r="J3690" t="s">
        <v>40</v>
      </c>
      <c r="K3690">
        <v>1</v>
      </c>
      <c r="L3690" s="2">
        <v>104.94</v>
      </c>
      <c r="M3690" s="3">
        <v>0</v>
      </c>
      <c r="N3690" t="s">
        <v>38</v>
      </c>
      <c r="O3690" s="2">
        <v>104.94</v>
      </c>
      <c r="P3690" s="2">
        <v>54.21</v>
      </c>
      <c r="Q3690" s="2">
        <v>50.73</v>
      </c>
      <c r="R3690">
        <v>1</v>
      </c>
      <c r="S3690">
        <v>0</v>
      </c>
      <c r="T3690">
        <v>5</v>
      </c>
      <c r="U3690">
        <v>4</v>
      </c>
    </row>
    <row r="3691" spans="1:21" ht="16.5" x14ac:dyDescent="0.3">
      <c r="A3691" t="s">
        <v>3779</v>
      </c>
      <c r="B3691" s="1">
        <v>45833</v>
      </c>
      <c r="C3691">
        <v>2025</v>
      </c>
      <c r="D3691" t="s">
        <v>599</v>
      </c>
      <c r="E3691" t="s">
        <v>1000</v>
      </c>
      <c r="F3691" t="s">
        <v>24</v>
      </c>
      <c r="G3691" t="s">
        <v>25</v>
      </c>
      <c r="H3691" t="s">
        <v>32</v>
      </c>
      <c r="I3691" t="s">
        <v>27</v>
      </c>
      <c r="J3691" t="s">
        <v>33</v>
      </c>
      <c r="K3691">
        <v>3</v>
      </c>
      <c r="L3691" s="2">
        <v>78.510000000000005</v>
      </c>
      <c r="M3691" s="3">
        <v>0.1</v>
      </c>
      <c r="N3691" t="s">
        <v>29</v>
      </c>
      <c r="O3691" s="2">
        <v>211.98</v>
      </c>
      <c r="P3691" s="2">
        <v>124.57</v>
      </c>
      <c r="Q3691" s="2">
        <v>87.41</v>
      </c>
      <c r="R3691">
        <v>1</v>
      </c>
      <c r="S3691">
        <v>0</v>
      </c>
      <c r="T3691">
        <v>4</v>
      </c>
      <c r="U3691">
        <v>4</v>
      </c>
    </row>
    <row r="3692" spans="1:21" ht="16.5" x14ac:dyDescent="0.3">
      <c r="A3692" t="s">
        <v>3780</v>
      </c>
      <c r="B3692" s="1">
        <v>45833</v>
      </c>
      <c r="C3692">
        <v>2025</v>
      </c>
      <c r="D3692" t="s">
        <v>599</v>
      </c>
      <c r="E3692" t="s">
        <v>1000</v>
      </c>
      <c r="F3692" t="s">
        <v>24</v>
      </c>
      <c r="G3692" t="s">
        <v>51</v>
      </c>
      <c r="H3692" t="s">
        <v>26</v>
      </c>
      <c r="I3692" t="s">
        <v>36</v>
      </c>
      <c r="J3692" t="s">
        <v>115</v>
      </c>
      <c r="K3692">
        <v>3</v>
      </c>
      <c r="L3692" s="2">
        <v>33.479999999999997</v>
      </c>
      <c r="M3692" s="3">
        <v>0.1</v>
      </c>
      <c r="N3692" t="s">
        <v>29</v>
      </c>
      <c r="O3692" s="2">
        <v>90.4</v>
      </c>
      <c r="P3692" s="2">
        <v>48.57</v>
      </c>
      <c r="Q3692" s="2">
        <v>41.83</v>
      </c>
      <c r="R3692">
        <v>1</v>
      </c>
      <c r="S3692">
        <v>1</v>
      </c>
      <c r="T3692">
        <v>4</v>
      </c>
      <c r="U3692">
        <v>4</v>
      </c>
    </row>
    <row r="3693" spans="1:21" ht="16.5" x14ac:dyDescent="0.3">
      <c r="A3693" t="s">
        <v>3781</v>
      </c>
      <c r="B3693" s="1">
        <v>45834</v>
      </c>
      <c r="C3693">
        <v>2025</v>
      </c>
      <c r="D3693" t="s">
        <v>599</v>
      </c>
      <c r="E3693" t="s">
        <v>1000</v>
      </c>
      <c r="F3693" t="s">
        <v>31</v>
      </c>
      <c r="G3693" t="s">
        <v>51</v>
      </c>
      <c r="H3693" t="s">
        <v>26</v>
      </c>
      <c r="I3693" t="s">
        <v>27</v>
      </c>
      <c r="J3693" t="s">
        <v>40</v>
      </c>
      <c r="K3693">
        <v>1</v>
      </c>
      <c r="L3693" s="2">
        <v>104.94</v>
      </c>
      <c r="M3693" s="3">
        <v>0.05</v>
      </c>
      <c r="N3693" t="s">
        <v>29</v>
      </c>
      <c r="O3693" s="2">
        <v>99.69</v>
      </c>
      <c r="P3693" s="2">
        <v>57.67</v>
      </c>
      <c r="Q3693" s="2">
        <v>42.02</v>
      </c>
      <c r="R3693">
        <v>1</v>
      </c>
      <c r="S3693">
        <v>0</v>
      </c>
      <c r="T3693">
        <v>3</v>
      </c>
      <c r="U3693">
        <v>5</v>
      </c>
    </row>
    <row r="3694" spans="1:21" ht="16.5" x14ac:dyDescent="0.3">
      <c r="A3694" t="s">
        <v>3782</v>
      </c>
      <c r="B3694" s="1">
        <v>45834</v>
      </c>
      <c r="C3694">
        <v>2025</v>
      </c>
      <c r="D3694" t="s">
        <v>599</v>
      </c>
      <c r="E3694" t="s">
        <v>1000</v>
      </c>
      <c r="F3694" t="s">
        <v>31</v>
      </c>
      <c r="G3694" t="s">
        <v>49</v>
      </c>
      <c r="H3694" t="s">
        <v>26</v>
      </c>
      <c r="I3694" t="s">
        <v>67</v>
      </c>
      <c r="J3694" t="s">
        <v>174</v>
      </c>
      <c r="K3694">
        <v>1</v>
      </c>
      <c r="L3694" s="2">
        <v>137.05000000000001</v>
      </c>
      <c r="M3694" s="3">
        <v>0.1</v>
      </c>
      <c r="N3694" t="s">
        <v>29</v>
      </c>
      <c r="O3694" s="2">
        <v>123.35</v>
      </c>
      <c r="P3694" s="2">
        <v>91.7</v>
      </c>
      <c r="Q3694" s="2">
        <v>31.65</v>
      </c>
      <c r="R3694">
        <v>1</v>
      </c>
      <c r="S3694">
        <v>0</v>
      </c>
      <c r="T3694">
        <v>4</v>
      </c>
      <c r="U3694">
        <v>5</v>
      </c>
    </row>
    <row r="3695" spans="1:21" ht="16.5" x14ac:dyDescent="0.3">
      <c r="A3695" t="s">
        <v>3783</v>
      </c>
      <c r="B3695" s="1">
        <v>45834</v>
      </c>
      <c r="C3695">
        <v>2025</v>
      </c>
      <c r="D3695" t="s">
        <v>599</v>
      </c>
      <c r="E3695" t="s">
        <v>1000</v>
      </c>
      <c r="F3695" t="s">
        <v>31</v>
      </c>
      <c r="G3695" t="s">
        <v>49</v>
      </c>
      <c r="H3695" t="s">
        <v>26</v>
      </c>
      <c r="I3695" t="s">
        <v>70</v>
      </c>
      <c r="J3695" t="s">
        <v>252</v>
      </c>
      <c r="K3695">
        <v>2</v>
      </c>
      <c r="L3695" s="2">
        <v>216.08</v>
      </c>
      <c r="M3695" s="3">
        <v>0.05</v>
      </c>
      <c r="N3695" t="s">
        <v>29</v>
      </c>
      <c r="O3695" s="2">
        <v>410.55</v>
      </c>
      <c r="P3695" s="2">
        <v>345.82</v>
      </c>
      <c r="Q3695" s="2">
        <v>64.73</v>
      </c>
      <c r="R3695">
        <v>1</v>
      </c>
      <c r="S3695">
        <v>0</v>
      </c>
      <c r="T3695">
        <v>3</v>
      </c>
      <c r="U3695">
        <v>4</v>
      </c>
    </row>
    <row r="3696" spans="1:21" ht="16.5" x14ac:dyDescent="0.3">
      <c r="A3696" t="s">
        <v>3784</v>
      </c>
      <c r="B3696" s="1">
        <v>45834</v>
      </c>
      <c r="C3696">
        <v>2025</v>
      </c>
      <c r="D3696" t="s">
        <v>599</v>
      </c>
      <c r="E3696" t="s">
        <v>1000</v>
      </c>
      <c r="F3696" t="s">
        <v>24</v>
      </c>
      <c r="G3696" t="s">
        <v>65</v>
      </c>
      <c r="H3696" t="s">
        <v>32</v>
      </c>
      <c r="I3696" t="s">
        <v>70</v>
      </c>
      <c r="J3696" t="s">
        <v>71</v>
      </c>
      <c r="K3696">
        <v>1</v>
      </c>
      <c r="L3696" s="2">
        <v>588.41</v>
      </c>
      <c r="M3696" s="3">
        <v>0</v>
      </c>
      <c r="N3696" t="s">
        <v>38</v>
      </c>
      <c r="O3696" s="2">
        <v>588.41</v>
      </c>
      <c r="P3696" s="2">
        <v>473.63</v>
      </c>
      <c r="Q3696" s="2">
        <v>114.78</v>
      </c>
      <c r="R3696">
        <v>1</v>
      </c>
      <c r="S3696">
        <v>0</v>
      </c>
      <c r="T3696">
        <v>5</v>
      </c>
      <c r="U3696">
        <v>4</v>
      </c>
    </row>
    <row r="3697" spans="1:21" ht="16.5" x14ac:dyDescent="0.3">
      <c r="A3697" t="s">
        <v>3785</v>
      </c>
      <c r="B3697" s="1">
        <v>45834</v>
      </c>
      <c r="C3697">
        <v>2025</v>
      </c>
      <c r="D3697" t="s">
        <v>599</v>
      </c>
      <c r="E3697" t="s">
        <v>1000</v>
      </c>
      <c r="F3697" t="s">
        <v>24</v>
      </c>
      <c r="G3697" t="s">
        <v>25</v>
      </c>
      <c r="H3697" t="s">
        <v>32</v>
      </c>
      <c r="I3697" t="s">
        <v>36</v>
      </c>
      <c r="J3697" t="s">
        <v>56</v>
      </c>
      <c r="K3697">
        <v>1</v>
      </c>
      <c r="L3697" s="2">
        <v>74.3</v>
      </c>
      <c r="M3697" s="3">
        <v>0.25</v>
      </c>
      <c r="N3697" t="s">
        <v>62</v>
      </c>
      <c r="O3697" s="2">
        <v>55.72</v>
      </c>
      <c r="P3697" s="2">
        <v>36.520000000000003</v>
      </c>
      <c r="Q3697" s="2">
        <v>19.2</v>
      </c>
      <c r="R3697">
        <v>1</v>
      </c>
      <c r="S3697">
        <v>0</v>
      </c>
      <c r="T3697">
        <v>4</v>
      </c>
      <c r="U3697">
        <v>5</v>
      </c>
    </row>
    <row r="3698" spans="1:21" ht="16.5" x14ac:dyDescent="0.3">
      <c r="A3698" t="s">
        <v>3786</v>
      </c>
      <c r="B3698" s="1">
        <v>45834</v>
      </c>
      <c r="C3698">
        <v>2025</v>
      </c>
      <c r="D3698" t="s">
        <v>599</v>
      </c>
      <c r="E3698" t="s">
        <v>1000</v>
      </c>
      <c r="F3698" t="s">
        <v>45</v>
      </c>
      <c r="G3698" t="s">
        <v>49</v>
      </c>
      <c r="H3698" t="s">
        <v>32</v>
      </c>
      <c r="I3698" t="s">
        <v>84</v>
      </c>
      <c r="J3698" t="s">
        <v>223</v>
      </c>
      <c r="K3698">
        <v>2</v>
      </c>
      <c r="L3698" s="2">
        <v>16.97</v>
      </c>
      <c r="M3698" s="3">
        <v>0.05</v>
      </c>
      <c r="N3698" t="s">
        <v>29</v>
      </c>
      <c r="O3698" s="2">
        <v>32.24</v>
      </c>
      <c r="P3698" s="2">
        <v>24.92</v>
      </c>
      <c r="Q3698" s="2">
        <v>7.32</v>
      </c>
      <c r="R3698">
        <v>1</v>
      </c>
      <c r="S3698">
        <v>0</v>
      </c>
      <c r="T3698">
        <v>5</v>
      </c>
      <c r="U3698">
        <v>5</v>
      </c>
    </row>
    <row r="3699" spans="1:21" ht="16.5" x14ac:dyDescent="0.3">
      <c r="A3699" t="s">
        <v>3787</v>
      </c>
      <c r="B3699" s="1">
        <v>45835</v>
      </c>
      <c r="C3699">
        <v>2025</v>
      </c>
      <c r="D3699" t="s">
        <v>599</v>
      </c>
      <c r="E3699" t="s">
        <v>1000</v>
      </c>
      <c r="F3699" t="s">
        <v>24</v>
      </c>
      <c r="G3699" t="s">
        <v>51</v>
      </c>
      <c r="H3699" t="s">
        <v>26</v>
      </c>
      <c r="I3699" t="s">
        <v>27</v>
      </c>
      <c r="J3699" t="s">
        <v>110</v>
      </c>
      <c r="K3699">
        <v>1</v>
      </c>
      <c r="L3699" s="2">
        <v>19.41</v>
      </c>
      <c r="M3699" s="3">
        <v>0.05</v>
      </c>
      <c r="N3699" t="s">
        <v>29</v>
      </c>
      <c r="O3699" s="2">
        <v>18.440000000000001</v>
      </c>
      <c r="P3699" s="2">
        <v>10.39</v>
      </c>
      <c r="Q3699" s="2">
        <v>8.0500000000000007</v>
      </c>
      <c r="R3699">
        <v>1</v>
      </c>
      <c r="S3699">
        <v>0</v>
      </c>
      <c r="T3699">
        <v>4</v>
      </c>
      <c r="U3699">
        <v>5</v>
      </c>
    </row>
    <row r="3700" spans="1:21" ht="16.5" x14ac:dyDescent="0.3">
      <c r="A3700" t="s">
        <v>3788</v>
      </c>
      <c r="B3700" s="1">
        <v>45835</v>
      </c>
      <c r="C3700">
        <v>2025</v>
      </c>
      <c r="D3700" t="s">
        <v>599</v>
      </c>
      <c r="E3700" t="s">
        <v>1000</v>
      </c>
      <c r="F3700" t="s">
        <v>31</v>
      </c>
      <c r="G3700" t="s">
        <v>65</v>
      </c>
      <c r="H3700" t="s">
        <v>32</v>
      </c>
      <c r="I3700" t="s">
        <v>27</v>
      </c>
      <c r="J3700" t="s">
        <v>110</v>
      </c>
      <c r="K3700">
        <v>2</v>
      </c>
      <c r="L3700" s="2">
        <v>19.41</v>
      </c>
      <c r="M3700" s="3">
        <v>0</v>
      </c>
      <c r="N3700" t="s">
        <v>38</v>
      </c>
      <c r="O3700" s="2">
        <v>38.82</v>
      </c>
      <c r="P3700" s="2">
        <v>21.68</v>
      </c>
      <c r="Q3700" s="2">
        <v>17.14</v>
      </c>
      <c r="R3700">
        <v>1</v>
      </c>
      <c r="S3700">
        <v>0</v>
      </c>
      <c r="T3700">
        <v>6</v>
      </c>
      <c r="U3700">
        <v>4</v>
      </c>
    </row>
    <row r="3701" spans="1:21" ht="16.5" x14ac:dyDescent="0.3">
      <c r="A3701" t="s">
        <v>3789</v>
      </c>
      <c r="B3701" s="1">
        <v>45835</v>
      </c>
      <c r="C3701">
        <v>2025</v>
      </c>
      <c r="D3701" t="s">
        <v>599</v>
      </c>
      <c r="E3701" t="s">
        <v>1000</v>
      </c>
      <c r="F3701" t="s">
        <v>31</v>
      </c>
      <c r="G3701" t="s">
        <v>25</v>
      </c>
      <c r="H3701" t="s">
        <v>26</v>
      </c>
      <c r="I3701" t="s">
        <v>84</v>
      </c>
      <c r="J3701" t="s">
        <v>96</v>
      </c>
      <c r="K3701">
        <v>2</v>
      </c>
      <c r="L3701" s="2">
        <v>10.76</v>
      </c>
      <c r="M3701" s="3">
        <v>0</v>
      </c>
      <c r="N3701" t="s">
        <v>38</v>
      </c>
      <c r="O3701" s="2">
        <v>21.52</v>
      </c>
      <c r="P3701" s="2">
        <v>15.89</v>
      </c>
      <c r="Q3701" s="2">
        <v>5.63</v>
      </c>
      <c r="R3701">
        <v>1</v>
      </c>
      <c r="S3701">
        <v>0</v>
      </c>
      <c r="T3701">
        <v>3</v>
      </c>
      <c r="U3701">
        <v>4</v>
      </c>
    </row>
    <row r="3702" spans="1:21" ht="16.5" x14ac:dyDescent="0.3">
      <c r="A3702" t="s">
        <v>3790</v>
      </c>
      <c r="B3702" s="1">
        <v>45835</v>
      </c>
      <c r="C3702">
        <v>2025</v>
      </c>
      <c r="D3702" t="s">
        <v>599</v>
      </c>
      <c r="E3702" t="s">
        <v>1000</v>
      </c>
      <c r="F3702" t="s">
        <v>31</v>
      </c>
      <c r="G3702" t="s">
        <v>51</v>
      </c>
      <c r="H3702" t="s">
        <v>32</v>
      </c>
      <c r="I3702" t="s">
        <v>84</v>
      </c>
      <c r="J3702" t="s">
        <v>85</v>
      </c>
      <c r="K3702">
        <v>2</v>
      </c>
      <c r="L3702" s="2">
        <v>57.92</v>
      </c>
      <c r="M3702" s="3">
        <v>0</v>
      </c>
      <c r="N3702" t="s">
        <v>38</v>
      </c>
      <c r="O3702" s="2">
        <v>115.84</v>
      </c>
      <c r="P3702" s="2">
        <v>84.96</v>
      </c>
      <c r="Q3702" s="2">
        <v>30.88</v>
      </c>
      <c r="R3702">
        <v>1</v>
      </c>
      <c r="S3702">
        <v>0</v>
      </c>
      <c r="T3702">
        <v>3</v>
      </c>
      <c r="U3702">
        <v>5</v>
      </c>
    </row>
    <row r="3703" spans="1:21" ht="16.5" x14ac:dyDescent="0.3">
      <c r="A3703" t="s">
        <v>3791</v>
      </c>
      <c r="B3703" s="1">
        <v>45835</v>
      </c>
      <c r="C3703">
        <v>2025</v>
      </c>
      <c r="D3703" t="s">
        <v>599</v>
      </c>
      <c r="E3703" t="s">
        <v>1000</v>
      </c>
      <c r="F3703" t="s">
        <v>31</v>
      </c>
      <c r="G3703" t="s">
        <v>65</v>
      </c>
      <c r="H3703" t="s">
        <v>32</v>
      </c>
      <c r="I3703" t="s">
        <v>70</v>
      </c>
      <c r="J3703" t="s">
        <v>162</v>
      </c>
      <c r="K3703">
        <v>1</v>
      </c>
      <c r="L3703" s="2">
        <v>636.09</v>
      </c>
      <c r="M3703" s="3">
        <v>0.15</v>
      </c>
      <c r="N3703" t="s">
        <v>34</v>
      </c>
      <c r="O3703" s="2">
        <v>540.67999999999995</v>
      </c>
      <c r="P3703" s="2">
        <v>513.85</v>
      </c>
      <c r="Q3703" s="2">
        <v>26.83</v>
      </c>
      <c r="R3703">
        <v>1</v>
      </c>
      <c r="S3703">
        <v>0</v>
      </c>
      <c r="T3703">
        <v>5</v>
      </c>
      <c r="U3703">
        <v>4</v>
      </c>
    </row>
    <row r="3704" spans="1:21" ht="16.5" x14ac:dyDescent="0.3">
      <c r="A3704" t="s">
        <v>3792</v>
      </c>
      <c r="B3704" s="1">
        <v>45835</v>
      </c>
      <c r="C3704">
        <v>2025</v>
      </c>
      <c r="D3704" t="s">
        <v>599</v>
      </c>
      <c r="E3704" t="s">
        <v>1000</v>
      </c>
      <c r="F3704" t="s">
        <v>31</v>
      </c>
      <c r="G3704" t="s">
        <v>49</v>
      </c>
      <c r="H3704" t="s">
        <v>32</v>
      </c>
      <c r="I3704" t="s">
        <v>42</v>
      </c>
      <c r="J3704" t="s">
        <v>58</v>
      </c>
      <c r="K3704">
        <v>4</v>
      </c>
      <c r="L3704" s="2">
        <v>233.81</v>
      </c>
      <c r="M3704" s="3">
        <v>0.05</v>
      </c>
      <c r="N3704" t="s">
        <v>29</v>
      </c>
      <c r="O3704" s="2">
        <v>888.48</v>
      </c>
      <c r="P3704" s="2">
        <v>633.12</v>
      </c>
      <c r="Q3704" s="2">
        <v>255.36</v>
      </c>
      <c r="R3704">
        <v>1</v>
      </c>
      <c r="S3704">
        <v>0</v>
      </c>
      <c r="T3704">
        <v>4</v>
      </c>
      <c r="U3704">
        <v>4</v>
      </c>
    </row>
    <row r="3705" spans="1:21" ht="16.5" x14ac:dyDescent="0.3">
      <c r="A3705" t="s">
        <v>3793</v>
      </c>
      <c r="B3705" s="1">
        <v>45835</v>
      </c>
      <c r="C3705">
        <v>2025</v>
      </c>
      <c r="D3705" t="s">
        <v>599</v>
      </c>
      <c r="E3705" t="s">
        <v>1000</v>
      </c>
      <c r="F3705" t="s">
        <v>31</v>
      </c>
      <c r="G3705" t="s">
        <v>25</v>
      </c>
      <c r="H3705" t="s">
        <v>26</v>
      </c>
      <c r="I3705" t="s">
        <v>70</v>
      </c>
      <c r="J3705" t="s">
        <v>252</v>
      </c>
      <c r="K3705">
        <v>1</v>
      </c>
      <c r="L3705" s="2">
        <v>216.08</v>
      </c>
      <c r="M3705" s="3">
        <v>0</v>
      </c>
      <c r="N3705" t="s">
        <v>38</v>
      </c>
      <c r="O3705" s="2">
        <v>216.08</v>
      </c>
      <c r="P3705" s="2">
        <v>170.75</v>
      </c>
      <c r="Q3705" s="2">
        <v>45.33</v>
      </c>
      <c r="R3705">
        <v>1</v>
      </c>
      <c r="S3705">
        <v>0</v>
      </c>
      <c r="T3705">
        <v>5</v>
      </c>
      <c r="U3705">
        <v>5</v>
      </c>
    </row>
    <row r="3706" spans="1:21" ht="16.5" x14ac:dyDescent="0.3">
      <c r="A3706" t="s">
        <v>3794</v>
      </c>
      <c r="B3706" s="1">
        <v>45835</v>
      </c>
      <c r="C3706">
        <v>2025</v>
      </c>
      <c r="D3706" t="s">
        <v>599</v>
      </c>
      <c r="E3706" t="s">
        <v>1000</v>
      </c>
      <c r="F3706" t="s">
        <v>31</v>
      </c>
      <c r="G3706" t="s">
        <v>25</v>
      </c>
      <c r="H3706" t="s">
        <v>32</v>
      </c>
      <c r="I3706" t="s">
        <v>36</v>
      </c>
      <c r="J3706" t="s">
        <v>115</v>
      </c>
      <c r="K3706">
        <v>2</v>
      </c>
      <c r="L3706" s="2">
        <v>33.479999999999997</v>
      </c>
      <c r="M3706" s="3">
        <v>0.05</v>
      </c>
      <c r="N3706" t="s">
        <v>29</v>
      </c>
      <c r="O3706" s="2">
        <v>63.61</v>
      </c>
      <c r="P3706" s="2">
        <v>33.049999999999997</v>
      </c>
      <c r="Q3706" s="2">
        <v>30.56</v>
      </c>
      <c r="R3706">
        <v>1</v>
      </c>
      <c r="S3706">
        <v>0</v>
      </c>
      <c r="T3706">
        <v>3</v>
      </c>
      <c r="U3706">
        <v>4</v>
      </c>
    </row>
    <row r="3707" spans="1:21" ht="16.5" x14ac:dyDescent="0.3">
      <c r="A3707" t="s">
        <v>3795</v>
      </c>
      <c r="B3707" s="1">
        <v>45835</v>
      </c>
      <c r="C3707">
        <v>2025</v>
      </c>
      <c r="D3707" t="s">
        <v>599</v>
      </c>
      <c r="E3707" t="s">
        <v>1000</v>
      </c>
      <c r="F3707" t="s">
        <v>24</v>
      </c>
      <c r="G3707" t="s">
        <v>46</v>
      </c>
      <c r="H3707" t="s">
        <v>32</v>
      </c>
      <c r="I3707" t="s">
        <v>36</v>
      </c>
      <c r="J3707" t="s">
        <v>126</v>
      </c>
      <c r="K3707">
        <v>1</v>
      </c>
      <c r="L3707" s="2">
        <v>54.56</v>
      </c>
      <c r="M3707" s="3">
        <v>0</v>
      </c>
      <c r="N3707" t="s">
        <v>38</v>
      </c>
      <c r="O3707" s="2">
        <v>54.56</v>
      </c>
      <c r="P3707" s="2">
        <v>27.76</v>
      </c>
      <c r="Q3707" s="2">
        <v>26.8</v>
      </c>
      <c r="R3707">
        <v>1</v>
      </c>
      <c r="S3707">
        <v>0</v>
      </c>
      <c r="T3707">
        <v>7</v>
      </c>
      <c r="U3707">
        <v>3</v>
      </c>
    </row>
    <row r="3708" spans="1:21" ht="16.5" x14ac:dyDescent="0.3">
      <c r="A3708" t="s">
        <v>3796</v>
      </c>
      <c r="B3708" s="1">
        <v>45835</v>
      </c>
      <c r="C3708">
        <v>2025</v>
      </c>
      <c r="D3708" t="s">
        <v>599</v>
      </c>
      <c r="E3708" t="s">
        <v>1000</v>
      </c>
      <c r="F3708" t="s">
        <v>24</v>
      </c>
      <c r="G3708" t="s">
        <v>51</v>
      </c>
      <c r="H3708" t="s">
        <v>32</v>
      </c>
      <c r="I3708" t="s">
        <v>42</v>
      </c>
      <c r="J3708" t="s">
        <v>58</v>
      </c>
      <c r="K3708">
        <v>1</v>
      </c>
      <c r="L3708" s="2">
        <v>233.81</v>
      </c>
      <c r="M3708" s="3">
        <v>0.25</v>
      </c>
      <c r="N3708" t="s">
        <v>62</v>
      </c>
      <c r="O3708" s="2">
        <v>175.36</v>
      </c>
      <c r="P3708" s="2">
        <v>153.44</v>
      </c>
      <c r="Q3708" s="2">
        <v>21.92</v>
      </c>
      <c r="R3708">
        <v>1</v>
      </c>
      <c r="S3708">
        <v>0</v>
      </c>
      <c r="T3708">
        <v>4</v>
      </c>
      <c r="U3708">
        <v>5</v>
      </c>
    </row>
    <row r="3709" spans="1:21" ht="16.5" x14ac:dyDescent="0.3">
      <c r="A3709" t="s">
        <v>3797</v>
      </c>
      <c r="B3709" s="1">
        <v>45835</v>
      </c>
      <c r="C3709">
        <v>2025</v>
      </c>
      <c r="D3709" t="s">
        <v>599</v>
      </c>
      <c r="E3709" t="s">
        <v>1000</v>
      </c>
      <c r="F3709" t="s">
        <v>31</v>
      </c>
      <c r="G3709" t="s">
        <v>51</v>
      </c>
      <c r="H3709" t="s">
        <v>26</v>
      </c>
      <c r="I3709" t="s">
        <v>42</v>
      </c>
      <c r="J3709" t="s">
        <v>54</v>
      </c>
      <c r="K3709">
        <v>1</v>
      </c>
      <c r="L3709" s="2">
        <v>148.05000000000001</v>
      </c>
      <c r="M3709" s="3">
        <v>0.05</v>
      </c>
      <c r="N3709" t="s">
        <v>29</v>
      </c>
      <c r="O3709" s="2">
        <v>140.65</v>
      </c>
      <c r="P3709" s="2">
        <v>97.4</v>
      </c>
      <c r="Q3709" s="2">
        <v>43.25</v>
      </c>
      <c r="R3709">
        <v>1</v>
      </c>
      <c r="S3709">
        <v>0</v>
      </c>
      <c r="T3709">
        <v>2</v>
      </c>
      <c r="U3709">
        <v>4</v>
      </c>
    </row>
    <row r="3710" spans="1:21" ht="16.5" x14ac:dyDescent="0.3">
      <c r="A3710" t="s">
        <v>3798</v>
      </c>
      <c r="B3710" s="1">
        <v>45835</v>
      </c>
      <c r="C3710">
        <v>2025</v>
      </c>
      <c r="D3710" t="s">
        <v>599</v>
      </c>
      <c r="E3710" t="s">
        <v>1000</v>
      </c>
      <c r="F3710" t="s">
        <v>45</v>
      </c>
      <c r="G3710" t="s">
        <v>25</v>
      </c>
      <c r="H3710" t="s">
        <v>26</v>
      </c>
      <c r="I3710" t="s">
        <v>36</v>
      </c>
      <c r="J3710" t="s">
        <v>115</v>
      </c>
      <c r="K3710">
        <v>4</v>
      </c>
      <c r="L3710" s="2">
        <v>33.479999999999997</v>
      </c>
      <c r="M3710" s="3">
        <v>0.05</v>
      </c>
      <c r="N3710" t="s">
        <v>29</v>
      </c>
      <c r="O3710" s="2">
        <v>127.22</v>
      </c>
      <c r="P3710" s="2">
        <v>63.56</v>
      </c>
      <c r="Q3710" s="2">
        <v>63.66</v>
      </c>
      <c r="R3710">
        <v>1</v>
      </c>
      <c r="S3710">
        <v>0</v>
      </c>
      <c r="T3710">
        <v>3</v>
      </c>
      <c r="U3710">
        <v>5</v>
      </c>
    </row>
    <row r="3711" spans="1:21" ht="16.5" x14ac:dyDescent="0.3">
      <c r="A3711" t="s">
        <v>3799</v>
      </c>
      <c r="B3711" s="1">
        <v>45835</v>
      </c>
      <c r="C3711">
        <v>2025</v>
      </c>
      <c r="D3711" t="s">
        <v>599</v>
      </c>
      <c r="E3711" t="s">
        <v>1000</v>
      </c>
      <c r="F3711" t="s">
        <v>31</v>
      </c>
      <c r="G3711" t="s">
        <v>65</v>
      </c>
      <c r="H3711" t="s">
        <v>26</v>
      </c>
      <c r="I3711" t="s">
        <v>70</v>
      </c>
      <c r="J3711" t="s">
        <v>87</v>
      </c>
      <c r="K3711">
        <v>1</v>
      </c>
      <c r="L3711" s="2">
        <v>490.3</v>
      </c>
      <c r="M3711" s="3">
        <v>0</v>
      </c>
      <c r="N3711" t="s">
        <v>38</v>
      </c>
      <c r="O3711" s="2">
        <v>490.3</v>
      </c>
      <c r="P3711" s="2">
        <v>387.18</v>
      </c>
      <c r="Q3711" s="2">
        <v>103.12</v>
      </c>
      <c r="R3711">
        <v>1</v>
      </c>
      <c r="S3711">
        <v>0</v>
      </c>
      <c r="T3711">
        <v>6</v>
      </c>
      <c r="U3711">
        <v>4</v>
      </c>
    </row>
    <row r="3712" spans="1:21" ht="16.5" x14ac:dyDescent="0.3">
      <c r="A3712" t="s">
        <v>3800</v>
      </c>
      <c r="B3712" s="1">
        <v>45836</v>
      </c>
      <c r="C3712">
        <v>2025</v>
      </c>
      <c r="D3712" t="s">
        <v>599</v>
      </c>
      <c r="E3712" t="s">
        <v>1000</v>
      </c>
      <c r="F3712" t="s">
        <v>24</v>
      </c>
      <c r="G3712" t="s">
        <v>65</v>
      </c>
      <c r="H3712" t="s">
        <v>32</v>
      </c>
      <c r="I3712" t="s">
        <v>67</v>
      </c>
      <c r="J3712" t="s">
        <v>93</v>
      </c>
      <c r="K3712">
        <v>2</v>
      </c>
      <c r="L3712" s="2">
        <v>198.42</v>
      </c>
      <c r="M3712" s="3">
        <v>0</v>
      </c>
      <c r="N3712" t="s">
        <v>38</v>
      </c>
      <c r="O3712" s="2">
        <v>396.84</v>
      </c>
      <c r="P3712" s="2">
        <v>261.74</v>
      </c>
      <c r="Q3712" s="2">
        <v>135.1</v>
      </c>
      <c r="R3712">
        <v>1</v>
      </c>
      <c r="S3712">
        <v>0</v>
      </c>
      <c r="T3712">
        <v>5</v>
      </c>
      <c r="U3712">
        <v>4</v>
      </c>
    </row>
    <row r="3713" spans="1:21" ht="16.5" x14ac:dyDescent="0.3">
      <c r="A3713" t="s">
        <v>3801</v>
      </c>
      <c r="B3713" s="1">
        <v>45836</v>
      </c>
      <c r="C3713">
        <v>2025</v>
      </c>
      <c r="D3713" t="s">
        <v>599</v>
      </c>
      <c r="E3713" t="s">
        <v>1000</v>
      </c>
      <c r="F3713" t="s">
        <v>24</v>
      </c>
      <c r="G3713" t="s">
        <v>49</v>
      </c>
      <c r="H3713" t="s">
        <v>26</v>
      </c>
      <c r="I3713" t="s">
        <v>70</v>
      </c>
      <c r="J3713" t="s">
        <v>71</v>
      </c>
      <c r="K3713">
        <v>1</v>
      </c>
      <c r="L3713" s="2">
        <v>588.41</v>
      </c>
      <c r="M3713" s="3">
        <v>0</v>
      </c>
      <c r="N3713" t="s">
        <v>38</v>
      </c>
      <c r="O3713" s="2">
        <v>588.41</v>
      </c>
      <c r="P3713" s="2">
        <v>485.78</v>
      </c>
      <c r="Q3713" s="2">
        <v>102.63</v>
      </c>
      <c r="R3713">
        <v>1</v>
      </c>
      <c r="S3713">
        <v>0</v>
      </c>
      <c r="T3713">
        <v>4</v>
      </c>
      <c r="U3713">
        <v>5</v>
      </c>
    </row>
    <row r="3714" spans="1:21" ht="16.5" x14ac:dyDescent="0.3">
      <c r="A3714" t="s">
        <v>3802</v>
      </c>
      <c r="B3714" s="1">
        <v>45836</v>
      </c>
      <c r="C3714">
        <v>2025</v>
      </c>
      <c r="D3714" t="s">
        <v>599</v>
      </c>
      <c r="E3714" t="s">
        <v>1000</v>
      </c>
      <c r="F3714" t="s">
        <v>24</v>
      </c>
      <c r="G3714" t="s">
        <v>51</v>
      </c>
      <c r="H3714" t="s">
        <v>26</v>
      </c>
      <c r="I3714" t="s">
        <v>27</v>
      </c>
      <c r="J3714" t="s">
        <v>28</v>
      </c>
      <c r="K3714">
        <v>1</v>
      </c>
      <c r="L3714" s="2">
        <v>138.5</v>
      </c>
      <c r="M3714" s="3">
        <v>0</v>
      </c>
      <c r="N3714" t="s">
        <v>38</v>
      </c>
      <c r="O3714" s="2">
        <v>138.5</v>
      </c>
      <c r="P3714" s="2">
        <v>74.459999999999994</v>
      </c>
      <c r="Q3714" s="2">
        <v>64.040000000000006</v>
      </c>
      <c r="R3714">
        <v>1</v>
      </c>
      <c r="S3714">
        <v>0</v>
      </c>
      <c r="T3714">
        <v>3</v>
      </c>
      <c r="U3714">
        <v>5</v>
      </c>
    </row>
    <row r="3715" spans="1:21" ht="16.5" x14ac:dyDescent="0.3">
      <c r="A3715" t="s">
        <v>3803</v>
      </c>
      <c r="B3715" s="1">
        <v>45836</v>
      </c>
      <c r="C3715">
        <v>2025</v>
      </c>
      <c r="D3715" t="s">
        <v>599</v>
      </c>
      <c r="E3715" t="s">
        <v>1000</v>
      </c>
      <c r="F3715" t="s">
        <v>31</v>
      </c>
      <c r="G3715" t="s">
        <v>51</v>
      </c>
      <c r="H3715" t="s">
        <v>26</v>
      </c>
      <c r="I3715" t="s">
        <v>42</v>
      </c>
      <c r="J3715" t="s">
        <v>89</v>
      </c>
      <c r="K3715">
        <v>1</v>
      </c>
      <c r="L3715" s="2">
        <v>68.349999999999994</v>
      </c>
      <c r="M3715" s="3">
        <v>0.05</v>
      </c>
      <c r="N3715" t="s">
        <v>29</v>
      </c>
      <c r="O3715" s="2">
        <v>64.930000000000007</v>
      </c>
      <c r="P3715" s="2">
        <v>45.46</v>
      </c>
      <c r="Q3715" s="2">
        <v>19.47</v>
      </c>
      <c r="R3715">
        <v>1</v>
      </c>
      <c r="S3715">
        <v>0</v>
      </c>
      <c r="T3715">
        <v>3</v>
      </c>
      <c r="U3715">
        <v>5</v>
      </c>
    </row>
    <row r="3716" spans="1:21" ht="16.5" x14ac:dyDescent="0.3">
      <c r="A3716" t="s">
        <v>3804</v>
      </c>
      <c r="B3716" s="1">
        <v>45836</v>
      </c>
      <c r="C3716">
        <v>2025</v>
      </c>
      <c r="D3716" t="s">
        <v>599</v>
      </c>
      <c r="E3716" t="s">
        <v>1000</v>
      </c>
      <c r="F3716" t="s">
        <v>31</v>
      </c>
      <c r="G3716" t="s">
        <v>25</v>
      </c>
      <c r="H3716" t="s">
        <v>32</v>
      </c>
      <c r="I3716" t="s">
        <v>70</v>
      </c>
      <c r="J3716" t="s">
        <v>129</v>
      </c>
      <c r="K3716">
        <v>1</v>
      </c>
      <c r="L3716" s="2">
        <v>177.65</v>
      </c>
      <c r="M3716" s="3">
        <v>0.1</v>
      </c>
      <c r="N3716" t="s">
        <v>29</v>
      </c>
      <c r="O3716" s="2">
        <v>159.88999999999999</v>
      </c>
      <c r="P3716" s="2">
        <v>141.38999999999999</v>
      </c>
      <c r="Q3716" s="2">
        <v>18.5</v>
      </c>
      <c r="R3716">
        <v>1</v>
      </c>
      <c r="S3716">
        <v>0</v>
      </c>
      <c r="T3716">
        <v>4</v>
      </c>
      <c r="U3716">
        <v>5</v>
      </c>
    </row>
    <row r="3717" spans="1:21" ht="16.5" x14ac:dyDescent="0.3">
      <c r="A3717" t="s">
        <v>3805</v>
      </c>
      <c r="B3717" s="1">
        <v>45836</v>
      </c>
      <c r="C3717">
        <v>2025</v>
      </c>
      <c r="D3717" t="s">
        <v>599</v>
      </c>
      <c r="E3717" t="s">
        <v>1000</v>
      </c>
      <c r="F3717" t="s">
        <v>24</v>
      </c>
      <c r="G3717" t="s">
        <v>65</v>
      </c>
      <c r="H3717" t="s">
        <v>32</v>
      </c>
      <c r="I3717" t="s">
        <v>42</v>
      </c>
      <c r="J3717" t="s">
        <v>43</v>
      </c>
      <c r="K3717">
        <v>1</v>
      </c>
      <c r="L3717" s="2">
        <v>154.66</v>
      </c>
      <c r="M3717" s="3">
        <v>0</v>
      </c>
      <c r="N3717" t="s">
        <v>38</v>
      </c>
      <c r="O3717" s="2">
        <v>154.66</v>
      </c>
      <c r="P3717" s="2">
        <v>98.58</v>
      </c>
      <c r="Q3717" s="2">
        <v>56.08</v>
      </c>
      <c r="R3717">
        <v>1</v>
      </c>
      <c r="S3717">
        <v>0</v>
      </c>
      <c r="T3717">
        <v>6</v>
      </c>
      <c r="U3717">
        <v>3</v>
      </c>
    </row>
    <row r="3718" spans="1:21" ht="16.5" x14ac:dyDescent="0.3">
      <c r="A3718" t="s">
        <v>3806</v>
      </c>
      <c r="B3718" s="1">
        <v>45836</v>
      </c>
      <c r="C3718">
        <v>2025</v>
      </c>
      <c r="D3718" t="s">
        <v>599</v>
      </c>
      <c r="E3718" t="s">
        <v>1000</v>
      </c>
      <c r="F3718" t="s">
        <v>31</v>
      </c>
      <c r="G3718" t="s">
        <v>25</v>
      </c>
      <c r="H3718" t="s">
        <v>26</v>
      </c>
      <c r="I3718" t="s">
        <v>70</v>
      </c>
      <c r="J3718" t="s">
        <v>162</v>
      </c>
      <c r="K3718">
        <v>1</v>
      </c>
      <c r="L3718" s="2">
        <v>636.09</v>
      </c>
      <c r="M3718" s="3">
        <v>0.05</v>
      </c>
      <c r="N3718" t="s">
        <v>29</v>
      </c>
      <c r="O3718" s="2">
        <v>604.29</v>
      </c>
      <c r="P3718" s="2">
        <v>512.57000000000005</v>
      </c>
      <c r="Q3718" s="2">
        <v>91.72</v>
      </c>
      <c r="R3718">
        <v>1</v>
      </c>
      <c r="S3718">
        <v>0</v>
      </c>
      <c r="T3718">
        <v>3</v>
      </c>
      <c r="U3718">
        <v>5</v>
      </c>
    </row>
    <row r="3719" spans="1:21" ht="16.5" x14ac:dyDescent="0.3">
      <c r="A3719" t="s">
        <v>3807</v>
      </c>
      <c r="B3719" s="1">
        <v>45836</v>
      </c>
      <c r="C3719">
        <v>2025</v>
      </c>
      <c r="D3719" t="s">
        <v>599</v>
      </c>
      <c r="E3719" t="s">
        <v>1000</v>
      </c>
      <c r="F3719" t="s">
        <v>24</v>
      </c>
      <c r="G3719" t="s">
        <v>65</v>
      </c>
      <c r="H3719" t="s">
        <v>32</v>
      </c>
      <c r="I3719" t="s">
        <v>36</v>
      </c>
      <c r="J3719" t="s">
        <v>52</v>
      </c>
      <c r="K3719">
        <v>1</v>
      </c>
      <c r="L3719" s="2">
        <v>92.54</v>
      </c>
      <c r="M3719" s="3">
        <v>0.3</v>
      </c>
      <c r="N3719" t="s">
        <v>62</v>
      </c>
      <c r="O3719" s="2">
        <v>64.78</v>
      </c>
      <c r="P3719" s="2">
        <v>43.51</v>
      </c>
      <c r="Q3719" s="2">
        <v>21.27</v>
      </c>
      <c r="R3719">
        <v>1</v>
      </c>
      <c r="S3719">
        <v>0</v>
      </c>
      <c r="T3719">
        <v>5</v>
      </c>
      <c r="U3719">
        <v>4</v>
      </c>
    </row>
    <row r="3720" spans="1:21" ht="16.5" x14ac:dyDescent="0.3">
      <c r="A3720" t="s">
        <v>3808</v>
      </c>
      <c r="B3720" s="1">
        <v>45836</v>
      </c>
      <c r="C3720">
        <v>2025</v>
      </c>
      <c r="D3720" t="s">
        <v>599</v>
      </c>
      <c r="E3720" t="s">
        <v>1000</v>
      </c>
      <c r="F3720" t="s">
        <v>24</v>
      </c>
      <c r="G3720" t="s">
        <v>46</v>
      </c>
      <c r="H3720" t="s">
        <v>32</v>
      </c>
      <c r="I3720" t="s">
        <v>70</v>
      </c>
      <c r="J3720" t="s">
        <v>87</v>
      </c>
      <c r="K3720">
        <v>4</v>
      </c>
      <c r="L3720" s="2">
        <v>490.3</v>
      </c>
      <c r="M3720" s="3">
        <v>0</v>
      </c>
      <c r="N3720" t="s">
        <v>38</v>
      </c>
      <c r="O3720" s="2">
        <v>1961.2</v>
      </c>
      <c r="P3720" s="2">
        <v>1582.13</v>
      </c>
      <c r="Q3720" s="2">
        <v>379.07</v>
      </c>
      <c r="R3720">
        <v>1</v>
      </c>
      <c r="S3720">
        <v>0</v>
      </c>
      <c r="T3720">
        <v>6</v>
      </c>
      <c r="U3720">
        <v>4</v>
      </c>
    </row>
    <row r="3721" spans="1:21" ht="16.5" x14ac:dyDescent="0.3">
      <c r="A3721" t="s">
        <v>3809</v>
      </c>
      <c r="B3721" s="1">
        <v>45836</v>
      </c>
      <c r="C3721">
        <v>2025</v>
      </c>
      <c r="D3721" t="s">
        <v>599</v>
      </c>
      <c r="E3721" t="s">
        <v>1000</v>
      </c>
      <c r="F3721" t="s">
        <v>31</v>
      </c>
      <c r="G3721" t="s">
        <v>46</v>
      </c>
      <c r="H3721" t="s">
        <v>32</v>
      </c>
      <c r="I3721" t="s">
        <v>67</v>
      </c>
      <c r="J3721" t="s">
        <v>174</v>
      </c>
      <c r="K3721">
        <v>2</v>
      </c>
      <c r="L3721" s="2">
        <v>137.05000000000001</v>
      </c>
      <c r="M3721" s="3">
        <v>0.15</v>
      </c>
      <c r="N3721" t="s">
        <v>34</v>
      </c>
      <c r="O3721" s="2">
        <v>232.98</v>
      </c>
      <c r="P3721" s="2">
        <v>177.02</v>
      </c>
      <c r="Q3721" s="2">
        <v>55.96</v>
      </c>
      <c r="R3721">
        <v>1</v>
      </c>
      <c r="S3721">
        <v>0</v>
      </c>
      <c r="T3721">
        <v>5</v>
      </c>
      <c r="U3721">
        <v>4</v>
      </c>
    </row>
    <row r="3722" spans="1:21" ht="16.5" x14ac:dyDescent="0.3">
      <c r="A3722" t="s">
        <v>3810</v>
      </c>
      <c r="B3722" s="1">
        <v>45837</v>
      </c>
      <c r="C3722">
        <v>2025</v>
      </c>
      <c r="D3722" t="s">
        <v>599</v>
      </c>
      <c r="E3722" t="s">
        <v>1000</v>
      </c>
      <c r="F3722" t="s">
        <v>31</v>
      </c>
      <c r="G3722" t="s">
        <v>65</v>
      </c>
      <c r="H3722" t="s">
        <v>32</v>
      </c>
      <c r="I3722" t="s">
        <v>84</v>
      </c>
      <c r="J3722" t="s">
        <v>96</v>
      </c>
      <c r="K3722">
        <v>1</v>
      </c>
      <c r="L3722" s="2">
        <v>10.76</v>
      </c>
      <c r="M3722" s="3">
        <v>0.1</v>
      </c>
      <c r="N3722" t="s">
        <v>29</v>
      </c>
      <c r="O3722" s="2">
        <v>9.68</v>
      </c>
      <c r="P3722" s="2">
        <v>8.17</v>
      </c>
      <c r="Q3722" s="2">
        <v>1.51</v>
      </c>
      <c r="R3722">
        <v>1</v>
      </c>
      <c r="S3722">
        <v>0</v>
      </c>
      <c r="T3722">
        <v>6</v>
      </c>
      <c r="U3722">
        <v>4</v>
      </c>
    </row>
    <row r="3723" spans="1:21" ht="16.5" x14ac:dyDescent="0.3">
      <c r="A3723" t="s">
        <v>3811</v>
      </c>
      <c r="B3723" s="1">
        <v>45837</v>
      </c>
      <c r="C3723">
        <v>2025</v>
      </c>
      <c r="D3723" t="s">
        <v>599</v>
      </c>
      <c r="E3723" t="s">
        <v>1000</v>
      </c>
      <c r="F3723" t="s">
        <v>31</v>
      </c>
      <c r="G3723" t="s">
        <v>46</v>
      </c>
      <c r="H3723" t="s">
        <v>32</v>
      </c>
      <c r="I3723" t="s">
        <v>70</v>
      </c>
      <c r="J3723" t="s">
        <v>252</v>
      </c>
      <c r="K3723">
        <v>2</v>
      </c>
      <c r="L3723" s="2">
        <v>216.08</v>
      </c>
      <c r="M3723" s="3">
        <v>0.05</v>
      </c>
      <c r="N3723" t="s">
        <v>29</v>
      </c>
      <c r="O3723" s="2">
        <v>410.55</v>
      </c>
      <c r="P3723" s="2">
        <v>335.69</v>
      </c>
      <c r="Q3723" s="2">
        <v>74.86</v>
      </c>
      <c r="R3723">
        <v>1</v>
      </c>
      <c r="S3723">
        <v>0</v>
      </c>
      <c r="T3723">
        <v>5</v>
      </c>
      <c r="U3723">
        <v>4</v>
      </c>
    </row>
    <row r="3724" spans="1:21" ht="16.5" x14ac:dyDescent="0.3">
      <c r="A3724" t="s">
        <v>3812</v>
      </c>
      <c r="B3724" s="1">
        <v>45837</v>
      </c>
      <c r="C3724">
        <v>2025</v>
      </c>
      <c r="D3724" t="s">
        <v>599</v>
      </c>
      <c r="E3724" t="s">
        <v>1000</v>
      </c>
      <c r="F3724" t="s">
        <v>24</v>
      </c>
      <c r="G3724" t="s">
        <v>49</v>
      </c>
      <c r="H3724" t="s">
        <v>26</v>
      </c>
      <c r="I3724" t="s">
        <v>27</v>
      </c>
      <c r="J3724" t="s">
        <v>60</v>
      </c>
      <c r="K3724">
        <v>1</v>
      </c>
      <c r="L3724" s="2">
        <v>94.85</v>
      </c>
      <c r="M3724" s="3">
        <v>0</v>
      </c>
      <c r="N3724" t="s">
        <v>38</v>
      </c>
      <c r="O3724" s="2">
        <v>94.85</v>
      </c>
      <c r="P3724" s="2">
        <v>50.58</v>
      </c>
      <c r="Q3724" s="2">
        <v>44.27</v>
      </c>
      <c r="R3724">
        <v>1</v>
      </c>
      <c r="S3724">
        <v>0</v>
      </c>
      <c r="T3724">
        <v>3</v>
      </c>
      <c r="U3724">
        <v>5</v>
      </c>
    </row>
    <row r="3725" spans="1:21" ht="16.5" x14ac:dyDescent="0.3">
      <c r="A3725" t="s">
        <v>3813</v>
      </c>
      <c r="B3725" s="1">
        <v>45837</v>
      </c>
      <c r="C3725">
        <v>2025</v>
      </c>
      <c r="D3725" t="s">
        <v>599</v>
      </c>
      <c r="E3725" t="s">
        <v>1000</v>
      </c>
      <c r="F3725" t="s">
        <v>24</v>
      </c>
      <c r="G3725" t="s">
        <v>65</v>
      </c>
      <c r="H3725" t="s">
        <v>32</v>
      </c>
      <c r="I3725" t="s">
        <v>84</v>
      </c>
      <c r="J3725" t="s">
        <v>106</v>
      </c>
      <c r="K3725">
        <v>1</v>
      </c>
      <c r="L3725" s="2">
        <v>45.28</v>
      </c>
      <c r="M3725" s="3">
        <v>0</v>
      </c>
      <c r="N3725" t="s">
        <v>38</v>
      </c>
      <c r="O3725" s="2">
        <v>45.28</v>
      </c>
      <c r="P3725" s="2">
        <v>32.14</v>
      </c>
      <c r="Q3725" s="2">
        <v>13.14</v>
      </c>
      <c r="R3725">
        <v>1</v>
      </c>
      <c r="S3725">
        <v>0</v>
      </c>
      <c r="T3725">
        <v>7</v>
      </c>
      <c r="U3725">
        <v>4</v>
      </c>
    </row>
    <row r="3726" spans="1:21" ht="16.5" x14ac:dyDescent="0.3">
      <c r="A3726" t="s">
        <v>3814</v>
      </c>
      <c r="B3726" s="1">
        <v>45837</v>
      </c>
      <c r="C3726">
        <v>2025</v>
      </c>
      <c r="D3726" t="s">
        <v>599</v>
      </c>
      <c r="E3726" t="s">
        <v>1000</v>
      </c>
      <c r="F3726" t="s">
        <v>24</v>
      </c>
      <c r="G3726" t="s">
        <v>46</v>
      </c>
      <c r="H3726" t="s">
        <v>26</v>
      </c>
      <c r="I3726" t="s">
        <v>42</v>
      </c>
      <c r="J3726" t="s">
        <v>43</v>
      </c>
      <c r="K3726">
        <v>1</v>
      </c>
      <c r="L3726" s="2">
        <v>154.66</v>
      </c>
      <c r="M3726" s="3">
        <v>0.15</v>
      </c>
      <c r="N3726" t="s">
        <v>34</v>
      </c>
      <c r="O3726" s="2">
        <v>131.46</v>
      </c>
      <c r="P3726" s="2">
        <v>103.85</v>
      </c>
      <c r="Q3726" s="2">
        <v>27.61</v>
      </c>
      <c r="R3726">
        <v>1</v>
      </c>
      <c r="S3726">
        <v>0</v>
      </c>
      <c r="T3726">
        <v>7</v>
      </c>
      <c r="U3726">
        <v>3</v>
      </c>
    </row>
    <row r="3727" spans="1:21" ht="16.5" x14ac:dyDescent="0.3">
      <c r="A3727" t="s">
        <v>3815</v>
      </c>
      <c r="B3727" s="1">
        <v>45838</v>
      </c>
      <c r="C3727">
        <v>2025</v>
      </c>
      <c r="D3727" t="s">
        <v>599</v>
      </c>
      <c r="E3727" t="s">
        <v>1000</v>
      </c>
      <c r="F3727" t="s">
        <v>31</v>
      </c>
      <c r="G3727" t="s">
        <v>65</v>
      </c>
      <c r="H3727" t="s">
        <v>32</v>
      </c>
      <c r="I3727" t="s">
        <v>36</v>
      </c>
      <c r="J3727" t="s">
        <v>56</v>
      </c>
      <c r="K3727">
        <v>1</v>
      </c>
      <c r="L3727" s="2">
        <v>74.3</v>
      </c>
      <c r="M3727" s="3">
        <v>0.05</v>
      </c>
      <c r="N3727" t="s">
        <v>29</v>
      </c>
      <c r="O3727" s="2">
        <v>70.58</v>
      </c>
      <c r="P3727" s="2">
        <v>36.799999999999997</v>
      </c>
      <c r="Q3727" s="2">
        <v>33.78</v>
      </c>
      <c r="R3727">
        <v>1</v>
      </c>
      <c r="S3727">
        <v>0</v>
      </c>
      <c r="T3727">
        <v>6</v>
      </c>
      <c r="U3727">
        <v>5</v>
      </c>
    </row>
    <row r="3728" spans="1:21" ht="16.5" x14ac:dyDescent="0.3">
      <c r="A3728" t="s">
        <v>3816</v>
      </c>
      <c r="B3728" s="1">
        <v>45838</v>
      </c>
      <c r="C3728">
        <v>2025</v>
      </c>
      <c r="D3728" t="s">
        <v>599</v>
      </c>
      <c r="E3728" t="s">
        <v>1000</v>
      </c>
      <c r="F3728" t="s">
        <v>31</v>
      </c>
      <c r="G3728" t="s">
        <v>49</v>
      </c>
      <c r="H3728" t="s">
        <v>26</v>
      </c>
      <c r="I3728" t="s">
        <v>42</v>
      </c>
      <c r="J3728" t="s">
        <v>43</v>
      </c>
      <c r="K3728">
        <v>1</v>
      </c>
      <c r="L3728" s="2">
        <v>154.66</v>
      </c>
      <c r="M3728" s="3">
        <v>0.05</v>
      </c>
      <c r="N3728" t="s">
        <v>29</v>
      </c>
      <c r="O3728" s="2">
        <v>146.93</v>
      </c>
      <c r="P3728" s="2">
        <v>107.08</v>
      </c>
      <c r="Q3728" s="2">
        <v>39.85</v>
      </c>
      <c r="R3728">
        <v>1</v>
      </c>
      <c r="S3728">
        <v>1</v>
      </c>
      <c r="T3728">
        <v>3</v>
      </c>
      <c r="U3728">
        <v>3</v>
      </c>
    </row>
    <row r="3729" spans="1:21" ht="16.5" x14ac:dyDescent="0.3">
      <c r="A3729" t="s">
        <v>3817</v>
      </c>
      <c r="B3729" s="1">
        <v>45838</v>
      </c>
      <c r="C3729">
        <v>2025</v>
      </c>
      <c r="D3729" t="s">
        <v>599</v>
      </c>
      <c r="E3729" t="s">
        <v>1000</v>
      </c>
      <c r="F3729" t="s">
        <v>24</v>
      </c>
      <c r="G3729" t="s">
        <v>25</v>
      </c>
      <c r="H3729" t="s">
        <v>26</v>
      </c>
      <c r="I3729" t="s">
        <v>36</v>
      </c>
      <c r="J3729" t="s">
        <v>56</v>
      </c>
      <c r="K3729">
        <v>1</v>
      </c>
      <c r="L3729" s="2">
        <v>74.3</v>
      </c>
      <c r="M3729" s="3">
        <v>0</v>
      </c>
      <c r="N3729" t="s">
        <v>38</v>
      </c>
      <c r="O3729" s="2">
        <v>74.3</v>
      </c>
      <c r="P3729" s="2">
        <v>36.78</v>
      </c>
      <c r="Q3729" s="2">
        <v>37.520000000000003</v>
      </c>
      <c r="R3729">
        <v>1</v>
      </c>
      <c r="S3729">
        <v>0</v>
      </c>
      <c r="T3729">
        <v>5</v>
      </c>
      <c r="U3729">
        <v>4</v>
      </c>
    </row>
    <row r="3730" spans="1:21" ht="16.5" x14ac:dyDescent="0.3">
      <c r="A3730" t="s">
        <v>3818</v>
      </c>
      <c r="B3730" s="1">
        <v>45839</v>
      </c>
      <c r="C3730">
        <v>2025</v>
      </c>
      <c r="D3730" t="s">
        <v>1187</v>
      </c>
      <c r="E3730" t="s">
        <v>1188</v>
      </c>
      <c r="F3730" t="s">
        <v>24</v>
      </c>
      <c r="G3730" t="s">
        <v>25</v>
      </c>
      <c r="H3730" t="s">
        <v>26</v>
      </c>
      <c r="I3730" t="s">
        <v>84</v>
      </c>
      <c r="J3730" t="s">
        <v>85</v>
      </c>
      <c r="K3730">
        <v>3</v>
      </c>
      <c r="L3730" s="2">
        <v>57.92</v>
      </c>
      <c r="M3730" s="3">
        <v>0.2</v>
      </c>
      <c r="N3730" t="s">
        <v>34</v>
      </c>
      <c r="O3730" s="2">
        <v>139.01</v>
      </c>
      <c r="P3730" s="2">
        <v>126.85</v>
      </c>
      <c r="Q3730" s="2">
        <v>12.16</v>
      </c>
      <c r="R3730">
        <v>1</v>
      </c>
      <c r="S3730">
        <v>0</v>
      </c>
      <c r="T3730">
        <v>3</v>
      </c>
      <c r="U3730">
        <v>4</v>
      </c>
    </row>
    <row r="3731" spans="1:21" ht="16.5" x14ac:dyDescent="0.3">
      <c r="A3731" t="s">
        <v>3819</v>
      </c>
      <c r="B3731" s="1">
        <v>45839</v>
      </c>
      <c r="C3731">
        <v>2025</v>
      </c>
      <c r="D3731" t="s">
        <v>1187</v>
      </c>
      <c r="E3731" t="s">
        <v>1188</v>
      </c>
      <c r="F3731" t="s">
        <v>24</v>
      </c>
      <c r="G3731" t="s">
        <v>65</v>
      </c>
      <c r="H3731" t="s">
        <v>32</v>
      </c>
      <c r="I3731" t="s">
        <v>27</v>
      </c>
      <c r="J3731" t="s">
        <v>28</v>
      </c>
      <c r="K3731">
        <v>1</v>
      </c>
      <c r="L3731" s="2">
        <v>138.5</v>
      </c>
      <c r="M3731" s="3">
        <v>0.05</v>
      </c>
      <c r="N3731" t="s">
        <v>29</v>
      </c>
      <c r="O3731" s="2">
        <v>131.57</v>
      </c>
      <c r="P3731" s="2">
        <v>76.84</v>
      </c>
      <c r="Q3731" s="2">
        <v>54.73</v>
      </c>
      <c r="R3731">
        <v>1</v>
      </c>
      <c r="S3731">
        <v>0</v>
      </c>
      <c r="T3731">
        <v>8</v>
      </c>
      <c r="U3731">
        <v>3</v>
      </c>
    </row>
    <row r="3732" spans="1:21" ht="16.5" x14ac:dyDescent="0.3">
      <c r="A3732" t="s">
        <v>3820</v>
      </c>
      <c r="B3732" s="1">
        <v>45839</v>
      </c>
      <c r="C3732">
        <v>2025</v>
      </c>
      <c r="D3732" t="s">
        <v>1187</v>
      </c>
      <c r="E3732" t="s">
        <v>1188</v>
      </c>
      <c r="F3732" t="s">
        <v>31</v>
      </c>
      <c r="G3732" t="s">
        <v>51</v>
      </c>
      <c r="H3732" t="s">
        <v>32</v>
      </c>
      <c r="I3732" t="s">
        <v>70</v>
      </c>
      <c r="J3732" t="s">
        <v>82</v>
      </c>
      <c r="K3732">
        <v>2</v>
      </c>
      <c r="L3732" s="2">
        <v>508.8</v>
      </c>
      <c r="M3732" s="3">
        <v>0</v>
      </c>
      <c r="N3732" t="s">
        <v>38</v>
      </c>
      <c r="O3732" s="2">
        <v>1017.6</v>
      </c>
      <c r="P3732" s="2">
        <v>799.23</v>
      </c>
      <c r="Q3732" s="2">
        <v>218.37</v>
      </c>
      <c r="R3732">
        <v>1</v>
      </c>
      <c r="S3732">
        <v>0</v>
      </c>
      <c r="T3732">
        <v>2</v>
      </c>
      <c r="U3732">
        <v>4</v>
      </c>
    </row>
    <row r="3733" spans="1:21" ht="16.5" x14ac:dyDescent="0.3">
      <c r="A3733" t="s">
        <v>3821</v>
      </c>
      <c r="B3733" s="1">
        <v>45840</v>
      </c>
      <c r="C3733">
        <v>2025</v>
      </c>
      <c r="D3733" t="s">
        <v>1187</v>
      </c>
      <c r="E3733" t="s">
        <v>1188</v>
      </c>
      <c r="F3733" t="s">
        <v>45</v>
      </c>
      <c r="G3733" t="s">
        <v>25</v>
      </c>
      <c r="H3733" t="s">
        <v>32</v>
      </c>
      <c r="I3733" t="s">
        <v>36</v>
      </c>
      <c r="J3733" t="s">
        <v>56</v>
      </c>
      <c r="K3733">
        <v>1</v>
      </c>
      <c r="L3733" s="2">
        <v>74.3</v>
      </c>
      <c r="M3733" s="3">
        <v>0.25</v>
      </c>
      <c r="N3733" t="s">
        <v>62</v>
      </c>
      <c r="O3733" s="2">
        <v>55.72</v>
      </c>
      <c r="P3733" s="2">
        <v>34.33</v>
      </c>
      <c r="Q3733" s="2">
        <v>21.39</v>
      </c>
      <c r="R3733">
        <v>1</v>
      </c>
      <c r="S3733">
        <v>0</v>
      </c>
      <c r="T3733">
        <v>4</v>
      </c>
      <c r="U3733">
        <v>5</v>
      </c>
    </row>
    <row r="3734" spans="1:21" ht="16.5" x14ac:dyDescent="0.3">
      <c r="A3734" t="s">
        <v>3822</v>
      </c>
      <c r="B3734" s="1">
        <v>45840</v>
      </c>
      <c r="C3734">
        <v>2025</v>
      </c>
      <c r="D3734" t="s">
        <v>1187</v>
      </c>
      <c r="E3734" t="s">
        <v>1188</v>
      </c>
      <c r="F3734" t="s">
        <v>24</v>
      </c>
      <c r="G3734" t="s">
        <v>49</v>
      </c>
      <c r="H3734" t="s">
        <v>26</v>
      </c>
      <c r="I3734" t="s">
        <v>42</v>
      </c>
      <c r="J3734" t="s">
        <v>54</v>
      </c>
      <c r="K3734">
        <v>1</v>
      </c>
      <c r="L3734" s="2">
        <v>148.05000000000001</v>
      </c>
      <c r="M3734" s="3">
        <v>0</v>
      </c>
      <c r="N3734" t="s">
        <v>38</v>
      </c>
      <c r="O3734" s="2">
        <v>148.05000000000001</v>
      </c>
      <c r="P3734" s="2">
        <v>98.1</v>
      </c>
      <c r="Q3734" s="2">
        <v>49.95</v>
      </c>
      <c r="R3734">
        <v>1</v>
      </c>
      <c r="S3734">
        <v>1</v>
      </c>
      <c r="T3734">
        <v>3</v>
      </c>
      <c r="U3734">
        <v>2</v>
      </c>
    </row>
    <row r="3735" spans="1:21" ht="16.5" x14ac:dyDescent="0.3">
      <c r="A3735" t="s">
        <v>3823</v>
      </c>
      <c r="B3735" s="1">
        <v>45840</v>
      </c>
      <c r="C3735">
        <v>2025</v>
      </c>
      <c r="D3735" t="s">
        <v>1187</v>
      </c>
      <c r="E3735" t="s">
        <v>1188</v>
      </c>
      <c r="F3735" t="s">
        <v>24</v>
      </c>
      <c r="G3735" t="s">
        <v>51</v>
      </c>
      <c r="H3735" t="s">
        <v>26</v>
      </c>
      <c r="I3735" t="s">
        <v>84</v>
      </c>
      <c r="J3735" t="s">
        <v>106</v>
      </c>
      <c r="K3735">
        <v>1</v>
      </c>
      <c r="L3735" s="2">
        <v>45.28</v>
      </c>
      <c r="M3735" s="3">
        <v>0.05</v>
      </c>
      <c r="N3735" t="s">
        <v>29</v>
      </c>
      <c r="O3735" s="2">
        <v>43.02</v>
      </c>
      <c r="P3735" s="2">
        <v>31.8</v>
      </c>
      <c r="Q3735" s="2">
        <v>11.22</v>
      </c>
      <c r="R3735">
        <v>1</v>
      </c>
      <c r="S3735">
        <v>0</v>
      </c>
      <c r="T3735">
        <v>3</v>
      </c>
      <c r="U3735">
        <v>4</v>
      </c>
    </row>
    <row r="3736" spans="1:21" ht="16.5" x14ac:dyDescent="0.3">
      <c r="A3736" t="s">
        <v>3824</v>
      </c>
      <c r="B3736" s="1">
        <v>45840</v>
      </c>
      <c r="C3736">
        <v>2025</v>
      </c>
      <c r="D3736" t="s">
        <v>1187</v>
      </c>
      <c r="E3736" t="s">
        <v>1188</v>
      </c>
      <c r="F3736" t="s">
        <v>31</v>
      </c>
      <c r="G3736" t="s">
        <v>49</v>
      </c>
      <c r="H3736" t="s">
        <v>32</v>
      </c>
      <c r="I3736" t="s">
        <v>36</v>
      </c>
      <c r="J3736" t="s">
        <v>37</v>
      </c>
      <c r="K3736">
        <v>1</v>
      </c>
      <c r="L3736" s="2">
        <v>33.18</v>
      </c>
      <c r="M3736" s="3">
        <v>0.3</v>
      </c>
      <c r="N3736" t="s">
        <v>62</v>
      </c>
      <c r="O3736" s="2">
        <v>23.23</v>
      </c>
      <c r="P3736" s="2">
        <v>15.84</v>
      </c>
      <c r="Q3736" s="2">
        <v>7.39</v>
      </c>
      <c r="R3736">
        <v>1</v>
      </c>
      <c r="S3736">
        <v>0</v>
      </c>
      <c r="T3736">
        <v>3</v>
      </c>
      <c r="U3736">
        <v>4</v>
      </c>
    </row>
    <row r="3737" spans="1:21" ht="16.5" x14ac:dyDescent="0.3">
      <c r="A3737" t="s">
        <v>3825</v>
      </c>
      <c r="B3737" s="1">
        <v>45840</v>
      </c>
      <c r="C3737">
        <v>2025</v>
      </c>
      <c r="D3737" t="s">
        <v>1187</v>
      </c>
      <c r="E3737" t="s">
        <v>1188</v>
      </c>
      <c r="F3737" t="s">
        <v>45</v>
      </c>
      <c r="G3737" t="s">
        <v>49</v>
      </c>
      <c r="H3737" t="s">
        <v>26</v>
      </c>
      <c r="I3737" t="s">
        <v>27</v>
      </c>
      <c r="J3737" t="s">
        <v>40</v>
      </c>
      <c r="K3737">
        <v>1</v>
      </c>
      <c r="L3737" s="2">
        <v>104.94</v>
      </c>
      <c r="M3737" s="3">
        <v>0.1</v>
      </c>
      <c r="N3737" t="s">
        <v>29</v>
      </c>
      <c r="O3737" s="2">
        <v>94.45</v>
      </c>
      <c r="P3737" s="2">
        <v>55.82</v>
      </c>
      <c r="Q3737" s="2">
        <v>38.630000000000003</v>
      </c>
      <c r="R3737">
        <v>1</v>
      </c>
      <c r="S3737">
        <v>0</v>
      </c>
      <c r="T3737">
        <v>3</v>
      </c>
      <c r="U3737">
        <v>3</v>
      </c>
    </row>
    <row r="3738" spans="1:21" ht="16.5" x14ac:dyDescent="0.3">
      <c r="A3738" t="s">
        <v>3826</v>
      </c>
      <c r="B3738" s="1">
        <v>45840</v>
      </c>
      <c r="C3738">
        <v>2025</v>
      </c>
      <c r="D3738" t="s">
        <v>1187</v>
      </c>
      <c r="E3738" t="s">
        <v>1188</v>
      </c>
      <c r="F3738" t="s">
        <v>24</v>
      </c>
      <c r="G3738" t="s">
        <v>25</v>
      </c>
      <c r="H3738" t="s">
        <v>26</v>
      </c>
      <c r="I3738" t="s">
        <v>70</v>
      </c>
      <c r="J3738" t="s">
        <v>252</v>
      </c>
      <c r="K3738">
        <v>1</v>
      </c>
      <c r="L3738" s="2">
        <v>216.08</v>
      </c>
      <c r="M3738" s="3">
        <v>0.05</v>
      </c>
      <c r="N3738" t="s">
        <v>29</v>
      </c>
      <c r="O3738" s="2">
        <v>205.28</v>
      </c>
      <c r="P3738" s="2">
        <v>176.2</v>
      </c>
      <c r="Q3738" s="2">
        <v>29.08</v>
      </c>
      <c r="R3738">
        <v>1</v>
      </c>
      <c r="S3738">
        <v>0</v>
      </c>
      <c r="T3738">
        <v>3</v>
      </c>
      <c r="U3738">
        <v>4</v>
      </c>
    </row>
    <row r="3739" spans="1:21" ht="16.5" x14ac:dyDescent="0.3">
      <c r="A3739" t="s">
        <v>3827</v>
      </c>
      <c r="B3739" s="1">
        <v>45840</v>
      </c>
      <c r="C3739">
        <v>2025</v>
      </c>
      <c r="D3739" t="s">
        <v>1187</v>
      </c>
      <c r="E3739" t="s">
        <v>1188</v>
      </c>
      <c r="F3739" t="s">
        <v>45</v>
      </c>
      <c r="G3739" t="s">
        <v>51</v>
      </c>
      <c r="H3739" t="s">
        <v>32</v>
      </c>
      <c r="I3739" t="s">
        <v>42</v>
      </c>
      <c r="J3739" t="s">
        <v>43</v>
      </c>
      <c r="K3739">
        <v>2</v>
      </c>
      <c r="L3739" s="2">
        <v>154.66</v>
      </c>
      <c r="M3739" s="3">
        <v>0.1</v>
      </c>
      <c r="N3739" t="s">
        <v>29</v>
      </c>
      <c r="O3739" s="2">
        <v>278.39</v>
      </c>
      <c r="P3739" s="2">
        <v>209.91</v>
      </c>
      <c r="Q3739" s="2">
        <v>68.48</v>
      </c>
      <c r="R3739">
        <v>1</v>
      </c>
      <c r="S3739">
        <v>0</v>
      </c>
      <c r="T3739">
        <v>2</v>
      </c>
      <c r="U3739">
        <v>5</v>
      </c>
    </row>
    <row r="3740" spans="1:21" ht="16.5" x14ac:dyDescent="0.3">
      <c r="A3740" t="s">
        <v>3828</v>
      </c>
      <c r="B3740" s="1">
        <v>45840</v>
      </c>
      <c r="C3740">
        <v>2025</v>
      </c>
      <c r="D3740" t="s">
        <v>1187</v>
      </c>
      <c r="E3740" t="s">
        <v>1188</v>
      </c>
      <c r="F3740" t="s">
        <v>24</v>
      </c>
      <c r="G3740" t="s">
        <v>25</v>
      </c>
      <c r="H3740" t="s">
        <v>26</v>
      </c>
      <c r="I3740" t="s">
        <v>67</v>
      </c>
      <c r="J3740" t="s">
        <v>68</v>
      </c>
      <c r="K3740">
        <v>1</v>
      </c>
      <c r="L3740" s="2">
        <v>74.459999999999994</v>
      </c>
      <c r="M3740" s="3">
        <v>0.1</v>
      </c>
      <c r="N3740" t="s">
        <v>29</v>
      </c>
      <c r="O3740" s="2">
        <v>67.010000000000005</v>
      </c>
      <c r="P3740" s="2">
        <v>48.84</v>
      </c>
      <c r="Q3740" s="2">
        <v>18.170000000000002</v>
      </c>
      <c r="R3740">
        <v>1</v>
      </c>
      <c r="S3740">
        <v>0</v>
      </c>
      <c r="T3740">
        <v>7</v>
      </c>
      <c r="U3740">
        <v>3</v>
      </c>
    </row>
    <row r="3741" spans="1:21" ht="16.5" x14ac:dyDescent="0.3">
      <c r="A3741" t="s">
        <v>3829</v>
      </c>
      <c r="B3741" s="1">
        <v>45840</v>
      </c>
      <c r="C3741">
        <v>2025</v>
      </c>
      <c r="D3741" t="s">
        <v>1187</v>
      </c>
      <c r="E3741" t="s">
        <v>1188</v>
      </c>
      <c r="F3741" t="s">
        <v>24</v>
      </c>
      <c r="G3741" t="s">
        <v>49</v>
      </c>
      <c r="H3741" t="s">
        <v>32</v>
      </c>
      <c r="I3741" t="s">
        <v>27</v>
      </c>
      <c r="J3741" t="s">
        <v>47</v>
      </c>
      <c r="K3741">
        <v>1</v>
      </c>
      <c r="L3741" s="2">
        <v>33.99</v>
      </c>
      <c r="M3741" s="3">
        <v>0</v>
      </c>
      <c r="N3741" t="s">
        <v>38</v>
      </c>
      <c r="O3741" s="2">
        <v>33.99</v>
      </c>
      <c r="P3741" s="2">
        <v>17.88</v>
      </c>
      <c r="Q3741" s="2">
        <v>16.11</v>
      </c>
      <c r="R3741">
        <v>1</v>
      </c>
      <c r="S3741">
        <v>0</v>
      </c>
      <c r="T3741">
        <v>6</v>
      </c>
      <c r="U3741">
        <v>3</v>
      </c>
    </row>
    <row r="3742" spans="1:21" ht="16.5" x14ac:dyDescent="0.3">
      <c r="A3742" t="s">
        <v>3830</v>
      </c>
      <c r="B3742" s="1">
        <v>45840</v>
      </c>
      <c r="C3742">
        <v>2025</v>
      </c>
      <c r="D3742" t="s">
        <v>1187</v>
      </c>
      <c r="E3742" t="s">
        <v>1188</v>
      </c>
      <c r="F3742" t="s">
        <v>31</v>
      </c>
      <c r="G3742" t="s">
        <v>49</v>
      </c>
      <c r="H3742" t="s">
        <v>32</v>
      </c>
      <c r="I3742" t="s">
        <v>70</v>
      </c>
      <c r="J3742" t="s">
        <v>252</v>
      </c>
      <c r="K3742">
        <v>4</v>
      </c>
      <c r="L3742" s="2">
        <v>216.08</v>
      </c>
      <c r="M3742" s="3">
        <v>0</v>
      </c>
      <c r="N3742" t="s">
        <v>38</v>
      </c>
      <c r="O3742" s="2">
        <v>864.32</v>
      </c>
      <c r="P3742" s="2">
        <v>675.02</v>
      </c>
      <c r="Q3742" s="2">
        <v>189.3</v>
      </c>
      <c r="R3742">
        <v>1</v>
      </c>
      <c r="S3742">
        <v>0</v>
      </c>
      <c r="T3742">
        <v>4</v>
      </c>
      <c r="U3742">
        <v>4</v>
      </c>
    </row>
    <row r="3743" spans="1:21" ht="16.5" x14ac:dyDescent="0.3">
      <c r="A3743" t="s">
        <v>3831</v>
      </c>
      <c r="B3743" s="1">
        <v>45841</v>
      </c>
      <c r="C3743">
        <v>2025</v>
      </c>
      <c r="D3743" t="s">
        <v>1187</v>
      </c>
      <c r="E3743" t="s">
        <v>1188</v>
      </c>
      <c r="F3743" t="s">
        <v>45</v>
      </c>
      <c r="G3743" t="s">
        <v>51</v>
      </c>
      <c r="H3743" t="s">
        <v>32</v>
      </c>
      <c r="I3743" t="s">
        <v>27</v>
      </c>
      <c r="J3743" t="s">
        <v>28</v>
      </c>
      <c r="K3743">
        <v>2</v>
      </c>
      <c r="L3743" s="2">
        <v>138.5</v>
      </c>
      <c r="M3743" s="3">
        <v>0.25</v>
      </c>
      <c r="N3743" t="s">
        <v>62</v>
      </c>
      <c r="O3743" s="2">
        <v>207.75</v>
      </c>
      <c r="P3743" s="2">
        <v>155.41999999999999</v>
      </c>
      <c r="Q3743" s="2">
        <v>52.33</v>
      </c>
      <c r="R3743">
        <v>1</v>
      </c>
      <c r="S3743">
        <v>0</v>
      </c>
      <c r="T3743">
        <v>5</v>
      </c>
      <c r="U3743">
        <v>4</v>
      </c>
    </row>
    <row r="3744" spans="1:21" ht="16.5" x14ac:dyDescent="0.3">
      <c r="A3744" t="s">
        <v>3832</v>
      </c>
      <c r="B3744" s="1">
        <v>45841</v>
      </c>
      <c r="C3744">
        <v>2025</v>
      </c>
      <c r="D3744" t="s">
        <v>1187</v>
      </c>
      <c r="E3744" t="s">
        <v>1188</v>
      </c>
      <c r="F3744" t="s">
        <v>24</v>
      </c>
      <c r="G3744" t="s">
        <v>65</v>
      </c>
      <c r="H3744" t="s">
        <v>32</v>
      </c>
      <c r="I3744" t="s">
        <v>36</v>
      </c>
      <c r="J3744" t="s">
        <v>37</v>
      </c>
      <c r="K3744">
        <v>1</v>
      </c>
      <c r="L3744" s="2">
        <v>33.18</v>
      </c>
      <c r="M3744" s="3">
        <v>0.25</v>
      </c>
      <c r="N3744" t="s">
        <v>62</v>
      </c>
      <c r="O3744" s="2">
        <v>24.88</v>
      </c>
      <c r="P3744" s="2">
        <v>15.98</v>
      </c>
      <c r="Q3744" s="2">
        <v>8.9</v>
      </c>
      <c r="R3744">
        <v>1</v>
      </c>
      <c r="S3744">
        <v>0</v>
      </c>
      <c r="T3744">
        <v>6</v>
      </c>
      <c r="U3744">
        <v>3</v>
      </c>
    </row>
    <row r="3745" spans="1:21" ht="16.5" x14ac:dyDescent="0.3">
      <c r="A3745" t="s">
        <v>3833</v>
      </c>
      <c r="B3745" s="1">
        <v>45841</v>
      </c>
      <c r="C3745">
        <v>2025</v>
      </c>
      <c r="D3745" t="s">
        <v>1187</v>
      </c>
      <c r="E3745" t="s">
        <v>1188</v>
      </c>
      <c r="F3745" t="s">
        <v>24</v>
      </c>
      <c r="G3745" t="s">
        <v>49</v>
      </c>
      <c r="H3745" t="s">
        <v>32</v>
      </c>
      <c r="I3745" t="s">
        <v>42</v>
      </c>
      <c r="J3745" t="s">
        <v>89</v>
      </c>
      <c r="K3745">
        <v>1</v>
      </c>
      <c r="L3745" s="2">
        <v>68.349999999999994</v>
      </c>
      <c r="M3745" s="3">
        <v>0</v>
      </c>
      <c r="N3745" t="s">
        <v>38</v>
      </c>
      <c r="O3745" s="2">
        <v>68.349999999999994</v>
      </c>
      <c r="P3745" s="2">
        <v>44.45</v>
      </c>
      <c r="Q3745" s="2">
        <v>23.9</v>
      </c>
      <c r="R3745">
        <v>1</v>
      </c>
      <c r="S3745">
        <v>0</v>
      </c>
      <c r="T3745">
        <v>3</v>
      </c>
      <c r="U3745">
        <v>5</v>
      </c>
    </row>
    <row r="3746" spans="1:21" ht="16.5" x14ac:dyDescent="0.3">
      <c r="A3746" t="s">
        <v>3834</v>
      </c>
      <c r="B3746" s="1">
        <v>45841</v>
      </c>
      <c r="C3746">
        <v>2025</v>
      </c>
      <c r="D3746" t="s">
        <v>1187</v>
      </c>
      <c r="E3746" t="s">
        <v>1188</v>
      </c>
      <c r="F3746" t="s">
        <v>24</v>
      </c>
      <c r="G3746" t="s">
        <v>25</v>
      </c>
      <c r="H3746" t="s">
        <v>32</v>
      </c>
      <c r="I3746" t="s">
        <v>84</v>
      </c>
      <c r="J3746" t="s">
        <v>106</v>
      </c>
      <c r="K3746">
        <v>2</v>
      </c>
      <c r="L3746" s="2">
        <v>45.28</v>
      </c>
      <c r="M3746" s="3">
        <v>0.05</v>
      </c>
      <c r="N3746" t="s">
        <v>29</v>
      </c>
      <c r="O3746" s="2">
        <v>86.03</v>
      </c>
      <c r="P3746" s="2">
        <v>62.32</v>
      </c>
      <c r="Q3746" s="2">
        <v>23.71</v>
      </c>
      <c r="R3746">
        <v>1</v>
      </c>
      <c r="S3746">
        <v>0</v>
      </c>
      <c r="T3746">
        <v>4</v>
      </c>
      <c r="U3746">
        <v>4</v>
      </c>
    </row>
    <row r="3747" spans="1:21" ht="16.5" x14ac:dyDescent="0.3">
      <c r="A3747" t="s">
        <v>3835</v>
      </c>
      <c r="B3747" s="1">
        <v>45842</v>
      </c>
      <c r="C3747">
        <v>2025</v>
      </c>
      <c r="D3747" t="s">
        <v>1187</v>
      </c>
      <c r="E3747" t="s">
        <v>1188</v>
      </c>
      <c r="F3747" t="s">
        <v>24</v>
      </c>
      <c r="G3747" t="s">
        <v>25</v>
      </c>
      <c r="H3747" t="s">
        <v>32</v>
      </c>
      <c r="I3747" t="s">
        <v>84</v>
      </c>
      <c r="J3747" t="s">
        <v>106</v>
      </c>
      <c r="K3747">
        <v>1</v>
      </c>
      <c r="L3747" s="2">
        <v>45.28</v>
      </c>
      <c r="M3747" s="3">
        <v>0</v>
      </c>
      <c r="N3747" t="s">
        <v>38</v>
      </c>
      <c r="O3747" s="2">
        <v>45.28</v>
      </c>
      <c r="P3747" s="2">
        <v>32.99</v>
      </c>
      <c r="Q3747" s="2">
        <v>12.29</v>
      </c>
      <c r="R3747">
        <v>1</v>
      </c>
      <c r="S3747">
        <v>0</v>
      </c>
      <c r="T3747">
        <v>4</v>
      </c>
      <c r="U3747">
        <v>5</v>
      </c>
    </row>
    <row r="3748" spans="1:21" ht="16.5" x14ac:dyDescent="0.3">
      <c r="A3748" t="s">
        <v>3836</v>
      </c>
      <c r="B3748" s="1">
        <v>45842</v>
      </c>
      <c r="C3748">
        <v>2025</v>
      </c>
      <c r="D3748" t="s">
        <v>1187</v>
      </c>
      <c r="E3748" t="s">
        <v>1188</v>
      </c>
      <c r="F3748" t="s">
        <v>31</v>
      </c>
      <c r="G3748" t="s">
        <v>49</v>
      </c>
      <c r="H3748" t="s">
        <v>32</v>
      </c>
      <c r="I3748" t="s">
        <v>27</v>
      </c>
      <c r="J3748" t="s">
        <v>47</v>
      </c>
      <c r="K3748">
        <v>1</v>
      </c>
      <c r="L3748" s="2">
        <v>33.99</v>
      </c>
      <c r="M3748" s="3">
        <v>0.05</v>
      </c>
      <c r="N3748" t="s">
        <v>29</v>
      </c>
      <c r="O3748" s="2">
        <v>32.29</v>
      </c>
      <c r="P3748" s="2">
        <v>18.14</v>
      </c>
      <c r="Q3748" s="2">
        <v>14.15</v>
      </c>
      <c r="R3748">
        <v>1</v>
      </c>
      <c r="S3748">
        <v>0</v>
      </c>
      <c r="T3748">
        <v>3</v>
      </c>
      <c r="U3748">
        <v>4</v>
      </c>
    </row>
    <row r="3749" spans="1:21" ht="16.5" x14ac:dyDescent="0.3">
      <c r="A3749" t="s">
        <v>3837</v>
      </c>
      <c r="B3749" s="1">
        <v>45842</v>
      </c>
      <c r="C3749">
        <v>2025</v>
      </c>
      <c r="D3749" t="s">
        <v>1187</v>
      </c>
      <c r="E3749" t="s">
        <v>1188</v>
      </c>
      <c r="F3749" t="s">
        <v>31</v>
      </c>
      <c r="G3749" t="s">
        <v>46</v>
      </c>
      <c r="H3749" t="s">
        <v>26</v>
      </c>
      <c r="I3749" t="s">
        <v>70</v>
      </c>
      <c r="J3749" t="s">
        <v>162</v>
      </c>
      <c r="K3749">
        <v>1</v>
      </c>
      <c r="L3749" s="2">
        <v>636.09</v>
      </c>
      <c r="M3749" s="3">
        <v>0.1</v>
      </c>
      <c r="N3749" t="s">
        <v>29</v>
      </c>
      <c r="O3749" s="2">
        <v>572.48</v>
      </c>
      <c r="P3749" s="2">
        <v>515.12</v>
      </c>
      <c r="Q3749" s="2">
        <v>57.36</v>
      </c>
      <c r="R3749">
        <v>1</v>
      </c>
      <c r="S3749">
        <v>0</v>
      </c>
      <c r="T3749">
        <v>5</v>
      </c>
      <c r="U3749">
        <v>4</v>
      </c>
    </row>
    <row r="3750" spans="1:21" ht="16.5" x14ac:dyDescent="0.3">
      <c r="A3750" t="s">
        <v>3838</v>
      </c>
      <c r="B3750" s="1">
        <v>45842</v>
      </c>
      <c r="C3750">
        <v>2025</v>
      </c>
      <c r="D3750" t="s">
        <v>1187</v>
      </c>
      <c r="E3750" t="s">
        <v>1188</v>
      </c>
      <c r="F3750" t="s">
        <v>31</v>
      </c>
      <c r="G3750" t="s">
        <v>25</v>
      </c>
      <c r="H3750" t="s">
        <v>26</v>
      </c>
      <c r="I3750" t="s">
        <v>27</v>
      </c>
      <c r="J3750" t="s">
        <v>40</v>
      </c>
      <c r="K3750">
        <v>2</v>
      </c>
      <c r="L3750" s="2">
        <v>104.94</v>
      </c>
      <c r="M3750" s="3">
        <v>0.05</v>
      </c>
      <c r="N3750" t="s">
        <v>29</v>
      </c>
      <c r="O3750" s="2">
        <v>199.39</v>
      </c>
      <c r="P3750" s="2">
        <v>115.07</v>
      </c>
      <c r="Q3750" s="2">
        <v>84.32</v>
      </c>
      <c r="R3750">
        <v>1</v>
      </c>
      <c r="S3750">
        <v>0</v>
      </c>
      <c r="T3750">
        <v>6</v>
      </c>
      <c r="U3750">
        <v>4</v>
      </c>
    </row>
    <row r="3751" spans="1:21" ht="16.5" x14ac:dyDescent="0.3">
      <c r="A3751" t="s">
        <v>3839</v>
      </c>
      <c r="B3751" s="1">
        <v>45842</v>
      </c>
      <c r="C3751">
        <v>2025</v>
      </c>
      <c r="D3751" t="s">
        <v>1187</v>
      </c>
      <c r="E3751" t="s">
        <v>1188</v>
      </c>
      <c r="F3751" t="s">
        <v>45</v>
      </c>
      <c r="G3751" t="s">
        <v>25</v>
      </c>
      <c r="H3751" t="s">
        <v>26</v>
      </c>
      <c r="I3751" t="s">
        <v>27</v>
      </c>
      <c r="J3751" t="s">
        <v>110</v>
      </c>
      <c r="K3751">
        <v>3</v>
      </c>
      <c r="L3751" s="2">
        <v>19.41</v>
      </c>
      <c r="M3751" s="3">
        <v>0.1</v>
      </c>
      <c r="N3751" t="s">
        <v>29</v>
      </c>
      <c r="O3751" s="2">
        <v>52.41</v>
      </c>
      <c r="P3751" s="2">
        <v>32.119999999999997</v>
      </c>
      <c r="Q3751" s="2">
        <v>20.29</v>
      </c>
      <c r="R3751">
        <v>1</v>
      </c>
      <c r="S3751">
        <v>0</v>
      </c>
      <c r="T3751">
        <v>4</v>
      </c>
      <c r="U3751">
        <v>5</v>
      </c>
    </row>
    <row r="3752" spans="1:21" ht="16.5" x14ac:dyDescent="0.3">
      <c r="A3752" t="s">
        <v>3840</v>
      </c>
      <c r="B3752" s="1">
        <v>45842</v>
      </c>
      <c r="C3752">
        <v>2025</v>
      </c>
      <c r="D3752" t="s">
        <v>1187</v>
      </c>
      <c r="E3752" t="s">
        <v>1188</v>
      </c>
      <c r="F3752" t="s">
        <v>45</v>
      </c>
      <c r="G3752" t="s">
        <v>25</v>
      </c>
      <c r="H3752" t="s">
        <v>32</v>
      </c>
      <c r="I3752" t="s">
        <v>70</v>
      </c>
      <c r="J3752" t="s">
        <v>87</v>
      </c>
      <c r="K3752">
        <v>1</v>
      </c>
      <c r="L3752" s="2">
        <v>490.3</v>
      </c>
      <c r="M3752" s="3">
        <v>0.05</v>
      </c>
      <c r="N3752" t="s">
        <v>29</v>
      </c>
      <c r="O3752" s="2">
        <v>465.78</v>
      </c>
      <c r="P3752" s="2">
        <v>403.38</v>
      </c>
      <c r="Q3752" s="2">
        <v>62.4</v>
      </c>
      <c r="R3752">
        <v>1</v>
      </c>
      <c r="S3752">
        <v>0</v>
      </c>
      <c r="T3752">
        <v>5</v>
      </c>
      <c r="U3752">
        <v>5</v>
      </c>
    </row>
    <row r="3753" spans="1:21" ht="16.5" x14ac:dyDescent="0.3">
      <c r="A3753" t="s">
        <v>3841</v>
      </c>
      <c r="B3753" s="1">
        <v>45842</v>
      </c>
      <c r="C3753">
        <v>2025</v>
      </c>
      <c r="D3753" t="s">
        <v>1187</v>
      </c>
      <c r="E3753" t="s">
        <v>1188</v>
      </c>
      <c r="F3753" t="s">
        <v>31</v>
      </c>
      <c r="G3753" t="s">
        <v>51</v>
      </c>
      <c r="H3753" t="s">
        <v>26</v>
      </c>
      <c r="I3753" t="s">
        <v>70</v>
      </c>
      <c r="J3753" t="s">
        <v>87</v>
      </c>
      <c r="K3753">
        <v>1</v>
      </c>
      <c r="L3753" s="2">
        <v>490.3</v>
      </c>
      <c r="M3753" s="3">
        <v>0</v>
      </c>
      <c r="N3753" t="s">
        <v>38</v>
      </c>
      <c r="O3753" s="2">
        <v>490.3</v>
      </c>
      <c r="P3753" s="2">
        <v>394.98</v>
      </c>
      <c r="Q3753" s="2">
        <v>95.32</v>
      </c>
      <c r="R3753">
        <v>1</v>
      </c>
      <c r="S3753">
        <v>0</v>
      </c>
      <c r="T3753">
        <v>2</v>
      </c>
      <c r="U3753">
        <v>5</v>
      </c>
    </row>
    <row r="3754" spans="1:21" ht="16.5" x14ac:dyDescent="0.3">
      <c r="A3754" t="s">
        <v>3842</v>
      </c>
      <c r="B3754" s="1">
        <v>45843</v>
      </c>
      <c r="C3754">
        <v>2025</v>
      </c>
      <c r="D3754" t="s">
        <v>1187</v>
      </c>
      <c r="E3754" t="s">
        <v>1188</v>
      </c>
      <c r="F3754" t="s">
        <v>31</v>
      </c>
      <c r="G3754" t="s">
        <v>49</v>
      </c>
      <c r="H3754" t="s">
        <v>26</v>
      </c>
      <c r="I3754" t="s">
        <v>70</v>
      </c>
      <c r="J3754" t="s">
        <v>82</v>
      </c>
      <c r="K3754">
        <v>1</v>
      </c>
      <c r="L3754" s="2">
        <v>508.8</v>
      </c>
      <c r="M3754" s="3">
        <v>0.1</v>
      </c>
      <c r="N3754" t="s">
        <v>29</v>
      </c>
      <c r="O3754" s="2">
        <v>457.92</v>
      </c>
      <c r="P3754" s="2">
        <v>431.66</v>
      </c>
      <c r="Q3754" s="2">
        <v>26.26</v>
      </c>
      <c r="R3754">
        <v>1</v>
      </c>
      <c r="S3754">
        <v>0</v>
      </c>
      <c r="T3754">
        <v>4</v>
      </c>
      <c r="U3754">
        <v>4</v>
      </c>
    </row>
    <row r="3755" spans="1:21" ht="16.5" x14ac:dyDescent="0.3">
      <c r="A3755" t="s">
        <v>3843</v>
      </c>
      <c r="B3755" s="1">
        <v>45843</v>
      </c>
      <c r="C3755">
        <v>2025</v>
      </c>
      <c r="D3755" t="s">
        <v>1187</v>
      </c>
      <c r="E3755" t="s">
        <v>1188</v>
      </c>
      <c r="F3755" t="s">
        <v>24</v>
      </c>
      <c r="G3755" t="s">
        <v>51</v>
      </c>
      <c r="H3755" t="s">
        <v>26</v>
      </c>
      <c r="I3755" t="s">
        <v>42</v>
      </c>
      <c r="J3755" t="s">
        <v>54</v>
      </c>
      <c r="K3755">
        <v>2</v>
      </c>
      <c r="L3755" s="2">
        <v>148.05000000000001</v>
      </c>
      <c r="M3755" s="3">
        <v>0</v>
      </c>
      <c r="N3755" t="s">
        <v>38</v>
      </c>
      <c r="O3755" s="2">
        <v>296.10000000000002</v>
      </c>
      <c r="P3755" s="2">
        <v>188.59</v>
      </c>
      <c r="Q3755" s="2">
        <v>107.51</v>
      </c>
      <c r="R3755">
        <v>1</v>
      </c>
      <c r="S3755">
        <v>0</v>
      </c>
      <c r="T3755">
        <v>2</v>
      </c>
      <c r="U3755">
        <v>5</v>
      </c>
    </row>
    <row r="3756" spans="1:21" ht="16.5" x14ac:dyDescent="0.3">
      <c r="A3756" t="s">
        <v>3844</v>
      </c>
      <c r="B3756" s="1">
        <v>45843</v>
      </c>
      <c r="C3756">
        <v>2025</v>
      </c>
      <c r="D3756" t="s">
        <v>1187</v>
      </c>
      <c r="E3756" t="s">
        <v>1188</v>
      </c>
      <c r="F3756" t="s">
        <v>24</v>
      </c>
      <c r="G3756" t="s">
        <v>51</v>
      </c>
      <c r="H3756" t="s">
        <v>32</v>
      </c>
      <c r="I3756" t="s">
        <v>84</v>
      </c>
      <c r="J3756" t="s">
        <v>132</v>
      </c>
      <c r="K3756">
        <v>1</v>
      </c>
      <c r="L3756" s="2">
        <v>48.86</v>
      </c>
      <c r="M3756" s="3">
        <v>0.1</v>
      </c>
      <c r="N3756" t="s">
        <v>29</v>
      </c>
      <c r="O3756" s="2">
        <v>43.97</v>
      </c>
      <c r="P3756" s="2">
        <v>34.54</v>
      </c>
      <c r="Q3756" s="2">
        <v>9.43</v>
      </c>
      <c r="R3756">
        <v>1</v>
      </c>
      <c r="S3756">
        <v>0</v>
      </c>
      <c r="T3756">
        <v>3</v>
      </c>
      <c r="U3756">
        <v>5</v>
      </c>
    </row>
    <row r="3757" spans="1:21" ht="16.5" x14ac:dyDescent="0.3">
      <c r="A3757" t="s">
        <v>3845</v>
      </c>
      <c r="B3757" s="1">
        <v>45843</v>
      </c>
      <c r="C3757">
        <v>2025</v>
      </c>
      <c r="D3757" t="s">
        <v>1187</v>
      </c>
      <c r="E3757" t="s">
        <v>1188</v>
      </c>
      <c r="F3757" t="s">
        <v>24</v>
      </c>
      <c r="G3757" t="s">
        <v>25</v>
      </c>
      <c r="H3757" t="s">
        <v>32</v>
      </c>
      <c r="I3757" t="s">
        <v>70</v>
      </c>
      <c r="J3757" t="s">
        <v>71</v>
      </c>
      <c r="K3757">
        <v>1</v>
      </c>
      <c r="L3757" s="2">
        <v>588.41</v>
      </c>
      <c r="M3757" s="3">
        <v>0.1</v>
      </c>
      <c r="N3757" t="s">
        <v>29</v>
      </c>
      <c r="O3757" s="2">
        <v>529.57000000000005</v>
      </c>
      <c r="P3757" s="2">
        <v>473.87</v>
      </c>
      <c r="Q3757" s="2">
        <v>55.7</v>
      </c>
      <c r="R3757">
        <v>1</v>
      </c>
      <c r="S3757">
        <v>0</v>
      </c>
      <c r="T3757">
        <v>3</v>
      </c>
      <c r="U3757">
        <v>5</v>
      </c>
    </row>
    <row r="3758" spans="1:21" ht="16.5" x14ac:dyDescent="0.3">
      <c r="A3758" t="s">
        <v>3846</v>
      </c>
      <c r="B3758" s="1">
        <v>45843</v>
      </c>
      <c r="C3758">
        <v>2025</v>
      </c>
      <c r="D3758" t="s">
        <v>1187</v>
      </c>
      <c r="E3758" t="s">
        <v>1188</v>
      </c>
      <c r="F3758" t="s">
        <v>24</v>
      </c>
      <c r="G3758" t="s">
        <v>51</v>
      </c>
      <c r="H3758" t="s">
        <v>32</v>
      </c>
      <c r="I3758" t="s">
        <v>84</v>
      </c>
      <c r="J3758" t="s">
        <v>223</v>
      </c>
      <c r="K3758">
        <v>1</v>
      </c>
      <c r="L3758" s="2">
        <v>16.97</v>
      </c>
      <c r="M3758" s="3">
        <v>0.1</v>
      </c>
      <c r="N3758" t="s">
        <v>29</v>
      </c>
      <c r="O3758" s="2">
        <v>15.27</v>
      </c>
      <c r="P3758" s="2">
        <v>11.82</v>
      </c>
      <c r="Q3758" s="2">
        <v>3.45</v>
      </c>
      <c r="R3758">
        <v>1</v>
      </c>
      <c r="S3758">
        <v>0</v>
      </c>
      <c r="T3758">
        <v>2</v>
      </c>
      <c r="U3758">
        <v>5</v>
      </c>
    </row>
    <row r="3759" spans="1:21" ht="16.5" x14ac:dyDescent="0.3">
      <c r="A3759" t="s">
        <v>3847</v>
      </c>
      <c r="B3759" s="1">
        <v>45843</v>
      </c>
      <c r="C3759">
        <v>2025</v>
      </c>
      <c r="D3759" t="s">
        <v>1187</v>
      </c>
      <c r="E3759" t="s">
        <v>1188</v>
      </c>
      <c r="F3759" t="s">
        <v>31</v>
      </c>
      <c r="G3759" t="s">
        <v>49</v>
      </c>
      <c r="H3759" t="s">
        <v>32</v>
      </c>
      <c r="I3759" t="s">
        <v>70</v>
      </c>
      <c r="J3759" t="s">
        <v>87</v>
      </c>
      <c r="K3759">
        <v>1</v>
      </c>
      <c r="L3759" s="2">
        <v>490.3</v>
      </c>
      <c r="M3759" s="3">
        <v>0.1</v>
      </c>
      <c r="N3759" t="s">
        <v>29</v>
      </c>
      <c r="O3759" s="2">
        <v>441.27</v>
      </c>
      <c r="P3759" s="2">
        <v>389.02</v>
      </c>
      <c r="Q3759" s="2">
        <v>52.25</v>
      </c>
      <c r="R3759">
        <v>1</v>
      </c>
      <c r="S3759">
        <v>0</v>
      </c>
      <c r="T3759">
        <v>6</v>
      </c>
      <c r="U3759">
        <v>2</v>
      </c>
    </row>
    <row r="3760" spans="1:21" ht="16.5" x14ac:dyDescent="0.3">
      <c r="A3760" t="s">
        <v>3848</v>
      </c>
      <c r="B3760" s="1">
        <v>45843</v>
      </c>
      <c r="C3760">
        <v>2025</v>
      </c>
      <c r="D3760" t="s">
        <v>1187</v>
      </c>
      <c r="E3760" t="s">
        <v>1188</v>
      </c>
      <c r="F3760" t="s">
        <v>45</v>
      </c>
      <c r="G3760" t="s">
        <v>51</v>
      </c>
      <c r="H3760" t="s">
        <v>26</v>
      </c>
      <c r="I3760" t="s">
        <v>36</v>
      </c>
      <c r="J3760" t="s">
        <v>52</v>
      </c>
      <c r="K3760">
        <v>1</v>
      </c>
      <c r="L3760" s="2">
        <v>92.54</v>
      </c>
      <c r="M3760" s="3">
        <v>0.1</v>
      </c>
      <c r="N3760" t="s">
        <v>29</v>
      </c>
      <c r="O3760" s="2">
        <v>83.29</v>
      </c>
      <c r="P3760" s="2">
        <v>44.35</v>
      </c>
      <c r="Q3760" s="2">
        <v>38.94</v>
      </c>
      <c r="R3760">
        <v>1</v>
      </c>
      <c r="S3760">
        <v>0</v>
      </c>
      <c r="T3760">
        <v>3</v>
      </c>
      <c r="U3760">
        <v>5</v>
      </c>
    </row>
    <row r="3761" spans="1:21" ht="16.5" x14ac:dyDescent="0.3">
      <c r="A3761" t="s">
        <v>3849</v>
      </c>
      <c r="B3761" s="1">
        <v>45843</v>
      </c>
      <c r="C3761">
        <v>2025</v>
      </c>
      <c r="D3761" t="s">
        <v>1187</v>
      </c>
      <c r="E3761" t="s">
        <v>1188</v>
      </c>
      <c r="F3761" t="s">
        <v>31</v>
      </c>
      <c r="G3761" t="s">
        <v>49</v>
      </c>
      <c r="H3761" t="s">
        <v>26</v>
      </c>
      <c r="I3761" t="s">
        <v>70</v>
      </c>
      <c r="J3761" t="s">
        <v>87</v>
      </c>
      <c r="K3761">
        <v>2</v>
      </c>
      <c r="L3761" s="2">
        <v>490.3</v>
      </c>
      <c r="M3761" s="3">
        <v>0</v>
      </c>
      <c r="N3761" t="s">
        <v>38</v>
      </c>
      <c r="O3761" s="2">
        <v>980.6</v>
      </c>
      <c r="P3761" s="2">
        <v>779.63</v>
      </c>
      <c r="Q3761" s="2">
        <v>200.97</v>
      </c>
      <c r="R3761">
        <v>1</v>
      </c>
      <c r="S3761">
        <v>0</v>
      </c>
      <c r="T3761">
        <v>3</v>
      </c>
      <c r="U3761">
        <v>5</v>
      </c>
    </row>
    <row r="3762" spans="1:21" ht="16.5" x14ac:dyDescent="0.3">
      <c r="A3762" t="s">
        <v>3850</v>
      </c>
      <c r="B3762" s="1">
        <v>45843</v>
      </c>
      <c r="C3762">
        <v>2025</v>
      </c>
      <c r="D3762" t="s">
        <v>1187</v>
      </c>
      <c r="E3762" t="s">
        <v>1188</v>
      </c>
      <c r="F3762" t="s">
        <v>24</v>
      </c>
      <c r="G3762" t="s">
        <v>65</v>
      </c>
      <c r="H3762" t="s">
        <v>26</v>
      </c>
      <c r="I3762" t="s">
        <v>70</v>
      </c>
      <c r="J3762" t="s">
        <v>87</v>
      </c>
      <c r="K3762">
        <v>1</v>
      </c>
      <c r="L3762" s="2">
        <v>490.3</v>
      </c>
      <c r="M3762" s="3">
        <v>0.1</v>
      </c>
      <c r="N3762" t="s">
        <v>29</v>
      </c>
      <c r="O3762" s="2">
        <v>441.27</v>
      </c>
      <c r="P3762" s="2">
        <v>409.19</v>
      </c>
      <c r="Q3762" s="2">
        <v>32.08</v>
      </c>
      <c r="R3762">
        <v>1</v>
      </c>
      <c r="S3762">
        <v>0</v>
      </c>
      <c r="T3762">
        <v>6</v>
      </c>
      <c r="U3762">
        <v>3</v>
      </c>
    </row>
    <row r="3763" spans="1:21" ht="16.5" x14ac:dyDescent="0.3">
      <c r="A3763" t="s">
        <v>3851</v>
      </c>
      <c r="B3763" s="1">
        <v>45843</v>
      </c>
      <c r="C3763">
        <v>2025</v>
      </c>
      <c r="D3763" t="s">
        <v>1187</v>
      </c>
      <c r="E3763" t="s">
        <v>1188</v>
      </c>
      <c r="F3763" t="s">
        <v>31</v>
      </c>
      <c r="G3763" t="s">
        <v>65</v>
      </c>
      <c r="H3763" t="s">
        <v>26</v>
      </c>
      <c r="I3763" t="s">
        <v>27</v>
      </c>
      <c r="J3763" t="s">
        <v>110</v>
      </c>
      <c r="K3763">
        <v>1</v>
      </c>
      <c r="L3763" s="2">
        <v>19.41</v>
      </c>
      <c r="M3763" s="3">
        <v>0.15</v>
      </c>
      <c r="N3763" t="s">
        <v>34</v>
      </c>
      <c r="O3763" s="2">
        <v>16.5</v>
      </c>
      <c r="P3763" s="2">
        <v>10.53</v>
      </c>
      <c r="Q3763" s="2">
        <v>5.97</v>
      </c>
      <c r="R3763">
        <v>1</v>
      </c>
      <c r="S3763">
        <v>0</v>
      </c>
      <c r="T3763">
        <v>6</v>
      </c>
      <c r="U3763">
        <v>3</v>
      </c>
    </row>
    <row r="3764" spans="1:21" ht="16.5" x14ac:dyDescent="0.3">
      <c r="A3764" t="s">
        <v>3852</v>
      </c>
      <c r="B3764" s="1">
        <v>45843</v>
      </c>
      <c r="C3764">
        <v>2025</v>
      </c>
      <c r="D3764" t="s">
        <v>1187</v>
      </c>
      <c r="E3764" t="s">
        <v>1188</v>
      </c>
      <c r="F3764" t="s">
        <v>31</v>
      </c>
      <c r="G3764" t="s">
        <v>51</v>
      </c>
      <c r="H3764" t="s">
        <v>32</v>
      </c>
      <c r="I3764" t="s">
        <v>70</v>
      </c>
      <c r="J3764" t="s">
        <v>252</v>
      </c>
      <c r="K3764">
        <v>1</v>
      </c>
      <c r="L3764" s="2">
        <v>216.08</v>
      </c>
      <c r="M3764" s="3">
        <v>0.15</v>
      </c>
      <c r="N3764" t="s">
        <v>34</v>
      </c>
      <c r="O3764" s="2">
        <v>183.67</v>
      </c>
      <c r="P3764" s="2">
        <v>178.76</v>
      </c>
      <c r="Q3764" s="2">
        <v>4.91</v>
      </c>
      <c r="R3764">
        <v>1</v>
      </c>
      <c r="S3764">
        <v>0</v>
      </c>
      <c r="T3764">
        <v>2</v>
      </c>
      <c r="U3764">
        <v>3</v>
      </c>
    </row>
    <row r="3765" spans="1:21" ht="16.5" x14ac:dyDescent="0.3">
      <c r="A3765" t="s">
        <v>3853</v>
      </c>
      <c r="B3765" s="1">
        <v>45843</v>
      </c>
      <c r="C3765">
        <v>2025</v>
      </c>
      <c r="D3765" t="s">
        <v>1187</v>
      </c>
      <c r="E3765" t="s">
        <v>1188</v>
      </c>
      <c r="F3765" t="s">
        <v>45</v>
      </c>
      <c r="G3765" t="s">
        <v>49</v>
      </c>
      <c r="H3765" t="s">
        <v>32</v>
      </c>
      <c r="I3765" t="s">
        <v>70</v>
      </c>
      <c r="J3765" t="s">
        <v>71</v>
      </c>
      <c r="K3765">
        <v>2</v>
      </c>
      <c r="L3765" s="2">
        <v>588.41</v>
      </c>
      <c r="M3765" s="3">
        <v>0</v>
      </c>
      <c r="N3765" t="s">
        <v>38</v>
      </c>
      <c r="O3765" s="2">
        <v>1176.82</v>
      </c>
      <c r="P3765" s="2">
        <v>934.56</v>
      </c>
      <c r="Q3765" s="2">
        <v>242.26</v>
      </c>
      <c r="R3765">
        <v>1</v>
      </c>
      <c r="S3765">
        <v>0</v>
      </c>
      <c r="T3765">
        <v>3</v>
      </c>
      <c r="U3765">
        <v>5</v>
      </c>
    </row>
    <row r="3766" spans="1:21" ht="16.5" x14ac:dyDescent="0.3">
      <c r="A3766" t="s">
        <v>3854</v>
      </c>
      <c r="B3766" s="1">
        <v>45844</v>
      </c>
      <c r="C3766">
        <v>2025</v>
      </c>
      <c r="D3766" t="s">
        <v>1187</v>
      </c>
      <c r="E3766" t="s">
        <v>1188</v>
      </c>
      <c r="F3766" t="s">
        <v>45</v>
      </c>
      <c r="G3766" t="s">
        <v>25</v>
      </c>
      <c r="H3766" t="s">
        <v>32</v>
      </c>
      <c r="I3766" t="s">
        <v>42</v>
      </c>
      <c r="J3766" t="s">
        <v>43</v>
      </c>
      <c r="K3766">
        <v>3</v>
      </c>
      <c r="L3766" s="2">
        <v>154.66</v>
      </c>
      <c r="M3766" s="3">
        <v>0</v>
      </c>
      <c r="N3766" t="s">
        <v>38</v>
      </c>
      <c r="O3766" s="2">
        <v>463.98</v>
      </c>
      <c r="P3766" s="2">
        <v>298.97000000000003</v>
      </c>
      <c r="Q3766" s="2">
        <v>165.01</v>
      </c>
      <c r="R3766">
        <v>1</v>
      </c>
      <c r="S3766">
        <v>0</v>
      </c>
      <c r="T3766">
        <v>6</v>
      </c>
      <c r="U3766">
        <v>3</v>
      </c>
    </row>
    <row r="3767" spans="1:21" ht="16.5" x14ac:dyDescent="0.3">
      <c r="A3767" t="s">
        <v>3855</v>
      </c>
      <c r="B3767" s="1">
        <v>45844</v>
      </c>
      <c r="C3767">
        <v>2025</v>
      </c>
      <c r="D3767" t="s">
        <v>1187</v>
      </c>
      <c r="E3767" t="s">
        <v>1188</v>
      </c>
      <c r="F3767" t="s">
        <v>45</v>
      </c>
      <c r="G3767" t="s">
        <v>65</v>
      </c>
      <c r="H3767" t="s">
        <v>26</v>
      </c>
      <c r="I3767" t="s">
        <v>70</v>
      </c>
      <c r="J3767" t="s">
        <v>82</v>
      </c>
      <c r="K3767">
        <v>1</v>
      </c>
      <c r="L3767" s="2">
        <v>508.8</v>
      </c>
      <c r="M3767" s="3">
        <v>0</v>
      </c>
      <c r="N3767" t="s">
        <v>38</v>
      </c>
      <c r="O3767" s="2">
        <v>508.8</v>
      </c>
      <c r="P3767" s="2">
        <v>400.49</v>
      </c>
      <c r="Q3767" s="2">
        <v>108.31</v>
      </c>
      <c r="R3767">
        <v>1</v>
      </c>
      <c r="S3767">
        <v>0</v>
      </c>
      <c r="T3767">
        <v>5</v>
      </c>
      <c r="U3767">
        <v>4</v>
      </c>
    </row>
    <row r="3768" spans="1:21" ht="16.5" x14ac:dyDescent="0.3">
      <c r="A3768" t="s">
        <v>3856</v>
      </c>
      <c r="B3768" s="1">
        <v>45844</v>
      </c>
      <c r="C3768">
        <v>2025</v>
      </c>
      <c r="D3768" t="s">
        <v>1187</v>
      </c>
      <c r="E3768" t="s">
        <v>1188</v>
      </c>
      <c r="F3768" t="s">
        <v>45</v>
      </c>
      <c r="G3768" t="s">
        <v>49</v>
      </c>
      <c r="H3768" t="s">
        <v>26</v>
      </c>
      <c r="I3768" t="s">
        <v>27</v>
      </c>
      <c r="J3768" t="s">
        <v>47</v>
      </c>
      <c r="K3768">
        <v>2</v>
      </c>
      <c r="L3768" s="2">
        <v>33.99</v>
      </c>
      <c r="M3768" s="3">
        <v>0</v>
      </c>
      <c r="N3768" t="s">
        <v>38</v>
      </c>
      <c r="O3768" s="2">
        <v>67.98</v>
      </c>
      <c r="P3768" s="2">
        <v>37.43</v>
      </c>
      <c r="Q3768" s="2">
        <v>30.55</v>
      </c>
      <c r="R3768">
        <v>1</v>
      </c>
      <c r="S3768">
        <v>0</v>
      </c>
      <c r="T3768">
        <v>4</v>
      </c>
      <c r="U3768">
        <v>5</v>
      </c>
    </row>
    <row r="3769" spans="1:21" ht="16.5" x14ac:dyDescent="0.3">
      <c r="A3769" t="s">
        <v>3857</v>
      </c>
      <c r="B3769" s="1">
        <v>45844</v>
      </c>
      <c r="C3769">
        <v>2025</v>
      </c>
      <c r="D3769" t="s">
        <v>1187</v>
      </c>
      <c r="E3769" t="s">
        <v>1188</v>
      </c>
      <c r="F3769" t="s">
        <v>31</v>
      </c>
      <c r="G3769" t="s">
        <v>25</v>
      </c>
      <c r="H3769" t="s">
        <v>26</v>
      </c>
      <c r="I3769" t="s">
        <v>70</v>
      </c>
      <c r="J3769" t="s">
        <v>82</v>
      </c>
      <c r="K3769">
        <v>2</v>
      </c>
      <c r="L3769" s="2">
        <v>508.8</v>
      </c>
      <c r="M3769" s="3">
        <v>0</v>
      </c>
      <c r="N3769" t="s">
        <v>38</v>
      </c>
      <c r="O3769" s="2">
        <v>1017.6</v>
      </c>
      <c r="P3769" s="2">
        <v>830.56</v>
      </c>
      <c r="Q3769" s="2">
        <v>187.04</v>
      </c>
      <c r="R3769">
        <v>1</v>
      </c>
      <c r="S3769">
        <v>0</v>
      </c>
      <c r="T3769">
        <v>4</v>
      </c>
      <c r="U3769">
        <v>4</v>
      </c>
    </row>
    <row r="3770" spans="1:21" ht="16.5" x14ac:dyDescent="0.3">
      <c r="A3770" t="s">
        <v>3858</v>
      </c>
      <c r="B3770" s="1">
        <v>45845</v>
      </c>
      <c r="C3770">
        <v>2025</v>
      </c>
      <c r="D3770" t="s">
        <v>1187</v>
      </c>
      <c r="E3770" t="s">
        <v>1188</v>
      </c>
      <c r="F3770" t="s">
        <v>31</v>
      </c>
      <c r="G3770" t="s">
        <v>49</v>
      </c>
      <c r="H3770" t="s">
        <v>26</v>
      </c>
      <c r="I3770" t="s">
        <v>42</v>
      </c>
      <c r="J3770" t="s">
        <v>89</v>
      </c>
      <c r="K3770">
        <v>2</v>
      </c>
      <c r="L3770" s="2">
        <v>68.349999999999994</v>
      </c>
      <c r="M3770" s="3">
        <v>0.3</v>
      </c>
      <c r="N3770" t="s">
        <v>62</v>
      </c>
      <c r="O3770" s="2">
        <v>95.69</v>
      </c>
      <c r="P3770" s="2">
        <v>97.52</v>
      </c>
      <c r="Q3770" s="2">
        <v>-1.83</v>
      </c>
      <c r="R3770">
        <v>1</v>
      </c>
      <c r="S3770">
        <v>0</v>
      </c>
      <c r="T3770">
        <v>6</v>
      </c>
      <c r="U3770">
        <v>4</v>
      </c>
    </row>
    <row r="3771" spans="1:21" ht="16.5" x14ac:dyDescent="0.3">
      <c r="A3771" t="s">
        <v>3859</v>
      </c>
      <c r="B3771" s="1">
        <v>45845</v>
      </c>
      <c r="C3771">
        <v>2025</v>
      </c>
      <c r="D3771" t="s">
        <v>1187</v>
      </c>
      <c r="E3771" t="s">
        <v>1188</v>
      </c>
      <c r="F3771" t="s">
        <v>24</v>
      </c>
      <c r="G3771" t="s">
        <v>51</v>
      </c>
      <c r="H3771" t="s">
        <v>32</v>
      </c>
      <c r="I3771" t="s">
        <v>42</v>
      </c>
      <c r="J3771" t="s">
        <v>43</v>
      </c>
      <c r="K3771">
        <v>1</v>
      </c>
      <c r="L3771" s="2">
        <v>154.66</v>
      </c>
      <c r="M3771" s="3">
        <v>0</v>
      </c>
      <c r="N3771" t="s">
        <v>38</v>
      </c>
      <c r="O3771" s="2">
        <v>154.66</v>
      </c>
      <c r="P3771" s="2">
        <v>98.14</v>
      </c>
      <c r="Q3771" s="2">
        <v>56.52</v>
      </c>
      <c r="R3771">
        <v>1</v>
      </c>
      <c r="S3771">
        <v>0</v>
      </c>
      <c r="T3771">
        <v>2</v>
      </c>
      <c r="U3771">
        <v>5</v>
      </c>
    </row>
    <row r="3772" spans="1:21" ht="16.5" x14ac:dyDescent="0.3">
      <c r="A3772" t="s">
        <v>3860</v>
      </c>
      <c r="B3772" s="1">
        <v>45845</v>
      </c>
      <c r="C3772">
        <v>2025</v>
      </c>
      <c r="D3772" t="s">
        <v>1187</v>
      </c>
      <c r="E3772" t="s">
        <v>1188</v>
      </c>
      <c r="F3772" t="s">
        <v>31</v>
      </c>
      <c r="G3772" t="s">
        <v>49</v>
      </c>
      <c r="H3772" t="s">
        <v>32</v>
      </c>
      <c r="I3772" t="s">
        <v>67</v>
      </c>
      <c r="J3772" t="s">
        <v>78</v>
      </c>
      <c r="K3772">
        <v>1</v>
      </c>
      <c r="L3772" s="2">
        <v>85.42</v>
      </c>
      <c r="M3772" s="3">
        <v>0.2</v>
      </c>
      <c r="N3772" t="s">
        <v>34</v>
      </c>
      <c r="O3772" s="2">
        <v>68.34</v>
      </c>
      <c r="P3772" s="2">
        <v>57.89</v>
      </c>
      <c r="Q3772" s="2">
        <v>10.45</v>
      </c>
      <c r="R3772">
        <v>1</v>
      </c>
      <c r="S3772">
        <v>0</v>
      </c>
      <c r="T3772">
        <v>4</v>
      </c>
      <c r="U3772">
        <v>4</v>
      </c>
    </row>
    <row r="3773" spans="1:21" ht="16.5" x14ac:dyDescent="0.3">
      <c r="A3773" t="s">
        <v>3861</v>
      </c>
      <c r="B3773" s="1">
        <v>45845</v>
      </c>
      <c r="C3773">
        <v>2025</v>
      </c>
      <c r="D3773" t="s">
        <v>1187</v>
      </c>
      <c r="E3773" t="s">
        <v>1188</v>
      </c>
      <c r="F3773" t="s">
        <v>31</v>
      </c>
      <c r="G3773" t="s">
        <v>49</v>
      </c>
      <c r="H3773" t="s">
        <v>32</v>
      </c>
      <c r="I3773" t="s">
        <v>42</v>
      </c>
      <c r="J3773" t="s">
        <v>98</v>
      </c>
      <c r="K3773">
        <v>2</v>
      </c>
      <c r="L3773" s="2">
        <v>117.63</v>
      </c>
      <c r="M3773" s="3">
        <v>0</v>
      </c>
      <c r="N3773" t="s">
        <v>38</v>
      </c>
      <c r="O3773" s="2">
        <v>235.26</v>
      </c>
      <c r="P3773" s="2">
        <v>161.19</v>
      </c>
      <c r="Q3773" s="2">
        <v>74.069999999999993</v>
      </c>
      <c r="R3773">
        <v>1</v>
      </c>
      <c r="S3773">
        <v>0</v>
      </c>
      <c r="T3773">
        <v>3</v>
      </c>
      <c r="U3773">
        <v>3</v>
      </c>
    </row>
    <row r="3774" spans="1:21" ht="16.5" x14ac:dyDescent="0.3">
      <c r="A3774" t="s">
        <v>3862</v>
      </c>
      <c r="B3774" s="1">
        <v>45846</v>
      </c>
      <c r="C3774">
        <v>2025</v>
      </c>
      <c r="D3774" t="s">
        <v>1187</v>
      </c>
      <c r="E3774" t="s">
        <v>1188</v>
      </c>
      <c r="F3774" t="s">
        <v>24</v>
      </c>
      <c r="G3774" t="s">
        <v>25</v>
      </c>
      <c r="H3774" t="s">
        <v>26</v>
      </c>
      <c r="I3774" t="s">
        <v>84</v>
      </c>
      <c r="J3774" t="s">
        <v>85</v>
      </c>
      <c r="K3774">
        <v>1</v>
      </c>
      <c r="L3774" s="2">
        <v>57.92</v>
      </c>
      <c r="M3774" s="3">
        <v>0</v>
      </c>
      <c r="N3774" t="s">
        <v>38</v>
      </c>
      <c r="O3774" s="2">
        <v>57.92</v>
      </c>
      <c r="P3774" s="2">
        <v>42.02</v>
      </c>
      <c r="Q3774" s="2">
        <v>15.9</v>
      </c>
      <c r="R3774">
        <v>1</v>
      </c>
      <c r="S3774">
        <v>0</v>
      </c>
      <c r="T3774">
        <v>4</v>
      </c>
      <c r="U3774">
        <v>5</v>
      </c>
    </row>
    <row r="3775" spans="1:21" ht="16.5" x14ac:dyDescent="0.3">
      <c r="A3775" t="s">
        <v>3863</v>
      </c>
      <c r="B3775" s="1">
        <v>45846</v>
      </c>
      <c r="C3775">
        <v>2025</v>
      </c>
      <c r="D3775" t="s">
        <v>1187</v>
      </c>
      <c r="E3775" t="s">
        <v>1188</v>
      </c>
      <c r="F3775" t="s">
        <v>31</v>
      </c>
      <c r="G3775" t="s">
        <v>49</v>
      </c>
      <c r="H3775" t="s">
        <v>32</v>
      </c>
      <c r="I3775" t="s">
        <v>70</v>
      </c>
      <c r="J3775" t="s">
        <v>82</v>
      </c>
      <c r="K3775">
        <v>1</v>
      </c>
      <c r="L3775" s="2">
        <v>508.8</v>
      </c>
      <c r="M3775" s="3">
        <v>0</v>
      </c>
      <c r="N3775" t="s">
        <v>38</v>
      </c>
      <c r="O3775" s="2">
        <v>508.8</v>
      </c>
      <c r="P3775" s="2">
        <v>424.39</v>
      </c>
      <c r="Q3775" s="2">
        <v>84.41</v>
      </c>
      <c r="R3775">
        <v>1</v>
      </c>
      <c r="S3775">
        <v>0</v>
      </c>
      <c r="T3775">
        <v>4</v>
      </c>
      <c r="U3775">
        <v>5</v>
      </c>
    </row>
    <row r="3776" spans="1:21" ht="16.5" x14ac:dyDescent="0.3">
      <c r="A3776" t="s">
        <v>3864</v>
      </c>
      <c r="B3776" s="1">
        <v>45846</v>
      </c>
      <c r="C3776">
        <v>2025</v>
      </c>
      <c r="D3776" t="s">
        <v>1187</v>
      </c>
      <c r="E3776" t="s">
        <v>1188</v>
      </c>
      <c r="F3776" t="s">
        <v>31</v>
      </c>
      <c r="G3776" t="s">
        <v>65</v>
      </c>
      <c r="H3776" t="s">
        <v>32</v>
      </c>
      <c r="I3776" t="s">
        <v>67</v>
      </c>
      <c r="J3776" t="s">
        <v>103</v>
      </c>
      <c r="K3776">
        <v>1</v>
      </c>
      <c r="L3776" s="2">
        <v>83.06</v>
      </c>
      <c r="M3776" s="3">
        <v>0.1</v>
      </c>
      <c r="N3776" t="s">
        <v>29</v>
      </c>
      <c r="O3776" s="2">
        <v>74.75</v>
      </c>
      <c r="P3776" s="2">
        <v>54.94</v>
      </c>
      <c r="Q3776" s="2">
        <v>19.809999999999999</v>
      </c>
      <c r="R3776">
        <v>1</v>
      </c>
      <c r="S3776">
        <v>0</v>
      </c>
      <c r="T3776">
        <v>7</v>
      </c>
      <c r="U3776">
        <v>3</v>
      </c>
    </row>
    <row r="3777" spans="1:21" ht="16.5" x14ac:dyDescent="0.3">
      <c r="A3777" t="s">
        <v>3865</v>
      </c>
      <c r="B3777" s="1">
        <v>45846</v>
      </c>
      <c r="C3777">
        <v>2025</v>
      </c>
      <c r="D3777" t="s">
        <v>1187</v>
      </c>
      <c r="E3777" t="s">
        <v>1188</v>
      </c>
      <c r="F3777" t="s">
        <v>31</v>
      </c>
      <c r="G3777" t="s">
        <v>49</v>
      </c>
      <c r="H3777" t="s">
        <v>32</v>
      </c>
      <c r="I3777" t="s">
        <v>70</v>
      </c>
      <c r="J3777" t="s">
        <v>87</v>
      </c>
      <c r="K3777">
        <v>1</v>
      </c>
      <c r="L3777" s="2">
        <v>490.3</v>
      </c>
      <c r="M3777" s="3">
        <v>0</v>
      </c>
      <c r="N3777" t="s">
        <v>38</v>
      </c>
      <c r="O3777" s="2">
        <v>490.3</v>
      </c>
      <c r="P3777" s="2">
        <v>381.71</v>
      </c>
      <c r="Q3777" s="2">
        <v>108.59</v>
      </c>
      <c r="R3777">
        <v>1</v>
      </c>
      <c r="S3777">
        <v>0</v>
      </c>
      <c r="T3777">
        <v>4</v>
      </c>
      <c r="U3777">
        <v>5</v>
      </c>
    </row>
    <row r="3778" spans="1:21" ht="16.5" x14ac:dyDescent="0.3">
      <c r="A3778" t="s">
        <v>3866</v>
      </c>
      <c r="B3778" s="1">
        <v>45846</v>
      </c>
      <c r="C3778">
        <v>2025</v>
      </c>
      <c r="D3778" t="s">
        <v>1187</v>
      </c>
      <c r="E3778" t="s">
        <v>1188</v>
      </c>
      <c r="F3778" t="s">
        <v>31</v>
      </c>
      <c r="G3778" t="s">
        <v>25</v>
      </c>
      <c r="H3778" t="s">
        <v>26</v>
      </c>
      <c r="I3778" t="s">
        <v>36</v>
      </c>
      <c r="J3778" t="s">
        <v>52</v>
      </c>
      <c r="K3778">
        <v>1</v>
      </c>
      <c r="L3778" s="2">
        <v>92.54</v>
      </c>
      <c r="M3778" s="3">
        <v>0.15</v>
      </c>
      <c r="N3778" t="s">
        <v>34</v>
      </c>
      <c r="O3778" s="2">
        <v>78.66</v>
      </c>
      <c r="P3778" s="2">
        <v>42.91</v>
      </c>
      <c r="Q3778" s="2">
        <v>35.75</v>
      </c>
      <c r="R3778">
        <v>1</v>
      </c>
      <c r="S3778">
        <v>0</v>
      </c>
      <c r="T3778">
        <v>3</v>
      </c>
      <c r="U3778">
        <v>3</v>
      </c>
    </row>
    <row r="3779" spans="1:21" ht="16.5" x14ac:dyDescent="0.3">
      <c r="A3779" t="s">
        <v>3867</v>
      </c>
      <c r="B3779" s="1">
        <v>45846</v>
      </c>
      <c r="C3779">
        <v>2025</v>
      </c>
      <c r="D3779" t="s">
        <v>1187</v>
      </c>
      <c r="E3779" t="s">
        <v>1188</v>
      </c>
      <c r="F3779" t="s">
        <v>45</v>
      </c>
      <c r="G3779" t="s">
        <v>51</v>
      </c>
      <c r="H3779" t="s">
        <v>32</v>
      </c>
      <c r="I3779" t="s">
        <v>70</v>
      </c>
      <c r="J3779" t="s">
        <v>162</v>
      </c>
      <c r="K3779">
        <v>1</v>
      </c>
      <c r="L3779" s="2">
        <v>636.09</v>
      </c>
      <c r="M3779" s="3">
        <v>0</v>
      </c>
      <c r="N3779" t="s">
        <v>38</v>
      </c>
      <c r="O3779" s="2">
        <v>636.09</v>
      </c>
      <c r="P3779" s="2">
        <v>504.64</v>
      </c>
      <c r="Q3779" s="2">
        <v>131.44999999999999</v>
      </c>
      <c r="R3779">
        <v>1</v>
      </c>
      <c r="S3779">
        <v>0</v>
      </c>
      <c r="T3779">
        <v>4</v>
      </c>
      <c r="U3779">
        <v>4</v>
      </c>
    </row>
    <row r="3780" spans="1:21" ht="16.5" x14ac:dyDescent="0.3">
      <c r="A3780" t="s">
        <v>3868</v>
      </c>
      <c r="B3780" s="1">
        <v>45846</v>
      </c>
      <c r="C3780">
        <v>2025</v>
      </c>
      <c r="D3780" t="s">
        <v>1187</v>
      </c>
      <c r="E3780" t="s">
        <v>1188</v>
      </c>
      <c r="F3780" t="s">
        <v>24</v>
      </c>
      <c r="G3780" t="s">
        <v>46</v>
      </c>
      <c r="H3780" t="s">
        <v>26</v>
      </c>
      <c r="I3780" t="s">
        <v>67</v>
      </c>
      <c r="J3780" t="s">
        <v>68</v>
      </c>
      <c r="K3780">
        <v>1</v>
      </c>
      <c r="L3780" s="2">
        <v>74.459999999999994</v>
      </c>
      <c r="M3780" s="3">
        <v>0</v>
      </c>
      <c r="N3780" t="s">
        <v>38</v>
      </c>
      <c r="O3780" s="2">
        <v>74.459999999999994</v>
      </c>
      <c r="P3780" s="2">
        <v>50.13</v>
      </c>
      <c r="Q3780" s="2">
        <v>24.33</v>
      </c>
      <c r="R3780">
        <v>1</v>
      </c>
      <c r="S3780">
        <v>0</v>
      </c>
      <c r="T3780">
        <v>6</v>
      </c>
      <c r="U3780">
        <v>3</v>
      </c>
    </row>
    <row r="3781" spans="1:21" ht="16.5" x14ac:dyDescent="0.3">
      <c r="A3781" t="s">
        <v>3869</v>
      </c>
      <c r="B3781" s="1">
        <v>45846</v>
      </c>
      <c r="C3781">
        <v>2025</v>
      </c>
      <c r="D3781" t="s">
        <v>1187</v>
      </c>
      <c r="E3781" t="s">
        <v>1188</v>
      </c>
      <c r="F3781" t="s">
        <v>45</v>
      </c>
      <c r="G3781" t="s">
        <v>25</v>
      </c>
      <c r="H3781" t="s">
        <v>26</v>
      </c>
      <c r="I3781" t="s">
        <v>70</v>
      </c>
      <c r="J3781" t="s">
        <v>71</v>
      </c>
      <c r="K3781">
        <v>1</v>
      </c>
      <c r="L3781" s="2">
        <v>588.41</v>
      </c>
      <c r="M3781" s="3">
        <v>0</v>
      </c>
      <c r="N3781" t="s">
        <v>38</v>
      </c>
      <c r="O3781" s="2">
        <v>588.41</v>
      </c>
      <c r="P3781" s="2">
        <v>485.04</v>
      </c>
      <c r="Q3781" s="2">
        <v>103.37</v>
      </c>
      <c r="R3781">
        <v>1</v>
      </c>
      <c r="S3781">
        <v>0</v>
      </c>
      <c r="T3781">
        <v>3</v>
      </c>
      <c r="U3781">
        <v>5</v>
      </c>
    </row>
    <row r="3782" spans="1:21" ht="16.5" x14ac:dyDescent="0.3">
      <c r="A3782" t="s">
        <v>3870</v>
      </c>
      <c r="B3782" s="1">
        <v>45846</v>
      </c>
      <c r="C3782">
        <v>2025</v>
      </c>
      <c r="D3782" t="s">
        <v>1187</v>
      </c>
      <c r="E3782" t="s">
        <v>1188</v>
      </c>
      <c r="F3782" t="s">
        <v>45</v>
      </c>
      <c r="G3782" t="s">
        <v>49</v>
      </c>
      <c r="H3782" t="s">
        <v>32</v>
      </c>
      <c r="I3782" t="s">
        <v>36</v>
      </c>
      <c r="J3782" t="s">
        <v>37</v>
      </c>
      <c r="K3782">
        <v>1</v>
      </c>
      <c r="L3782" s="2">
        <v>33.18</v>
      </c>
      <c r="M3782" s="3">
        <v>0.2</v>
      </c>
      <c r="N3782" t="s">
        <v>34</v>
      </c>
      <c r="O3782" s="2">
        <v>26.54</v>
      </c>
      <c r="P3782" s="2">
        <v>15.99</v>
      </c>
      <c r="Q3782" s="2">
        <v>10.55</v>
      </c>
      <c r="R3782">
        <v>1</v>
      </c>
      <c r="S3782">
        <v>0</v>
      </c>
      <c r="T3782">
        <v>4</v>
      </c>
      <c r="U3782">
        <v>3</v>
      </c>
    </row>
    <row r="3783" spans="1:21" ht="16.5" x14ac:dyDescent="0.3">
      <c r="A3783" t="s">
        <v>3871</v>
      </c>
      <c r="B3783" s="1">
        <v>45847</v>
      </c>
      <c r="C3783">
        <v>2025</v>
      </c>
      <c r="D3783" t="s">
        <v>1187</v>
      </c>
      <c r="E3783" t="s">
        <v>1188</v>
      </c>
      <c r="F3783" t="s">
        <v>24</v>
      </c>
      <c r="G3783" t="s">
        <v>25</v>
      </c>
      <c r="H3783" t="s">
        <v>26</v>
      </c>
      <c r="I3783" t="s">
        <v>36</v>
      </c>
      <c r="J3783" t="s">
        <v>56</v>
      </c>
      <c r="K3783">
        <v>2</v>
      </c>
      <c r="L3783" s="2">
        <v>74.3</v>
      </c>
      <c r="M3783" s="3">
        <v>0.1</v>
      </c>
      <c r="N3783" t="s">
        <v>29</v>
      </c>
      <c r="O3783" s="2">
        <v>133.74</v>
      </c>
      <c r="P3783" s="2">
        <v>68.19</v>
      </c>
      <c r="Q3783" s="2">
        <v>65.55</v>
      </c>
      <c r="R3783">
        <v>1</v>
      </c>
      <c r="S3783">
        <v>0</v>
      </c>
      <c r="T3783">
        <v>3</v>
      </c>
      <c r="U3783">
        <v>5</v>
      </c>
    </row>
    <row r="3784" spans="1:21" ht="16.5" x14ac:dyDescent="0.3">
      <c r="A3784" t="s">
        <v>3872</v>
      </c>
      <c r="B3784" s="1">
        <v>45847</v>
      </c>
      <c r="C3784">
        <v>2025</v>
      </c>
      <c r="D3784" t="s">
        <v>1187</v>
      </c>
      <c r="E3784" t="s">
        <v>1188</v>
      </c>
      <c r="F3784" t="s">
        <v>24</v>
      </c>
      <c r="G3784" t="s">
        <v>49</v>
      </c>
      <c r="H3784" t="s">
        <v>32</v>
      </c>
      <c r="I3784" t="s">
        <v>70</v>
      </c>
      <c r="J3784" t="s">
        <v>162</v>
      </c>
      <c r="K3784">
        <v>3</v>
      </c>
      <c r="L3784" s="2">
        <v>636.09</v>
      </c>
      <c r="M3784" s="3">
        <v>0</v>
      </c>
      <c r="N3784" t="s">
        <v>38</v>
      </c>
      <c r="O3784" s="2">
        <v>1908.27</v>
      </c>
      <c r="P3784" s="2">
        <v>1562.97</v>
      </c>
      <c r="Q3784" s="2">
        <v>345.3</v>
      </c>
      <c r="R3784">
        <v>1</v>
      </c>
      <c r="S3784">
        <v>0</v>
      </c>
      <c r="T3784">
        <v>3</v>
      </c>
      <c r="U3784">
        <v>4</v>
      </c>
    </row>
    <row r="3785" spans="1:21" ht="16.5" x14ac:dyDescent="0.3">
      <c r="A3785" t="s">
        <v>3873</v>
      </c>
      <c r="B3785" s="1">
        <v>45847</v>
      </c>
      <c r="C3785">
        <v>2025</v>
      </c>
      <c r="D3785" t="s">
        <v>1187</v>
      </c>
      <c r="E3785" t="s">
        <v>1188</v>
      </c>
      <c r="F3785" t="s">
        <v>24</v>
      </c>
      <c r="G3785" t="s">
        <v>51</v>
      </c>
      <c r="H3785" t="s">
        <v>26</v>
      </c>
      <c r="I3785" t="s">
        <v>36</v>
      </c>
      <c r="J3785" t="s">
        <v>56</v>
      </c>
      <c r="K3785">
        <v>4</v>
      </c>
      <c r="L3785" s="2">
        <v>74.3</v>
      </c>
      <c r="M3785" s="3">
        <v>0.2</v>
      </c>
      <c r="N3785" t="s">
        <v>34</v>
      </c>
      <c r="O3785" s="2">
        <v>237.76</v>
      </c>
      <c r="P3785" s="2">
        <v>143.9</v>
      </c>
      <c r="Q3785" s="2">
        <v>93.86</v>
      </c>
      <c r="R3785">
        <v>1</v>
      </c>
      <c r="S3785">
        <v>0</v>
      </c>
      <c r="T3785">
        <v>4</v>
      </c>
      <c r="U3785">
        <v>5</v>
      </c>
    </row>
    <row r="3786" spans="1:21" ht="16.5" x14ac:dyDescent="0.3">
      <c r="A3786" t="s">
        <v>3874</v>
      </c>
      <c r="B3786" s="1">
        <v>45847</v>
      </c>
      <c r="C3786">
        <v>2025</v>
      </c>
      <c r="D3786" t="s">
        <v>1187</v>
      </c>
      <c r="E3786" t="s">
        <v>1188</v>
      </c>
      <c r="F3786" t="s">
        <v>45</v>
      </c>
      <c r="G3786" t="s">
        <v>51</v>
      </c>
      <c r="H3786" t="s">
        <v>32</v>
      </c>
      <c r="I3786" t="s">
        <v>42</v>
      </c>
      <c r="J3786" t="s">
        <v>98</v>
      </c>
      <c r="K3786">
        <v>1</v>
      </c>
      <c r="L3786" s="2">
        <v>117.63</v>
      </c>
      <c r="M3786" s="3">
        <v>0.15</v>
      </c>
      <c r="N3786" t="s">
        <v>34</v>
      </c>
      <c r="O3786" s="2">
        <v>99.99</v>
      </c>
      <c r="P3786" s="2">
        <v>79.540000000000006</v>
      </c>
      <c r="Q3786" s="2">
        <v>20.45</v>
      </c>
      <c r="R3786">
        <v>1</v>
      </c>
      <c r="S3786">
        <v>0</v>
      </c>
      <c r="T3786">
        <v>3</v>
      </c>
      <c r="U3786">
        <v>4</v>
      </c>
    </row>
    <row r="3787" spans="1:21" ht="16.5" x14ac:dyDescent="0.3">
      <c r="A3787" t="s">
        <v>3875</v>
      </c>
      <c r="B3787" s="1">
        <v>45847</v>
      </c>
      <c r="C3787">
        <v>2025</v>
      </c>
      <c r="D3787" t="s">
        <v>1187</v>
      </c>
      <c r="E3787" t="s">
        <v>1188</v>
      </c>
      <c r="F3787" t="s">
        <v>24</v>
      </c>
      <c r="G3787" t="s">
        <v>65</v>
      </c>
      <c r="H3787" t="s">
        <v>26</v>
      </c>
      <c r="I3787" t="s">
        <v>67</v>
      </c>
      <c r="J3787" t="s">
        <v>93</v>
      </c>
      <c r="K3787">
        <v>1</v>
      </c>
      <c r="L3787" s="2">
        <v>198.42</v>
      </c>
      <c r="M3787" s="3">
        <v>0.15</v>
      </c>
      <c r="N3787" t="s">
        <v>34</v>
      </c>
      <c r="O3787" s="2">
        <v>168.66</v>
      </c>
      <c r="P3787" s="2">
        <v>129.27000000000001</v>
      </c>
      <c r="Q3787" s="2">
        <v>39.39</v>
      </c>
      <c r="R3787">
        <v>1</v>
      </c>
      <c r="S3787">
        <v>0</v>
      </c>
      <c r="T3787">
        <v>6</v>
      </c>
      <c r="U3787">
        <v>4</v>
      </c>
    </row>
    <row r="3788" spans="1:21" ht="16.5" x14ac:dyDescent="0.3">
      <c r="A3788" t="s">
        <v>3876</v>
      </c>
      <c r="B3788" s="1">
        <v>45848</v>
      </c>
      <c r="C3788">
        <v>2025</v>
      </c>
      <c r="D3788" t="s">
        <v>1187</v>
      </c>
      <c r="E3788" t="s">
        <v>1188</v>
      </c>
      <c r="F3788" t="s">
        <v>31</v>
      </c>
      <c r="G3788" t="s">
        <v>51</v>
      </c>
      <c r="H3788" t="s">
        <v>26</v>
      </c>
      <c r="I3788" t="s">
        <v>67</v>
      </c>
      <c r="J3788" t="s">
        <v>174</v>
      </c>
      <c r="K3788">
        <v>2</v>
      </c>
      <c r="L3788" s="2">
        <v>137.05000000000001</v>
      </c>
      <c r="M3788" s="3">
        <v>0.15</v>
      </c>
      <c r="N3788" t="s">
        <v>34</v>
      </c>
      <c r="O3788" s="2">
        <v>232.98</v>
      </c>
      <c r="P3788" s="2">
        <v>187</v>
      </c>
      <c r="Q3788" s="2">
        <v>45.98</v>
      </c>
      <c r="R3788">
        <v>1</v>
      </c>
      <c r="S3788">
        <v>0</v>
      </c>
      <c r="T3788">
        <v>3</v>
      </c>
      <c r="U3788">
        <v>5</v>
      </c>
    </row>
    <row r="3789" spans="1:21" ht="16.5" x14ac:dyDescent="0.3">
      <c r="A3789" t="s">
        <v>3877</v>
      </c>
      <c r="B3789" s="1">
        <v>45848</v>
      </c>
      <c r="C3789">
        <v>2025</v>
      </c>
      <c r="D3789" t="s">
        <v>1187</v>
      </c>
      <c r="E3789" t="s">
        <v>1188</v>
      </c>
      <c r="F3789" t="s">
        <v>24</v>
      </c>
      <c r="G3789" t="s">
        <v>51</v>
      </c>
      <c r="H3789" t="s">
        <v>32</v>
      </c>
      <c r="I3789" t="s">
        <v>70</v>
      </c>
      <c r="J3789" t="s">
        <v>252</v>
      </c>
      <c r="K3789">
        <v>4</v>
      </c>
      <c r="L3789" s="2">
        <v>216.08</v>
      </c>
      <c r="M3789" s="3">
        <v>0</v>
      </c>
      <c r="N3789" t="s">
        <v>38</v>
      </c>
      <c r="O3789" s="2">
        <v>864.32</v>
      </c>
      <c r="P3789" s="2">
        <v>693.41</v>
      </c>
      <c r="Q3789" s="2">
        <v>170.91</v>
      </c>
      <c r="R3789">
        <v>1</v>
      </c>
      <c r="S3789">
        <v>0</v>
      </c>
      <c r="T3789">
        <v>4</v>
      </c>
      <c r="U3789">
        <v>5</v>
      </c>
    </row>
    <row r="3790" spans="1:21" ht="16.5" x14ac:dyDescent="0.3">
      <c r="A3790" t="s">
        <v>3878</v>
      </c>
      <c r="B3790" s="1">
        <v>45848</v>
      </c>
      <c r="C3790">
        <v>2025</v>
      </c>
      <c r="D3790" t="s">
        <v>1187</v>
      </c>
      <c r="E3790" t="s">
        <v>1188</v>
      </c>
      <c r="F3790" t="s">
        <v>31</v>
      </c>
      <c r="G3790" t="s">
        <v>49</v>
      </c>
      <c r="H3790" t="s">
        <v>26</v>
      </c>
      <c r="I3790" t="s">
        <v>42</v>
      </c>
      <c r="J3790" t="s">
        <v>43</v>
      </c>
      <c r="K3790">
        <v>1</v>
      </c>
      <c r="L3790" s="2">
        <v>154.66</v>
      </c>
      <c r="M3790" s="3">
        <v>0</v>
      </c>
      <c r="N3790" t="s">
        <v>38</v>
      </c>
      <c r="O3790" s="2">
        <v>154.66</v>
      </c>
      <c r="P3790" s="2">
        <v>101.59</v>
      </c>
      <c r="Q3790" s="2">
        <v>53.07</v>
      </c>
      <c r="R3790">
        <v>1</v>
      </c>
      <c r="S3790">
        <v>0</v>
      </c>
      <c r="T3790">
        <v>3</v>
      </c>
      <c r="U3790">
        <v>4</v>
      </c>
    </row>
    <row r="3791" spans="1:21" ht="16.5" x14ac:dyDescent="0.3">
      <c r="A3791" t="s">
        <v>3879</v>
      </c>
      <c r="B3791" s="1">
        <v>45848</v>
      </c>
      <c r="C3791">
        <v>2025</v>
      </c>
      <c r="D3791" t="s">
        <v>1187</v>
      </c>
      <c r="E3791" t="s">
        <v>1188</v>
      </c>
      <c r="F3791" t="s">
        <v>31</v>
      </c>
      <c r="G3791" t="s">
        <v>25</v>
      </c>
      <c r="H3791" t="s">
        <v>26</v>
      </c>
      <c r="I3791" t="s">
        <v>27</v>
      </c>
      <c r="J3791" t="s">
        <v>60</v>
      </c>
      <c r="K3791">
        <v>1</v>
      </c>
      <c r="L3791" s="2">
        <v>94.85</v>
      </c>
      <c r="M3791" s="3">
        <v>0.2</v>
      </c>
      <c r="N3791" t="s">
        <v>34</v>
      </c>
      <c r="O3791" s="2">
        <v>75.88</v>
      </c>
      <c r="P3791" s="2">
        <v>49.76</v>
      </c>
      <c r="Q3791" s="2">
        <v>26.12</v>
      </c>
      <c r="R3791">
        <v>1</v>
      </c>
      <c r="S3791">
        <v>1</v>
      </c>
      <c r="T3791">
        <v>6</v>
      </c>
      <c r="U3791">
        <v>3</v>
      </c>
    </row>
    <row r="3792" spans="1:21" ht="16.5" x14ac:dyDescent="0.3">
      <c r="A3792" t="s">
        <v>3880</v>
      </c>
      <c r="B3792" s="1">
        <v>45848</v>
      </c>
      <c r="C3792">
        <v>2025</v>
      </c>
      <c r="D3792" t="s">
        <v>1187</v>
      </c>
      <c r="E3792" t="s">
        <v>1188</v>
      </c>
      <c r="F3792" t="s">
        <v>31</v>
      </c>
      <c r="G3792" t="s">
        <v>46</v>
      </c>
      <c r="H3792" t="s">
        <v>26</v>
      </c>
      <c r="I3792" t="s">
        <v>27</v>
      </c>
      <c r="J3792" t="s">
        <v>110</v>
      </c>
      <c r="K3792">
        <v>3</v>
      </c>
      <c r="L3792" s="2">
        <v>19.41</v>
      </c>
      <c r="M3792" s="3">
        <v>0.1</v>
      </c>
      <c r="N3792" t="s">
        <v>29</v>
      </c>
      <c r="O3792" s="2">
        <v>52.41</v>
      </c>
      <c r="P3792" s="2">
        <v>29.5</v>
      </c>
      <c r="Q3792" s="2">
        <v>22.91</v>
      </c>
      <c r="R3792">
        <v>1</v>
      </c>
      <c r="S3792">
        <v>0</v>
      </c>
      <c r="T3792">
        <v>5</v>
      </c>
      <c r="U3792">
        <v>5</v>
      </c>
    </row>
    <row r="3793" spans="1:21" ht="16.5" x14ac:dyDescent="0.3">
      <c r="A3793" t="s">
        <v>3881</v>
      </c>
      <c r="B3793" s="1">
        <v>45848</v>
      </c>
      <c r="C3793">
        <v>2025</v>
      </c>
      <c r="D3793" t="s">
        <v>1187</v>
      </c>
      <c r="E3793" t="s">
        <v>1188</v>
      </c>
      <c r="F3793" t="s">
        <v>24</v>
      </c>
      <c r="G3793" t="s">
        <v>49</v>
      </c>
      <c r="H3793" t="s">
        <v>32</v>
      </c>
      <c r="I3793" t="s">
        <v>67</v>
      </c>
      <c r="J3793" t="s">
        <v>93</v>
      </c>
      <c r="K3793">
        <v>3</v>
      </c>
      <c r="L3793" s="2">
        <v>198.42</v>
      </c>
      <c r="M3793" s="3">
        <v>0</v>
      </c>
      <c r="N3793" t="s">
        <v>38</v>
      </c>
      <c r="O3793" s="2">
        <v>595.26</v>
      </c>
      <c r="P3793" s="2">
        <v>393.7</v>
      </c>
      <c r="Q3793" s="2">
        <v>201.56</v>
      </c>
      <c r="R3793">
        <v>1</v>
      </c>
      <c r="S3793">
        <v>0</v>
      </c>
      <c r="T3793">
        <v>4</v>
      </c>
      <c r="U3793">
        <v>3</v>
      </c>
    </row>
    <row r="3794" spans="1:21" ht="16.5" x14ac:dyDescent="0.3">
      <c r="A3794" t="s">
        <v>3882</v>
      </c>
      <c r="B3794" s="1">
        <v>45848</v>
      </c>
      <c r="C3794">
        <v>2025</v>
      </c>
      <c r="D3794" t="s">
        <v>1187</v>
      </c>
      <c r="E3794" t="s">
        <v>1188</v>
      </c>
      <c r="F3794" t="s">
        <v>45</v>
      </c>
      <c r="G3794" t="s">
        <v>65</v>
      </c>
      <c r="H3794" t="s">
        <v>32</v>
      </c>
      <c r="I3794" t="s">
        <v>70</v>
      </c>
      <c r="J3794" t="s">
        <v>82</v>
      </c>
      <c r="K3794">
        <v>1</v>
      </c>
      <c r="L3794" s="2">
        <v>508.8</v>
      </c>
      <c r="M3794" s="3">
        <v>0.1</v>
      </c>
      <c r="N3794" t="s">
        <v>29</v>
      </c>
      <c r="O3794" s="2">
        <v>457.92</v>
      </c>
      <c r="P3794" s="2">
        <v>419.44</v>
      </c>
      <c r="Q3794" s="2">
        <v>38.479999999999997</v>
      </c>
      <c r="R3794">
        <v>1</v>
      </c>
      <c r="S3794">
        <v>0</v>
      </c>
      <c r="T3794">
        <v>6</v>
      </c>
      <c r="U3794">
        <v>4</v>
      </c>
    </row>
    <row r="3795" spans="1:21" ht="16.5" x14ac:dyDescent="0.3">
      <c r="A3795" t="s">
        <v>3883</v>
      </c>
      <c r="B3795" s="1">
        <v>45848</v>
      </c>
      <c r="C3795">
        <v>2025</v>
      </c>
      <c r="D3795" t="s">
        <v>1187</v>
      </c>
      <c r="E3795" t="s">
        <v>1188</v>
      </c>
      <c r="F3795" t="s">
        <v>31</v>
      </c>
      <c r="G3795" t="s">
        <v>51</v>
      </c>
      <c r="H3795" t="s">
        <v>32</v>
      </c>
      <c r="I3795" t="s">
        <v>84</v>
      </c>
      <c r="J3795" t="s">
        <v>85</v>
      </c>
      <c r="K3795">
        <v>1</v>
      </c>
      <c r="L3795" s="2">
        <v>57.92</v>
      </c>
      <c r="M3795" s="3">
        <v>0</v>
      </c>
      <c r="N3795" t="s">
        <v>38</v>
      </c>
      <c r="O3795" s="2">
        <v>57.92</v>
      </c>
      <c r="P3795" s="2">
        <v>42.17</v>
      </c>
      <c r="Q3795" s="2">
        <v>15.75</v>
      </c>
      <c r="R3795">
        <v>1</v>
      </c>
      <c r="S3795">
        <v>1</v>
      </c>
      <c r="T3795">
        <v>4</v>
      </c>
      <c r="U3795">
        <v>4</v>
      </c>
    </row>
    <row r="3796" spans="1:21" ht="16.5" x14ac:dyDescent="0.3">
      <c r="A3796" t="s">
        <v>3884</v>
      </c>
      <c r="B3796" s="1">
        <v>45849</v>
      </c>
      <c r="C3796">
        <v>2025</v>
      </c>
      <c r="D3796" t="s">
        <v>1187</v>
      </c>
      <c r="E3796" t="s">
        <v>1188</v>
      </c>
      <c r="F3796" t="s">
        <v>45</v>
      </c>
      <c r="G3796" t="s">
        <v>49</v>
      </c>
      <c r="H3796" t="s">
        <v>26</v>
      </c>
      <c r="I3796" t="s">
        <v>36</v>
      </c>
      <c r="J3796" t="s">
        <v>115</v>
      </c>
      <c r="K3796">
        <v>1</v>
      </c>
      <c r="L3796" s="2">
        <v>33.479999999999997</v>
      </c>
      <c r="M3796" s="3">
        <v>0.05</v>
      </c>
      <c r="N3796" t="s">
        <v>29</v>
      </c>
      <c r="O3796" s="2">
        <v>31.81</v>
      </c>
      <c r="P3796" s="2">
        <v>15.41</v>
      </c>
      <c r="Q3796" s="2">
        <v>16.399999999999999</v>
      </c>
      <c r="R3796">
        <v>1</v>
      </c>
      <c r="S3796">
        <v>1</v>
      </c>
      <c r="T3796">
        <v>3</v>
      </c>
      <c r="U3796">
        <v>3</v>
      </c>
    </row>
    <row r="3797" spans="1:21" ht="16.5" x14ac:dyDescent="0.3">
      <c r="A3797" t="s">
        <v>3885</v>
      </c>
      <c r="B3797" s="1">
        <v>45849</v>
      </c>
      <c r="C3797">
        <v>2025</v>
      </c>
      <c r="D3797" t="s">
        <v>1187</v>
      </c>
      <c r="E3797" t="s">
        <v>1188</v>
      </c>
      <c r="F3797" t="s">
        <v>31</v>
      </c>
      <c r="G3797" t="s">
        <v>51</v>
      </c>
      <c r="H3797" t="s">
        <v>32</v>
      </c>
      <c r="I3797" t="s">
        <v>42</v>
      </c>
      <c r="J3797" t="s">
        <v>54</v>
      </c>
      <c r="K3797">
        <v>1</v>
      </c>
      <c r="L3797" s="2">
        <v>148.05000000000001</v>
      </c>
      <c r="M3797" s="3">
        <v>0.25</v>
      </c>
      <c r="N3797" t="s">
        <v>62</v>
      </c>
      <c r="O3797" s="2">
        <v>111.04</v>
      </c>
      <c r="P3797" s="2">
        <v>98.36</v>
      </c>
      <c r="Q3797" s="2">
        <v>12.68</v>
      </c>
      <c r="R3797">
        <v>1</v>
      </c>
      <c r="S3797">
        <v>0</v>
      </c>
      <c r="T3797">
        <v>2</v>
      </c>
      <c r="U3797">
        <v>4</v>
      </c>
    </row>
    <row r="3798" spans="1:21" ht="16.5" x14ac:dyDescent="0.3">
      <c r="A3798" t="s">
        <v>3886</v>
      </c>
      <c r="B3798" s="1">
        <v>45849</v>
      </c>
      <c r="C3798">
        <v>2025</v>
      </c>
      <c r="D3798" t="s">
        <v>1187</v>
      </c>
      <c r="E3798" t="s">
        <v>1188</v>
      </c>
      <c r="F3798" t="s">
        <v>31</v>
      </c>
      <c r="G3798" t="s">
        <v>46</v>
      </c>
      <c r="H3798" t="s">
        <v>32</v>
      </c>
      <c r="I3798" t="s">
        <v>70</v>
      </c>
      <c r="J3798" t="s">
        <v>162</v>
      </c>
      <c r="K3798">
        <v>1</v>
      </c>
      <c r="L3798" s="2">
        <v>636.09</v>
      </c>
      <c r="M3798" s="3">
        <v>0.1</v>
      </c>
      <c r="N3798" t="s">
        <v>29</v>
      </c>
      <c r="O3798" s="2">
        <v>572.48</v>
      </c>
      <c r="P3798" s="2">
        <v>498.29</v>
      </c>
      <c r="Q3798" s="2">
        <v>74.19</v>
      </c>
      <c r="R3798">
        <v>1</v>
      </c>
      <c r="S3798">
        <v>0</v>
      </c>
      <c r="T3798">
        <v>6</v>
      </c>
      <c r="U3798">
        <v>4</v>
      </c>
    </row>
    <row r="3799" spans="1:21" ht="16.5" x14ac:dyDescent="0.3">
      <c r="A3799" t="s">
        <v>3887</v>
      </c>
      <c r="B3799" s="1">
        <v>45849</v>
      </c>
      <c r="C3799">
        <v>2025</v>
      </c>
      <c r="D3799" t="s">
        <v>1187</v>
      </c>
      <c r="E3799" t="s">
        <v>1188</v>
      </c>
      <c r="F3799" t="s">
        <v>31</v>
      </c>
      <c r="G3799" t="s">
        <v>51</v>
      </c>
      <c r="H3799" t="s">
        <v>32</v>
      </c>
      <c r="I3799" t="s">
        <v>27</v>
      </c>
      <c r="J3799" t="s">
        <v>47</v>
      </c>
      <c r="K3799">
        <v>1</v>
      </c>
      <c r="L3799" s="2">
        <v>33.99</v>
      </c>
      <c r="M3799" s="3">
        <v>0.1</v>
      </c>
      <c r="N3799" t="s">
        <v>29</v>
      </c>
      <c r="O3799" s="2">
        <v>30.59</v>
      </c>
      <c r="P3799" s="2">
        <v>19.260000000000002</v>
      </c>
      <c r="Q3799" s="2">
        <v>11.33</v>
      </c>
      <c r="R3799">
        <v>1</v>
      </c>
      <c r="S3799">
        <v>0</v>
      </c>
      <c r="T3799">
        <v>2</v>
      </c>
      <c r="U3799">
        <v>4</v>
      </c>
    </row>
    <row r="3800" spans="1:21" ht="16.5" x14ac:dyDescent="0.3">
      <c r="A3800" t="s">
        <v>3888</v>
      </c>
      <c r="B3800" s="1">
        <v>45849</v>
      </c>
      <c r="C3800">
        <v>2025</v>
      </c>
      <c r="D3800" t="s">
        <v>1187</v>
      </c>
      <c r="E3800" t="s">
        <v>1188</v>
      </c>
      <c r="F3800" t="s">
        <v>24</v>
      </c>
      <c r="G3800" t="s">
        <v>49</v>
      </c>
      <c r="H3800" t="s">
        <v>32</v>
      </c>
      <c r="I3800" t="s">
        <v>70</v>
      </c>
      <c r="J3800" t="s">
        <v>252</v>
      </c>
      <c r="K3800">
        <v>1</v>
      </c>
      <c r="L3800" s="2">
        <v>216.08</v>
      </c>
      <c r="M3800" s="3">
        <v>0</v>
      </c>
      <c r="N3800" t="s">
        <v>38</v>
      </c>
      <c r="O3800" s="2">
        <v>216.08</v>
      </c>
      <c r="P3800" s="2">
        <v>179.82</v>
      </c>
      <c r="Q3800" s="2">
        <v>36.26</v>
      </c>
      <c r="R3800">
        <v>1</v>
      </c>
      <c r="S3800">
        <v>0</v>
      </c>
      <c r="T3800">
        <v>4</v>
      </c>
      <c r="U3800">
        <v>4</v>
      </c>
    </row>
    <row r="3801" spans="1:21" ht="16.5" x14ac:dyDescent="0.3">
      <c r="A3801" t="s">
        <v>3889</v>
      </c>
      <c r="B3801" s="1">
        <v>45849</v>
      </c>
      <c r="C3801">
        <v>2025</v>
      </c>
      <c r="D3801" t="s">
        <v>1187</v>
      </c>
      <c r="E3801" t="s">
        <v>1188</v>
      </c>
      <c r="F3801" t="s">
        <v>31</v>
      </c>
      <c r="G3801" t="s">
        <v>49</v>
      </c>
      <c r="H3801" t="s">
        <v>32</v>
      </c>
      <c r="I3801" t="s">
        <v>67</v>
      </c>
      <c r="J3801" t="s">
        <v>78</v>
      </c>
      <c r="K3801">
        <v>1</v>
      </c>
      <c r="L3801" s="2">
        <v>85.42</v>
      </c>
      <c r="M3801" s="3">
        <v>0</v>
      </c>
      <c r="N3801" t="s">
        <v>38</v>
      </c>
      <c r="O3801" s="2">
        <v>85.42</v>
      </c>
      <c r="P3801" s="2">
        <v>57.48</v>
      </c>
      <c r="Q3801" s="2">
        <v>27.94</v>
      </c>
      <c r="R3801">
        <v>1</v>
      </c>
      <c r="S3801">
        <v>1</v>
      </c>
      <c r="T3801">
        <v>3</v>
      </c>
      <c r="U3801">
        <v>2</v>
      </c>
    </row>
    <row r="3802" spans="1:21" ht="16.5" x14ac:dyDescent="0.3">
      <c r="A3802" t="s">
        <v>3890</v>
      </c>
      <c r="B3802" s="1">
        <v>45850</v>
      </c>
      <c r="C3802">
        <v>2025</v>
      </c>
      <c r="D3802" t="s">
        <v>1187</v>
      </c>
      <c r="E3802" t="s">
        <v>1188</v>
      </c>
      <c r="F3802" t="s">
        <v>45</v>
      </c>
      <c r="G3802" t="s">
        <v>25</v>
      </c>
      <c r="H3802" t="s">
        <v>32</v>
      </c>
      <c r="I3802" t="s">
        <v>67</v>
      </c>
      <c r="J3802" t="s">
        <v>174</v>
      </c>
      <c r="K3802">
        <v>1</v>
      </c>
      <c r="L3802" s="2">
        <v>137.05000000000001</v>
      </c>
      <c r="M3802" s="3">
        <v>0.05</v>
      </c>
      <c r="N3802" t="s">
        <v>29</v>
      </c>
      <c r="O3802" s="2">
        <v>130.19999999999999</v>
      </c>
      <c r="P3802" s="2">
        <v>92.5</v>
      </c>
      <c r="Q3802" s="2">
        <v>37.700000000000003</v>
      </c>
      <c r="R3802">
        <v>1</v>
      </c>
      <c r="S3802">
        <v>0</v>
      </c>
      <c r="T3802">
        <v>3</v>
      </c>
      <c r="U3802">
        <v>4</v>
      </c>
    </row>
    <row r="3803" spans="1:21" ht="16.5" x14ac:dyDescent="0.3">
      <c r="A3803" t="s">
        <v>3891</v>
      </c>
      <c r="B3803" s="1">
        <v>45850</v>
      </c>
      <c r="C3803">
        <v>2025</v>
      </c>
      <c r="D3803" t="s">
        <v>1187</v>
      </c>
      <c r="E3803" t="s">
        <v>1188</v>
      </c>
      <c r="F3803" t="s">
        <v>24</v>
      </c>
      <c r="G3803" t="s">
        <v>51</v>
      </c>
      <c r="H3803" t="s">
        <v>26</v>
      </c>
      <c r="I3803" t="s">
        <v>42</v>
      </c>
      <c r="J3803" t="s">
        <v>58</v>
      </c>
      <c r="K3803">
        <v>1</v>
      </c>
      <c r="L3803" s="2">
        <v>233.81</v>
      </c>
      <c r="M3803" s="3">
        <v>0.05</v>
      </c>
      <c r="N3803" t="s">
        <v>29</v>
      </c>
      <c r="O3803" s="2">
        <v>222.12</v>
      </c>
      <c r="P3803" s="2">
        <v>161.47</v>
      </c>
      <c r="Q3803" s="2">
        <v>60.65</v>
      </c>
      <c r="R3803">
        <v>1</v>
      </c>
      <c r="S3803">
        <v>0</v>
      </c>
      <c r="T3803">
        <v>2</v>
      </c>
      <c r="U3803">
        <v>4</v>
      </c>
    </row>
    <row r="3804" spans="1:21" ht="16.5" x14ac:dyDescent="0.3">
      <c r="A3804" t="s">
        <v>3892</v>
      </c>
      <c r="B3804" s="1">
        <v>45850</v>
      </c>
      <c r="C3804">
        <v>2025</v>
      </c>
      <c r="D3804" t="s">
        <v>1187</v>
      </c>
      <c r="E3804" t="s">
        <v>1188</v>
      </c>
      <c r="F3804" t="s">
        <v>24</v>
      </c>
      <c r="G3804" t="s">
        <v>25</v>
      </c>
      <c r="H3804" t="s">
        <v>26</v>
      </c>
      <c r="I3804" t="s">
        <v>36</v>
      </c>
      <c r="J3804" t="s">
        <v>56</v>
      </c>
      <c r="K3804">
        <v>2</v>
      </c>
      <c r="L3804" s="2">
        <v>74.3</v>
      </c>
      <c r="M3804" s="3">
        <v>0.05</v>
      </c>
      <c r="N3804" t="s">
        <v>29</v>
      </c>
      <c r="O3804" s="2">
        <v>141.16999999999999</v>
      </c>
      <c r="P3804" s="2">
        <v>69.77</v>
      </c>
      <c r="Q3804" s="2">
        <v>71.400000000000006</v>
      </c>
      <c r="R3804">
        <v>1</v>
      </c>
      <c r="S3804">
        <v>0</v>
      </c>
      <c r="T3804">
        <v>5</v>
      </c>
      <c r="U3804">
        <v>3</v>
      </c>
    </row>
    <row r="3805" spans="1:21" ht="16.5" x14ac:dyDescent="0.3">
      <c r="A3805" t="s">
        <v>3893</v>
      </c>
      <c r="B3805" s="1">
        <v>45850</v>
      </c>
      <c r="C3805">
        <v>2025</v>
      </c>
      <c r="D3805" t="s">
        <v>1187</v>
      </c>
      <c r="E3805" t="s">
        <v>1188</v>
      </c>
      <c r="F3805" t="s">
        <v>31</v>
      </c>
      <c r="G3805" t="s">
        <v>25</v>
      </c>
      <c r="H3805" t="s">
        <v>32</v>
      </c>
      <c r="I3805" t="s">
        <v>27</v>
      </c>
      <c r="J3805" t="s">
        <v>47</v>
      </c>
      <c r="K3805">
        <v>1</v>
      </c>
      <c r="L3805" s="2">
        <v>33.99</v>
      </c>
      <c r="M3805" s="3">
        <v>0.05</v>
      </c>
      <c r="N3805" t="s">
        <v>29</v>
      </c>
      <c r="O3805" s="2">
        <v>32.29</v>
      </c>
      <c r="P3805" s="2">
        <v>18.010000000000002</v>
      </c>
      <c r="Q3805" s="2">
        <v>14.28</v>
      </c>
      <c r="R3805">
        <v>1</v>
      </c>
      <c r="S3805">
        <v>0</v>
      </c>
      <c r="T3805">
        <v>4</v>
      </c>
      <c r="U3805">
        <v>5</v>
      </c>
    </row>
    <row r="3806" spans="1:21" ht="16.5" x14ac:dyDescent="0.3">
      <c r="A3806" t="s">
        <v>3894</v>
      </c>
      <c r="B3806" s="1">
        <v>45850</v>
      </c>
      <c r="C3806">
        <v>2025</v>
      </c>
      <c r="D3806" t="s">
        <v>1187</v>
      </c>
      <c r="E3806" t="s">
        <v>1188</v>
      </c>
      <c r="F3806" t="s">
        <v>31</v>
      </c>
      <c r="G3806" t="s">
        <v>25</v>
      </c>
      <c r="H3806" t="s">
        <v>32</v>
      </c>
      <c r="I3806" t="s">
        <v>70</v>
      </c>
      <c r="J3806" t="s">
        <v>82</v>
      </c>
      <c r="K3806">
        <v>2</v>
      </c>
      <c r="L3806" s="2">
        <v>508.8</v>
      </c>
      <c r="M3806" s="3">
        <v>0</v>
      </c>
      <c r="N3806" t="s">
        <v>38</v>
      </c>
      <c r="O3806" s="2">
        <v>1017.6</v>
      </c>
      <c r="P3806" s="2">
        <v>812.2</v>
      </c>
      <c r="Q3806" s="2">
        <v>205.4</v>
      </c>
      <c r="R3806">
        <v>1</v>
      </c>
      <c r="S3806">
        <v>0</v>
      </c>
      <c r="T3806">
        <v>4</v>
      </c>
      <c r="U3806">
        <v>5</v>
      </c>
    </row>
    <row r="3807" spans="1:21" ht="16.5" x14ac:dyDescent="0.3">
      <c r="A3807" t="s">
        <v>3895</v>
      </c>
      <c r="B3807" s="1">
        <v>45850</v>
      </c>
      <c r="C3807">
        <v>2025</v>
      </c>
      <c r="D3807" t="s">
        <v>1187</v>
      </c>
      <c r="E3807" t="s">
        <v>1188</v>
      </c>
      <c r="F3807" t="s">
        <v>24</v>
      </c>
      <c r="G3807" t="s">
        <v>25</v>
      </c>
      <c r="H3807" t="s">
        <v>26</v>
      </c>
      <c r="I3807" t="s">
        <v>36</v>
      </c>
      <c r="J3807" t="s">
        <v>37</v>
      </c>
      <c r="K3807">
        <v>1</v>
      </c>
      <c r="L3807" s="2">
        <v>33.18</v>
      </c>
      <c r="M3807" s="3">
        <v>0.2</v>
      </c>
      <c r="N3807" t="s">
        <v>34</v>
      </c>
      <c r="O3807" s="2">
        <v>26.54</v>
      </c>
      <c r="P3807" s="2">
        <v>16</v>
      </c>
      <c r="Q3807" s="2">
        <v>10.54</v>
      </c>
      <c r="R3807">
        <v>1</v>
      </c>
      <c r="S3807">
        <v>0</v>
      </c>
      <c r="T3807">
        <v>6</v>
      </c>
      <c r="U3807">
        <v>3</v>
      </c>
    </row>
    <row r="3808" spans="1:21" ht="16.5" x14ac:dyDescent="0.3">
      <c r="A3808" t="s">
        <v>3896</v>
      </c>
      <c r="B3808" s="1">
        <v>45850</v>
      </c>
      <c r="C3808">
        <v>2025</v>
      </c>
      <c r="D3808" t="s">
        <v>1187</v>
      </c>
      <c r="E3808" t="s">
        <v>1188</v>
      </c>
      <c r="F3808" t="s">
        <v>31</v>
      </c>
      <c r="G3808" t="s">
        <v>46</v>
      </c>
      <c r="H3808" t="s">
        <v>32</v>
      </c>
      <c r="I3808" t="s">
        <v>27</v>
      </c>
      <c r="J3808" t="s">
        <v>28</v>
      </c>
      <c r="K3808">
        <v>1</v>
      </c>
      <c r="L3808" s="2">
        <v>138.5</v>
      </c>
      <c r="M3808" s="3">
        <v>0.15</v>
      </c>
      <c r="N3808" t="s">
        <v>34</v>
      </c>
      <c r="O3808" s="2">
        <v>117.72</v>
      </c>
      <c r="P3808" s="2">
        <v>74.209999999999994</v>
      </c>
      <c r="Q3808" s="2">
        <v>43.51</v>
      </c>
      <c r="R3808">
        <v>1</v>
      </c>
      <c r="S3808">
        <v>0</v>
      </c>
      <c r="T3808">
        <v>6</v>
      </c>
      <c r="U3808">
        <v>4</v>
      </c>
    </row>
    <row r="3809" spans="1:21" ht="16.5" x14ac:dyDescent="0.3">
      <c r="A3809" t="s">
        <v>3897</v>
      </c>
      <c r="B3809" s="1">
        <v>45850</v>
      </c>
      <c r="C3809">
        <v>2025</v>
      </c>
      <c r="D3809" t="s">
        <v>1187</v>
      </c>
      <c r="E3809" t="s">
        <v>1188</v>
      </c>
      <c r="F3809" t="s">
        <v>45</v>
      </c>
      <c r="G3809" t="s">
        <v>46</v>
      </c>
      <c r="H3809" t="s">
        <v>32</v>
      </c>
      <c r="I3809" t="s">
        <v>84</v>
      </c>
      <c r="J3809" t="s">
        <v>132</v>
      </c>
      <c r="K3809">
        <v>1</v>
      </c>
      <c r="L3809" s="2">
        <v>48.86</v>
      </c>
      <c r="M3809" s="3">
        <v>0</v>
      </c>
      <c r="N3809" t="s">
        <v>38</v>
      </c>
      <c r="O3809" s="2">
        <v>48.86</v>
      </c>
      <c r="P3809" s="2">
        <v>35.130000000000003</v>
      </c>
      <c r="Q3809" s="2">
        <v>13.73</v>
      </c>
      <c r="R3809">
        <v>1</v>
      </c>
      <c r="S3809">
        <v>0</v>
      </c>
      <c r="T3809">
        <v>6</v>
      </c>
      <c r="U3809">
        <v>3</v>
      </c>
    </row>
    <row r="3810" spans="1:21" ht="16.5" x14ac:dyDescent="0.3">
      <c r="A3810" t="s">
        <v>3898</v>
      </c>
      <c r="B3810" s="1">
        <v>45851</v>
      </c>
      <c r="C3810">
        <v>2025</v>
      </c>
      <c r="D3810" t="s">
        <v>1187</v>
      </c>
      <c r="E3810" t="s">
        <v>1188</v>
      </c>
      <c r="F3810" t="s">
        <v>24</v>
      </c>
      <c r="G3810" t="s">
        <v>25</v>
      </c>
      <c r="H3810" t="s">
        <v>32</v>
      </c>
      <c r="I3810" t="s">
        <v>42</v>
      </c>
      <c r="J3810" t="s">
        <v>58</v>
      </c>
      <c r="K3810">
        <v>1</v>
      </c>
      <c r="L3810" s="2">
        <v>233.81</v>
      </c>
      <c r="M3810" s="3">
        <v>0.15</v>
      </c>
      <c r="N3810" t="s">
        <v>34</v>
      </c>
      <c r="O3810" s="2">
        <v>198.74</v>
      </c>
      <c r="P3810" s="2">
        <v>151.31</v>
      </c>
      <c r="Q3810" s="2">
        <v>47.43</v>
      </c>
      <c r="R3810">
        <v>1</v>
      </c>
      <c r="S3810">
        <v>0</v>
      </c>
      <c r="T3810">
        <v>5</v>
      </c>
      <c r="U3810">
        <v>5</v>
      </c>
    </row>
    <row r="3811" spans="1:21" ht="16.5" x14ac:dyDescent="0.3">
      <c r="A3811" t="s">
        <v>3899</v>
      </c>
      <c r="B3811" s="1">
        <v>45851</v>
      </c>
      <c r="C3811">
        <v>2025</v>
      </c>
      <c r="D3811" t="s">
        <v>1187</v>
      </c>
      <c r="E3811" t="s">
        <v>1188</v>
      </c>
      <c r="F3811" t="s">
        <v>45</v>
      </c>
      <c r="G3811" t="s">
        <v>25</v>
      </c>
      <c r="H3811" t="s">
        <v>32</v>
      </c>
      <c r="I3811" t="s">
        <v>67</v>
      </c>
      <c r="J3811" t="s">
        <v>103</v>
      </c>
      <c r="K3811">
        <v>1</v>
      </c>
      <c r="L3811" s="2">
        <v>83.06</v>
      </c>
      <c r="M3811" s="3">
        <v>0.05</v>
      </c>
      <c r="N3811" t="s">
        <v>29</v>
      </c>
      <c r="O3811" s="2">
        <v>78.91</v>
      </c>
      <c r="P3811" s="2">
        <v>53.65</v>
      </c>
      <c r="Q3811" s="2">
        <v>25.26</v>
      </c>
      <c r="R3811">
        <v>1</v>
      </c>
      <c r="S3811">
        <v>1</v>
      </c>
      <c r="T3811">
        <v>3</v>
      </c>
      <c r="U3811">
        <v>3</v>
      </c>
    </row>
    <row r="3812" spans="1:21" ht="16.5" x14ac:dyDescent="0.3">
      <c r="A3812" t="s">
        <v>3900</v>
      </c>
      <c r="B3812" s="1">
        <v>45851</v>
      </c>
      <c r="C3812">
        <v>2025</v>
      </c>
      <c r="D3812" t="s">
        <v>1187</v>
      </c>
      <c r="E3812" t="s">
        <v>1188</v>
      </c>
      <c r="F3812" t="s">
        <v>24</v>
      </c>
      <c r="G3812" t="s">
        <v>51</v>
      </c>
      <c r="H3812" t="s">
        <v>32</v>
      </c>
      <c r="I3812" t="s">
        <v>70</v>
      </c>
      <c r="J3812" t="s">
        <v>71</v>
      </c>
      <c r="K3812">
        <v>2</v>
      </c>
      <c r="L3812" s="2">
        <v>588.41</v>
      </c>
      <c r="M3812" s="3">
        <v>0</v>
      </c>
      <c r="N3812" t="s">
        <v>38</v>
      </c>
      <c r="O3812" s="2">
        <v>1176.82</v>
      </c>
      <c r="P3812" s="2">
        <v>955.88</v>
      </c>
      <c r="Q3812" s="2">
        <v>220.94</v>
      </c>
      <c r="R3812">
        <v>1</v>
      </c>
      <c r="S3812">
        <v>0</v>
      </c>
      <c r="T3812">
        <v>3</v>
      </c>
      <c r="U3812">
        <v>4</v>
      </c>
    </row>
    <row r="3813" spans="1:21" ht="16.5" x14ac:dyDescent="0.3">
      <c r="A3813" t="s">
        <v>3901</v>
      </c>
      <c r="B3813" s="1">
        <v>45851</v>
      </c>
      <c r="C3813">
        <v>2025</v>
      </c>
      <c r="D3813" t="s">
        <v>1187</v>
      </c>
      <c r="E3813" t="s">
        <v>1188</v>
      </c>
      <c r="F3813" t="s">
        <v>24</v>
      </c>
      <c r="G3813" t="s">
        <v>25</v>
      </c>
      <c r="H3813" t="s">
        <v>26</v>
      </c>
      <c r="I3813" t="s">
        <v>67</v>
      </c>
      <c r="J3813" t="s">
        <v>93</v>
      </c>
      <c r="K3813">
        <v>4</v>
      </c>
      <c r="L3813" s="2">
        <v>198.42</v>
      </c>
      <c r="M3813" s="3">
        <v>0</v>
      </c>
      <c r="N3813" t="s">
        <v>38</v>
      </c>
      <c r="O3813" s="2">
        <v>793.68</v>
      </c>
      <c r="P3813" s="2">
        <v>507.59</v>
      </c>
      <c r="Q3813" s="2">
        <v>286.08999999999997</v>
      </c>
      <c r="R3813">
        <v>1</v>
      </c>
      <c r="S3813">
        <v>0</v>
      </c>
      <c r="T3813">
        <v>4</v>
      </c>
      <c r="U3813">
        <v>4</v>
      </c>
    </row>
    <row r="3814" spans="1:21" ht="16.5" x14ac:dyDescent="0.3">
      <c r="A3814" t="s">
        <v>3902</v>
      </c>
      <c r="B3814" s="1">
        <v>45851</v>
      </c>
      <c r="C3814">
        <v>2025</v>
      </c>
      <c r="D3814" t="s">
        <v>1187</v>
      </c>
      <c r="E3814" t="s">
        <v>1188</v>
      </c>
      <c r="F3814" t="s">
        <v>45</v>
      </c>
      <c r="G3814" t="s">
        <v>51</v>
      </c>
      <c r="H3814" t="s">
        <v>32</v>
      </c>
      <c r="I3814" t="s">
        <v>27</v>
      </c>
      <c r="J3814" t="s">
        <v>40</v>
      </c>
      <c r="K3814">
        <v>1</v>
      </c>
      <c r="L3814" s="2">
        <v>104.94</v>
      </c>
      <c r="M3814" s="3">
        <v>0.1</v>
      </c>
      <c r="N3814" t="s">
        <v>29</v>
      </c>
      <c r="O3814" s="2">
        <v>94.45</v>
      </c>
      <c r="P3814" s="2">
        <v>57.45</v>
      </c>
      <c r="Q3814" s="2">
        <v>37</v>
      </c>
      <c r="R3814">
        <v>1</v>
      </c>
      <c r="S3814">
        <v>0</v>
      </c>
      <c r="T3814">
        <v>2</v>
      </c>
      <c r="U3814">
        <v>4</v>
      </c>
    </row>
    <row r="3815" spans="1:21" ht="16.5" x14ac:dyDescent="0.3">
      <c r="A3815" t="s">
        <v>3903</v>
      </c>
      <c r="B3815" s="1">
        <v>45851</v>
      </c>
      <c r="C3815">
        <v>2025</v>
      </c>
      <c r="D3815" t="s">
        <v>1187</v>
      </c>
      <c r="E3815" t="s">
        <v>1188</v>
      </c>
      <c r="F3815" t="s">
        <v>31</v>
      </c>
      <c r="G3815" t="s">
        <v>25</v>
      </c>
      <c r="H3815" t="s">
        <v>26</v>
      </c>
      <c r="I3815" t="s">
        <v>27</v>
      </c>
      <c r="J3815" t="s">
        <v>33</v>
      </c>
      <c r="K3815">
        <v>1</v>
      </c>
      <c r="L3815" s="2">
        <v>78.510000000000005</v>
      </c>
      <c r="M3815" s="3">
        <v>0</v>
      </c>
      <c r="N3815" t="s">
        <v>38</v>
      </c>
      <c r="O3815" s="2">
        <v>78.510000000000005</v>
      </c>
      <c r="P3815" s="2">
        <v>42.15</v>
      </c>
      <c r="Q3815" s="2">
        <v>36.36</v>
      </c>
      <c r="R3815">
        <v>1</v>
      </c>
      <c r="S3815">
        <v>1</v>
      </c>
      <c r="T3815">
        <v>3</v>
      </c>
      <c r="U3815">
        <v>4</v>
      </c>
    </row>
    <row r="3816" spans="1:21" ht="16.5" x14ac:dyDescent="0.3">
      <c r="A3816" t="s">
        <v>3904</v>
      </c>
      <c r="B3816" s="1">
        <v>45852</v>
      </c>
      <c r="C3816">
        <v>2025</v>
      </c>
      <c r="D3816" t="s">
        <v>1187</v>
      </c>
      <c r="E3816" t="s">
        <v>1188</v>
      </c>
      <c r="F3816" t="s">
        <v>45</v>
      </c>
      <c r="G3816" t="s">
        <v>51</v>
      </c>
      <c r="H3816" t="s">
        <v>32</v>
      </c>
      <c r="I3816" t="s">
        <v>70</v>
      </c>
      <c r="J3816" t="s">
        <v>71</v>
      </c>
      <c r="K3816">
        <v>1</v>
      </c>
      <c r="L3816" s="2">
        <v>588.41</v>
      </c>
      <c r="M3816" s="3">
        <v>0.2</v>
      </c>
      <c r="N3816" t="s">
        <v>34</v>
      </c>
      <c r="O3816" s="2">
        <v>470.73</v>
      </c>
      <c r="P3816" s="2">
        <v>484.81</v>
      </c>
      <c r="Q3816" s="2">
        <v>-14.08</v>
      </c>
      <c r="R3816">
        <v>1</v>
      </c>
      <c r="S3816">
        <v>0</v>
      </c>
      <c r="T3816">
        <v>4</v>
      </c>
      <c r="U3816">
        <v>5</v>
      </c>
    </row>
    <row r="3817" spans="1:21" ht="16.5" x14ac:dyDescent="0.3">
      <c r="A3817" t="s">
        <v>3905</v>
      </c>
      <c r="B3817" s="1">
        <v>45852</v>
      </c>
      <c r="C3817">
        <v>2025</v>
      </c>
      <c r="D3817" t="s">
        <v>1187</v>
      </c>
      <c r="E3817" t="s">
        <v>1188</v>
      </c>
      <c r="F3817" t="s">
        <v>24</v>
      </c>
      <c r="G3817" t="s">
        <v>65</v>
      </c>
      <c r="H3817" t="s">
        <v>32</v>
      </c>
      <c r="I3817" t="s">
        <v>70</v>
      </c>
      <c r="J3817" t="s">
        <v>162</v>
      </c>
      <c r="K3817">
        <v>1</v>
      </c>
      <c r="L3817" s="2">
        <v>636.09</v>
      </c>
      <c r="M3817" s="3">
        <v>0</v>
      </c>
      <c r="N3817" t="s">
        <v>38</v>
      </c>
      <c r="O3817" s="2">
        <v>636.09</v>
      </c>
      <c r="P3817" s="2">
        <v>501.6</v>
      </c>
      <c r="Q3817" s="2">
        <v>134.49</v>
      </c>
      <c r="R3817">
        <v>1</v>
      </c>
      <c r="S3817">
        <v>1</v>
      </c>
      <c r="T3817">
        <v>8</v>
      </c>
      <c r="U3817">
        <v>2</v>
      </c>
    </row>
    <row r="3818" spans="1:21" ht="16.5" x14ac:dyDescent="0.3">
      <c r="A3818" t="s">
        <v>3906</v>
      </c>
      <c r="B3818" s="1">
        <v>45852</v>
      </c>
      <c r="C3818">
        <v>2025</v>
      </c>
      <c r="D3818" t="s">
        <v>1187</v>
      </c>
      <c r="E3818" t="s">
        <v>1188</v>
      </c>
      <c r="F3818" t="s">
        <v>31</v>
      </c>
      <c r="G3818" t="s">
        <v>49</v>
      </c>
      <c r="H3818" t="s">
        <v>32</v>
      </c>
      <c r="I3818" t="s">
        <v>67</v>
      </c>
      <c r="J3818" t="s">
        <v>78</v>
      </c>
      <c r="K3818">
        <v>2</v>
      </c>
      <c r="L3818" s="2">
        <v>85.42</v>
      </c>
      <c r="M3818" s="3">
        <v>0</v>
      </c>
      <c r="N3818" t="s">
        <v>38</v>
      </c>
      <c r="O3818" s="2">
        <v>170.84</v>
      </c>
      <c r="P3818" s="2">
        <v>114.72</v>
      </c>
      <c r="Q3818" s="2">
        <v>56.12</v>
      </c>
      <c r="R3818">
        <v>1</v>
      </c>
      <c r="S3818">
        <v>0</v>
      </c>
      <c r="T3818">
        <v>5</v>
      </c>
      <c r="U3818">
        <v>5</v>
      </c>
    </row>
    <row r="3819" spans="1:21" ht="16.5" x14ac:dyDescent="0.3">
      <c r="A3819" t="s">
        <v>3907</v>
      </c>
      <c r="B3819" s="1">
        <v>45852</v>
      </c>
      <c r="C3819">
        <v>2025</v>
      </c>
      <c r="D3819" t="s">
        <v>1187</v>
      </c>
      <c r="E3819" t="s">
        <v>1188</v>
      </c>
      <c r="F3819" t="s">
        <v>24</v>
      </c>
      <c r="G3819" t="s">
        <v>65</v>
      </c>
      <c r="H3819" t="s">
        <v>26</v>
      </c>
      <c r="I3819" t="s">
        <v>70</v>
      </c>
      <c r="J3819" t="s">
        <v>162</v>
      </c>
      <c r="K3819">
        <v>1</v>
      </c>
      <c r="L3819" s="2">
        <v>636.09</v>
      </c>
      <c r="M3819" s="3">
        <v>0</v>
      </c>
      <c r="N3819" t="s">
        <v>38</v>
      </c>
      <c r="O3819" s="2">
        <v>636.09</v>
      </c>
      <c r="P3819" s="2">
        <v>500.57</v>
      </c>
      <c r="Q3819" s="2">
        <v>135.52000000000001</v>
      </c>
      <c r="R3819">
        <v>1</v>
      </c>
      <c r="S3819">
        <v>0</v>
      </c>
      <c r="T3819">
        <v>6</v>
      </c>
      <c r="U3819">
        <v>3</v>
      </c>
    </row>
    <row r="3820" spans="1:21" ht="16.5" x14ac:dyDescent="0.3">
      <c r="A3820" t="s">
        <v>3908</v>
      </c>
      <c r="B3820" s="1">
        <v>45852</v>
      </c>
      <c r="C3820">
        <v>2025</v>
      </c>
      <c r="D3820" t="s">
        <v>1187</v>
      </c>
      <c r="E3820" t="s">
        <v>1188</v>
      </c>
      <c r="F3820" t="s">
        <v>31</v>
      </c>
      <c r="G3820" t="s">
        <v>65</v>
      </c>
      <c r="H3820" t="s">
        <v>32</v>
      </c>
      <c r="I3820" t="s">
        <v>27</v>
      </c>
      <c r="J3820" t="s">
        <v>60</v>
      </c>
      <c r="K3820">
        <v>1</v>
      </c>
      <c r="L3820" s="2">
        <v>94.85</v>
      </c>
      <c r="M3820" s="3">
        <v>0</v>
      </c>
      <c r="N3820" t="s">
        <v>38</v>
      </c>
      <c r="O3820" s="2">
        <v>94.85</v>
      </c>
      <c r="P3820" s="2">
        <v>47.93</v>
      </c>
      <c r="Q3820" s="2">
        <v>46.92</v>
      </c>
      <c r="R3820">
        <v>1</v>
      </c>
      <c r="S3820">
        <v>1</v>
      </c>
      <c r="T3820">
        <v>7</v>
      </c>
      <c r="U3820">
        <v>3</v>
      </c>
    </row>
    <row r="3821" spans="1:21" ht="16.5" x14ac:dyDescent="0.3">
      <c r="A3821" t="s">
        <v>3909</v>
      </c>
      <c r="B3821" s="1">
        <v>45852</v>
      </c>
      <c r="C3821">
        <v>2025</v>
      </c>
      <c r="D3821" t="s">
        <v>1187</v>
      </c>
      <c r="E3821" t="s">
        <v>1188</v>
      </c>
      <c r="F3821" t="s">
        <v>24</v>
      </c>
      <c r="G3821" t="s">
        <v>65</v>
      </c>
      <c r="H3821" t="s">
        <v>32</v>
      </c>
      <c r="I3821" t="s">
        <v>27</v>
      </c>
      <c r="J3821" t="s">
        <v>33</v>
      </c>
      <c r="K3821">
        <v>2</v>
      </c>
      <c r="L3821" s="2">
        <v>78.510000000000005</v>
      </c>
      <c r="M3821" s="3">
        <v>0</v>
      </c>
      <c r="N3821" t="s">
        <v>38</v>
      </c>
      <c r="O3821" s="2">
        <v>157.02000000000001</v>
      </c>
      <c r="P3821" s="2">
        <v>84.18</v>
      </c>
      <c r="Q3821" s="2">
        <v>72.84</v>
      </c>
      <c r="R3821">
        <v>1</v>
      </c>
      <c r="S3821">
        <v>0</v>
      </c>
      <c r="T3821">
        <v>5</v>
      </c>
      <c r="U3821">
        <v>5</v>
      </c>
    </row>
    <row r="3822" spans="1:21" ht="16.5" x14ac:dyDescent="0.3">
      <c r="A3822" t="s">
        <v>3910</v>
      </c>
      <c r="B3822" s="1">
        <v>45853</v>
      </c>
      <c r="C3822">
        <v>2025</v>
      </c>
      <c r="D3822" t="s">
        <v>1187</v>
      </c>
      <c r="E3822" t="s">
        <v>1188</v>
      </c>
      <c r="F3822" t="s">
        <v>31</v>
      </c>
      <c r="G3822" t="s">
        <v>25</v>
      </c>
      <c r="H3822" t="s">
        <v>26</v>
      </c>
      <c r="I3822" t="s">
        <v>42</v>
      </c>
      <c r="J3822" t="s">
        <v>43</v>
      </c>
      <c r="K3822">
        <v>1</v>
      </c>
      <c r="L3822" s="2">
        <v>154.66</v>
      </c>
      <c r="M3822" s="3">
        <v>0.05</v>
      </c>
      <c r="N3822" t="s">
        <v>29</v>
      </c>
      <c r="O3822" s="2">
        <v>146.93</v>
      </c>
      <c r="P3822" s="2">
        <v>96.95</v>
      </c>
      <c r="Q3822" s="2">
        <v>49.98</v>
      </c>
      <c r="R3822">
        <v>1</v>
      </c>
      <c r="S3822">
        <v>0</v>
      </c>
      <c r="T3822">
        <v>3</v>
      </c>
      <c r="U3822">
        <v>4</v>
      </c>
    </row>
    <row r="3823" spans="1:21" ht="16.5" x14ac:dyDescent="0.3">
      <c r="A3823" t="s">
        <v>3911</v>
      </c>
      <c r="B3823" s="1">
        <v>45853</v>
      </c>
      <c r="C3823">
        <v>2025</v>
      </c>
      <c r="D3823" t="s">
        <v>1187</v>
      </c>
      <c r="E3823" t="s">
        <v>1188</v>
      </c>
      <c r="F3823" t="s">
        <v>31</v>
      </c>
      <c r="G3823" t="s">
        <v>25</v>
      </c>
      <c r="H3823" t="s">
        <v>32</v>
      </c>
      <c r="I3823" t="s">
        <v>27</v>
      </c>
      <c r="J3823" t="s">
        <v>47</v>
      </c>
      <c r="K3823">
        <v>2</v>
      </c>
      <c r="L3823" s="2">
        <v>33.99</v>
      </c>
      <c r="M3823" s="3">
        <v>0.05</v>
      </c>
      <c r="N3823" t="s">
        <v>29</v>
      </c>
      <c r="O3823" s="2">
        <v>64.58</v>
      </c>
      <c r="P3823" s="2">
        <v>37.81</v>
      </c>
      <c r="Q3823" s="2">
        <v>26.77</v>
      </c>
      <c r="R3823">
        <v>1</v>
      </c>
      <c r="S3823">
        <v>0</v>
      </c>
      <c r="T3823">
        <v>5</v>
      </c>
      <c r="U3823">
        <v>4</v>
      </c>
    </row>
    <row r="3824" spans="1:21" ht="16.5" x14ac:dyDescent="0.3">
      <c r="A3824" t="s">
        <v>3912</v>
      </c>
      <c r="B3824" s="1">
        <v>45853</v>
      </c>
      <c r="C3824">
        <v>2025</v>
      </c>
      <c r="D3824" t="s">
        <v>1187</v>
      </c>
      <c r="E3824" t="s">
        <v>1188</v>
      </c>
      <c r="F3824" t="s">
        <v>24</v>
      </c>
      <c r="G3824" t="s">
        <v>51</v>
      </c>
      <c r="H3824" t="s">
        <v>32</v>
      </c>
      <c r="I3824" t="s">
        <v>42</v>
      </c>
      <c r="J3824" t="s">
        <v>89</v>
      </c>
      <c r="K3824">
        <v>1</v>
      </c>
      <c r="L3824" s="2">
        <v>68.349999999999994</v>
      </c>
      <c r="M3824" s="3">
        <v>0</v>
      </c>
      <c r="N3824" t="s">
        <v>38</v>
      </c>
      <c r="O3824" s="2">
        <v>68.349999999999994</v>
      </c>
      <c r="P3824" s="2">
        <v>45.6</v>
      </c>
      <c r="Q3824" s="2">
        <v>22.75</v>
      </c>
      <c r="R3824">
        <v>1</v>
      </c>
      <c r="S3824">
        <v>0</v>
      </c>
      <c r="T3824">
        <v>3</v>
      </c>
      <c r="U3824">
        <v>4</v>
      </c>
    </row>
    <row r="3825" spans="1:21" ht="16.5" x14ac:dyDescent="0.3">
      <c r="A3825" t="s">
        <v>3913</v>
      </c>
      <c r="B3825" s="1">
        <v>45853</v>
      </c>
      <c r="C3825">
        <v>2025</v>
      </c>
      <c r="D3825" t="s">
        <v>1187</v>
      </c>
      <c r="E3825" t="s">
        <v>1188</v>
      </c>
      <c r="F3825" t="s">
        <v>24</v>
      </c>
      <c r="G3825" t="s">
        <v>25</v>
      </c>
      <c r="H3825" t="s">
        <v>32</v>
      </c>
      <c r="I3825" t="s">
        <v>27</v>
      </c>
      <c r="J3825" t="s">
        <v>28</v>
      </c>
      <c r="K3825">
        <v>1</v>
      </c>
      <c r="L3825" s="2">
        <v>138.5</v>
      </c>
      <c r="M3825" s="3">
        <v>0.15</v>
      </c>
      <c r="N3825" t="s">
        <v>34</v>
      </c>
      <c r="O3825" s="2">
        <v>117.72</v>
      </c>
      <c r="P3825" s="2">
        <v>75.31</v>
      </c>
      <c r="Q3825" s="2">
        <v>42.41</v>
      </c>
      <c r="R3825">
        <v>1</v>
      </c>
      <c r="S3825">
        <v>0</v>
      </c>
      <c r="T3825">
        <v>3</v>
      </c>
      <c r="U3825">
        <v>5</v>
      </c>
    </row>
    <row r="3826" spans="1:21" ht="16.5" x14ac:dyDescent="0.3">
      <c r="A3826" t="s">
        <v>3914</v>
      </c>
      <c r="B3826" s="1">
        <v>45853</v>
      </c>
      <c r="C3826">
        <v>2025</v>
      </c>
      <c r="D3826" t="s">
        <v>1187</v>
      </c>
      <c r="E3826" t="s">
        <v>1188</v>
      </c>
      <c r="F3826" t="s">
        <v>24</v>
      </c>
      <c r="G3826" t="s">
        <v>46</v>
      </c>
      <c r="H3826" t="s">
        <v>32</v>
      </c>
      <c r="I3826" t="s">
        <v>42</v>
      </c>
      <c r="J3826" t="s">
        <v>58</v>
      </c>
      <c r="K3826">
        <v>4</v>
      </c>
      <c r="L3826" s="2">
        <v>233.81</v>
      </c>
      <c r="M3826" s="3">
        <v>0.15</v>
      </c>
      <c r="N3826" t="s">
        <v>34</v>
      </c>
      <c r="O3826" s="2">
        <v>794.95</v>
      </c>
      <c r="P3826" s="2">
        <v>634.12</v>
      </c>
      <c r="Q3826" s="2">
        <v>160.83000000000001</v>
      </c>
      <c r="R3826">
        <v>1</v>
      </c>
      <c r="S3826">
        <v>0</v>
      </c>
      <c r="T3826">
        <v>6</v>
      </c>
      <c r="U3826">
        <v>2</v>
      </c>
    </row>
    <row r="3827" spans="1:21" ht="16.5" x14ac:dyDescent="0.3">
      <c r="A3827" t="s">
        <v>3915</v>
      </c>
      <c r="B3827" s="1">
        <v>45853</v>
      </c>
      <c r="C3827">
        <v>2025</v>
      </c>
      <c r="D3827" t="s">
        <v>1187</v>
      </c>
      <c r="E3827" t="s">
        <v>1188</v>
      </c>
      <c r="F3827" t="s">
        <v>24</v>
      </c>
      <c r="G3827" t="s">
        <v>46</v>
      </c>
      <c r="H3827" t="s">
        <v>32</v>
      </c>
      <c r="I3827" t="s">
        <v>36</v>
      </c>
      <c r="J3827" t="s">
        <v>52</v>
      </c>
      <c r="K3827">
        <v>1</v>
      </c>
      <c r="L3827" s="2">
        <v>92.54</v>
      </c>
      <c r="M3827" s="3">
        <v>0.2</v>
      </c>
      <c r="N3827" t="s">
        <v>34</v>
      </c>
      <c r="O3827" s="2">
        <v>74.03</v>
      </c>
      <c r="P3827" s="2">
        <v>43.67</v>
      </c>
      <c r="Q3827" s="2">
        <v>30.36</v>
      </c>
      <c r="R3827">
        <v>1</v>
      </c>
      <c r="S3827">
        <v>0</v>
      </c>
      <c r="T3827">
        <v>6</v>
      </c>
      <c r="U3827">
        <v>3</v>
      </c>
    </row>
    <row r="3828" spans="1:21" ht="16.5" x14ac:dyDescent="0.3">
      <c r="A3828" t="s">
        <v>3916</v>
      </c>
      <c r="B3828" s="1">
        <v>45853</v>
      </c>
      <c r="C3828">
        <v>2025</v>
      </c>
      <c r="D3828" t="s">
        <v>1187</v>
      </c>
      <c r="E3828" t="s">
        <v>1188</v>
      </c>
      <c r="F3828" t="s">
        <v>45</v>
      </c>
      <c r="G3828" t="s">
        <v>51</v>
      </c>
      <c r="H3828" t="s">
        <v>32</v>
      </c>
      <c r="I3828" t="s">
        <v>70</v>
      </c>
      <c r="J3828" t="s">
        <v>252</v>
      </c>
      <c r="K3828">
        <v>1</v>
      </c>
      <c r="L3828" s="2">
        <v>216.08</v>
      </c>
      <c r="M3828" s="3">
        <v>0</v>
      </c>
      <c r="N3828" t="s">
        <v>38</v>
      </c>
      <c r="O3828" s="2">
        <v>216.08</v>
      </c>
      <c r="P3828" s="2">
        <v>175.93</v>
      </c>
      <c r="Q3828" s="2">
        <v>40.15</v>
      </c>
      <c r="R3828">
        <v>1</v>
      </c>
      <c r="S3828">
        <v>0</v>
      </c>
      <c r="T3828">
        <v>2</v>
      </c>
      <c r="U3828">
        <v>4</v>
      </c>
    </row>
    <row r="3829" spans="1:21" ht="16.5" x14ac:dyDescent="0.3">
      <c r="A3829" t="s">
        <v>3917</v>
      </c>
      <c r="B3829" s="1">
        <v>45853</v>
      </c>
      <c r="C3829">
        <v>2025</v>
      </c>
      <c r="D3829" t="s">
        <v>1187</v>
      </c>
      <c r="E3829" t="s">
        <v>1188</v>
      </c>
      <c r="F3829" t="s">
        <v>31</v>
      </c>
      <c r="G3829" t="s">
        <v>46</v>
      </c>
      <c r="H3829" t="s">
        <v>32</v>
      </c>
      <c r="I3829" t="s">
        <v>27</v>
      </c>
      <c r="J3829" t="s">
        <v>47</v>
      </c>
      <c r="K3829">
        <v>1</v>
      </c>
      <c r="L3829" s="2">
        <v>33.99</v>
      </c>
      <c r="M3829" s="3">
        <v>0</v>
      </c>
      <c r="N3829" t="s">
        <v>38</v>
      </c>
      <c r="O3829" s="2">
        <v>33.99</v>
      </c>
      <c r="P3829" s="2">
        <v>17.91</v>
      </c>
      <c r="Q3829" s="2">
        <v>16.079999999999998</v>
      </c>
      <c r="R3829">
        <v>1</v>
      </c>
      <c r="S3829">
        <v>1</v>
      </c>
      <c r="T3829">
        <v>5</v>
      </c>
      <c r="U3829">
        <v>4</v>
      </c>
    </row>
    <row r="3830" spans="1:21" ht="16.5" x14ac:dyDescent="0.3">
      <c r="A3830" t="s">
        <v>3918</v>
      </c>
      <c r="B3830" s="1">
        <v>45854</v>
      </c>
      <c r="C3830">
        <v>2025</v>
      </c>
      <c r="D3830" t="s">
        <v>1187</v>
      </c>
      <c r="E3830" t="s">
        <v>1188</v>
      </c>
      <c r="F3830" t="s">
        <v>45</v>
      </c>
      <c r="G3830" t="s">
        <v>51</v>
      </c>
      <c r="H3830" t="s">
        <v>32</v>
      </c>
      <c r="I3830" t="s">
        <v>42</v>
      </c>
      <c r="J3830" t="s">
        <v>76</v>
      </c>
      <c r="K3830">
        <v>1</v>
      </c>
      <c r="L3830" s="2">
        <v>90.75</v>
      </c>
      <c r="M3830" s="3">
        <v>0</v>
      </c>
      <c r="N3830" t="s">
        <v>38</v>
      </c>
      <c r="O3830" s="2">
        <v>90.75</v>
      </c>
      <c r="P3830" s="2">
        <v>62.26</v>
      </c>
      <c r="Q3830" s="2">
        <v>28.49</v>
      </c>
      <c r="R3830">
        <v>1</v>
      </c>
      <c r="S3830">
        <v>0</v>
      </c>
      <c r="T3830">
        <v>3</v>
      </c>
      <c r="U3830">
        <v>4</v>
      </c>
    </row>
    <row r="3831" spans="1:21" ht="16.5" x14ac:dyDescent="0.3">
      <c r="A3831" t="s">
        <v>3919</v>
      </c>
      <c r="B3831" s="1">
        <v>45854</v>
      </c>
      <c r="C3831">
        <v>2025</v>
      </c>
      <c r="D3831" t="s">
        <v>1187</v>
      </c>
      <c r="E3831" t="s">
        <v>1188</v>
      </c>
      <c r="F3831" t="s">
        <v>31</v>
      </c>
      <c r="G3831" t="s">
        <v>25</v>
      </c>
      <c r="H3831" t="s">
        <v>26</v>
      </c>
      <c r="I3831" t="s">
        <v>36</v>
      </c>
      <c r="J3831" t="s">
        <v>52</v>
      </c>
      <c r="K3831">
        <v>1</v>
      </c>
      <c r="L3831" s="2">
        <v>92.54</v>
      </c>
      <c r="M3831" s="3">
        <v>0</v>
      </c>
      <c r="N3831" t="s">
        <v>38</v>
      </c>
      <c r="O3831" s="2">
        <v>92.54</v>
      </c>
      <c r="P3831" s="2">
        <v>44.11</v>
      </c>
      <c r="Q3831" s="2">
        <v>48.43</v>
      </c>
      <c r="R3831">
        <v>1</v>
      </c>
      <c r="S3831">
        <v>0</v>
      </c>
      <c r="T3831">
        <v>3</v>
      </c>
      <c r="U3831">
        <v>5</v>
      </c>
    </row>
    <row r="3832" spans="1:21" ht="16.5" x14ac:dyDescent="0.3">
      <c r="A3832" t="s">
        <v>3920</v>
      </c>
      <c r="B3832" s="1">
        <v>45854</v>
      </c>
      <c r="C3832">
        <v>2025</v>
      </c>
      <c r="D3832" t="s">
        <v>1187</v>
      </c>
      <c r="E3832" t="s">
        <v>1188</v>
      </c>
      <c r="F3832" t="s">
        <v>45</v>
      </c>
      <c r="G3832" t="s">
        <v>51</v>
      </c>
      <c r="H3832" t="s">
        <v>32</v>
      </c>
      <c r="I3832" t="s">
        <v>36</v>
      </c>
      <c r="J3832" t="s">
        <v>37</v>
      </c>
      <c r="K3832">
        <v>2</v>
      </c>
      <c r="L3832" s="2">
        <v>33.18</v>
      </c>
      <c r="M3832" s="3">
        <v>0.05</v>
      </c>
      <c r="N3832" t="s">
        <v>29</v>
      </c>
      <c r="O3832" s="2">
        <v>63.04</v>
      </c>
      <c r="P3832" s="2">
        <v>32.31</v>
      </c>
      <c r="Q3832" s="2">
        <v>30.73</v>
      </c>
      <c r="R3832">
        <v>1</v>
      </c>
      <c r="S3832">
        <v>0</v>
      </c>
      <c r="T3832">
        <v>2</v>
      </c>
      <c r="U3832">
        <v>4</v>
      </c>
    </row>
    <row r="3833" spans="1:21" ht="16.5" x14ac:dyDescent="0.3">
      <c r="A3833" t="s">
        <v>3921</v>
      </c>
      <c r="B3833" s="1">
        <v>45854</v>
      </c>
      <c r="C3833">
        <v>2025</v>
      </c>
      <c r="D3833" t="s">
        <v>1187</v>
      </c>
      <c r="E3833" t="s">
        <v>1188</v>
      </c>
      <c r="F3833" t="s">
        <v>24</v>
      </c>
      <c r="G3833" t="s">
        <v>51</v>
      </c>
      <c r="H3833" t="s">
        <v>26</v>
      </c>
      <c r="I3833" t="s">
        <v>84</v>
      </c>
      <c r="J3833" t="s">
        <v>223</v>
      </c>
      <c r="K3833">
        <v>3</v>
      </c>
      <c r="L3833" s="2">
        <v>16.97</v>
      </c>
      <c r="M3833" s="3">
        <v>0</v>
      </c>
      <c r="N3833" t="s">
        <v>38</v>
      </c>
      <c r="O3833" s="2">
        <v>50.91</v>
      </c>
      <c r="P3833" s="2">
        <v>36.78</v>
      </c>
      <c r="Q3833" s="2">
        <v>14.13</v>
      </c>
      <c r="R3833">
        <v>1</v>
      </c>
      <c r="S3833">
        <v>0</v>
      </c>
      <c r="T3833">
        <v>4</v>
      </c>
      <c r="U3833">
        <v>4</v>
      </c>
    </row>
    <row r="3834" spans="1:21" ht="16.5" x14ac:dyDescent="0.3">
      <c r="A3834" t="s">
        <v>3922</v>
      </c>
      <c r="B3834" s="1">
        <v>45855</v>
      </c>
      <c r="C3834">
        <v>2025</v>
      </c>
      <c r="D3834" t="s">
        <v>1187</v>
      </c>
      <c r="E3834" t="s">
        <v>1188</v>
      </c>
      <c r="F3834" t="s">
        <v>24</v>
      </c>
      <c r="G3834" t="s">
        <v>25</v>
      </c>
      <c r="H3834" t="s">
        <v>32</v>
      </c>
      <c r="I3834" t="s">
        <v>70</v>
      </c>
      <c r="J3834" t="s">
        <v>82</v>
      </c>
      <c r="K3834">
        <v>1</v>
      </c>
      <c r="L3834" s="2">
        <v>508.8</v>
      </c>
      <c r="M3834" s="3">
        <v>0.15</v>
      </c>
      <c r="N3834" t="s">
        <v>34</v>
      </c>
      <c r="O3834" s="2">
        <v>432.48</v>
      </c>
      <c r="P3834" s="2">
        <v>409.1</v>
      </c>
      <c r="Q3834" s="2">
        <v>23.38</v>
      </c>
      <c r="R3834">
        <v>1</v>
      </c>
      <c r="S3834">
        <v>1</v>
      </c>
      <c r="T3834">
        <v>3</v>
      </c>
      <c r="U3834">
        <v>4</v>
      </c>
    </row>
    <row r="3835" spans="1:21" ht="16.5" x14ac:dyDescent="0.3">
      <c r="A3835" t="s">
        <v>3923</v>
      </c>
      <c r="B3835" s="1">
        <v>45855</v>
      </c>
      <c r="C3835">
        <v>2025</v>
      </c>
      <c r="D3835" t="s">
        <v>1187</v>
      </c>
      <c r="E3835" t="s">
        <v>1188</v>
      </c>
      <c r="F3835" t="s">
        <v>45</v>
      </c>
      <c r="G3835" t="s">
        <v>49</v>
      </c>
      <c r="H3835" t="s">
        <v>32</v>
      </c>
      <c r="I3835" t="s">
        <v>27</v>
      </c>
      <c r="J3835" t="s">
        <v>28</v>
      </c>
      <c r="K3835">
        <v>1</v>
      </c>
      <c r="L3835" s="2">
        <v>138.5</v>
      </c>
      <c r="M3835" s="3">
        <v>0</v>
      </c>
      <c r="N3835" t="s">
        <v>38</v>
      </c>
      <c r="O3835" s="2">
        <v>138.5</v>
      </c>
      <c r="P3835" s="2">
        <v>78.09</v>
      </c>
      <c r="Q3835" s="2">
        <v>60.41</v>
      </c>
      <c r="R3835">
        <v>1</v>
      </c>
      <c r="S3835">
        <v>0</v>
      </c>
      <c r="T3835">
        <v>3</v>
      </c>
      <c r="U3835">
        <v>4</v>
      </c>
    </row>
    <row r="3836" spans="1:21" ht="16.5" x14ac:dyDescent="0.3">
      <c r="A3836" t="s">
        <v>3924</v>
      </c>
      <c r="B3836" s="1">
        <v>45855</v>
      </c>
      <c r="C3836">
        <v>2025</v>
      </c>
      <c r="D3836" t="s">
        <v>1187</v>
      </c>
      <c r="E3836" t="s">
        <v>1188</v>
      </c>
      <c r="F3836" t="s">
        <v>24</v>
      </c>
      <c r="G3836" t="s">
        <v>51</v>
      </c>
      <c r="H3836" t="s">
        <v>26</v>
      </c>
      <c r="I3836" t="s">
        <v>42</v>
      </c>
      <c r="J3836" t="s">
        <v>54</v>
      </c>
      <c r="K3836">
        <v>1</v>
      </c>
      <c r="L3836" s="2">
        <v>148.05000000000001</v>
      </c>
      <c r="M3836" s="3">
        <v>0.05</v>
      </c>
      <c r="N3836" t="s">
        <v>29</v>
      </c>
      <c r="O3836" s="2">
        <v>140.65</v>
      </c>
      <c r="P3836" s="2">
        <v>94.99</v>
      </c>
      <c r="Q3836" s="2">
        <v>45.66</v>
      </c>
      <c r="R3836">
        <v>1</v>
      </c>
      <c r="S3836">
        <v>0</v>
      </c>
      <c r="T3836">
        <v>4</v>
      </c>
      <c r="U3836">
        <v>4</v>
      </c>
    </row>
    <row r="3837" spans="1:21" ht="16.5" x14ac:dyDescent="0.3">
      <c r="A3837" t="s">
        <v>3925</v>
      </c>
      <c r="B3837" s="1">
        <v>45855</v>
      </c>
      <c r="C3837">
        <v>2025</v>
      </c>
      <c r="D3837" t="s">
        <v>1187</v>
      </c>
      <c r="E3837" t="s">
        <v>1188</v>
      </c>
      <c r="F3837" t="s">
        <v>31</v>
      </c>
      <c r="G3837" t="s">
        <v>46</v>
      </c>
      <c r="H3837" t="s">
        <v>32</v>
      </c>
      <c r="I3837" t="s">
        <v>70</v>
      </c>
      <c r="J3837" t="s">
        <v>82</v>
      </c>
      <c r="K3837">
        <v>1</v>
      </c>
      <c r="L3837" s="2">
        <v>508.8</v>
      </c>
      <c r="M3837" s="3">
        <v>0.15</v>
      </c>
      <c r="N3837" t="s">
        <v>34</v>
      </c>
      <c r="O3837" s="2">
        <v>432.48</v>
      </c>
      <c r="P3837" s="2">
        <v>404.86</v>
      </c>
      <c r="Q3837" s="2">
        <v>27.62</v>
      </c>
      <c r="R3837">
        <v>1</v>
      </c>
      <c r="S3837">
        <v>0</v>
      </c>
      <c r="T3837">
        <v>5</v>
      </c>
      <c r="U3837">
        <v>4</v>
      </c>
    </row>
    <row r="3838" spans="1:21" ht="16.5" x14ac:dyDescent="0.3">
      <c r="A3838" t="s">
        <v>3926</v>
      </c>
      <c r="B3838" s="1">
        <v>45855</v>
      </c>
      <c r="C3838">
        <v>2025</v>
      </c>
      <c r="D3838" t="s">
        <v>1187</v>
      </c>
      <c r="E3838" t="s">
        <v>1188</v>
      </c>
      <c r="F3838" t="s">
        <v>24</v>
      </c>
      <c r="G3838" t="s">
        <v>25</v>
      </c>
      <c r="H3838" t="s">
        <v>32</v>
      </c>
      <c r="I3838" t="s">
        <v>27</v>
      </c>
      <c r="J3838" t="s">
        <v>60</v>
      </c>
      <c r="K3838">
        <v>2</v>
      </c>
      <c r="L3838" s="2">
        <v>94.85</v>
      </c>
      <c r="M3838" s="3">
        <v>0.15</v>
      </c>
      <c r="N3838" t="s">
        <v>34</v>
      </c>
      <c r="O3838" s="2">
        <v>161.24</v>
      </c>
      <c r="P3838" s="2">
        <v>100.51</v>
      </c>
      <c r="Q3838" s="2">
        <v>60.73</v>
      </c>
      <c r="R3838">
        <v>1</v>
      </c>
      <c r="S3838">
        <v>0</v>
      </c>
      <c r="T3838">
        <v>3</v>
      </c>
      <c r="U3838">
        <v>4</v>
      </c>
    </row>
    <row r="3839" spans="1:21" ht="16.5" x14ac:dyDescent="0.3">
      <c r="A3839" t="s">
        <v>3927</v>
      </c>
      <c r="B3839" s="1">
        <v>45855</v>
      </c>
      <c r="C3839">
        <v>2025</v>
      </c>
      <c r="D3839" t="s">
        <v>1187</v>
      </c>
      <c r="E3839" t="s">
        <v>1188</v>
      </c>
      <c r="F3839" t="s">
        <v>45</v>
      </c>
      <c r="G3839" t="s">
        <v>25</v>
      </c>
      <c r="H3839" t="s">
        <v>32</v>
      </c>
      <c r="I3839" t="s">
        <v>42</v>
      </c>
      <c r="J3839" t="s">
        <v>58</v>
      </c>
      <c r="K3839">
        <v>1</v>
      </c>
      <c r="L3839" s="2">
        <v>233.81</v>
      </c>
      <c r="M3839" s="3">
        <v>0.25</v>
      </c>
      <c r="N3839" t="s">
        <v>62</v>
      </c>
      <c r="O3839" s="2">
        <v>175.36</v>
      </c>
      <c r="P3839" s="2">
        <v>152.02000000000001</v>
      </c>
      <c r="Q3839" s="2">
        <v>23.34</v>
      </c>
      <c r="R3839">
        <v>1</v>
      </c>
      <c r="S3839">
        <v>0</v>
      </c>
      <c r="T3839">
        <v>4</v>
      </c>
      <c r="U3839">
        <v>5</v>
      </c>
    </row>
    <row r="3840" spans="1:21" ht="16.5" x14ac:dyDescent="0.3">
      <c r="A3840" t="s">
        <v>3928</v>
      </c>
      <c r="B3840" s="1">
        <v>45855</v>
      </c>
      <c r="C3840">
        <v>2025</v>
      </c>
      <c r="D3840" t="s">
        <v>1187</v>
      </c>
      <c r="E3840" t="s">
        <v>1188</v>
      </c>
      <c r="F3840" t="s">
        <v>45</v>
      </c>
      <c r="G3840" t="s">
        <v>25</v>
      </c>
      <c r="H3840" t="s">
        <v>26</v>
      </c>
      <c r="I3840" t="s">
        <v>36</v>
      </c>
      <c r="J3840" t="s">
        <v>56</v>
      </c>
      <c r="K3840">
        <v>1</v>
      </c>
      <c r="L3840" s="2">
        <v>74.3</v>
      </c>
      <c r="M3840" s="3">
        <v>0.15</v>
      </c>
      <c r="N3840" t="s">
        <v>34</v>
      </c>
      <c r="O3840" s="2">
        <v>63.15</v>
      </c>
      <c r="P3840" s="2">
        <v>35.770000000000003</v>
      </c>
      <c r="Q3840" s="2">
        <v>27.38</v>
      </c>
      <c r="R3840">
        <v>1</v>
      </c>
      <c r="S3840">
        <v>0</v>
      </c>
      <c r="T3840">
        <v>3</v>
      </c>
      <c r="U3840">
        <v>5</v>
      </c>
    </row>
    <row r="3841" spans="1:21" ht="16.5" x14ac:dyDescent="0.3">
      <c r="A3841" t="s">
        <v>3929</v>
      </c>
      <c r="B3841" s="1">
        <v>45855</v>
      </c>
      <c r="C3841">
        <v>2025</v>
      </c>
      <c r="D3841" t="s">
        <v>1187</v>
      </c>
      <c r="E3841" t="s">
        <v>1188</v>
      </c>
      <c r="F3841" t="s">
        <v>31</v>
      </c>
      <c r="G3841" t="s">
        <v>46</v>
      </c>
      <c r="H3841" t="s">
        <v>32</v>
      </c>
      <c r="I3841" t="s">
        <v>36</v>
      </c>
      <c r="J3841" t="s">
        <v>115</v>
      </c>
      <c r="K3841">
        <v>1</v>
      </c>
      <c r="L3841" s="2">
        <v>33.479999999999997</v>
      </c>
      <c r="M3841" s="3">
        <v>0</v>
      </c>
      <c r="N3841" t="s">
        <v>38</v>
      </c>
      <c r="O3841" s="2">
        <v>33.479999999999997</v>
      </c>
      <c r="P3841" s="2">
        <v>16.809999999999999</v>
      </c>
      <c r="Q3841" s="2">
        <v>16.670000000000002</v>
      </c>
      <c r="R3841">
        <v>1</v>
      </c>
      <c r="S3841">
        <v>0</v>
      </c>
      <c r="T3841">
        <v>5</v>
      </c>
      <c r="U3841">
        <v>5</v>
      </c>
    </row>
    <row r="3842" spans="1:21" ht="16.5" x14ac:dyDescent="0.3">
      <c r="A3842" t="s">
        <v>3930</v>
      </c>
      <c r="B3842" s="1">
        <v>45856</v>
      </c>
      <c r="C3842">
        <v>2025</v>
      </c>
      <c r="D3842" t="s">
        <v>1187</v>
      </c>
      <c r="E3842" t="s">
        <v>1188</v>
      </c>
      <c r="F3842" t="s">
        <v>31</v>
      </c>
      <c r="G3842" t="s">
        <v>49</v>
      </c>
      <c r="H3842" t="s">
        <v>26</v>
      </c>
      <c r="I3842" t="s">
        <v>67</v>
      </c>
      <c r="J3842" t="s">
        <v>78</v>
      </c>
      <c r="K3842">
        <v>2</v>
      </c>
      <c r="L3842" s="2">
        <v>85.42</v>
      </c>
      <c r="M3842" s="3">
        <v>0.05</v>
      </c>
      <c r="N3842" t="s">
        <v>29</v>
      </c>
      <c r="O3842" s="2">
        <v>162.30000000000001</v>
      </c>
      <c r="P3842" s="2">
        <v>103.55</v>
      </c>
      <c r="Q3842" s="2">
        <v>58.75</v>
      </c>
      <c r="R3842">
        <v>1</v>
      </c>
      <c r="S3842">
        <v>0</v>
      </c>
      <c r="T3842">
        <v>3</v>
      </c>
      <c r="U3842">
        <v>5</v>
      </c>
    </row>
    <row r="3843" spans="1:21" ht="16.5" x14ac:dyDescent="0.3">
      <c r="A3843" t="s">
        <v>3931</v>
      </c>
      <c r="B3843" s="1">
        <v>45856</v>
      </c>
      <c r="C3843">
        <v>2025</v>
      </c>
      <c r="D3843" t="s">
        <v>1187</v>
      </c>
      <c r="E3843" t="s">
        <v>1188</v>
      </c>
      <c r="F3843" t="s">
        <v>31</v>
      </c>
      <c r="G3843" t="s">
        <v>51</v>
      </c>
      <c r="H3843" t="s">
        <v>26</v>
      </c>
      <c r="I3843" t="s">
        <v>84</v>
      </c>
      <c r="J3843" t="s">
        <v>85</v>
      </c>
      <c r="K3843">
        <v>1</v>
      </c>
      <c r="L3843" s="2">
        <v>57.92</v>
      </c>
      <c r="M3843" s="3">
        <v>0.1</v>
      </c>
      <c r="N3843" t="s">
        <v>29</v>
      </c>
      <c r="O3843" s="2">
        <v>52.13</v>
      </c>
      <c r="P3843" s="2">
        <v>42.9</v>
      </c>
      <c r="Q3843" s="2">
        <v>9.23</v>
      </c>
      <c r="R3843">
        <v>1</v>
      </c>
      <c r="S3843">
        <v>1</v>
      </c>
      <c r="T3843">
        <v>2</v>
      </c>
      <c r="U3843">
        <v>4</v>
      </c>
    </row>
    <row r="3844" spans="1:21" ht="16.5" x14ac:dyDescent="0.3">
      <c r="A3844" t="s">
        <v>3932</v>
      </c>
      <c r="B3844" s="1">
        <v>45856</v>
      </c>
      <c r="C3844">
        <v>2025</v>
      </c>
      <c r="D3844" t="s">
        <v>1187</v>
      </c>
      <c r="E3844" t="s">
        <v>1188</v>
      </c>
      <c r="F3844" t="s">
        <v>24</v>
      </c>
      <c r="G3844" t="s">
        <v>46</v>
      </c>
      <c r="H3844" t="s">
        <v>26</v>
      </c>
      <c r="I3844" t="s">
        <v>70</v>
      </c>
      <c r="J3844" t="s">
        <v>129</v>
      </c>
      <c r="K3844">
        <v>1</v>
      </c>
      <c r="L3844" s="2">
        <v>177.65</v>
      </c>
      <c r="M3844" s="3">
        <v>0</v>
      </c>
      <c r="N3844" t="s">
        <v>38</v>
      </c>
      <c r="O3844" s="2">
        <v>177.65</v>
      </c>
      <c r="P3844" s="2">
        <v>145.96</v>
      </c>
      <c r="Q3844" s="2">
        <v>31.69</v>
      </c>
      <c r="R3844">
        <v>1</v>
      </c>
      <c r="S3844">
        <v>0</v>
      </c>
      <c r="T3844">
        <v>7</v>
      </c>
      <c r="U3844">
        <v>3</v>
      </c>
    </row>
    <row r="3845" spans="1:21" ht="16.5" x14ac:dyDescent="0.3">
      <c r="A3845" t="s">
        <v>3933</v>
      </c>
      <c r="B3845" s="1">
        <v>45856</v>
      </c>
      <c r="C3845">
        <v>2025</v>
      </c>
      <c r="D3845" t="s">
        <v>1187</v>
      </c>
      <c r="E3845" t="s">
        <v>1188</v>
      </c>
      <c r="F3845" t="s">
        <v>31</v>
      </c>
      <c r="G3845" t="s">
        <v>51</v>
      </c>
      <c r="H3845" t="s">
        <v>26</v>
      </c>
      <c r="I3845" t="s">
        <v>67</v>
      </c>
      <c r="J3845" t="s">
        <v>93</v>
      </c>
      <c r="K3845">
        <v>4</v>
      </c>
      <c r="L3845" s="2">
        <v>198.42</v>
      </c>
      <c r="M3845" s="3">
        <v>0.2</v>
      </c>
      <c r="N3845" t="s">
        <v>34</v>
      </c>
      <c r="O3845" s="2">
        <v>634.94000000000005</v>
      </c>
      <c r="P3845" s="2">
        <v>534.54</v>
      </c>
      <c r="Q3845" s="2">
        <v>100.4</v>
      </c>
      <c r="R3845">
        <v>1</v>
      </c>
      <c r="S3845">
        <v>0</v>
      </c>
      <c r="T3845">
        <v>2</v>
      </c>
      <c r="U3845">
        <v>4</v>
      </c>
    </row>
    <row r="3846" spans="1:21" ht="16.5" x14ac:dyDescent="0.3">
      <c r="A3846" t="s">
        <v>3934</v>
      </c>
      <c r="B3846" s="1">
        <v>45856</v>
      </c>
      <c r="C3846">
        <v>2025</v>
      </c>
      <c r="D3846" t="s">
        <v>1187</v>
      </c>
      <c r="E3846" t="s">
        <v>1188</v>
      </c>
      <c r="F3846" t="s">
        <v>31</v>
      </c>
      <c r="G3846" t="s">
        <v>49</v>
      </c>
      <c r="H3846" t="s">
        <v>26</v>
      </c>
      <c r="I3846" t="s">
        <v>70</v>
      </c>
      <c r="J3846" t="s">
        <v>252</v>
      </c>
      <c r="K3846">
        <v>1</v>
      </c>
      <c r="L3846" s="2">
        <v>216.08</v>
      </c>
      <c r="M3846" s="3">
        <v>0.05</v>
      </c>
      <c r="N3846" t="s">
        <v>29</v>
      </c>
      <c r="O3846" s="2">
        <v>205.28</v>
      </c>
      <c r="P3846" s="2">
        <v>165.26</v>
      </c>
      <c r="Q3846" s="2">
        <v>40.020000000000003</v>
      </c>
      <c r="R3846">
        <v>1</v>
      </c>
      <c r="S3846">
        <v>0</v>
      </c>
      <c r="T3846">
        <v>4</v>
      </c>
      <c r="U3846">
        <v>4</v>
      </c>
    </row>
    <row r="3847" spans="1:21" ht="16.5" x14ac:dyDescent="0.3">
      <c r="A3847" t="s">
        <v>3935</v>
      </c>
      <c r="B3847" s="1">
        <v>45857</v>
      </c>
      <c r="C3847">
        <v>2025</v>
      </c>
      <c r="D3847" t="s">
        <v>1187</v>
      </c>
      <c r="E3847" t="s">
        <v>1188</v>
      </c>
      <c r="F3847" t="s">
        <v>31</v>
      </c>
      <c r="G3847" t="s">
        <v>49</v>
      </c>
      <c r="H3847" t="s">
        <v>26</v>
      </c>
      <c r="I3847" t="s">
        <v>70</v>
      </c>
      <c r="J3847" t="s">
        <v>162</v>
      </c>
      <c r="K3847">
        <v>2</v>
      </c>
      <c r="L3847" s="2">
        <v>636.09</v>
      </c>
      <c r="M3847" s="3">
        <v>0</v>
      </c>
      <c r="N3847" t="s">
        <v>38</v>
      </c>
      <c r="O3847" s="2">
        <v>1272.18</v>
      </c>
      <c r="P3847" s="2">
        <v>1007.87</v>
      </c>
      <c r="Q3847" s="2">
        <v>264.31</v>
      </c>
      <c r="R3847">
        <v>1</v>
      </c>
      <c r="S3847">
        <v>0</v>
      </c>
      <c r="T3847">
        <v>3</v>
      </c>
      <c r="U3847">
        <v>3</v>
      </c>
    </row>
    <row r="3848" spans="1:21" ht="16.5" x14ac:dyDescent="0.3">
      <c r="A3848" t="s">
        <v>3936</v>
      </c>
      <c r="B3848" s="1">
        <v>45857</v>
      </c>
      <c r="C3848">
        <v>2025</v>
      </c>
      <c r="D3848" t="s">
        <v>1187</v>
      </c>
      <c r="E3848" t="s">
        <v>1188</v>
      </c>
      <c r="F3848" t="s">
        <v>31</v>
      </c>
      <c r="G3848" t="s">
        <v>65</v>
      </c>
      <c r="H3848" t="s">
        <v>32</v>
      </c>
      <c r="I3848" t="s">
        <v>84</v>
      </c>
      <c r="J3848" t="s">
        <v>223</v>
      </c>
      <c r="K3848">
        <v>1</v>
      </c>
      <c r="L3848" s="2">
        <v>16.97</v>
      </c>
      <c r="M3848" s="3">
        <v>0.05</v>
      </c>
      <c r="N3848" t="s">
        <v>29</v>
      </c>
      <c r="O3848" s="2">
        <v>16.12</v>
      </c>
      <c r="P3848" s="2">
        <v>11.63</v>
      </c>
      <c r="Q3848" s="2">
        <v>4.49</v>
      </c>
      <c r="R3848">
        <v>1</v>
      </c>
      <c r="S3848">
        <v>0</v>
      </c>
      <c r="T3848">
        <v>5</v>
      </c>
      <c r="U3848">
        <v>3</v>
      </c>
    </row>
    <row r="3849" spans="1:21" ht="16.5" x14ac:dyDescent="0.3">
      <c r="A3849" t="s">
        <v>3937</v>
      </c>
      <c r="B3849" s="1">
        <v>45857</v>
      </c>
      <c r="C3849">
        <v>2025</v>
      </c>
      <c r="D3849" t="s">
        <v>1187</v>
      </c>
      <c r="E3849" t="s">
        <v>1188</v>
      </c>
      <c r="F3849" t="s">
        <v>31</v>
      </c>
      <c r="G3849" t="s">
        <v>65</v>
      </c>
      <c r="H3849" t="s">
        <v>32</v>
      </c>
      <c r="I3849" t="s">
        <v>70</v>
      </c>
      <c r="J3849" t="s">
        <v>129</v>
      </c>
      <c r="K3849">
        <v>1</v>
      </c>
      <c r="L3849" s="2">
        <v>177.65</v>
      </c>
      <c r="M3849" s="3">
        <v>0.05</v>
      </c>
      <c r="N3849" t="s">
        <v>29</v>
      </c>
      <c r="O3849" s="2">
        <v>168.77</v>
      </c>
      <c r="P3849" s="2">
        <v>140.72999999999999</v>
      </c>
      <c r="Q3849" s="2">
        <v>28.04</v>
      </c>
      <c r="R3849">
        <v>1</v>
      </c>
      <c r="S3849">
        <v>1</v>
      </c>
      <c r="T3849">
        <v>8</v>
      </c>
      <c r="U3849">
        <v>3</v>
      </c>
    </row>
    <row r="3850" spans="1:21" ht="16.5" x14ac:dyDescent="0.3">
      <c r="A3850" t="s">
        <v>3938</v>
      </c>
      <c r="B3850" s="1">
        <v>45857</v>
      </c>
      <c r="C3850">
        <v>2025</v>
      </c>
      <c r="D3850" t="s">
        <v>1187</v>
      </c>
      <c r="E3850" t="s">
        <v>1188</v>
      </c>
      <c r="F3850" t="s">
        <v>45</v>
      </c>
      <c r="G3850" t="s">
        <v>25</v>
      </c>
      <c r="H3850" t="s">
        <v>32</v>
      </c>
      <c r="I3850" t="s">
        <v>70</v>
      </c>
      <c r="J3850" t="s">
        <v>87</v>
      </c>
      <c r="K3850">
        <v>2</v>
      </c>
      <c r="L3850" s="2">
        <v>490.3</v>
      </c>
      <c r="M3850" s="3">
        <v>0.15</v>
      </c>
      <c r="N3850" t="s">
        <v>34</v>
      </c>
      <c r="O3850" s="2">
        <v>833.51</v>
      </c>
      <c r="P3850" s="2">
        <v>787.31</v>
      </c>
      <c r="Q3850" s="2">
        <v>46.2</v>
      </c>
      <c r="R3850">
        <v>1</v>
      </c>
      <c r="S3850">
        <v>0</v>
      </c>
      <c r="T3850">
        <v>6</v>
      </c>
      <c r="U3850">
        <v>3</v>
      </c>
    </row>
    <row r="3851" spans="1:21" ht="16.5" x14ac:dyDescent="0.3">
      <c r="A3851" t="s">
        <v>3939</v>
      </c>
      <c r="B3851" s="1">
        <v>45857</v>
      </c>
      <c r="C3851">
        <v>2025</v>
      </c>
      <c r="D3851" t="s">
        <v>1187</v>
      </c>
      <c r="E3851" t="s">
        <v>1188</v>
      </c>
      <c r="F3851" t="s">
        <v>24</v>
      </c>
      <c r="G3851" t="s">
        <v>51</v>
      </c>
      <c r="H3851" t="s">
        <v>32</v>
      </c>
      <c r="I3851" t="s">
        <v>84</v>
      </c>
      <c r="J3851" t="s">
        <v>223</v>
      </c>
      <c r="K3851">
        <v>1</v>
      </c>
      <c r="L3851" s="2">
        <v>16.97</v>
      </c>
      <c r="M3851" s="3">
        <v>0.25</v>
      </c>
      <c r="N3851" t="s">
        <v>62</v>
      </c>
      <c r="O3851" s="2">
        <v>12.73</v>
      </c>
      <c r="P3851" s="2">
        <v>12.44</v>
      </c>
      <c r="Q3851" s="2">
        <v>0.28999999999999998</v>
      </c>
      <c r="R3851">
        <v>1</v>
      </c>
      <c r="S3851">
        <v>0</v>
      </c>
      <c r="T3851">
        <v>3</v>
      </c>
      <c r="U3851">
        <v>5</v>
      </c>
    </row>
    <row r="3852" spans="1:21" ht="16.5" x14ac:dyDescent="0.3">
      <c r="A3852" t="s">
        <v>3940</v>
      </c>
      <c r="B3852" s="1">
        <v>45857</v>
      </c>
      <c r="C3852">
        <v>2025</v>
      </c>
      <c r="D3852" t="s">
        <v>1187</v>
      </c>
      <c r="E3852" t="s">
        <v>1188</v>
      </c>
      <c r="F3852" t="s">
        <v>31</v>
      </c>
      <c r="G3852" t="s">
        <v>46</v>
      </c>
      <c r="H3852" t="s">
        <v>32</v>
      </c>
      <c r="I3852" t="s">
        <v>42</v>
      </c>
      <c r="J3852" t="s">
        <v>89</v>
      </c>
      <c r="K3852">
        <v>1</v>
      </c>
      <c r="L3852" s="2">
        <v>68.349999999999994</v>
      </c>
      <c r="M3852" s="3">
        <v>0.05</v>
      </c>
      <c r="N3852" t="s">
        <v>29</v>
      </c>
      <c r="O3852" s="2">
        <v>64.930000000000007</v>
      </c>
      <c r="P3852" s="2">
        <v>44.92</v>
      </c>
      <c r="Q3852" s="2">
        <v>20.010000000000002</v>
      </c>
      <c r="R3852">
        <v>1</v>
      </c>
      <c r="S3852">
        <v>0</v>
      </c>
      <c r="T3852">
        <v>6</v>
      </c>
      <c r="U3852">
        <v>4</v>
      </c>
    </row>
    <row r="3853" spans="1:21" ht="16.5" x14ac:dyDescent="0.3">
      <c r="A3853" t="s">
        <v>3941</v>
      </c>
      <c r="B3853" s="1">
        <v>45857</v>
      </c>
      <c r="C3853">
        <v>2025</v>
      </c>
      <c r="D3853" t="s">
        <v>1187</v>
      </c>
      <c r="E3853" t="s">
        <v>1188</v>
      </c>
      <c r="F3853" t="s">
        <v>31</v>
      </c>
      <c r="G3853" t="s">
        <v>25</v>
      </c>
      <c r="H3853" t="s">
        <v>26</v>
      </c>
      <c r="I3853" t="s">
        <v>27</v>
      </c>
      <c r="J3853" t="s">
        <v>33</v>
      </c>
      <c r="K3853">
        <v>1</v>
      </c>
      <c r="L3853" s="2">
        <v>78.510000000000005</v>
      </c>
      <c r="M3853" s="3">
        <v>0.05</v>
      </c>
      <c r="N3853" t="s">
        <v>29</v>
      </c>
      <c r="O3853" s="2">
        <v>74.58</v>
      </c>
      <c r="P3853" s="2">
        <v>41.44</v>
      </c>
      <c r="Q3853" s="2">
        <v>33.14</v>
      </c>
      <c r="R3853">
        <v>1</v>
      </c>
      <c r="S3853">
        <v>0</v>
      </c>
      <c r="T3853">
        <v>3</v>
      </c>
      <c r="U3853">
        <v>5</v>
      </c>
    </row>
    <row r="3854" spans="1:21" ht="16.5" x14ac:dyDescent="0.3">
      <c r="A3854" t="s">
        <v>3942</v>
      </c>
      <c r="B3854" s="1">
        <v>45858</v>
      </c>
      <c r="C3854">
        <v>2025</v>
      </c>
      <c r="D3854" t="s">
        <v>1187</v>
      </c>
      <c r="E3854" t="s">
        <v>1188</v>
      </c>
      <c r="F3854" t="s">
        <v>31</v>
      </c>
      <c r="G3854" t="s">
        <v>65</v>
      </c>
      <c r="H3854" t="s">
        <v>26</v>
      </c>
      <c r="I3854" t="s">
        <v>27</v>
      </c>
      <c r="J3854" t="s">
        <v>60</v>
      </c>
      <c r="K3854">
        <v>2</v>
      </c>
      <c r="L3854" s="2">
        <v>94.85</v>
      </c>
      <c r="M3854" s="3">
        <v>0.1</v>
      </c>
      <c r="N3854" t="s">
        <v>29</v>
      </c>
      <c r="O3854" s="2">
        <v>170.73</v>
      </c>
      <c r="P3854" s="2">
        <v>102.03</v>
      </c>
      <c r="Q3854" s="2">
        <v>68.7</v>
      </c>
      <c r="R3854">
        <v>1</v>
      </c>
      <c r="S3854">
        <v>0</v>
      </c>
      <c r="T3854">
        <v>5</v>
      </c>
      <c r="U3854">
        <v>4</v>
      </c>
    </row>
    <row r="3855" spans="1:21" ht="16.5" x14ac:dyDescent="0.3">
      <c r="A3855" t="s">
        <v>3943</v>
      </c>
      <c r="B3855" s="1">
        <v>45858</v>
      </c>
      <c r="C3855">
        <v>2025</v>
      </c>
      <c r="D3855" t="s">
        <v>1187</v>
      </c>
      <c r="E3855" t="s">
        <v>1188</v>
      </c>
      <c r="F3855" t="s">
        <v>31</v>
      </c>
      <c r="G3855" t="s">
        <v>49</v>
      </c>
      <c r="H3855" t="s">
        <v>32</v>
      </c>
      <c r="I3855" t="s">
        <v>67</v>
      </c>
      <c r="J3855" t="s">
        <v>78</v>
      </c>
      <c r="K3855">
        <v>1</v>
      </c>
      <c r="L3855" s="2">
        <v>85.42</v>
      </c>
      <c r="M3855" s="3">
        <v>0</v>
      </c>
      <c r="N3855" t="s">
        <v>38</v>
      </c>
      <c r="O3855" s="2">
        <v>85.42</v>
      </c>
      <c r="P3855" s="2">
        <v>57.63</v>
      </c>
      <c r="Q3855" s="2">
        <v>27.79</v>
      </c>
      <c r="R3855">
        <v>1</v>
      </c>
      <c r="S3855">
        <v>0</v>
      </c>
      <c r="T3855">
        <v>3</v>
      </c>
      <c r="U3855">
        <v>4</v>
      </c>
    </row>
    <row r="3856" spans="1:21" ht="16.5" x14ac:dyDescent="0.3">
      <c r="A3856" t="s">
        <v>3944</v>
      </c>
      <c r="B3856" s="1">
        <v>45858</v>
      </c>
      <c r="C3856">
        <v>2025</v>
      </c>
      <c r="D3856" t="s">
        <v>1187</v>
      </c>
      <c r="E3856" t="s">
        <v>1188</v>
      </c>
      <c r="F3856" t="s">
        <v>24</v>
      </c>
      <c r="G3856" t="s">
        <v>25</v>
      </c>
      <c r="H3856" t="s">
        <v>26</v>
      </c>
      <c r="I3856" t="s">
        <v>36</v>
      </c>
      <c r="J3856" t="s">
        <v>126</v>
      </c>
      <c r="K3856">
        <v>1</v>
      </c>
      <c r="L3856" s="2">
        <v>54.56</v>
      </c>
      <c r="M3856" s="3">
        <v>0</v>
      </c>
      <c r="N3856" t="s">
        <v>38</v>
      </c>
      <c r="O3856" s="2">
        <v>54.56</v>
      </c>
      <c r="P3856" s="2">
        <v>26.45</v>
      </c>
      <c r="Q3856" s="2">
        <v>28.11</v>
      </c>
      <c r="R3856">
        <v>1</v>
      </c>
      <c r="S3856">
        <v>0</v>
      </c>
      <c r="T3856">
        <v>3</v>
      </c>
      <c r="U3856">
        <v>2</v>
      </c>
    </row>
    <row r="3857" spans="1:21" ht="16.5" x14ac:dyDescent="0.3">
      <c r="A3857" t="s">
        <v>3945</v>
      </c>
      <c r="B3857" s="1">
        <v>45858</v>
      </c>
      <c r="C3857">
        <v>2025</v>
      </c>
      <c r="D3857" t="s">
        <v>1187</v>
      </c>
      <c r="E3857" t="s">
        <v>1188</v>
      </c>
      <c r="F3857" t="s">
        <v>31</v>
      </c>
      <c r="G3857" t="s">
        <v>51</v>
      </c>
      <c r="H3857" t="s">
        <v>32</v>
      </c>
      <c r="I3857" t="s">
        <v>42</v>
      </c>
      <c r="J3857" t="s">
        <v>98</v>
      </c>
      <c r="K3857">
        <v>2</v>
      </c>
      <c r="L3857" s="2">
        <v>117.63</v>
      </c>
      <c r="M3857" s="3">
        <v>0.05</v>
      </c>
      <c r="N3857" t="s">
        <v>29</v>
      </c>
      <c r="O3857" s="2">
        <v>223.5</v>
      </c>
      <c r="P3857" s="2">
        <v>152.94</v>
      </c>
      <c r="Q3857" s="2">
        <v>70.56</v>
      </c>
      <c r="R3857">
        <v>1</v>
      </c>
      <c r="S3857">
        <v>0</v>
      </c>
      <c r="T3857">
        <v>4</v>
      </c>
      <c r="U3857">
        <v>5</v>
      </c>
    </row>
    <row r="3858" spans="1:21" ht="16.5" x14ac:dyDescent="0.3">
      <c r="A3858" t="s">
        <v>3946</v>
      </c>
      <c r="B3858" s="1">
        <v>45858</v>
      </c>
      <c r="C3858">
        <v>2025</v>
      </c>
      <c r="D3858" t="s">
        <v>1187</v>
      </c>
      <c r="E3858" t="s">
        <v>1188</v>
      </c>
      <c r="F3858" t="s">
        <v>31</v>
      </c>
      <c r="G3858" t="s">
        <v>25</v>
      </c>
      <c r="H3858" t="s">
        <v>26</v>
      </c>
      <c r="I3858" t="s">
        <v>67</v>
      </c>
      <c r="J3858" t="s">
        <v>78</v>
      </c>
      <c r="K3858">
        <v>2</v>
      </c>
      <c r="L3858" s="2">
        <v>85.42</v>
      </c>
      <c r="M3858" s="3">
        <v>0</v>
      </c>
      <c r="N3858" t="s">
        <v>38</v>
      </c>
      <c r="O3858" s="2">
        <v>170.84</v>
      </c>
      <c r="P3858" s="2">
        <v>120.67</v>
      </c>
      <c r="Q3858" s="2">
        <v>50.17</v>
      </c>
      <c r="R3858">
        <v>1</v>
      </c>
      <c r="S3858">
        <v>0</v>
      </c>
      <c r="T3858">
        <v>3</v>
      </c>
      <c r="U3858">
        <v>4</v>
      </c>
    </row>
    <row r="3859" spans="1:21" ht="16.5" x14ac:dyDescent="0.3">
      <c r="A3859" t="s">
        <v>3947</v>
      </c>
      <c r="B3859" s="1">
        <v>45859</v>
      </c>
      <c r="C3859">
        <v>2025</v>
      </c>
      <c r="D3859" t="s">
        <v>1187</v>
      </c>
      <c r="E3859" t="s">
        <v>1188</v>
      </c>
      <c r="F3859" t="s">
        <v>31</v>
      </c>
      <c r="G3859" t="s">
        <v>51</v>
      </c>
      <c r="H3859" t="s">
        <v>26</v>
      </c>
      <c r="I3859" t="s">
        <v>27</v>
      </c>
      <c r="J3859" t="s">
        <v>33</v>
      </c>
      <c r="K3859">
        <v>2</v>
      </c>
      <c r="L3859" s="2">
        <v>78.510000000000005</v>
      </c>
      <c r="M3859" s="3">
        <v>0</v>
      </c>
      <c r="N3859" t="s">
        <v>38</v>
      </c>
      <c r="O3859" s="2">
        <v>157.02000000000001</v>
      </c>
      <c r="P3859" s="2">
        <v>85.6</v>
      </c>
      <c r="Q3859" s="2">
        <v>71.42</v>
      </c>
      <c r="R3859">
        <v>1</v>
      </c>
      <c r="S3859">
        <v>0</v>
      </c>
      <c r="T3859">
        <v>5</v>
      </c>
      <c r="U3859">
        <v>4</v>
      </c>
    </row>
    <row r="3860" spans="1:21" ht="16.5" x14ac:dyDescent="0.3">
      <c r="A3860" t="s">
        <v>3948</v>
      </c>
      <c r="B3860" s="1">
        <v>45859</v>
      </c>
      <c r="C3860">
        <v>2025</v>
      </c>
      <c r="D3860" t="s">
        <v>1187</v>
      </c>
      <c r="E3860" t="s">
        <v>1188</v>
      </c>
      <c r="F3860" t="s">
        <v>31</v>
      </c>
      <c r="G3860" t="s">
        <v>46</v>
      </c>
      <c r="H3860" t="s">
        <v>32</v>
      </c>
      <c r="I3860" t="s">
        <v>27</v>
      </c>
      <c r="J3860" t="s">
        <v>28</v>
      </c>
      <c r="K3860">
        <v>1</v>
      </c>
      <c r="L3860" s="2">
        <v>138.5</v>
      </c>
      <c r="M3860" s="3">
        <v>0</v>
      </c>
      <c r="N3860" t="s">
        <v>38</v>
      </c>
      <c r="O3860" s="2">
        <v>138.5</v>
      </c>
      <c r="P3860" s="2">
        <v>74.33</v>
      </c>
      <c r="Q3860" s="2">
        <v>64.17</v>
      </c>
      <c r="R3860">
        <v>1</v>
      </c>
      <c r="S3860">
        <v>0</v>
      </c>
      <c r="T3860">
        <v>5</v>
      </c>
      <c r="U3860">
        <v>4</v>
      </c>
    </row>
    <row r="3861" spans="1:21" ht="16.5" x14ac:dyDescent="0.3">
      <c r="A3861" t="s">
        <v>3949</v>
      </c>
      <c r="B3861" s="1">
        <v>45859</v>
      </c>
      <c r="C3861">
        <v>2025</v>
      </c>
      <c r="D3861" t="s">
        <v>1187</v>
      </c>
      <c r="E3861" t="s">
        <v>1188</v>
      </c>
      <c r="F3861" t="s">
        <v>31</v>
      </c>
      <c r="G3861" t="s">
        <v>25</v>
      </c>
      <c r="H3861" t="s">
        <v>26</v>
      </c>
      <c r="I3861" t="s">
        <v>36</v>
      </c>
      <c r="J3861" t="s">
        <v>126</v>
      </c>
      <c r="K3861">
        <v>3</v>
      </c>
      <c r="L3861" s="2">
        <v>54.56</v>
      </c>
      <c r="M3861" s="3">
        <v>0.1</v>
      </c>
      <c r="N3861" t="s">
        <v>29</v>
      </c>
      <c r="O3861" s="2">
        <v>147.31</v>
      </c>
      <c r="P3861" s="2">
        <v>77.89</v>
      </c>
      <c r="Q3861" s="2">
        <v>69.42</v>
      </c>
      <c r="R3861">
        <v>1</v>
      </c>
      <c r="S3861">
        <v>0</v>
      </c>
      <c r="T3861">
        <v>3</v>
      </c>
      <c r="U3861">
        <v>5</v>
      </c>
    </row>
    <row r="3862" spans="1:21" ht="16.5" x14ac:dyDescent="0.3">
      <c r="A3862" t="s">
        <v>3950</v>
      </c>
      <c r="B3862" s="1">
        <v>45859</v>
      </c>
      <c r="C3862">
        <v>2025</v>
      </c>
      <c r="D3862" t="s">
        <v>1187</v>
      </c>
      <c r="E3862" t="s">
        <v>1188</v>
      </c>
      <c r="F3862" t="s">
        <v>31</v>
      </c>
      <c r="G3862" t="s">
        <v>49</v>
      </c>
      <c r="H3862" t="s">
        <v>26</v>
      </c>
      <c r="I3862" t="s">
        <v>84</v>
      </c>
      <c r="J3862" t="s">
        <v>85</v>
      </c>
      <c r="K3862">
        <v>1</v>
      </c>
      <c r="L3862" s="2">
        <v>57.92</v>
      </c>
      <c r="M3862" s="3">
        <v>0.1</v>
      </c>
      <c r="N3862" t="s">
        <v>29</v>
      </c>
      <c r="O3862" s="2">
        <v>52.13</v>
      </c>
      <c r="P3862" s="2">
        <v>42.4</v>
      </c>
      <c r="Q3862" s="2">
        <v>9.73</v>
      </c>
      <c r="R3862">
        <v>1</v>
      </c>
      <c r="S3862">
        <v>0</v>
      </c>
      <c r="T3862">
        <v>3</v>
      </c>
      <c r="U3862">
        <v>5</v>
      </c>
    </row>
    <row r="3863" spans="1:21" ht="16.5" x14ac:dyDescent="0.3">
      <c r="A3863" t="s">
        <v>3951</v>
      </c>
      <c r="B3863" s="1">
        <v>45859</v>
      </c>
      <c r="C3863">
        <v>2025</v>
      </c>
      <c r="D3863" t="s">
        <v>1187</v>
      </c>
      <c r="E3863" t="s">
        <v>1188</v>
      </c>
      <c r="F3863" t="s">
        <v>24</v>
      </c>
      <c r="G3863" t="s">
        <v>51</v>
      </c>
      <c r="H3863" t="s">
        <v>26</v>
      </c>
      <c r="I3863" t="s">
        <v>27</v>
      </c>
      <c r="J3863" t="s">
        <v>33</v>
      </c>
      <c r="K3863">
        <v>1</v>
      </c>
      <c r="L3863" s="2">
        <v>78.510000000000005</v>
      </c>
      <c r="M3863" s="3">
        <v>0.15</v>
      </c>
      <c r="N3863" t="s">
        <v>34</v>
      </c>
      <c r="O3863" s="2">
        <v>66.73</v>
      </c>
      <c r="P3863" s="2">
        <v>44.03</v>
      </c>
      <c r="Q3863" s="2">
        <v>22.7</v>
      </c>
      <c r="R3863">
        <v>1</v>
      </c>
      <c r="S3863">
        <v>0</v>
      </c>
      <c r="T3863">
        <v>2</v>
      </c>
      <c r="U3863">
        <v>3</v>
      </c>
    </row>
    <row r="3864" spans="1:21" ht="16.5" x14ac:dyDescent="0.3">
      <c r="A3864" t="s">
        <v>3952</v>
      </c>
      <c r="B3864" s="1">
        <v>45859</v>
      </c>
      <c r="C3864">
        <v>2025</v>
      </c>
      <c r="D3864" t="s">
        <v>1187</v>
      </c>
      <c r="E3864" t="s">
        <v>1188</v>
      </c>
      <c r="F3864" t="s">
        <v>31</v>
      </c>
      <c r="G3864" t="s">
        <v>49</v>
      </c>
      <c r="H3864" t="s">
        <v>32</v>
      </c>
      <c r="I3864" t="s">
        <v>70</v>
      </c>
      <c r="J3864" t="s">
        <v>129</v>
      </c>
      <c r="K3864">
        <v>1</v>
      </c>
      <c r="L3864" s="2">
        <v>177.65</v>
      </c>
      <c r="M3864" s="3">
        <v>0.1</v>
      </c>
      <c r="N3864" t="s">
        <v>29</v>
      </c>
      <c r="O3864" s="2">
        <v>159.88999999999999</v>
      </c>
      <c r="P3864" s="2">
        <v>142.41999999999999</v>
      </c>
      <c r="Q3864" s="2">
        <v>17.47</v>
      </c>
      <c r="R3864">
        <v>1</v>
      </c>
      <c r="S3864">
        <v>1</v>
      </c>
      <c r="T3864">
        <v>4</v>
      </c>
      <c r="U3864">
        <v>4</v>
      </c>
    </row>
    <row r="3865" spans="1:21" ht="16.5" x14ac:dyDescent="0.3">
      <c r="A3865" t="s">
        <v>3953</v>
      </c>
      <c r="B3865" s="1">
        <v>45860</v>
      </c>
      <c r="C3865">
        <v>2025</v>
      </c>
      <c r="D3865" t="s">
        <v>1187</v>
      </c>
      <c r="E3865" t="s">
        <v>1188</v>
      </c>
      <c r="F3865" t="s">
        <v>45</v>
      </c>
      <c r="G3865" t="s">
        <v>65</v>
      </c>
      <c r="H3865" t="s">
        <v>32</v>
      </c>
      <c r="I3865" t="s">
        <v>42</v>
      </c>
      <c r="J3865" t="s">
        <v>54</v>
      </c>
      <c r="K3865">
        <v>1</v>
      </c>
      <c r="L3865" s="2">
        <v>148.05000000000001</v>
      </c>
      <c r="M3865" s="3">
        <v>0.15</v>
      </c>
      <c r="N3865" t="s">
        <v>34</v>
      </c>
      <c r="O3865" s="2">
        <v>125.84</v>
      </c>
      <c r="P3865" s="2">
        <v>101.13</v>
      </c>
      <c r="Q3865" s="2">
        <v>24.71</v>
      </c>
      <c r="R3865">
        <v>1</v>
      </c>
      <c r="S3865">
        <v>0</v>
      </c>
      <c r="T3865">
        <v>7</v>
      </c>
      <c r="U3865">
        <v>4</v>
      </c>
    </row>
    <row r="3866" spans="1:21" ht="16.5" x14ac:dyDescent="0.3">
      <c r="A3866" t="s">
        <v>3954</v>
      </c>
      <c r="B3866" s="1">
        <v>45860</v>
      </c>
      <c r="C3866">
        <v>2025</v>
      </c>
      <c r="D3866" t="s">
        <v>1187</v>
      </c>
      <c r="E3866" t="s">
        <v>1188</v>
      </c>
      <c r="F3866" t="s">
        <v>31</v>
      </c>
      <c r="G3866" t="s">
        <v>25</v>
      </c>
      <c r="H3866" t="s">
        <v>32</v>
      </c>
      <c r="I3866" t="s">
        <v>27</v>
      </c>
      <c r="J3866" t="s">
        <v>110</v>
      </c>
      <c r="K3866">
        <v>1</v>
      </c>
      <c r="L3866" s="2">
        <v>19.41</v>
      </c>
      <c r="M3866" s="3">
        <v>0.1</v>
      </c>
      <c r="N3866" t="s">
        <v>29</v>
      </c>
      <c r="O3866" s="2">
        <v>17.47</v>
      </c>
      <c r="P3866" s="2">
        <v>10.91</v>
      </c>
      <c r="Q3866" s="2">
        <v>6.56</v>
      </c>
      <c r="R3866">
        <v>1</v>
      </c>
      <c r="S3866">
        <v>0</v>
      </c>
      <c r="T3866">
        <v>6</v>
      </c>
      <c r="U3866">
        <v>2</v>
      </c>
    </row>
    <row r="3867" spans="1:21" ht="16.5" x14ac:dyDescent="0.3">
      <c r="A3867" t="s">
        <v>3955</v>
      </c>
      <c r="B3867" s="1">
        <v>45860</v>
      </c>
      <c r="C3867">
        <v>2025</v>
      </c>
      <c r="D3867" t="s">
        <v>1187</v>
      </c>
      <c r="E3867" t="s">
        <v>1188</v>
      </c>
      <c r="F3867" t="s">
        <v>45</v>
      </c>
      <c r="G3867" t="s">
        <v>46</v>
      </c>
      <c r="H3867" t="s">
        <v>26</v>
      </c>
      <c r="I3867" t="s">
        <v>70</v>
      </c>
      <c r="J3867" t="s">
        <v>252</v>
      </c>
      <c r="K3867">
        <v>4</v>
      </c>
      <c r="L3867" s="2">
        <v>216.08</v>
      </c>
      <c r="M3867" s="3">
        <v>0</v>
      </c>
      <c r="N3867" t="s">
        <v>38</v>
      </c>
      <c r="O3867" s="2">
        <v>864.32</v>
      </c>
      <c r="P3867" s="2">
        <v>714.4</v>
      </c>
      <c r="Q3867" s="2">
        <v>149.91999999999999</v>
      </c>
      <c r="R3867">
        <v>1</v>
      </c>
      <c r="S3867">
        <v>0</v>
      </c>
      <c r="T3867">
        <v>6</v>
      </c>
      <c r="U3867">
        <v>3</v>
      </c>
    </row>
    <row r="3868" spans="1:21" ht="16.5" x14ac:dyDescent="0.3">
      <c r="A3868" t="s">
        <v>3956</v>
      </c>
      <c r="B3868" s="1">
        <v>45860</v>
      </c>
      <c r="C3868">
        <v>2025</v>
      </c>
      <c r="D3868" t="s">
        <v>1187</v>
      </c>
      <c r="E3868" t="s">
        <v>1188</v>
      </c>
      <c r="F3868" t="s">
        <v>45</v>
      </c>
      <c r="G3868" t="s">
        <v>25</v>
      </c>
      <c r="H3868" t="s">
        <v>32</v>
      </c>
      <c r="I3868" t="s">
        <v>42</v>
      </c>
      <c r="J3868" t="s">
        <v>54</v>
      </c>
      <c r="K3868">
        <v>1</v>
      </c>
      <c r="L3868" s="2">
        <v>148.05000000000001</v>
      </c>
      <c r="M3868" s="3">
        <v>0.1</v>
      </c>
      <c r="N3868" t="s">
        <v>29</v>
      </c>
      <c r="O3868" s="2">
        <v>133.24</v>
      </c>
      <c r="P3868" s="2">
        <v>95.99</v>
      </c>
      <c r="Q3868" s="2">
        <v>37.25</v>
      </c>
      <c r="R3868">
        <v>1</v>
      </c>
      <c r="S3868">
        <v>0</v>
      </c>
      <c r="T3868">
        <v>6</v>
      </c>
      <c r="U3868">
        <v>4</v>
      </c>
    </row>
    <row r="3869" spans="1:21" ht="16.5" x14ac:dyDescent="0.3">
      <c r="A3869" t="s">
        <v>3957</v>
      </c>
      <c r="B3869" s="1">
        <v>45860</v>
      </c>
      <c r="C3869">
        <v>2025</v>
      </c>
      <c r="D3869" t="s">
        <v>1187</v>
      </c>
      <c r="E3869" t="s">
        <v>1188</v>
      </c>
      <c r="F3869" t="s">
        <v>31</v>
      </c>
      <c r="G3869" t="s">
        <v>51</v>
      </c>
      <c r="H3869" t="s">
        <v>32</v>
      </c>
      <c r="I3869" t="s">
        <v>84</v>
      </c>
      <c r="J3869" t="s">
        <v>132</v>
      </c>
      <c r="K3869">
        <v>1</v>
      </c>
      <c r="L3869" s="2">
        <v>48.86</v>
      </c>
      <c r="M3869" s="3">
        <v>0.05</v>
      </c>
      <c r="N3869" t="s">
        <v>29</v>
      </c>
      <c r="O3869" s="2">
        <v>46.42</v>
      </c>
      <c r="P3869" s="2">
        <v>35.96</v>
      </c>
      <c r="Q3869" s="2">
        <v>10.46</v>
      </c>
      <c r="R3869">
        <v>1</v>
      </c>
      <c r="S3869">
        <v>0</v>
      </c>
      <c r="T3869">
        <v>4</v>
      </c>
      <c r="U3869">
        <v>5</v>
      </c>
    </row>
    <row r="3870" spans="1:21" ht="16.5" x14ac:dyDescent="0.3">
      <c r="A3870" t="s">
        <v>3958</v>
      </c>
      <c r="B3870" s="1">
        <v>45861</v>
      </c>
      <c r="C3870">
        <v>2025</v>
      </c>
      <c r="D3870" t="s">
        <v>1187</v>
      </c>
      <c r="E3870" t="s">
        <v>1188</v>
      </c>
      <c r="F3870" t="s">
        <v>24</v>
      </c>
      <c r="G3870" t="s">
        <v>51</v>
      </c>
      <c r="H3870" t="s">
        <v>26</v>
      </c>
      <c r="I3870" t="s">
        <v>42</v>
      </c>
      <c r="J3870" t="s">
        <v>58</v>
      </c>
      <c r="K3870">
        <v>1</v>
      </c>
      <c r="L3870" s="2">
        <v>233.81</v>
      </c>
      <c r="M3870" s="3">
        <v>0.1</v>
      </c>
      <c r="N3870" t="s">
        <v>29</v>
      </c>
      <c r="O3870" s="2">
        <v>210.43</v>
      </c>
      <c r="P3870" s="2">
        <v>158.22</v>
      </c>
      <c r="Q3870" s="2">
        <v>52.21</v>
      </c>
      <c r="R3870">
        <v>1</v>
      </c>
      <c r="S3870">
        <v>0</v>
      </c>
      <c r="T3870">
        <v>4</v>
      </c>
      <c r="U3870">
        <v>5</v>
      </c>
    </row>
    <row r="3871" spans="1:21" ht="16.5" x14ac:dyDescent="0.3">
      <c r="A3871" t="s">
        <v>3959</v>
      </c>
      <c r="B3871" s="1">
        <v>45861</v>
      </c>
      <c r="C3871">
        <v>2025</v>
      </c>
      <c r="D3871" t="s">
        <v>1187</v>
      </c>
      <c r="E3871" t="s">
        <v>1188</v>
      </c>
      <c r="F3871" t="s">
        <v>31</v>
      </c>
      <c r="G3871" t="s">
        <v>46</v>
      </c>
      <c r="H3871" t="s">
        <v>26</v>
      </c>
      <c r="I3871" t="s">
        <v>27</v>
      </c>
      <c r="J3871" t="s">
        <v>110</v>
      </c>
      <c r="K3871">
        <v>1</v>
      </c>
      <c r="L3871" s="2">
        <v>19.41</v>
      </c>
      <c r="M3871" s="3">
        <v>0</v>
      </c>
      <c r="N3871" t="s">
        <v>38</v>
      </c>
      <c r="O3871" s="2">
        <v>19.41</v>
      </c>
      <c r="P3871" s="2">
        <v>10.55</v>
      </c>
      <c r="Q3871" s="2">
        <v>8.86</v>
      </c>
      <c r="R3871">
        <v>1</v>
      </c>
      <c r="S3871">
        <v>1</v>
      </c>
      <c r="T3871">
        <v>7</v>
      </c>
      <c r="U3871">
        <v>3</v>
      </c>
    </row>
    <row r="3872" spans="1:21" ht="16.5" x14ac:dyDescent="0.3">
      <c r="A3872" t="s">
        <v>3960</v>
      </c>
      <c r="B3872" s="1">
        <v>45861</v>
      </c>
      <c r="C3872">
        <v>2025</v>
      </c>
      <c r="D3872" t="s">
        <v>1187</v>
      </c>
      <c r="E3872" t="s">
        <v>1188</v>
      </c>
      <c r="F3872" t="s">
        <v>31</v>
      </c>
      <c r="G3872" t="s">
        <v>65</v>
      </c>
      <c r="H3872" t="s">
        <v>26</v>
      </c>
      <c r="I3872" t="s">
        <v>70</v>
      </c>
      <c r="J3872" t="s">
        <v>71</v>
      </c>
      <c r="K3872">
        <v>1</v>
      </c>
      <c r="L3872" s="2">
        <v>588.41</v>
      </c>
      <c r="M3872" s="3">
        <v>0</v>
      </c>
      <c r="N3872" t="s">
        <v>38</v>
      </c>
      <c r="O3872" s="2">
        <v>588.41</v>
      </c>
      <c r="P3872" s="2">
        <v>456.81</v>
      </c>
      <c r="Q3872" s="2">
        <v>131.6</v>
      </c>
      <c r="R3872">
        <v>1</v>
      </c>
      <c r="S3872">
        <v>1</v>
      </c>
      <c r="T3872">
        <v>5</v>
      </c>
      <c r="U3872">
        <v>3</v>
      </c>
    </row>
    <row r="3873" spans="1:21" ht="16.5" x14ac:dyDescent="0.3">
      <c r="A3873" t="s">
        <v>3961</v>
      </c>
      <c r="B3873" s="1">
        <v>45861</v>
      </c>
      <c r="C3873">
        <v>2025</v>
      </c>
      <c r="D3873" t="s">
        <v>1187</v>
      </c>
      <c r="E3873" t="s">
        <v>1188</v>
      </c>
      <c r="F3873" t="s">
        <v>31</v>
      </c>
      <c r="G3873" t="s">
        <v>51</v>
      </c>
      <c r="H3873" t="s">
        <v>32</v>
      </c>
      <c r="I3873" t="s">
        <v>84</v>
      </c>
      <c r="J3873" t="s">
        <v>96</v>
      </c>
      <c r="K3873">
        <v>2</v>
      </c>
      <c r="L3873" s="2">
        <v>10.76</v>
      </c>
      <c r="M3873" s="3">
        <v>0</v>
      </c>
      <c r="N3873" t="s">
        <v>38</v>
      </c>
      <c r="O3873" s="2">
        <v>21.52</v>
      </c>
      <c r="P3873" s="2">
        <v>16.78</v>
      </c>
      <c r="Q3873" s="2">
        <v>4.74</v>
      </c>
      <c r="R3873">
        <v>1</v>
      </c>
      <c r="S3873">
        <v>0</v>
      </c>
      <c r="T3873">
        <v>2</v>
      </c>
      <c r="U3873">
        <v>5</v>
      </c>
    </row>
    <row r="3874" spans="1:21" ht="16.5" x14ac:dyDescent="0.3">
      <c r="A3874" t="s">
        <v>3962</v>
      </c>
      <c r="B3874" s="1">
        <v>45861</v>
      </c>
      <c r="C3874">
        <v>2025</v>
      </c>
      <c r="D3874" t="s">
        <v>1187</v>
      </c>
      <c r="E3874" t="s">
        <v>1188</v>
      </c>
      <c r="F3874" t="s">
        <v>24</v>
      </c>
      <c r="G3874" t="s">
        <v>25</v>
      </c>
      <c r="H3874" t="s">
        <v>32</v>
      </c>
      <c r="I3874" t="s">
        <v>67</v>
      </c>
      <c r="J3874" t="s">
        <v>174</v>
      </c>
      <c r="K3874">
        <v>1</v>
      </c>
      <c r="L3874" s="2">
        <v>137.05000000000001</v>
      </c>
      <c r="M3874" s="3">
        <v>0</v>
      </c>
      <c r="N3874" t="s">
        <v>38</v>
      </c>
      <c r="O3874" s="2">
        <v>137.05000000000001</v>
      </c>
      <c r="P3874" s="2">
        <v>89.08</v>
      </c>
      <c r="Q3874" s="2">
        <v>47.97</v>
      </c>
      <c r="R3874">
        <v>1</v>
      </c>
      <c r="S3874">
        <v>0</v>
      </c>
      <c r="T3874">
        <v>3</v>
      </c>
      <c r="U3874">
        <v>5</v>
      </c>
    </row>
    <row r="3875" spans="1:21" ht="16.5" x14ac:dyDescent="0.3">
      <c r="A3875" t="s">
        <v>3963</v>
      </c>
      <c r="B3875" s="1">
        <v>45861</v>
      </c>
      <c r="C3875">
        <v>2025</v>
      </c>
      <c r="D3875" t="s">
        <v>1187</v>
      </c>
      <c r="E3875" t="s">
        <v>1188</v>
      </c>
      <c r="F3875" t="s">
        <v>24</v>
      </c>
      <c r="G3875" t="s">
        <v>25</v>
      </c>
      <c r="H3875" t="s">
        <v>32</v>
      </c>
      <c r="I3875" t="s">
        <v>36</v>
      </c>
      <c r="J3875" t="s">
        <v>52</v>
      </c>
      <c r="K3875">
        <v>2</v>
      </c>
      <c r="L3875" s="2">
        <v>92.54</v>
      </c>
      <c r="M3875" s="3">
        <v>0.25</v>
      </c>
      <c r="N3875" t="s">
        <v>62</v>
      </c>
      <c r="O3875" s="2">
        <v>138.81</v>
      </c>
      <c r="P3875" s="2">
        <v>90.86</v>
      </c>
      <c r="Q3875" s="2">
        <v>47.95</v>
      </c>
      <c r="R3875">
        <v>1</v>
      </c>
      <c r="S3875">
        <v>0</v>
      </c>
      <c r="T3875">
        <v>4</v>
      </c>
      <c r="U3875">
        <v>4</v>
      </c>
    </row>
    <row r="3876" spans="1:21" ht="16.5" x14ac:dyDescent="0.3">
      <c r="A3876" t="s">
        <v>3964</v>
      </c>
      <c r="B3876" s="1">
        <v>45862</v>
      </c>
      <c r="C3876">
        <v>2025</v>
      </c>
      <c r="D3876" t="s">
        <v>1187</v>
      </c>
      <c r="E3876" t="s">
        <v>1188</v>
      </c>
      <c r="F3876" t="s">
        <v>24</v>
      </c>
      <c r="G3876" t="s">
        <v>25</v>
      </c>
      <c r="H3876" t="s">
        <v>26</v>
      </c>
      <c r="I3876" t="s">
        <v>70</v>
      </c>
      <c r="J3876" t="s">
        <v>71</v>
      </c>
      <c r="K3876">
        <v>1</v>
      </c>
      <c r="L3876" s="2">
        <v>588.41</v>
      </c>
      <c r="M3876" s="3">
        <v>0</v>
      </c>
      <c r="N3876" t="s">
        <v>38</v>
      </c>
      <c r="O3876" s="2">
        <v>588.41</v>
      </c>
      <c r="P3876" s="2">
        <v>478.09</v>
      </c>
      <c r="Q3876" s="2">
        <v>110.32</v>
      </c>
      <c r="R3876">
        <v>1</v>
      </c>
      <c r="S3876">
        <v>1</v>
      </c>
      <c r="T3876">
        <v>3</v>
      </c>
      <c r="U3876">
        <v>4</v>
      </c>
    </row>
    <row r="3877" spans="1:21" ht="16.5" x14ac:dyDescent="0.3">
      <c r="A3877" t="s">
        <v>3965</v>
      </c>
      <c r="B3877" s="1">
        <v>45862</v>
      </c>
      <c r="C3877">
        <v>2025</v>
      </c>
      <c r="D3877" t="s">
        <v>1187</v>
      </c>
      <c r="E3877" t="s">
        <v>1188</v>
      </c>
      <c r="F3877" t="s">
        <v>45</v>
      </c>
      <c r="G3877" t="s">
        <v>65</v>
      </c>
      <c r="H3877" t="s">
        <v>32</v>
      </c>
      <c r="I3877" t="s">
        <v>27</v>
      </c>
      <c r="J3877" t="s">
        <v>60</v>
      </c>
      <c r="K3877">
        <v>1</v>
      </c>
      <c r="L3877" s="2">
        <v>94.85</v>
      </c>
      <c r="M3877" s="3">
        <v>0.2</v>
      </c>
      <c r="N3877" t="s">
        <v>34</v>
      </c>
      <c r="O3877" s="2">
        <v>75.88</v>
      </c>
      <c r="P3877" s="2">
        <v>48.68</v>
      </c>
      <c r="Q3877" s="2">
        <v>27.2</v>
      </c>
      <c r="R3877">
        <v>1</v>
      </c>
      <c r="S3877">
        <v>0</v>
      </c>
      <c r="T3877">
        <v>6</v>
      </c>
      <c r="U3877">
        <v>2</v>
      </c>
    </row>
    <row r="3878" spans="1:21" ht="16.5" x14ac:dyDescent="0.3">
      <c r="A3878" t="s">
        <v>3966</v>
      </c>
      <c r="B3878" s="1">
        <v>45862</v>
      </c>
      <c r="C3878">
        <v>2025</v>
      </c>
      <c r="D3878" t="s">
        <v>1187</v>
      </c>
      <c r="E3878" t="s">
        <v>1188</v>
      </c>
      <c r="F3878" t="s">
        <v>45</v>
      </c>
      <c r="G3878" t="s">
        <v>65</v>
      </c>
      <c r="H3878" t="s">
        <v>32</v>
      </c>
      <c r="I3878" t="s">
        <v>70</v>
      </c>
      <c r="J3878" t="s">
        <v>129</v>
      </c>
      <c r="K3878">
        <v>1</v>
      </c>
      <c r="L3878" s="2">
        <v>177.65</v>
      </c>
      <c r="M3878" s="3">
        <v>0.1</v>
      </c>
      <c r="N3878" t="s">
        <v>29</v>
      </c>
      <c r="O3878" s="2">
        <v>159.88999999999999</v>
      </c>
      <c r="P3878" s="2">
        <v>142.02000000000001</v>
      </c>
      <c r="Q3878" s="2">
        <v>17.87</v>
      </c>
      <c r="R3878">
        <v>1</v>
      </c>
      <c r="S3878">
        <v>0</v>
      </c>
      <c r="T3878">
        <v>5</v>
      </c>
      <c r="U3878">
        <v>4</v>
      </c>
    </row>
    <row r="3879" spans="1:21" ht="16.5" x14ac:dyDescent="0.3">
      <c r="A3879" t="s">
        <v>3967</v>
      </c>
      <c r="B3879" s="1">
        <v>45862</v>
      </c>
      <c r="C3879">
        <v>2025</v>
      </c>
      <c r="D3879" t="s">
        <v>1187</v>
      </c>
      <c r="E3879" t="s">
        <v>1188</v>
      </c>
      <c r="F3879" t="s">
        <v>31</v>
      </c>
      <c r="G3879" t="s">
        <v>46</v>
      </c>
      <c r="H3879" t="s">
        <v>26</v>
      </c>
      <c r="I3879" t="s">
        <v>70</v>
      </c>
      <c r="J3879" t="s">
        <v>87</v>
      </c>
      <c r="K3879">
        <v>2</v>
      </c>
      <c r="L3879" s="2">
        <v>490.3</v>
      </c>
      <c r="M3879" s="3">
        <v>0.1</v>
      </c>
      <c r="N3879" t="s">
        <v>29</v>
      </c>
      <c r="O3879" s="2">
        <v>882.54</v>
      </c>
      <c r="P3879" s="2">
        <v>818.32</v>
      </c>
      <c r="Q3879" s="2">
        <v>64.22</v>
      </c>
      <c r="R3879">
        <v>1</v>
      </c>
      <c r="S3879">
        <v>0</v>
      </c>
      <c r="T3879">
        <v>5</v>
      </c>
      <c r="U3879">
        <v>5</v>
      </c>
    </row>
    <row r="3880" spans="1:21" ht="16.5" x14ac:dyDescent="0.3">
      <c r="A3880" t="s">
        <v>3968</v>
      </c>
      <c r="B3880" s="1">
        <v>45862</v>
      </c>
      <c r="C3880">
        <v>2025</v>
      </c>
      <c r="D3880" t="s">
        <v>1187</v>
      </c>
      <c r="E3880" t="s">
        <v>1188</v>
      </c>
      <c r="F3880" t="s">
        <v>24</v>
      </c>
      <c r="G3880" t="s">
        <v>51</v>
      </c>
      <c r="H3880" t="s">
        <v>26</v>
      </c>
      <c r="I3880" t="s">
        <v>67</v>
      </c>
      <c r="J3880" t="s">
        <v>174</v>
      </c>
      <c r="K3880">
        <v>1</v>
      </c>
      <c r="L3880" s="2">
        <v>137.05000000000001</v>
      </c>
      <c r="M3880" s="3">
        <v>0.1</v>
      </c>
      <c r="N3880" t="s">
        <v>29</v>
      </c>
      <c r="O3880" s="2">
        <v>123.35</v>
      </c>
      <c r="P3880" s="2">
        <v>90.42</v>
      </c>
      <c r="Q3880" s="2">
        <v>32.93</v>
      </c>
      <c r="R3880">
        <v>1</v>
      </c>
      <c r="S3880">
        <v>0</v>
      </c>
      <c r="T3880">
        <v>3</v>
      </c>
      <c r="U3880">
        <v>5</v>
      </c>
    </row>
    <row r="3881" spans="1:21" ht="16.5" x14ac:dyDescent="0.3">
      <c r="A3881" t="s">
        <v>3969</v>
      </c>
      <c r="B3881" s="1">
        <v>45862</v>
      </c>
      <c r="C3881">
        <v>2025</v>
      </c>
      <c r="D3881" t="s">
        <v>1187</v>
      </c>
      <c r="E3881" t="s">
        <v>1188</v>
      </c>
      <c r="F3881" t="s">
        <v>24</v>
      </c>
      <c r="G3881" t="s">
        <v>51</v>
      </c>
      <c r="H3881" t="s">
        <v>32</v>
      </c>
      <c r="I3881" t="s">
        <v>67</v>
      </c>
      <c r="J3881" t="s">
        <v>174</v>
      </c>
      <c r="K3881">
        <v>2</v>
      </c>
      <c r="L3881" s="2">
        <v>137.05000000000001</v>
      </c>
      <c r="M3881" s="3">
        <v>0</v>
      </c>
      <c r="N3881" t="s">
        <v>38</v>
      </c>
      <c r="O3881" s="2">
        <v>274.10000000000002</v>
      </c>
      <c r="P3881" s="2">
        <v>184.8</v>
      </c>
      <c r="Q3881" s="2">
        <v>89.3</v>
      </c>
      <c r="R3881">
        <v>1</v>
      </c>
      <c r="S3881">
        <v>0</v>
      </c>
      <c r="T3881">
        <v>2</v>
      </c>
      <c r="U3881">
        <v>4</v>
      </c>
    </row>
    <row r="3882" spans="1:21" ht="16.5" x14ac:dyDescent="0.3">
      <c r="A3882" t="s">
        <v>3970</v>
      </c>
      <c r="B3882" s="1">
        <v>45862</v>
      </c>
      <c r="C3882">
        <v>2025</v>
      </c>
      <c r="D3882" t="s">
        <v>1187</v>
      </c>
      <c r="E3882" t="s">
        <v>1188</v>
      </c>
      <c r="F3882" t="s">
        <v>31</v>
      </c>
      <c r="G3882" t="s">
        <v>65</v>
      </c>
      <c r="H3882" t="s">
        <v>26</v>
      </c>
      <c r="I3882" t="s">
        <v>27</v>
      </c>
      <c r="J3882" t="s">
        <v>47</v>
      </c>
      <c r="K3882">
        <v>1</v>
      </c>
      <c r="L3882" s="2">
        <v>33.99</v>
      </c>
      <c r="M3882" s="3">
        <v>0.05</v>
      </c>
      <c r="N3882" t="s">
        <v>29</v>
      </c>
      <c r="O3882" s="2">
        <v>32.29</v>
      </c>
      <c r="P3882" s="2">
        <v>18.12</v>
      </c>
      <c r="Q3882" s="2">
        <v>14.17</v>
      </c>
      <c r="R3882">
        <v>1</v>
      </c>
      <c r="S3882">
        <v>1</v>
      </c>
      <c r="T3882">
        <v>9</v>
      </c>
      <c r="U3882">
        <v>3</v>
      </c>
    </row>
    <row r="3883" spans="1:21" ht="16.5" x14ac:dyDescent="0.3">
      <c r="A3883" t="s">
        <v>3971</v>
      </c>
      <c r="B3883" s="1">
        <v>45863</v>
      </c>
      <c r="C3883">
        <v>2025</v>
      </c>
      <c r="D3883" t="s">
        <v>1187</v>
      </c>
      <c r="E3883" t="s">
        <v>1188</v>
      </c>
      <c r="F3883" t="s">
        <v>31</v>
      </c>
      <c r="G3883" t="s">
        <v>25</v>
      </c>
      <c r="H3883" t="s">
        <v>26</v>
      </c>
      <c r="I3883" t="s">
        <v>27</v>
      </c>
      <c r="J3883" t="s">
        <v>33</v>
      </c>
      <c r="K3883">
        <v>2</v>
      </c>
      <c r="L3883" s="2">
        <v>78.510000000000005</v>
      </c>
      <c r="M3883" s="3">
        <v>0.15</v>
      </c>
      <c r="N3883" t="s">
        <v>34</v>
      </c>
      <c r="O3883" s="2">
        <v>133.47</v>
      </c>
      <c r="P3883" s="2">
        <v>86.07</v>
      </c>
      <c r="Q3883" s="2">
        <v>47.4</v>
      </c>
      <c r="R3883">
        <v>1</v>
      </c>
      <c r="S3883">
        <v>0</v>
      </c>
      <c r="T3883">
        <v>4</v>
      </c>
      <c r="U3883">
        <v>4</v>
      </c>
    </row>
    <row r="3884" spans="1:21" ht="16.5" x14ac:dyDescent="0.3">
      <c r="A3884" t="s">
        <v>3972</v>
      </c>
      <c r="B3884" s="1">
        <v>45863</v>
      </c>
      <c r="C3884">
        <v>2025</v>
      </c>
      <c r="D3884" t="s">
        <v>1187</v>
      </c>
      <c r="E3884" t="s">
        <v>1188</v>
      </c>
      <c r="F3884" t="s">
        <v>31</v>
      </c>
      <c r="G3884" t="s">
        <v>49</v>
      </c>
      <c r="H3884" t="s">
        <v>26</v>
      </c>
      <c r="I3884" t="s">
        <v>67</v>
      </c>
      <c r="J3884" t="s">
        <v>103</v>
      </c>
      <c r="K3884">
        <v>1</v>
      </c>
      <c r="L3884" s="2">
        <v>83.06</v>
      </c>
      <c r="M3884" s="3">
        <v>0.05</v>
      </c>
      <c r="N3884" t="s">
        <v>29</v>
      </c>
      <c r="O3884" s="2">
        <v>78.91</v>
      </c>
      <c r="P3884" s="2">
        <v>53.4</v>
      </c>
      <c r="Q3884" s="2">
        <v>25.51</v>
      </c>
      <c r="R3884">
        <v>1</v>
      </c>
      <c r="S3884">
        <v>0</v>
      </c>
      <c r="T3884">
        <v>6</v>
      </c>
      <c r="U3884">
        <v>5</v>
      </c>
    </row>
    <row r="3885" spans="1:21" ht="16.5" x14ac:dyDescent="0.3">
      <c r="A3885" t="s">
        <v>3973</v>
      </c>
      <c r="B3885" s="1">
        <v>45863</v>
      </c>
      <c r="C3885">
        <v>2025</v>
      </c>
      <c r="D3885" t="s">
        <v>1187</v>
      </c>
      <c r="E3885" t="s">
        <v>1188</v>
      </c>
      <c r="F3885" t="s">
        <v>45</v>
      </c>
      <c r="G3885" t="s">
        <v>51</v>
      </c>
      <c r="H3885" t="s">
        <v>26</v>
      </c>
      <c r="I3885" t="s">
        <v>27</v>
      </c>
      <c r="J3885" t="s">
        <v>40</v>
      </c>
      <c r="K3885">
        <v>1</v>
      </c>
      <c r="L3885" s="2">
        <v>104.94</v>
      </c>
      <c r="M3885" s="3">
        <v>0.1</v>
      </c>
      <c r="N3885" t="s">
        <v>29</v>
      </c>
      <c r="O3885" s="2">
        <v>94.45</v>
      </c>
      <c r="P3885" s="2">
        <v>57.15</v>
      </c>
      <c r="Q3885" s="2">
        <v>37.299999999999997</v>
      </c>
      <c r="R3885">
        <v>1</v>
      </c>
      <c r="S3885">
        <v>0</v>
      </c>
      <c r="T3885">
        <v>3</v>
      </c>
      <c r="U3885">
        <v>4</v>
      </c>
    </row>
    <row r="3886" spans="1:21" ht="16.5" x14ac:dyDescent="0.3">
      <c r="A3886" t="s">
        <v>3974</v>
      </c>
      <c r="B3886" s="1">
        <v>45863</v>
      </c>
      <c r="C3886">
        <v>2025</v>
      </c>
      <c r="D3886" t="s">
        <v>1187</v>
      </c>
      <c r="E3886" t="s">
        <v>1188</v>
      </c>
      <c r="F3886" t="s">
        <v>24</v>
      </c>
      <c r="G3886" t="s">
        <v>25</v>
      </c>
      <c r="H3886" t="s">
        <v>32</v>
      </c>
      <c r="I3886" t="s">
        <v>70</v>
      </c>
      <c r="J3886" t="s">
        <v>162</v>
      </c>
      <c r="K3886">
        <v>1</v>
      </c>
      <c r="L3886" s="2">
        <v>636.09</v>
      </c>
      <c r="M3886" s="3">
        <v>0</v>
      </c>
      <c r="N3886" t="s">
        <v>38</v>
      </c>
      <c r="O3886" s="2">
        <v>636.09</v>
      </c>
      <c r="P3886" s="2">
        <v>502.45</v>
      </c>
      <c r="Q3886" s="2">
        <v>133.63999999999999</v>
      </c>
      <c r="R3886">
        <v>1</v>
      </c>
      <c r="S3886">
        <v>0</v>
      </c>
      <c r="T3886">
        <v>4</v>
      </c>
      <c r="U3886">
        <v>4</v>
      </c>
    </row>
    <row r="3887" spans="1:21" ht="16.5" x14ac:dyDescent="0.3">
      <c r="A3887" t="s">
        <v>3975</v>
      </c>
      <c r="B3887" s="1">
        <v>45863</v>
      </c>
      <c r="C3887">
        <v>2025</v>
      </c>
      <c r="D3887" t="s">
        <v>1187</v>
      </c>
      <c r="E3887" t="s">
        <v>1188</v>
      </c>
      <c r="F3887" t="s">
        <v>31</v>
      </c>
      <c r="G3887" t="s">
        <v>49</v>
      </c>
      <c r="H3887" t="s">
        <v>32</v>
      </c>
      <c r="I3887" t="s">
        <v>42</v>
      </c>
      <c r="J3887" t="s">
        <v>76</v>
      </c>
      <c r="K3887">
        <v>2</v>
      </c>
      <c r="L3887" s="2">
        <v>90.75</v>
      </c>
      <c r="M3887" s="3">
        <v>0.1</v>
      </c>
      <c r="N3887" t="s">
        <v>29</v>
      </c>
      <c r="O3887" s="2">
        <v>163.35</v>
      </c>
      <c r="P3887" s="2">
        <v>119.99</v>
      </c>
      <c r="Q3887" s="2">
        <v>43.36</v>
      </c>
      <c r="R3887">
        <v>1</v>
      </c>
      <c r="S3887">
        <v>0</v>
      </c>
      <c r="T3887">
        <v>4</v>
      </c>
      <c r="U3887">
        <v>5</v>
      </c>
    </row>
    <row r="3888" spans="1:21" ht="16.5" x14ac:dyDescent="0.3">
      <c r="A3888" t="s">
        <v>3976</v>
      </c>
      <c r="B3888" s="1">
        <v>45863</v>
      </c>
      <c r="C3888">
        <v>2025</v>
      </c>
      <c r="D3888" t="s">
        <v>1187</v>
      </c>
      <c r="E3888" t="s">
        <v>1188</v>
      </c>
      <c r="F3888" t="s">
        <v>31</v>
      </c>
      <c r="G3888" t="s">
        <v>65</v>
      </c>
      <c r="H3888" t="s">
        <v>32</v>
      </c>
      <c r="I3888" t="s">
        <v>42</v>
      </c>
      <c r="J3888" t="s">
        <v>43</v>
      </c>
      <c r="K3888">
        <v>1</v>
      </c>
      <c r="L3888" s="2">
        <v>154.66</v>
      </c>
      <c r="M3888" s="3">
        <v>0.2</v>
      </c>
      <c r="N3888" t="s">
        <v>34</v>
      </c>
      <c r="O3888" s="2">
        <v>123.73</v>
      </c>
      <c r="P3888" s="2">
        <v>99.79</v>
      </c>
      <c r="Q3888" s="2">
        <v>23.94</v>
      </c>
      <c r="R3888">
        <v>1</v>
      </c>
      <c r="S3888">
        <v>0</v>
      </c>
      <c r="T3888">
        <v>6</v>
      </c>
      <c r="U3888">
        <v>3</v>
      </c>
    </row>
    <row r="3889" spans="1:21" ht="16.5" x14ac:dyDescent="0.3">
      <c r="A3889" t="s">
        <v>3977</v>
      </c>
      <c r="B3889" s="1">
        <v>45864</v>
      </c>
      <c r="C3889">
        <v>2025</v>
      </c>
      <c r="D3889" t="s">
        <v>1187</v>
      </c>
      <c r="E3889" t="s">
        <v>1188</v>
      </c>
      <c r="F3889" t="s">
        <v>31</v>
      </c>
      <c r="G3889" t="s">
        <v>51</v>
      </c>
      <c r="H3889" t="s">
        <v>32</v>
      </c>
      <c r="I3889" t="s">
        <v>67</v>
      </c>
      <c r="J3889" t="s">
        <v>93</v>
      </c>
      <c r="K3889">
        <v>1</v>
      </c>
      <c r="L3889" s="2">
        <v>198.42</v>
      </c>
      <c r="M3889" s="3">
        <v>0.25</v>
      </c>
      <c r="N3889" t="s">
        <v>62</v>
      </c>
      <c r="O3889" s="2">
        <v>148.82</v>
      </c>
      <c r="P3889" s="2">
        <v>131.09</v>
      </c>
      <c r="Q3889" s="2">
        <v>17.73</v>
      </c>
      <c r="R3889">
        <v>1</v>
      </c>
      <c r="S3889">
        <v>0</v>
      </c>
      <c r="T3889">
        <v>4</v>
      </c>
      <c r="U3889">
        <v>5</v>
      </c>
    </row>
    <row r="3890" spans="1:21" ht="16.5" x14ac:dyDescent="0.3">
      <c r="A3890" t="s">
        <v>3978</v>
      </c>
      <c r="B3890" s="1">
        <v>45864</v>
      </c>
      <c r="C3890">
        <v>2025</v>
      </c>
      <c r="D3890" t="s">
        <v>1187</v>
      </c>
      <c r="E3890" t="s">
        <v>1188</v>
      </c>
      <c r="F3890" t="s">
        <v>24</v>
      </c>
      <c r="G3890" t="s">
        <v>25</v>
      </c>
      <c r="H3890" t="s">
        <v>32</v>
      </c>
      <c r="I3890" t="s">
        <v>36</v>
      </c>
      <c r="J3890" t="s">
        <v>37</v>
      </c>
      <c r="K3890">
        <v>1</v>
      </c>
      <c r="L3890" s="2">
        <v>33.18</v>
      </c>
      <c r="M3890" s="3">
        <v>0.1</v>
      </c>
      <c r="N3890" t="s">
        <v>29</v>
      </c>
      <c r="O3890" s="2">
        <v>29.86</v>
      </c>
      <c r="P3890" s="2">
        <v>16</v>
      </c>
      <c r="Q3890" s="2">
        <v>13.86</v>
      </c>
      <c r="R3890">
        <v>1</v>
      </c>
      <c r="S3890">
        <v>0</v>
      </c>
      <c r="T3890">
        <v>3</v>
      </c>
      <c r="U3890">
        <v>5</v>
      </c>
    </row>
    <row r="3891" spans="1:21" ht="16.5" x14ac:dyDescent="0.3">
      <c r="A3891" t="s">
        <v>3979</v>
      </c>
      <c r="B3891" s="1">
        <v>45864</v>
      </c>
      <c r="C3891">
        <v>2025</v>
      </c>
      <c r="D3891" t="s">
        <v>1187</v>
      </c>
      <c r="E3891" t="s">
        <v>1188</v>
      </c>
      <c r="F3891" t="s">
        <v>45</v>
      </c>
      <c r="G3891" t="s">
        <v>51</v>
      </c>
      <c r="H3891" t="s">
        <v>32</v>
      </c>
      <c r="I3891" t="s">
        <v>42</v>
      </c>
      <c r="J3891" t="s">
        <v>76</v>
      </c>
      <c r="K3891">
        <v>1</v>
      </c>
      <c r="L3891" s="2">
        <v>90.75</v>
      </c>
      <c r="M3891" s="3">
        <v>0.2</v>
      </c>
      <c r="N3891" t="s">
        <v>34</v>
      </c>
      <c r="O3891" s="2">
        <v>72.599999999999994</v>
      </c>
      <c r="P3891" s="2">
        <v>62.65</v>
      </c>
      <c r="Q3891" s="2">
        <v>9.9499999999999993</v>
      </c>
      <c r="R3891">
        <v>1</v>
      </c>
      <c r="S3891">
        <v>0</v>
      </c>
      <c r="T3891">
        <v>2</v>
      </c>
      <c r="U3891">
        <v>5</v>
      </c>
    </row>
    <row r="3892" spans="1:21" ht="16.5" x14ac:dyDescent="0.3">
      <c r="A3892" t="s">
        <v>3980</v>
      </c>
      <c r="B3892" s="1">
        <v>45864</v>
      </c>
      <c r="C3892">
        <v>2025</v>
      </c>
      <c r="D3892" t="s">
        <v>1187</v>
      </c>
      <c r="E3892" t="s">
        <v>1188</v>
      </c>
      <c r="F3892" t="s">
        <v>24</v>
      </c>
      <c r="G3892" t="s">
        <v>51</v>
      </c>
      <c r="H3892" t="s">
        <v>32</v>
      </c>
      <c r="I3892" t="s">
        <v>70</v>
      </c>
      <c r="J3892" t="s">
        <v>252</v>
      </c>
      <c r="K3892">
        <v>4</v>
      </c>
      <c r="L3892" s="2">
        <v>216.08</v>
      </c>
      <c r="M3892" s="3">
        <v>0.05</v>
      </c>
      <c r="N3892" t="s">
        <v>29</v>
      </c>
      <c r="O3892" s="2">
        <v>821.1</v>
      </c>
      <c r="P3892" s="2">
        <v>723.59</v>
      </c>
      <c r="Q3892" s="2">
        <v>97.51</v>
      </c>
      <c r="R3892">
        <v>1</v>
      </c>
      <c r="S3892">
        <v>0</v>
      </c>
      <c r="T3892">
        <v>4</v>
      </c>
      <c r="U3892">
        <v>4</v>
      </c>
    </row>
    <row r="3893" spans="1:21" ht="16.5" x14ac:dyDescent="0.3">
      <c r="A3893" t="s">
        <v>3981</v>
      </c>
      <c r="B3893" s="1">
        <v>45864</v>
      </c>
      <c r="C3893">
        <v>2025</v>
      </c>
      <c r="D3893" t="s">
        <v>1187</v>
      </c>
      <c r="E3893" t="s">
        <v>1188</v>
      </c>
      <c r="F3893" t="s">
        <v>45</v>
      </c>
      <c r="G3893" t="s">
        <v>51</v>
      </c>
      <c r="H3893" t="s">
        <v>32</v>
      </c>
      <c r="I3893" t="s">
        <v>70</v>
      </c>
      <c r="J3893" t="s">
        <v>71</v>
      </c>
      <c r="K3893">
        <v>2</v>
      </c>
      <c r="L3893" s="2">
        <v>588.41</v>
      </c>
      <c r="M3893" s="3">
        <v>0</v>
      </c>
      <c r="N3893" t="s">
        <v>38</v>
      </c>
      <c r="O3893" s="2">
        <v>1176.82</v>
      </c>
      <c r="P3893" s="2">
        <v>966.16</v>
      </c>
      <c r="Q3893" s="2">
        <v>210.66</v>
      </c>
      <c r="R3893">
        <v>1</v>
      </c>
      <c r="S3893">
        <v>0</v>
      </c>
      <c r="T3893">
        <v>4</v>
      </c>
      <c r="U3893">
        <v>4</v>
      </c>
    </row>
    <row r="3894" spans="1:21" ht="16.5" x14ac:dyDescent="0.3">
      <c r="A3894" t="s">
        <v>3982</v>
      </c>
      <c r="B3894" s="1">
        <v>45864</v>
      </c>
      <c r="C3894">
        <v>2025</v>
      </c>
      <c r="D3894" t="s">
        <v>1187</v>
      </c>
      <c r="E3894" t="s">
        <v>1188</v>
      </c>
      <c r="F3894" t="s">
        <v>31</v>
      </c>
      <c r="G3894" t="s">
        <v>49</v>
      </c>
      <c r="H3894" t="s">
        <v>32</v>
      </c>
      <c r="I3894" t="s">
        <v>27</v>
      </c>
      <c r="J3894" t="s">
        <v>110</v>
      </c>
      <c r="K3894">
        <v>1</v>
      </c>
      <c r="L3894" s="2">
        <v>19.41</v>
      </c>
      <c r="M3894" s="3">
        <v>0.15</v>
      </c>
      <c r="N3894" t="s">
        <v>34</v>
      </c>
      <c r="O3894" s="2">
        <v>16.5</v>
      </c>
      <c r="P3894" s="2">
        <v>10.71</v>
      </c>
      <c r="Q3894" s="2">
        <v>5.79</v>
      </c>
      <c r="R3894">
        <v>1</v>
      </c>
      <c r="S3894">
        <v>0</v>
      </c>
      <c r="T3894">
        <v>4</v>
      </c>
      <c r="U3894">
        <v>5</v>
      </c>
    </row>
    <row r="3895" spans="1:21" ht="16.5" x14ac:dyDescent="0.3">
      <c r="A3895" t="s">
        <v>3983</v>
      </c>
      <c r="B3895" s="1">
        <v>45864</v>
      </c>
      <c r="C3895">
        <v>2025</v>
      </c>
      <c r="D3895" t="s">
        <v>1187</v>
      </c>
      <c r="E3895" t="s">
        <v>1188</v>
      </c>
      <c r="F3895" t="s">
        <v>24</v>
      </c>
      <c r="G3895" t="s">
        <v>51</v>
      </c>
      <c r="H3895" t="s">
        <v>26</v>
      </c>
      <c r="I3895" t="s">
        <v>27</v>
      </c>
      <c r="J3895" t="s">
        <v>33</v>
      </c>
      <c r="K3895">
        <v>1</v>
      </c>
      <c r="L3895" s="2">
        <v>78.510000000000005</v>
      </c>
      <c r="M3895" s="3">
        <v>0.1</v>
      </c>
      <c r="N3895" t="s">
        <v>29</v>
      </c>
      <c r="O3895" s="2">
        <v>70.66</v>
      </c>
      <c r="P3895" s="2">
        <v>43.01</v>
      </c>
      <c r="Q3895" s="2">
        <v>27.65</v>
      </c>
      <c r="R3895">
        <v>1</v>
      </c>
      <c r="S3895">
        <v>0</v>
      </c>
      <c r="T3895">
        <v>2</v>
      </c>
      <c r="U3895">
        <v>5</v>
      </c>
    </row>
    <row r="3896" spans="1:21" ht="16.5" x14ac:dyDescent="0.3">
      <c r="A3896" t="s">
        <v>3984</v>
      </c>
      <c r="B3896" s="1">
        <v>45864</v>
      </c>
      <c r="C3896">
        <v>2025</v>
      </c>
      <c r="D3896" t="s">
        <v>1187</v>
      </c>
      <c r="E3896" t="s">
        <v>1188</v>
      </c>
      <c r="F3896" t="s">
        <v>24</v>
      </c>
      <c r="G3896" t="s">
        <v>51</v>
      </c>
      <c r="H3896" t="s">
        <v>32</v>
      </c>
      <c r="I3896" t="s">
        <v>67</v>
      </c>
      <c r="J3896" t="s">
        <v>93</v>
      </c>
      <c r="K3896">
        <v>4</v>
      </c>
      <c r="L3896" s="2">
        <v>198.42</v>
      </c>
      <c r="M3896" s="3">
        <v>0.3</v>
      </c>
      <c r="N3896" t="s">
        <v>62</v>
      </c>
      <c r="O3896" s="2">
        <v>555.58000000000004</v>
      </c>
      <c r="P3896" s="2">
        <v>536.35</v>
      </c>
      <c r="Q3896" s="2">
        <v>19.23</v>
      </c>
      <c r="R3896">
        <v>1</v>
      </c>
      <c r="S3896">
        <v>0</v>
      </c>
      <c r="T3896">
        <v>4</v>
      </c>
      <c r="U3896">
        <v>5</v>
      </c>
    </row>
    <row r="3897" spans="1:21" ht="16.5" x14ac:dyDescent="0.3">
      <c r="A3897" t="s">
        <v>3985</v>
      </c>
      <c r="B3897" s="1">
        <v>45865</v>
      </c>
      <c r="C3897">
        <v>2025</v>
      </c>
      <c r="D3897" t="s">
        <v>1187</v>
      </c>
      <c r="E3897" t="s">
        <v>1188</v>
      </c>
      <c r="F3897" t="s">
        <v>31</v>
      </c>
      <c r="G3897" t="s">
        <v>49</v>
      </c>
      <c r="H3897" t="s">
        <v>32</v>
      </c>
      <c r="I3897" t="s">
        <v>27</v>
      </c>
      <c r="J3897" t="s">
        <v>28</v>
      </c>
      <c r="K3897">
        <v>3</v>
      </c>
      <c r="L3897" s="2">
        <v>138.5</v>
      </c>
      <c r="M3897" s="3">
        <v>0.1</v>
      </c>
      <c r="N3897" t="s">
        <v>29</v>
      </c>
      <c r="O3897" s="2">
        <v>373.95</v>
      </c>
      <c r="P3897" s="2">
        <v>226.78</v>
      </c>
      <c r="Q3897" s="2">
        <v>147.16999999999999</v>
      </c>
      <c r="R3897">
        <v>1</v>
      </c>
      <c r="S3897">
        <v>0</v>
      </c>
      <c r="T3897">
        <v>5</v>
      </c>
      <c r="U3897">
        <v>4</v>
      </c>
    </row>
    <row r="3898" spans="1:21" ht="16.5" x14ac:dyDescent="0.3">
      <c r="A3898" t="s">
        <v>3986</v>
      </c>
      <c r="B3898" s="1">
        <v>45865</v>
      </c>
      <c r="C3898">
        <v>2025</v>
      </c>
      <c r="D3898" t="s">
        <v>1187</v>
      </c>
      <c r="E3898" t="s">
        <v>1188</v>
      </c>
      <c r="F3898" t="s">
        <v>45</v>
      </c>
      <c r="G3898" t="s">
        <v>49</v>
      </c>
      <c r="H3898" t="s">
        <v>32</v>
      </c>
      <c r="I3898" t="s">
        <v>42</v>
      </c>
      <c r="J3898" t="s">
        <v>43</v>
      </c>
      <c r="K3898">
        <v>1</v>
      </c>
      <c r="L3898" s="2">
        <v>154.66</v>
      </c>
      <c r="M3898" s="3">
        <v>0</v>
      </c>
      <c r="N3898" t="s">
        <v>38</v>
      </c>
      <c r="O3898" s="2">
        <v>154.66</v>
      </c>
      <c r="P3898" s="2">
        <v>100.94</v>
      </c>
      <c r="Q3898" s="2">
        <v>53.72</v>
      </c>
      <c r="R3898">
        <v>1</v>
      </c>
      <c r="S3898">
        <v>0</v>
      </c>
      <c r="T3898">
        <v>5</v>
      </c>
      <c r="U3898">
        <v>3</v>
      </c>
    </row>
    <row r="3899" spans="1:21" ht="16.5" x14ac:dyDescent="0.3">
      <c r="A3899" t="s">
        <v>3987</v>
      </c>
      <c r="B3899" s="1">
        <v>45865</v>
      </c>
      <c r="C3899">
        <v>2025</v>
      </c>
      <c r="D3899" t="s">
        <v>1187</v>
      </c>
      <c r="E3899" t="s">
        <v>1188</v>
      </c>
      <c r="F3899" t="s">
        <v>45</v>
      </c>
      <c r="G3899" t="s">
        <v>46</v>
      </c>
      <c r="H3899" t="s">
        <v>26</v>
      </c>
      <c r="I3899" t="s">
        <v>67</v>
      </c>
      <c r="J3899" t="s">
        <v>93</v>
      </c>
      <c r="K3899">
        <v>2</v>
      </c>
      <c r="L3899" s="2">
        <v>198.42</v>
      </c>
      <c r="M3899" s="3">
        <v>0</v>
      </c>
      <c r="N3899" t="s">
        <v>38</v>
      </c>
      <c r="O3899" s="2">
        <v>396.84</v>
      </c>
      <c r="P3899" s="2">
        <v>258.08</v>
      </c>
      <c r="Q3899" s="2">
        <v>138.76</v>
      </c>
      <c r="R3899">
        <v>1</v>
      </c>
      <c r="S3899">
        <v>0</v>
      </c>
      <c r="T3899">
        <v>6</v>
      </c>
      <c r="U3899">
        <v>2</v>
      </c>
    </row>
    <row r="3900" spans="1:21" ht="16.5" x14ac:dyDescent="0.3">
      <c r="A3900" t="s">
        <v>3988</v>
      </c>
      <c r="B3900" s="1">
        <v>45865</v>
      </c>
      <c r="C3900">
        <v>2025</v>
      </c>
      <c r="D3900" t="s">
        <v>1187</v>
      </c>
      <c r="E3900" t="s">
        <v>1188</v>
      </c>
      <c r="F3900" t="s">
        <v>31</v>
      </c>
      <c r="G3900" t="s">
        <v>25</v>
      </c>
      <c r="H3900" t="s">
        <v>32</v>
      </c>
      <c r="I3900" t="s">
        <v>27</v>
      </c>
      <c r="J3900" t="s">
        <v>40</v>
      </c>
      <c r="K3900">
        <v>2</v>
      </c>
      <c r="L3900" s="2">
        <v>104.94</v>
      </c>
      <c r="M3900" s="3">
        <v>0.05</v>
      </c>
      <c r="N3900" t="s">
        <v>29</v>
      </c>
      <c r="O3900" s="2">
        <v>199.39</v>
      </c>
      <c r="P3900" s="2">
        <v>114.95</v>
      </c>
      <c r="Q3900" s="2">
        <v>84.44</v>
      </c>
      <c r="R3900">
        <v>1</v>
      </c>
      <c r="S3900">
        <v>0</v>
      </c>
      <c r="T3900">
        <v>6</v>
      </c>
      <c r="U3900">
        <v>4</v>
      </c>
    </row>
    <row r="3901" spans="1:21" ht="16.5" x14ac:dyDescent="0.3">
      <c r="A3901" t="s">
        <v>3989</v>
      </c>
      <c r="B3901" s="1">
        <v>45865</v>
      </c>
      <c r="C3901">
        <v>2025</v>
      </c>
      <c r="D3901" t="s">
        <v>1187</v>
      </c>
      <c r="E3901" t="s">
        <v>1188</v>
      </c>
      <c r="F3901" t="s">
        <v>24</v>
      </c>
      <c r="G3901" t="s">
        <v>25</v>
      </c>
      <c r="H3901" t="s">
        <v>26</v>
      </c>
      <c r="I3901" t="s">
        <v>70</v>
      </c>
      <c r="J3901" t="s">
        <v>82</v>
      </c>
      <c r="K3901">
        <v>1</v>
      </c>
      <c r="L3901" s="2">
        <v>508.8</v>
      </c>
      <c r="M3901" s="3">
        <v>0.05</v>
      </c>
      <c r="N3901" t="s">
        <v>29</v>
      </c>
      <c r="O3901" s="2">
        <v>483.36</v>
      </c>
      <c r="P3901" s="2">
        <v>400.94</v>
      </c>
      <c r="Q3901" s="2">
        <v>82.42</v>
      </c>
      <c r="R3901">
        <v>1</v>
      </c>
      <c r="S3901">
        <v>0</v>
      </c>
      <c r="T3901">
        <v>4</v>
      </c>
      <c r="U3901">
        <v>3</v>
      </c>
    </row>
    <row r="3902" spans="1:21" ht="16.5" x14ac:dyDescent="0.3">
      <c r="A3902" t="s">
        <v>3990</v>
      </c>
      <c r="B3902" s="1">
        <v>45865</v>
      </c>
      <c r="C3902">
        <v>2025</v>
      </c>
      <c r="D3902" t="s">
        <v>1187</v>
      </c>
      <c r="E3902" t="s">
        <v>1188</v>
      </c>
      <c r="F3902" t="s">
        <v>31</v>
      </c>
      <c r="G3902" t="s">
        <v>25</v>
      </c>
      <c r="H3902" t="s">
        <v>32</v>
      </c>
      <c r="I3902" t="s">
        <v>70</v>
      </c>
      <c r="J3902" t="s">
        <v>162</v>
      </c>
      <c r="K3902">
        <v>1</v>
      </c>
      <c r="L3902" s="2">
        <v>636.09</v>
      </c>
      <c r="M3902" s="3">
        <v>0.1</v>
      </c>
      <c r="N3902" t="s">
        <v>29</v>
      </c>
      <c r="O3902" s="2">
        <v>572.48</v>
      </c>
      <c r="P3902" s="2">
        <v>507.23</v>
      </c>
      <c r="Q3902" s="2">
        <v>65.25</v>
      </c>
      <c r="R3902">
        <v>1</v>
      </c>
      <c r="S3902">
        <v>0</v>
      </c>
      <c r="T3902">
        <v>5</v>
      </c>
      <c r="U3902">
        <v>4</v>
      </c>
    </row>
    <row r="3903" spans="1:21" ht="16.5" x14ac:dyDescent="0.3">
      <c r="A3903" t="s">
        <v>3991</v>
      </c>
      <c r="B3903" s="1">
        <v>45865</v>
      </c>
      <c r="C3903">
        <v>2025</v>
      </c>
      <c r="D3903" t="s">
        <v>1187</v>
      </c>
      <c r="E3903" t="s">
        <v>1188</v>
      </c>
      <c r="F3903" t="s">
        <v>31</v>
      </c>
      <c r="G3903" t="s">
        <v>49</v>
      </c>
      <c r="H3903" t="s">
        <v>32</v>
      </c>
      <c r="I3903" t="s">
        <v>42</v>
      </c>
      <c r="J3903" t="s">
        <v>76</v>
      </c>
      <c r="K3903">
        <v>1</v>
      </c>
      <c r="L3903" s="2">
        <v>90.75</v>
      </c>
      <c r="M3903" s="3">
        <v>0.05</v>
      </c>
      <c r="N3903" t="s">
        <v>29</v>
      </c>
      <c r="O3903" s="2">
        <v>86.21</v>
      </c>
      <c r="P3903" s="2">
        <v>57.66</v>
      </c>
      <c r="Q3903" s="2">
        <v>28.55</v>
      </c>
      <c r="R3903">
        <v>1</v>
      </c>
      <c r="S3903">
        <v>0</v>
      </c>
      <c r="T3903">
        <v>3</v>
      </c>
      <c r="U3903">
        <v>4</v>
      </c>
    </row>
    <row r="3904" spans="1:21" ht="16.5" x14ac:dyDescent="0.3">
      <c r="A3904" t="s">
        <v>3992</v>
      </c>
      <c r="B3904" s="1">
        <v>45866</v>
      </c>
      <c r="C3904">
        <v>2025</v>
      </c>
      <c r="D3904" t="s">
        <v>1187</v>
      </c>
      <c r="E3904" t="s">
        <v>1188</v>
      </c>
      <c r="F3904" t="s">
        <v>24</v>
      </c>
      <c r="G3904" t="s">
        <v>51</v>
      </c>
      <c r="H3904" t="s">
        <v>32</v>
      </c>
      <c r="I3904" t="s">
        <v>70</v>
      </c>
      <c r="J3904" t="s">
        <v>71</v>
      </c>
      <c r="K3904">
        <v>1</v>
      </c>
      <c r="L3904" s="2">
        <v>588.41</v>
      </c>
      <c r="M3904" s="3">
        <v>0</v>
      </c>
      <c r="N3904" t="s">
        <v>38</v>
      </c>
      <c r="O3904" s="2">
        <v>588.41</v>
      </c>
      <c r="P3904" s="2">
        <v>447.26</v>
      </c>
      <c r="Q3904" s="2">
        <v>141.15</v>
      </c>
      <c r="R3904">
        <v>1</v>
      </c>
      <c r="S3904">
        <v>0</v>
      </c>
      <c r="T3904">
        <v>5</v>
      </c>
      <c r="U3904">
        <v>5</v>
      </c>
    </row>
    <row r="3905" spans="1:21" ht="16.5" x14ac:dyDescent="0.3">
      <c r="A3905" t="s">
        <v>3993</v>
      </c>
      <c r="B3905" s="1">
        <v>45866</v>
      </c>
      <c r="C3905">
        <v>2025</v>
      </c>
      <c r="D3905" t="s">
        <v>1187</v>
      </c>
      <c r="E3905" t="s">
        <v>1188</v>
      </c>
      <c r="F3905" t="s">
        <v>24</v>
      </c>
      <c r="G3905" t="s">
        <v>25</v>
      </c>
      <c r="H3905" t="s">
        <v>26</v>
      </c>
      <c r="I3905" t="s">
        <v>70</v>
      </c>
      <c r="J3905" t="s">
        <v>87</v>
      </c>
      <c r="K3905">
        <v>1</v>
      </c>
      <c r="L3905" s="2">
        <v>490.3</v>
      </c>
      <c r="M3905" s="3">
        <v>0</v>
      </c>
      <c r="N3905" t="s">
        <v>38</v>
      </c>
      <c r="O3905" s="2">
        <v>490.3</v>
      </c>
      <c r="P3905" s="2">
        <v>379.73</v>
      </c>
      <c r="Q3905" s="2">
        <v>110.57</v>
      </c>
      <c r="R3905">
        <v>1</v>
      </c>
      <c r="S3905">
        <v>0</v>
      </c>
      <c r="T3905">
        <v>3</v>
      </c>
      <c r="U3905">
        <v>4</v>
      </c>
    </row>
    <row r="3906" spans="1:21" ht="16.5" x14ac:dyDescent="0.3">
      <c r="A3906" t="s">
        <v>3994</v>
      </c>
      <c r="B3906" s="1">
        <v>45866</v>
      </c>
      <c r="C3906">
        <v>2025</v>
      </c>
      <c r="D3906" t="s">
        <v>1187</v>
      </c>
      <c r="E3906" t="s">
        <v>1188</v>
      </c>
      <c r="F3906" t="s">
        <v>45</v>
      </c>
      <c r="G3906" t="s">
        <v>49</v>
      </c>
      <c r="H3906" t="s">
        <v>26</v>
      </c>
      <c r="I3906" t="s">
        <v>67</v>
      </c>
      <c r="J3906" t="s">
        <v>68</v>
      </c>
      <c r="K3906">
        <v>1</v>
      </c>
      <c r="L3906" s="2">
        <v>74.459999999999994</v>
      </c>
      <c r="M3906" s="3">
        <v>0.05</v>
      </c>
      <c r="N3906" t="s">
        <v>29</v>
      </c>
      <c r="O3906" s="2">
        <v>70.739999999999995</v>
      </c>
      <c r="P3906" s="2">
        <v>49.9</v>
      </c>
      <c r="Q3906" s="2">
        <v>20.84</v>
      </c>
      <c r="R3906">
        <v>1</v>
      </c>
      <c r="S3906">
        <v>0</v>
      </c>
      <c r="T3906">
        <v>5</v>
      </c>
      <c r="U3906">
        <v>5</v>
      </c>
    </row>
    <row r="3907" spans="1:21" ht="16.5" x14ac:dyDescent="0.3">
      <c r="A3907" t="s">
        <v>3995</v>
      </c>
      <c r="B3907" s="1">
        <v>45866</v>
      </c>
      <c r="C3907">
        <v>2025</v>
      </c>
      <c r="D3907" t="s">
        <v>1187</v>
      </c>
      <c r="E3907" t="s">
        <v>1188</v>
      </c>
      <c r="F3907" t="s">
        <v>24</v>
      </c>
      <c r="G3907" t="s">
        <v>49</v>
      </c>
      <c r="H3907" t="s">
        <v>26</v>
      </c>
      <c r="I3907" t="s">
        <v>42</v>
      </c>
      <c r="J3907" t="s">
        <v>43</v>
      </c>
      <c r="K3907">
        <v>1</v>
      </c>
      <c r="L3907" s="2">
        <v>154.66</v>
      </c>
      <c r="M3907" s="3">
        <v>0.1</v>
      </c>
      <c r="N3907" t="s">
        <v>29</v>
      </c>
      <c r="O3907" s="2">
        <v>139.19</v>
      </c>
      <c r="P3907" s="2">
        <v>101.32</v>
      </c>
      <c r="Q3907" s="2">
        <v>37.869999999999997</v>
      </c>
      <c r="R3907">
        <v>1</v>
      </c>
      <c r="S3907">
        <v>0</v>
      </c>
      <c r="T3907">
        <v>3</v>
      </c>
      <c r="U3907">
        <v>4</v>
      </c>
    </row>
    <row r="3908" spans="1:21" ht="16.5" x14ac:dyDescent="0.3">
      <c r="A3908" t="s">
        <v>3996</v>
      </c>
      <c r="B3908" s="1">
        <v>45866</v>
      </c>
      <c r="C3908">
        <v>2025</v>
      </c>
      <c r="D3908" t="s">
        <v>1187</v>
      </c>
      <c r="E3908" t="s">
        <v>1188</v>
      </c>
      <c r="F3908" t="s">
        <v>45</v>
      </c>
      <c r="G3908" t="s">
        <v>51</v>
      </c>
      <c r="H3908" t="s">
        <v>32</v>
      </c>
      <c r="I3908" t="s">
        <v>36</v>
      </c>
      <c r="J3908" t="s">
        <v>126</v>
      </c>
      <c r="K3908">
        <v>4</v>
      </c>
      <c r="L3908" s="2">
        <v>54.56</v>
      </c>
      <c r="M3908" s="3">
        <v>0.15</v>
      </c>
      <c r="N3908" t="s">
        <v>34</v>
      </c>
      <c r="O3908" s="2">
        <v>185.5</v>
      </c>
      <c r="P3908" s="2">
        <v>103.14</v>
      </c>
      <c r="Q3908" s="2">
        <v>82.36</v>
      </c>
      <c r="R3908">
        <v>1</v>
      </c>
      <c r="S3908">
        <v>0</v>
      </c>
      <c r="T3908">
        <v>2</v>
      </c>
      <c r="U3908">
        <v>4</v>
      </c>
    </row>
    <row r="3909" spans="1:21" ht="16.5" x14ac:dyDescent="0.3">
      <c r="A3909" t="s">
        <v>3997</v>
      </c>
      <c r="B3909" s="1">
        <v>45866</v>
      </c>
      <c r="C3909">
        <v>2025</v>
      </c>
      <c r="D3909" t="s">
        <v>1187</v>
      </c>
      <c r="E3909" t="s">
        <v>1188</v>
      </c>
      <c r="F3909" t="s">
        <v>24</v>
      </c>
      <c r="G3909" t="s">
        <v>25</v>
      </c>
      <c r="H3909" t="s">
        <v>26</v>
      </c>
      <c r="I3909" t="s">
        <v>27</v>
      </c>
      <c r="J3909" t="s">
        <v>110</v>
      </c>
      <c r="K3909">
        <v>1</v>
      </c>
      <c r="L3909" s="2">
        <v>19.41</v>
      </c>
      <c r="M3909" s="3">
        <v>0.15</v>
      </c>
      <c r="N3909" t="s">
        <v>34</v>
      </c>
      <c r="O3909" s="2">
        <v>16.5</v>
      </c>
      <c r="P3909" s="2">
        <v>10.85</v>
      </c>
      <c r="Q3909" s="2">
        <v>5.65</v>
      </c>
      <c r="R3909">
        <v>1</v>
      </c>
      <c r="S3909">
        <v>0</v>
      </c>
      <c r="T3909">
        <v>4</v>
      </c>
      <c r="U3909">
        <v>5</v>
      </c>
    </row>
    <row r="3910" spans="1:21" ht="16.5" x14ac:dyDescent="0.3">
      <c r="A3910" t="s">
        <v>3998</v>
      </c>
      <c r="B3910" s="1">
        <v>45866</v>
      </c>
      <c r="C3910">
        <v>2025</v>
      </c>
      <c r="D3910" t="s">
        <v>1187</v>
      </c>
      <c r="E3910" t="s">
        <v>1188</v>
      </c>
      <c r="F3910" t="s">
        <v>24</v>
      </c>
      <c r="G3910" t="s">
        <v>65</v>
      </c>
      <c r="H3910" t="s">
        <v>32</v>
      </c>
      <c r="I3910" t="s">
        <v>67</v>
      </c>
      <c r="J3910" t="s">
        <v>93</v>
      </c>
      <c r="K3910">
        <v>1</v>
      </c>
      <c r="L3910" s="2">
        <v>198.42</v>
      </c>
      <c r="M3910" s="3">
        <v>0.05</v>
      </c>
      <c r="N3910" t="s">
        <v>29</v>
      </c>
      <c r="O3910" s="2">
        <v>188.5</v>
      </c>
      <c r="P3910" s="2">
        <v>137.66999999999999</v>
      </c>
      <c r="Q3910" s="2">
        <v>50.83</v>
      </c>
      <c r="R3910">
        <v>1</v>
      </c>
      <c r="S3910">
        <v>0</v>
      </c>
      <c r="T3910">
        <v>5</v>
      </c>
      <c r="U3910">
        <v>5</v>
      </c>
    </row>
    <row r="3911" spans="1:21" ht="16.5" x14ac:dyDescent="0.3">
      <c r="A3911" t="s">
        <v>3999</v>
      </c>
      <c r="B3911" s="1">
        <v>45866</v>
      </c>
      <c r="C3911">
        <v>2025</v>
      </c>
      <c r="D3911" t="s">
        <v>1187</v>
      </c>
      <c r="E3911" t="s">
        <v>1188</v>
      </c>
      <c r="F3911" t="s">
        <v>24</v>
      </c>
      <c r="G3911" t="s">
        <v>65</v>
      </c>
      <c r="H3911" t="s">
        <v>26</v>
      </c>
      <c r="I3911" t="s">
        <v>67</v>
      </c>
      <c r="J3911" t="s">
        <v>93</v>
      </c>
      <c r="K3911">
        <v>4</v>
      </c>
      <c r="L3911" s="2">
        <v>198.42</v>
      </c>
      <c r="M3911" s="3">
        <v>0</v>
      </c>
      <c r="N3911" t="s">
        <v>38</v>
      </c>
      <c r="O3911" s="2">
        <v>793.68</v>
      </c>
      <c r="P3911" s="2">
        <v>518.58000000000004</v>
      </c>
      <c r="Q3911" s="2">
        <v>275.10000000000002</v>
      </c>
      <c r="R3911">
        <v>1</v>
      </c>
      <c r="S3911">
        <v>0</v>
      </c>
      <c r="T3911">
        <v>6</v>
      </c>
      <c r="U3911">
        <v>2</v>
      </c>
    </row>
    <row r="3912" spans="1:21" ht="16.5" x14ac:dyDescent="0.3">
      <c r="A3912" t="s">
        <v>4000</v>
      </c>
      <c r="B3912" s="1">
        <v>45867</v>
      </c>
      <c r="C3912">
        <v>2025</v>
      </c>
      <c r="D3912" t="s">
        <v>1187</v>
      </c>
      <c r="E3912" t="s">
        <v>1188</v>
      </c>
      <c r="F3912" t="s">
        <v>24</v>
      </c>
      <c r="G3912" t="s">
        <v>51</v>
      </c>
      <c r="H3912" t="s">
        <v>26</v>
      </c>
      <c r="I3912" t="s">
        <v>70</v>
      </c>
      <c r="J3912" t="s">
        <v>87</v>
      </c>
      <c r="K3912">
        <v>1</v>
      </c>
      <c r="L3912" s="2">
        <v>490.3</v>
      </c>
      <c r="M3912" s="3">
        <v>0</v>
      </c>
      <c r="N3912" t="s">
        <v>38</v>
      </c>
      <c r="O3912" s="2">
        <v>490.3</v>
      </c>
      <c r="P3912" s="2">
        <v>393.37</v>
      </c>
      <c r="Q3912" s="2">
        <v>96.93</v>
      </c>
      <c r="R3912">
        <v>1</v>
      </c>
      <c r="S3912">
        <v>0</v>
      </c>
      <c r="T3912">
        <v>6</v>
      </c>
      <c r="U3912">
        <v>4</v>
      </c>
    </row>
    <row r="3913" spans="1:21" ht="16.5" x14ac:dyDescent="0.3">
      <c r="A3913" t="s">
        <v>4001</v>
      </c>
      <c r="B3913" s="1">
        <v>45867</v>
      </c>
      <c r="C3913">
        <v>2025</v>
      </c>
      <c r="D3913" t="s">
        <v>1187</v>
      </c>
      <c r="E3913" t="s">
        <v>1188</v>
      </c>
      <c r="F3913" t="s">
        <v>24</v>
      </c>
      <c r="G3913" t="s">
        <v>51</v>
      </c>
      <c r="H3913" t="s">
        <v>32</v>
      </c>
      <c r="I3913" t="s">
        <v>27</v>
      </c>
      <c r="J3913" t="s">
        <v>40</v>
      </c>
      <c r="K3913">
        <v>1</v>
      </c>
      <c r="L3913" s="2">
        <v>104.94</v>
      </c>
      <c r="M3913" s="3">
        <v>0</v>
      </c>
      <c r="N3913" t="s">
        <v>38</v>
      </c>
      <c r="O3913" s="2">
        <v>104.94</v>
      </c>
      <c r="P3913" s="2">
        <v>56.45</v>
      </c>
      <c r="Q3913" s="2">
        <v>48.49</v>
      </c>
      <c r="R3913">
        <v>1</v>
      </c>
      <c r="S3913">
        <v>1</v>
      </c>
      <c r="T3913">
        <v>3</v>
      </c>
      <c r="U3913">
        <v>4</v>
      </c>
    </row>
    <row r="3914" spans="1:21" ht="16.5" x14ac:dyDescent="0.3">
      <c r="A3914" t="s">
        <v>4002</v>
      </c>
      <c r="B3914" s="1">
        <v>45867</v>
      </c>
      <c r="C3914">
        <v>2025</v>
      </c>
      <c r="D3914" t="s">
        <v>1187</v>
      </c>
      <c r="E3914" t="s">
        <v>1188</v>
      </c>
      <c r="F3914" t="s">
        <v>24</v>
      </c>
      <c r="G3914" t="s">
        <v>65</v>
      </c>
      <c r="H3914" t="s">
        <v>32</v>
      </c>
      <c r="I3914" t="s">
        <v>27</v>
      </c>
      <c r="J3914" t="s">
        <v>33</v>
      </c>
      <c r="K3914">
        <v>1</v>
      </c>
      <c r="L3914" s="2">
        <v>78.510000000000005</v>
      </c>
      <c r="M3914" s="3">
        <v>0.2</v>
      </c>
      <c r="N3914" t="s">
        <v>34</v>
      </c>
      <c r="O3914" s="2">
        <v>62.81</v>
      </c>
      <c r="P3914" s="2">
        <v>42.71</v>
      </c>
      <c r="Q3914" s="2">
        <v>20.100000000000001</v>
      </c>
      <c r="R3914">
        <v>1</v>
      </c>
      <c r="S3914">
        <v>0</v>
      </c>
      <c r="T3914">
        <v>6</v>
      </c>
      <c r="U3914">
        <v>3</v>
      </c>
    </row>
    <row r="3915" spans="1:21" ht="16.5" x14ac:dyDescent="0.3">
      <c r="A3915" t="s">
        <v>4003</v>
      </c>
      <c r="B3915" s="1">
        <v>45868</v>
      </c>
      <c r="C3915">
        <v>2025</v>
      </c>
      <c r="D3915" t="s">
        <v>1187</v>
      </c>
      <c r="E3915" t="s">
        <v>1188</v>
      </c>
      <c r="F3915" t="s">
        <v>45</v>
      </c>
      <c r="G3915" t="s">
        <v>65</v>
      </c>
      <c r="H3915" t="s">
        <v>32</v>
      </c>
      <c r="I3915" t="s">
        <v>42</v>
      </c>
      <c r="J3915" t="s">
        <v>43</v>
      </c>
      <c r="K3915">
        <v>2</v>
      </c>
      <c r="L3915" s="2">
        <v>154.66</v>
      </c>
      <c r="M3915" s="3">
        <v>0</v>
      </c>
      <c r="N3915" t="s">
        <v>38</v>
      </c>
      <c r="O3915" s="2">
        <v>309.32</v>
      </c>
      <c r="P3915" s="2">
        <v>214.66</v>
      </c>
      <c r="Q3915" s="2">
        <v>94.66</v>
      </c>
      <c r="R3915">
        <v>1</v>
      </c>
      <c r="S3915">
        <v>0</v>
      </c>
      <c r="T3915">
        <v>7</v>
      </c>
      <c r="U3915">
        <v>4</v>
      </c>
    </row>
    <row r="3916" spans="1:21" ht="16.5" x14ac:dyDescent="0.3">
      <c r="A3916" t="s">
        <v>4004</v>
      </c>
      <c r="B3916" s="1">
        <v>45868</v>
      </c>
      <c r="C3916">
        <v>2025</v>
      </c>
      <c r="D3916" t="s">
        <v>1187</v>
      </c>
      <c r="E3916" t="s">
        <v>1188</v>
      </c>
      <c r="F3916" t="s">
        <v>24</v>
      </c>
      <c r="G3916" t="s">
        <v>25</v>
      </c>
      <c r="H3916" t="s">
        <v>26</v>
      </c>
      <c r="I3916" t="s">
        <v>42</v>
      </c>
      <c r="J3916" t="s">
        <v>98</v>
      </c>
      <c r="K3916">
        <v>3</v>
      </c>
      <c r="L3916" s="2">
        <v>117.63</v>
      </c>
      <c r="M3916" s="3">
        <v>0.05</v>
      </c>
      <c r="N3916" t="s">
        <v>29</v>
      </c>
      <c r="O3916" s="2">
        <v>335.25</v>
      </c>
      <c r="P3916" s="2">
        <v>231.53</v>
      </c>
      <c r="Q3916" s="2">
        <v>103.72</v>
      </c>
      <c r="R3916">
        <v>1</v>
      </c>
      <c r="S3916">
        <v>1</v>
      </c>
      <c r="T3916">
        <v>4</v>
      </c>
      <c r="U3916">
        <v>2</v>
      </c>
    </row>
    <row r="3917" spans="1:21" ht="16.5" x14ac:dyDescent="0.3">
      <c r="A3917" t="s">
        <v>4005</v>
      </c>
      <c r="B3917" s="1">
        <v>45868</v>
      </c>
      <c r="C3917">
        <v>2025</v>
      </c>
      <c r="D3917" t="s">
        <v>1187</v>
      </c>
      <c r="E3917" t="s">
        <v>1188</v>
      </c>
      <c r="F3917" t="s">
        <v>24</v>
      </c>
      <c r="G3917" t="s">
        <v>51</v>
      </c>
      <c r="H3917" t="s">
        <v>32</v>
      </c>
      <c r="I3917" t="s">
        <v>84</v>
      </c>
      <c r="J3917" t="s">
        <v>223</v>
      </c>
      <c r="K3917">
        <v>1</v>
      </c>
      <c r="L3917" s="2">
        <v>16.97</v>
      </c>
      <c r="M3917" s="3">
        <v>0.1</v>
      </c>
      <c r="N3917" t="s">
        <v>29</v>
      </c>
      <c r="O3917" s="2">
        <v>15.27</v>
      </c>
      <c r="P3917" s="2">
        <v>12.18</v>
      </c>
      <c r="Q3917" s="2">
        <v>3.09</v>
      </c>
      <c r="R3917">
        <v>1</v>
      </c>
      <c r="S3917">
        <v>0</v>
      </c>
      <c r="T3917">
        <v>4</v>
      </c>
      <c r="U3917">
        <v>5</v>
      </c>
    </row>
    <row r="3918" spans="1:21" ht="16.5" x14ac:dyDescent="0.3">
      <c r="A3918" t="s">
        <v>4006</v>
      </c>
      <c r="B3918" s="1">
        <v>45868</v>
      </c>
      <c r="C3918">
        <v>2025</v>
      </c>
      <c r="D3918" t="s">
        <v>1187</v>
      </c>
      <c r="E3918" t="s">
        <v>1188</v>
      </c>
      <c r="F3918" t="s">
        <v>31</v>
      </c>
      <c r="G3918" t="s">
        <v>25</v>
      </c>
      <c r="H3918" t="s">
        <v>32</v>
      </c>
      <c r="I3918" t="s">
        <v>36</v>
      </c>
      <c r="J3918" t="s">
        <v>56</v>
      </c>
      <c r="K3918">
        <v>1</v>
      </c>
      <c r="L3918" s="2">
        <v>74.3</v>
      </c>
      <c r="M3918" s="3">
        <v>0.05</v>
      </c>
      <c r="N3918" t="s">
        <v>29</v>
      </c>
      <c r="O3918" s="2">
        <v>70.58</v>
      </c>
      <c r="P3918" s="2">
        <v>35.770000000000003</v>
      </c>
      <c r="Q3918" s="2">
        <v>34.81</v>
      </c>
      <c r="R3918">
        <v>1</v>
      </c>
      <c r="S3918">
        <v>0</v>
      </c>
      <c r="T3918">
        <v>4</v>
      </c>
      <c r="U3918">
        <v>3</v>
      </c>
    </row>
    <row r="3919" spans="1:21" ht="16.5" x14ac:dyDescent="0.3">
      <c r="A3919" t="s">
        <v>4007</v>
      </c>
      <c r="B3919" s="1">
        <v>45869</v>
      </c>
      <c r="C3919">
        <v>2025</v>
      </c>
      <c r="D3919" t="s">
        <v>1187</v>
      </c>
      <c r="E3919" t="s">
        <v>1188</v>
      </c>
      <c r="F3919" t="s">
        <v>24</v>
      </c>
      <c r="G3919" t="s">
        <v>51</v>
      </c>
      <c r="H3919" t="s">
        <v>32</v>
      </c>
      <c r="I3919" t="s">
        <v>42</v>
      </c>
      <c r="J3919" t="s">
        <v>89</v>
      </c>
      <c r="K3919">
        <v>1</v>
      </c>
      <c r="L3919" s="2">
        <v>68.349999999999994</v>
      </c>
      <c r="M3919" s="3">
        <v>0</v>
      </c>
      <c r="N3919" t="s">
        <v>38</v>
      </c>
      <c r="O3919" s="2">
        <v>68.349999999999994</v>
      </c>
      <c r="P3919" s="2">
        <v>45.03</v>
      </c>
      <c r="Q3919" s="2">
        <v>23.32</v>
      </c>
      <c r="R3919">
        <v>1</v>
      </c>
      <c r="S3919">
        <v>0</v>
      </c>
      <c r="T3919">
        <v>2</v>
      </c>
      <c r="U3919">
        <v>4</v>
      </c>
    </row>
    <row r="3920" spans="1:21" ht="16.5" x14ac:dyDescent="0.3">
      <c r="A3920" t="s">
        <v>4008</v>
      </c>
      <c r="B3920" s="1">
        <v>45869</v>
      </c>
      <c r="C3920">
        <v>2025</v>
      </c>
      <c r="D3920" t="s">
        <v>1187</v>
      </c>
      <c r="E3920" t="s">
        <v>1188</v>
      </c>
      <c r="F3920" t="s">
        <v>24</v>
      </c>
      <c r="G3920" t="s">
        <v>49</v>
      </c>
      <c r="H3920" t="s">
        <v>32</v>
      </c>
      <c r="I3920" t="s">
        <v>70</v>
      </c>
      <c r="J3920" t="s">
        <v>162</v>
      </c>
      <c r="K3920">
        <v>1</v>
      </c>
      <c r="L3920" s="2">
        <v>636.09</v>
      </c>
      <c r="M3920" s="3">
        <v>0.1</v>
      </c>
      <c r="N3920" t="s">
        <v>29</v>
      </c>
      <c r="O3920" s="2">
        <v>572.48</v>
      </c>
      <c r="P3920" s="2">
        <v>507.41</v>
      </c>
      <c r="Q3920" s="2">
        <v>65.069999999999993</v>
      </c>
      <c r="R3920">
        <v>1</v>
      </c>
      <c r="S3920">
        <v>0</v>
      </c>
      <c r="T3920">
        <v>7</v>
      </c>
      <c r="U3920">
        <v>4</v>
      </c>
    </row>
    <row r="3921" spans="1:21" ht="16.5" x14ac:dyDescent="0.3">
      <c r="A3921" t="s">
        <v>4009</v>
      </c>
      <c r="B3921" s="1">
        <v>45869</v>
      </c>
      <c r="C3921">
        <v>2025</v>
      </c>
      <c r="D3921" t="s">
        <v>1187</v>
      </c>
      <c r="E3921" t="s">
        <v>1188</v>
      </c>
      <c r="F3921" t="s">
        <v>31</v>
      </c>
      <c r="G3921" t="s">
        <v>49</v>
      </c>
      <c r="H3921" t="s">
        <v>26</v>
      </c>
      <c r="I3921" t="s">
        <v>27</v>
      </c>
      <c r="J3921" t="s">
        <v>28</v>
      </c>
      <c r="K3921">
        <v>4</v>
      </c>
      <c r="L3921" s="2">
        <v>138.5</v>
      </c>
      <c r="M3921" s="3">
        <v>0</v>
      </c>
      <c r="N3921" t="s">
        <v>38</v>
      </c>
      <c r="O3921" s="2">
        <v>554</v>
      </c>
      <c r="P3921" s="2">
        <v>290.76</v>
      </c>
      <c r="Q3921" s="2">
        <v>263.24</v>
      </c>
      <c r="R3921">
        <v>1</v>
      </c>
      <c r="S3921">
        <v>0</v>
      </c>
      <c r="T3921">
        <v>3</v>
      </c>
      <c r="U3921">
        <v>5</v>
      </c>
    </row>
    <row r="3922" spans="1:21" ht="16.5" x14ac:dyDescent="0.3">
      <c r="A3922" t="s">
        <v>4010</v>
      </c>
      <c r="B3922" s="1">
        <v>45869</v>
      </c>
      <c r="C3922">
        <v>2025</v>
      </c>
      <c r="D3922" t="s">
        <v>1187</v>
      </c>
      <c r="E3922" t="s">
        <v>1188</v>
      </c>
      <c r="F3922" t="s">
        <v>31</v>
      </c>
      <c r="G3922" t="s">
        <v>25</v>
      </c>
      <c r="H3922" t="s">
        <v>32</v>
      </c>
      <c r="I3922" t="s">
        <v>36</v>
      </c>
      <c r="J3922" t="s">
        <v>37</v>
      </c>
      <c r="K3922">
        <v>1</v>
      </c>
      <c r="L3922" s="2">
        <v>33.18</v>
      </c>
      <c r="M3922" s="3">
        <v>0.1</v>
      </c>
      <c r="N3922" t="s">
        <v>29</v>
      </c>
      <c r="O3922" s="2">
        <v>29.86</v>
      </c>
      <c r="P3922" s="2">
        <v>16.27</v>
      </c>
      <c r="Q3922" s="2">
        <v>13.59</v>
      </c>
      <c r="R3922">
        <v>1</v>
      </c>
      <c r="S3922">
        <v>0</v>
      </c>
      <c r="T3922">
        <v>4</v>
      </c>
      <c r="U3922">
        <v>5</v>
      </c>
    </row>
    <row r="3923" spans="1:21" ht="16.5" x14ac:dyDescent="0.3">
      <c r="A3923" t="s">
        <v>4011</v>
      </c>
      <c r="B3923" s="1">
        <v>45869</v>
      </c>
      <c r="C3923">
        <v>2025</v>
      </c>
      <c r="D3923" t="s">
        <v>1187</v>
      </c>
      <c r="E3923" t="s">
        <v>1188</v>
      </c>
      <c r="F3923" t="s">
        <v>31</v>
      </c>
      <c r="G3923" t="s">
        <v>46</v>
      </c>
      <c r="H3923" t="s">
        <v>32</v>
      </c>
      <c r="I3923" t="s">
        <v>36</v>
      </c>
      <c r="J3923" t="s">
        <v>37</v>
      </c>
      <c r="K3923">
        <v>1</v>
      </c>
      <c r="L3923" s="2">
        <v>33.18</v>
      </c>
      <c r="M3923" s="3">
        <v>0</v>
      </c>
      <c r="N3923" t="s">
        <v>38</v>
      </c>
      <c r="O3923" s="2">
        <v>33.18</v>
      </c>
      <c r="P3923" s="2">
        <v>16.27</v>
      </c>
      <c r="Q3923" s="2">
        <v>16.91</v>
      </c>
      <c r="R3923">
        <v>1</v>
      </c>
      <c r="S3923">
        <v>0</v>
      </c>
      <c r="T3923">
        <v>7</v>
      </c>
      <c r="U3923">
        <v>4</v>
      </c>
    </row>
    <row r="3924" spans="1:21" ht="16.5" x14ac:dyDescent="0.3">
      <c r="A3924" t="s">
        <v>4012</v>
      </c>
      <c r="B3924" s="1">
        <v>45869</v>
      </c>
      <c r="C3924">
        <v>2025</v>
      </c>
      <c r="D3924" t="s">
        <v>1187</v>
      </c>
      <c r="E3924" t="s">
        <v>1188</v>
      </c>
      <c r="F3924" t="s">
        <v>31</v>
      </c>
      <c r="G3924" t="s">
        <v>49</v>
      </c>
      <c r="H3924" t="s">
        <v>32</v>
      </c>
      <c r="I3924" t="s">
        <v>36</v>
      </c>
      <c r="J3924" t="s">
        <v>37</v>
      </c>
      <c r="K3924">
        <v>1</v>
      </c>
      <c r="L3924" s="2">
        <v>33.18</v>
      </c>
      <c r="M3924" s="3">
        <v>0</v>
      </c>
      <c r="N3924" t="s">
        <v>38</v>
      </c>
      <c r="O3924" s="2">
        <v>33.18</v>
      </c>
      <c r="P3924" s="2">
        <v>16.170000000000002</v>
      </c>
      <c r="Q3924" s="2">
        <v>17.010000000000002</v>
      </c>
      <c r="R3924">
        <v>1</v>
      </c>
      <c r="S3924">
        <v>0</v>
      </c>
      <c r="T3924">
        <v>3</v>
      </c>
      <c r="U3924">
        <v>5</v>
      </c>
    </row>
    <row r="3925" spans="1:21" ht="16.5" x14ac:dyDescent="0.3">
      <c r="A3925" t="s">
        <v>4013</v>
      </c>
      <c r="B3925" s="1">
        <v>45870</v>
      </c>
      <c r="C3925">
        <v>2025</v>
      </c>
      <c r="D3925" t="s">
        <v>1187</v>
      </c>
      <c r="E3925" t="s">
        <v>1356</v>
      </c>
      <c r="F3925" t="s">
        <v>31</v>
      </c>
      <c r="G3925" t="s">
        <v>49</v>
      </c>
      <c r="H3925" t="s">
        <v>26</v>
      </c>
      <c r="I3925" t="s">
        <v>70</v>
      </c>
      <c r="J3925" t="s">
        <v>71</v>
      </c>
      <c r="K3925">
        <v>1</v>
      </c>
      <c r="L3925" s="2">
        <v>588.41</v>
      </c>
      <c r="M3925" s="3">
        <v>0.1</v>
      </c>
      <c r="N3925" t="s">
        <v>29</v>
      </c>
      <c r="O3925" s="2">
        <v>529.57000000000005</v>
      </c>
      <c r="P3925" s="2">
        <v>495.66</v>
      </c>
      <c r="Q3925" s="2">
        <v>33.909999999999997</v>
      </c>
      <c r="R3925">
        <v>1</v>
      </c>
      <c r="S3925">
        <v>0</v>
      </c>
      <c r="T3925">
        <v>3</v>
      </c>
      <c r="U3925">
        <v>5</v>
      </c>
    </row>
    <row r="3926" spans="1:21" ht="16.5" x14ac:dyDescent="0.3">
      <c r="A3926" t="s">
        <v>4014</v>
      </c>
      <c r="B3926" s="1">
        <v>45870</v>
      </c>
      <c r="C3926">
        <v>2025</v>
      </c>
      <c r="D3926" t="s">
        <v>1187</v>
      </c>
      <c r="E3926" t="s">
        <v>1356</v>
      </c>
      <c r="F3926" t="s">
        <v>31</v>
      </c>
      <c r="G3926" t="s">
        <v>49</v>
      </c>
      <c r="H3926" t="s">
        <v>26</v>
      </c>
      <c r="I3926" t="s">
        <v>36</v>
      </c>
      <c r="J3926" t="s">
        <v>37</v>
      </c>
      <c r="K3926">
        <v>1</v>
      </c>
      <c r="L3926" s="2">
        <v>33.18</v>
      </c>
      <c r="M3926" s="3">
        <v>0.1</v>
      </c>
      <c r="N3926" t="s">
        <v>29</v>
      </c>
      <c r="O3926" s="2">
        <v>29.86</v>
      </c>
      <c r="P3926" s="2">
        <v>16</v>
      </c>
      <c r="Q3926" s="2">
        <v>13.86</v>
      </c>
      <c r="R3926">
        <v>1</v>
      </c>
      <c r="S3926">
        <v>1</v>
      </c>
      <c r="T3926">
        <v>3</v>
      </c>
      <c r="U3926">
        <v>4</v>
      </c>
    </row>
    <row r="3927" spans="1:21" ht="16.5" x14ac:dyDescent="0.3">
      <c r="A3927" t="s">
        <v>4015</v>
      </c>
      <c r="B3927" s="1">
        <v>45870</v>
      </c>
      <c r="C3927">
        <v>2025</v>
      </c>
      <c r="D3927" t="s">
        <v>1187</v>
      </c>
      <c r="E3927" t="s">
        <v>1356</v>
      </c>
      <c r="F3927" t="s">
        <v>24</v>
      </c>
      <c r="G3927" t="s">
        <v>46</v>
      </c>
      <c r="H3927" t="s">
        <v>32</v>
      </c>
      <c r="I3927" t="s">
        <v>67</v>
      </c>
      <c r="J3927" t="s">
        <v>103</v>
      </c>
      <c r="K3927">
        <v>1</v>
      </c>
      <c r="L3927" s="2">
        <v>83.06</v>
      </c>
      <c r="M3927" s="3">
        <v>0</v>
      </c>
      <c r="N3927" t="s">
        <v>38</v>
      </c>
      <c r="O3927" s="2">
        <v>83.06</v>
      </c>
      <c r="P3927" s="2">
        <v>54.02</v>
      </c>
      <c r="Q3927" s="2">
        <v>29.04</v>
      </c>
      <c r="R3927">
        <v>1</v>
      </c>
      <c r="S3927">
        <v>0</v>
      </c>
      <c r="T3927">
        <v>5</v>
      </c>
      <c r="U3927">
        <v>4</v>
      </c>
    </row>
    <row r="3928" spans="1:21" ht="16.5" x14ac:dyDescent="0.3">
      <c r="A3928" t="s">
        <v>4016</v>
      </c>
      <c r="B3928" s="1">
        <v>45870</v>
      </c>
      <c r="C3928">
        <v>2025</v>
      </c>
      <c r="D3928" t="s">
        <v>1187</v>
      </c>
      <c r="E3928" t="s">
        <v>1356</v>
      </c>
      <c r="F3928" t="s">
        <v>24</v>
      </c>
      <c r="G3928" t="s">
        <v>51</v>
      </c>
      <c r="H3928" t="s">
        <v>32</v>
      </c>
      <c r="I3928" t="s">
        <v>70</v>
      </c>
      <c r="J3928" t="s">
        <v>71</v>
      </c>
      <c r="K3928">
        <v>1</v>
      </c>
      <c r="L3928" s="2">
        <v>588.41</v>
      </c>
      <c r="M3928" s="3">
        <v>0.25</v>
      </c>
      <c r="N3928" t="s">
        <v>62</v>
      </c>
      <c r="O3928" s="2">
        <v>441.31</v>
      </c>
      <c r="P3928" s="2">
        <v>452.8</v>
      </c>
      <c r="Q3928" s="2">
        <v>-11.49</v>
      </c>
      <c r="R3928">
        <v>1</v>
      </c>
      <c r="S3928">
        <v>0</v>
      </c>
      <c r="T3928">
        <v>2</v>
      </c>
      <c r="U3928">
        <v>5</v>
      </c>
    </row>
    <row r="3929" spans="1:21" ht="16.5" x14ac:dyDescent="0.3">
      <c r="A3929" t="s">
        <v>4017</v>
      </c>
      <c r="B3929" s="1">
        <v>45870</v>
      </c>
      <c r="C3929">
        <v>2025</v>
      </c>
      <c r="D3929" t="s">
        <v>1187</v>
      </c>
      <c r="E3929" t="s">
        <v>1356</v>
      </c>
      <c r="F3929" t="s">
        <v>31</v>
      </c>
      <c r="G3929" t="s">
        <v>25</v>
      </c>
      <c r="H3929" t="s">
        <v>32</v>
      </c>
      <c r="I3929" t="s">
        <v>42</v>
      </c>
      <c r="J3929" t="s">
        <v>76</v>
      </c>
      <c r="K3929">
        <v>4</v>
      </c>
      <c r="L3929" s="2">
        <v>90.75</v>
      </c>
      <c r="M3929" s="3">
        <v>0</v>
      </c>
      <c r="N3929" t="s">
        <v>38</v>
      </c>
      <c r="O3929" s="2">
        <v>363</v>
      </c>
      <c r="P3929" s="2">
        <v>238.08</v>
      </c>
      <c r="Q3929" s="2">
        <v>124.92</v>
      </c>
      <c r="R3929">
        <v>1</v>
      </c>
      <c r="S3929">
        <v>0</v>
      </c>
      <c r="T3929">
        <v>3</v>
      </c>
      <c r="U3929">
        <v>4</v>
      </c>
    </row>
    <row r="3930" spans="1:21" ht="16.5" x14ac:dyDescent="0.3">
      <c r="A3930" t="s">
        <v>4018</v>
      </c>
      <c r="B3930" s="1">
        <v>45870</v>
      </c>
      <c r="C3930">
        <v>2025</v>
      </c>
      <c r="D3930" t="s">
        <v>1187</v>
      </c>
      <c r="E3930" t="s">
        <v>1356</v>
      </c>
      <c r="F3930" t="s">
        <v>24</v>
      </c>
      <c r="G3930" t="s">
        <v>51</v>
      </c>
      <c r="H3930" t="s">
        <v>26</v>
      </c>
      <c r="I3930" t="s">
        <v>67</v>
      </c>
      <c r="J3930" t="s">
        <v>68</v>
      </c>
      <c r="K3930">
        <v>2</v>
      </c>
      <c r="L3930" s="2">
        <v>74.459999999999994</v>
      </c>
      <c r="M3930" s="3">
        <v>0.05</v>
      </c>
      <c r="N3930" t="s">
        <v>29</v>
      </c>
      <c r="O3930" s="2">
        <v>141.47</v>
      </c>
      <c r="P3930" s="2">
        <v>104.84</v>
      </c>
      <c r="Q3930" s="2">
        <v>36.630000000000003</v>
      </c>
      <c r="R3930">
        <v>1</v>
      </c>
      <c r="S3930">
        <v>0</v>
      </c>
      <c r="T3930">
        <v>4</v>
      </c>
      <c r="U3930">
        <v>5</v>
      </c>
    </row>
    <row r="3931" spans="1:21" ht="16.5" x14ac:dyDescent="0.3">
      <c r="A3931" t="s">
        <v>4019</v>
      </c>
      <c r="B3931" s="1">
        <v>45870</v>
      </c>
      <c r="C3931">
        <v>2025</v>
      </c>
      <c r="D3931" t="s">
        <v>1187</v>
      </c>
      <c r="E3931" t="s">
        <v>1356</v>
      </c>
      <c r="F3931" t="s">
        <v>31</v>
      </c>
      <c r="G3931" t="s">
        <v>25</v>
      </c>
      <c r="H3931" t="s">
        <v>32</v>
      </c>
      <c r="I3931" t="s">
        <v>27</v>
      </c>
      <c r="J3931" t="s">
        <v>40</v>
      </c>
      <c r="K3931">
        <v>1</v>
      </c>
      <c r="L3931" s="2">
        <v>104.94</v>
      </c>
      <c r="M3931" s="3">
        <v>0.25</v>
      </c>
      <c r="N3931" t="s">
        <v>62</v>
      </c>
      <c r="O3931" s="2">
        <v>78.7</v>
      </c>
      <c r="P3931" s="2">
        <v>57.48</v>
      </c>
      <c r="Q3931" s="2">
        <v>21.22</v>
      </c>
      <c r="R3931">
        <v>1</v>
      </c>
      <c r="S3931">
        <v>0</v>
      </c>
      <c r="T3931">
        <v>5</v>
      </c>
      <c r="U3931">
        <v>4</v>
      </c>
    </row>
    <row r="3932" spans="1:21" ht="16.5" x14ac:dyDescent="0.3">
      <c r="A3932" t="s">
        <v>4020</v>
      </c>
      <c r="B3932" s="1">
        <v>45870</v>
      </c>
      <c r="C3932">
        <v>2025</v>
      </c>
      <c r="D3932" t="s">
        <v>1187</v>
      </c>
      <c r="E3932" t="s">
        <v>1356</v>
      </c>
      <c r="F3932" t="s">
        <v>31</v>
      </c>
      <c r="G3932" t="s">
        <v>49</v>
      </c>
      <c r="H3932" t="s">
        <v>32</v>
      </c>
      <c r="I3932" t="s">
        <v>67</v>
      </c>
      <c r="J3932" t="s">
        <v>93</v>
      </c>
      <c r="K3932">
        <v>1</v>
      </c>
      <c r="L3932" s="2">
        <v>198.42</v>
      </c>
      <c r="M3932" s="3">
        <v>0</v>
      </c>
      <c r="N3932" t="s">
        <v>38</v>
      </c>
      <c r="O3932" s="2">
        <v>198.42</v>
      </c>
      <c r="P3932" s="2">
        <v>136.22</v>
      </c>
      <c r="Q3932" s="2">
        <v>62.2</v>
      </c>
      <c r="R3932">
        <v>1</v>
      </c>
      <c r="S3932">
        <v>1</v>
      </c>
      <c r="T3932">
        <v>3</v>
      </c>
      <c r="U3932">
        <v>3</v>
      </c>
    </row>
    <row r="3933" spans="1:21" ht="16.5" x14ac:dyDescent="0.3">
      <c r="A3933" t="s">
        <v>4021</v>
      </c>
      <c r="B3933" s="1">
        <v>45870</v>
      </c>
      <c r="C3933">
        <v>2025</v>
      </c>
      <c r="D3933" t="s">
        <v>1187</v>
      </c>
      <c r="E3933" t="s">
        <v>1356</v>
      </c>
      <c r="F3933" t="s">
        <v>31</v>
      </c>
      <c r="G3933" t="s">
        <v>65</v>
      </c>
      <c r="H3933" t="s">
        <v>26</v>
      </c>
      <c r="I3933" t="s">
        <v>27</v>
      </c>
      <c r="J3933" t="s">
        <v>47</v>
      </c>
      <c r="K3933">
        <v>2</v>
      </c>
      <c r="L3933" s="2">
        <v>33.99</v>
      </c>
      <c r="M3933" s="3">
        <v>0.25</v>
      </c>
      <c r="N3933" t="s">
        <v>62</v>
      </c>
      <c r="O3933" s="2">
        <v>50.98</v>
      </c>
      <c r="P3933" s="2">
        <v>36.31</v>
      </c>
      <c r="Q3933" s="2">
        <v>14.67</v>
      </c>
      <c r="R3933">
        <v>1</v>
      </c>
      <c r="S3933">
        <v>0</v>
      </c>
      <c r="T3933">
        <v>6</v>
      </c>
      <c r="U3933">
        <v>3</v>
      </c>
    </row>
    <row r="3934" spans="1:21" ht="16.5" x14ac:dyDescent="0.3">
      <c r="A3934" t="s">
        <v>4022</v>
      </c>
      <c r="B3934" s="1">
        <v>45871</v>
      </c>
      <c r="C3934">
        <v>2025</v>
      </c>
      <c r="D3934" t="s">
        <v>1187</v>
      </c>
      <c r="E3934" t="s">
        <v>1356</v>
      </c>
      <c r="F3934" t="s">
        <v>45</v>
      </c>
      <c r="G3934" t="s">
        <v>25</v>
      </c>
      <c r="H3934" t="s">
        <v>32</v>
      </c>
      <c r="I3934" t="s">
        <v>67</v>
      </c>
      <c r="J3934" t="s">
        <v>103</v>
      </c>
      <c r="K3934">
        <v>1</v>
      </c>
      <c r="L3934" s="2">
        <v>83.06</v>
      </c>
      <c r="M3934" s="3">
        <v>0.1</v>
      </c>
      <c r="N3934" t="s">
        <v>29</v>
      </c>
      <c r="O3934" s="2">
        <v>74.75</v>
      </c>
      <c r="P3934" s="2">
        <v>56.86</v>
      </c>
      <c r="Q3934" s="2">
        <v>17.89</v>
      </c>
      <c r="R3934">
        <v>1</v>
      </c>
      <c r="S3934">
        <v>0</v>
      </c>
      <c r="T3934">
        <v>3</v>
      </c>
      <c r="U3934">
        <v>3</v>
      </c>
    </row>
    <row r="3935" spans="1:21" ht="16.5" x14ac:dyDescent="0.3">
      <c r="A3935" t="s">
        <v>4023</v>
      </c>
      <c r="B3935" s="1">
        <v>45871</v>
      </c>
      <c r="C3935">
        <v>2025</v>
      </c>
      <c r="D3935" t="s">
        <v>1187</v>
      </c>
      <c r="E3935" t="s">
        <v>1356</v>
      </c>
      <c r="F3935" t="s">
        <v>24</v>
      </c>
      <c r="G3935" t="s">
        <v>25</v>
      </c>
      <c r="H3935" t="s">
        <v>26</v>
      </c>
      <c r="I3935" t="s">
        <v>70</v>
      </c>
      <c r="J3935" t="s">
        <v>162</v>
      </c>
      <c r="K3935">
        <v>4</v>
      </c>
      <c r="L3935" s="2">
        <v>636.09</v>
      </c>
      <c r="M3935" s="3">
        <v>0</v>
      </c>
      <c r="N3935" t="s">
        <v>38</v>
      </c>
      <c r="O3935" s="2">
        <v>2544.36</v>
      </c>
      <c r="P3935" s="2">
        <v>2077.42</v>
      </c>
      <c r="Q3935" s="2">
        <v>466.94</v>
      </c>
      <c r="R3935">
        <v>1</v>
      </c>
      <c r="S3935">
        <v>0</v>
      </c>
      <c r="T3935">
        <v>4</v>
      </c>
      <c r="U3935">
        <v>4</v>
      </c>
    </row>
    <row r="3936" spans="1:21" ht="16.5" x14ac:dyDescent="0.3">
      <c r="A3936" t="s">
        <v>4024</v>
      </c>
      <c r="B3936" s="1">
        <v>45871</v>
      </c>
      <c r="C3936">
        <v>2025</v>
      </c>
      <c r="D3936" t="s">
        <v>1187</v>
      </c>
      <c r="E3936" t="s">
        <v>1356</v>
      </c>
      <c r="F3936" t="s">
        <v>31</v>
      </c>
      <c r="G3936" t="s">
        <v>46</v>
      </c>
      <c r="H3936" t="s">
        <v>26</v>
      </c>
      <c r="I3936" t="s">
        <v>70</v>
      </c>
      <c r="J3936" t="s">
        <v>129</v>
      </c>
      <c r="K3936">
        <v>2</v>
      </c>
      <c r="L3936" s="2">
        <v>177.65</v>
      </c>
      <c r="M3936" s="3">
        <v>0.05</v>
      </c>
      <c r="N3936" t="s">
        <v>29</v>
      </c>
      <c r="O3936" s="2">
        <v>337.54</v>
      </c>
      <c r="P3936" s="2">
        <v>297.38</v>
      </c>
      <c r="Q3936" s="2">
        <v>40.159999999999997</v>
      </c>
      <c r="R3936">
        <v>1</v>
      </c>
      <c r="S3936">
        <v>0</v>
      </c>
      <c r="T3936">
        <v>9</v>
      </c>
      <c r="U3936">
        <v>4</v>
      </c>
    </row>
    <row r="3937" spans="1:21" ht="16.5" x14ac:dyDescent="0.3">
      <c r="A3937" t="s">
        <v>4025</v>
      </c>
      <c r="B3937" s="1">
        <v>45871</v>
      </c>
      <c r="C3937">
        <v>2025</v>
      </c>
      <c r="D3937" t="s">
        <v>1187</v>
      </c>
      <c r="E3937" t="s">
        <v>1356</v>
      </c>
      <c r="F3937" t="s">
        <v>45</v>
      </c>
      <c r="G3937" t="s">
        <v>25</v>
      </c>
      <c r="H3937" t="s">
        <v>32</v>
      </c>
      <c r="I3937" t="s">
        <v>42</v>
      </c>
      <c r="J3937" t="s">
        <v>54</v>
      </c>
      <c r="K3937">
        <v>3</v>
      </c>
      <c r="L3937" s="2">
        <v>148.05000000000001</v>
      </c>
      <c r="M3937" s="3">
        <v>0</v>
      </c>
      <c r="N3937" t="s">
        <v>38</v>
      </c>
      <c r="O3937" s="2">
        <v>444.15</v>
      </c>
      <c r="P3937" s="2">
        <v>283.07</v>
      </c>
      <c r="Q3937" s="2">
        <v>161.08000000000001</v>
      </c>
      <c r="R3937">
        <v>1</v>
      </c>
      <c r="S3937">
        <v>0</v>
      </c>
      <c r="T3937">
        <v>3</v>
      </c>
      <c r="U3937">
        <v>4</v>
      </c>
    </row>
    <row r="3938" spans="1:21" ht="16.5" x14ac:dyDescent="0.3">
      <c r="A3938" t="s">
        <v>4026</v>
      </c>
      <c r="B3938" s="1">
        <v>45871</v>
      </c>
      <c r="C3938">
        <v>2025</v>
      </c>
      <c r="D3938" t="s">
        <v>1187</v>
      </c>
      <c r="E3938" t="s">
        <v>1356</v>
      </c>
      <c r="F3938" t="s">
        <v>24</v>
      </c>
      <c r="G3938" t="s">
        <v>51</v>
      </c>
      <c r="H3938" t="s">
        <v>32</v>
      </c>
      <c r="I3938" t="s">
        <v>42</v>
      </c>
      <c r="J3938" t="s">
        <v>89</v>
      </c>
      <c r="K3938">
        <v>3</v>
      </c>
      <c r="L3938" s="2">
        <v>68.349999999999994</v>
      </c>
      <c r="M3938" s="3">
        <v>0.05</v>
      </c>
      <c r="N3938" t="s">
        <v>29</v>
      </c>
      <c r="O3938" s="2">
        <v>194.8</v>
      </c>
      <c r="P3938" s="2">
        <v>137.13</v>
      </c>
      <c r="Q3938" s="2">
        <v>57.67</v>
      </c>
      <c r="R3938">
        <v>1</v>
      </c>
      <c r="S3938">
        <v>0</v>
      </c>
      <c r="T3938">
        <v>2</v>
      </c>
      <c r="U3938">
        <v>5</v>
      </c>
    </row>
    <row r="3939" spans="1:21" ht="16.5" x14ac:dyDescent="0.3">
      <c r="A3939" t="s">
        <v>4027</v>
      </c>
      <c r="B3939" s="1">
        <v>45871</v>
      </c>
      <c r="C3939">
        <v>2025</v>
      </c>
      <c r="D3939" t="s">
        <v>1187</v>
      </c>
      <c r="E3939" t="s">
        <v>1356</v>
      </c>
      <c r="F3939" t="s">
        <v>31</v>
      </c>
      <c r="G3939" t="s">
        <v>51</v>
      </c>
      <c r="H3939" t="s">
        <v>26</v>
      </c>
      <c r="I3939" t="s">
        <v>67</v>
      </c>
      <c r="J3939" t="s">
        <v>103</v>
      </c>
      <c r="K3939">
        <v>4</v>
      </c>
      <c r="L3939" s="2">
        <v>83.06</v>
      </c>
      <c r="M3939" s="3">
        <v>0.2</v>
      </c>
      <c r="N3939" t="s">
        <v>34</v>
      </c>
      <c r="O3939" s="2">
        <v>265.79000000000002</v>
      </c>
      <c r="P3939" s="2">
        <v>224.42</v>
      </c>
      <c r="Q3939" s="2">
        <v>41.37</v>
      </c>
      <c r="R3939">
        <v>1</v>
      </c>
      <c r="S3939">
        <v>0</v>
      </c>
      <c r="T3939">
        <v>2</v>
      </c>
      <c r="U3939">
        <v>5</v>
      </c>
    </row>
    <row r="3940" spans="1:21" ht="16.5" x14ac:dyDescent="0.3">
      <c r="A3940" t="s">
        <v>4028</v>
      </c>
      <c r="B3940" s="1">
        <v>45871</v>
      </c>
      <c r="C3940">
        <v>2025</v>
      </c>
      <c r="D3940" t="s">
        <v>1187</v>
      </c>
      <c r="E3940" t="s">
        <v>1356</v>
      </c>
      <c r="F3940" t="s">
        <v>24</v>
      </c>
      <c r="G3940" t="s">
        <v>46</v>
      </c>
      <c r="H3940" t="s">
        <v>32</v>
      </c>
      <c r="I3940" t="s">
        <v>36</v>
      </c>
      <c r="J3940" t="s">
        <v>115</v>
      </c>
      <c r="K3940">
        <v>1</v>
      </c>
      <c r="L3940" s="2">
        <v>33.479999999999997</v>
      </c>
      <c r="M3940" s="3">
        <v>0</v>
      </c>
      <c r="N3940" t="s">
        <v>38</v>
      </c>
      <c r="O3940" s="2">
        <v>33.479999999999997</v>
      </c>
      <c r="P3940" s="2">
        <v>14.97</v>
      </c>
      <c r="Q3940" s="2">
        <v>18.510000000000002</v>
      </c>
      <c r="R3940">
        <v>1</v>
      </c>
      <c r="S3940">
        <v>0</v>
      </c>
      <c r="T3940">
        <v>6</v>
      </c>
      <c r="U3940">
        <v>3</v>
      </c>
    </row>
    <row r="3941" spans="1:21" ht="16.5" x14ac:dyDescent="0.3">
      <c r="A3941" t="s">
        <v>4029</v>
      </c>
      <c r="B3941" s="1">
        <v>45871</v>
      </c>
      <c r="C3941">
        <v>2025</v>
      </c>
      <c r="D3941" t="s">
        <v>1187</v>
      </c>
      <c r="E3941" t="s">
        <v>1356</v>
      </c>
      <c r="F3941" t="s">
        <v>31</v>
      </c>
      <c r="G3941" t="s">
        <v>51</v>
      </c>
      <c r="H3941" t="s">
        <v>32</v>
      </c>
      <c r="I3941" t="s">
        <v>27</v>
      </c>
      <c r="J3941" t="s">
        <v>40</v>
      </c>
      <c r="K3941">
        <v>1</v>
      </c>
      <c r="L3941" s="2">
        <v>104.94</v>
      </c>
      <c r="M3941" s="3">
        <v>0</v>
      </c>
      <c r="N3941" t="s">
        <v>38</v>
      </c>
      <c r="O3941" s="2">
        <v>104.94</v>
      </c>
      <c r="P3941" s="2">
        <v>58.74</v>
      </c>
      <c r="Q3941" s="2">
        <v>46.2</v>
      </c>
      <c r="R3941">
        <v>1</v>
      </c>
      <c r="S3941">
        <v>0</v>
      </c>
      <c r="T3941">
        <v>4</v>
      </c>
      <c r="U3941">
        <v>4</v>
      </c>
    </row>
    <row r="3942" spans="1:21" ht="16.5" x14ac:dyDescent="0.3">
      <c r="A3942" t="s">
        <v>4030</v>
      </c>
      <c r="B3942" s="1">
        <v>45872</v>
      </c>
      <c r="C3942">
        <v>2025</v>
      </c>
      <c r="D3942" t="s">
        <v>1187</v>
      </c>
      <c r="E3942" t="s">
        <v>1356</v>
      </c>
      <c r="F3942" t="s">
        <v>45</v>
      </c>
      <c r="G3942" t="s">
        <v>51</v>
      </c>
      <c r="H3942" t="s">
        <v>26</v>
      </c>
      <c r="I3942" t="s">
        <v>42</v>
      </c>
      <c r="J3942" t="s">
        <v>89</v>
      </c>
      <c r="K3942">
        <v>2</v>
      </c>
      <c r="L3942" s="2">
        <v>68.349999999999994</v>
      </c>
      <c r="M3942" s="3">
        <v>0.1</v>
      </c>
      <c r="N3942" t="s">
        <v>29</v>
      </c>
      <c r="O3942" s="2">
        <v>123.03</v>
      </c>
      <c r="P3942" s="2">
        <v>90.77</v>
      </c>
      <c r="Q3942" s="2">
        <v>32.26</v>
      </c>
      <c r="R3942">
        <v>1</v>
      </c>
      <c r="S3942">
        <v>0</v>
      </c>
      <c r="T3942">
        <v>3</v>
      </c>
      <c r="U3942">
        <v>4</v>
      </c>
    </row>
    <row r="3943" spans="1:21" ht="16.5" x14ac:dyDescent="0.3">
      <c r="A3943" t="s">
        <v>4031</v>
      </c>
      <c r="B3943" s="1">
        <v>45872</v>
      </c>
      <c r="C3943">
        <v>2025</v>
      </c>
      <c r="D3943" t="s">
        <v>1187</v>
      </c>
      <c r="E3943" t="s">
        <v>1356</v>
      </c>
      <c r="F3943" t="s">
        <v>31</v>
      </c>
      <c r="G3943" t="s">
        <v>51</v>
      </c>
      <c r="H3943" t="s">
        <v>26</v>
      </c>
      <c r="I3943" t="s">
        <v>42</v>
      </c>
      <c r="J3943" t="s">
        <v>43</v>
      </c>
      <c r="K3943">
        <v>1</v>
      </c>
      <c r="L3943" s="2">
        <v>154.66</v>
      </c>
      <c r="M3943" s="3">
        <v>0</v>
      </c>
      <c r="N3943" t="s">
        <v>38</v>
      </c>
      <c r="O3943" s="2">
        <v>154.66</v>
      </c>
      <c r="P3943" s="2">
        <v>103.35</v>
      </c>
      <c r="Q3943" s="2">
        <v>51.31</v>
      </c>
      <c r="R3943">
        <v>1</v>
      </c>
      <c r="S3943">
        <v>0</v>
      </c>
      <c r="T3943">
        <v>2</v>
      </c>
      <c r="U3943">
        <v>3</v>
      </c>
    </row>
    <row r="3944" spans="1:21" ht="16.5" x14ac:dyDescent="0.3">
      <c r="A3944" t="s">
        <v>4032</v>
      </c>
      <c r="B3944" s="1">
        <v>45872</v>
      </c>
      <c r="C3944">
        <v>2025</v>
      </c>
      <c r="D3944" t="s">
        <v>1187</v>
      </c>
      <c r="E3944" t="s">
        <v>1356</v>
      </c>
      <c r="F3944" t="s">
        <v>24</v>
      </c>
      <c r="G3944" t="s">
        <v>51</v>
      </c>
      <c r="H3944" t="s">
        <v>26</v>
      </c>
      <c r="I3944" t="s">
        <v>67</v>
      </c>
      <c r="J3944" t="s">
        <v>78</v>
      </c>
      <c r="K3944">
        <v>2</v>
      </c>
      <c r="L3944" s="2">
        <v>85.42</v>
      </c>
      <c r="M3944" s="3">
        <v>0.05</v>
      </c>
      <c r="N3944" t="s">
        <v>29</v>
      </c>
      <c r="O3944" s="2">
        <v>162.30000000000001</v>
      </c>
      <c r="P3944" s="2">
        <v>113.47</v>
      </c>
      <c r="Q3944" s="2">
        <v>48.83</v>
      </c>
      <c r="R3944">
        <v>1</v>
      </c>
      <c r="S3944">
        <v>0</v>
      </c>
      <c r="T3944">
        <v>2</v>
      </c>
      <c r="U3944">
        <v>4</v>
      </c>
    </row>
    <row r="3945" spans="1:21" ht="16.5" x14ac:dyDescent="0.3">
      <c r="A3945" t="s">
        <v>4033</v>
      </c>
      <c r="B3945" s="1">
        <v>45872</v>
      </c>
      <c r="C3945">
        <v>2025</v>
      </c>
      <c r="D3945" t="s">
        <v>1187</v>
      </c>
      <c r="E3945" t="s">
        <v>1356</v>
      </c>
      <c r="F3945" t="s">
        <v>31</v>
      </c>
      <c r="G3945" t="s">
        <v>25</v>
      </c>
      <c r="H3945" t="s">
        <v>32</v>
      </c>
      <c r="I3945" t="s">
        <v>70</v>
      </c>
      <c r="J3945" t="s">
        <v>162</v>
      </c>
      <c r="K3945">
        <v>1</v>
      </c>
      <c r="L3945" s="2">
        <v>636.09</v>
      </c>
      <c r="M3945" s="3">
        <v>0.25</v>
      </c>
      <c r="N3945" t="s">
        <v>62</v>
      </c>
      <c r="O3945" s="2">
        <v>477.07</v>
      </c>
      <c r="P3945" s="2">
        <v>524.91</v>
      </c>
      <c r="Q3945" s="2">
        <v>-47.84</v>
      </c>
      <c r="R3945">
        <v>1</v>
      </c>
      <c r="S3945">
        <v>0</v>
      </c>
      <c r="T3945">
        <v>5</v>
      </c>
      <c r="U3945">
        <v>4</v>
      </c>
    </row>
    <row r="3946" spans="1:21" ht="16.5" x14ac:dyDescent="0.3">
      <c r="A3946" t="s">
        <v>4034</v>
      </c>
      <c r="B3946" s="1">
        <v>45872</v>
      </c>
      <c r="C3946">
        <v>2025</v>
      </c>
      <c r="D3946" t="s">
        <v>1187</v>
      </c>
      <c r="E3946" t="s">
        <v>1356</v>
      </c>
      <c r="F3946" t="s">
        <v>24</v>
      </c>
      <c r="G3946" t="s">
        <v>51</v>
      </c>
      <c r="H3946" t="s">
        <v>32</v>
      </c>
      <c r="I3946" t="s">
        <v>27</v>
      </c>
      <c r="J3946" t="s">
        <v>40</v>
      </c>
      <c r="K3946">
        <v>1</v>
      </c>
      <c r="L3946" s="2">
        <v>104.94</v>
      </c>
      <c r="M3946" s="3">
        <v>0.1</v>
      </c>
      <c r="N3946" t="s">
        <v>29</v>
      </c>
      <c r="O3946" s="2">
        <v>94.45</v>
      </c>
      <c r="P3946" s="2">
        <v>58.57</v>
      </c>
      <c r="Q3946" s="2">
        <v>35.880000000000003</v>
      </c>
      <c r="R3946">
        <v>1</v>
      </c>
      <c r="S3946">
        <v>0</v>
      </c>
      <c r="T3946">
        <v>4</v>
      </c>
      <c r="U3946">
        <v>4</v>
      </c>
    </row>
    <row r="3947" spans="1:21" ht="16.5" x14ac:dyDescent="0.3">
      <c r="A3947" t="s">
        <v>4035</v>
      </c>
      <c r="B3947" s="1">
        <v>45872</v>
      </c>
      <c r="C3947">
        <v>2025</v>
      </c>
      <c r="D3947" t="s">
        <v>1187</v>
      </c>
      <c r="E3947" t="s">
        <v>1356</v>
      </c>
      <c r="F3947" t="s">
        <v>31</v>
      </c>
      <c r="G3947" t="s">
        <v>49</v>
      </c>
      <c r="H3947" t="s">
        <v>32</v>
      </c>
      <c r="I3947" t="s">
        <v>27</v>
      </c>
      <c r="J3947" t="s">
        <v>47</v>
      </c>
      <c r="K3947">
        <v>2</v>
      </c>
      <c r="L3947" s="2">
        <v>33.99</v>
      </c>
      <c r="M3947" s="3">
        <v>0.25</v>
      </c>
      <c r="N3947" t="s">
        <v>62</v>
      </c>
      <c r="O3947" s="2">
        <v>50.98</v>
      </c>
      <c r="P3947" s="2">
        <v>36.71</v>
      </c>
      <c r="Q3947" s="2">
        <v>14.27</v>
      </c>
      <c r="R3947">
        <v>1</v>
      </c>
      <c r="S3947">
        <v>0</v>
      </c>
      <c r="T3947">
        <v>5</v>
      </c>
      <c r="U3947">
        <v>4</v>
      </c>
    </row>
    <row r="3948" spans="1:21" ht="16.5" x14ac:dyDescent="0.3">
      <c r="A3948" t="s">
        <v>4036</v>
      </c>
      <c r="B3948" s="1">
        <v>45872</v>
      </c>
      <c r="C3948">
        <v>2025</v>
      </c>
      <c r="D3948" t="s">
        <v>1187</v>
      </c>
      <c r="E3948" t="s">
        <v>1356</v>
      </c>
      <c r="F3948" t="s">
        <v>24</v>
      </c>
      <c r="G3948" t="s">
        <v>25</v>
      </c>
      <c r="H3948" t="s">
        <v>32</v>
      </c>
      <c r="I3948" t="s">
        <v>42</v>
      </c>
      <c r="J3948" t="s">
        <v>43</v>
      </c>
      <c r="K3948">
        <v>2</v>
      </c>
      <c r="L3948" s="2">
        <v>154.66</v>
      </c>
      <c r="M3948" s="3">
        <v>0</v>
      </c>
      <c r="N3948" t="s">
        <v>38</v>
      </c>
      <c r="O3948" s="2">
        <v>309.32</v>
      </c>
      <c r="P3948" s="2">
        <v>205.23</v>
      </c>
      <c r="Q3948" s="2">
        <v>104.09</v>
      </c>
      <c r="R3948">
        <v>1</v>
      </c>
      <c r="S3948">
        <v>1</v>
      </c>
      <c r="T3948">
        <v>4</v>
      </c>
      <c r="U3948">
        <v>4</v>
      </c>
    </row>
    <row r="3949" spans="1:21" ht="16.5" x14ac:dyDescent="0.3">
      <c r="A3949" t="s">
        <v>4037</v>
      </c>
      <c r="B3949" s="1">
        <v>45873</v>
      </c>
      <c r="C3949">
        <v>2025</v>
      </c>
      <c r="D3949" t="s">
        <v>1187</v>
      </c>
      <c r="E3949" t="s">
        <v>1356</v>
      </c>
      <c r="F3949" t="s">
        <v>31</v>
      </c>
      <c r="G3949" t="s">
        <v>49</v>
      </c>
      <c r="H3949" t="s">
        <v>32</v>
      </c>
      <c r="I3949" t="s">
        <v>70</v>
      </c>
      <c r="J3949" t="s">
        <v>87</v>
      </c>
      <c r="K3949">
        <v>1</v>
      </c>
      <c r="L3949" s="2">
        <v>490.3</v>
      </c>
      <c r="M3949" s="3">
        <v>0.05</v>
      </c>
      <c r="N3949" t="s">
        <v>29</v>
      </c>
      <c r="O3949" s="2">
        <v>465.78</v>
      </c>
      <c r="P3949" s="2">
        <v>374.98</v>
      </c>
      <c r="Q3949" s="2">
        <v>90.8</v>
      </c>
      <c r="R3949">
        <v>1</v>
      </c>
      <c r="S3949">
        <v>0</v>
      </c>
      <c r="T3949">
        <v>3</v>
      </c>
      <c r="U3949">
        <v>4</v>
      </c>
    </row>
    <row r="3950" spans="1:21" ht="16.5" x14ac:dyDescent="0.3">
      <c r="A3950" t="s">
        <v>4038</v>
      </c>
      <c r="B3950" s="1">
        <v>45873</v>
      </c>
      <c r="C3950">
        <v>2025</v>
      </c>
      <c r="D3950" t="s">
        <v>1187</v>
      </c>
      <c r="E3950" t="s">
        <v>1356</v>
      </c>
      <c r="F3950" t="s">
        <v>24</v>
      </c>
      <c r="G3950" t="s">
        <v>46</v>
      </c>
      <c r="H3950" t="s">
        <v>26</v>
      </c>
      <c r="I3950" t="s">
        <v>42</v>
      </c>
      <c r="J3950" t="s">
        <v>43</v>
      </c>
      <c r="K3950">
        <v>1</v>
      </c>
      <c r="L3950" s="2">
        <v>154.66</v>
      </c>
      <c r="M3950" s="3">
        <v>0.05</v>
      </c>
      <c r="N3950" t="s">
        <v>29</v>
      </c>
      <c r="O3950" s="2">
        <v>146.93</v>
      </c>
      <c r="P3950" s="2">
        <v>104.38</v>
      </c>
      <c r="Q3950" s="2">
        <v>42.55</v>
      </c>
      <c r="R3950">
        <v>1</v>
      </c>
      <c r="S3950">
        <v>0</v>
      </c>
      <c r="T3950">
        <v>7</v>
      </c>
      <c r="U3950">
        <v>4</v>
      </c>
    </row>
    <row r="3951" spans="1:21" ht="16.5" x14ac:dyDescent="0.3">
      <c r="A3951" t="s">
        <v>4039</v>
      </c>
      <c r="B3951" s="1">
        <v>45873</v>
      </c>
      <c r="C3951">
        <v>2025</v>
      </c>
      <c r="D3951" t="s">
        <v>1187</v>
      </c>
      <c r="E3951" t="s">
        <v>1356</v>
      </c>
      <c r="F3951" t="s">
        <v>24</v>
      </c>
      <c r="G3951" t="s">
        <v>49</v>
      </c>
      <c r="H3951" t="s">
        <v>26</v>
      </c>
      <c r="I3951" t="s">
        <v>70</v>
      </c>
      <c r="J3951" t="s">
        <v>71</v>
      </c>
      <c r="K3951">
        <v>1</v>
      </c>
      <c r="L3951" s="2">
        <v>588.41</v>
      </c>
      <c r="M3951" s="3">
        <v>0.2</v>
      </c>
      <c r="N3951" t="s">
        <v>34</v>
      </c>
      <c r="O3951" s="2">
        <v>470.73</v>
      </c>
      <c r="P3951" s="2">
        <v>495.74</v>
      </c>
      <c r="Q3951" s="2">
        <v>-25.01</v>
      </c>
      <c r="R3951">
        <v>1</v>
      </c>
      <c r="S3951">
        <v>0</v>
      </c>
      <c r="T3951">
        <v>5</v>
      </c>
      <c r="U3951">
        <v>5</v>
      </c>
    </row>
    <row r="3952" spans="1:21" ht="16.5" x14ac:dyDescent="0.3">
      <c r="A3952" t="s">
        <v>4040</v>
      </c>
      <c r="B3952" s="1">
        <v>45873</v>
      </c>
      <c r="C3952">
        <v>2025</v>
      </c>
      <c r="D3952" t="s">
        <v>1187</v>
      </c>
      <c r="E3952" t="s">
        <v>1356</v>
      </c>
      <c r="F3952" t="s">
        <v>31</v>
      </c>
      <c r="G3952" t="s">
        <v>46</v>
      </c>
      <c r="H3952" t="s">
        <v>32</v>
      </c>
      <c r="I3952" t="s">
        <v>70</v>
      </c>
      <c r="J3952" t="s">
        <v>252</v>
      </c>
      <c r="K3952">
        <v>1</v>
      </c>
      <c r="L3952" s="2">
        <v>216.08</v>
      </c>
      <c r="M3952" s="3">
        <v>0.05</v>
      </c>
      <c r="N3952" t="s">
        <v>29</v>
      </c>
      <c r="O3952" s="2">
        <v>205.28</v>
      </c>
      <c r="P3952" s="2">
        <v>171.13</v>
      </c>
      <c r="Q3952" s="2">
        <v>34.15</v>
      </c>
      <c r="R3952">
        <v>1</v>
      </c>
      <c r="S3952">
        <v>0</v>
      </c>
      <c r="T3952">
        <v>9</v>
      </c>
      <c r="U3952">
        <v>4</v>
      </c>
    </row>
    <row r="3953" spans="1:21" ht="16.5" x14ac:dyDescent="0.3">
      <c r="A3953" t="s">
        <v>4041</v>
      </c>
      <c r="B3953" s="1">
        <v>45874</v>
      </c>
      <c r="C3953">
        <v>2025</v>
      </c>
      <c r="D3953" t="s">
        <v>1187</v>
      </c>
      <c r="E3953" t="s">
        <v>1356</v>
      </c>
      <c r="F3953" t="s">
        <v>24</v>
      </c>
      <c r="G3953" t="s">
        <v>25</v>
      </c>
      <c r="H3953" t="s">
        <v>32</v>
      </c>
      <c r="I3953" t="s">
        <v>70</v>
      </c>
      <c r="J3953" t="s">
        <v>129</v>
      </c>
      <c r="K3953">
        <v>1</v>
      </c>
      <c r="L3953" s="2">
        <v>177.65</v>
      </c>
      <c r="M3953" s="3">
        <v>0.05</v>
      </c>
      <c r="N3953" t="s">
        <v>29</v>
      </c>
      <c r="O3953" s="2">
        <v>168.77</v>
      </c>
      <c r="P3953" s="2">
        <v>150.11000000000001</v>
      </c>
      <c r="Q3953" s="2">
        <v>18.66</v>
      </c>
      <c r="R3953">
        <v>1</v>
      </c>
      <c r="S3953">
        <v>0</v>
      </c>
      <c r="T3953">
        <v>5</v>
      </c>
      <c r="U3953">
        <v>5</v>
      </c>
    </row>
    <row r="3954" spans="1:21" ht="16.5" x14ac:dyDescent="0.3">
      <c r="A3954" t="s">
        <v>4042</v>
      </c>
      <c r="B3954" s="1">
        <v>45874</v>
      </c>
      <c r="C3954">
        <v>2025</v>
      </c>
      <c r="D3954" t="s">
        <v>1187</v>
      </c>
      <c r="E3954" t="s">
        <v>1356</v>
      </c>
      <c r="F3954" t="s">
        <v>31</v>
      </c>
      <c r="G3954" t="s">
        <v>49</v>
      </c>
      <c r="H3954" t="s">
        <v>32</v>
      </c>
      <c r="I3954" t="s">
        <v>36</v>
      </c>
      <c r="J3954" t="s">
        <v>56</v>
      </c>
      <c r="K3954">
        <v>1</v>
      </c>
      <c r="L3954" s="2">
        <v>74.3</v>
      </c>
      <c r="M3954" s="3">
        <v>0</v>
      </c>
      <c r="N3954" t="s">
        <v>38</v>
      </c>
      <c r="O3954" s="2">
        <v>74.3</v>
      </c>
      <c r="P3954" s="2">
        <v>37.380000000000003</v>
      </c>
      <c r="Q3954" s="2">
        <v>36.92</v>
      </c>
      <c r="R3954">
        <v>1</v>
      </c>
      <c r="S3954">
        <v>0</v>
      </c>
      <c r="T3954">
        <v>3</v>
      </c>
      <c r="U3954">
        <v>4</v>
      </c>
    </row>
    <row r="3955" spans="1:21" ht="16.5" x14ac:dyDescent="0.3">
      <c r="A3955" t="s">
        <v>4043</v>
      </c>
      <c r="B3955" s="1">
        <v>45874</v>
      </c>
      <c r="C3955">
        <v>2025</v>
      </c>
      <c r="D3955" t="s">
        <v>1187</v>
      </c>
      <c r="E3955" t="s">
        <v>1356</v>
      </c>
      <c r="F3955" t="s">
        <v>45</v>
      </c>
      <c r="G3955" t="s">
        <v>46</v>
      </c>
      <c r="H3955" t="s">
        <v>32</v>
      </c>
      <c r="I3955" t="s">
        <v>42</v>
      </c>
      <c r="J3955" t="s">
        <v>54</v>
      </c>
      <c r="K3955">
        <v>1</v>
      </c>
      <c r="L3955" s="2">
        <v>148.05000000000001</v>
      </c>
      <c r="M3955" s="3">
        <v>0.15</v>
      </c>
      <c r="N3955" t="s">
        <v>34</v>
      </c>
      <c r="O3955" s="2">
        <v>125.84</v>
      </c>
      <c r="P3955" s="2">
        <v>97.98</v>
      </c>
      <c r="Q3955" s="2">
        <v>27.86</v>
      </c>
      <c r="R3955">
        <v>1</v>
      </c>
      <c r="S3955">
        <v>0</v>
      </c>
      <c r="T3955">
        <v>5</v>
      </c>
      <c r="U3955">
        <v>4</v>
      </c>
    </row>
    <row r="3956" spans="1:21" ht="16.5" x14ac:dyDescent="0.3">
      <c r="A3956" t="s">
        <v>4044</v>
      </c>
      <c r="B3956" s="1">
        <v>45874</v>
      </c>
      <c r="C3956">
        <v>2025</v>
      </c>
      <c r="D3956" t="s">
        <v>1187</v>
      </c>
      <c r="E3956" t="s">
        <v>1356</v>
      </c>
      <c r="F3956" t="s">
        <v>45</v>
      </c>
      <c r="G3956" t="s">
        <v>46</v>
      </c>
      <c r="H3956" t="s">
        <v>26</v>
      </c>
      <c r="I3956" t="s">
        <v>84</v>
      </c>
      <c r="J3956" t="s">
        <v>96</v>
      </c>
      <c r="K3956">
        <v>2</v>
      </c>
      <c r="L3956" s="2">
        <v>10.76</v>
      </c>
      <c r="M3956" s="3">
        <v>0.1</v>
      </c>
      <c r="N3956" t="s">
        <v>29</v>
      </c>
      <c r="O3956" s="2">
        <v>19.37</v>
      </c>
      <c r="P3956" s="2">
        <v>14.91</v>
      </c>
      <c r="Q3956" s="2">
        <v>4.46</v>
      </c>
      <c r="R3956">
        <v>1</v>
      </c>
      <c r="S3956">
        <v>0</v>
      </c>
      <c r="T3956">
        <v>7</v>
      </c>
      <c r="U3956">
        <v>4</v>
      </c>
    </row>
    <row r="3957" spans="1:21" ht="16.5" x14ac:dyDescent="0.3">
      <c r="A3957" t="s">
        <v>4045</v>
      </c>
      <c r="B3957" s="1">
        <v>45874</v>
      </c>
      <c r="C3957">
        <v>2025</v>
      </c>
      <c r="D3957" t="s">
        <v>1187</v>
      </c>
      <c r="E3957" t="s">
        <v>1356</v>
      </c>
      <c r="F3957" t="s">
        <v>31</v>
      </c>
      <c r="G3957" t="s">
        <v>65</v>
      </c>
      <c r="H3957" t="s">
        <v>32</v>
      </c>
      <c r="I3957" t="s">
        <v>27</v>
      </c>
      <c r="J3957" t="s">
        <v>47</v>
      </c>
      <c r="K3957">
        <v>1</v>
      </c>
      <c r="L3957" s="2">
        <v>33.99</v>
      </c>
      <c r="M3957" s="3">
        <v>0.2</v>
      </c>
      <c r="N3957" t="s">
        <v>34</v>
      </c>
      <c r="O3957" s="2">
        <v>27.19</v>
      </c>
      <c r="P3957" s="2">
        <v>18.489999999999998</v>
      </c>
      <c r="Q3957" s="2">
        <v>8.6999999999999993</v>
      </c>
      <c r="R3957">
        <v>1</v>
      </c>
      <c r="S3957">
        <v>0</v>
      </c>
      <c r="T3957">
        <v>8</v>
      </c>
      <c r="U3957">
        <v>4</v>
      </c>
    </row>
    <row r="3958" spans="1:21" ht="16.5" x14ac:dyDescent="0.3">
      <c r="A3958" t="s">
        <v>4046</v>
      </c>
      <c r="B3958" s="1">
        <v>45874</v>
      </c>
      <c r="C3958">
        <v>2025</v>
      </c>
      <c r="D3958" t="s">
        <v>1187</v>
      </c>
      <c r="E3958" t="s">
        <v>1356</v>
      </c>
      <c r="F3958" t="s">
        <v>31</v>
      </c>
      <c r="G3958" t="s">
        <v>25</v>
      </c>
      <c r="H3958" t="s">
        <v>26</v>
      </c>
      <c r="I3958" t="s">
        <v>70</v>
      </c>
      <c r="J3958" t="s">
        <v>129</v>
      </c>
      <c r="K3958">
        <v>1</v>
      </c>
      <c r="L3958" s="2">
        <v>177.65</v>
      </c>
      <c r="M3958" s="3">
        <v>0.1</v>
      </c>
      <c r="N3958" t="s">
        <v>29</v>
      </c>
      <c r="O3958" s="2">
        <v>159.88999999999999</v>
      </c>
      <c r="P3958" s="2">
        <v>141.57</v>
      </c>
      <c r="Q3958" s="2">
        <v>18.32</v>
      </c>
      <c r="R3958">
        <v>1</v>
      </c>
      <c r="S3958">
        <v>0</v>
      </c>
      <c r="T3958">
        <v>3</v>
      </c>
      <c r="U3958">
        <v>4</v>
      </c>
    </row>
    <row r="3959" spans="1:21" ht="16.5" x14ac:dyDescent="0.3">
      <c r="A3959" t="s">
        <v>4047</v>
      </c>
      <c r="B3959" s="1">
        <v>45874</v>
      </c>
      <c r="C3959">
        <v>2025</v>
      </c>
      <c r="D3959" t="s">
        <v>1187</v>
      </c>
      <c r="E3959" t="s">
        <v>1356</v>
      </c>
      <c r="F3959" t="s">
        <v>45</v>
      </c>
      <c r="G3959" t="s">
        <v>51</v>
      </c>
      <c r="H3959" t="s">
        <v>32</v>
      </c>
      <c r="I3959" t="s">
        <v>42</v>
      </c>
      <c r="J3959" t="s">
        <v>76</v>
      </c>
      <c r="K3959">
        <v>1</v>
      </c>
      <c r="L3959" s="2">
        <v>90.75</v>
      </c>
      <c r="M3959" s="3">
        <v>0.25</v>
      </c>
      <c r="N3959" t="s">
        <v>62</v>
      </c>
      <c r="O3959" s="2">
        <v>68.06</v>
      </c>
      <c r="P3959" s="2">
        <v>61.42</v>
      </c>
      <c r="Q3959" s="2">
        <v>6.64</v>
      </c>
      <c r="R3959">
        <v>1</v>
      </c>
      <c r="S3959">
        <v>0</v>
      </c>
      <c r="T3959">
        <v>3</v>
      </c>
      <c r="U3959">
        <v>5</v>
      </c>
    </row>
    <row r="3960" spans="1:21" ht="16.5" x14ac:dyDescent="0.3">
      <c r="A3960" t="s">
        <v>4048</v>
      </c>
      <c r="B3960" s="1">
        <v>45874</v>
      </c>
      <c r="C3960">
        <v>2025</v>
      </c>
      <c r="D3960" t="s">
        <v>1187</v>
      </c>
      <c r="E3960" t="s">
        <v>1356</v>
      </c>
      <c r="F3960" t="s">
        <v>31</v>
      </c>
      <c r="G3960" t="s">
        <v>46</v>
      </c>
      <c r="H3960" t="s">
        <v>26</v>
      </c>
      <c r="I3960" t="s">
        <v>70</v>
      </c>
      <c r="J3960" t="s">
        <v>162</v>
      </c>
      <c r="K3960">
        <v>1</v>
      </c>
      <c r="L3960" s="2">
        <v>636.09</v>
      </c>
      <c r="M3960" s="3">
        <v>0</v>
      </c>
      <c r="N3960" t="s">
        <v>38</v>
      </c>
      <c r="O3960" s="2">
        <v>636.09</v>
      </c>
      <c r="P3960" s="2">
        <v>479.5</v>
      </c>
      <c r="Q3960" s="2">
        <v>156.59</v>
      </c>
      <c r="R3960">
        <v>1</v>
      </c>
      <c r="S3960">
        <v>1</v>
      </c>
      <c r="T3960">
        <v>5</v>
      </c>
      <c r="U3960">
        <v>3</v>
      </c>
    </row>
    <row r="3961" spans="1:21" ht="16.5" x14ac:dyDescent="0.3">
      <c r="A3961" t="s">
        <v>4049</v>
      </c>
      <c r="B3961" s="1">
        <v>45874</v>
      </c>
      <c r="C3961">
        <v>2025</v>
      </c>
      <c r="D3961" t="s">
        <v>1187</v>
      </c>
      <c r="E3961" t="s">
        <v>1356</v>
      </c>
      <c r="F3961" t="s">
        <v>45</v>
      </c>
      <c r="G3961" t="s">
        <v>51</v>
      </c>
      <c r="H3961" t="s">
        <v>26</v>
      </c>
      <c r="I3961" t="s">
        <v>27</v>
      </c>
      <c r="J3961" t="s">
        <v>47</v>
      </c>
      <c r="K3961">
        <v>1</v>
      </c>
      <c r="L3961" s="2">
        <v>33.99</v>
      </c>
      <c r="M3961" s="3">
        <v>0.2</v>
      </c>
      <c r="N3961" t="s">
        <v>34</v>
      </c>
      <c r="O3961" s="2">
        <v>27.19</v>
      </c>
      <c r="P3961" s="2">
        <v>17.71</v>
      </c>
      <c r="Q3961" s="2">
        <v>9.48</v>
      </c>
      <c r="R3961">
        <v>1</v>
      </c>
      <c r="S3961">
        <v>0</v>
      </c>
      <c r="T3961">
        <v>3</v>
      </c>
      <c r="U3961">
        <v>4</v>
      </c>
    </row>
    <row r="3962" spans="1:21" ht="16.5" x14ac:dyDescent="0.3">
      <c r="A3962" t="s">
        <v>4050</v>
      </c>
      <c r="B3962" s="1">
        <v>45875</v>
      </c>
      <c r="C3962">
        <v>2025</v>
      </c>
      <c r="D3962" t="s">
        <v>1187</v>
      </c>
      <c r="E3962" t="s">
        <v>1356</v>
      </c>
      <c r="F3962" t="s">
        <v>31</v>
      </c>
      <c r="G3962" t="s">
        <v>25</v>
      </c>
      <c r="H3962" t="s">
        <v>32</v>
      </c>
      <c r="I3962" t="s">
        <v>27</v>
      </c>
      <c r="J3962" t="s">
        <v>110</v>
      </c>
      <c r="K3962">
        <v>1</v>
      </c>
      <c r="L3962" s="2">
        <v>19.41</v>
      </c>
      <c r="M3962" s="3">
        <v>0.15</v>
      </c>
      <c r="N3962" t="s">
        <v>34</v>
      </c>
      <c r="O3962" s="2">
        <v>16.5</v>
      </c>
      <c r="P3962" s="2">
        <v>10.93</v>
      </c>
      <c r="Q3962" s="2">
        <v>5.57</v>
      </c>
      <c r="R3962">
        <v>1</v>
      </c>
      <c r="S3962">
        <v>0</v>
      </c>
      <c r="T3962">
        <v>4</v>
      </c>
      <c r="U3962">
        <v>5</v>
      </c>
    </row>
    <row r="3963" spans="1:21" ht="16.5" x14ac:dyDescent="0.3">
      <c r="A3963" t="s">
        <v>4051</v>
      </c>
      <c r="B3963" s="1">
        <v>45875</v>
      </c>
      <c r="C3963">
        <v>2025</v>
      </c>
      <c r="D3963" t="s">
        <v>1187</v>
      </c>
      <c r="E3963" t="s">
        <v>1356</v>
      </c>
      <c r="F3963" t="s">
        <v>24</v>
      </c>
      <c r="G3963" t="s">
        <v>49</v>
      </c>
      <c r="H3963" t="s">
        <v>32</v>
      </c>
      <c r="I3963" t="s">
        <v>42</v>
      </c>
      <c r="J3963" t="s">
        <v>76</v>
      </c>
      <c r="K3963">
        <v>1</v>
      </c>
      <c r="L3963" s="2">
        <v>90.75</v>
      </c>
      <c r="M3963" s="3">
        <v>0.1</v>
      </c>
      <c r="N3963" t="s">
        <v>29</v>
      </c>
      <c r="O3963" s="2">
        <v>81.680000000000007</v>
      </c>
      <c r="P3963" s="2">
        <v>57.52</v>
      </c>
      <c r="Q3963" s="2">
        <v>24.16</v>
      </c>
      <c r="R3963">
        <v>1</v>
      </c>
      <c r="S3963">
        <v>0</v>
      </c>
      <c r="T3963">
        <v>5</v>
      </c>
      <c r="U3963">
        <v>5</v>
      </c>
    </row>
    <row r="3964" spans="1:21" ht="16.5" x14ac:dyDescent="0.3">
      <c r="A3964" t="s">
        <v>4052</v>
      </c>
      <c r="B3964" s="1">
        <v>45875</v>
      </c>
      <c r="C3964">
        <v>2025</v>
      </c>
      <c r="D3964" t="s">
        <v>1187</v>
      </c>
      <c r="E3964" t="s">
        <v>1356</v>
      </c>
      <c r="F3964" t="s">
        <v>24</v>
      </c>
      <c r="G3964" t="s">
        <v>25</v>
      </c>
      <c r="H3964" t="s">
        <v>32</v>
      </c>
      <c r="I3964" t="s">
        <v>42</v>
      </c>
      <c r="J3964" t="s">
        <v>89</v>
      </c>
      <c r="K3964">
        <v>3</v>
      </c>
      <c r="L3964" s="2">
        <v>68.349999999999994</v>
      </c>
      <c r="M3964" s="3">
        <v>0.05</v>
      </c>
      <c r="N3964" t="s">
        <v>29</v>
      </c>
      <c r="O3964" s="2">
        <v>194.8</v>
      </c>
      <c r="P3964" s="2">
        <v>136.91999999999999</v>
      </c>
      <c r="Q3964" s="2">
        <v>57.88</v>
      </c>
      <c r="R3964">
        <v>1</v>
      </c>
      <c r="S3964">
        <v>0</v>
      </c>
      <c r="T3964">
        <v>4</v>
      </c>
      <c r="U3964">
        <v>4</v>
      </c>
    </row>
    <row r="3965" spans="1:21" ht="16.5" x14ac:dyDescent="0.3">
      <c r="A3965" t="s">
        <v>4053</v>
      </c>
      <c r="B3965" s="1">
        <v>45875</v>
      </c>
      <c r="C3965">
        <v>2025</v>
      </c>
      <c r="D3965" t="s">
        <v>1187</v>
      </c>
      <c r="E3965" t="s">
        <v>1356</v>
      </c>
      <c r="F3965" t="s">
        <v>31</v>
      </c>
      <c r="G3965" t="s">
        <v>51</v>
      </c>
      <c r="H3965" t="s">
        <v>32</v>
      </c>
      <c r="I3965" t="s">
        <v>84</v>
      </c>
      <c r="J3965" t="s">
        <v>223</v>
      </c>
      <c r="K3965">
        <v>1</v>
      </c>
      <c r="L3965" s="2">
        <v>16.97</v>
      </c>
      <c r="M3965" s="3">
        <v>0</v>
      </c>
      <c r="N3965" t="s">
        <v>38</v>
      </c>
      <c r="O3965" s="2">
        <v>16.97</v>
      </c>
      <c r="P3965" s="2">
        <v>11.47</v>
      </c>
      <c r="Q3965" s="2">
        <v>5.5</v>
      </c>
      <c r="R3965">
        <v>1</v>
      </c>
      <c r="S3965">
        <v>0</v>
      </c>
      <c r="T3965">
        <v>2</v>
      </c>
      <c r="U3965">
        <v>5</v>
      </c>
    </row>
    <row r="3966" spans="1:21" ht="16.5" x14ac:dyDescent="0.3">
      <c r="A3966" t="s">
        <v>4054</v>
      </c>
      <c r="B3966" s="1">
        <v>45875</v>
      </c>
      <c r="C3966">
        <v>2025</v>
      </c>
      <c r="D3966" t="s">
        <v>1187</v>
      </c>
      <c r="E3966" t="s">
        <v>1356</v>
      </c>
      <c r="F3966" t="s">
        <v>31</v>
      </c>
      <c r="G3966" t="s">
        <v>25</v>
      </c>
      <c r="H3966" t="s">
        <v>26</v>
      </c>
      <c r="I3966" t="s">
        <v>42</v>
      </c>
      <c r="J3966" t="s">
        <v>54</v>
      </c>
      <c r="K3966">
        <v>2</v>
      </c>
      <c r="L3966" s="2">
        <v>148.05000000000001</v>
      </c>
      <c r="M3966" s="3">
        <v>0.15</v>
      </c>
      <c r="N3966" t="s">
        <v>34</v>
      </c>
      <c r="O3966" s="2">
        <v>251.68</v>
      </c>
      <c r="P3966" s="2">
        <v>197.2</v>
      </c>
      <c r="Q3966" s="2">
        <v>54.48</v>
      </c>
      <c r="R3966">
        <v>1</v>
      </c>
      <c r="S3966">
        <v>0</v>
      </c>
      <c r="T3966">
        <v>3</v>
      </c>
      <c r="U3966">
        <v>4</v>
      </c>
    </row>
    <row r="3967" spans="1:21" ht="16.5" x14ac:dyDescent="0.3">
      <c r="A3967" t="s">
        <v>4055</v>
      </c>
      <c r="B3967" s="1">
        <v>45875</v>
      </c>
      <c r="C3967">
        <v>2025</v>
      </c>
      <c r="D3967" t="s">
        <v>1187</v>
      </c>
      <c r="E3967" t="s">
        <v>1356</v>
      </c>
      <c r="F3967" t="s">
        <v>24</v>
      </c>
      <c r="G3967" t="s">
        <v>25</v>
      </c>
      <c r="H3967" t="s">
        <v>26</v>
      </c>
      <c r="I3967" t="s">
        <v>42</v>
      </c>
      <c r="J3967" t="s">
        <v>54</v>
      </c>
      <c r="K3967">
        <v>1</v>
      </c>
      <c r="L3967" s="2">
        <v>148.05000000000001</v>
      </c>
      <c r="M3967" s="3">
        <v>0.15</v>
      </c>
      <c r="N3967" t="s">
        <v>34</v>
      </c>
      <c r="O3967" s="2">
        <v>125.84</v>
      </c>
      <c r="P3967" s="2">
        <v>95.63</v>
      </c>
      <c r="Q3967" s="2">
        <v>30.21</v>
      </c>
      <c r="R3967">
        <v>1</v>
      </c>
      <c r="S3967">
        <v>0</v>
      </c>
      <c r="T3967">
        <v>5</v>
      </c>
      <c r="U3967">
        <v>5</v>
      </c>
    </row>
    <row r="3968" spans="1:21" ht="16.5" x14ac:dyDescent="0.3">
      <c r="A3968" t="s">
        <v>4056</v>
      </c>
      <c r="B3968" s="1">
        <v>45875</v>
      </c>
      <c r="C3968">
        <v>2025</v>
      </c>
      <c r="D3968" t="s">
        <v>1187</v>
      </c>
      <c r="E3968" t="s">
        <v>1356</v>
      </c>
      <c r="F3968" t="s">
        <v>45</v>
      </c>
      <c r="G3968" t="s">
        <v>49</v>
      </c>
      <c r="H3968" t="s">
        <v>26</v>
      </c>
      <c r="I3968" t="s">
        <v>67</v>
      </c>
      <c r="J3968" t="s">
        <v>68</v>
      </c>
      <c r="K3968">
        <v>1</v>
      </c>
      <c r="L3968" s="2">
        <v>74.459999999999994</v>
      </c>
      <c r="M3968" s="3">
        <v>0</v>
      </c>
      <c r="N3968" t="s">
        <v>38</v>
      </c>
      <c r="O3968" s="2">
        <v>74.459999999999994</v>
      </c>
      <c r="P3968" s="2">
        <v>51.78</v>
      </c>
      <c r="Q3968" s="2">
        <v>22.68</v>
      </c>
      <c r="R3968">
        <v>1</v>
      </c>
      <c r="S3968">
        <v>0</v>
      </c>
      <c r="T3968">
        <v>6</v>
      </c>
      <c r="U3968">
        <v>4</v>
      </c>
    </row>
    <row r="3969" spans="1:21" ht="16.5" x14ac:dyDescent="0.3">
      <c r="A3969" t="s">
        <v>4057</v>
      </c>
      <c r="B3969" s="1">
        <v>45875</v>
      </c>
      <c r="C3969">
        <v>2025</v>
      </c>
      <c r="D3969" t="s">
        <v>1187</v>
      </c>
      <c r="E3969" t="s">
        <v>1356</v>
      </c>
      <c r="F3969" t="s">
        <v>45</v>
      </c>
      <c r="G3969" t="s">
        <v>65</v>
      </c>
      <c r="H3969" t="s">
        <v>26</v>
      </c>
      <c r="I3969" t="s">
        <v>67</v>
      </c>
      <c r="J3969" t="s">
        <v>103</v>
      </c>
      <c r="K3969">
        <v>1</v>
      </c>
      <c r="L3969" s="2">
        <v>83.06</v>
      </c>
      <c r="M3969" s="3">
        <v>0.05</v>
      </c>
      <c r="N3969" t="s">
        <v>29</v>
      </c>
      <c r="O3969" s="2">
        <v>78.91</v>
      </c>
      <c r="P3969" s="2">
        <v>54.83</v>
      </c>
      <c r="Q3969" s="2">
        <v>24.08</v>
      </c>
      <c r="R3969">
        <v>1</v>
      </c>
      <c r="S3969">
        <v>0</v>
      </c>
      <c r="T3969">
        <v>6</v>
      </c>
      <c r="U3969">
        <v>3</v>
      </c>
    </row>
    <row r="3970" spans="1:21" ht="16.5" x14ac:dyDescent="0.3">
      <c r="A3970" t="s">
        <v>4058</v>
      </c>
      <c r="B3970" s="1">
        <v>45875</v>
      </c>
      <c r="C3970">
        <v>2025</v>
      </c>
      <c r="D3970" t="s">
        <v>1187</v>
      </c>
      <c r="E3970" t="s">
        <v>1356</v>
      </c>
      <c r="F3970" t="s">
        <v>24</v>
      </c>
      <c r="G3970" t="s">
        <v>65</v>
      </c>
      <c r="H3970" t="s">
        <v>32</v>
      </c>
      <c r="I3970" t="s">
        <v>27</v>
      </c>
      <c r="J3970" t="s">
        <v>33</v>
      </c>
      <c r="K3970">
        <v>1</v>
      </c>
      <c r="L3970" s="2">
        <v>78.510000000000005</v>
      </c>
      <c r="M3970" s="3">
        <v>0.15</v>
      </c>
      <c r="N3970" t="s">
        <v>34</v>
      </c>
      <c r="O3970" s="2">
        <v>66.73</v>
      </c>
      <c r="P3970" s="2">
        <v>42.09</v>
      </c>
      <c r="Q3970" s="2">
        <v>24.64</v>
      </c>
      <c r="R3970">
        <v>1</v>
      </c>
      <c r="S3970">
        <v>0</v>
      </c>
      <c r="T3970">
        <v>6</v>
      </c>
      <c r="U3970">
        <v>3</v>
      </c>
    </row>
    <row r="3971" spans="1:21" ht="16.5" x14ac:dyDescent="0.3">
      <c r="A3971" t="s">
        <v>4059</v>
      </c>
      <c r="B3971" s="1">
        <v>45875</v>
      </c>
      <c r="C3971">
        <v>2025</v>
      </c>
      <c r="D3971" t="s">
        <v>1187</v>
      </c>
      <c r="E3971" t="s">
        <v>1356</v>
      </c>
      <c r="F3971" t="s">
        <v>45</v>
      </c>
      <c r="G3971" t="s">
        <v>51</v>
      </c>
      <c r="H3971" t="s">
        <v>32</v>
      </c>
      <c r="I3971" t="s">
        <v>84</v>
      </c>
      <c r="J3971" t="s">
        <v>132</v>
      </c>
      <c r="K3971">
        <v>1</v>
      </c>
      <c r="L3971" s="2">
        <v>48.86</v>
      </c>
      <c r="M3971" s="3">
        <v>0.1</v>
      </c>
      <c r="N3971" t="s">
        <v>29</v>
      </c>
      <c r="O3971" s="2">
        <v>43.97</v>
      </c>
      <c r="P3971" s="2">
        <v>36.01</v>
      </c>
      <c r="Q3971" s="2">
        <v>7.96</v>
      </c>
      <c r="R3971">
        <v>1</v>
      </c>
      <c r="S3971">
        <v>0</v>
      </c>
      <c r="T3971">
        <v>2</v>
      </c>
      <c r="U3971">
        <v>4</v>
      </c>
    </row>
    <row r="3972" spans="1:21" ht="16.5" x14ac:dyDescent="0.3">
      <c r="A3972" t="s">
        <v>4060</v>
      </c>
      <c r="B3972" s="1">
        <v>45875</v>
      </c>
      <c r="C3972">
        <v>2025</v>
      </c>
      <c r="D3972" t="s">
        <v>1187</v>
      </c>
      <c r="E3972" t="s">
        <v>1356</v>
      </c>
      <c r="F3972" t="s">
        <v>45</v>
      </c>
      <c r="G3972" t="s">
        <v>49</v>
      </c>
      <c r="H3972" t="s">
        <v>26</v>
      </c>
      <c r="I3972" t="s">
        <v>70</v>
      </c>
      <c r="J3972" t="s">
        <v>82</v>
      </c>
      <c r="K3972">
        <v>1</v>
      </c>
      <c r="L3972" s="2">
        <v>508.8</v>
      </c>
      <c r="M3972" s="3">
        <v>0</v>
      </c>
      <c r="N3972" t="s">
        <v>38</v>
      </c>
      <c r="O3972" s="2">
        <v>508.8</v>
      </c>
      <c r="P3972" s="2">
        <v>395.92</v>
      </c>
      <c r="Q3972" s="2">
        <v>112.88</v>
      </c>
      <c r="R3972">
        <v>1</v>
      </c>
      <c r="S3972">
        <v>0</v>
      </c>
      <c r="T3972">
        <v>5</v>
      </c>
      <c r="U3972">
        <v>4</v>
      </c>
    </row>
    <row r="3973" spans="1:21" ht="16.5" x14ac:dyDescent="0.3">
      <c r="A3973" t="s">
        <v>4061</v>
      </c>
      <c r="B3973" s="1">
        <v>45876</v>
      </c>
      <c r="C3973">
        <v>2025</v>
      </c>
      <c r="D3973" t="s">
        <v>1187</v>
      </c>
      <c r="E3973" t="s">
        <v>1356</v>
      </c>
      <c r="F3973" t="s">
        <v>31</v>
      </c>
      <c r="G3973" t="s">
        <v>51</v>
      </c>
      <c r="H3973" t="s">
        <v>32</v>
      </c>
      <c r="I3973" t="s">
        <v>70</v>
      </c>
      <c r="J3973" t="s">
        <v>71</v>
      </c>
      <c r="K3973">
        <v>2</v>
      </c>
      <c r="L3973" s="2">
        <v>588.41</v>
      </c>
      <c r="M3973" s="3">
        <v>0</v>
      </c>
      <c r="N3973" t="s">
        <v>38</v>
      </c>
      <c r="O3973" s="2">
        <v>1176.82</v>
      </c>
      <c r="P3973" s="2">
        <v>977.69</v>
      </c>
      <c r="Q3973" s="2">
        <v>199.13</v>
      </c>
      <c r="R3973">
        <v>1</v>
      </c>
      <c r="S3973">
        <v>0</v>
      </c>
      <c r="T3973">
        <v>3</v>
      </c>
      <c r="U3973">
        <v>5</v>
      </c>
    </row>
    <row r="3974" spans="1:21" ht="16.5" x14ac:dyDescent="0.3">
      <c r="A3974" t="s">
        <v>4062</v>
      </c>
      <c r="B3974" s="1">
        <v>45876</v>
      </c>
      <c r="C3974">
        <v>2025</v>
      </c>
      <c r="D3974" t="s">
        <v>1187</v>
      </c>
      <c r="E3974" t="s">
        <v>1356</v>
      </c>
      <c r="F3974" t="s">
        <v>31</v>
      </c>
      <c r="G3974" t="s">
        <v>25</v>
      </c>
      <c r="H3974" t="s">
        <v>32</v>
      </c>
      <c r="I3974" t="s">
        <v>42</v>
      </c>
      <c r="J3974" t="s">
        <v>89</v>
      </c>
      <c r="K3974">
        <v>1</v>
      </c>
      <c r="L3974" s="2">
        <v>68.349999999999994</v>
      </c>
      <c r="M3974" s="3">
        <v>0.05</v>
      </c>
      <c r="N3974" t="s">
        <v>29</v>
      </c>
      <c r="O3974" s="2">
        <v>64.930000000000007</v>
      </c>
      <c r="P3974" s="2">
        <v>43.08</v>
      </c>
      <c r="Q3974" s="2">
        <v>21.85</v>
      </c>
      <c r="R3974">
        <v>1</v>
      </c>
      <c r="S3974">
        <v>0</v>
      </c>
      <c r="T3974">
        <v>4</v>
      </c>
      <c r="U3974">
        <v>4</v>
      </c>
    </row>
    <row r="3975" spans="1:21" ht="16.5" x14ac:dyDescent="0.3">
      <c r="A3975" t="s">
        <v>4063</v>
      </c>
      <c r="B3975" s="1">
        <v>45876</v>
      </c>
      <c r="C3975">
        <v>2025</v>
      </c>
      <c r="D3975" t="s">
        <v>1187</v>
      </c>
      <c r="E3975" t="s">
        <v>1356</v>
      </c>
      <c r="F3975" t="s">
        <v>45</v>
      </c>
      <c r="G3975" t="s">
        <v>49</v>
      </c>
      <c r="H3975" t="s">
        <v>32</v>
      </c>
      <c r="I3975" t="s">
        <v>42</v>
      </c>
      <c r="J3975" t="s">
        <v>76</v>
      </c>
      <c r="K3975">
        <v>1</v>
      </c>
      <c r="L3975" s="2">
        <v>90.75</v>
      </c>
      <c r="M3975" s="3">
        <v>0</v>
      </c>
      <c r="N3975" t="s">
        <v>38</v>
      </c>
      <c r="O3975" s="2">
        <v>90.75</v>
      </c>
      <c r="P3975" s="2">
        <v>58.99</v>
      </c>
      <c r="Q3975" s="2">
        <v>31.76</v>
      </c>
      <c r="R3975">
        <v>1</v>
      </c>
      <c r="S3975">
        <v>0</v>
      </c>
      <c r="T3975">
        <v>3</v>
      </c>
      <c r="U3975">
        <v>4</v>
      </c>
    </row>
    <row r="3976" spans="1:21" ht="16.5" x14ac:dyDescent="0.3">
      <c r="A3976" t="s">
        <v>4064</v>
      </c>
      <c r="B3976" s="1">
        <v>45876</v>
      </c>
      <c r="C3976">
        <v>2025</v>
      </c>
      <c r="D3976" t="s">
        <v>1187</v>
      </c>
      <c r="E3976" t="s">
        <v>1356</v>
      </c>
      <c r="F3976" t="s">
        <v>24</v>
      </c>
      <c r="G3976" t="s">
        <v>25</v>
      </c>
      <c r="H3976" t="s">
        <v>26</v>
      </c>
      <c r="I3976" t="s">
        <v>27</v>
      </c>
      <c r="J3976" t="s">
        <v>110</v>
      </c>
      <c r="K3976">
        <v>1</v>
      </c>
      <c r="L3976" s="2">
        <v>19.41</v>
      </c>
      <c r="M3976" s="3">
        <v>0.15</v>
      </c>
      <c r="N3976" t="s">
        <v>34</v>
      </c>
      <c r="O3976" s="2">
        <v>16.5</v>
      </c>
      <c r="P3976" s="2">
        <v>10.48</v>
      </c>
      <c r="Q3976" s="2">
        <v>6.02</v>
      </c>
      <c r="R3976">
        <v>1</v>
      </c>
      <c r="S3976">
        <v>0</v>
      </c>
      <c r="T3976">
        <v>3</v>
      </c>
      <c r="U3976">
        <v>4</v>
      </c>
    </row>
    <row r="3977" spans="1:21" ht="16.5" x14ac:dyDescent="0.3">
      <c r="A3977" t="s">
        <v>4065</v>
      </c>
      <c r="B3977" s="1">
        <v>45876</v>
      </c>
      <c r="C3977">
        <v>2025</v>
      </c>
      <c r="D3977" t="s">
        <v>1187</v>
      </c>
      <c r="E3977" t="s">
        <v>1356</v>
      </c>
      <c r="F3977" t="s">
        <v>31</v>
      </c>
      <c r="G3977" t="s">
        <v>25</v>
      </c>
      <c r="H3977" t="s">
        <v>26</v>
      </c>
      <c r="I3977" t="s">
        <v>36</v>
      </c>
      <c r="J3977" t="s">
        <v>52</v>
      </c>
      <c r="K3977">
        <v>2</v>
      </c>
      <c r="L3977" s="2">
        <v>92.54</v>
      </c>
      <c r="M3977" s="3">
        <v>0.25</v>
      </c>
      <c r="N3977" t="s">
        <v>62</v>
      </c>
      <c r="O3977" s="2">
        <v>138.81</v>
      </c>
      <c r="P3977" s="2">
        <v>87.81</v>
      </c>
      <c r="Q3977" s="2">
        <v>51</v>
      </c>
      <c r="R3977">
        <v>1</v>
      </c>
      <c r="S3977">
        <v>0</v>
      </c>
      <c r="T3977">
        <v>3</v>
      </c>
      <c r="U3977">
        <v>4</v>
      </c>
    </row>
    <row r="3978" spans="1:21" ht="16.5" x14ac:dyDescent="0.3">
      <c r="A3978" t="s">
        <v>4066</v>
      </c>
      <c r="B3978" s="1">
        <v>45876</v>
      </c>
      <c r="C3978">
        <v>2025</v>
      </c>
      <c r="D3978" t="s">
        <v>1187</v>
      </c>
      <c r="E3978" t="s">
        <v>1356</v>
      </c>
      <c r="F3978" t="s">
        <v>31</v>
      </c>
      <c r="G3978" t="s">
        <v>49</v>
      </c>
      <c r="H3978" t="s">
        <v>26</v>
      </c>
      <c r="I3978" t="s">
        <v>70</v>
      </c>
      <c r="J3978" t="s">
        <v>162</v>
      </c>
      <c r="K3978">
        <v>1</v>
      </c>
      <c r="L3978" s="2">
        <v>636.09</v>
      </c>
      <c r="M3978" s="3">
        <v>0.05</v>
      </c>
      <c r="N3978" t="s">
        <v>29</v>
      </c>
      <c r="O3978" s="2">
        <v>604.29</v>
      </c>
      <c r="P3978" s="2">
        <v>516.13</v>
      </c>
      <c r="Q3978" s="2">
        <v>88.16</v>
      </c>
      <c r="R3978">
        <v>1</v>
      </c>
      <c r="S3978">
        <v>0</v>
      </c>
      <c r="T3978">
        <v>5</v>
      </c>
      <c r="U3978">
        <v>5</v>
      </c>
    </row>
    <row r="3979" spans="1:21" ht="16.5" x14ac:dyDescent="0.3">
      <c r="A3979" t="s">
        <v>4067</v>
      </c>
      <c r="B3979" s="1">
        <v>45876</v>
      </c>
      <c r="C3979">
        <v>2025</v>
      </c>
      <c r="D3979" t="s">
        <v>1187</v>
      </c>
      <c r="E3979" t="s">
        <v>1356</v>
      </c>
      <c r="F3979" t="s">
        <v>24</v>
      </c>
      <c r="G3979" t="s">
        <v>51</v>
      </c>
      <c r="H3979" t="s">
        <v>26</v>
      </c>
      <c r="I3979" t="s">
        <v>27</v>
      </c>
      <c r="J3979" t="s">
        <v>47</v>
      </c>
      <c r="K3979">
        <v>4</v>
      </c>
      <c r="L3979" s="2">
        <v>33.99</v>
      </c>
      <c r="M3979" s="3">
        <v>0.05</v>
      </c>
      <c r="N3979" t="s">
        <v>29</v>
      </c>
      <c r="O3979" s="2">
        <v>129.16</v>
      </c>
      <c r="P3979" s="2">
        <v>75.680000000000007</v>
      </c>
      <c r="Q3979" s="2">
        <v>53.48</v>
      </c>
      <c r="R3979">
        <v>1</v>
      </c>
      <c r="S3979">
        <v>0</v>
      </c>
      <c r="T3979">
        <v>3</v>
      </c>
      <c r="U3979">
        <v>5</v>
      </c>
    </row>
    <row r="3980" spans="1:21" ht="16.5" x14ac:dyDescent="0.3">
      <c r="A3980" t="s">
        <v>4068</v>
      </c>
      <c r="B3980" s="1">
        <v>45876</v>
      </c>
      <c r="C3980">
        <v>2025</v>
      </c>
      <c r="D3980" t="s">
        <v>1187</v>
      </c>
      <c r="E3980" t="s">
        <v>1356</v>
      </c>
      <c r="F3980" t="s">
        <v>31</v>
      </c>
      <c r="G3980" t="s">
        <v>49</v>
      </c>
      <c r="H3980" t="s">
        <v>26</v>
      </c>
      <c r="I3980" t="s">
        <v>27</v>
      </c>
      <c r="J3980" t="s">
        <v>60</v>
      </c>
      <c r="K3980">
        <v>2</v>
      </c>
      <c r="L3980" s="2">
        <v>94.85</v>
      </c>
      <c r="M3980" s="3">
        <v>0.1</v>
      </c>
      <c r="N3980" t="s">
        <v>29</v>
      </c>
      <c r="O3980" s="2">
        <v>170.73</v>
      </c>
      <c r="P3980" s="2">
        <v>96.98</v>
      </c>
      <c r="Q3980" s="2">
        <v>73.75</v>
      </c>
      <c r="R3980">
        <v>1</v>
      </c>
      <c r="S3980">
        <v>0</v>
      </c>
      <c r="T3980">
        <v>3</v>
      </c>
      <c r="U3980">
        <v>4</v>
      </c>
    </row>
    <row r="3981" spans="1:21" ht="16.5" x14ac:dyDescent="0.3">
      <c r="A3981" t="s">
        <v>4069</v>
      </c>
      <c r="B3981" s="1">
        <v>45876</v>
      </c>
      <c r="C3981">
        <v>2025</v>
      </c>
      <c r="D3981" t="s">
        <v>1187</v>
      </c>
      <c r="E3981" t="s">
        <v>1356</v>
      </c>
      <c r="F3981" t="s">
        <v>24</v>
      </c>
      <c r="G3981" t="s">
        <v>25</v>
      </c>
      <c r="H3981" t="s">
        <v>32</v>
      </c>
      <c r="I3981" t="s">
        <v>70</v>
      </c>
      <c r="J3981" t="s">
        <v>82</v>
      </c>
      <c r="K3981">
        <v>4</v>
      </c>
      <c r="L3981" s="2">
        <v>508.8</v>
      </c>
      <c r="M3981" s="3">
        <v>0.05</v>
      </c>
      <c r="N3981" t="s">
        <v>29</v>
      </c>
      <c r="O3981" s="2">
        <v>1933.44</v>
      </c>
      <c r="P3981" s="2">
        <v>1589.3</v>
      </c>
      <c r="Q3981" s="2">
        <v>344.14</v>
      </c>
      <c r="R3981">
        <v>1</v>
      </c>
      <c r="S3981">
        <v>0</v>
      </c>
      <c r="T3981">
        <v>3</v>
      </c>
      <c r="U3981">
        <v>5</v>
      </c>
    </row>
    <row r="3982" spans="1:21" ht="16.5" x14ac:dyDescent="0.3">
      <c r="A3982" t="s">
        <v>4070</v>
      </c>
      <c r="B3982" s="1">
        <v>45877</v>
      </c>
      <c r="C3982">
        <v>2025</v>
      </c>
      <c r="D3982" t="s">
        <v>1187</v>
      </c>
      <c r="E3982" t="s">
        <v>1356</v>
      </c>
      <c r="F3982" t="s">
        <v>24</v>
      </c>
      <c r="G3982" t="s">
        <v>25</v>
      </c>
      <c r="H3982" t="s">
        <v>32</v>
      </c>
      <c r="I3982" t="s">
        <v>70</v>
      </c>
      <c r="J3982" t="s">
        <v>129</v>
      </c>
      <c r="K3982">
        <v>1</v>
      </c>
      <c r="L3982" s="2">
        <v>177.65</v>
      </c>
      <c r="M3982" s="3">
        <v>0.3</v>
      </c>
      <c r="N3982" t="s">
        <v>62</v>
      </c>
      <c r="O3982" s="2">
        <v>124.35</v>
      </c>
      <c r="P3982" s="2">
        <v>131.88</v>
      </c>
      <c r="Q3982" s="2">
        <v>-7.53</v>
      </c>
      <c r="R3982">
        <v>1</v>
      </c>
      <c r="S3982">
        <v>0</v>
      </c>
      <c r="T3982">
        <v>6</v>
      </c>
      <c r="U3982">
        <v>4</v>
      </c>
    </row>
    <row r="3983" spans="1:21" ht="16.5" x14ac:dyDescent="0.3">
      <c r="A3983" t="s">
        <v>4071</v>
      </c>
      <c r="B3983" s="1">
        <v>45877</v>
      </c>
      <c r="C3983">
        <v>2025</v>
      </c>
      <c r="D3983" t="s">
        <v>1187</v>
      </c>
      <c r="E3983" t="s">
        <v>1356</v>
      </c>
      <c r="F3983" t="s">
        <v>45</v>
      </c>
      <c r="G3983" t="s">
        <v>25</v>
      </c>
      <c r="H3983" t="s">
        <v>32</v>
      </c>
      <c r="I3983" t="s">
        <v>70</v>
      </c>
      <c r="J3983" t="s">
        <v>82</v>
      </c>
      <c r="K3983">
        <v>2</v>
      </c>
      <c r="L3983" s="2">
        <v>508.8</v>
      </c>
      <c r="M3983" s="3">
        <v>0.1</v>
      </c>
      <c r="N3983" t="s">
        <v>29</v>
      </c>
      <c r="O3983" s="2">
        <v>915.84</v>
      </c>
      <c r="P3983" s="2">
        <v>846.79</v>
      </c>
      <c r="Q3983" s="2">
        <v>69.05</v>
      </c>
      <c r="R3983">
        <v>1</v>
      </c>
      <c r="S3983">
        <v>0</v>
      </c>
      <c r="T3983">
        <v>3</v>
      </c>
      <c r="U3983">
        <v>5</v>
      </c>
    </row>
    <row r="3984" spans="1:21" ht="16.5" x14ac:dyDescent="0.3">
      <c r="A3984" t="s">
        <v>4072</v>
      </c>
      <c r="B3984" s="1">
        <v>45877</v>
      </c>
      <c r="C3984">
        <v>2025</v>
      </c>
      <c r="D3984" t="s">
        <v>1187</v>
      </c>
      <c r="E3984" t="s">
        <v>1356</v>
      </c>
      <c r="F3984" t="s">
        <v>45</v>
      </c>
      <c r="G3984" t="s">
        <v>25</v>
      </c>
      <c r="H3984" t="s">
        <v>26</v>
      </c>
      <c r="I3984" t="s">
        <v>42</v>
      </c>
      <c r="J3984" t="s">
        <v>43</v>
      </c>
      <c r="K3984">
        <v>1</v>
      </c>
      <c r="L3984" s="2">
        <v>154.66</v>
      </c>
      <c r="M3984" s="3">
        <v>0.05</v>
      </c>
      <c r="N3984" t="s">
        <v>29</v>
      </c>
      <c r="O3984" s="2">
        <v>146.93</v>
      </c>
      <c r="P3984" s="2">
        <v>101.87</v>
      </c>
      <c r="Q3984" s="2">
        <v>45.06</v>
      </c>
      <c r="R3984">
        <v>1</v>
      </c>
      <c r="S3984">
        <v>0</v>
      </c>
      <c r="T3984">
        <v>3</v>
      </c>
      <c r="U3984">
        <v>4</v>
      </c>
    </row>
    <row r="3985" spans="1:21" ht="16.5" x14ac:dyDescent="0.3">
      <c r="A3985" t="s">
        <v>4073</v>
      </c>
      <c r="B3985" s="1">
        <v>45877</v>
      </c>
      <c r="C3985">
        <v>2025</v>
      </c>
      <c r="D3985" t="s">
        <v>1187</v>
      </c>
      <c r="E3985" t="s">
        <v>1356</v>
      </c>
      <c r="F3985" t="s">
        <v>31</v>
      </c>
      <c r="G3985" t="s">
        <v>25</v>
      </c>
      <c r="H3985" t="s">
        <v>32</v>
      </c>
      <c r="I3985" t="s">
        <v>27</v>
      </c>
      <c r="J3985" t="s">
        <v>33</v>
      </c>
      <c r="K3985">
        <v>1</v>
      </c>
      <c r="L3985" s="2">
        <v>78.510000000000005</v>
      </c>
      <c r="M3985" s="3">
        <v>0.05</v>
      </c>
      <c r="N3985" t="s">
        <v>29</v>
      </c>
      <c r="O3985" s="2">
        <v>74.58</v>
      </c>
      <c r="P3985" s="2">
        <v>41.36</v>
      </c>
      <c r="Q3985" s="2">
        <v>33.22</v>
      </c>
      <c r="R3985">
        <v>1</v>
      </c>
      <c r="S3985">
        <v>0</v>
      </c>
      <c r="T3985">
        <v>5</v>
      </c>
      <c r="U3985">
        <v>5</v>
      </c>
    </row>
    <row r="3986" spans="1:21" ht="16.5" x14ac:dyDescent="0.3">
      <c r="A3986" t="s">
        <v>4074</v>
      </c>
      <c r="B3986" s="1">
        <v>45877</v>
      </c>
      <c r="C3986">
        <v>2025</v>
      </c>
      <c r="D3986" t="s">
        <v>1187</v>
      </c>
      <c r="E3986" t="s">
        <v>1356</v>
      </c>
      <c r="F3986" t="s">
        <v>24</v>
      </c>
      <c r="G3986" t="s">
        <v>25</v>
      </c>
      <c r="H3986" t="s">
        <v>32</v>
      </c>
      <c r="I3986" t="s">
        <v>70</v>
      </c>
      <c r="J3986" t="s">
        <v>162</v>
      </c>
      <c r="K3986">
        <v>2</v>
      </c>
      <c r="L3986" s="2">
        <v>636.09</v>
      </c>
      <c r="M3986" s="3">
        <v>0.15</v>
      </c>
      <c r="N3986" t="s">
        <v>34</v>
      </c>
      <c r="O3986" s="2">
        <v>1081.3499999999999</v>
      </c>
      <c r="P3986" s="2">
        <v>969.58</v>
      </c>
      <c r="Q3986" s="2">
        <v>111.77</v>
      </c>
      <c r="R3986">
        <v>1</v>
      </c>
      <c r="S3986">
        <v>0</v>
      </c>
      <c r="T3986">
        <v>6</v>
      </c>
      <c r="U3986">
        <v>3</v>
      </c>
    </row>
    <row r="3987" spans="1:21" ht="16.5" x14ac:dyDescent="0.3">
      <c r="A3987" t="s">
        <v>4075</v>
      </c>
      <c r="B3987" s="1">
        <v>45877</v>
      </c>
      <c r="C3987">
        <v>2025</v>
      </c>
      <c r="D3987" t="s">
        <v>1187</v>
      </c>
      <c r="E3987" t="s">
        <v>1356</v>
      </c>
      <c r="F3987" t="s">
        <v>24</v>
      </c>
      <c r="G3987" t="s">
        <v>25</v>
      </c>
      <c r="H3987" t="s">
        <v>26</v>
      </c>
      <c r="I3987" t="s">
        <v>27</v>
      </c>
      <c r="J3987" t="s">
        <v>47</v>
      </c>
      <c r="K3987">
        <v>1</v>
      </c>
      <c r="L3987" s="2">
        <v>33.99</v>
      </c>
      <c r="M3987" s="3">
        <v>0.2</v>
      </c>
      <c r="N3987" t="s">
        <v>34</v>
      </c>
      <c r="O3987" s="2">
        <v>27.19</v>
      </c>
      <c r="P3987" s="2">
        <v>18.100000000000001</v>
      </c>
      <c r="Q3987" s="2">
        <v>9.09</v>
      </c>
      <c r="R3987">
        <v>1</v>
      </c>
      <c r="S3987">
        <v>1</v>
      </c>
      <c r="T3987">
        <v>4</v>
      </c>
      <c r="U3987">
        <v>3</v>
      </c>
    </row>
    <row r="3988" spans="1:21" ht="16.5" x14ac:dyDescent="0.3">
      <c r="A3988" t="s">
        <v>4076</v>
      </c>
      <c r="B3988" s="1">
        <v>45877</v>
      </c>
      <c r="C3988">
        <v>2025</v>
      </c>
      <c r="D3988" t="s">
        <v>1187</v>
      </c>
      <c r="E3988" t="s">
        <v>1356</v>
      </c>
      <c r="F3988" t="s">
        <v>31</v>
      </c>
      <c r="G3988" t="s">
        <v>25</v>
      </c>
      <c r="H3988" t="s">
        <v>26</v>
      </c>
      <c r="I3988" t="s">
        <v>70</v>
      </c>
      <c r="J3988" t="s">
        <v>87</v>
      </c>
      <c r="K3988">
        <v>1</v>
      </c>
      <c r="L3988" s="2">
        <v>490.3</v>
      </c>
      <c r="M3988" s="3">
        <v>0.2</v>
      </c>
      <c r="N3988" t="s">
        <v>34</v>
      </c>
      <c r="O3988" s="2">
        <v>392.24</v>
      </c>
      <c r="P3988" s="2">
        <v>401.05</v>
      </c>
      <c r="Q3988" s="2">
        <v>-8.81</v>
      </c>
      <c r="R3988">
        <v>1</v>
      </c>
      <c r="S3988">
        <v>0</v>
      </c>
      <c r="T3988">
        <v>3</v>
      </c>
      <c r="U3988">
        <v>5</v>
      </c>
    </row>
    <row r="3989" spans="1:21" ht="16.5" x14ac:dyDescent="0.3">
      <c r="A3989" t="s">
        <v>4077</v>
      </c>
      <c r="B3989" s="1">
        <v>45878</v>
      </c>
      <c r="C3989">
        <v>2025</v>
      </c>
      <c r="D3989" t="s">
        <v>1187</v>
      </c>
      <c r="E3989" t="s">
        <v>1356</v>
      </c>
      <c r="F3989" t="s">
        <v>24</v>
      </c>
      <c r="G3989" t="s">
        <v>49</v>
      </c>
      <c r="H3989" t="s">
        <v>32</v>
      </c>
      <c r="I3989" t="s">
        <v>67</v>
      </c>
      <c r="J3989" t="s">
        <v>93</v>
      </c>
      <c r="K3989">
        <v>1</v>
      </c>
      <c r="L3989" s="2">
        <v>198.42</v>
      </c>
      <c r="M3989" s="3">
        <v>0.05</v>
      </c>
      <c r="N3989" t="s">
        <v>29</v>
      </c>
      <c r="O3989" s="2">
        <v>188.5</v>
      </c>
      <c r="P3989" s="2">
        <v>128.03</v>
      </c>
      <c r="Q3989" s="2">
        <v>60.47</v>
      </c>
      <c r="R3989">
        <v>1</v>
      </c>
      <c r="S3989">
        <v>0</v>
      </c>
      <c r="T3989">
        <v>4</v>
      </c>
      <c r="U3989">
        <v>4</v>
      </c>
    </row>
    <row r="3990" spans="1:21" ht="16.5" x14ac:dyDescent="0.3">
      <c r="A3990" t="s">
        <v>4078</v>
      </c>
      <c r="B3990" s="1">
        <v>45878</v>
      </c>
      <c r="C3990">
        <v>2025</v>
      </c>
      <c r="D3990" t="s">
        <v>1187</v>
      </c>
      <c r="E3990" t="s">
        <v>1356</v>
      </c>
      <c r="F3990" t="s">
        <v>31</v>
      </c>
      <c r="G3990" t="s">
        <v>49</v>
      </c>
      <c r="H3990" t="s">
        <v>26</v>
      </c>
      <c r="I3990" t="s">
        <v>84</v>
      </c>
      <c r="J3990" t="s">
        <v>132</v>
      </c>
      <c r="K3990">
        <v>3</v>
      </c>
      <c r="L3990" s="2">
        <v>48.86</v>
      </c>
      <c r="M3990" s="3">
        <v>0</v>
      </c>
      <c r="N3990" t="s">
        <v>38</v>
      </c>
      <c r="O3990" s="2">
        <v>146.58000000000001</v>
      </c>
      <c r="P3990" s="2">
        <v>108.33</v>
      </c>
      <c r="Q3990" s="2">
        <v>38.25</v>
      </c>
      <c r="R3990">
        <v>1</v>
      </c>
      <c r="S3990">
        <v>0</v>
      </c>
      <c r="T3990">
        <v>4</v>
      </c>
      <c r="U3990">
        <v>4</v>
      </c>
    </row>
    <row r="3991" spans="1:21" ht="16.5" x14ac:dyDescent="0.3">
      <c r="A3991" t="s">
        <v>4079</v>
      </c>
      <c r="B3991" s="1">
        <v>45878</v>
      </c>
      <c r="C3991">
        <v>2025</v>
      </c>
      <c r="D3991" t="s">
        <v>1187</v>
      </c>
      <c r="E3991" t="s">
        <v>1356</v>
      </c>
      <c r="F3991" t="s">
        <v>24</v>
      </c>
      <c r="G3991" t="s">
        <v>46</v>
      </c>
      <c r="H3991" t="s">
        <v>32</v>
      </c>
      <c r="I3991" t="s">
        <v>70</v>
      </c>
      <c r="J3991" t="s">
        <v>87</v>
      </c>
      <c r="K3991">
        <v>1</v>
      </c>
      <c r="L3991" s="2">
        <v>490.3</v>
      </c>
      <c r="M3991" s="3">
        <v>0</v>
      </c>
      <c r="N3991" t="s">
        <v>38</v>
      </c>
      <c r="O3991" s="2">
        <v>490.3</v>
      </c>
      <c r="P3991" s="2">
        <v>395.19</v>
      </c>
      <c r="Q3991" s="2">
        <v>95.11</v>
      </c>
      <c r="R3991">
        <v>1</v>
      </c>
      <c r="S3991">
        <v>0</v>
      </c>
      <c r="T3991">
        <v>8</v>
      </c>
      <c r="U3991">
        <v>3</v>
      </c>
    </row>
    <row r="3992" spans="1:21" ht="16.5" x14ac:dyDescent="0.3">
      <c r="A3992" t="s">
        <v>4080</v>
      </c>
      <c r="B3992" s="1">
        <v>45878</v>
      </c>
      <c r="C3992">
        <v>2025</v>
      </c>
      <c r="D3992" t="s">
        <v>1187</v>
      </c>
      <c r="E3992" t="s">
        <v>1356</v>
      </c>
      <c r="F3992" t="s">
        <v>24</v>
      </c>
      <c r="G3992" t="s">
        <v>49</v>
      </c>
      <c r="H3992" t="s">
        <v>32</v>
      </c>
      <c r="I3992" t="s">
        <v>27</v>
      </c>
      <c r="J3992" t="s">
        <v>33</v>
      </c>
      <c r="K3992">
        <v>1</v>
      </c>
      <c r="L3992" s="2">
        <v>78.510000000000005</v>
      </c>
      <c r="M3992" s="3">
        <v>0</v>
      </c>
      <c r="N3992" t="s">
        <v>38</v>
      </c>
      <c r="O3992" s="2">
        <v>78.510000000000005</v>
      </c>
      <c r="P3992" s="2">
        <v>43.12</v>
      </c>
      <c r="Q3992" s="2">
        <v>35.39</v>
      </c>
      <c r="R3992">
        <v>1</v>
      </c>
      <c r="S3992">
        <v>0</v>
      </c>
      <c r="T3992">
        <v>5</v>
      </c>
      <c r="U3992">
        <v>5</v>
      </c>
    </row>
    <row r="3993" spans="1:21" ht="16.5" x14ac:dyDescent="0.3">
      <c r="A3993" t="s">
        <v>4081</v>
      </c>
      <c r="B3993" s="1">
        <v>45878</v>
      </c>
      <c r="C3993">
        <v>2025</v>
      </c>
      <c r="D3993" t="s">
        <v>1187</v>
      </c>
      <c r="E3993" t="s">
        <v>1356</v>
      </c>
      <c r="F3993" t="s">
        <v>24</v>
      </c>
      <c r="G3993" t="s">
        <v>65</v>
      </c>
      <c r="H3993" t="s">
        <v>32</v>
      </c>
      <c r="I3993" t="s">
        <v>36</v>
      </c>
      <c r="J3993" t="s">
        <v>56</v>
      </c>
      <c r="K3993">
        <v>2</v>
      </c>
      <c r="L3993" s="2">
        <v>74.3</v>
      </c>
      <c r="M3993" s="3">
        <v>0</v>
      </c>
      <c r="N3993" t="s">
        <v>38</v>
      </c>
      <c r="O3993" s="2">
        <v>148.6</v>
      </c>
      <c r="P3993" s="2">
        <v>74.06</v>
      </c>
      <c r="Q3993" s="2">
        <v>74.540000000000006</v>
      </c>
      <c r="R3993">
        <v>1</v>
      </c>
      <c r="S3993">
        <v>0</v>
      </c>
      <c r="T3993">
        <v>7</v>
      </c>
      <c r="U3993">
        <v>3</v>
      </c>
    </row>
    <row r="3994" spans="1:21" ht="16.5" x14ac:dyDescent="0.3">
      <c r="A3994" t="s">
        <v>4082</v>
      </c>
      <c r="B3994" s="1">
        <v>45878</v>
      </c>
      <c r="C3994">
        <v>2025</v>
      </c>
      <c r="D3994" t="s">
        <v>1187</v>
      </c>
      <c r="E3994" t="s">
        <v>1356</v>
      </c>
      <c r="F3994" t="s">
        <v>24</v>
      </c>
      <c r="G3994" t="s">
        <v>49</v>
      </c>
      <c r="H3994" t="s">
        <v>32</v>
      </c>
      <c r="I3994" t="s">
        <v>70</v>
      </c>
      <c r="J3994" t="s">
        <v>252</v>
      </c>
      <c r="K3994">
        <v>1</v>
      </c>
      <c r="L3994" s="2">
        <v>216.08</v>
      </c>
      <c r="M3994" s="3">
        <v>0</v>
      </c>
      <c r="N3994" t="s">
        <v>38</v>
      </c>
      <c r="O3994" s="2">
        <v>216.08</v>
      </c>
      <c r="P3994" s="2">
        <v>173.01</v>
      </c>
      <c r="Q3994" s="2">
        <v>43.07</v>
      </c>
      <c r="R3994">
        <v>1</v>
      </c>
      <c r="S3994">
        <v>0</v>
      </c>
      <c r="T3994">
        <v>5</v>
      </c>
      <c r="U3994">
        <v>4</v>
      </c>
    </row>
    <row r="3995" spans="1:21" ht="16.5" x14ac:dyDescent="0.3">
      <c r="A3995" t="s">
        <v>4083</v>
      </c>
      <c r="B3995" s="1">
        <v>45879</v>
      </c>
      <c r="C3995">
        <v>2025</v>
      </c>
      <c r="D3995" t="s">
        <v>1187</v>
      </c>
      <c r="E3995" t="s">
        <v>1356</v>
      </c>
      <c r="F3995" t="s">
        <v>24</v>
      </c>
      <c r="G3995" t="s">
        <v>49</v>
      </c>
      <c r="H3995" t="s">
        <v>26</v>
      </c>
      <c r="I3995" t="s">
        <v>70</v>
      </c>
      <c r="J3995" t="s">
        <v>162</v>
      </c>
      <c r="K3995">
        <v>1</v>
      </c>
      <c r="L3995" s="2">
        <v>636.09</v>
      </c>
      <c r="M3995" s="3">
        <v>0.1</v>
      </c>
      <c r="N3995" t="s">
        <v>29</v>
      </c>
      <c r="O3995" s="2">
        <v>572.48</v>
      </c>
      <c r="P3995" s="2">
        <v>498.5</v>
      </c>
      <c r="Q3995" s="2">
        <v>73.98</v>
      </c>
      <c r="R3995">
        <v>1</v>
      </c>
      <c r="S3995">
        <v>0</v>
      </c>
      <c r="T3995">
        <v>5</v>
      </c>
      <c r="U3995">
        <v>4</v>
      </c>
    </row>
    <row r="3996" spans="1:21" ht="16.5" x14ac:dyDescent="0.3">
      <c r="A3996" t="s">
        <v>4084</v>
      </c>
      <c r="B3996" s="1">
        <v>45879</v>
      </c>
      <c r="C3996">
        <v>2025</v>
      </c>
      <c r="D3996" t="s">
        <v>1187</v>
      </c>
      <c r="E3996" t="s">
        <v>1356</v>
      </c>
      <c r="F3996" t="s">
        <v>45</v>
      </c>
      <c r="G3996" t="s">
        <v>51</v>
      </c>
      <c r="H3996" t="s">
        <v>32</v>
      </c>
      <c r="I3996" t="s">
        <v>42</v>
      </c>
      <c r="J3996" t="s">
        <v>43</v>
      </c>
      <c r="K3996">
        <v>1</v>
      </c>
      <c r="L3996" s="2">
        <v>154.66</v>
      </c>
      <c r="M3996" s="3">
        <v>0.15</v>
      </c>
      <c r="N3996" t="s">
        <v>34</v>
      </c>
      <c r="O3996" s="2">
        <v>131.46</v>
      </c>
      <c r="P3996" s="2">
        <v>105.7</v>
      </c>
      <c r="Q3996" s="2">
        <v>25.76</v>
      </c>
      <c r="R3996">
        <v>1</v>
      </c>
      <c r="S3996">
        <v>0</v>
      </c>
      <c r="T3996">
        <v>2</v>
      </c>
      <c r="U3996">
        <v>5</v>
      </c>
    </row>
    <row r="3997" spans="1:21" ht="16.5" x14ac:dyDescent="0.3">
      <c r="A3997" t="s">
        <v>4085</v>
      </c>
      <c r="B3997" s="1">
        <v>45879</v>
      </c>
      <c r="C3997">
        <v>2025</v>
      </c>
      <c r="D3997" t="s">
        <v>1187</v>
      </c>
      <c r="E3997" t="s">
        <v>1356</v>
      </c>
      <c r="F3997" t="s">
        <v>45</v>
      </c>
      <c r="G3997" t="s">
        <v>51</v>
      </c>
      <c r="H3997" t="s">
        <v>32</v>
      </c>
      <c r="I3997" t="s">
        <v>36</v>
      </c>
      <c r="J3997" t="s">
        <v>37</v>
      </c>
      <c r="K3997">
        <v>1</v>
      </c>
      <c r="L3997" s="2">
        <v>33.18</v>
      </c>
      <c r="M3997" s="3">
        <v>0.15</v>
      </c>
      <c r="N3997" t="s">
        <v>34</v>
      </c>
      <c r="O3997" s="2">
        <v>28.2</v>
      </c>
      <c r="P3997" s="2">
        <v>15.42</v>
      </c>
      <c r="Q3997" s="2">
        <v>12.78</v>
      </c>
      <c r="R3997">
        <v>1</v>
      </c>
      <c r="S3997">
        <v>0</v>
      </c>
      <c r="T3997">
        <v>2</v>
      </c>
      <c r="U3997">
        <v>4</v>
      </c>
    </row>
    <row r="3998" spans="1:21" ht="16.5" x14ac:dyDescent="0.3">
      <c r="A3998" t="s">
        <v>4086</v>
      </c>
      <c r="B3998" s="1">
        <v>45879</v>
      </c>
      <c r="C3998">
        <v>2025</v>
      </c>
      <c r="D3998" t="s">
        <v>1187</v>
      </c>
      <c r="E3998" t="s">
        <v>1356</v>
      </c>
      <c r="F3998" t="s">
        <v>45</v>
      </c>
      <c r="G3998" t="s">
        <v>25</v>
      </c>
      <c r="H3998" t="s">
        <v>26</v>
      </c>
      <c r="I3998" t="s">
        <v>70</v>
      </c>
      <c r="J3998" t="s">
        <v>71</v>
      </c>
      <c r="K3998">
        <v>1</v>
      </c>
      <c r="L3998" s="2">
        <v>588.41</v>
      </c>
      <c r="M3998" s="3">
        <v>0.1</v>
      </c>
      <c r="N3998" t="s">
        <v>29</v>
      </c>
      <c r="O3998" s="2">
        <v>529.57000000000005</v>
      </c>
      <c r="P3998" s="2">
        <v>447.5</v>
      </c>
      <c r="Q3998" s="2">
        <v>82.07</v>
      </c>
      <c r="R3998">
        <v>1</v>
      </c>
      <c r="S3998">
        <v>0</v>
      </c>
      <c r="T3998">
        <v>3</v>
      </c>
      <c r="U3998">
        <v>5</v>
      </c>
    </row>
    <row r="3999" spans="1:21" ht="16.5" x14ac:dyDescent="0.3">
      <c r="A3999" t="s">
        <v>4087</v>
      </c>
      <c r="B3999" s="1">
        <v>45879</v>
      </c>
      <c r="C3999">
        <v>2025</v>
      </c>
      <c r="D3999" t="s">
        <v>1187</v>
      </c>
      <c r="E3999" t="s">
        <v>1356</v>
      </c>
      <c r="F3999" t="s">
        <v>31</v>
      </c>
      <c r="G3999" t="s">
        <v>46</v>
      </c>
      <c r="H3999" t="s">
        <v>32</v>
      </c>
      <c r="I3999" t="s">
        <v>36</v>
      </c>
      <c r="J3999" t="s">
        <v>52</v>
      </c>
      <c r="K3999">
        <v>1</v>
      </c>
      <c r="L3999" s="2">
        <v>92.54</v>
      </c>
      <c r="M3999" s="3">
        <v>0</v>
      </c>
      <c r="N3999" t="s">
        <v>38</v>
      </c>
      <c r="O3999" s="2">
        <v>92.54</v>
      </c>
      <c r="P3999" s="2">
        <v>43.52</v>
      </c>
      <c r="Q3999" s="2">
        <v>49.02</v>
      </c>
      <c r="R3999">
        <v>1</v>
      </c>
      <c r="S3999">
        <v>0</v>
      </c>
      <c r="T3999">
        <v>5</v>
      </c>
      <c r="U3999">
        <v>5</v>
      </c>
    </row>
    <row r="4000" spans="1:21" ht="16.5" x14ac:dyDescent="0.3">
      <c r="A4000" t="s">
        <v>4088</v>
      </c>
      <c r="B4000" s="1">
        <v>45879</v>
      </c>
      <c r="C4000">
        <v>2025</v>
      </c>
      <c r="D4000" t="s">
        <v>1187</v>
      </c>
      <c r="E4000" t="s">
        <v>1356</v>
      </c>
      <c r="F4000" t="s">
        <v>24</v>
      </c>
      <c r="G4000" t="s">
        <v>25</v>
      </c>
      <c r="H4000" t="s">
        <v>26</v>
      </c>
      <c r="I4000" t="s">
        <v>67</v>
      </c>
      <c r="J4000" t="s">
        <v>68</v>
      </c>
      <c r="K4000">
        <v>1</v>
      </c>
      <c r="L4000" s="2">
        <v>74.459999999999994</v>
      </c>
      <c r="M4000" s="3">
        <v>0.2</v>
      </c>
      <c r="N4000" t="s">
        <v>34</v>
      </c>
      <c r="O4000" s="2">
        <v>59.57</v>
      </c>
      <c r="P4000" s="2">
        <v>48.7</v>
      </c>
      <c r="Q4000" s="2">
        <v>10.87</v>
      </c>
      <c r="R4000">
        <v>1</v>
      </c>
      <c r="S4000">
        <v>0</v>
      </c>
      <c r="T4000">
        <v>3</v>
      </c>
      <c r="U4000">
        <v>5</v>
      </c>
    </row>
    <row r="4001" spans="1:21" ht="16.5" x14ac:dyDescent="0.3">
      <c r="A4001" t="s">
        <v>4089</v>
      </c>
      <c r="B4001" s="1">
        <v>45879</v>
      </c>
      <c r="C4001">
        <v>2025</v>
      </c>
      <c r="D4001" t="s">
        <v>1187</v>
      </c>
      <c r="E4001" t="s">
        <v>1356</v>
      </c>
      <c r="F4001" t="s">
        <v>45</v>
      </c>
      <c r="G4001" t="s">
        <v>65</v>
      </c>
      <c r="H4001" t="s">
        <v>32</v>
      </c>
      <c r="I4001" t="s">
        <v>67</v>
      </c>
      <c r="J4001" t="s">
        <v>93</v>
      </c>
      <c r="K4001">
        <v>2</v>
      </c>
      <c r="L4001" s="2">
        <v>198.42</v>
      </c>
      <c r="M4001" s="3">
        <v>0</v>
      </c>
      <c r="N4001" t="s">
        <v>38</v>
      </c>
      <c r="O4001" s="2">
        <v>396.84</v>
      </c>
      <c r="P4001" s="2">
        <v>274.89</v>
      </c>
      <c r="Q4001" s="2">
        <v>121.95</v>
      </c>
      <c r="R4001">
        <v>1</v>
      </c>
      <c r="S4001">
        <v>0</v>
      </c>
      <c r="T4001">
        <v>5</v>
      </c>
      <c r="U4001">
        <v>5</v>
      </c>
    </row>
    <row r="4002" spans="1:21" ht="16.5" x14ac:dyDescent="0.3">
      <c r="A4002" t="s">
        <v>4090</v>
      </c>
      <c r="B4002" s="1">
        <v>45879</v>
      </c>
      <c r="C4002">
        <v>2025</v>
      </c>
      <c r="D4002" t="s">
        <v>1187</v>
      </c>
      <c r="E4002" t="s">
        <v>1356</v>
      </c>
      <c r="F4002" t="s">
        <v>31</v>
      </c>
      <c r="G4002" t="s">
        <v>25</v>
      </c>
      <c r="H4002" t="s">
        <v>26</v>
      </c>
      <c r="I4002" t="s">
        <v>67</v>
      </c>
      <c r="J4002" t="s">
        <v>93</v>
      </c>
      <c r="K4002">
        <v>3</v>
      </c>
      <c r="L4002" s="2">
        <v>198.42</v>
      </c>
      <c r="M4002" s="3">
        <v>0</v>
      </c>
      <c r="N4002" t="s">
        <v>38</v>
      </c>
      <c r="O4002" s="2">
        <v>595.26</v>
      </c>
      <c r="P4002" s="2">
        <v>413.55</v>
      </c>
      <c r="Q4002" s="2">
        <v>181.71</v>
      </c>
      <c r="R4002">
        <v>1</v>
      </c>
      <c r="S4002">
        <v>0</v>
      </c>
      <c r="T4002">
        <v>4</v>
      </c>
      <c r="U4002">
        <v>4</v>
      </c>
    </row>
    <row r="4003" spans="1:21" ht="16.5" x14ac:dyDescent="0.3">
      <c r="A4003" t="s">
        <v>4091</v>
      </c>
      <c r="B4003" s="1">
        <v>45880</v>
      </c>
      <c r="C4003">
        <v>2025</v>
      </c>
      <c r="D4003" t="s">
        <v>1187</v>
      </c>
      <c r="E4003" t="s">
        <v>1356</v>
      </c>
      <c r="F4003" t="s">
        <v>45</v>
      </c>
      <c r="G4003" t="s">
        <v>65</v>
      </c>
      <c r="H4003" t="s">
        <v>32</v>
      </c>
      <c r="I4003" t="s">
        <v>84</v>
      </c>
      <c r="J4003" t="s">
        <v>223</v>
      </c>
      <c r="K4003">
        <v>1</v>
      </c>
      <c r="L4003" s="2">
        <v>16.97</v>
      </c>
      <c r="M4003" s="3">
        <v>0</v>
      </c>
      <c r="N4003" t="s">
        <v>38</v>
      </c>
      <c r="O4003" s="2">
        <v>16.97</v>
      </c>
      <c r="P4003" s="2">
        <v>12.28</v>
      </c>
      <c r="Q4003" s="2">
        <v>4.6900000000000004</v>
      </c>
      <c r="R4003">
        <v>1</v>
      </c>
      <c r="S4003">
        <v>0</v>
      </c>
      <c r="T4003">
        <v>6</v>
      </c>
      <c r="U4003">
        <v>3</v>
      </c>
    </row>
    <row r="4004" spans="1:21" ht="16.5" x14ac:dyDescent="0.3">
      <c r="A4004" t="s">
        <v>4092</v>
      </c>
      <c r="B4004" s="1">
        <v>45880</v>
      </c>
      <c r="C4004">
        <v>2025</v>
      </c>
      <c r="D4004" t="s">
        <v>1187</v>
      </c>
      <c r="E4004" t="s">
        <v>1356</v>
      </c>
      <c r="F4004" t="s">
        <v>24</v>
      </c>
      <c r="G4004" t="s">
        <v>51</v>
      </c>
      <c r="H4004" t="s">
        <v>32</v>
      </c>
      <c r="I4004" t="s">
        <v>70</v>
      </c>
      <c r="J4004" t="s">
        <v>87</v>
      </c>
      <c r="K4004">
        <v>3</v>
      </c>
      <c r="L4004" s="2">
        <v>490.3</v>
      </c>
      <c r="M4004" s="3">
        <v>0.1</v>
      </c>
      <c r="N4004" t="s">
        <v>29</v>
      </c>
      <c r="O4004" s="2">
        <v>1323.81</v>
      </c>
      <c r="P4004" s="2">
        <v>1202.9100000000001</v>
      </c>
      <c r="Q4004" s="2">
        <v>120.9</v>
      </c>
      <c r="R4004">
        <v>1</v>
      </c>
      <c r="S4004">
        <v>0</v>
      </c>
      <c r="T4004">
        <v>2</v>
      </c>
      <c r="U4004">
        <v>3</v>
      </c>
    </row>
    <row r="4005" spans="1:21" ht="16.5" x14ac:dyDescent="0.3">
      <c r="A4005" t="s">
        <v>4093</v>
      </c>
      <c r="B4005" s="1">
        <v>45880</v>
      </c>
      <c r="C4005">
        <v>2025</v>
      </c>
      <c r="D4005" t="s">
        <v>1187</v>
      </c>
      <c r="E4005" t="s">
        <v>1356</v>
      </c>
      <c r="F4005" t="s">
        <v>24</v>
      </c>
      <c r="G4005" t="s">
        <v>49</v>
      </c>
      <c r="H4005" t="s">
        <v>32</v>
      </c>
      <c r="I4005" t="s">
        <v>84</v>
      </c>
      <c r="J4005" t="s">
        <v>106</v>
      </c>
      <c r="K4005">
        <v>4</v>
      </c>
      <c r="L4005" s="2">
        <v>45.28</v>
      </c>
      <c r="M4005" s="3">
        <v>0</v>
      </c>
      <c r="N4005" t="s">
        <v>38</v>
      </c>
      <c r="O4005" s="2">
        <v>181.12</v>
      </c>
      <c r="P4005" s="2">
        <v>132.5</v>
      </c>
      <c r="Q4005" s="2">
        <v>48.62</v>
      </c>
      <c r="R4005">
        <v>1</v>
      </c>
      <c r="S4005">
        <v>0</v>
      </c>
      <c r="T4005">
        <v>3</v>
      </c>
      <c r="U4005">
        <v>4</v>
      </c>
    </row>
    <row r="4006" spans="1:21" ht="16.5" x14ac:dyDescent="0.3">
      <c r="A4006" t="s">
        <v>4094</v>
      </c>
      <c r="B4006" s="1">
        <v>45880</v>
      </c>
      <c r="C4006">
        <v>2025</v>
      </c>
      <c r="D4006" t="s">
        <v>1187</v>
      </c>
      <c r="E4006" t="s">
        <v>1356</v>
      </c>
      <c r="F4006" t="s">
        <v>24</v>
      </c>
      <c r="G4006" t="s">
        <v>51</v>
      </c>
      <c r="H4006" t="s">
        <v>32</v>
      </c>
      <c r="I4006" t="s">
        <v>70</v>
      </c>
      <c r="J4006" t="s">
        <v>87</v>
      </c>
      <c r="K4006">
        <v>1</v>
      </c>
      <c r="L4006" s="2">
        <v>490.3</v>
      </c>
      <c r="M4006" s="3">
        <v>0.1</v>
      </c>
      <c r="N4006" t="s">
        <v>29</v>
      </c>
      <c r="O4006" s="2">
        <v>441.27</v>
      </c>
      <c r="P4006" s="2">
        <v>393.13</v>
      </c>
      <c r="Q4006" s="2">
        <v>48.14</v>
      </c>
      <c r="R4006">
        <v>1</v>
      </c>
      <c r="S4006">
        <v>0</v>
      </c>
      <c r="T4006">
        <v>2</v>
      </c>
      <c r="U4006">
        <v>4</v>
      </c>
    </row>
    <row r="4007" spans="1:21" ht="16.5" x14ac:dyDescent="0.3">
      <c r="A4007" t="s">
        <v>4095</v>
      </c>
      <c r="B4007" s="1">
        <v>45880</v>
      </c>
      <c r="C4007">
        <v>2025</v>
      </c>
      <c r="D4007" t="s">
        <v>1187</v>
      </c>
      <c r="E4007" t="s">
        <v>1356</v>
      </c>
      <c r="F4007" t="s">
        <v>31</v>
      </c>
      <c r="G4007" t="s">
        <v>49</v>
      </c>
      <c r="H4007" t="s">
        <v>32</v>
      </c>
      <c r="I4007" t="s">
        <v>84</v>
      </c>
      <c r="J4007" t="s">
        <v>106</v>
      </c>
      <c r="K4007">
        <v>2</v>
      </c>
      <c r="L4007" s="2">
        <v>45.28</v>
      </c>
      <c r="M4007" s="3">
        <v>0</v>
      </c>
      <c r="N4007" t="s">
        <v>38</v>
      </c>
      <c r="O4007" s="2">
        <v>90.56</v>
      </c>
      <c r="P4007" s="2">
        <v>64.52</v>
      </c>
      <c r="Q4007" s="2">
        <v>26.04</v>
      </c>
      <c r="R4007">
        <v>1</v>
      </c>
      <c r="S4007">
        <v>0</v>
      </c>
      <c r="T4007">
        <v>5</v>
      </c>
      <c r="U4007">
        <v>4</v>
      </c>
    </row>
    <row r="4008" spans="1:21" ht="16.5" x14ac:dyDescent="0.3">
      <c r="A4008" t="s">
        <v>4096</v>
      </c>
      <c r="B4008" s="1">
        <v>45880</v>
      </c>
      <c r="C4008">
        <v>2025</v>
      </c>
      <c r="D4008" t="s">
        <v>1187</v>
      </c>
      <c r="E4008" t="s">
        <v>1356</v>
      </c>
      <c r="F4008" t="s">
        <v>45</v>
      </c>
      <c r="G4008" t="s">
        <v>25</v>
      </c>
      <c r="H4008" t="s">
        <v>26</v>
      </c>
      <c r="I4008" t="s">
        <v>42</v>
      </c>
      <c r="J4008" t="s">
        <v>43</v>
      </c>
      <c r="K4008">
        <v>1</v>
      </c>
      <c r="L4008" s="2">
        <v>154.66</v>
      </c>
      <c r="M4008" s="3">
        <v>0.1</v>
      </c>
      <c r="N4008" t="s">
        <v>29</v>
      </c>
      <c r="O4008" s="2">
        <v>139.19</v>
      </c>
      <c r="P4008" s="2">
        <v>103.2</v>
      </c>
      <c r="Q4008" s="2">
        <v>35.99</v>
      </c>
      <c r="R4008">
        <v>1</v>
      </c>
      <c r="S4008">
        <v>0</v>
      </c>
      <c r="T4008">
        <v>3</v>
      </c>
      <c r="U4008">
        <v>4</v>
      </c>
    </row>
    <row r="4009" spans="1:21" ht="16.5" x14ac:dyDescent="0.3">
      <c r="A4009" t="s">
        <v>4097</v>
      </c>
      <c r="B4009" s="1">
        <v>45880</v>
      </c>
      <c r="C4009">
        <v>2025</v>
      </c>
      <c r="D4009" t="s">
        <v>1187</v>
      </c>
      <c r="E4009" t="s">
        <v>1356</v>
      </c>
      <c r="F4009" t="s">
        <v>31</v>
      </c>
      <c r="G4009" t="s">
        <v>49</v>
      </c>
      <c r="H4009" t="s">
        <v>26</v>
      </c>
      <c r="I4009" t="s">
        <v>42</v>
      </c>
      <c r="J4009" t="s">
        <v>76</v>
      </c>
      <c r="K4009">
        <v>2</v>
      </c>
      <c r="L4009" s="2">
        <v>90.75</v>
      </c>
      <c r="M4009" s="3">
        <v>0.25</v>
      </c>
      <c r="N4009" t="s">
        <v>62</v>
      </c>
      <c r="O4009" s="2">
        <v>136.12</v>
      </c>
      <c r="P4009" s="2">
        <v>117.46</v>
      </c>
      <c r="Q4009" s="2">
        <v>18.66</v>
      </c>
      <c r="R4009">
        <v>1</v>
      </c>
      <c r="S4009">
        <v>0</v>
      </c>
      <c r="T4009">
        <v>4</v>
      </c>
      <c r="U4009">
        <v>5</v>
      </c>
    </row>
    <row r="4010" spans="1:21" ht="16.5" x14ac:dyDescent="0.3">
      <c r="A4010" t="s">
        <v>4098</v>
      </c>
      <c r="B4010" s="1">
        <v>45880</v>
      </c>
      <c r="C4010">
        <v>2025</v>
      </c>
      <c r="D4010" t="s">
        <v>1187</v>
      </c>
      <c r="E4010" t="s">
        <v>1356</v>
      </c>
      <c r="F4010" t="s">
        <v>31</v>
      </c>
      <c r="G4010" t="s">
        <v>51</v>
      </c>
      <c r="H4010" t="s">
        <v>32</v>
      </c>
      <c r="I4010" t="s">
        <v>36</v>
      </c>
      <c r="J4010" t="s">
        <v>56</v>
      </c>
      <c r="K4010">
        <v>1</v>
      </c>
      <c r="L4010" s="2">
        <v>74.3</v>
      </c>
      <c r="M4010" s="3">
        <v>0.05</v>
      </c>
      <c r="N4010" t="s">
        <v>29</v>
      </c>
      <c r="O4010" s="2">
        <v>70.58</v>
      </c>
      <c r="P4010" s="2">
        <v>34.71</v>
      </c>
      <c r="Q4010" s="2">
        <v>35.869999999999997</v>
      </c>
      <c r="R4010">
        <v>1</v>
      </c>
      <c r="S4010">
        <v>0</v>
      </c>
      <c r="T4010">
        <v>6</v>
      </c>
      <c r="U4010">
        <v>3</v>
      </c>
    </row>
    <row r="4011" spans="1:21" ht="16.5" x14ac:dyDescent="0.3">
      <c r="A4011" t="s">
        <v>4099</v>
      </c>
      <c r="B4011" s="1">
        <v>45880</v>
      </c>
      <c r="C4011">
        <v>2025</v>
      </c>
      <c r="D4011" t="s">
        <v>1187</v>
      </c>
      <c r="E4011" t="s">
        <v>1356</v>
      </c>
      <c r="F4011" t="s">
        <v>31</v>
      </c>
      <c r="G4011" t="s">
        <v>25</v>
      </c>
      <c r="H4011" t="s">
        <v>26</v>
      </c>
      <c r="I4011" t="s">
        <v>42</v>
      </c>
      <c r="J4011" t="s">
        <v>43</v>
      </c>
      <c r="K4011">
        <v>1</v>
      </c>
      <c r="L4011" s="2">
        <v>154.66</v>
      </c>
      <c r="M4011" s="3">
        <v>0</v>
      </c>
      <c r="N4011" t="s">
        <v>38</v>
      </c>
      <c r="O4011" s="2">
        <v>154.66</v>
      </c>
      <c r="P4011" s="2">
        <v>105.44</v>
      </c>
      <c r="Q4011" s="2">
        <v>49.22</v>
      </c>
      <c r="R4011">
        <v>1</v>
      </c>
      <c r="S4011">
        <v>0</v>
      </c>
      <c r="T4011">
        <v>3</v>
      </c>
      <c r="U4011">
        <v>5</v>
      </c>
    </row>
    <row r="4012" spans="1:21" ht="16.5" x14ac:dyDescent="0.3">
      <c r="A4012" t="s">
        <v>4100</v>
      </c>
      <c r="B4012" s="1">
        <v>45881</v>
      </c>
      <c r="C4012">
        <v>2025</v>
      </c>
      <c r="D4012" t="s">
        <v>1187</v>
      </c>
      <c r="E4012" t="s">
        <v>1356</v>
      </c>
      <c r="F4012" t="s">
        <v>31</v>
      </c>
      <c r="G4012" t="s">
        <v>25</v>
      </c>
      <c r="H4012" t="s">
        <v>26</v>
      </c>
      <c r="I4012" t="s">
        <v>42</v>
      </c>
      <c r="J4012" t="s">
        <v>43</v>
      </c>
      <c r="K4012">
        <v>1</v>
      </c>
      <c r="L4012" s="2">
        <v>154.66</v>
      </c>
      <c r="M4012" s="3">
        <v>0</v>
      </c>
      <c r="N4012" t="s">
        <v>38</v>
      </c>
      <c r="O4012" s="2">
        <v>154.66</v>
      </c>
      <c r="P4012" s="2">
        <v>105.37</v>
      </c>
      <c r="Q4012" s="2">
        <v>49.29</v>
      </c>
      <c r="R4012">
        <v>1</v>
      </c>
      <c r="S4012">
        <v>0</v>
      </c>
      <c r="T4012">
        <v>4</v>
      </c>
      <c r="U4012">
        <v>5</v>
      </c>
    </row>
    <row r="4013" spans="1:21" ht="16.5" x14ac:dyDescent="0.3">
      <c r="A4013" t="s">
        <v>4101</v>
      </c>
      <c r="B4013" s="1">
        <v>45881</v>
      </c>
      <c r="C4013">
        <v>2025</v>
      </c>
      <c r="D4013" t="s">
        <v>1187</v>
      </c>
      <c r="E4013" t="s">
        <v>1356</v>
      </c>
      <c r="F4013" t="s">
        <v>24</v>
      </c>
      <c r="G4013" t="s">
        <v>51</v>
      </c>
      <c r="H4013" t="s">
        <v>26</v>
      </c>
      <c r="I4013" t="s">
        <v>42</v>
      </c>
      <c r="J4013" t="s">
        <v>89</v>
      </c>
      <c r="K4013">
        <v>1</v>
      </c>
      <c r="L4013" s="2">
        <v>68.349999999999994</v>
      </c>
      <c r="M4013" s="3">
        <v>0</v>
      </c>
      <c r="N4013" t="s">
        <v>38</v>
      </c>
      <c r="O4013" s="2">
        <v>68.349999999999994</v>
      </c>
      <c r="P4013" s="2">
        <v>46.63</v>
      </c>
      <c r="Q4013" s="2">
        <v>21.72</v>
      </c>
      <c r="R4013">
        <v>1</v>
      </c>
      <c r="S4013">
        <v>0</v>
      </c>
      <c r="T4013">
        <v>2</v>
      </c>
      <c r="U4013">
        <v>5</v>
      </c>
    </row>
    <row r="4014" spans="1:21" ht="16.5" x14ac:dyDescent="0.3">
      <c r="A4014" t="s">
        <v>4102</v>
      </c>
      <c r="B4014" s="1">
        <v>45881</v>
      </c>
      <c r="C4014">
        <v>2025</v>
      </c>
      <c r="D4014" t="s">
        <v>1187</v>
      </c>
      <c r="E4014" t="s">
        <v>1356</v>
      </c>
      <c r="F4014" t="s">
        <v>31</v>
      </c>
      <c r="G4014" t="s">
        <v>46</v>
      </c>
      <c r="H4014" t="s">
        <v>32</v>
      </c>
      <c r="I4014" t="s">
        <v>42</v>
      </c>
      <c r="J4014" t="s">
        <v>58</v>
      </c>
      <c r="K4014">
        <v>1</v>
      </c>
      <c r="L4014" s="2">
        <v>233.81</v>
      </c>
      <c r="M4014" s="3">
        <v>0.05</v>
      </c>
      <c r="N4014" t="s">
        <v>29</v>
      </c>
      <c r="O4014" s="2">
        <v>222.12</v>
      </c>
      <c r="P4014" s="2">
        <v>151.44999999999999</v>
      </c>
      <c r="Q4014" s="2">
        <v>70.67</v>
      </c>
      <c r="R4014">
        <v>1</v>
      </c>
      <c r="S4014">
        <v>0</v>
      </c>
      <c r="T4014">
        <v>7</v>
      </c>
      <c r="U4014">
        <v>5</v>
      </c>
    </row>
    <row r="4015" spans="1:21" ht="16.5" x14ac:dyDescent="0.3">
      <c r="A4015" t="s">
        <v>4103</v>
      </c>
      <c r="B4015" s="1">
        <v>45881</v>
      </c>
      <c r="C4015">
        <v>2025</v>
      </c>
      <c r="D4015" t="s">
        <v>1187</v>
      </c>
      <c r="E4015" t="s">
        <v>1356</v>
      </c>
      <c r="F4015" t="s">
        <v>24</v>
      </c>
      <c r="G4015" t="s">
        <v>51</v>
      </c>
      <c r="H4015" t="s">
        <v>26</v>
      </c>
      <c r="I4015" t="s">
        <v>36</v>
      </c>
      <c r="J4015" t="s">
        <v>37</v>
      </c>
      <c r="K4015">
        <v>1</v>
      </c>
      <c r="L4015" s="2">
        <v>33.18</v>
      </c>
      <c r="M4015" s="3">
        <v>0.1</v>
      </c>
      <c r="N4015" t="s">
        <v>29</v>
      </c>
      <c r="O4015" s="2">
        <v>29.86</v>
      </c>
      <c r="P4015" s="2">
        <v>15.96</v>
      </c>
      <c r="Q4015" s="2">
        <v>13.9</v>
      </c>
      <c r="R4015">
        <v>1</v>
      </c>
      <c r="S4015">
        <v>0</v>
      </c>
      <c r="T4015">
        <v>2</v>
      </c>
      <c r="U4015">
        <v>4</v>
      </c>
    </row>
    <row r="4016" spans="1:21" ht="16.5" x14ac:dyDescent="0.3">
      <c r="A4016" t="s">
        <v>4104</v>
      </c>
      <c r="B4016" s="1">
        <v>45881</v>
      </c>
      <c r="C4016">
        <v>2025</v>
      </c>
      <c r="D4016" t="s">
        <v>1187</v>
      </c>
      <c r="E4016" t="s">
        <v>1356</v>
      </c>
      <c r="F4016" t="s">
        <v>24</v>
      </c>
      <c r="G4016" t="s">
        <v>51</v>
      </c>
      <c r="H4016" t="s">
        <v>26</v>
      </c>
      <c r="I4016" t="s">
        <v>84</v>
      </c>
      <c r="J4016" t="s">
        <v>132</v>
      </c>
      <c r="K4016">
        <v>1</v>
      </c>
      <c r="L4016" s="2">
        <v>48.86</v>
      </c>
      <c r="M4016" s="3">
        <v>0.2</v>
      </c>
      <c r="N4016" t="s">
        <v>34</v>
      </c>
      <c r="O4016" s="2">
        <v>39.090000000000003</v>
      </c>
      <c r="P4016" s="2">
        <v>35.049999999999997</v>
      </c>
      <c r="Q4016" s="2">
        <v>4.04</v>
      </c>
      <c r="R4016">
        <v>1</v>
      </c>
      <c r="S4016">
        <v>0</v>
      </c>
      <c r="T4016">
        <v>3</v>
      </c>
      <c r="U4016">
        <v>5</v>
      </c>
    </row>
    <row r="4017" spans="1:21" ht="16.5" x14ac:dyDescent="0.3">
      <c r="A4017" t="s">
        <v>4105</v>
      </c>
      <c r="B4017" s="1">
        <v>45882</v>
      </c>
      <c r="C4017">
        <v>2025</v>
      </c>
      <c r="D4017" t="s">
        <v>1187</v>
      </c>
      <c r="E4017" t="s">
        <v>1356</v>
      </c>
      <c r="F4017" t="s">
        <v>31</v>
      </c>
      <c r="G4017" t="s">
        <v>51</v>
      </c>
      <c r="H4017" t="s">
        <v>26</v>
      </c>
      <c r="I4017" t="s">
        <v>42</v>
      </c>
      <c r="J4017" t="s">
        <v>76</v>
      </c>
      <c r="K4017">
        <v>2</v>
      </c>
      <c r="L4017" s="2">
        <v>90.75</v>
      </c>
      <c r="M4017" s="3">
        <v>0.15</v>
      </c>
      <c r="N4017" t="s">
        <v>34</v>
      </c>
      <c r="O4017" s="2">
        <v>154.28</v>
      </c>
      <c r="P4017" s="2">
        <v>121.33</v>
      </c>
      <c r="Q4017" s="2">
        <v>32.950000000000003</v>
      </c>
      <c r="R4017">
        <v>1</v>
      </c>
      <c r="S4017">
        <v>0</v>
      </c>
      <c r="T4017">
        <v>5</v>
      </c>
      <c r="U4017">
        <v>5</v>
      </c>
    </row>
    <row r="4018" spans="1:21" ht="16.5" x14ac:dyDescent="0.3">
      <c r="A4018" t="s">
        <v>4106</v>
      </c>
      <c r="B4018" s="1">
        <v>45882</v>
      </c>
      <c r="C4018">
        <v>2025</v>
      </c>
      <c r="D4018" t="s">
        <v>1187</v>
      </c>
      <c r="E4018" t="s">
        <v>1356</v>
      </c>
      <c r="F4018" t="s">
        <v>31</v>
      </c>
      <c r="G4018" t="s">
        <v>49</v>
      </c>
      <c r="H4018" t="s">
        <v>32</v>
      </c>
      <c r="I4018" t="s">
        <v>27</v>
      </c>
      <c r="J4018" t="s">
        <v>40</v>
      </c>
      <c r="K4018">
        <v>1</v>
      </c>
      <c r="L4018" s="2">
        <v>104.94</v>
      </c>
      <c r="M4018" s="3">
        <v>0.05</v>
      </c>
      <c r="N4018" t="s">
        <v>29</v>
      </c>
      <c r="O4018" s="2">
        <v>99.69</v>
      </c>
      <c r="P4018" s="2">
        <v>58.71</v>
      </c>
      <c r="Q4018" s="2">
        <v>40.98</v>
      </c>
      <c r="R4018">
        <v>1</v>
      </c>
      <c r="S4018">
        <v>0</v>
      </c>
      <c r="T4018">
        <v>3</v>
      </c>
      <c r="U4018">
        <v>4</v>
      </c>
    </row>
    <row r="4019" spans="1:21" ht="16.5" x14ac:dyDescent="0.3">
      <c r="A4019" t="s">
        <v>4107</v>
      </c>
      <c r="B4019" s="1">
        <v>45882</v>
      </c>
      <c r="C4019">
        <v>2025</v>
      </c>
      <c r="D4019" t="s">
        <v>1187</v>
      </c>
      <c r="E4019" t="s">
        <v>1356</v>
      </c>
      <c r="F4019" t="s">
        <v>24</v>
      </c>
      <c r="G4019" t="s">
        <v>51</v>
      </c>
      <c r="H4019" t="s">
        <v>26</v>
      </c>
      <c r="I4019" t="s">
        <v>27</v>
      </c>
      <c r="J4019" t="s">
        <v>40</v>
      </c>
      <c r="K4019">
        <v>1</v>
      </c>
      <c r="L4019" s="2">
        <v>104.94</v>
      </c>
      <c r="M4019" s="3">
        <v>0.1</v>
      </c>
      <c r="N4019" t="s">
        <v>29</v>
      </c>
      <c r="O4019" s="2">
        <v>94.45</v>
      </c>
      <c r="P4019" s="2">
        <v>57.74</v>
      </c>
      <c r="Q4019" s="2">
        <v>36.71</v>
      </c>
      <c r="R4019">
        <v>1</v>
      </c>
      <c r="S4019">
        <v>0</v>
      </c>
      <c r="T4019">
        <v>5</v>
      </c>
      <c r="U4019">
        <v>4</v>
      </c>
    </row>
    <row r="4020" spans="1:21" ht="16.5" x14ac:dyDescent="0.3">
      <c r="A4020" t="s">
        <v>4108</v>
      </c>
      <c r="B4020" s="1">
        <v>45882</v>
      </c>
      <c r="C4020">
        <v>2025</v>
      </c>
      <c r="D4020" t="s">
        <v>1187</v>
      </c>
      <c r="E4020" t="s">
        <v>1356</v>
      </c>
      <c r="F4020" t="s">
        <v>24</v>
      </c>
      <c r="G4020" t="s">
        <v>49</v>
      </c>
      <c r="H4020" t="s">
        <v>26</v>
      </c>
      <c r="I4020" t="s">
        <v>67</v>
      </c>
      <c r="J4020" t="s">
        <v>78</v>
      </c>
      <c r="K4020">
        <v>1</v>
      </c>
      <c r="L4020" s="2">
        <v>85.42</v>
      </c>
      <c r="M4020" s="3">
        <v>0</v>
      </c>
      <c r="N4020" t="s">
        <v>38</v>
      </c>
      <c r="O4020" s="2">
        <v>85.42</v>
      </c>
      <c r="P4020" s="2">
        <v>57.22</v>
      </c>
      <c r="Q4020" s="2">
        <v>28.2</v>
      </c>
      <c r="R4020">
        <v>1</v>
      </c>
      <c r="S4020">
        <v>0</v>
      </c>
      <c r="T4020">
        <v>5</v>
      </c>
      <c r="U4020">
        <v>5</v>
      </c>
    </row>
    <row r="4021" spans="1:21" ht="16.5" x14ac:dyDescent="0.3">
      <c r="A4021" t="s">
        <v>4109</v>
      </c>
      <c r="B4021" s="1">
        <v>45882</v>
      </c>
      <c r="C4021">
        <v>2025</v>
      </c>
      <c r="D4021" t="s">
        <v>1187</v>
      </c>
      <c r="E4021" t="s">
        <v>1356</v>
      </c>
      <c r="F4021" t="s">
        <v>31</v>
      </c>
      <c r="G4021" t="s">
        <v>25</v>
      </c>
      <c r="H4021" t="s">
        <v>32</v>
      </c>
      <c r="I4021" t="s">
        <v>67</v>
      </c>
      <c r="J4021" t="s">
        <v>103</v>
      </c>
      <c r="K4021">
        <v>2</v>
      </c>
      <c r="L4021" s="2">
        <v>83.06</v>
      </c>
      <c r="M4021" s="3">
        <v>0</v>
      </c>
      <c r="N4021" t="s">
        <v>38</v>
      </c>
      <c r="O4021" s="2">
        <v>166.12</v>
      </c>
      <c r="P4021" s="2">
        <v>108.71</v>
      </c>
      <c r="Q4021" s="2">
        <v>57.41</v>
      </c>
      <c r="R4021">
        <v>1</v>
      </c>
      <c r="S4021">
        <v>0</v>
      </c>
      <c r="T4021">
        <v>4</v>
      </c>
      <c r="U4021">
        <v>4</v>
      </c>
    </row>
    <row r="4022" spans="1:21" ht="16.5" x14ac:dyDescent="0.3">
      <c r="A4022" t="s">
        <v>4110</v>
      </c>
      <c r="B4022" s="1">
        <v>45883</v>
      </c>
      <c r="C4022">
        <v>2025</v>
      </c>
      <c r="D4022" t="s">
        <v>1187</v>
      </c>
      <c r="E4022" t="s">
        <v>1356</v>
      </c>
      <c r="F4022" t="s">
        <v>24</v>
      </c>
      <c r="G4022" t="s">
        <v>25</v>
      </c>
      <c r="H4022" t="s">
        <v>26</v>
      </c>
      <c r="I4022" t="s">
        <v>84</v>
      </c>
      <c r="J4022" t="s">
        <v>85</v>
      </c>
      <c r="K4022">
        <v>1</v>
      </c>
      <c r="L4022" s="2">
        <v>57.92</v>
      </c>
      <c r="M4022" s="3">
        <v>0</v>
      </c>
      <c r="N4022" t="s">
        <v>38</v>
      </c>
      <c r="O4022" s="2">
        <v>57.92</v>
      </c>
      <c r="P4022" s="2">
        <v>41.28</v>
      </c>
      <c r="Q4022" s="2">
        <v>16.64</v>
      </c>
      <c r="R4022">
        <v>1</v>
      </c>
      <c r="S4022">
        <v>0</v>
      </c>
      <c r="T4022">
        <v>3</v>
      </c>
      <c r="U4022">
        <v>5</v>
      </c>
    </row>
    <row r="4023" spans="1:21" ht="16.5" x14ac:dyDescent="0.3">
      <c r="A4023" t="s">
        <v>4111</v>
      </c>
      <c r="B4023" s="1">
        <v>45883</v>
      </c>
      <c r="C4023">
        <v>2025</v>
      </c>
      <c r="D4023" t="s">
        <v>1187</v>
      </c>
      <c r="E4023" t="s">
        <v>1356</v>
      </c>
      <c r="F4023" t="s">
        <v>24</v>
      </c>
      <c r="G4023" t="s">
        <v>51</v>
      </c>
      <c r="H4023" t="s">
        <v>26</v>
      </c>
      <c r="I4023" t="s">
        <v>70</v>
      </c>
      <c r="J4023" t="s">
        <v>162</v>
      </c>
      <c r="K4023">
        <v>1</v>
      </c>
      <c r="L4023" s="2">
        <v>636.09</v>
      </c>
      <c r="M4023" s="3">
        <v>0</v>
      </c>
      <c r="N4023" t="s">
        <v>38</v>
      </c>
      <c r="O4023" s="2">
        <v>636.09</v>
      </c>
      <c r="P4023" s="2">
        <v>474.39</v>
      </c>
      <c r="Q4023" s="2">
        <v>161.69999999999999</v>
      </c>
      <c r="R4023">
        <v>1</v>
      </c>
      <c r="S4023">
        <v>0</v>
      </c>
      <c r="T4023">
        <v>3</v>
      </c>
      <c r="U4023">
        <v>4</v>
      </c>
    </row>
    <row r="4024" spans="1:21" ht="16.5" x14ac:dyDescent="0.3">
      <c r="A4024" t="s">
        <v>4112</v>
      </c>
      <c r="B4024" s="1">
        <v>45883</v>
      </c>
      <c r="C4024">
        <v>2025</v>
      </c>
      <c r="D4024" t="s">
        <v>1187</v>
      </c>
      <c r="E4024" t="s">
        <v>1356</v>
      </c>
      <c r="F4024" t="s">
        <v>24</v>
      </c>
      <c r="G4024" t="s">
        <v>46</v>
      </c>
      <c r="H4024" t="s">
        <v>32</v>
      </c>
      <c r="I4024" t="s">
        <v>70</v>
      </c>
      <c r="J4024" t="s">
        <v>87</v>
      </c>
      <c r="K4024">
        <v>1</v>
      </c>
      <c r="L4024" s="2">
        <v>490.3</v>
      </c>
      <c r="M4024" s="3">
        <v>0</v>
      </c>
      <c r="N4024" t="s">
        <v>38</v>
      </c>
      <c r="O4024" s="2">
        <v>490.3</v>
      </c>
      <c r="P4024" s="2">
        <v>388.51</v>
      </c>
      <c r="Q4024" s="2">
        <v>101.79</v>
      </c>
      <c r="R4024">
        <v>1</v>
      </c>
      <c r="S4024">
        <v>0</v>
      </c>
      <c r="T4024">
        <v>7</v>
      </c>
      <c r="U4024">
        <v>3</v>
      </c>
    </row>
    <row r="4025" spans="1:21" ht="16.5" x14ac:dyDescent="0.3">
      <c r="A4025" t="s">
        <v>4113</v>
      </c>
      <c r="B4025" s="1">
        <v>45883</v>
      </c>
      <c r="C4025">
        <v>2025</v>
      </c>
      <c r="D4025" t="s">
        <v>1187</v>
      </c>
      <c r="E4025" t="s">
        <v>1356</v>
      </c>
      <c r="F4025" t="s">
        <v>24</v>
      </c>
      <c r="G4025" t="s">
        <v>51</v>
      </c>
      <c r="H4025" t="s">
        <v>26</v>
      </c>
      <c r="I4025" t="s">
        <v>70</v>
      </c>
      <c r="J4025" t="s">
        <v>162</v>
      </c>
      <c r="K4025">
        <v>1</v>
      </c>
      <c r="L4025" s="2">
        <v>636.09</v>
      </c>
      <c r="M4025" s="3">
        <v>0.05</v>
      </c>
      <c r="N4025" t="s">
        <v>29</v>
      </c>
      <c r="O4025" s="2">
        <v>604.29</v>
      </c>
      <c r="P4025" s="2">
        <v>507.68</v>
      </c>
      <c r="Q4025" s="2">
        <v>96.61</v>
      </c>
      <c r="R4025">
        <v>1</v>
      </c>
      <c r="S4025">
        <v>0</v>
      </c>
      <c r="T4025">
        <v>4</v>
      </c>
      <c r="U4025">
        <v>4</v>
      </c>
    </row>
    <row r="4026" spans="1:21" ht="16.5" x14ac:dyDescent="0.3">
      <c r="A4026" t="s">
        <v>4114</v>
      </c>
      <c r="B4026" s="1">
        <v>45883</v>
      </c>
      <c r="C4026">
        <v>2025</v>
      </c>
      <c r="D4026" t="s">
        <v>1187</v>
      </c>
      <c r="E4026" t="s">
        <v>1356</v>
      </c>
      <c r="F4026" t="s">
        <v>31</v>
      </c>
      <c r="G4026" t="s">
        <v>49</v>
      </c>
      <c r="H4026" t="s">
        <v>26</v>
      </c>
      <c r="I4026" t="s">
        <v>36</v>
      </c>
      <c r="J4026" t="s">
        <v>126</v>
      </c>
      <c r="K4026">
        <v>2</v>
      </c>
      <c r="L4026" s="2">
        <v>54.56</v>
      </c>
      <c r="M4026" s="3">
        <v>0</v>
      </c>
      <c r="N4026" t="s">
        <v>38</v>
      </c>
      <c r="O4026" s="2">
        <v>109.12</v>
      </c>
      <c r="P4026" s="2">
        <v>52.66</v>
      </c>
      <c r="Q4026" s="2">
        <v>56.46</v>
      </c>
      <c r="R4026">
        <v>1</v>
      </c>
      <c r="S4026">
        <v>0</v>
      </c>
      <c r="T4026">
        <v>3</v>
      </c>
      <c r="U4026">
        <v>5</v>
      </c>
    </row>
    <row r="4027" spans="1:21" ht="16.5" x14ac:dyDescent="0.3">
      <c r="A4027" t="s">
        <v>4115</v>
      </c>
      <c r="B4027" s="1">
        <v>45883</v>
      </c>
      <c r="C4027">
        <v>2025</v>
      </c>
      <c r="D4027" t="s">
        <v>1187</v>
      </c>
      <c r="E4027" t="s">
        <v>1356</v>
      </c>
      <c r="F4027" t="s">
        <v>31</v>
      </c>
      <c r="G4027" t="s">
        <v>51</v>
      </c>
      <c r="H4027" t="s">
        <v>32</v>
      </c>
      <c r="I4027" t="s">
        <v>67</v>
      </c>
      <c r="J4027" t="s">
        <v>174</v>
      </c>
      <c r="K4027">
        <v>1</v>
      </c>
      <c r="L4027" s="2">
        <v>137.05000000000001</v>
      </c>
      <c r="M4027" s="3">
        <v>0.05</v>
      </c>
      <c r="N4027" t="s">
        <v>29</v>
      </c>
      <c r="O4027" s="2">
        <v>130.19999999999999</v>
      </c>
      <c r="P4027" s="2">
        <v>95.34</v>
      </c>
      <c r="Q4027" s="2">
        <v>34.86</v>
      </c>
      <c r="R4027">
        <v>1</v>
      </c>
      <c r="S4027">
        <v>1</v>
      </c>
      <c r="T4027">
        <v>3</v>
      </c>
      <c r="U4027">
        <v>4</v>
      </c>
    </row>
    <row r="4028" spans="1:21" ht="16.5" x14ac:dyDescent="0.3">
      <c r="A4028" t="s">
        <v>4116</v>
      </c>
      <c r="B4028" s="1">
        <v>45883</v>
      </c>
      <c r="C4028">
        <v>2025</v>
      </c>
      <c r="D4028" t="s">
        <v>1187</v>
      </c>
      <c r="E4028" t="s">
        <v>1356</v>
      </c>
      <c r="F4028" t="s">
        <v>24</v>
      </c>
      <c r="G4028" t="s">
        <v>51</v>
      </c>
      <c r="H4028" t="s">
        <v>32</v>
      </c>
      <c r="I4028" t="s">
        <v>70</v>
      </c>
      <c r="J4028" t="s">
        <v>129</v>
      </c>
      <c r="K4028">
        <v>1</v>
      </c>
      <c r="L4028" s="2">
        <v>177.65</v>
      </c>
      <c r="M4028" s="3">
        <v>0.15</v>
      </c>
      <c r="N4028" t="s">
        <v>34</v>
      </c>
      <c r="O4028" s="2">
        <v>151</v>
      </c>
      <c r="P4028" s="2">
        <v>142.41</v>
      </c>
      <c r="Q4028" s="2">
        <v>8.59</v>
      </c>
      <c r="R4028">
        <v>1</v>
      </c>
      <c r="S4028">
        <v>1</v>
      </c>
      <c r="T4028">
        <v>4</v>
      </c>
      <c r="U4028">
        <v>3</v>
      </c>
    </row>
    <row r="4029" spans="1:21" ht="16.5" x14ac:dyDescent="0.3">
      <c r="A4029" t="s">
        <v>4117</v>
      </c>
      <c r="B4029" s="1">
        <v>45884</v>
      </c>
      <c r="C4029">
        <v>2025</v>
      </c>
      <c r="D4029" t="s">
        <v>1187</v>
      </c>
      <c r="E4029" t="s">
        <v>1356</v>
      </c>
      <c r="F4029" t="s">
        <v>24</v>
      </c>
      <c r="G4029" t="s">
        <v>65</v>
      </c>
      <c r="H4029" t="s">
        <v>32</v>
      </c>
      <c r="I4029" t="s">
        <v>70</v>
      </c>
      <c r="J4029" t="s">
        <v>252</v>
      </c>
      <c r="K4029">
        <v>1</v>
      </c>
      <c r="L4029" s="2">
        <v>216.08</v>
      </c>
      <c r="M4029" s="3">
        <v>0.1</v>
      </c>
      <c r="N4029" t="s">
        <v>29</v>
      </c>
      <c r="O4029" s="2">
        <v>194.47</v>
      </c>
      <c r="P4029" s="2">
        <v>172.54</v>
      </c>
      <c r="Q4029" s="2">
        <v>21.93</v>
      </c>
      <c r="R4029">
        <v>1</v>
      </c>
      <c r="S4029">
        <v>0</v>
      </c>
      <c r="T4029">
        <v>5</v>
      </c>
      <c r="U4029">
        <v>4</v>
      </c>
    </row>
    <row r="4030" spans="1:21" ht="16.5" x14ac:dyDescent="0.3">
      <c r="A4030" t="s">
        <v>4118</v>
      </c>
      <c r="B4030" s="1">
        <v>45884</v>
      </c>
      <c r="C4030">
        <v>2025</v>
      </c>
      <c r="D4030" t="s">
        <v>1187</v>
      </c>
      <c r="E4030" t="s">
        <v>1356</v>
      </c>
      <c r="F4030" t="s">
        <v>31</v>
      </c>
      <c r="G4030" t="s">
        <v>25</v>
      </c>
      <c r="H4030" t="s">
        <v>26</v>
      </c>
      <c r="I4030" t="s">
        <v>67</v>
      </c>
      <c r="J4030" t="s">
        <v>78</v>
      </c>
      <c r="K4030">
        <v>1</v>
      </c>
      <c r="L4030" s="2">
        <v>85.42</v>
      </c>
      <c r="M4030" s="3">
        <v>0</v>
      </c>
      <c r="N4030" t="s">
        <v>38</v>
      </c>
      <c r="O4030" s="2">
        <v>85.42</v>
      </c>
      <c r="P4030" s="2">
        <v>54.97</v>
      </c>
      <c r="Q4030" s="2">
        <v>30.45</v>
      </c>
      <c r="R4030">
        <v>1</v>
      </c>
      <c r="S4030">
        <v>0</v>
      </c>
      <c r="T4030">
        <v>4</v>
      </c>
      <c r="U4030">
        <v>5</v>
      </c>
    </row>
    <row r="4031" spans="1:21" ht="16.5" x14ac:dyDescent="0.3">
      <c r="A4031" t="s">
        <v>4119</v>
      </c>
      <c r="B4031" s="1">
        <v>45884</v>
      </c>
      <c r="C4031">
        <v>2025</v>
      </c>
      <c r="D4031" t="s">
        <v>1187</v>
      </c>
      <c r="E4031" t="s">
        <v>1356</v>
      </c>
      <c r="F4031" t="s">
        <v>24</v>
      </c>
      <c r="G4031" t="s">
        <v>46</v>
      </c>
      <c r="H4031" t="s">
        <v>32</v>
      </c>
      <c r="I4031" t="s">
        <v>36</v>
      </c>
      <c r="J4031" t="s">
        <v>52</v>
      </c>
      <c r="K4031">
        <v>1</v>
      </c>
      <c r="L4031" s="2">
        <v>92.54</v>
      </c>
      <c r="M4031" s="3">
        <v>0.1</v>
      </c>
      <c r="N4031" t="s">
        <v>29</v>
      </c>
      <c r="O4031" s="2">
        <v>83.29</v>
      </c>
      <c r="P4031" s="2">
        <v>46.63</v>
      </c>
      <c r="Q4031" s="2">
        <v>36.659999999999997</v>
      </c>
      <c r="R4031">
        <v>1</v>
      </c>
      <c r="S4031">
        <v>0</v>
      </c>
      <c r="T4031">
        <v>5</v>
      </c>
      <c r="U4031">
        <v>4</v>
      </c>
    </row>
    <row r="4032" spans="1:21" ht="16.5" x14ac:dyDescent="0.3">
      <c r="A4032" t="s">
        <v>4120</v>
      </c>
      <c r="B4032" s="1">
        <v>45884</v>
      </c>
      <c r="C4032">
        <v>2025</v>
      </c>
      <c r="D4032" t="s">
        <v>1187</v>
      </c>
      <c r="E4032" t="s">
        <v>1356</v>
      </c>
      <c r="F4032" t="s">
        <v>24</v>
      </c>
      <c r="G4032" t="s">
        <v>25</v>
      </c>
      <c r="H4032" t="s">
        <v>32</v>
      </c>
      <c r="I4032" t="s">
        <v>70</v>
      </c>
      <c r="J4032" t="s">
        <v>87</v>
      </c>
      <c r="K4032">
        <v>1</v>
      </c>
      <c r="L4032" s="2">
        <v>490.3</v>
      </c>
      <c r="M4032" s="3">
        <v>0.05</v>
      </c>
      <c r="N4032" t="s">
        <v>29</v>
      </c>
      <c r="O4032" s="2">
        <v>465.78</v>
      </c>
      <c r="P4032" s="2">
        <v>386.44</v>
      </c>
      <c r="Q4032" s="2">
        <v>79.34</v>
      </c>
      <c r="R4032">
        <v>1</v>
      </c>
      <c r="S4032">
        <v>0</v>
      </c>
      <c r="T4032">
        <v>4</v>
      </c>
      <c r="U4032">
        <v>5</v>
      </c>
    </row>
    <row r="4033" spans="1:21" ht="16.5" x14ac:dyDescent="0.3">
      <c r="A4033" t="s">
        <v>4121</v>
      </c>
      <c r="B4033" s="1">
        <v>45884</v>
      </c>
      <c r="C4033">
        <v>2025</v>
      </c>
      <c r="D4033" t="s">
        <v>1187</v>
      </c>
      <c r="E4033" t="s">
        <v>1356</v>
      </c>
      <c r="F4033" t="s">
        <v>31</v>
      </c>
      <c r="G4033" t="s">
        <v>49</v>
      </c>
      <c r="H4033" t="s">
        <v>32</v>
      </c>
      <c r="I4033" t="s">
        <v>70</v>
      </c>
      <c r="J4033" t="s">
        <v>252</v>
      </c>
      <c r="K4033">
        <v>1</v>
      </c>
      <c r="L4033" s="2">
        <v>216.08</v>
      </c>
      <c r="M4033" s="3">
        <v>0.05</v>
      </c>
      <c r="N4033" t="s">
        <v>29</v>
      </c>
      <c r="O4033" s="2">
        <v>205.28</v>
      </c>
      <c r="P4033" s="2">
        <v>173.54</v>
      </c>
      <c r="Q4033" s="2">
        <v>31.74</v>
      </c>
      <c r="R4033">
        <v>1</v>
      </c>
      <c r="S4033">
        <v>0</v>
      </c>
      <c r="T4033">
        <v>6</v>
      </c>
      <c r="U4033">
        <v>5</v>
      </c>
    </row>
    <row r="4034" spans="1:21" ht="16.5" x14ac:dyDescent="0.3">
      <c r="A4034" t="s">
        <v>4122</v>
      </c>
      <c r="B4034" s="1">
        <v>45884</v>
      </c>
      <c r="C4034">
        <v>2025</v>
      </c>
      <c r="D4034" t="s">
        <v>1187</v>
      </c>
      <c r="E4034" t="s">
        <v>1356</v>
      </c>
      <c r="F4034" t="s">
        <v>31</v>
      </c>
      <c r="G4034" t="s">
        <v>51</v>
      </c>
      <c r="H4034" t="s">
        <v>32</v>
      </c>
      <c r="I4034" t="s">
        <v>42</v>
      </c>
      <c r="J4034" t="s">
        <v>89</v>
      </c>
      <c r="K4034">
        <v>1</v>
      </c>
      <c r="L4034" s="2">
        <v>68.349999999999994</v>
      </c>
      <c r="M4034" s="3">
        <v>0</v>
      </c>
      <c r="N4034" t="s">
        <v>38</v>
      </c>
      <c r="O4034" s="2">
        <v>68.349999999999994</v>
      </c>
      <c r="P4034" s="2">
        <v>45.07</v>
      </c>
      <c r="Q4034" s="2">
        <v>23.28</v>
      </c>
      <c r="R4034">
        <v>1</v>
      </c>
      <c r="S4034">
        <v>0</v>
      </c>
      <c r="T4034">
        <v>2</v>
      </c>
      <c r="U4034">
        <v>5</v>
      </c>
    </row>
    <row r="4035" spans="1:21" ht="16.5" x14ac:dyDescent="0.3">
      <c r="A4035" t="s">
        <v>4123</v>
      </c>
      <c r="B4035" s="1">
        <v>45885</v>
      </c>
      <c r="C4035">
        <v>2025</v>
      </c>
      <c r="D4035" t="s">
        <v>1187</v>
      </c>
      <c r="E4035" t="s">
        <v>1356</v>
      </c>
      <c r="F4035" t="s">
        <v>31</v>
      </c>
      <c r="G4035" t="s">
        <v>25</v>
      </c>
      <c r="H4035" t="s">
        <v>32</v>
      </c>
      <c r="I4035" t="s">
        <v>67</v>
      </c>
      <c r="J4035" t="s">
        <v>78</v>
      </c>
      <c r="K4035">
        <v>1</v>
      </c>
      <c r="L4035" s="2">
        <v>85.42</v>
      </c>
      <c r="M4035" s="3">
        <v>0.15</v>
      </c>
      <c r="N4035" t="s">
        <v>34</v>
      </c>
      <c r="O4035" s="2">
        <v>72.61</v>
      </c>
      <c r="P4035" s="2">
        <v>58.44</v>
      </c>
      <c r="Q4035" s="2">
        <v>14.17</v>
      </c>
      <c r="R4035">
        <v>1</v>
      </c>
      <c r="S4035">
        <v>0</v>
      </c>
      <c r="T4035">
        <v>4</v>
      </c>
      <c r="U4035">
        <v>3</v>
      </c>
    </row>
    <row r="4036" spans="1:21" ht="16.5" x14ac:dyDescent="0.3">
      <c r="A4036" t="s">
        <v>4124</v>
      </c>
      <c r="B4036" s="1">
        <v>45885</v>
      </c>
      <c r="C4036">
        <v>2025</v>
      </c>
      <c r="D4036" t="s">
        <v>1187</v>
      </c>
      <c r="E4036" t="s">
        <v>1356</v>
      </c>
      <c r="F4036" t="s">
        <v>24</v>
      </c>
      <c r="G4036" t="s">
        <v>25</v>
      </c>
      <c r="H4036" t="s">
        <v>32</v>
      </c>
      <c r="I4036" t="s">
        <v>70</v>
      </c>
      <c r="J4036" t="s">
        <v>71</v>
      </c>
      <c r="K4036">
        <v>4</v>
      </c>
      <c r="L4036" s="2">
        <v>588.41</v>
      </c>
      <c r="M4036" s="3">
        <v>0</v>
      </c>
      <c r="N4036" t="s">
        <v>38</v>
      </c>
      <c r="O4036" s="2">
        <v>2353.64</v>
      </c>
      <c r="P4036" s="2">
        <v>1816.04</v>
      </c>
      <c r="Q4036" s="2">
        <v>537.6</v>
      </c>
      <c r="R4036">
        <v>1</v>
      </c>
      <c r="S4036">
        <v>0</v>
      </c>
      <c r="T4036">
        <v>4</v>
      </c>
      <c r="U4036">
        <v>4</v>
      </c>
    </row>
    <row r="4037" spans="1:21" ht="16.5" x14ac:dyDescent="0.3">
      <c r="A4037" t="s">
        <v>4125</v>
      </c>
      <c r="B4037" s="1">
        <v>45885</v>
      </c>
      <c r="C4037">
        <v>2025</v>
      </c>
      <c r="D4037" t="s">
        <v>1187</v>
      </c>
      <c r="E4037" t="s">
        <v>1356</v>
      </c>
      <c r="F4037" t="s">
        <v>24</v>
      </c>
      <c r="G4037" t="s">
        <v>51</v>
      </c>
      <c r="H4037" t="s">
        <v>26</v>
      </c>
      <c r="I4037" t="s">
        <v>67</v>
      </c>
      <c r="J4037" t="s">
        <v>68</v>
      </c>
      <c r="K4037">
        <v>4</v>
      </c>
      <c r="L4037" s="2">
        <v>74.459999999999994</v>
      </c>
      <c r="M4037" s="3">
        <v>0.3</v>
      </c>
      <c r="N4037" t="s">
        <v>62</v>
      </c>
      <c r="O4037" s="2">
        <v>208.49</v>
      </c>
      <c r="P4037" s="2">
        <v>195.56</v>
      </c>
      <c r="Q4037" s="2">
        <v>12.93</v>
      </c>
      <c r="R4037">
        <v>1</v>
      </c>
      <c r="S4037">
        <v>0</v>
      </c>
      <c r="T4037">
        <v>3</v>
      </c>
      <c r="U4037">
        <v>4</v>
      </c>
    </row>
    <row r="4038" spans="1:21" ht="16.5" x14ac:dyDescent="0.3">
      <c r="A4038" t="s">
        <v>4126</v>
      </c>
      <c r="B4038" s="1">
        <v>45885</v>
      </c>
      <c r="C4038">
        <v>2025</v>
      </c>
      <c r="D4038" t="s">
        <v>1187</v>
      </c>
      <c r="E4038" t="s">
        <v>1356</v>
      </c>
      <c r="F4038" t="s">
        <v>45</v>
      </c>
      <c r="G4038" t="s">
        <v>25</v>
      </c>
      <c r="H4038" t="s">
        <v>32</v>
      </c>
      <c r="I4038" t="s">
        <v>42</v>
      </c>
      <c r="J4038" t="s">
        <v>43</v>
      </c>
      <c r="K4038">
        <v>2</v>
      </c>
      <c r="L4038" s="2">
        <v>154.66</v>
      </c>
      <c r="M4038" s="3">
        <v>0.15</v>
      </c>
      <c r="N4038" t="s">
        <v>34</v>
      </c>
      <c r="O4038" s="2">
        <v>262.92</v>
      </c>
      <c r="P4038" s="2">
        <v>208.85</v>
      </c>
      <c r="Q4038" s="2">
        <v>54.07</v>
      </c>
      <c r="R4038">
        <v>1</v>
      </c>
      <c r="S4038">
        <v>0</v>
      </c>
      <c r="T4038">
        <v>3</v>
      </c>
      <c r="U4038">
        <v>4</v>
      </c>
    </row>
    <row r="4039" spans="1:21" ht="16.5" x14ac:dyDescent="0.3">
      <c r="A4039" t="s">
        <v>4127</v>
      </c>
      <c r="B4039" s="1">
        <v>45885</v>
      </c>
      <c r="C4039">
        <v>2025</v>
      </c>
      <c r="D4039" t="s">
        <v>1187</v>
      </c>
      <c r="E4039" t="s">
        <v>1356</v>
      </c>
      <c r="F4039" t="s">
        <v>24</v>
      </c>
      <c r="G4039" t="s">
        <v>25</v>
      </c>
      <c r="H4039" t="s">
        <v>32</v>
      </c>
      <c r="I4039" t="s">
        <v>42</v>
      </c>
      <c r="J4039" t="s">
        <v>98</v>
      </c>
      <c r="K4039">
        <v>3</v>
      </c>
      <c r="L4039" s="2">
        <v>117.63</v>
      </c>
      <c r="M4039" s="3">
        <v>0.05</v>
      </c>
      <c r="N4039" t="s">
        <v>29</v>
      </c>
      <c r="O4039" s="2">
        <v>335.25</v>
      </c>
      <c r="P4039" s="2">
        <v>225.65</v>
      </c>
      <c r="Q4039" s="2">
        <v>109.6</v>
      </c>
      <c r="R4039">
        <v>1</v>
      </c>
      <c r="S4039">
        <v>0</v>
      </c>
      <c r="T4039">
        <v>3</v>
      </c>
      <c r="U4039">
        <v>4</v>
      </c>
    </row>
    <row r="4040" spans="1:21" ht="16.5" x14ac:dyDescent="0.3">
      <c r="A4040" t="s">
        <v>4128</v>
      </c>
      <c r="B4040" s="1">
        <v>45885</v>
      </c>
      <c r="C4040">
        <v>2025</v>
      </c>
      <c r="D4040" t="s">
        <v>1187</v>
      </c>
      <c r="E4040" t="s">
        <v>1356</v>
      </c>
      <c r="F4040" t="s">
        <v>31</v>
      </c>
      <c r="G4040" t="s">
        <v>51</v>
      </c>
      <c r="H4040" t="s">
        <v>26</v>
      </c>
      <c r="I4040" t="s">
        <v>84</v>
      </c>
      <c r="J4040" t="s">
        <v>106</v>
      </c>
      <c r="K4040">
        <v>1</v>
      </c>
      <c r="L4040" s="2">
        <v>45.28</v>
      </c>
      <c r="M4040" s="3">
        <v>0.2</v>
      </c>
      <c r="N4040" t="s">
        <v>34</v>
      </c>
      <c r="O4040" s="2">
        <v>36.22</v>
      </c>
      <c r="P4040" s="2">
        <v>32.82</v>
      </c>
      <c r="Q4040" s="2">
        <v>3.4</v>
      </c>
      <c r="R4040">
        <v>1</v>
      </c>
      <c r="S4040">
        <v>0</v>
      </c>
      <c r="T4040">
        <v>5</v>
      </c>
      <c r="U4040">
        <v>5</v>
      </c>
    </row>
    <row r="4041" spans="1:21" ht="16.5" x14ac:dyDescent="0.3">
      <c r="A4041" t="s">
        <v>4129</v>
      </c>
      <c r="B4041" s="1">
        <v>45885</v>
      </c>
      <c r="C4041">
        <v>2025</v>
      </c>
      <c r="D4041" t="s">
        <v>1187</v>
      </c>
      <c r="E4041" t="s">
        <v>1356</v>
      </c>
      <c r="F4041" t="s">
        <v>31</v>
      </c>
      <c r="G4041" t="s">
        <v>25</v>
      </c>
      <c r="H4041" t="s">
        <v>32</v>
      </c>
      <c r="I4041" t="s">
        <v>84</v>
      </c>
      <c r="J4041" t="s">
        <v>223</v>
      </c>
      <c r="K4041">
        <v>1</v>
      </c>
      <c r="L4041" s="2">
        <v>16.97</v>
      </c>
      <c r="M4041" s="3">
        <v>0.15</v>
      </c>
      <c r="N4041" t="s">
        <v>34</v>
      </c>
      <c r="O4041" s="2">
        <v>14.42</v>
      </c>
      <c r="P4041" s="2">
        <v>12.18</v>
      </c>
      <c r="Q4041" s="2">
        <v>2.2400000000000002</v>
      </c>
      <c r="R4041">
        <v>1</v>
      </c>
      <c r="S4041">
        <v>0</v>
      </c>
      <c r="T4041">
        <v>5</v>
      </c>
      <c r="U4041">
        <v>4</v>
      </c>
    </row>
    <row r="4042" spans="1:21" ht="16.5" x14ac:dyDescent="0.3">
      <c r="A4042" t="s">
        <v>4130</v>
      </c>
      <c r="B4042" s="1">
        <v>45885</v>
      </c>
      <c r="C4042">
        <v>2025</v>
      </c>
      <c r="D4042" t="s">
        <v>1187</v>
      </c>
      <c r="E4042" t="s">
        <v>1356</v>
      </c>
      <c r="F4042" t="s">
        <v>31</v>
      </c>
      <c r="G4042" t="s">
        <v>65</v>
      </c>
      <c r="H4042" t="s">
        <v>32</v>
      </c>
      <c r="I4042" t="s">
        <v>27</v>
      </c>
      <c r="J4042" t="s">
        <v>47</v>
      </c>
      <c r="K4042">
        <v>3</v>
      </c>
      <c r="L4042" s="2">
        <v>33.99</v>
      </c>
      <c r="M4042" s="3">
        <v>0</v>
      </c>
      <c r="N4042" t="s">
        <v>38</v>
      </c>
      <c r="O4042" s="2">
        <v>101.97</v>
      </c>
      <c r="P4042" s="2">
        <v>55.6</v>
      </c>
      <c r="Q4042" s="2">
        <v>46.37</v>
      </c>
      <c r="R4042">
        <v>1</v>
      </c>
      <c r="S4042">
        <v>0</v>
      </c>
      <c r="T4042">
        <v>6</v>
      </c>
      <c r="U4042">
        <v>4</v>
      </c>
    </row>
    <row r="4043" spans="1:21" ht="16.5" x14ac:dyDescent="0.3">
      <c r="A4043" t="s">
        <v>4131</v>
      </c>
      <c r="B4043" s="1">
        <v>45886</v>
      </c>
      <c r="C4043">
        <v>2025</v>
      </c>
      <c r="D4043" t="s">
        <v>1187</v>
      </c>
      <c r="E4043" t="s">
        <v>1356</v>
      </c>
      <c r="F4043" t="s">
        <v>31</v>
      </c>
      <c r="G4043" t="s">
        <v>49</v>
      </c>
      <c r="H4043" t="s">
        <v>26</v>
      </c>
      <c r="I4043" t="s">
        <v>70</v>
      </c>
      <c r="J4043" t="s">
        <v>129</v>
      </c>
      <c r="K4043">
        <v>1</v>
      </c>
      <c r="L4043" s="2">
        <v>177.65</v>
      </c>
      <c r="M4043" s="3">
        <v>0.1</v>
      </c>
      <c r="N4043" t="s">
        <v>29</v>
      </c>
      <c r="O4043" s="2">
        <v>159.88999999999999</v>
      </c>
      <c r="P4043" s="2">
        <v>140.61000000000001</v>
      </c>
      <c r="Q4043" s="2">
        <v>19.28</v>
      </c>
      <c r="R4043">
        <v>1</v>
      </c>
      <c r="S4043">
        <v>0</v>
      </c>
      <c r="T4043">
        <v>5</v>
      </c>
      <c r="U4043">
        <v>4</v>
      </c>
    </row>
    <row r="4044" spans="1:21" ht="16.5" x14ac:dyDescent="0.3">
      <c r="A4044" t="s">
        <v>4132</v>
      </c>
      <c r="B4044" s="1">
        <v>45886</v>
      </c>
      <c r="C4044">
        <v>2025</v>
      </c>
      <c r="D4044" t="s">
        <v>1187</v>
      </c>
      <c r="E4044" t="s">
        <v>1356</v>
      </c>
      <c r="F4044" t="s">
        <v>24</v>
      </c>
      <c r="G4044" t="s">
        <v>49</v>
      </c>
      <c r="H4044" t="s">
        <v>32</v>
      </c>
      <c r="I4044" t="s">
        <v>42</v>
      </c>
      <c r="J4044" t="s">
        <v>76</v>
      </c>
      <c r="K4044">
        <v>1</v>
      </c>
      <c r="L4044" s="2">
        <v>90.75</v>
      </c>
      <c r="M4044" s="3">
        <v>0</v>
      </c>
      <c r="N4044" t="s">
        <v>38</v>
      </c>
      <c r="O4044" s="2">
        <v>90.75</v>
      </c>
      <c r="P4044" s="2">
        <v>55.75</v>
      </c>
      <c r="Q4044" s="2">
        <v>35</v>
      </c>
      <c r="R4044">
        <v>1</v>
      </c>
      <c r="S4044">
        <v>0</v>
      </c>
      <c r="T4044">
        <v>5</v>
      </c>
      <c r="U4044">
        <v>5</v>
      </c>
    </row>
    <row r="4045" spans="1:21" ht="16.5" x14ac:dyDescent="0.3">
      <c r="A4045" t="s">
        <v>4133</v>
      </c>
      <c r="B4045" s="1">
        <v>45886</v>
      </c>
      <c r="C4045">
        <v>2025</v>
      </c>
      <c r="D4045" t="s">
        <v>1187</v>
      </c>
      <c r="E4045" t="s">
        <v>1356</v>
      </c>
      <c r="F4045" t="s">
        <v>31</v>
      </c>
      <c r="G4045" t="s">
        <v>51</v>
      </c>
      <c r="H4045" t="s">
        <v>26</v>
      </c>
      <c r="I4045" t="s">
        <v>27</v>
      </c>
      <c r="J4045" t="s">
        <v>28</v>
      </c>
      <c r="K4045">
        <v>1</v>
      </c>
      <c r="L4045" s="2">
        <v>138.5</v>
      </c>
      <c r="M4045" s="3">
        <v>0.2</v>
      </c>
      <c r="N4045" t="s">
        <v>34</v>
      </c>
      <c r="O4045" s="2">
        <v>110.8</v>
      </c>
      <c r="P4045" s="2">
        <v>73.709999999999994</v>
      </c>
      <c r="Q4045" s="2">
        <v>37.090000000000003</v>
      </c>
      <c r="R4045">
        <v>1</v>
      </c>
      <c r="S4045">
        <v>0</v>
      </c>
      <c r="T4045">
        <v>3</v>
      </c>
      <c r="U4045">
        <v>4</v>
      </c>
    </row>
    <row r="4046" spans="1:21" ht="16.5" x14ac:dyDescent="0.3">
      <c r="A4046" t="s">
        <v>4134</v>
      </c>
      <c r="B4046" s="1">
        <v>45886</v>
      </c>
      <c r="C4046">
        <v>2025</v>
      </c>
      <c r="D4046" t="s">
        <v>1187</v>
      </c>
      <c r="E4046" t="s">
        <v>1356</v>
      </c>
      <c r="F4046" t="s">
        <v>45</v>
      </c>
      <c r="G4046" t="s">
        <v>46</v>
      </c>
      <c r="H4046" t="s">
        <v>32</v>
      </c>
      <c r="I4046" t="s">
        <v>27</v>
      </c>
      <c r="J4046" t="s">
        <v>33</v>
      </c>
      <c r="K4046">
        <v>1</v>
      </c>
      <c r="L4046" s="2">
        <v>78.510000000000005</v>
      </c>
      <c r="M4046" s="3">
        <v>0</v>
      </c>
      <c r="N4046" t="s">
        <v>38</v>
      </c>
      <c r="O4046" s="2">
        <v>78.510000000000005</v>
      </c>
      <c r="P4046" s="2">
        <v>43.35</v>
      </c>
      <c r="Q4046" s="2">
        <v>35.159999999999997</v>
      </c>
      <c r="R4046">
        <v>1</v>
      </c>
      <c r="S4046">
        <v>0</v>
      </c>
      <c r="T4046">
        <v>9</v>
      </c>
      <c r="U4046">
        <v>3</v>
      </c>
    </row>
    <row r="4047" spans="1:21" ht="16.5" x14ac:dyDescent="0.3">
      <c r="A4047" t="s">
        <v>4135</v>
      </c>
      <c r="B4047" s="1">
        <v>45886</v>
      </c>
      <c r="C4047">
        <v>2025</v>
      </c>
      <c r="D4047" t="s">
        <v>1187</v>
      </c>
      <c r="E4047" t="s">
        <v>1356</v>
      </c>
      <c r="F4047" t="s">
        <v>31</v>
      </c>
      <c r="G4047" t="s">
        <v>51</v>
      </c>
      <c r="H4047" t="s">
        <v>32</v>
      </c>
      <c r="I4047" t="s">
        <v>36</v>
      </c>
      <c r="J4047" t="s">
        <v>126</v>
      </c>
      <c r="K4047">
        <v>1</v>
      </c>
      <c r="L4047" s="2">
        <v>54.56</v>
      </c>
      <c r="M4047" s="3">
        <v>0</v>
      </c>
      <c r="N4047" t="s">
        <v>38</v>
      </c>
      <c r="O4047" s="2">
        <v>54.56</v>
      </c>
      <c r="P4047" s="2">
        <v>27.3</v>
      </c>
      <c r="Q4047" s="2">
        <v>27.26</v>
      </c>
      <c r="R4047">
        <v>1</v>
      </c>
      <c r="S4047">
        <v>0</v>
      </c>
      <c r="T4047">
        <v>2</v>
      </c>
      <c r="U4047">
        <v>4</v>
      </c>
    </row>
    <row r="4048" spans="1:21" ht="16.5" x14ac:dyDescent="0.3">
      <c r="A4048" t="s">
        <v>4136</v>
      </c>
      <c r="B4048" s="1">
        <v>45886</v>
      </c>
      <c r="C4048">
        <v>2025</v>
      </c>
      <c r="D4048" t="s">
        <v>1187</v>
      </c>
      <c r="E4048" t="s">
        <v>1356</v>
      </c>
      <c r="F4048" t="s">
        <v>31</v>
      </c>
      <c r="G4048" t="s">
        <v>46</v>
      </c>
      <c r="H4048" t="s">
        <v>26</v>
      </c>
      <c r="I4048" t="s">
        <v>36</v>
      </c>
      <c r="J4048" t="s">
        <v>126</v>
      </c>
      <c r="K4048">
        <v>1</v>
      </c>
      <c r="L4048" s="2">
        <v>54.56</v>
      </c>
      <c r="M4048" s="3">
        <v>0</v>
      </c>
      <c r="N4048" t="s">
        <v>38</v>
      </c>
      <c r="O4048" s="2">
        <v>54.56</v>
      </c>
      <c r="P4048" s="2">
        <v>26</v>
      </c>
      <c r="Q4048" s="2">
        <v>28.56</v>
      </c>
      <c r="R4048">
        <v>1</v>
      </c>
      <c r="S4048">
        <v>0</v>
      </c>
      <c r="T4048">
        <v>5</v>
      </c>
      <c r="U4048">
        <v>5</v>
      </c>
    </row>
    <row r="4049" spans="1:21" ht="16.5" x14ac:dyDescent="0.3">
      <c r="A4049" t="s">
        <v>4137</v>
      </c>
      <c r="B4049" s="1">
        <v>45886</v>
      </c>
      <c r="C4049">
        <v>2025</v>
      </c>
      <c r="D4049" t="s">
        <v>1187</v>
      </c>
      <c r="E4049" t="s">
        <v>1356</v>
      </c>
      <c r="F4049" t="s">
        <v>24</v>
      </c>
      <c r="G4049" t="s">
        <v>25</v>
      </c>
      <c r="H4049" t="s">
        <v>26</v>
      </c>
      <c r="I4049" t="s">
        <v>70</v>
      </c>
      <c r="J4049" t="s">
        <v>87</v>
      </c>
      <c r="K4049">
        <v>4</v>
      </c>
      <c r="L4049" s="2">
        <v>490.3</v>
      </c>
      <c r="M4049" s="3">
        <v>0</v>
      </c>
      <c r="N4049" t="s">
        <v>38</v>
      </c>
      <c r="O4049" s="2">
        <v>1961.2</v>
      </c>
      <c r="P4049" s="2">
        <v>1595.9</v>
      </c>
      <c r="Q4049" s="2">
        <v>365.3</v>
      </c>
      <c r="R4049">
        <v>1</v>
      </c>
      <c r="S4049">
        <v>0</v>
      </c>
      <c r="T4049">
        <v>4</v>
      </c>
      <c r="U4049">
        <v>5</v>
      </c>
    </row>
    <row r="4050" spans="1:21" ht="16.5" x14ac:dyDescent="0.3">
      <c r="A4050" t="s">
        <v>4138</v>
      </c>
      <c r="B4050" s="1">
        <v>45886</v>
      </c>
      <c r="C4050">
        <v>2025</v>
      </c>
      <c r="D4050" t="s">
        <v>1187</v>
      </c>
      <c r="E4050" t="s">
        <v>1356</v>
      </c>
      <c r="F4050" t="s">
        <v>24</v>
      </c>
      <c r="G4050" t="s">
        <v>51</v>
      </c>
      <c r="H4050" t="s">
        <v>26</v>
      </c>
      <c r="I4050" t="s">
        <v>27</v>
      </c>
      <c r="J4050" t="s">
        <v>40</v>
      </c>
      <c r="K4050">
        <v>3</v>
      </c>
      <c r="L4050" s="2">
        <v>104.94</v>
      </c>
      <c r="M4050" s="3">
        <v>0.1</v>
      </c>
      <c r="N4050" t="s">
        <v>29</v>
      </c>
      <c r="O4050" s="2">
        <v>283.33999999999997</v>
      </c>
      <c r="P4050" s="2">
        <v>166.68</v>
      </c>
      <c r="Q4050" s="2">
        <v>116.66</v>
      </c>
      <c r="R4050">
        <v>1</v>
      </c>
      <c r="S4050">
        <v>0</v>
      </c>
      <c r="T4050">
        <v>3</v>
      </c>
      <c r="U4050">
        <v>5</v>
      </c>
    </row>
    <row r="4051" spans="1:21" ht="16.5" x14ac:dyDescent="0.3">
      <c r="A4051" t="s">
        <v>4139</v>
      </c>
      <c r="B4051" s="1">
        <v>45886</v>
      </c>
      <c r="C4051">
        <v>2025</v>
      </c>
      <c r="D4051" t="s">
        <v>1187</v>
      </c>
      <c r="E4051" t="s">
        <v>1356</v>
      </c>
      <c r="F4051" t="s">
        <v>31</v>
      </c>
      <c r="G4051" t="s">
        <v>51</v>
      </c>
      <c r="H4051" t="s">
        <v>32</v>
      </c>
      <c r="I4051" t="s">
        <v>27</v>
      </c>
      <c r="J4051" t="s">
        <v>60</v>
      </c>
      <c r="K4051">
        <v>1</v>
      </c>
      <c r="L4051" s="2">
        <v>94.85</v>
      </c>
      <c r="M4051" s="3">
        <v>0.2</v>
      </c>
      <c r="N4051" t="s">
        <v>34</v>
      </c>
      <c r="O4051" s="2">
        <v>75.88</v>
      </c>
      <c r="P4051" s="2">
        <v>48.12</v>
      </c>
      <c r="Q4051" s="2">
        <v>27.76</v>
      </c>
      <c r="R4051">
        <v>1</v>
      </c>
      <c r="S4051">
        <v>0</v>
      </c>
      <c r="T4051">
        <v>4</v>
      </c>
      <c r="U4051">
        <v>4</v>
      </c>
    </row>
    <row r="4052" spans="1:21" ht="16.5" x14ac:dyDescent="0.3">
      <c r="A4052" t="s">
        <v>4140</v>
      </c>
      <c r="B4052" s="1">
        <v>45887</v>
      </c>
      <c r="C4052">
        <v>2025</v>
      </c>
      <c r="D4052" t="s">
        <v>1187</v>
      </c>
      <c r="E4052" t="s">
        <v>1356</v>
      </c>
      <c r="F4052" t="s">
        <v>24</v>
      </c>
      <c r="G4052" t="s">
        <v>49</v>
      </c>
      <c r="H4052" t="s">
        <v>32</v>
      </c>
      <c r="I4052" t="s">
        <v>84</v>
      </c>
      <c r="J4052" t="s">
        <v>106</v>
      </c>
      <c r="K4052">
        <v>1</v>
      </c>
      <c r="L4052" s="2">
        <v>45.28</v>
      </c>
      <c r="M4052" s="3">
        <v>0.05</v>
      </c>
      <c r="N4052" t="s">
        <v>29</v>
      </c>
      <c r="O4052" s="2">
        <v>43.02</v>
      </c>
      <c r="P4052" s="2">
        <v>32.74</v>
      </c>
      <c r="Q4052" s="2">
        <v>10.28</v>
      </c>
      <c r="R4052">
        <v>1</v>
      </c>
      <c r="S4052">
        <v>0</v>
      </c>
      <c r="T4052">
        <v>5</v>
      </c>
      <c r="U4052">
        <v>4</v>
      </c>
    </row>
    <row r="4053" spans="1:21" ht="16.5" x14ac:dyDescent="0.3">
      <c r="A4053" t="s">
        <v>4141</v>
      </c>
      <c r="B4053" s="1">
        <v>45887</v>
      </c>
      <c r="C4053">
        <v>2025</v>
      </c>
      <c r="D4053" t="s">
        <v>1187</v>
      </c>
      <c r="E4053" t="s">
        <v>1356</v>
      </c>
      <c r="F4053" t="s">
        <v>31</v>
      </c>
      <c r="G4053" t="s">
        <v>25</v>
      </c>
      <c r="H4053" t="s">
        <v>26</v>
      </c>
      <c r="I4053" t="s">
        <v>84</v>
      </c>
      <c r="J4053" t="s">
        <v>223</v>
      </c>
      <c r="K4053">
        <v>1</v>
      </c>
      <c r="L4053" s="2">
        <v>16.97</v>
      </c>
      <c r="M4053" s="3">
        <v>0.05</v>
      </c>
      <c r="N4053" t="s">
        <v>29</v>
      </c>
      <c r="O4053" s="2">
        <v>16.12</v>
      </c>
      <c r="P4053" s="2">
        <v>12.86</v>
      </c>
      <c r="Q4053" s="2">
        <v>3.26</v>
      </c>
      <c r="R4053">
        <v>1</v>
      </c>
      <c r="S4053">
        <v>0</v>
      </c>
      <c r="T4053">
        <v>3</v>
      </c>
      <c r="U4053">
        <v>4</v>
      </c>
    </row>
    <row r="4054" spans="1:21" ht="16.5" x14ac:dyDescent="0.3">
      <c r="A4054" t="s">
        <v>4142</v>
      </c>
      <c r="B4054" s="1">
        <v>45887</v>
      </c>
      <c r="C4054">
        <v>2025</v>
      </c>
      <c r="D4054" t="s">
        <v>1187</v>
      </c>
      <c r="E4054" t="s">
        <v>1356</v>
      </c>
      <c r="F4054" t="s">
        <v>31</v>
      </c>
      <c r="G4054" t="s">
        <v>51</v>
      </c>
      <c r="H4054" t="s">
        <v>26</v>
      </c>
      <c r="I4054" t="s">
        <v>67</v>
      </c>
      <c r="J4054" t="s">
        <v>103</v>
      </c>
      <c r="K4054">
        <v>2</v>
      </c>
      <c r="L4054" s="2">
        <v>83.06</v>
      </c>
      <c r="M4054" s="3">
        <v>0</v>
      </c>
      <c r="N4054" t="s">
        <v>38</v>
      </c>
      <c r="O4054" s="2">
        <v>166.12</v>
      </c>
      <c r="P4054" s="2">
        <v>115.64</v>
      </c>
      <c r="Q4054" s="2">
        <v>50.48</v>
      </c>
      <c r="R4054">
        <v>1</v>
      </c>
      <c r="S4054">
        <v>1</v>
      </c>
      <c r="T4054">
        <v>3</v>
      </c>
      <c r="U4054">
        <v>3</v>
      </c>
    </row>
    <row r="4055" spans="1:21" ht="16.5" x14ac:dyDescent="0.3">
      <c r="A4055" t="s">
        <v>4143</v>
      </c>
      <c r="B4055" s="1">
        <v>45887</v>
      </c>
      <c r="C4055">
        <v>2025</v>
      </c>
      <c r="D4055" t="s">
        <v>1187</v>
      </c>
      <c r="E4055" t="s">
        <v>1356</v>
      </c>
      <c r="F4055" t="s">
        <v>24</v>
      </c>
      <c r="G4055" t="s">
        <v>51</v>
      </c>
      <c r="H4055" t="s">
        <v>26</v>
      </c>
      <c r="I4055" t="s">
        <v>70</v>
      </c>
      <c r="J4055" t="s">
        <v>82</v>
      </c>
      <c r="K4055">
        <v>1</v>
      </c>
      <c r="L4055" s="2">
        <v>508.8</v>
      </c>
      <c r="M4055" s="3">
        <v>0.3</v>
      </c>
      <c r="N4055" t="s">
        <v>62</v>
      </c>
      <c r="O4055" s="2">
        <v>356.16</v>
      </c>
      <c r="P4055" s="2">
        <v>381.16</v>
      </c>
      <c r="Q4055" s="2">
        <v>-25</v>
      </c>
      <c r="R4055">
        <v>1</v>
      </c>
      <c r="S4055">
        <v>1</v>
      </c>
      <c r="T4055">
        <v>2</v>
      </c>
      <c r="U4055">
        <v>4</v>
      </c>
    </row>
    <row r="4056" spans="1:21" ht="16.5" x14ac:dyDescent="0.3">
      <c r="A4056" t="s">
        <v>4144</v>
      </c>
      <c r="B4056" s="1">
        <v>45887</v>
      </c>
      <c r="C4056">
        <v>2025</v>
      </c>
      <c r="D4056" t="s">
        <v>1187</v>
      </c>
      <c r="E4056" t="s">
        <v>1356</v>
      </c>
      <c r="F4056" t="s">
        <v>31</v>
      </c>
      <c r="G4056" t="s">
        <v>46</v>
      </c>
      <c r="H4056" t="s">
        <v>26</v>
      </c>
      <c r="I4056" t="s">
        <v>70</v>
      </c>
      <c r="J4056" t="s">
        <v>87</v>
      </c>
      <c r="K4056">
        <v>1</v>
      </c>
      <c r="L4056" s="2">
        <v>490.3</v>
      </c>
      <c r="M4056" s="3">
        <v>0</v>
      </c>
      <c r="N4056" t="s">
        <v>38</v>
      </c>
      <c r="O4056" s="2">
        <v>490.3</v>
      </c>
      <c r="P4056" s="2">
        <v>385.76</v>
      </c>
      <c r="Q4056" s="2">
        <v>104.54</v>
      </c>
      <c r="R4056">
        <v>1</v>
      </c>
      <c r="S4056">
        <v>0</v>
      </c>
      <c r="T4056">
        <v>5</v>
      </c>
      <c r="U4056">
        <v>4</v>
      </c>
    </row>
    <row r="4057" spans="1:21" ht="16.5" x14ac:dyDescent="0.3">
      <c r="A4057" t="s">
        <v>4145</v>
      </c>
      <c r="B4057" s="1">
        <v>45887</v>
      </c>
      <c r="C4057">
        <v>2025</v>
      </c>
      <c r="D4057" t="s">
        <v>1187</v>
      </c>
      <c r="E4057" t="s">
        <v>1356</v>
      </c>
      <c r="F4057" t="s">
        <v>45</v>
      </c>
      <c r="G4057" t="s">
        <v>51</v>
      </c>
      <c r="H4057" t="s">
        <v>32</v>
      </c>
      <c r="I4057" t="s">
        <v>27</v>
      </c>
      <c r="J4057" t="s">
        <v>110</v>
      </c>
      <c r="K4057">
        <v>1</v>
      </c>
      <c r="L4057" s="2">
        <v>19.41</v>
      </c>
      <c r="M4057" s="3">
        <v>0.3</v>
      </c>
      <c r="N4057" t="s">
        <v>62</v>
      </c>
      <c r="O4057" s="2">
        <v>13.59</v>
      </c>
      <c r="P4057" s="2">
        <v>11.03</v>
      </c>
      <c r="Q4057" s="2">
        <v>2.56</v>
      </c>
      <c r="R4057">
        <v>1</v>
      </c>
      <c r="S4057">
        <v>0</v>
      </c>
      <c r="T4057">
        <v>2</v>
      </c>
      <c r="U4057">
        <v>5</v>
      </c>
    </row>
    <row r="4058" spans="1:21" ht="16.5" x14ac:dyDescent="0.3">
      <c r="A4058" t="s">
        <v>4146</v>
      </c>
      <c r="B4058" s="1">
        <v>45887</v>
      </c>
      <c r="C4058">
        <v>2025</v>
      </c>
      <c r="D4058" t="s">
        <v>1187</v>
      </c>
      <c r="E4058" t="s">
        <v>1356</v>
      </c>
      <c r="F4058" t="s">
        <v>31</v>
      </c>
      <c r="G4058" t="s">
        <v>49</v>
      </c>
      <c r="H4058" t="s">
        <v>32</v>
      </c>
      <c r="I4058" t="s">
        <v>70</v>
      </c>
      <c r="J4058" t="s">
        <v>252</v>
      </c>
      <c r="K4058">
        <v>2</v>
      </c>
      <c r="L4058" s="2">
        <v>216.08</v>
      </c>
      <c r="M4058" s="3">
        <v>0.1</v>
      </c>
      <c r="N4058" t="s">
        <v>29</v>
      </c>
      <c r="O4058" s="2">
        <v>388.94</v>
      </c>
      <c r="P4058" s="2">
        <v>344.1</v>
      </c>
      <c r="Q4058" s="2">
        <v>44.84</v>
      </c>
      <c r="R4058">
        <v>1</v>
      </c>
      <c r="S4058">
        <v>0</v>
      </c>
      <c r="T4058">
        <v>3</v>
      </c>
      <c r="U4058">
        <v>4</v>
      </c>
    </row>
    <row r="4059" spans="1:21" ht="16.5" x14ac:dyDescent="0.3">
      <c r="A4059" t="s">
        <v>4147</v>
      </c>
      <c r="B4059" s="1">
        <v>45888</v>
      </c>
      <c r="C4059">
        <v>2025</v>
      </c>
      <c r="D4059" t="s">
        <v>1187</v>
      </c>
      <c r="E4059" t="s">
        <v>1356</v>
      </c>
      <c r="F4059" t="s">
        <v>24</v>
      </c>
      <c r="G4059" t="s">
        <v>51</v>
      </c>
      <c r="H4059" t="s">
        <v>26</v>
      </c>
      <c r="I4059" t="s">
        <v>67</v>
      </c>
      <c r="J4059" t="s">
        <v>93</v>
      </c>
      <c r="K4059">
        <v>1</v>
      </c>
      <c r="L4059" s="2">
        <v>198.42</v>
      </c>
      <c r="M4059" s="3">
        <v>0</v>
      </c>
      <c r="N4059" t="s">
        <v>38</v>
      </c>
      <c r="O4059" s="2">
        <v>198.42</v>
      </c>
      <c r="P4059" s="2">
        <v>133.82</v>
      </c>
      <c r="Q4059" s="2">
        <v>64.599999999999994</v>
      </c>
      <c r="R4059">
        <v>1</v>
      </c>
      <c r="S4059">
        <v>0</v>
      </c>
      <c r="T4059">
        <v>3</v>
      </c>
      <c r="U4059">
        <v>5</v>
      </c>
    </row>
    <row r="4060" spans="1:21" ht="16.5" x14ac:dyDescent="0.3">
      <c r="A4060" t="s">
        <v>4148</v>
      </c>
      <c r="B4060" s="1">
        <v>45888</v>
      </c>
      <c r="C4060">
        <v>2025</v>
      </c>
      <c r="D4060" t="s">
        <v>1187</v>
      </c>
      <c r="E4060" t="s">
        <v>1356</v>
      </c>
      <c r="F4060" t="s">
        <v>31</v>
      </c>
      <c r="G4060" t="s">
        <v>49</v>
      </c>
      <c r="H4060" t="s">
        <v>32</v>
      </c>
      <c r="I4060" t="s">
        <v>67</v>
      </c>
      <c r="J4060" t="s">
        <v>93</v>
      </c>
      <c r="K4060">
        <v>2</v>
      </c>
      <c r="L4060" s="2">
        <v>198.42</v>
      </c>
      <c r="M4060" s="3">
        <v>0.1</v>
      </c>
      <c r="N4060" t="s">
        <v>29</v>
      </c>
      <c r="O4060" s="2">
        <v>357.16</v>
      </c>
      <c r="P4060" s="2">
        <v>265.87</v>
      </c>
      <c r="Q4060" s="2">
        <v>91.29</v>
      </c>
      <c r="R4060">
        <v>1</v>
      </c>
      <c r="S4060">
        <v>0</v>
      </c>
      <c r="T4060">
        <v>3</v>
      </c>
      <c r="U4060">
        <v>4</v>
      </c>
    </row>
    <row r="4061" spans="1:21" ht="16.5" x14ac:dyDescent="0.3">
      <c r="A4061" t="s">
        <v>4149</v>
      </c>
      <c r="B4061" s="1">
        <v>45888</v>
      </c>
      <c r="C4061">
        <v>2025</v>
      </c>
      <c r="D4061" t="s">
        <v>1187</v>
      </c>
      <c r="E4061" t="s">
        <v>1356</v>
      </c>
      <c r="F4061" t="s">
        <v>45</v>
      </c>
      <c r="G4061" t="s">
        <v>51</v>
      </c>
      <c r="H4061" t="s">
        <v>32</v>
      </c>
      <c r="I4061" t="s">
        <v>70</v>
      </c>
      <c r="J4061" t="s">
        <v>252</v>
      </c>
      <c r="K4061">
        <v>1</v>
      </c>
      <c r="L4061" s="2">
        <v>216.08</v>
      </c>
      <c r="M4061" s="3">
        <v>0</v>
      </c>
      <c r="N4061" t="s">
        <v>38</v>
      </c>
      <c r="O4061" s="2">
        <v>216.08</v>
      </c>
      <c r="P4061" s="2">
        <v>181.04</v>
      </c>
      <c r="Q4061" s="2">
        <v>35.04</v>
      </c>
      <c r="R4061">
        <v>1</v>
      </c>
      <c r="S4061">
        <v>0</v>
      </c>
      <c r="T4061">
        <v>3</v>
      </c>
      <c r="U4061">
        <v>4</v>
      </c>
    </row>
    <row r="4062" spans="1:21" ht="16.5" x14ac:dyDescent="0.3">
      <c r="A4062" t="s">
        <v>4150</v>
      </c>
      <c r="B4062" s="1">
        <v>45888</v>
      </c>
      <c r="C4062">
        <v>2025</v>
      </c>
      <c r="D4062" t="s">
        <v>1187</v>
      </c>
      <c r="E4062" t="s">
        <v>1356</v>
      </c>
      <c r="F4062" t="s">
        <v>24</v>
      </c>
      <c r="G4062" t="s">
        <v>51</v>
      </c>
      <c r="H4062" t="s">
        <v>26</v>
      </c>
      <c r="I4062" t="s">
        <v>70</v>
      </c>
      <c r="J4062" t="s">
        <v>82</v>
      </c>
      <c r="K4062">
        <v>1</v>
      </c>
      <c r="L4062" s="2">
        <v>508.8</v>
      </c>
      <c r="M4062" s="3">
        <v>0</v>
      </c>
      <c r="N4062" t="s">
        <v>38</v>
      </c>
      <c r="O4062" s="2">
        <v>508.8</v>
      </c>
      <c r="P4062" s="2">
        <v>407.16</v>
      </c>
      <c r="Q4062" s="2">
        <v>101.64</v>
      </c>
      <c r="R4062">
        <v>1</v>
      </c>
      <c r="S4062">
        <v>0</v>
      </c>
      <c r="T4062">
        <v>2</v>
      </c>
      <c r="U4062">
        <v>4</v>
      </c>
    </row>
    <row r="4063" spans="1:21" ht="16.5" x14ac:dyDescent="0.3">
      <c r="A4063" t="s">
        <v>4151</v>
      </c>
      <c r="B4063" s="1">
        <v>45888</v>
      </c>
      <c r="C4063">
        <v>2025</v>
      </c>
      <c r="D4063" t="s">
        <v>1187</v>
      </c>
      <c r="E4063" t="s">
        <v>1356</v>
      </c>
      <c r="F4063" t="s">
        <v>45</v>
      </c>
      <c r="G4063" t="s">
        <v>51</v>
      </c>
      <c r="H4063" t="s">
        <v>26</v>
      </c>
      <c r="I4063" t="s">
        <v>84</v>
      </c>
      <c r="J4063" t="s">
        <v>223</v>
      </c>
      <c r="K4063">
        <v>1</v>
      </c>
      <c r="L4063" s="2">
        <v>16.97</v>
      </c>
      <c r="M4063" s="3">
        <v>0.05</v>
      </c>
      <c r="N4063" t="s">
        <v>29</v>
      </c>
      <c r="O4063" s="2">
        <v>16.12</v>
      </c>
      <c r="P4063" s="2">
        <v>12.87</v>
      </c>
      <c r="Q4063" s="2">
        <v>3.25</v>
      </c>
      <c r="R4063">
        <v>1</v>
      </c>
      <c r="S4063">
        <v>0</v>
      </c>
      <c r="T4063">
        <v>3</v>
      </c>
      <c r="U4063">
        <v>4</v>
      </c>
    </row>
    <row r="4064" spans="1:21" ht="16.5" x14ac:dyDescent="0.3">
      <c r="A4064" t="s">
        <v>4152</v>
      </c>
      <c r="B4064" s="1">
        <v>45888</v>
      </c>
      <c r="C4064">
        <v>2025</v>
      </c>
      <c r="D4064" t="s">
        <v>1187</v>
      </c>
      <c r="E4064" t="s">
        <v>1356</v>
      </c>
      <c r="F4064" t="s">
        <v>24</v>
      </c>
      <c r="G4064" t="s">
        <v>46</v>
      </c>
      <c r="H4064" t="s">
        <v>32</v>
      </c>
      <c r="I4064" t="s">
        <v>36</v>
      </c>
      <c r="J4064" t="s">
        <v>126</v>
      </c>
      <c r="K4064">
        <v>1</v>
      </c>
      <c r="L4064" s="2">
        <v>54.56</v>
      </c>
      <c r="M4064" s="3">
        <v>0</v>
      </c>
      <c r="N4064" t="s">
        <v>38</v>
      </c>
      <c r="O4064" s="2">
        <v>54.56</v>
      </c>
      <c r="P4064" s="2">
        <v>25.9</v>
      </c>
      <c r="Q4064" s="2">
        <v>28.66</v>
      </c>
      <c r="R4064">
        <v>1</v>
      </c>
      <c r="S4064">
        <v>0</v>
      </c>
      <c r="T4064">
        <v>8</v>
      </c>
      <c r="U4064">
        <v>4</v>
      </c>
    </row>
    <row r="4065" spans="1:21" ht="16.5" x14ac:dyDescent="0.3">
      <c r="A4065" t="s">
        <v>4153</v>
      </c>
      <c r="B4065" s="1">
        <v>45888</v>
      </c>
      <c r="C4065">
        <v>2025</v>
      </c>
      <c r="D4065" t="s">
        <v>1187</v>
      </c>
      <c r="E4065" t="s">
        <v>1356</v>
      </c>
      <c r="F4065" t="s">
        <v>45</v>
      </c>
      <c r="G4065" t="s">
        <v>51</v>
      </c>
      <c r="H4065" t="s">
        <v>26</v>
      </c>
      <c r="I4065" t="s">
        <v>70</v>
      </c>
      <c r="J4065" t="s">
        <v>129</v>
      </c>
      <c r="K4065">
        <v>1</v>
      </c>
      <c r="L4065" s="2">
        <v>177.65</v>
      </c>
      <c r="M4065" s="3">
        <v>0</v>
      </c>
      <c r="N4065" t="s">
        <v>38</v>
      </c>
      <c r="O4065" s="2">
        <v>177.65</v>
      </c>
      <c r="P4065" s="2">
        <v>137.47999999999999</v>
      </c>
      <c r="Q4065" s="2">
        <v>40.17</v>
      </c>
      <c r="R4065">
        <v>1</v>
      </c>
      <c r="S4065">
        <v>0</v>
      </c>
      <c r="T4065">
        <v>3</v>
      </c>
      <c r="U4065">
        <v>4</v>
      </c>
    </row>
    <row r="4066" spans="1:21" ht="16.5" x14ac:dyDescent="0.3">
      <c r="A4066" t="s">
        <v>4154</v>
      </c>
      <c r="B4066" s="1">
        <v>45888</v>
      </c>
      <c r="C4066">
        <v>2025</v>
      </c>
      <c r="D4066" t="s">
        <v>1187</v>
      </c>
      <c r="E4066" t="s">
        <v>1356</v>
      </c>
      <c r="F4066" t="s">
        <v>45</v>
      </c>
      <c r="G4066" t="s">
        <v>65</v>
      </c>
      <c r="H4066" t="s">
        <v>26</v>
      </c>
      <c r="I4066" t="s">
        <v>70</v>
      </c>
      <c r="J4066" t="s">
        <v>87</v>
      </c>
      <c r="K4066">
        <v>2</v>
      </c>
      <c r="L4066" s="2">
        <v>490.3</v>
      </c>
      <c r="M4066" s="3">
        <v>0</v>
      </c>
      <c r="N4066" t="s">
        <v>38</v>
      </c>
      <c r="O4066" s="2">
        <v>980.6</v>
      </c>
      <c r="P4066" s="2">
        <v>778.12</v>
      </c>
      <c r="Q4066" s="2">
        <v>202.48</v>
      </c>
      <c r="R4066">
        <v>1</v>
      </c>
      <c r="S4066">
        <v>0</v>
      </c>
      <c r="T4066">
        <v>5</v>
      </c>
      <c r="U4066">
        <v>5</v>
      </c>
    </row>
    <row r="4067" spans="1:21" ht="16.5" x14ac:dyDescent="0.3">
      <c r="A4067" t="s">
        <v>4155</v>
      </c>
      <c r="B4067" s="1">
        <v>45888</v>
      </c>
      <c r="C4067">
        <v>2025</v>
      </c>
      <c r="D4067" t="s">
        <v>1187</v>
      </c>
      <c r="E4067" t="s">
        <v>1356</v>
      </c>
      <c r="F4067" t="s">
        <v>31</v>
      </c>
      <c r="G4067" t="s">
        <v>46</v>
      </c>
      <c r="H4067" t="s">
        <v>26</v>
      </c>
      <c r="I4067" t="s">
        <v>70</v>
      </c>
      <c r="J4067" t="s">
        <v>87</v>
      </c>
      <c r="K4067">
        <v>2</v>
      </c>
      <c r="L4067" s="2">
        <v>490.3</v>
      </c>
      <c r="M4067" s="3">
        <v>0.05</v>
      </c>
      <c r="N4067" t="s">
        <v>29</v>
      </c>
      <c r="O4067" s="2">
        <v>931.57</v>
      </c>
      <c r="P4067" s="2">
        <v>810.52</v>
      </c>
      <c r="Q4067" s="2">
        <v>121.05</v>
      </c>
      <c r="R4067">
        <v>1</v>
      </c>
      <c r="S4067">
        <v>0</v>
      </c>
      <c r="T4067">
        <v>6</v>
      </c>
      <c r="U4067">
        <v>3</v>
      </c>
    </row>
    <row r="4068" spans="1:21" ht="16.5" x14ac:dyDescent="0.3">
      <c r="A4068" t="s">
        <v>4156</v>
      </c>
      <c r="B4068" s="1">
        <v>45888</v>
      </c>
      <c r="C4068">
        <v>2025</v>
      </c>
      <c r="D4068" t="s">
        <v>1187</v>
      </c>
      <c r="E4068" t="s">
        <v>1356</v>
      </c>
      <c r="F4068" t="s">
        <v>31</v>
      </c>
      <c r="G4068" t="s">
        <v>51</v>
      </c>
      <c r="H4068" t="s">
        <v>32</v>
      </c>
      <c r="I4068" t="s">
        <v>70</v>
      </c>
      <c r="J4068" t="s">
        <v>129</v>
      </c>
      <c r="K4068">
        <v>1</v>
      </c>
      <c r="L4068" s="2">
        <v>177.65</v>
      </c>
      <c r="M4068" s="3">
        <v>0</v>
      </c>
      <c r="N4068" t="s">
        <v>38</v>
      </c>
      <c r="O4068" s="2">
        <v>177.65</v>
      </c>
      <c r="P4068" s="2">
        <v>134.22999999999999</v>
      </c>
      <c r="Q4068" s="2">
        <v>43.42</v>
      </c>
      <c r="R4068">
        <v>1</v>
      </c>
      <c r="S4068">
        <v>0</v>
      </c>
      <c r="T4068">
        <v>2</v>
      </c>
      <c r="U4068">
        <v>3</v>
      </c>
    </row>
    <row r="4069" spans="1:21" ht="16.5" x14ac:dyDescent="0.3">
      <c r="A4069" t="s">
        <v>4157</v>
      </c>
      <c r="B4069" s="1">
        <v>45889</v>
      </c>
      <c r="C4069">
        <v>2025</v>
      </c>
      <c r="D4069" t="s">
        <v>1187</v>
      </c>
      <c r="E4069" t="s">
        <v>1356</v>
      </c>
      <c r="F4069" t="s">
        <v>45</v>
      </c>
      <c r="G4069" t="s">
        <v>49</v>
      </c>
      <c r="H4069" t="s">
        <v>32</v>
      </c>
      <c r="I4069" t="s">
        <v>70</v>
      </c>
      <c r="J4069" t="s">
        <v>162</v>
      </c>
      <c r="K4069">
        <v>2</v>
      </c>
      <c r="L4069" s="2">
        <v>636.09</v>
      </c>
      <c r="M4069" s="3">
        <v>0.15</v>
      </c>
      <c r="N4069" t="s">
        <v>34</v>
      </c>
      <c r="O4069" s="2">
        <v>1081.3499999999999</v>
      </c>
      <c r="P4069" s="2">
        <v>1025.97</v>
      </c>
      <c r="Q4069" s="2">
        <v>55.38</v>
      </c>
      <c r="R4069">
        <v>1</v>
      </c>
      <c r="S4069">
        <v>0</v>
      </c>
      <c r="T4069">
        <v>3</v>
      </c>
      <c r="U4069">
        <v>4</v>
      </c>
    </row>
    <row r="4070" spans="1:21" ht="16.5" x14ac:dyDescent="0.3">
      <c r="A4070" t="s">
        <v>4158</v>
      </c>
      <c r="B4070" s="1">
        <v>45889</v>
      </c>
      <c r="C4070">
        <v>2025</v>
      </c>
      <c r="D4070" t="s">
        <v>1187</v>
      </c>
      <c r="E4070" t="s">
        <v>1356</v>
      </c>
      <c r="F4070" t="s">
        <v>45</v>
      </c>
      <c r="G4070" t="s">
        <v>25</v>
      </c>
      <c r="H4070" t="s">
        <v>32</v>
      </c>
      <c r="I4070" t="s">
        <v>84</v>
      </c>
      <c r="J4070" t="s">
        <v>96</v>
      </c>
      <c r="K4070">
        <v>1</v>
      </c>
      <c r="L4070" s="2">
        <v>10.76</v>
      </c>
      <c r="M4070" s="3">
        <v>0</v>
      </c>
      <c r="N4070" t="s">
        <v>38</v>
      </c>
      <c r="O4070" s="2">
        <v>10.76</v>
      </c>
      <c r="P4070" s="2">
        <v>7.43</v>
      </c>
      <c r="Q4070" s="2">
        <v>3.33</v>
      </c>
      <c r="R4070">
        <v>1</v>
      </c>
      <c r="S4070">
        <v>0</v>
      </c>
      <c r="T4070">
        <v>5</v>
      </c>
      <c r="U4070">
        <v>5</v>
      </c>
    </row>
    <row r="4071" spans="1:21" ht="16.5" x14ac:dyDescent="0.3">
      <c r="A4071" t="s">
        <v>4159</v>
      </c>
      <c r="B4071" s="1">
        <v>45889</v>
      </c>
      <c r="C4071">
        <v>2025</v>
      </c>
      <c r="D4071" t="s">
        <v>1187</v>
      </c>
      <c r="E4071" t="s">
        <v>1356</v>
      </c>
      <c r="F4071" t="s">
        <v>24</v>
      </c>
      <c r="G4071" t="s">
        <v>46</v>
      </c>
      <c r="H4071" t="s">
        <v>26</v>
      </c>
      <c r="I4071" t="s">
        <v>67</v>
      </c>
      <c r="J4071" t="s">
        <v>78</v>
      </c>
      <c r="K4071">
        <v>1</v>
      </c>
      <c r="L4071" s="2">
        <v>85.42</v>
      </c>
      <c r="M4071" s="3">
        <v>0.05</v>
      </c>
      <c r="N4071" t="s">
        <v>29</v>
      </c>
      <c r="O4071" s="2">
        <v>81.150000000000006</v>
      </c>
      <c r="P4071" s="2">
        <v>55.19</v>
      </c>
      <c r="Q4071" s="2">
        <v>25.96</v>
      </c>
      <c r="R4071">
        <v>1</v>
      </c>
      <c r="S4071">
        <v>0</v>
      </c>
      <c r="T4071">
        <v>5</v>
      </c>
      <c r="U4071">
        <v>4</v>
      </c>
    </row>
    <row r="4072" spans="1:21" ht="16.5" x14ac:dyDescent="0.3">
      <c r="A4072" t="s">
        <v>4160</v>
      </c>
      <c r="B4072" s="1">
        <v>45889</v>
      </c>
      <c r="C4072">
        <v>2025</v>
      </c>
      <c r="D4072" t="s">
        <v>1187</v>
      </c>
      <c r="E4072" t="s">
        <v>1356</v>
      </c>
      <c r="F4072" t="s">
        <v>31</v>
      </c>
      <c r="G4072" t="s">
        <v>51</v>
      </c>
      <c r="H4072" t="s">
        <v>32</v>
      </c>
      <c r="I4072" t="s">
        <v>36</v>
      </c>
      <c r="J4072" t="s">
        <v>115</v>
      </c>
      <c r="K4072">
        <v>3</v>
      </c>
      <c r="L4072" s="2">
        <v>33.479999999999997</v>
      </c>
      <c r="M4072" s="3">
        <v>0.15</v>
      </c>
      <c r="N4072" t="s">
        <v>34</v>
      </c>
      <c r="O4072" s="2">
        <v>85.37</v>
      </c>
      <c r="P4072" s="2">
        <v>48.45</v>
      </c>
      <c r="Q4072" s="2">
        <v>36.92</v>
      </c>
      <c r="R4072">
        <v>1</v>
      </c>
      <c r="S4072">
        <v>0</v>
      </c>
      <c r="T4072">
        <v>2</v>
      </c>
      <c r="U4072">
        <v>4</v>
      </c>
    </row>
    <row r="4073" spans="1:21" ht="16.5" x14ac:dyDescent="0.3">
      <c r="A4073" t="s">
        <v>4161</v>
      </c>
      <c r="B4073" s="1">
        <v>45889</v>
      </c>
      <c r="C4073">
        <v>2025</v>
      </c>
      <c r="D4073" t="s">
        <v>1187</v>
      </c>
      <c r="E4073" t="s">
        <v>1356</v>
      </c>
      <c r="F4073" t="s">
        <v>24</v>
      </c>
      <c r="G4073" t="s">
        <v>51</v>
      </c>
      <c r="H4073" t="s">
        <v>32</v>
      </c>
      <c r="I4073" t="s">
        <v>42</v>
      </c>
      <c r="J4073" t="s">
        <v>98</v>
      </c>
      <c r="K4073">
        <v>1</v>
      </c>
      <c r="L4073" s="2">
        <v>117.63</v>
      </c>
      <c r="M4073" s="3">
        <v>0.1</v>
      </c>
      <c r="N4073" t="s">
        <v>29</v>
      </c>
      <c r="O4073" s="2">
        <v>105.87</v>
      </c>
      <c r="P4073" s="2">
        <v>77.13</v>
      </c>
      <c r="Q4073" s="2">
        <v>28.74</v>
      </c>
      <c r="R4073">
        <v>1</v>
      </c>
      <c r="S4073">
        <v>0</v>
      </c>
      <c r="T4073">
        <v>4</v>
      </c>
      <c r="U4073">
        <v>4</v>
      </c>
    </row>
    <row r="4074" spans="1:21" ht="16.5" x14ac:dyDescent="0.3">
      <c r="A4074" t="s">
        <v>4162</v>
      </c>
      <c r="B4074" s="1">
        <v>45889</v>
      </c>
      <c r="C4074">
        <v>2025</v>
      </c>
      <c r="D4074" t="s">
        <v>1187</v>
      </c>
      <c r="E4074" t="s">
        <v>1356</v>
      </c>
      <c r="F4074" t="s">
        <v>31</v>
      </c>
      <c r="G4074" t="s">
        <v>25</v>
      </c>
      <c r="H4074" t="s">
        <v>32</v>
      </c>
      <c r="I4074" t="s">
        <v>27</v>
      </c>
      <c r="J4074" t="s">
        <v>33</v>
      </c>
      <c r="K4074">
        <v>1</v>
      </c>
      <c r="L4074" s="2">
        <v>78.510000000000005</v>
      </c>
      <c r="M4074" s="3">
        <v>0.15</v>
      </c>
      <c r="N4074" t="s">
        <v>34</v>
      </c>
      <c r="O4074" s="2">
        <v>66.73</v>
      </c>
      <c r="P4074" s="2">
        <v>42.58</v>
      </c>
      <c r="Q4074" s="2">
        <v>24.15</v>
      </c>
      <c r="R4074">
        <v>1</v>
      </c>
      <c r="S4074">
        <v>0</v>
      </c>
      <c r="T4074">
        <v>6</v>
      </c>
      <c r="U4074">
        <v>3</v>
      </c>
    </row>
    <row r="4075" spans="1:21" ht="16.5" x14ac:dyDescent="0.3">
      <c r="A4075" t="s">
        <v>4163</v>
      </c>
      <c r="B4075" s="1">
        <v>45889</v>
      </c>
      <c r="C4075">
        <v>2025</v>
      </c>
      <c r="D4075" t="s">
        <v>1187</v>
      </c>
      <c r="E4075" t="s">
        <v>1356</v>
      </c>
      <c r="F4075" t="s">
        <v>24</v>
      </c>
      <c r="G4075" t="s">
        <v>49</v>
      </c>
      <c r="H4075" t="s">
        <v>26</v>
      </c>
      <c r="I4075" t="s">
        <v>84</v>
      </c>
      <c r="J4075" t="s">
        <v>132</v>
      </c>
      <c r="K4075">
        <v>4</v>
      </c>
      <c r="L4075" s="2">
        <v>48.86</v>
      </c>
      <c r="M4075" s="3">
        <v>0.1</v>
      </c>
      <c r="N4075" t="s">
        <v>29</v>
      </c>
      <c r="O4075" s="2">
        <v>175.9</v>
      </c>
      <c r="P4075" s="2">
        <v>137.65</v>
      </c>
      <c r="Q4075" s="2">
        <v>38.25</v>
      </c>
      <c r="R4075">
        <v>1</v>
      </c>
      <c r="S4075">
        <v>0</v>
      </c>
      <c r="T4075">
        <v>6</v>
      </c>
      <c r="U4075">
        <v>3</v>
      </c>
    </row>
    <row r="4076" spans="1:21" ht="16.5" x14ac:dyDescent="0.3">
      <c r="A4076" t="s">
        <v>4164</v>
      </c>
      <c r="B4076" s="1">
        <v>45890</v>
      </c>
      <c r="C4076">
        <v>2025</v>
      </c>
      <c r="D4076" t="s">
        <v>1187</v>
      </c>
      <c r="E4076" t="s">
        <v>1356</v>
      </c>
      <c r="F4076" t="s">
        <v>31</v>
      </c>
      <c r="G4076" t="s">
        <v>51</v>
      </c>
      <c r="H4076" t="s">
        <v>32</v>
      </c>
      <c r="I4076" t="s">
        <v>42</v>
      </c>
      <c r="J4076" t="s">
        <v>43</v>
      </c>
      <c r="K4076">
        <v>1</v>
      </c>
      <c r="L4076" s="2">
        <v>154.66</v>
      </c>
      <c r="M4076" s="3">
        <v>0.05</v>
      </c>
      <c r="N4076" t="s">
        <v>29</v>
      </c>
      <c r="O4076" s="2">
        <v>146.93</v>
      </c>
      <c r="P4076" s="2">
        <v>97.58</v>
      </c>
      <c r="Q4076" s="2">
        <v>49.35</v>
      </c>
      <c r="R4076">
        <v>1</v>
      </c>
      <c r="S4076">
        <v>0</v>
      </c>
      <c r="T4076">
        <v>5</v>
      </c>
      <c r="U4076">
        <v>3</v>
      </c>
    </row>
    <row r="4077" spans="1:21" ht="16.5" x14ac:dyDescent="0.3">
      <c r="A4077" t="s">
        <v>4165</v>
      </c>
      <c r="B4077" s="1">
        <v>45890</v>
      </c>
      <c r="C4077">
        <v>2025</v>
      </c>
      <c r="D4077" t="s">
        <v>1187</v>
      </c>
      <c r="E4077" t="s">
        <v>1356</v>
      </c>
      <c r="F4077" t="s">
        <v>45</v>
      </c>
      <c r="G4077" t="s">
        <v>49</v>
      </c>
      <c r="H4077" t="s">
        <v>26</v>
      </c>
      <c r="I4077" t="s">
        <v>36</v>
      </c>
      <c r="J4077" t="s">
        <v>52</v>
      </c>
      <c r="K4077">
        <v>2</v>
      </c>
      <c r="L4077" s="2">
        <v>92.54</v>
      </c>
      <c r="M4077" s="3">
        <v>0</v>
      </c>
      <c r="N4077" t="s">
        <v>38</v>
      </c>
      <c r="O4077" s="2">
        <v>185.08</v>
      </c>
      <c r="P4077" s="2">
        <v>87.22</v>
      </c>
      <c r="Q4077" s="2">
        <v>97.86</v>
      </c>
      <c r="R4077">
        <v>1</v>
      </c>
      <c r="S4077">
        <v>0</v>
      </c>
      <c r="T4077">
        <v>5</v>
      </c>
      <c r="U4077">
        <v>5</v>
      </c>
    </row>
    <row r="4078" spans="1:21" ht="16.5" x14ac:dyDescent="0.3">
      <c r="A4078" t="s">
        <v>4166</v>
      </c>
      <c r="B4078" s="1">
        <v>45890</v>
      </c>
      <c r="C4078">
        <v>2025</v>
      </c>
      <c r="D4078" t="s">
        <v>1187</v>
      </c>
      <c r="E4078" t="s">
        <v>1356</v>
      </c>
      <c r="F4078" t="s">
        <v>31</v>
      </c>
      <c r="G4078" t="s">
        <v>49</v>
      </c>
      <c r="H4078" t="s">
        <v>32</v>
      </c>
      <c r="I4078" t="s">
        <v>42</v>
      </c>
      <c r="J4078" t="s">
        <v>76</v>
      </c>
      <c r="K4078">
        <v>1</v>
      </c>
      <c r="L4078" s="2">
        <v>90.75</v>
      </c>
      <c r="M4078" s="3">
        <v>0</v>
      </c>
      <c r="N4078" t="s">
        <v>38</v>
      </c>
      <c r="O4078" s="2">
        <v>90.75</v>
      </c>
      <c r="P4078" s="2">
        <v>58.85</v>
      </c>
      <c r="Q4078" s="2">
        <v>31.9</v>
      </c>
      <c r="R4078">
        <v>1</v>
      </c>
      <c r="S4078">
        <v>0</v>
      </c>
      <c r="T4078">
        <v>3</v>
      </c>
      <c r="U4078">
        <v>5</v>
      </c>
    </row>
    <row r="4079" spans="1:21" ht="16.5" x14ac:dyDescent="0.3">
      <c r="A4079" t="s">
        <v>4167</v>
      </c>
      <c r="B4079" s="1">
        <v>45890</v>
      </c>
      <c r="C4079">
        <v>2025</v>
      </c>
      <c r="D4079" t="s">
        <v>1187</v>
      </c>
      <c r="E4079" t="s">
        <v>1356</v>
      </c>
      <c r="F4079" t="s">
        <v>31</v>
      </c>
      <c r="G4079" t="s">
        <v>51</v>
      </c>
      <c r="H4079" t="s">
        <v>32</v>
      </c>
      <c r="I4079" t="s">
        <v>42</v>
      </c>
      <c r="J4079" t="s">
        <v>58</v>
      </c>
      <c r="K4079">
        <v>1</v>
      </c>
      <c r="L4079" s="2">
        <v>233.81</v>
      </c>
      <c r="M4079" s="3">
        <v>0.2</v>
      </c>
      <c r="N4079" t="s">
        <v>34</v>
      </c>
      <c r="O4079" s="2">
        <v>187.05</v>
      </c>
      <c r="P4079" s="2">
        <v>143.03</v>
      </c>
      <c r="Q4079" s="2">
        <v>44.02</v>
      </c>
      <c r="R4079">
        <v>1</v>
      </c>
      <c r="S4079">
        <v>0</v>
      </c>
      <c r="T4079">
        <v>3</v>
      </c>
      <c r="U4079">
        <v>4</v>
      </c>
    </row>
    <row r="4080" spans="1:21" ht="16.5" x14ac:dyDescent="0.3">
      <c r="A4080" t="s">
        <v>4168</v>
      </c>
      <c r="B4080" s="1">
        <v>45890</v>
      </c>
      <c r="C4080">
        <v>2025</v>
      </c>
      <c r="D4080" t="s">
        <v>1187</v>
      </c>
      <c r="E4080" t="s">
        <v>1356</v>
      </c>
      <c r="F4080" t="s">
        <v>45</v>
      </c>
      <c r="G4080" t="s">
        <v>49</v>
      </c>
      <c r="H4080" t="s">
        <v>26</v>
      </c>
      <c r="I4080" t="s">
        <v>84</v>
      </c>
      <c r="J4080" t="s">
        <v>96</v>
      </c>
      <c r="K4080">
        <v>4</v>
      </c>
      <c r="L4080" s="2">
        <v>10.76</v>
      </c>
      <c r="M4080" s="3">
        <v>0</v>
      </c>
      <c r="N4080" t="s">
        <v>38</v>
      </c>
      <c r="O4080" s="2">
        <v>43.04</v>
      </c>
      <c r="P4080" s="2">
        <v>30.01</v>
      </c>
      <c r="Q4080" s="2">
        <v>13.03</v>
      </c>
      <c r="R4080">
        <v>1</v>
      </c>
      <c r="S4080">
        <v>0</v>
      </c>
      <c r="T4080">
        <v>4</v>
      </c>
      <c r="U4080">
        <v>4</v>
      </c>
    </row>
    <row r="4081" spans="1:21" ht="16.5" x14ac:dyDescent="0.3">
      <c r="A4081" t="s">
        <v>4169</v>
      </c>
      <c r="B4081" s="1">
        <v>45890</v>
      </c>
      <c r="C4081">
        <v>2025</v>
      </c>
      <c r="D4081" t="s">
        <v>1187</v>
      </c>
      <c r="E4081" t="s">
        <v>1356</v>
      </c>
      <c r="F4081" t="s">
        <v>24</v>
      </c>
      <c r="G4081" t="s">
        <v>49</v>
      </c>
      <c r="H4081" t="s">
        <v>32</v>
      </c>
      <c r="I4081" t="s">
        <v>42</v>
      </c>
      <c r="J4081" t="s">
        <v>89</v>
      </c>
      <c r="K4081">
        <v>1</v>
      </c>
      <c r="L4081" s="2">
        <v>68.349999999999994</v>
      </c>
      <c r="M4081" s="3">
        <v>0</v>
      </c>
      <c r="N4081" t="s">
        <v>38</v>
      </c>
      <c r="O4081" s="2">
        <v>68.349999999999994</v>
      </c>
      <c r="P4081" s="2">
        <v>44.42</v>
      </c>
      <c r="Q4081" s="2">
        <v>23.93</v>
      </c>
      <c r="R4081">
        <v>1</v>
      </c>
      <c r="S4081">
        <v>0</v>
      </c>
      <c r="T4081">
        <v>3</v>
      </c>
      <c r="U4081">
        <v>4</v>
      </c>
    </row>
    <row r="4082" spans="1:21" ht="16.5" x14ac:dyDescent="0.3">
      <c r="A4082" t="s">
        <v>4170</v>
      </c>
      <c r="B4082" s="1">
        <v>45891</v>
      </c>
      <c r="C4082">
        <v>2025</v>
      </c>
      <c r="D4082" t="s">
        <v>1187</v>
      </c>
      <c r="E4082" t="s">
        <v>1356</v>
      </c>
      <c r="F4082" t="s">
        <v>31</v>
      </c>
      <c r="G4082" t="s">
        <v>25</v>
      </c>
      <c r="H4082" t="s">
        <v>26</v>
      </c>
      <c r="I4082" t="s">
        <v>27</v>
      </c>
      <c r="J4082" t="s">
        <v>110</v>
      </c>
      <c r="K4082">
        <v>1</v>
      </c>
      <c r="L4082" s="2">
        <v>19.41</v>
      </c>
      <c r="M4082" s="3">
        <v>0.05</v>
      </c>
      <c r="N4082" t="s">
        <v>29</v>
      </c>
      <c r="O4082" s="2">
        <v>18.440000000000001</v>
      </c>
      <c r="P4082" s="2">
        <v>10.64</v>
      </c>
      <c r="Q4082" s="2">
        <v>7.8</v>
      </c>
      <c r="R4082">
        <v>1</v>
      </c>
      <c r="S4082">
        <v>0</v>
      </c>
      <c r="T4082">
        <v>3</v>
      </c>
      <c r="U4082">
        <v>4</v>
      </c>
    </row>
    <row r="4083" spans="1:21" ht="16.5" x14ac:dyDescent="0.3">
      <c r="A4083" t="s">
        <v>4171</v>
      </c>
      <c r="B4083" s="1">
        <v>45891</v>
      </c>
      <c r="C4083">
        <v>2025</v>
      </c>
      <c r="D4083" t="s">
        <v>1187</v>
      </c>
      <c r="E4083" t="s">
        <v>1356</v>
      </c>
      <c r="F4083" t="s">
        <v>45</v>
      </c>
      <c r="G4083" t="s">
        <v>25</v>
      </c>
      <c r="H4083" t="s">
        <v>26</v>
      </c>
      <c r="I4083" t="s">
        <v>27</v>
      </c>
      <c r="J4083" t="s">
        <v>28</v>
      </c>
      <c r="K4083">
        <v>1</v>
      </c>
      <c r="L4083" s="2">
        <v>138.5</v>
      </c>
      <c r="M4083" s="3">
        <v>0.1</v>
      </c>
      <c r="N4083" t="s">
        <v>29</v>
      </c>
      <c r="O4083" s="2">
        <v>124.65</v>
      </c>
      <c r="P4083" s="2">
        <v>75.47</v>
      </c>
      <c r="Q4083" s="2">
        <v>49.18</v>
      </c>
      <c r="R4083">
        <v>1</v>
      </c>
      <c r="S4083">
        <v>0</v>
      </c>
      <c r="T4083">
        <v>5</v>
      </c>
      <c r="U4083">
        <v>5</v>
      </c>
    </row>
    <row r="4084" spans="1:21" ht="16.5" x14ac:dyDescent="0.3">
      <c r="A4084" t="s">
        <v>4172</v>
      </c>
      <c r="B4084" s="1">
        <v>45891</v>
      </c>
      <c r="C4084">
        <v>2025</v>
      </c>
      <c r="D4084" t="s">
        <v>1187</v>
      </c>
      <c r="E4084" t="s">
        <v>1356</v>
      </c>
      <c r="F4084" t="s">
        <v>24</v>
      </c>
      <c r="G4084" t="s">
        <v>49</v>
      </c>
      <c r="H4084" t="s">
        <v>32</v>
      </c>
      <c r="I4084" t="s">
        <v>70</v>
      </c>
      <c r="J4084" t="s">
        <v>252</v>
      </c>
      <c r="K4084">
        <v>2</v>
      </c>
      <c r="L4084" s="2">
        <v>216.08</v>
      </c>
      <c r="M4084" s="3">
        <v>0</v>
      </c>
      <c r="N4084" t="s">
        <v>38</v>
      </c>
      <c r="O4084" s="2">
        <v>432.16</v>
      </c>
      <c r="P4084" s="2">
        <v>345.28</v>
      </c>
      <c r="Q4084" s="2">
        <v>86.88</v>
      </c>
      <c r="R4084">
        <v>1</v>
      </c>
      <c r="S4084">
        <v>0</v>
      </c>
      <c r="T4084">
        <v>4</v>
      </c>
      <c r="U4084">
        <v>5</v>
      </c>
    </row>
    <row r="4085" spans="1:21" ht="16.5" x14ac:dyDescent="0.3">
      <c r="A4085" t="s">
        <v>4173</v>
      </c>
      <c r="B4085" s="1">
        <v>45891</v>
      </c>
      <c r="C4085">
        <v>2025</v>
      </c>
      <c r="D4085" t="s">
        <v>1187</v>
      </c>
      <c r="E4085" t="s">
        <v>1356</v>
      </c>
      <c r="F4085" t="s">
        <v>45</v>
      </c>
      <c r="G4085" t="s">
        <v>46</v>
      </c>
      <c r="H4085" t="s">
        <v>26</v>
      </c>
      <c r="I4085" t="s">
        <v>70</v>
      </c>
      <c r="J4085" t="s">
        <v>87</v>
      </c>
      <c r="K4085">
        <v>1</v>
      </c>
      <c r="L4085" s="2">
        <v>490.3</v>
      </c>
      <c r="M4085" s="3">
        <v>0.2</v>
      </c>
      <c r="N4085" t="s">
        <v>34</v>
      </c>
      <c r="O4085" s="2">
        <v>392.24</v>
      </c>
      <c r="P4085" s="2">
        <v>377.03</v>
      </c>
      <c r="Q4085" s="2">
        <v>15.21</v>
      </c>
      <c r="R4085">
        <v>1</v>
      </c>
      <c r="S4085">
        <v>0</v>
      </c>
      <c r="T4085">
        <v>6</v>
      </c>
      <c r="U4085">
        <v>3</v>
      </c>
    </row>
    <row r="4086" spans="1:21" ht="16.5" x14ac:dyDescent="0.3">
      <c r="A4086" t="s">
        <v>4174</v>
      </c>
      <c r="B4086" s="1">
        <v>45891</v>
      </c>
      <c r="C4086">
        <v>2025</v>
      </c>
      <c r="D4086" t="s">
        <v>1187</v>
      </c>
      <c r="E4086" t="s">
        <v>1356</v>
      </c>
      <c r="F4086" t="s">
        <v>24</v>
      </c>
      <c r="G4086" t="s">
        <v>49</v>
      </c>
      <c r="H4086" t="s">
        <v>32</v>
      </c>
      <c r="I4086" t="s">
        <v>36</v>
      </c>
      <c r="J4086" t="s">
        <v>126</v>
      </c>
      <c r="K4086">
        <v>1</v>
      </c>
      <c r="L4086" s="2">
        <v>54.56</v>
      </c>
      <c r="M4086" s="3">
        <v>0.05</v>
      </c>
      <c r="N4086" t="s">
        <v>29</v>
      </c>
      <c r="O4086" s="2">
        <v>51.83</v>
      </c>
      <c r="P4086" s="2">
        <v>26.06</v>
      </c>
      <c r="Q4086" s="2">
        <v>25.77</v>
      </c>
      <c r="R4086">
        <v>1</v>
      </c>
      <c r="S4086">
        <v>0</v>
      </c>
      <c r="T4086">
        <v>4</v>
      </c>
      <c r="U4086">
        <v>5</v>
      </c>
    </row>
    <row r="4087" spans="1:21" ht="16.5" x14ac:dyDescent="0.3">
      <c r="A4087" t="s">
        <v>4175</v>
      </c>
      <c r="B4087" s="1">
        <v>45891</v>
      </c>
      <c r="C4087">
        <v>2025</v>
      </c>
      <c r="D4087" t="s">
        <v>1187</v>
      </c>
      <c r="E4087" t="s">
        <v>1356</v>
      </c>
      <c r="F4087" t="s">
        <v>31</v>
      </c>
      <c r="G4087" t="s">
        <v>49</v>
      </c>
      <c r="H4087" t="s">
        <v>32</v>
      </c>
      <c r="I4087" t="s">
        <v>36</v>
      </c>
      <c r="J4087" t="s">
        <v>115</v>
      </c>
      <c r="K4087">
        <v>2</v>
      </c>
      <c r="L4087" s="2">
        <v>33.479999999999997</v>
      </c>
      <c r="M4087" s="3">
        <v>0.05</v>
      </c>
      <c r="N4087" t="s">
        <v>29</v>
      </c>
      <c r="O4087" s="2">
        <v>63.61</v>
      </c>
      <c r="P4087" s="2">
        <v>31.28</v>
      </c>
      <c r="Q4087" s="2">
        <v>32.33</v>
      </c>
      <c r="R4087">
        <v>1</v>
      </c>
      <c r="S4087">
        <v>0</v>
      </c>
      <c r="T4087">
        <v>6</v>
      </c>
      <c r="U4087">
        <v>3</v>
      </c>
    </row>
    <row r="4088" spans="1:21" ht="16.5" x14ac:dyDescent="0.3">
      <c r="A4088" t="s">
        <v>4176</v>
      </c>
      <c r="B4088" s="1">
        <v>45891</v>
      </c>
      <c r="C4088">
        <v>2025</v>
      </c>
      <c r="D4088" t="s">
        <v>1187</v>
      </c>
      <c r="E4088" t="s">
        <v>1356</v>
      </c>
      <c r="F4088" t="s">
        <v>24</v>
      </c>
      <c r="G4088" t="s">
        <v>51</v>
      </c>
      <c r="H4088" t="s">
        <v>26</v>
      </c>
      <c r="I4088" t="s">
        <v>42</v>
      </c>
      <c r="J4088" t="s">
        <v>58</v>
      </c>
      <c r="K4088">
        <v>1</v>
      </c>
      <c r="L4088" s="2">
        <v>233.81</v>
      </c>
      <c r="M4088" s="3">
        <v>0.15</v>
      </c>
      <c r="N4088" t="s">
        <v>34</v>
      </c>
      <c r="O4088" s="2">
        <v>198.74</v>
      </c>
      <c r="P4088" s="2">
        <v>149.58000000000001</v>
      </c>
      <c r="Q4088" s="2">
        <v>49.16</v>
      </c>
      <c r="R4088">
        <v>1</v>
      </c>
      <c r="S4088">
        <v>0</v>
      </c>
      <c r="T4088">
        <v>2</v>
      </c>
      <c r="U4088">
        <v>5</v>
      </c>
    </row>
    <row r="4089" spans="1:21" ht="16.5" x14ac:dyDescent="0.3">
      <c r="A4089" t="s">
        <v>4177</v>
      </c>
      <c r="B4089" s="1">
        <v>45891</v>
      </c>
      <c r="C4089">
        <v>2025</v>
      </c>
      <c r="D4089" t="s">
        <v>1187</v>
      </c>
      <c r="E4089" t="s">
        <v>1356</v>
      </c>
      <c r="F4089" t="s">
        <v>31</v>
      </c>
      <c r="G4089" t="s">
        <v>51</v>
      </c>
      <c r="H4089" t="s">
        <v>26</v>
      </c>
      <c r="I4089" t="s">
        <v>42</v>
      </c>
      <c r="J4089" t="s">
        <v>54</v>
      </c>
      <c r="K4089">
        <v>1</v>
      </c>
      <c r="L4089" s="2">
        <v>148.05000000000001</v>
      </c>
      <c r="M4089" s="3">
        <v>0</v>
      </c>
      <c r="N4089" t="s">
        <v>38</v>
      </c>
      <c r="O4089" s="2">
        <v>148.05000000000001</v>
      </c>
      <c r="P4089" s="2">
        <v>95.03</v>
      </c>
      <c r="Q4089" s="2">
        <v>53.02</v>
      </c>
      <c r="R4089">
        <v>1</v>
      </c>
      <c r="S4089">
        <v>0</v>
      </c>
      <c r="T4089">
        <v>3</v>
      </c>
      <c r="U4089">
        <v>4</v>
      </c>
    </row>
    <row r="4090" spans="1:21" ht="16.5" x14ac:dyDescent="0.3">
      <c r="A4090" t="s">
        <v>4178</v>
      </c>
      <c r="B4090" s="1">
        <v>45891</v>
      </c>
      <c r="C4090">
        <v>2025</v>
      </c>
      <c r="D4090" t="s">
        <v>1187</v>
      </c>
      <c r="E4090" t="s">
        <v>1356</v>
      </c>
      <c r="F4090" t="s">
        <v>31</v>
      </c>
      <c r="G4090" t="s">
        <v>65</v>
      </c>
      <c r="H4090" t="s">
        <v>32</v>
      </c>
      <c r="I4090" t="s">
        <v>42</v>
      </c>
      <c r="J4090" t="s">
        <v>58</v>
      </c>
      <c r="K4090">
        <v>2</v>
      </c>
      <c r="L4090" s="2">
        <v>233.81</v>
      </c>
      <c r="M4090" s="3">
        <v>0.3</v>
      </c>
      <c r="N4090" t="s">
        <v>62</v>
      </c>
      <c r="O4090" s="2">
        <v>327.33</v>
      </c>
      <c r="P4090" s="2">
        <v>307.57</v>
      </c>
      <c r="Q4090" s="2">
        <v>19.760000000000002</v>
      </c>
      <c r="R4090">
        <v>1</v>
      </c>
      <c r="S4090">
        <v>0</v>
      </c>
      <c r="T4090">
        <v>6</v>
      </c>
      <c r="U4090">
        <v>5</v>
      </c>
    </row>
    <row r="4091" spans="1:21" ht="16.5" x14ac:dyDescent="0.3">
      <c r="A4091" t="s">
        <v>4179</v>
      </c>
      <c r="B4091" s="1">
        <v>45891</v>
      </c>
      <c r="C4091">
        <v>2025</v>
      </c>
      <c r="D4091" t="s">
        <v>1187</v>
      </c>
      <c r="E4091" t="s">
        <v>1356</v>
      </c>
      <c r="F4091" t="s">
        <v>24</v>
      </c>
      <c r="G4091" t="s">
        <v>51</v>
      </c>
      <c r="H4091" t="s">
        <v>26</v>
      </c>
      <c r="I4091" t="s">
        <v>27</v>
      </c>
      <c r="J4091" t="s">
        <v>47</v>
      </c>
      <c r="K4091">
        <v>2</v>
      </c>
      <c r="L4091" s="2">
        <v>33.99</v>
      </c>
      <c r="M4091" s="3">
        <v>0.1</v>
      </c>
      <c r="N4091" t="s">
        <v>29</v>
      </c>
      <c r="O4091" s="2">
        <v>61.18</v>
      </c>
      <c r="P4091" s="2">
        <v>37.229999999999997</v>
      </c>
      <c r="Q4091" s="2">
        <v>23.95</v>
      </c>
      <c r="R4091">
        <v>1</v>
      </c>
      <c r="S4091">
        <v>0</v>
      </c>
      <c r="T4091">
        <v>2</v>
      </c>
      <c r="U4091">
        <v>4</v>
      </c>
    </row>
    <row r="4092" spans="1:21" ht="16.5" x14ac:dyDescent="0.3">
      <c r="A4092" t="s">
        <v>4180</v>
      </c>
      <c r="B4092" s="1">
        <v>45891</v>
      </c>
      <c r="C4092">
        <v>2025</v>
      </c>
      <c r="D4092" t="s">
        <v>1187</v>
      </c>
      <c r="E4092" t="s">
        <v>1356</v>
      </c>
      <c r="F4092" t="s">
        <v>31</v>
      </c>
      <c r="G4092" t="s">
        <v>25</v>
      </c>
      <c r="H4092" t="s">
        <v>32</v>
      </c>
      <c r="I4092" t="s">
        <v>84</v>
      </c>
      <c r="J4092" t="s">
        <v>132</v>
      </c>
      <c r="K4092">
        <v>1</v>
      </c>
      <c r="L4092" s="2">
        <v>48.86</v>
      </c>
      <c r="M4092" s="3">
        <v>0</v>
      </c>
      <c r="N4092" t="s">
        <v>38</v>
      </c>
      <c r="O4092" s="2">
        <v>48.86</v>
      </c>
      <c r="P4092" s="2">
        <v>33.369999999999997</v>
      </c>
      <c r="Q4092" s="2">
        <v>15.49</v>
      </c>
      <c r="R4092">
        <v>1</v>
      </c>
      <c r="S4092">
        <v>0</v>
      </c>
      <c r="T4092">
        <v>4</v>
      </c>
      <c r="U4092">
        <v>4</v>
      </c>
    </row>
    <row r="4093" spans="1:21" ht="16.5" x14ac:dyDescent="0.3">
      <c r="A4093" t="s">
        <v>4181</v>
      </c>
      <c r="B4093" s="1">
        <v>45892</v>
      </c>
      <c r="C4093">
        <v>2025</v>
      </c>
      <c r="D4093" t="s">
        <v>1187</v>
      </c>
      <c r="E4093" t="s">
        <v>1356</v>
      </c>
      <c r="F4093" t="s">
        <v>45</v>
      </c>
      <c r="G4093" t="s">
        <v>51</v>
      </c>
      <c r="H4093" t="s">
        <v>32</v>
      </c>
      <c r="I4093" t="s">
        <v>42</v>
      </c>
      <c r="J4093" t="s">
        <v>89</v>
      </c>
      <c r="K4093">
        <v>1</v>
      </c>
      <c r="L4093" s="2">
        <v>68.349999999999994</v>
      </c>
      <c r="M4093" s="3">
        <v>0</v>
      </c>
      <c r="N4093" t="s">
        <v>38</v>
      </c>
      <c r="O4093" s="2">
        <v>68.349999999999994</v>
      </c>
      <c r="P4093" s="2">
        <v>43.84</v>
      </c>
      <c r="Q4093" s="2">
        <v>24.51</v>
      </c>
      <c r="R4093">
        <v>1</v>
      </c>
      <c r="S4093">
        <v>0</v>
      </c>
      <c r="T4093">
        <v>4</v>
      </c>
      <c r="U4093">
        <v>5</v>
      </c>
    </row>
    <row r="4094" spans="1:21" ht="16.5" x14ac:dyDescent="0.3">
      <c r="A4094" t="s">
        <v>4182</v>
      </c>
      <c r="B4094" s="1">
        <v>45892</v>
      </c>
      <c r="C4094">
        <v>2025</v>
      </c>
      <c r="D4094" t="s">
        <v>1187</v>
      </c>
      <c r="E4094" t="s">
        <v>1356</v>
      </c>
      <c r="F4094" t="s">
        <v>24</v>
      </c>
      <c r="G4094" t="s">
        <v>46</v>
      </c>
      <c r="H4094" t="s">
        <v>26</v>
      </c>
      <c r="I4094" t="s">
        <v>36</v>
      </c>
      <c r="J4094" t="s">
        <v>52</v>
      </c>
      <c r="K4094">
        <v>2</v>
      </c>
      <c r="L4094" s="2">
        <v>92.54</v>
      </c>
      <c r="M4094" s="3">
        <v>0</v>
      </c>
      <c r="N4094" t="s">
        <v>38</v>
      </c>
      <c r="O4094" s="2">
        <v>185.08</v>
      </c>
      <c r="P4094" s="2">
        <v>88.88</v>
      </c>
      <c r="Q4094" s="2">
        <v>96.2</v>
      </c>
      <c r="R4094">
        <v>1</v>
      </c>
      <c r="S4094">
        <v>0</v>
      </c>
      <c r="T4094">
        <v>6</v>
      </c>
      <c r="U4094">
        <v>4</v>
      </c>
    </row>
    <row r="4095" spans="1:21" ht="16.5" x14ac:dyDescent="0.3">
      <c r="A4095" t="s">
        <v>4183</v>
      </c>
      <c r="B4095" s="1">
        <v>45892</v>
      </c>
      <c r="C4095">
        <v>2025</v>
      </c>
      <c r="D4095" t="s">
        <v>1187</v>
      </c>
      <c r="E4095" t="s">
        <v>1356</v>
      </c>
      <c r="F4095" t="s">
        <v>24</v>
      </c>
      <c r="G4095" t="s">
        <v>65</v>
      </c>
      <c r="H4095" t="s">
        <v>32</v>
      </c>
      <c r="I4095" t="s">
        <v>27</v>
      </c>
      <c r="J4095" t="s">
        <v>40</v>
      </c>
      <c r="K4095">
        <v>1</v>
      </c>
      <c r="L4095" s="2">
        <v>104.94</v>
      </c>
      <c r="M4095" s="3">
        <v>0.1</v>
      </c>
      <c r="N4095" t="s">
        <v>29</v>
      </c>
      <c r="O4095" s="2">
        <v>94.45</v>
      </c>
      <c r="P4095" s="2">
        <v>56.22</v>
      </c>
      <c r="Q4095" s="2">
        <v>38.229999999999997</v>
      </c>
      <c r="R4095">
        <v>1</v>
      </c>
      <c r="S4095">
        <v>0</v>
      </c>
      <c r="T4095">
        <v>7</v>
      </c>
      <c r="U4095">
        <v>3</v>
      </c>
    </row>
    <row r="4096" spans="1:21" ht="16.5" x14ac:dyDescent="0.3">
      <c r="A4096" t="s">
        <v>4184</v>
      </c>
      <c r="B4096" s="1">
        <v>45892</v>
      </c>
      <c r="C4096">
        <v>2025</v>
      </c>
      <c r="D4096" t="s">
        <v>1187</v>
      </c>
      <c r="E4096" t="s">
        <v>1356</v>
      </c>
      <c r="F4096" t="s">
        <v>31</v>
      </c>
      <c r="G4096" t="s">
        <v>51</v>
      </c>
      <c r="H4096" t="s">
        <v>26</v>
      </c>
      <c r="I4096" t="s">
        <v>36</v>
      </c>
      <c r="J4096" t="s">
        <v>52</v>
      </c>
      <c r="K4096">
        <v>1</v>
      </c>
      <c r="L4096" s="2">
        <v>92.54</v>
      </c>
      <c r="M4096" s="3">
        <v>0.05</v>
      </c>
      <c r="N4096" t="s">
        <v>29</v>
      </c>
      <c r="O4096" s="2">
        <v>87.91</v>
      </c>
      <c r="P4096" s="2">
        <v>44.72</v>
      </c>
      <c r="Q4096" s="2">
        <v>43.19</v>
      </c>
      <c r="R4096">
        <v>1</v>
      </c>
      <c r="S4096">
        <v>0</v>
      </c>
      <c r="T4096">
        <v>4</v>
      </c>
      <c r="U4096">
        <v>4</v>
      </c>
    </row>
    <row r="4097" spans="1:21" ht="16.5" x14ac:dyDescent="0.3">
      <c r="A4097" t="s">
        <v>4185</v>
      </c>
      <c r="B4097" s="1">
        <v>45892</v>
      </c>
      <c r="C4097">
        <v>2025</v>
      </c>
      <c r="D4097" t="s">
        <v>1187</v>
      </c>
      <c r="E4097" t="s">
        <v>1356</v>
      </c>
      <c r="F4097" t="s">
        <v>31</v>
      </c>
      <c r="G4097" t="s">
        <v>46</v>
      </c>
      <c r="H4097" t="s">
        <v>32</v>
      </c>
      <c r="I4097" t="s">
        <v>70</v>
      </c>
      <c r="J4097" t="s">
        <v>252</v>
      </c>
      <c r="K4097">
        <v>1</v>
      </c>
      <c r="L4097" s="2">
        <v>216.08</v>
      </c>
      <c r="M4097" s="3">
        <v>0.25</v>
      </c>
      <c r="N4097" t="s">
        <v>62</v>
      </c>
      <c r="O4097" s="2">
        <v>162.06</v>
      </c>
      <c r="P4097" s="2">
        <v>173.96</v>
      </c>
      <c r="Q4097" s="2">
        <v>-11.9</v>
      </c>
      <c r="R4097">
        <v>1</v>
      </c>
      <c r="S4097">
        <v>0</v>
      </c>
      <c r="T4097">
        <v>9</v>
      </c>
      <c r="U4097">
        <v>5</v>
      </c>
    </row>
    <row r="4098" spans="1:21" ht="16.5" x14ac:dyDescent="0.3">
      <c r="A4098" t="s">
        <v>4186</v>
      </c>
      <c r="B4098" s="1">
        <v>45892</v>
      </c>
      <c r="C4098">
        <v>2025</v>
      </c>
      <c r="D4098" t="s">
        <v>1187</v>
      </c>
      <c r="E4098" t="s">
        <v>1356</v>
      </c>
      <c r="F4098" t="s">
        <v>24</v>
      </c>
      <c r="G4098" t="s">
        <v>51</v>
      </c>
      <c r="H4098" t="s">
        <v>26</v>
      </c>
      <c r="I4098" t="s">
        <v>84</v>
      </c>
      <c r="J4098" t="s">
        <v>132</v>
      </c>
      <c r="K4098">
        <v>1</v>
      </c>
      <c r="L4098" s="2">
        <v>48.86</v>
      </c>
      <c r="M4098" s="3">
        <v>0.05</v>
      </c>
      <c r="N4098" t="s">
        <v>29</v>
      </c>
      <c r="O4098" s="2">
        <v>46.42</v>
      </c>
      <c r="P4098" s="2">
        <v>35.299999999999997</v>
      </c>
      <c r="Q4098" s="2">
        <v>11.12</v>
      </c>
      <c r="R4098">
        <v>1</v>
      </c>
      <c r="S4098">
        <v>0</v>
      </c>
      <c r="T4098">
        <v>2</v>
      </c>
      <c r="U4098">
        <v>5</v>
      </c>
    </row>
    <row r="4099" spans="1:21" ht="16.5" x14ac:dyDescent="0.3">
      <c r="A4099" t="s">
        <v>4187</v>
      </c>
      <c r="B4099" s="1">
        <v>45892</v>
      </c>
      <c r="C4099">
        <v>2025</v>
      </c>
      <c r="D4099" t="s">
        <v>1187</v>
      </c>
      <c r="E4099" t="s">
        <v>1356</v>
      </c>
      <c r="F4099" t="s">
        <v>31</v>
      </c>
      <c r="G4099" t="s">
        <v>65</v>
      </c>
      <c r="H4099" t="s">
        <v>32</v>
      </c>
      <c r="I4099" t="s">
        <v>42</v>
      </c>
      <c r="J4099" t="s">
        <v>89</v>
      </c>
      <c r="K4099">
        <v>1</v>
      </c>
      <c r="L4099" s="2">
        <v>68.349999999999994</v>
      </c>
      <c r="M4099" s="3">
        <v>0</v>
      </c>
      <c r="N4099" t="s">
        <v>38</v>
      </c>
      <c r="O4099" s="2">
        <v>68.349999999999994</v>
      </c>
      <c r="P4099" s="2">
        <v>46.65</v>
      </c>
      <c r="Q4099" s="2">
        <v>21.7</v>
      </c>
      <c r="R4099">
        <v>1</v>
      </c>
      <c r="S4099">
        <v>0</v>
      </c>
      <c r="T4099">
        <v>7</v>
      </c>
      <c r="U4099">
        <v>4</v>
      </c>
    </row>
    <row r="4100" spans="1:21" ht="16.5" x14ac:dyDescent="0.3">
      <c r="A4100" t="s">
        <v>4188</v>
      </c>
      <c r="B4100" s="1">
        <v>45892</v>
      </c>
      <c r="C4100">
        <v>2025</v>
      </c>
      <c r="D4100" t="s">
        <v>1187</v>
      </c>
      <c r="E4100" t="s">
        <v>1356</v>
      </c>
      <c r="F4100" t="s">
        <v>24</v>
      </c>
      <c r="G4100" t="s">
        <v>25</v>
      </c>
      <c r="H4100" t="s">
        <v>26</v>
      </c>
      <c r="I4100" t="s">
        <v>36</v>
      </c>
      <c r="J4100" t="s">
        <v>115</v>
      </c>
      <c r="K4100">
        <v>1</v>
      </c>
      <c r="L4100" s="2">
        <v>33.479999999999997</v>
      </c>
      <c r="M4100" s="3">
        <v>0.2</v>
      </c>
      <c r="N4100" t="s">
        <v>34</v>
      </c>
      <c r="O4100" s="2">
        <v>26.78</v>
      </c>
      <c r="P4100" s="2">
        <v>16.61</v>
      </c>
      <c r="Q4100" s="2">
        <v>10.17</v>
      </c>
      <c r="R4100">
        <v>1</v>
      </c>
      <c r="S4100">
        <v>0</v>
      </c>
      <c r="T4100">
        <v>3</v>
      </c>
      <c r="U4100">
        <v>5</v>
      </c>
    </row>
    <row r="4101" spans="1:21" ht="16.5" x14ac:dyDescent="0.3">
      <c r="A4101" t="s">
        <v>4189</v>
      </c>
      <c r="B4101" s="1">
        <v>45892</v>
      </c>
      <c r="C4101">
        <v>2025</v>
      </c>
      <c r="D4101" t="s">
        <v>1187</v>
      </c>
      <c r="E4101" t="s">
        <v>1356</v>
      </c>
      <c r="F4101" t="s">
        <v>24</v>
      </c>
      <c r="G4101" t="s">
        <v>25</v>
      </c>
      <c r="H4101" t="s">
        <v>32</v>
      </c>
      <c r="I4101" t="s">
        <v>27</v>
      </c>
      <c r="J4101" t="s">
        <v>40</v>
      </c>
      <c r="K4101">
        <v>2</v>
      </c>
      <c r="L4101" s="2">
        <v>104.94</v>
      </c>
      <c r="M4101" s="3">
        <v>0.05</v>
      </c>
      <c r="N4101" t="s">
        <v>29</v>
      </c>
      <c r="O4101" s="2">
        <v>199.39</v>
      </c>
      <c r="P4101" s="2">
        <v>116.45</v>
      </c>
      <c r="Q4101" s="2">
        <v>82.94</v>
      </c>
      <c r="R4101">
        <v>1</v>
      </c>
      <c r="S4101">
        <v>0</v>
      </c>
      <c r="T4101">
        <v>4</v>
      </c>
      <c r="U4101">
        <v>4</v>
      </c>
    </row>
    <row r="4102" spans="1:21" ht="16.5" x14ac:dyDescent="0.3">
      <c r="A4102" t="s">
        <v>4190</v>
      </c>
      <c r="B4102" s="1">
        <v>45892</v>
      </c>
      <c r="C4102">
        <v>2025</v>
      </c>
      <c r="D4102" t="s">
        <v>1187</v>
      </c>
      <c r="E4102" t="s">
        <v>1356</v>
      </c>
      <c r="F4102" t="s">
        <v>24</v>
      </c>
      <c r="G4102" t="s">
        <v>49</v>
      </c>
      <c r="H4102" t="s">
        <v>32</v>
      </c>
      <c r="I4102" t="s">
        <v>27</v>
      </c>
      <c r="J4102" t="s">
        <v>110</v>
      </c>
      <c r="K4102">
        <v>1</v>
      </c>
      <c r="L4102" s="2">
        <v>19.41</v>
      </c>
      <c r="M4102" s="3">
        <v>0.15</v>
      </c>
      <c r="N4102" t="s">
        <v>34</v>
      </c>
      <c r="O4102" s="2">
        <v>16.5</v>
      </c>
      <c r="P4102" s="2">
        <v>10.33</v>
      </c>
      <c r="Q4102" s="2">
        <v>6.17</v>
      </c>
      <c r="R4102">
        <v>1</v>
      </c>
      <c r="S4102">
        <v>0</v>
      </c>
      <c r="T4102">
        <v>4</v>
      </c>
      <c r="U4102">
        <v>4</v>
      </c>
    </row>
    <row r="4103" spans="1:21" ht="16.5" x14ac:dyDescent="0.3">
      <c r="A4103" t="s">
        <v>4191</v>
      </c>
      <c r="B4103" s="1">
        <v>45892</v>
      </c>
      <c r="C4103">
        <v>2025</v>
      </c>
      <c r="D4103" t="s">
        <v>1187</v>
      </c>
      <c r="E4103" t="s">
        <v>1356</v>
      </c>
      <c r="F4103" t="s">
        <v>24</v>
      </c>
      <c r="G4103" t="s">
        <v>49</v>
      </c>
      <c r="H4103" t="s">
        <v>32</v>
      </c>
      <c r="I4103" t="s">
        <v>36</v>
      </c>
      <c r="J4103" t="s">
        <v>115</v>
      </c>
      <c r="K4103">
        <v>1</v>
      </c>
      <c r="L4103" s="2">
        <v>33.479999999999997</v>
      </c>
      <c r="M4103" s="3">
        <v>0.05</v>
      </c>
      <c r="N4103" t="s">
        <v>29</v>
      </c>
      <c r="O4103" s="2">
        <v>31.81</v>
      </c>
      <c r="P4103" s="2">
        <v>15.73</v>
      </c>
      <c r="Q4103" s="2">
        <v>16.079999999999998</v>
      </c>
      <c r="R4103">
        <v>1</v>
      </c>
      <c r="S4103">
        <v>0</v>
      </c>
      <c r="T4103">
        <v>5</v>
      </c>
      <c r="U4103">
        <v>4</v>
      </c>
    </row>
    <row r="4104" spans="1:21" ht="16.5" x14ac:dyDescent="0.3">
      <c r="A4104" t="s">
        <v>4192</v>
      </c>
      <c r="B4104" s="1">
        <v>45892</v>
      </c>
      <c r="C4104">
        <v>2025</v>
      </c>
      <c r="D4104" t="s">
        <v>1187</v>
      </c>
      <c r="E4104" t="s">
        <v>1356</v>
      </c>
      <c r="F4104" t="s">
        <v>31</v>
      </c>
      <c r="G4104" t="s">
        <v>49</v>
      </c>
      <c r="H4104" t="s">
        <v>26</v>
      </c>
      <c r="I4104" t="s">
        <v>70</v>
      </c>
      <c r="J4104" t="s">
        <v>82</v>
      </c>
      <c r="K4104">
        <v>1</v>
      </c>
      <c r="L4104" s="2">
        <v>508.8</v>
      </c>
      <c r="M4104" s="3">
        <v>0.05</v>
      </c>
      <c r="N4104" t="s">
        <v>29</v>
      </c>
      <c r="O4104" s="2">
        <v>483.36</v>
      </c>
      <c r="P4104" s="2">
        <v>408.99</v>
      </c>
      <c r="Q4104" s="2">
        <v>74.37</v>
      </c>
      <c r="R4104">
        <v>1</v>
      </c>
      <c r="S4104">
        <v>0</v>
      </c>
      <c r="T4104">
        <v>4</v>
      </c>
      <c r="U4104">
        <v>4</v>
      </c>
    </row>
    <row r="4105" spans="1:21" ht="16.5" x14ac:dyDescent="0.3">
      <c r="A4105" t="s">
        <v>4193</v>
      </c>
      <c r="B4105" s="1">
        <v>45892</v>
      </c>
      <c r="C4105">
        <v>2025</v>
      </c>
      <c r="D4105" t="s">
        <v>1187</v>
      </c>
      <c r="E4105" t="s">
        <v>1356</v>
      </c>
      <c r="F4105" t="s">
        <v>24</v>
      </c>
      <c r="G4105" t="s">
        <v>51</v>
      </c>
      <c r="H4105" t="s">
        <v>32</v>
      </c>
      <c r="I4105" t="s">
        <v>67</v>
      </c>
      <c r="J4105" t="s">
        <v>93</v>
      </c>
      <c r="K4105">
        <v>2</v>
      </c>
      <c r="L4105" s="2">
        <v>198.42</v>
      </c>
      <c r="M4105" s="3">
        <v>0.1</v>
      </c>
      <c r="N4105" t="s">
        <v>29</v>
      </c>
      <c r="O4105" s="2">
        <v>357.16</v>
      </c>
      <c r="P4105" s="2">
        <v>261.11</v>
      </c>
      <c r="Q4105" s="2">
        <v>96.05</v>
      </c>
      <c r="R4105">
        <v>1</v>
      </c>
      <c r="S4105">
        <v>0</v>
      </c>
      <c r="T4105">
        <v>2</v>
      </c>
      <c r="U4105">
        <v>5</v>
      </c>
    </row>
    <row r="4106" spans="1:21" ht="16.5" x14ac:dyDescent="0.3">
      <c r="A4106" t="s">
        <v>4194</v>
      </c>
      <c r="B4106" s="1">
        <v>45893</v>
      </c>
      <c r="C4106">
        <v>2025</v>
      </c>
      <c r="D4106" t="s">
        <v>1187</v>
      </c>
      <c r="E4106" t="s">
        <v>1356</v>
      </c>
      <c r="F4106" t="s">
        <v>45</v>
      </c>
      <c r="G4106" t="s">
        <v>46</v>
      </c>
      <c r="H4106" t="s">
        <v>32</v>
      </c>
      <c r="I4106" t="s">
        <v>70</v>
      </c>
      <c r="J4106" t="s">
        <v>129</v>
      </c>
      <c r="K4106">
        <v>1</v>
      </c>
      <c r="L4106" s="2">
        <v>177.65</v>
      </c>
      <c r="M4106" s="3">
        <v>0.25</v>
      </c>
      <c r="N4106" t="s">
        <v>62</v>
      </c>
      <c r="O4106" s="2">
        <v>133.24</v>
      </c>
      <c r="P4106" s="2">
        <v>145.83000000000001</v>
      </c>
      <c r="Q4106" s="2">
        <v>-12.59</v>
      </c>
      <c r="R4106">
        <v>1</v>
      </c>
      <c r="S4106">
        <v>0</v>
      </c>
      <c r="T4106">
        <v>6</v>
      </c>
      <c r="U4106">
        <v>4</v>
      </c>
    </row>
    <row r="4107" spans="1:21" ht="16.5" x14ac:dyDescent="0.3">
      <c r="A4107" t="s">
        <v>4195</v>
      </c>
      <c r="B4107" s="1">
        <v>45893</v>
      </c>
      <c r="C4107">
        <v>2025</v>
      </c>
      <c r="D4107" t="s">
        <v>1187</v>
      </c>
      <c r="E4107" t="s">
        <v>1356</v>
      </c>
      <c r="F4107" t="s">
        <v>31</v>
      </c>
      <c r="G4107" t="s">
        <v>51</v>
      </c>
      <c r="H4107" t="s">
        <v>26</v>
      </c>
      <c r="I4107" t="s">
        <v>84</v>
      </c>
      <c r="J4107" t="s">
        <v>85</v>
      </c>
      <c r="K4107">
        <v>2</v>
      </c>
      <c r="L4107" s="2">
        <v>57.92</v>
      </c>
      <c r="M4107" s="3">
        <v>0.1</v>
      </c>
      <c r="N4107" t="s">
        <v>29</v>
      </c>
      <c r="O4107" s="2">
        <v>104.26</v>
      </c>
      <c r="P4107" s="2">
        <v>83.45</v>
      </c>
      <c r="Q4107" s="2">
        <v>20.81</v>
      </c>
      <c r="R4107">
        <v>1</v>
      </c>
      <c r="S4107">
        <v>0</v>
      </c>
      <c r="T4107">
        <v>4</v>
      </c>
      <c r="U4107">
        <v>5</v>
      </c>
    </row>
    <row r="4108" spans="1:21" ht="16.5" x14ac:dyDescent="0.3">
      <c r="A4108" t="s">
        <v>4196</v>
      </c>
      <c r="B4108" s="1">
        <v>45893</v>
      </c>
      <c r="C4108">
        <v>2025</v>
      </c>
      <c r="D4108" t="s">
        <v>1187</v>
      </c>
      <c r="E4108" t="s">
        <v>1356</v>
      </c>
      <c r="F4108" t="s">
        <v>45</v>
      </c>
      <c r="G4108" t="s">
        <v>49</v>
      </c>
      <c r="H4108" t="s">
        <v>26</v>
      </c>
      <c r="I4108" t="s">
        <v>42</v>
      </c>
      <c r="J4108" t="s">
        <v>89</v>
      </c>
      <c r="K4108">
        <v>1</v>
      </c>
      <c r="L4108" s="2">
        <v>68.349999999999994</v>
      </c>
      <c r="M4108" s="3">
        <v>0</v>
      </c>
      <c r="N4108" t="s">
        <v>38</v>
      </c>
      <c r="O4108" s="2">
        <v>68.349999999999994</v>
      </c>
      <c r="P4108" s="2">
        <v>43.53</v>
      </c>
      <c r="Q4108" s="2">
        <v>24.82</v>
      </c>
      <c r="R4108">
        <v>1</v>
      </c>
      <c r="S4108">
        <v>0</v>
      </c>
      <c r="T4108">
        <v>5</v>
      </c>
      <c r="U4108">
        <v>4</v>
      </c>
    </row>
    <row r="4109" spans="1:21" ht="16.5" x14ac:dyDescent="0.3">
      <c r="A4109" t="s">
        <v>4197</v>
      </c>
      <c r="B4109" s="1">
        <v>45893</v>
      </c>
      <c r="C4109">
        <v>2025</v>
      </c>
      <c r="D4109" t="s">
        <v>1187</v>
      </c>
      <c r="E4109" t="s">
        <v>1356</v>
      </c>
      <c r="F4109" t="s">
        <v>31</v>
      </c>
      <c r="G4109" t="s">
        <v>46</v>
      </c>
      <c r="H4109" t="s">
        <v>32</v>
      </c>
      <c r="I4109" t="s">
        <v>67</v>
      </c>
      <c r="J4109" t="s">
        <v>68</v>
      </c>
      <c r="K4109">
        <v>1</v>
      </c>
      <c r="L4109" s="2">
        <v>74.459999999999994</v>
      </c>
      <c r="M4109" s="3">
        <v>0</v>
      </c>
      <c r="N4109" t="s">
        <v>38</v>
      </c>
      <c r="O4109" s="2">
        <v>74.459999999999994</v>
      </c>
      <c r="P4109" s="2">
        <v>48.26</v>
      </c>
      <c r="Q4109" s="2">
        <v>26.2</v>
      </c>
      <c r="R4109">
        <v>1</v>
      </c>
      <c r="S4109">
        <v>0</v>
      </c>
      <c r="T4109">
        <v>5</v>
      </c>
      <c r="U4109">
        <v>5</v>
      </c>
    </row>
    <row r="4110" spans="1:21" ht="16.5" x14ac:dyDescent="0.3">
      <c r="A4110" t="s">
        <v>4198</v>
      </c>
      <c r="B4110" s="1">
        <v>45893</v>
      </c>
      <c r="C4110">
        <v>2025</v>
      </c>
      <c r="D4110" t="s">
        <v>1187</v>
      </c>
      <c r="E4110" t="s">
        <v>1356</v>
      </c>
      <c r="F4110" t="s">
        <v>31</v>
      </c>
      <c r="G4110" t="s">
        <v>25</v>
      </c>
      <c r="H4110" t="s">
        <v>32</v>
      </c>
      <c r="I4110" t="s">
        <v>27</v>
      </c>
      <c r="J4110" t="s">
        <v>60</v>
      </c>
      <c r="K4110">
        <v>3</v>
      </c>
      <c r="L4110" s="2">
        <v>94.85</v>
      </c>
      <c r="M4110" s="3">
        <v>0</v>
      </c>
      <c r="N4110" t="s">
        <v>38</v>
      </c>
      <c r="O4110" s="2">
        <v>284.55</v>
      </c>
      <c r="P4110" s="2">
        <v>146.81</v>
      </c>
      <c r="Q4110" s="2">
        <v>137.74</v>
      </c>
      <c r="R4110">
        <v>1</v>
      </c>
      <c r="S4110">
        <v>0</v>
      </c>
      <c r="T4110">
        <v>3</v>
      </c>
      <c r="U4110">
        <v>5</v>
      </c>
    </row>
    <row r="4111" spans="1:21" ht="16.5" x14ac:dyDescent="0.3">
      <c r="A4111" t="s">
        <v>4199</v>
      </c>
      <c r="B4111" s="1">
        <v>45893</v>
      </c>
      <c r="C4111">
        <v>2025</v>
      </c>
      <c r="D4111" t="s">
        <v>1187</v>
      </c>
      <c r="E4111" t="s">
        <v>1356</v>
      </c>
      <c r="F4111" t="s">
        <v>31</v>
      </c>
      <c r="G4111" t="s">
        <v>65</v>
      </c>
      <c r="H4111" t="s">
        <v>26</v>
      </c>
      <c r="I4111" t="s">
        <v>42</v>
      </c>
      <c r="J4111" t="s">
        <v>98</v>
      </c>
      <c r="K4111">
        <v>3</v>
      </c>
      <c r="L4111" s="2">
        <v>117.63</v>
      </c>
      <c r="M4111" s="3">
        <v>0.1</v>
      </c>
      <c r="N4111" t="s">
        <v>29</v>
      </c>
      <c r="O4111" s="2">
        <v>317.60000000000002</v>
      </c>
      <c r="P4111" s="2">
        <v>242.21</v>
      </c>
      <c r="Q4111" s="2">
        <v>75.39</v>
      </c>
      <c r="R4111">
        <v>1</v>
      </c>
      <c r="S4111">
        <v>0</v>
      </c>
      <c r="T4111">
        <v>6</v>
      </c>
      <c r="U4111">
        <v>3</v>
      </c>
    </row>
    <row r="4112" spans="1:21" ht="16.5" x14ac:dyDescent="0.3">
      <c r="A4112" t="s">
        <v>4200</v>
      </c>
      <c r="B4112" s="1">
        <v>45893</v>
      </c>
      <c r="C4112">
        <v>2025</v>
      </c>
      <c r="D4112" t="s">
        <v>1187</v>
      </c>
      <c r="E4112" t="s">
        <v>1356</v>
      </c>
      <c r="F4112" t="s">
        <v>31</v>
      </c>
      <c r="G4112" t="s">
        <v>65</v>
      </c>
      <c r="H4112" t="s">
        <v>26</v>
      </c>
      <c r="I4112" t="s">
        <v>84</v>
      </c>
      <c r="J4112" t="s">
        <v>85</v>
      </c>
      <c r="K4112">
        <v>2</v>
      </c>
      <c r="L4112" s="2">
        <v>57.92</v>
      </c>
      <c r="M4112" s="3">
        <v>0</v>
      </c>
      <c r="N4112" t="s">
        <v>38</v>
      </c>
      <c r="O4112" s="2">
        <v>115.84</v>
      </c>
      <c r="P4112" s="2">
        <v>76.48</v>
      </c>
      <c r="Q4112" s="2">
        <v>39.36</v>
      </c>
      <c r="R4112">
        <v>1</v>
      </c>
      <c r="S4112">
        <v>0</v>
      </c>
      <c r="T4112">
        <v>6</v>
      </c>
      <c r="U4112">
        <v>4</v>
      </c>
    </row>
    <row r="4113" spans="1:21" ht="16.5" x14ac:dyDescent="0.3">
      <c r="A4113" t="s">
        <v>4201</v>
      </c>
      <c r="B4113" s="1">
        <v>45894</v>
      </c>
      <c r="C4113">
        <v>2025</v>
      </c>
      <c r="D4113" t="s">
        <v>1187</v>
      </c>
      <c r="E4113" t="s">
        <v>1356</v>
      </c>
      <c r="F4113" t="s">
        <v>31</v>
      </c>
      <c r="G4113" t="s">
        <v>49</v>
      </c>
      <c r="H4113" t="s">
        <v>26</v>
      </c>
      <c r="I4113" t="s">
        <v>42</v>
      </c>
      <c r="J4113" t="s">
        <v>43</v>
      </c>
      <c r="K4113">
        <v>3</v>
      </c>
      <c r="L4113" s="2">
        <v>154.66</v>
      </c>
      <c r="M4113" s="3">
        <v>0.2</v>
      </c>
      <c r="N4113" t="s">
        <v>34</v>
      </c>
      <c r="O4113" s="2">
        <v>371.18</v>
      </c>
      <c r="P4113" s="2">
        <v>293.06</v>
      </c>
      <c r="Q4113" s="2">
        <v>78.12</v>
      </c>
      <c r="R4113">
        <v>1</v>
      </c>
      <c r="S4113">
        <v>0</v>
      </c>
      <c r="T4113">
        <v>5</v>
      </c>
      <c r="U4113">
        <v>5</v>
      </c>
    </row>
    <row r="4114" spans="1:21" ht="16.5" x14ac:dyDescent="0.3">
      <c r="A4114" t="s">
        <v>4202</v>
      </c>
      <c r="B4114" s="1">
        <v>45894</v>
      </c>
      <c r="C4114">
        <v>2025</v>
      </c>
      <c r="D4114" t="s">
        <v>1187</v>
      </c>
      <c r="E4114" t="s">
        <v>1356</v>
      </c>
      <c r="F4114" t="s">
        <v>45</v>
      </c>
      <c r="G4114" t="s">
        <v>25</v>
      </c>
      <c r="H4114" t="s">
        <v>26</v>
      </c>
      <c r="I4114" t="s">
        <v>70</v>
      </c>
      <c r="J4114" t="s">
        <v>82</v>
      </c>
      <c r="K4114">
        <v>2</v>
      </c>
      <c r="L4114" s="2">
        <v>508.8</v>
      </c>
      <c r="M4114" s="3">
        <v>0</v>
      </c>
      <c r="N4114" t="s">
        <v>38</v>
      </c>
      <c r="O4114" s="2">
        <v>1017.6</v>
      </c>
      <c r="P4114" s="2">
        <v>821.17</v>
      </c>
      <c r="Q4114" s="2">
        <v>196.43</v>
      </c>
      <c r="R4114">
        <v>1</v>
      </c>
      <c r="S4114">
        <v>0</v>
      </c>
      <c r="T4114">
        <v>4</v>
      </c>
      <c r="U4114">
        <v>4</v>
      </c>
    </row>
    <row r="4115" spans="1:21" ht="16.5" x14ac:dyDescent="0.3">
      <c r="A4115" t="s">
        <v>4203</v>
      </c>
      <c r="B4115" s="1">
        <v>45894</v>
      </c>
      <c r="C4115">
        <v>2025</v>
      </c>
      <c r="D4115" t="s">
        <v>1187</v>
      </c>
      <c r="E4115" t="s">
        <v>1356</v>
      </c>
      <c r="F4115" t="s">
        <v>24</v>
      </c>
      <c r="G4115" t="s">
        <v>46</v>
      </c>
      <c r="H4115" t="s">
        <v>32</v>
      </c>
      <c r="I4115" t="s">
        <v>42</v>
      </c>
      <c r="J4115" t="s">
        <v>98</v>
      </c>
      <c r="K4115">
        <v>1</v>
      </c>
      <c r="L4115" s="2">
        <v>117.63</v>
      </c>
      <c r="M4115" s="3">
        <v>0.05</v>
      </c>
      <c r="N4115" t="s">
        <v>29</v>
      </c>
      <c r="O4115" s="2">
        <v>111.75</v>
      </c>
      <c r="P4115" s="2">
        <v>83.34</v>
      </c>
      <c r="Q4115" s="2">
        <v>28.41</v>
      </c>
      <c r="R4115">
        <v>1</v>
      </c>
      <c r="S4115">
        <v>0</v>
      </c>
      <c r="T4115">
        <v>5</v>
      </c>
      <c r="U4115">
        <v>4</v>
      </c>
    </row>
    <row r="4116" spans="1:21" ht="16.5" x14ac:dyDescent="0.3">
      <c r="A4116" t="s">
        <v>4204</v>
      </c>
      <c r="B4116" s="1">
        <v>45894</v>
      </c>
      <c r="C4116">
        <v>2025</v>
      </c>
      <c r="D4116" t="s">
        <v>1187</v>
      </c>
      <c r="E4116" t="s">
        <v>1356</v>
      </c>
      <c r="F4116" t="s">
        <v>24</v>
      </c>
      <c r="G4116" t="s">
        <v>25</v>
      </c>
      <c r="H4116" t="s">
        <v>26</v>
      </c>
      <c r="I4116" t="s">
        <v>42</v>
      </c>
      <c r="J4116" t="s">
        <v>76</v>
      </c>
      <c r="K4116">
        <v>1</v>
      </c>
      <c r="L4116" s="2">
        <v>90.75</v>
      </c>
      <c r="M4116" s="3">
        <v>0</v>
      </c>
      <c r="N4116" t="s">
        <v>38</v>
      </c>
      <c r="O4116" s="2">
        <v>90.75</v>
      </c>
      <c r="P4116" s="2">
        <v>60.64</v>
      </c>
      <c r="Q4116" s="2">
        <v>30.11</v>
      </c>
      <c r="R4116">
        <v>1</v>
      </c>
      <c r="S4116">
        <v>0</v>
      </c>
      <c r="T4116">
        <v>3</v>
      </c>
      <c r="U4116">
        <v>5</v>
      </c>
    </row>
    <row r="4117" spans="1:21" ht="16.5" x14ac:dyDescent="0.3">
      <c r="A4117" t="s">
        <v>4205</v>
      </c>
      <c r="B4117" s="1">
        <v>45894</v>
      </c>
      <c r="C4117">
        <v>2025</v>
      </c>
      <c r="D4117" t="s">
        <v>1187</v>
      </c>
      <c r="E4117" t="s">
        <v>1356</v>
      </c>
      <c r="F4117" t="s">
        <v>31</v>
      </c>
      <c r="G4117" t="s">
        <v>51</v>
      </c>
      <c r="H4117" t="s">
        <v>26</v>
      </c>
      <c r="I4117" t="s">
        <v>42</v>
      </c>
      <c r="J4117" t="s">
        <v>76</v>
      </c>
      <c r="K4117">
        <v>1</v>
      </c>
      <c r="L4117" s="2">
        <v>90.75</v>
      </c>
      <c r="M4117" s="3">
        <v>0.1</v>
      </c>
      <c r="N4117" t="s">
        <v>29</v>
      </c>
      <c r="O4117" s="2">
        <v>81.680000000000007</v>
      </c>
      <c r="P4117" s="2">
        <v>60.85</v>
      </c>
      <c r="Q4117" s="2">
        <v>20.83</v>
      </c>
      <c r="R4117">
        <v>1</v>
      </c>
      <c r="S4117">
        <v>0</v>
      </c>
      <c r="T4117">
        <v>2</v>
      </c>
      <c r="U4117">
        <v>5</v>
      </c>
    </row>
    <row r="4118" spans="1:21" ht="16.5" x14ac:dyDescent="0.3">
      <c r="A4118" t="s">
        <v>4206</v>
      </c>
      <c r="B4118" s="1">
        <v>45894</v>
      </c>
      <c r="C4118">
        <v>2025</v>
      </c>
      <c r="D4118" t="s">
        <v>1187</v>
      </c>
      <c r="E4118" t="s">
        <v>1356</v>
      </c>
      <c r="F4118" t="s">
        <v>31</v>
      </c>
      <c r="G4118" t="s">
        <v>25</v>
      </c>
      <c r="H4118" t="s">
        <v>26</v>
      </c>
      <c r="I4118" t="s">
        <v>27</v>
      </c>
      <c r="J4118" t="s">
        <v>110</v>
      </c>
      <c r="K4118">
        <v>1</v>
      </c>
      <c r="L4118" s="2">
        <v>19.41</v>
      </c>
      <c r="M4118" s="3">
        <v>0.25</v>
      </c>
      <c r="N4118" t="s">
        <v>62</v>
      </c>
      <c r="O4118" s="2">
        <v>14.56</v>
      </c>
      <c r="P4118" s="2">
        <v>10.81</v>
      </c>
      <c r="Q4118" s="2">
        <v>3.75</v>
      </c>
      <c r="R4118">
        <v>1</v>
      </c>
      <c r="S4118">
        <v>0</v>
      </c>
      <c r="T4118">
        <v>3</v>
      </c>
      <c r="U4118">
        <v>5</v>
      </c>
    </row>
    <row r="4119" spans="1:21" ht="16.5" x14ac:dyDescent="0.3">
      <c r="A4119" t="s">
        <v>4207</v>
      </c>
      <c r="B4119" s="1">
        <v>45895</v>
      </c>
      <c r="C4119">
        <v>2025</v>
      </c>
      <c r="D4119" t="s">
        <v>1187</v>
      </c>
      <c r="E4119" t="s">
        <v>1356</v>
      </c>
      <c r="F4119" t="s">
        <v>24</v>
      </c>
      <c r="G4119" t="s">
        <v>25</v>
      </c>
      <c r="H4119" t="s">
        <v>26</v>
      </c>
      <c r="I4119" t="s">
        <v>27</v>
      </c>
      <c r="J4119" t="s">
        <v>60</v>
      </c>
      <c r="K4119">
        <v>1</v>
      </c>
      <c r="L4119" s="2">
        <v>94.85</v>
      </c>
      <c r="M4119" s="3">
        <v>0.3</v>
      </c>
      <c r="N4119" t="s">
        <v>62</v>
      </c>
      <c r="O4119" s="2">
        <v>66.400000000000006</v>
      </c>
      <c r="P4119" s="2">
        <v>48.5</v>
      </c>
      <c r="Q4119" s="2">
        <v>17.899999999999999</v>
      </c>
      <c r="R4119">
        <v>1</v>
      </c>
      <c r="S4119">
        <v>0</v>
      </c>
      <c r="T4119">
        <v>5</v>
      </c>
      <c r="U4119">
        <v>5</v>
      </c>
    </row>
    <row r="4120" spans="1:21" ht="16.5" x14ac:dyDescent="0.3">
      <c r="A4120" t="s">
        <v>4208</v>
      </c>
      <c r="B4120" s="1">
        <v>45895</v>
      </c>
      <c r="C4120">
        <v>2025</v>
      </c>
      <c r="D4120" t="s">
        <v>1187</v>
      </c>
      <c r="E4120" t="s">
        <v>1356</v>
      </c>
      <c r="F4120" t="s">
        <v>31</v>
      </c>
      <c r="G4120" t="s">
        <v>25</v>
      </c>
      <c r="H4120" t="s">
        <v>32</v>
      </c>
      <c r="I4120" t="s">
        <v>36</v>
      </c>
      <c r="J4120" t="s">
        <v>37</v>
      </c>
      <c r="K4120">
        <v>2</v>
      </c>
      <c r="L4120" s="2">
        <v>33.18</v>
      </c>
      <c r="M4120" s="3">
        <v>0.1</v>
      </c>
      <c r="N4120" t="s">
        <v>29</v>
      </c>
      <c r="O4120" s="2">
        <v>59.72</v>
      </c>
      <c r="P4120" s="2">
        <v>32.090000000000003</v>
      </c>
      <c r="Q4120" s="2">
        <v>27.63</v>
      </c>
      <c r="R4120">
        <v>1</v>
      </c>
      <c r="S4120">
        <v>0</v>
      </c>
      <c r="T4120">
        <v>3</v>
      </c>
      <c r="U4120">
        <v>4</v>
      </c>
    </row>
    <row r="4121" spans="1:21" ht="16.5" x14ac:dyDescent="0.3">
      <c r="A4121" t="s">
        <v>4209</v>
      </c>
      <c r="B4121" s="1">
        <v>45895</v>
      </c>
      <c r="C4121">
        <v>2025</v>
      </c>
      <c r="D4121" t="s">
        <v>1187</v>
      </c>
      <c r="E4121" t="s">
        <v>1356</v>
      </c>
      <c r="F4121" t="s">
        <v>24</v>
      </c>
      <c r="G4121" t="s">
        <v>49</v>
      </c>
      <c r="H4121" t="s">
        <v>32</v>
      </c>
      <c r="I4121" t="s">
        <v>27</v>
      </c>
      <c r="J4121" t="s">
        <v>110</v>
      </c>
      <c r="K4121">
        <v>1</v>
      </c>
      <c r="L4121" s="2">
        <v>19.41</v>
      </c>
      <c r="M4121" s="3">
        <v>0</v>
      </c>
      <c r="N4121" t="s">
        <v>38</v>
      </c>
      <c r="O4121" s="2">
        <v>19.41</v>
      </c>
      <c r="P4121" s="2">
        <v>10.45</v>
      </c>
      <c r="Q4121" s="2">
        <v>8.9600000000000009</v>
      </c>
      <c r="R4121">
        <v>1</v>
      </c>
      <c r="S4121">
        <v>0</v>
      </c>
      <c r="T4121">
        <v>4</v>
      </c>
      <c r="U4121">
        <v>5</v>
      </c>
    </row>
    <row r="4122" spans="1:21" ht="16.5" x14ac:dyDescent="0.3">
      <c r="A4122" t="s">
        <v>4210</v>
      </c>
      <c r="B4122" s="1">
        <v>45895</v>
      </c>
      <c r="C4122">
        <v>2025</v>
      </c>
      <c r="D4122" t="s">
        <v>1187</v>
      </c>
      <c r="E4122" t="s">
        <v>1356</v>
      </c>
      <c r="F4122" t="s">
        <v>31</v>
      </c>
      <c r="G4122" t="s">
        <v>49</v>
      </c>
      <c r="H4122" t="s">
        <v>32</v>
      </c>
      <c r="I4122" t="s">
        <v>67</v>
      </c>
      <c r="J4122" t="s">
        <v>174</v>
      </c>
      <c r="K4122">
        <v>3</v>
      </c>
      <c r="L4122" s="2">
        <v>137.05000000000001</v>
      </c>
      <c r="M4122" s="3">
        <v>0.25</v>
      </c>
      <c r="N4122" t="s">
        <v>62</v>
      </c>
      <c r="O4122" s="2">
        <v>308.36</v>
      </c>
      <c r="P4122" s="2">
        <v>269.55</v>
      </c>
      <c r="Q4122" s="2">
        <v>38.81</v>
      </c>
      <c r="R4122">
        <v>1</v>
      </c>
      <c r="S4122">
        <v>0</v>
      </c>
      <c r="T4122">
        <v>4</v>
      </c>
      <c r="U4122">
        <v>5</v>
      </c>
    </row>
    <row r="4123" spans="1:21" ht="16.5" x14ac:dyDescent="0.3">
      <c r="A4123" t="s">
        <v>4211</v>
      </c>
      <c r="B4123" s="1">
        <v>45895</v>
      </c>
      <c r="C4123">
        <v>2025</v>
      </c>
      <c r="D4123" t="s">
        <v>1187</v>
      </c>
      <c r="E4123" t="s">
        <v>1356</v>
      </c>
      <c r="F4123" t="s">
        <v>24</v>
      </c>
      <c r="G4123" t="s">
        <v>46</v>
      </c>
      <c r="H4123" t="s">
        <v>32</v>
      </c>
      <c r="I4123" t="s">
        <v>70</v>
      </c>
      <c r="J4123" t="s">
        <v>82</v>
      </c>
      <c r="K4123">
        <v>2</v>
      </c>
      <c r="L4123" s="2">
        <v>508.8</v>
      </c>
      <c r="M4123" s="3">
        <v>0</v>
      </c>
      <c r="N4123" t="s">
        <v>38</v>
      </c>
      <c r="O4123" s="2">
        <v>1017.6</v>
      </c>
      <c r="P4123" s="2">
        <v>812.17</v>
      </c>
      <c r="Q4123" s="2">
        <v>205.43</v>
      </c>
      <c r="R4123">
        <v>1</v>
      </c>
      <c r="S4123">
        <v>0</v>
      </c>
      <c r="T4123">
        <v>5</v>
      </c>
      <c r="U4123">
        <v>4</v>
      </c>
    </row>
    <row r="4124" spans="1:21" ht="16.5" x14ac:dyDescent="0.3">
      <c r="A4124" t="s">
        <v>4212</v>
      </c>
      <c r="B4124" s="1">
        <v>45895</v>
      </c>
      <c r="C4124">
        <v>2025</v>
      </c>
      <c r="D4124" t="s">
        <v>1187</v>
      </c>
      <c r="E4124" t="s">
        <v>1356</v>
      </c>
      <c r="F4124" t="s">
        <v>31</v>
      </c>
      <c r="G4124" t="s">
        <v>49</v>
      </c>
      <c r="H4124" t="s">
        <v>26</v>
      </c>
      <c r="I4124" t="s">
        <v>67</v>
      </c>
      <c r="J4124" t="s">
        <v>174</v>
      </c>
      <c r="K4124">
        <v>1</v>
      </c>
      <c r="L4124" s="2">
        <v>137.05000000000001</v>
      </c>
      <c r="M4124" s="3">
        <v>0.15</v>
      </c>
      <c r="N4124" t="s">
        <v>34</v>
      </c>
      <c r="O4124" s="2">
        <v>116.49</v>
      </c>
      <c r="P4124" s="2">
        <v>86.98</v>
      </c>
      <c r="Q4124" s="2">
        <v>29.51</v>
      </c>
      <c r="R4124">
        <v>1</v>
      </c>
      <c r="S4124">
        <v>0</v>
      </c>
      <c r="T4124">
        <v>5</v>
      </c>
      <c r="U4124">
        <v>4</v>
      </c>
    </row>
    <row r="4125" spans="1:21" ht="16.5" x14ac:dyDescent="0.3">
      <c r="A4125" t="s">
        <v>4213</v>
      </c>
      <c r="B4125" s="1">
        <v>45895</v>
      </c>
      <c r="C4125">
        <v>2025</v>
      </c>
      <c r="D4125" t="s">
        <v>1187</v>
      </c>
      <c r="E4125" t="s">
        <v>1356</v>
      </c>
      <c r="F4125" t="s">
        <v>24</v>
      </c>
      <c r="G4125" t="s">
        <v>25</v>
      </c>
      <c r="H4125" t="s">
        <v>32</v>
      </c>
      <c r="I4125" t="s">
        <v>70</v>
      </c>
      <c r="J4125" t="s">
        <v>71</v>
      </c>
      <c r="K4125">
        <v>2</v>
      </c>
      <c r="L4125" s="2">
        <v>588.41</v>
      </c>
      <c r="M4125" s="3">
        <v>0.15</v>
      </c>
      <c r="N4125" t="s">
        <v>34</v>
      </c>
      <c r="O4125" s="2">
        <v>1000.3</v>
      </c>
      <c r="P4125" s="2">
        <v>917.48</v>
      </c>
      <c r="Q4125" s="2">
        <v>82.82</v>
      </c>
      <c r="R4125">
        <v>1</v>
      </c>
      <c r="S4125">
        <v>0</v>
      </c>
      <c r="T4125">
        <v>4</v>
      </c>
      <c r="U4125">
        <v>4</v>
      </c>
    </row>
    <row r="4126" spans="1:21" ht="16.5" x14ac:dyDescent="0.3">
      <c r="A4126" t="s">
        <v>4214</v>
      </c>
      <c r="B4126" s="1">
        <v>45895</v>
      </c>
      <c r="C4126">
        <v>2025</v>
      </c>
      <c r="D4126" t="s">
        <v>1187</v>
      </c>
      <c r="E4126" t="s">
        <v>1356</v>
      </c>
      <c r="F4126" t="s">
        <v>24</v>
      </c>
      <c r="G4126" t="s">
        <v>25</v>
      </c>
      <c r="H4126" t="s">
        <v>26</v>
      </c>
      <c r="I4126" t="s">
        <v>27</v>
      </c>
      <c r="J4126" t="s">
        <v>40</v>
      </c>
      <c r="K4126">
        <v>1</v>
      </c>
      <c r="L4126" s="2">
        <v>104.94</v>
      </c>
      <c r="M4126" s="3">
        <v>0.05</v>
      </c>
      <c r="N4126" t="s">
        <v>29</v>
      </c>
      <c r="O4126" s="2">
        <v>99.69</v>
      </c>
      <c r="P4126" s="2">
        <v>56.25</v>
      </c>
      <c r="Q4126" s="2">
        <v>43.44</v>
      </c>
      <c r="R4126">
        <v>1</v>
      </c>
      <c r="S4126">
        <v>0</v>
      </c>
      <c r="T4126">
        <v>3</v>
      </c>
      <c r="U4126">
        <v>5</v>
      </c>
    </row>
    <row r="4127" spans="1:21" ht="16.5" x14ac:dyDescent="0.3">
      <c r="A4127" t="s">
        <v>4215</v>
      </c>
      <c r="B4127" s="1">
        <v>45896</v>
      </c>
      <c r="C4127">
        <v>2025</v>
      </c>
      <c r="D4127" t="s">
        <v>1187</v>
      </c>
      <c r="E4127" t="s">
        <v>1356</v>
      </c>
      <c r="F4127" t="s">
        <v>31</v>
      </c>
      <c r="G4127" t="s">
        <v>25</v>
      </c>
      <c r="H4127" t="s">
        <v>32</v>
      </c>
      <c r="I4127" t="s">
        <v>84</v>
      </c>
      <c r="J4127" t="s">
        <v>85</v>
      </c>
      <c r="K4127">
        <v>1</v>
      </c>
      <c r="L4127" s="2">
        <v>57.92</v>
      </c>
      <c r="M4127" s="3">
        <v>0.1</v>
      </c>
      <c r="N4127" t="s">
        <v>29</v>
      </c>
      <c r="O4127" s="2">
        <v>52.13</v>
      </c>
      <c r="P4127" s="2">
        <v>40.14</v>
      </c>
      <c r="Q4127" s="2">
        <v>11.99</v>
      </c>
      <c r="R4127">
        <v>1</v>
      </c>
      <c r="S4127">
        <v>0</v>
      </c>
      <c r="T4127">
        <v>4</v>
      </c>
      <c r="U4127">
        <v>4</v>
      </c>
    </row>
    <row r="4128" spans="1:21" ht="16.5" x14ac:dyDescent="0.3">
      <c r="A4128" t="s">
        <v>4216</v>
      </c>
      <c r="B4128" s="1">
        <v>45896</v>
      </c>
      <c r="C4128">
        <v>2025</v>
      </c>
      <c r="D4128" t="s">
        <v>1187</v>
      </c>
      <c r="E4128" t="s">
        <v>1356</v>
      </c>
      <c r="F4128" t="s">
        <v>31</v>
      </c>
      <c r="G4128" t="s">
        <v>49</v>
      </c>
      <c r="H4128" t="s">
        <v>32</v>
      </c>
      <c r="I4128" t="s">
        <v>42</v>
      </c>
      <c r="J4128" t="s">
        <v>98</v>
      </c>
      <c r="K4128">
        <v>1</v>
      </c>
      <c r="L4128" s="2">
        <v>117.63</v>
      </c>
      <c r="M4128" s="3">
        <v>0.15</v>
      </c>
      <c r="N4128" t="s">
        <v>34</v>
      </c>
      <c r="O4128" s="2">
        <v>99.99</v>
      </c>
      <c r="P4128" s="2">
        <v>78.42</v>
      </c>
      <c r="Q4128" s="2">
        <v>21.57</v>
      </c>
      <c r="R4128">
        <v>1</v>
      </c>
      <c r="S4128">
        <v>0</v>
      </c>
      <c r="T4128">
        <v>6</v>
      </c>
      <c r="U4128">
        <v>3</v>
      </c>
    </row>
    <row r="4129" spans="1:21" ht="16.5" x14ac:dyDescent="0.3">
      <c r="A4129" t="s">
        <v>4217</v>
      </c>
      <c r="B4129" s="1">
        <v>45896</v>
      </c>
      <c r="C4129">
        <v>2025</v>
      </c>
      <c r="D4129" t="s">
        <v>1187</v>
      </c>
      <c r="E4129" t="s">
        <v>1356</v>
      </c>
      <c r="F4129" t="s">
        <v>31</v>
      </c>
      <c r="G4129" t="s">
        <v>51</v>
      </c>
      <c r="H4129" t="s">
        <v>26</v>
      </c>
      <c r="I4129" t="s">
        <v>27</v>
      </c>
      <c r="J4129" t="s">
        <v>33</v>
      </c>
      <c r="K4129">
        <v>4</v>
      </c>
      <c r="L4129" s="2">
        <v>78.510000000000005</v>
      </c>
      <c r="M4129" s="3">
        <v>0.2</v>
      </c>
      <c r="N4129" t="s">
        <v>34</v>
      </c>
      <c r="O4129" s="2">
        <v>251.23</v>
      </c>
      <c r="P4129" s="2">
        <v>169.25</v>
      </c>
      <c r="Q4129" s="2">
        <v>81.98</v>
      </c>
      <c r="R4129">
        <v>1</v>
      </c>
      <c r="S4129">
        <v>0</v>
      </c>
      <c r="T4129">
        <v>2</v>
      </c>
      <c r="U4129">
        <v>4</v>
      </c>
    </row>
    <row r="4130" spans="1:21" ht="16.5" x14ac:dyDescent="0.3">
      <c r="A4130" t="s">
        <v>4218</v>
      </c>
      <c r="B4130" s="1">
        <v>45896</v>
      </c>
      <c r="C4130">
        <v>2025</v>
      </c>
      <c r="D4130" t="s">
        <v>1187</v>
      </c>
      <c r="E4130" t="s">
        <v>1356</v>
      </c>
      <c r="F4130" t="s">
        <v>24</v>
      </c>
      <c r="G4130" t="s">
        <v>25</v>
      </c>
      <c r="H4130" t="s">
        <v>32</v>
      </c>
      <c r="I4130" t="s">
        <v>84</v>
      </c>
      <c r="J4130" t="s">
        <v>96</v>
      </c>
      <c r="K4130">
        <v>1</v>
      </c>
      <c r="L4130" s="2">
        <v>10.76</v>
      </c>
      <c r="M4130" s="3">
        <v>0</v>
      </c>
      <c r="N4130" t="s">
        <v>38</v>
      </c>
      <c r="O4130" s="2">
        <v>10.76</v>
      </c>
      <c r="P4130" s="2">
        <v>7.77</v>
      </c>
      <c r="Q4130" s="2">
        <v>2.99</v>
      </c>
      <c r="R4130">
        <v>1</v>
      </c>
      <c r="S4130">
        <v>0</v>
      </c>
      <c r="T4130">
        <v>5</v>
      </c>
      <c r="U4130">
        <v>4</v>
      </c>
    </row>
    <row r="4131" spans="1:21" ht="16.5" x14ac:dyDescent="0.3">
      <c r="A4131" t="s">
        <v>4219</v>
      </c>
      <c r="B4131" s="1">
        <v>45896</v>
      </c>
      <c r="C4131">
        <v>2025</v>
      </c>
      <c r="D4131" t="s">
        <v>1187</v>
      </c>
      <c r="E4131" t="s">
        <v>1356</v>
      </c>
      <c r="F4131" t="s">
        <v>31</v>
      </c>
      <c r="G4131" t="s">
        <v>51</v>
      </c>
      <c r="H4131" t="s">
        <v>32</v>
      </c>
      <c r="I4131" t="s">
        <v>70</v>
      </c>
      <c r="J4131" t="s">
        <v>129</v>
      </c>
      <c r="K4131">
        <v>1</v>
      </c>
      <c r="L4131" s="2">
        <v>177.65</v>
      </c>
      <c r="M4131" s="3">
        <v>0.05</v>
      </c>
      <c r="N4131" t="s">
        <v>29</v>
      </c>
      <c r="O4131" s="2">
        <v>168.77</v>
      </c>
      <c r="P4131" s="2">
        <v>141.88</v>
      </c>
      <c r="Q4131" s="2">
        <v>26.89</v>
      </c>
      <c r="R4131">
        <v>1</v>
      </c>
      <c r="S4131">
        <v>0</v>
      </c>
      <c r="T4131">
        <v>3</v>
      </c>
      <c r="U4131">
        <v>5</v>
      </c>
    </row>
    <row r="4132" spans="1:21" ht="16.5" x14ac:dyDescent="0.3">
      <c r="A4132" t="s">
        <v>4220</v>
      </c>
      <c r="B4132" s="1">
        <v>45897</v>
      </c>
      <c r="C4132">
        <v>2025</v>
      </c>
      <c r="D4132" t="s">
        <v>1187</v>
      </c>
      <c r="E4132" t="s">
        <v>1356</v>
      </c>
      <c r="F4132" t="s">
        <v>31</v>
      </c>
      <c r="G4132" t="s">
        <v>65</v>
      </c>
      <c r="H4132" t="s">
        <v>26</v>
      </c>
      <c r="I4132" t="s">
        <v>67</v>
      </c>
      <c r="J4132" t="s">
        <v>174</v>
      </c>
      <c r="K4132">
        <v>1</v>
      </c>
      <c r="L4132" s="2">
        <v>137.05000000000001</v>
      </c>
      <c r="M4132" s="3">
        <v>0</v>
      </c>
      <c r="N4132" t="s">
        <v>38</v>
      </c>
      <c r="O4132" s="2">
        <v>137.05000000000001</v>
      </c>
      <c r="P4132" s="2">
        <v>91.38</v>
      </c>
      <c r="Q4132" s="2">
        <v>45.67</v>
      </c>
      <c r="R4132">
        <v>1</v>
      </c>
      <c r="S4132">
        <v>0</v>
      </c>
      <c r="T4132">
        <v>5</v>
      </c>
      <c r="U4132">
        <v>5</v>
      </c>
    </row>
    <row r="4133" spans="1:21" ht="16.5" x14ac:dyDescent="0.3">
      <c r="A4133" t="s">
        <v>4221</v>
      </c>
      <c r="B4133" s="1">
        <v>45897</v>
      </c>
      <c r="C4133">
        <v>2025</v>
      </c>
      <c r="D4133" t="s">
        <v>1187</v>
      </c>
      <c r="E4133" t="s">
        <v>1356</v>
      </c>
      <c r="F4133" t="s">
        <v>31</v>
      </c>
      <c r="G4133" t="s">
        <v>25</v>
      </c>
      <c r="H4133" t="s">
        <v>26</v>
      </c>
      <c r="I4133" t="s">
        <v>67</v>
      </c>
      <c r="J4133" t="s">
        <v>68</v>
      </c>
      <c r="K4133">
        <v>3</v>
      </c>
      <c r="L4133" s="2">
        <v>74.459999999999994</v>
      </c>
      <c r="M4133" s="3">
        <v>0</v>
      </c>
      <c r="N4133" t="s">
        <v>38</v>
      </c>
      <c r="O4133" s="2">
        <v>223.38</v>
      </c>
      <c r="P4133" s="2">
        <v>148.99</v>
      </c>
      <c r="Q4133" s="2">
        <v>74.39</v>
      </c>
      <c r="R4133">
        <v>1</v>
      </c>
      <c r="S4133">
        <v>0</v>
      </c>
      <c r="T4133">
        <v>3</v>
      </c>
      <c r="U4133">
        <v>4</v>
      </c>
    </row>
    <row r="4134" spans="1:21" ht="16.5" x14ac:dyDescent="0.3">
      <c r="A4134" t="s">
        <v>4222</v>
      </c>
      <c r="B4134" s="1">
        <v>45897</v>
      </c>
      <c r="C4134">
        <v>2025</v>
      </c>
      <c r="D4134" t="s">
        <v>1187</v>
      </c>
      <c r="E4134" t="s">
        <v>1356</v>
      </c>
      <c r="F4134" t="s">
        <v>31</v>
      </c>
      <c r="G4134" t="s">
        <v>25</v>
      </c>
      <c r="H4134" t="s">
        <v>32</v>
      </c>
      <c r="I4134" t="s">
        <v>36</v>
      </c>
      <c r="J4134" t="s">
        <v>56</v>
      </c>
      <c r="K4134">
        <v>4</v>
      </c>
      <c r="L4134" s="2">
        <v>74.3</v>
      </c>
      <c r="M4134" s="3">
        <v>0.1</v>
      </c>
      <c r="N4134" t="s">
        <v>29</v>
      </c>
      <c r="O4134" s="2">
        <v>267.48</v>
      </c>
      <c r="P4134" s="2">
        <v>141.13999999999999</v>
      </c>
      <c r="Q4134" s="2">
        <v>126.34</v>
      </c>
      <c r="R4134">
        <v>1</v>
      </c>
      <c r="S4134">
        <v>0</v>
      </c>
      <c r="T4134">
        <v>5</v>
      </c>
      <c r="U4134">
        <v>4</v>
      </c>
    </row>
    <row r="4135" spans="1:21" ht="16.5" x14ac:dyDescent="0.3">
      <c r="A4135" t="s">
        <v>4223</v>
      </c>
      <c r="B4135" s="1">
        <v>45897</v>
      </c>
      <c r="C4135">
        <v>2025</v>
      </c>
      <c r="D4135" t="s">
        <v>1187</v>
      </c>
      <c r="E4135" t="s">
        <v>1356</v>
      </c>
      <c r="F4135" t="s">
        <v>24</v>
      </c>
      <c r="G4135" t="s">
        <v>51</v>
      </c>
      <c r="H4135" t="s">
        <v>26</v>
      </c>
      <c r="I4135" t="s">
        <v>84</v>
      </c>
      <c r="J4135" t="s">
        <v>85</v>
      </c>
      <c r="K4135">
        <v>1</v>
      </c>
      <c r="L4135" s="2">
        <v>57.92</v>
      </c>
      <c r="M4135" s="3">
        <v>0</v>
      </c>
      <c r="N4135" t="s">
        <v>38</v>
      </c>
      <c r="O4135" s="2">
        <v>57.92</v>
      </c>
      <c r="P4135" s="2">
        <v>40.090000000000003</v>
      </c>
      <c r="Q4135" s="2">
        <v>17.829999999999998</v>
      </c>
      <c r="R4135">
        <v>1</v>
      </c>
      <c r="S4135">
        <v>0</v>
      </c>
      <c r="T4135">
        <v>3</v>
      </c>
      <c r="U4135">
        <v>5</v>
      </c>
    </row>
    <row r="4136" spans="1:21" ht="16.5" x14ac:dyDescent="0.3">
      <c r="A4136" t="s">
        <v>4224</v>
      </c>
      <c r="B4136" s="1">
        <v>45897</v>
      </c>
      <c r="C4136">
        <v>2025</v>
      </c>
      <c r="D4136" t="s">
        <v>1187</v>
      </c>
      <c r="E4136" t="s">
        <v>1356</v>
      </c>
      <c r="F4136" t="s">
        <v>24</v>
      </c>
      <c r="G4136" t="s">
        <v>46</v>
      </c>
      <c r="H4136" t="s">
        <v>32</v>
      </c>
      <c r="I4136" t="s">
        <v>70</v>
      </c>
      <c r="J4136" t="s">
        <v>162</v>
      </c>
      <c r="K4136">
        <v>1</v>
      </c>
      <c r="L4136" s="2">
        <v>636.09</v>
      </c>
      <c r="M4136" s="3">
        <v>0</v>
      </c>
      <c r="N4136" t="s">
        <v>38</v>
      </c>
      <c r="O4136" s="2">
        <v>636.09</v>
      </c>
      <c r="P4136" s="2">
        <v>519.78</v>
      </c>
      <c r="Q4136" s="2">
        <v>116.31</v>
      </c>
      <c r="R4136">
        <v>1</v>
      </c>
      <c r="S4136">
        <v>0</v>
      </c>
      <c r="T4136">
        <v>5</v>
      </c>
      <c r="U4136">
        <v>4</v>
      </c>
    </row>
    <row r="4137" spans="1:21" ht="16.5" x14ac:dyDescent="0.3">
      <c r="A4137" t="s">
        <v>4225</v>
      </c>
      <c r="B4137" s="1">
        <v>45897</v>
      </c>
      <c r="C4137">
        <v>2025</v>
      </c>
      <c r="D4137" t="s">
        <v>1187</v>
      </c>
      <c r="E4137" t="s">
        <v>1356</v>
      </c>
      <c r="F4137" t="s">
        <v>31</v>
      </c>
      <c r="G4137" t="s">
        <v>51</v>
      </c>
      <c r="H4137" t="s">
        <v>32</v>
      </c>
      <c r="I4137" t="s">
        <v>70</v>
      </c>
      <c r="J4137" t="s">
        <v>252</v>
      </c>
      <c r="K4137">
        <v>3</v>
      </c>
      <c r="L4137" s="2">
        <v>216.08</v>
      </c>
      <c r="M4137" s="3">
        <v>0.25</v>
      </c>
      <c r="N4137" t="s">
        <v>62</v>
      </c>
      <c r="O4137" s="2">
        <v>486.18</v>
      </c>
      <c r="P4137" s="2">
        <v>496.89</v>
      </c>
      <c r="Q4137" s="2">
        <v>-10.71</v>
      </c>
      <c r="R4137">
        <v>1</v>
      </c>
      <c r="S4137">
        <v>0</v>
      </c>
      <c r="T4137">
        <v>2</v>
      </c>
      <c r="U4137">
        <v>5</v>
      </c>
    </row>
    <row r="4138" spans="1:21" ht="16.5" x14ac:dyDescent="0.3">
      <c r="A4138" t="s">
        <v>4226</v>
      </c>
      <c r="B4138" s="1">
        <v>45897</v>
      </c>
      <c r="C4138">
        <v>2025</v>
      </c>
      <c r="D4138" t="s">
        <v>1187</v>
      </c>
      <c r="E4138" t="s">
        <v>1356</v>
      </c>
      <c r="F4138" t="s">
        <v>24</v>
      </c>
      <c r="G4138" t="s">
        <v>25</v>
      </c>
      <c r="H4138" t="s">
        <v>26</v>
      </c>
      <c r="I4138" t="s">
        <v>27</v>
      </c>
      <c r="J4138" t="s">
        <v>28</v>
      </c>
      <c r="K4138">
        <v>2</v>
      </c>
      <c r="L4138" s="2">
        <v>138.5</v>
      </c>
      <c r="M4138" s="3">
        <v>0.25</v>
      </c>
      <c r="N4138" t="s">
        <v>62</v>
      </c>
      <c r="O4138" s="2">
        <v>207.75</v>
      </c>
      <c r="P4138" s="2">
        <v>143.33000000000001</v>
      </c>
      <c r="Q4138" s="2">
        <v>64.42</v>
      </c>
      <c r="R4138">
        <v>1</v>
      </c>
      <c r="S4138">
        <v>0</v>
      </c>
      <c r="T4138">
        <v>4</v>
      </c>
      <c r="U4138">
        <v>5</v>
      </c>
    </row>
    <row r="4139" spans="1:21" ht="16.5" x14ac:dyDescent="0.3">
      <c r="A4139" t="s">
        <v>4227</v>
      </c>
      <c r="B4139" s="1">
        <v>45897</v>
      </c>
      <c r="C4139">
        <v>2025</v>
      </c>
      <c r="D4139" t="s">
        <v>1187</v>
      </c>
      <c r="E4139" t="s">
        <v>1356</v>
      </c>
      <c r="F4139" t="s">
        <v>31</v>
      </c>
      <c r="G4139" t="s">
        <v>51</v>
      </c>
      <c r="H4139" t="s">
        <v>32</v>
      </c>
      <c r="I4139" t="s">
        <v>27</v>
      </c>
      <c r="J4139" t="s">
        <v>60</v>
      </c>
      <c r="K4139">
        <v>1</v>
      </c>
      <c r="L4139" s="2">
        <v>94.85</v>
      </c>
      <c r="M4139" s="3">
        <v>0</v>
      </c>
      <c r="N4139" t="s">
        <v>38</v>
      </c>
      <c r="O4139" s="2">
        <v>94.85</v>
      </c>
      <c r="P4139" s="2">
        <v>51.82</v>
      </c>
      <c r="Q4139" s="2">
        <v>43.03</v>
      </c>
      <c r="R4139">
        <v>1</v>
      </c>
      <c r="S4139">
        <v>1</v>
      </c>
      <c r="T4139">
        <v>2</v>
      </c>
      <c r="U4139">
        <v>2</v>
      </c>
    </row>
    <row r="4140" spans="1:21" ht="16.5" x14ac:dyDescent="0.3">
      <c r="A4140" t="s">
        <v>4228</v>
      </c>
      <c r="B4140" s="1">
        <v>45897</v>
      </c>
      <c r="C4140">
        <v>2025</v>
      </c>
      <c r="D4140" t="s">
        <v>1187</v>
      </c>
      <c r="E4140" t="s">
        <v>1356</v>
      </c>
      <c r="F4140" t="s">
        <v>45</v>
      </c>
      <c r="G4140" t="s">
        <v>65</v>
      </c>
      <c r="H4140" t="s">
        <v>26</v>
      </c>
      <c r="I4140" t="s">
        <v>67</v>
      </c>
      <c r="J4140" t="s">
        <v>93</v>
      </c>
      <c r="K4140">
        <v>4</v>
      </c>
      <c r="L4140" s="2">
        <v>198.42</v>
      </c>
      <c r="M4140" s="3">
        <v>0</v>
      </c>
      <c r="N4140" t="s">
        <v>38</v>
      </c>
      <c r="O4140" s="2">
        <v>793.68</v>
      </c>
      <c r="P4140" s="2">
        <v>545.16999999999996</v>
      </c>
      <c r="Q4140" s="2">
        <v>248.51</v>
      </c>
      <c r="R4140">
        <v>1</v>
      </c>
      <c r="S4140">
        <v>0</v>
      </c>
      <c r="T4140">
        <v>5</v>
      </c>
      <c r="U4140">
        <v>4</v>
      </c>
    </row>
    <row r="4141" spans="1:21" ht="16.5" x14ac:dyDescent="0.3">
      <c r="A4141" t="s">
        <v>4229</v>
      </c>
      <c r="B4141" s="1">
        <v>45897</v>
      </c>
      <c r="C4141">
        <v>2025</v>
      </c>
      <c r="D4141" t="s">
        <v>1187</v>
      </c>
      <c r="E4141" t="s">
        <v>1356</v>
      </c>
      <c r="F4141" t="s">
        <v>31</v>
      </c>
      <c r="G4141" t="s">
        <v>51</v>
      </c>
      <c r="H4141" t="s">
        <v>32</v>
      </c>
      <c r="I4141" t="s">
        <v>27</v>
      </c>
      <c r="J4141" t="s">
        <v>33</v>
      </c>
      <c r="K4141">
        <v>2</v>
      </c>
      <c r="L4141" s="2">
        <v>78.510000000000005</v>
      </c>
      <c r="M4141" s="3">
        <v>0</v>
      </c>
      <c r="N4141" t="s">
        <v>38</v>
      </c>
      <c r="O4141" s="2">
        <v>157.02000000000001</v>
      </c>
      <c r="P4141" s="2">
        <v>78.959999999999994</v>
      </c>
      <c r="Q4141" s="2">
        <v>78.06</v>
      </c>
      <c r="R4141">
        <v>1</v>
      </c>
      <c r="S4141">
        <v>0</v>
      </c>
      <c r="T4141">
        <v>3</v>
      </c>
      <c r="U4141">
        <v>5</v>
      </c>
    </row>
    <row r="4142" spans="1:21" ht="16.5" x14ac:dyDescent="0.3">
      <c r="A4142" t="s">
        <v>4230</v>
      </c>
      <c r="B4142" s="1">
        <v>45898</v>
      </c>
      <c r="C4142">
        <v>2025</v>
      </c>
      <c r="D4142" t="s">
        <v>1187</v>
      </c>
      <c r="E4142" t="s">
        <v>1356</v>
      </c>
      <c r="F4142" t="s">
        <v>24</v>
      </c>
      <c r="G4142" t="s">
        <v>49</v>
      </c>
      <c r="H4142" t="s">
        <v>32</v>
      </c>
      <c r="I4142" t="s">
        <v>36</v>
      </c>
      <c r="J4142" t="s">
        <v>56</v>
      </c>
      <c r="K4142">
        <v>2</v>
      </c>
      <c r="L4142" s="2">
        <v>74.3</v>
      </c>
      <c r="M4142" s="3">
        <v>0.3</v>
      </c>
      <c r="N4142" t="s">
        <v>62</v>
      </c>
      <c r="O4142" s="2">
        <v>104.02</v>
      </c>
      <c r="P4142" s="2">
        <v>68.88</v>
      </c>
      <c r="Q4142" s="2">
        <v>35.14</v>
      </c>
      <c r="R4142">
        <v>1</v>
      </c>
      <c r="S4142">
        <v>0</v>
      </c>
      <c r="T4142">
        <v>3</v>
      </c>
      <c r="U4142">
        <v>5</v>
      </c>
    </row>
    <row r="4143" spans="1:21" ht="16.5" x14ac:dyDescent="0.3">
      <c r="A4143" t="s">
        <v>4231</v>
      </c>
      <c r="B4143" s="1">
        <v>45898</v>
      </c>
      <c r="C4143">
        <v>2025</v>
      </c>
      <c r="D4143" t="s">
        <v>1187</v>
      </c>
      <c r="E4143" t="s">
        <v>1356</v>
      </c>
      <c r="F4143" t="s">
        <v>31</v>
      </c>
      <c r="G4143" t="s">
        <v>46</v>
      </c>
      <c r="H4143" t="s">
        <v>32</v>
      </c>
      <c r="I4143" t="s">
        <v>42</v>
      </c>
      <c r="J4143" t="s">
        <v>54</v>
      </c>
      <c r="K4143">
        <v>1</v>
      </c>
      <c r="L4143" s="2">
        <v>148.05000000000001</v>
      </c>
      <c r="M4143" s="3">
        <v>0.3</v>
      </c>
      <c r="N4143" t="s">
        <v>62</v>
      </c>
      <c r="O4143" s="2">
        <v>103.64</v>
      </c>
      <c r="P4143" s="2">
        <v>98.47</v>
      </c>
      <c r="Q4143" s="2">
        <v>5.17</v>
      </c>
      <c r="R4143">
        <v>1</v>
      </c>
      <c r="S4143">
        <v>0</v>
      </c>
      <c r="T4143">
        <v>7</v>
      </c>
      <c r="U4143">
        <v>4</v>
      </c>
    </row>
    <row r="4144" spans="1:21" ht="16.5" x14ac:dyDescent="0.3">
      <c r="A4144" t="s">
        <v>4232</v>
      </c>
      <c r="B4144" s="1">
        <v>45898</v>
      </c>
      <c r="C4144">
        <v>2025</v>
      </c>
      <c r="D4144" t="s">
        <v>1187</v>
      </c>
      <c r="E4144" t="s">
        <v>1356</v>
      </c>
      <c r="F4144" t="s">
        <v>45</v>
      </c>
      <c r="G4144" t="s">
        <v>46</v>
      </c>
      <c r="H4144" t="s">
        <v>32</v>
      </c>
      <c r="I4144" t="s">
        <v>27</v>
      </c>
      <c r="J4144" t="s">
        <v>60</v>
      </c>
      <c r="K4144">
        <v>2</v>
      </c>
      <c r="L4144" s="2">
        <v>94.85</v>
      </c>
      <c r="M4144" s="3">
        <v>0</v>
      </c>
      <c r="N4144" t="s">
        <v>38</v>
      </c>
      <c r="O4144" s="2">
        <v>189.7</v>
      </c>
      <c r="P4144" s="2">
        <v>105.82</v>
      </c>
      <c r="Q4144" s="2">
        <v>83.88</v>
      </c>
      <c r="R4144">
        <v>1</v>
      </c>
      <c r="S4144">
        <v>0</v>
      </c>
      <c r="T4144">
        <v>5</v>
      </c>
      <c r="U4144">
        <v>4</v>
      </c>
    </row>
    <row r="4145" spans="1:21" ht="16.5" x14ac:dyDescent="0.3">
      <c r="A4145" t="s">
        <v>4233</v>
      </c>
      <c r="B4145" s="1">
        <v>45898</v>
      </c>
      <c r="C4145">
        <v>2025</v>
      </c>
      <c r="D4145" t="s">
        <v>1187</v>
      </c>
      <c r="E4145" t="s">
        <v>1356</v>
      </c>
      <c r="F4145" t="s">
        <v>31</v>
      </c>
      <c r="G4145" t="s">
        <v>65</v>
      </c>
      <c r="H4145" t="s">
        <v>32</v>
      </c>
      <c r="I4145" t="s">
        <v>36</v>
      </c>
      <c r="J4145" t="s">
        <v>115</v>
      </c>
      <c r="K4145">
        <v>2</v>
      </c>
      <c r="L4145" s="2">
        <v>33.479999999999997</v>
      </c>
      <c r="M4145" s="3">
        <v>0.3</v>
      </c>
      <c r="N4145" t="s">
        <v>62</v>
      </c>
      <c r="O4145" s="2">
        <v>46.87</v>
      </c>
      <c r="P4145" s="2">
        <v>33.159999999999997</v>
      </c>
      <c r="Q4145" s="2">
        <v>13.71</v>
      </c>
      <c r="R4145">
        <v>1</v>
      </c>
      <c r="S4145">
        <v>0</v>
      </c>
      <c r="T4145">
        <v>6</v>
      </c>
      <c r="U4145">
        <v>5</v>
      </c>
    </row>
    <row r="4146" spans="1:21" ht="16.5" x14ac:dyDescent="0.3">
      <c r="A4146" t="s">
        <v>4234</v>
      </c>
      <c r="B4146" s="1">
        <v>45898</v>
      </c>
      <c r="C4146">
        <v>2025</v>
      </c>
      <c r="D4146" t="s">
        <v>1187</v>
      </c>
      <c r="E4146" t="s">
        <v>1356</v>
      </c>
      <c r="F4146" t="s">
        <v>24</v>
      </c>
      <c r="G4146" t="s">
        <v>51</v>
      </c>
      <c r="H4146" t="s">
        <v>32</v>
      </c>
      <c r="I4146" t="s">
        <v>27</v>
      </c>
      <c r="J4146" t="s">
        <v>28</v>
      </c>
      <c r="K4146">
        <v>3</v>
      </c>
      <c r="L4146" s="2">
        <v>138.5</v>
      </c>
      <c r="M4146" s="3">
        <v>0</v>
      </c>
      <c r="N4146" t="s">
        <v>38</v>
      </c>
      <c r="O4146" s="2">
        <v>415.5</v>
      </c>
      <c r="P4146" s="2">
        <v>223.82</v>
      </c>
      <c r="Q4146" s="2">
        <v>191.68</v>
      </c>
      <c r="R4146">
        <v>1</v>
      </c>
      <c r="S4146">
        <v>0</v>
      </c>
      <c r="T4146">
        <v>3</v>
      </c>
      <c r="U4146">
        <v>5</v>
      </c>
    </row>
    <row r="4147" spans="1:21" ht="16.5" x14ac:dyDescent="0.3">
      <c r="A4147" t="s">
        <v>4235</v>
      </c>
      <c r="B4147" s="1">
        <v>45898</v>
      </c>
      <c r="C4147">
        <v>2025</v>
      </c>
      <c r="D4147" t="s">
        <v>1187</v>
      </c>
      <c r="E4147" t="s">
        <v>1356</v>
      </c>
      <c r="F4147" t="s">
        <v>45</v>
      </c>
      <c r="G4147" t="s">
        <v>51</v>
      </c>
      <c r="H4147" t="s">
        <v>32</v>
      </c>
      <c r="I4147" t="s">
        <v>42</v>
      </c>
      <c r="J4147" t="s">
        <v>89</v>
      </c>
      <c r="K4147">
        <v>1</v>
      </c>
      <c r="L4147" s="2">
        <v>68.349999999999994</v>
      </c>
      <c r="M4147" s="3">
        <v>0.1</v>
      </c>
      <c r="N4147" t="s">
        <v>29</v>
      </c>
      <c r="O4147" s="2">
        <v>61.51</v>
      </c>
      <c r="P4147" s="2">
        <v>44.16</v>
      </c>
      <c r="Q4147" s="2">
        <v>17.350000000000001</v>
      </c>
      <c r="R4147">
        <v>1</v>
      </c>
      <c r="S4147">
        <v>0</v>
      </c>
      <c r="T4147">
        <v>2</v>
      </c>
      <c r="U4147">
        <v>4</v>
      </c>
    </row>
    <row r="4148" spans="1:21" ht="16.5" x14ac:dyDescent="0.3">
      <c r="A4148" t="s">
        <v>4236</v>
      </c>
      <c r="B4148" s="1">
        <v>45898</v>
      </c>
      <c r="C4148">
        <v>2025</v>
      </c>
      <c r="D4148" t="s">
        <v>1187</v>
      </c>
      <c r="E4148" t="s">
        <v>1356</v>
      </c>
      <c r="F4148" t="s">
        <v>24</v>
      </c>
      <c r="G4148" t="s">
        <v>25</v>
      </c>
      <c r="H4148" t="s">
        <v>32</v>
      </c>
      <c r="I4148" t="s">
        <v>36</v>
      </c>
      <c r="J4148" t="s">
        <v>56</v>
      </c>
      <c r="K4148">
        <v>3</v>
      </c>
      <c r="L4148" s="2">
        <v>74.3</v>
      </c>
      <c r="M4148" s="3">
        <v>0</v>
      </c>
      <c r="N4148" t="s">
        <v>38</v>
      </c>
      <c r="O4148" s="2">
        <v>222.9</v>
      </c>
      <c r="P4148" s="2">
        <v>108.97</v>
      </c>
      <c r="Q4148" s="2">
        <v>113.93</v>
      </c>
      <c r="R4148">
        <v>1</v>
      </c>
      <c r="S4148">
        <v>0</v>
      </c>
      <c r="T4148">
        <v>5</v>
      </c>
      <c r="U4148">
        <v>5</v>
      </c>
    </row>
    <row r="4149" spans="1:21" ht="16.5" x14ac:dyDescent="0.3">
      <c r="A4149" t="s">
        <v>4237</v>
      </c>
      <c r="B4149" s="1">
        <v>45898</v>
      </c>
      <c r="C4149">
        <v>2025</v>
      </c>
      <c r="D4149" t="s">
        <v>1187</v>
      </c>
      <c r="E4149" t="s">
        <v>1356</v>
      </c>
      <c r="F4149" t="s">
        <v>24</v>
      </c>
      <c r="G4149" t="s">
        <v>51</v>
      </c>
      <c r="H4149" t="s">
        <v>26</v>
      </c>
      <c r="I4149" t="s">
        <v>70</v>
      </c>
      <c r="J4149" t="s">
        <v>162</v>
      </c>
      <c r="K4149">
        <v>2</v>
      </c>
      <c r="L4149" s="2">
        <v>636.09</v>
      </c>
      <c r="M4149" s="3">
        <v>0.25</v>
      </c>
      <c r="N4149" t="s">
        <v>62</v>
      </c>
      <c r="O4149" s="2">
        <v>954.14</v>
      </c>
      <c r="P4149" s="2">
        <v>987.77</v>
      </c>
      <c r="Q4149" s="2">
        <v>-33.630000000000003</v>
      </c>
      <c r="R4149">
        <v>1</v>
      </c>
      <c r="S4149">
        <v>0</v>
      </c>
      <c r="T4149">
        <v>2</v>
      </c>
      <c r="U4149">
        <v>4</v>
      </c>
    </row>
    <row r="4150" spans="1:21" ht="16.5" x14ac:dyDescent="0.3">
      <c r="A4150" t="s">
        <v>4238</v>
      </c>
      <c r="B4150" s="1">
        <v>45898</v>
      </c>
      <c r="C4150">
        <v>2025</v>
      </c>
      <c r="D4150" t="s">
        <v>1187</v>
      </c>
      <c r="E4150" t="s">
        <v>1356</v>
      </c>
      <c r="F4150" t="s">
        <v>31</v>
      </c>
      <c r="G4150" t="s">
        <v>25</v>
      </c>
      <c r="H4150" t="s">
        <v>32</v>
      </c>
      <c r="I4150" t="s">
        <v>36</v>
      </c>
      <c r="J4150" t="s">
        <v>37</v>
      </c>
      <c r="K4150">
        <v>2</v>
      </c>
      <c r="L4150" s="2">
        <v>33.18</v>
      </c>
      <c r="M4150" s="3">
        <v>0.1</v>
      </c>
      <c r="N4150" t="s">
        <v>29</v>
      </c>
      <c r="O4150" s="2">
        <v>59.72</v>
      </c>
      <c r="P4150" s="2">
        <v>30.8</v>
      </c>
      <c r="Q4150" s="2">
        <v>28.92</v>
      </c>
      <c r="R4150">
        <v>1</v>
      </c>
      <c r="S4150">
        <v>0</v>
      </c>
      <c r="T4150">
        <v>4</v>
      </c>
      <c r="U4150">
        <v>5</v>
      </c>
    </row>
    <row r="4151" spans="1:21" ht="16.5" x14ac:dyDescent="0.3">
      <c r="A4151" t="s">
        <v>4239</v>
      </c>
      <c r="B4151" s="1">
        <v>45898</v>
      </c>
      <c r="C4151">
        <v>2025</v>
      </c>
      <c r="D4151" t="s">
        <v>1187</v>
      </c>
      <c r="E4151" t="s">
        <v>1356</v>
      </c>
      <c r="F4151" t="s">
        <v>45</v>
      </c>
      <c r="G4151" t="s">
        <v>51</v>
      </c>
      <c r="H4151" t="s">
        <v>32</v>
      </c>
      <c r="I4151" t="s">
        <v>67</v>
      </c>
      <c r="J4151" t="s">
        <v>68</v>
      </c>
      <c r="K4151">
        <v>1</v>
      </c>
      <c r="L4151" s="2">
        <v>74.459999999999994</v>
      </c>
      <c r="M4151" s="3">
        <v>0.05</v>
      </c>
      <c r="N4151" t="s">
        <v>29</v>
      </c>
      <c r="O4151" s="2">
        <v>70.739999999999995</v>
      </c>
      <c r="P4151" s="2">
        <v>47.99</v>
      </c>
      <c r="Q4151" s="2">
        <v>22.75</v>
      </c>
      <c r="R4151">
        <v>1</v>
      </c>
      <c r="S4151">
        <v>0</v>
      </c>
      <c r="T4151">
        <v>3</v>
      </c>
      <c r="U4151">
        <v>4</v>
      </c>
    </row>
    <row r="4152" spans="1:21" ht="16.5" x14ac:dyDescent="0.3">
      <c r="A4152" t="s">
        <v>4240</v>
      </c>
      <c r="B4152" s="1">
        <v>45898</v>
      </c>
      <c r="C4152">
        <v>2025</v>
      </c>
      <c r="D4152" t="s">
        <v>1187</v>
      </c>
      <c r="E4152" t="s">
        <v>1356</v>
      </c>
      <c r="F4152" t="s">
        <v>45</v>
      </c>
      <c r="G4152" t="s">
        <v>25</v>
      </c>
      <c r="H4152" t="s">
        <v>26</v>
      </c>
      <c r="I4152" t="s">
        <v>27</v>
      </c>
      <c r="J4152" t="s">
        <v>60</v>
      </c>
      <c r="K4152">
        <v>1</v>
      </c>
      <c r="L4152" s="2">
        <v>94.85</v>
      </c>
      <c r="M4152" s="3">
        <v>0.15</v>
      </c>
      <c r="N4152" t="s">
        <v>34</v>
      </c>
      <c r="O4152" s="2">
        <v>80.62</v>
      </c>
      <c r="P4152" s="2">
        <v>49.95</v>
      </c>
      <c r="Q4152" s="2">
        <v>30.67</v>
      </c>
      <c r="R4152">
        <v>1</v>
      </c>
      <c r="S4152">
        <v>0</v>
      </c>
      <c r="T4152">
        <v>5</v>
      </c>
      <c r="U4152">
        <v>3</v>
      </c>
    </row>
    <row r="4153" spans="1:21" ht="16.5" x14ac:dyDescent="0.3">
      <c r="A4153" t="s">
        <v>4241</v>
      </c>
      <c r="B4153" s="1">
        <v>45898</v>
      </c>
      <c r="C4153">
        <v>2025</v>
      </c>
      <c r="D4153" t="s">
        <v>1187</v>
      </c>
      <c r="E4153" t="s">
        <v>1356</v>
      </c>
      <c r="F4153" t="s">
        <v>24</v>
      </c>
      <c r="G4153" t="s">
        <v>46</v>
      </c>
      <c r="H4153" t="s">
        <v>26</v>
      </c>
      <c r="I4153" t="s">
        <v>84</v>
      </c>
      <c r="J4153" t="s">
        <v>223</v>
      </c>
      <c r="K4153">
        <v>1</v>
      </c>
      <c r="L4153" s="2">
        <v>16.97</v>
      </c>
      <c r="M4153" s="3">
        <v>0</v>
      </c>
      <c r="N4153" t="s">
        <v>38</v>
      </c>
      <c r="O4153" s="2">
        <v>16.97</v>
      </c>
      <c r="P4153" s="2">
        <v>12.08</v>
      </c>
      <c r="Q4153" s="2">
        <v>4.8899999999999997</v>
      </c>
      <c r="R4153">
        <v>1</v>
      </c>
      <c r="S4153">
        <v>0</v>
      </c>
      <c r="T4153">
        <v>6</v>
      </c>
      <c r="U4153">
        <v>4</v>
      </c>
    </row>
    <row r="4154" spans="1:21" ht="16.5" x14ac:dyDescent="0.3">
      <c r="A4154" t="s">
        <v>4242</v>
      </c>
      <c r="B4154" s="1">
        <v>45898</v>
      </c>
      <c r="C4154">
        <v>2025</v>
      </c>
      <c r="D4154" t="s">
        <v>1187</v>
      </c>
      <c r="E4154" t="s">
        <v>1356</v>
      </c>
      <c r="F4154" t="s">
        <v>31</v>
      </c>
      <c r="G4154" t="s">
        <v>25</v>
      </c>
      <c r="H4154" t="s">
        <v>32</v>
      </c>
      <c r="I4154" t="s">
        <v>42</v>
      </c>
      <c r="J4154" t="s">
        <v>58</v>
      </c>
      <c r="K4154">
        <v>2</v>
      </c>
      <c r="L4154" s="2">
        <v>233.81</v>
      </c>
      <c r="M4154" s="3">
        <v>0</v>
      </c>
      <c r="N4154" t="s">
        <v>38</v>
      </c>
      <c r="O4154" s="2">
        <v>467.62</v>
      </c>
      <c r="P4154" s="2">
        <v>300.72000000000003</v>
      </c>
      <c r="Q4154" s="2">
        <v>166.9</v>
      </c>
      <c r="R4154">
        <v>1</v>
      </c>
      <c r="S4154">
        <v>0</v>
      </c>
      <c r="T4154">
        <v>3</v>
      </c>
      <c r="U4154">
        <v>5</v>
      </c>
    </row>
    <row r="4155" spans="1:21" ht="16.5" x14ac:dyDescent="0.3">
      <c r="A4155" t="s">
        <v>4243</v>
      </c>
      <c r="B4155" s="1">
        <v>45898</v>
      </c>
      <c r="C4155">
        <v>2025</v>
      </c>
      <c r="D4155" t="s">
        <v>1187</v>
      </c>
      <c r="E4155" t="s">
        <v>1356</v>
      </c>
      <c r="F4155" t="s">
        <v>24</v>
      </c>
      <c r="G4155" t="s">
        <v>25</v>
      </c>
      <c r="H4155" t="s">
        <v>32</v>
      </c>
      <c r="I4155" t="s">
        <v>42</v>
      </c>
      <c r="J4155" t="s">
        <v>76</v>
      </c>
      <c r="K4155">
        <v>1</v>
      </c>
      <c r="L4155" s="2">
        <v>90.75</v>
      </c>
      <c r="M4155" s="3">
        <v>0</v>
      </c>
      <c r="N4155" t="s">
        <v>38</v>
      </c>
      <c r="O4155" s="2">
        <v>90.75</v>
      </c>
      <c r="P4155" s="2">
        <v>56.36</v>
      </c>
      <c r="Q4155" s="2">
        <v>34.39</v>
      </c>
      <c r="R4155">
        <v>1</v>
      </c>
      <c r="S4155">
        <v>0</v>
      </c>
      <c r="T4155">
        <v>4</v>
      </c>
      <c r="U4155">
        <v>4</v>
      </c>
    </row>
    <row r="4156" spans="1:21" ht="16.5" x14ac:dyDescent="0.3">
      <c r="A4156" t="s">
        <v>4244</v>
      </c>
      <c r="B4156" s="1">
        <v>45899</v>
      </c>
      <c r="C4156">
        <v>2025</v>
      </c>
      <c r="D4156" t="s">
        <v>1187</v>
      </c>
      <c r="E4156" t="s">
        <v>1356</v>
      </c>
      <c r="F4156" t="s">
        <v>31</v>
      </c>
      <c r="G4156" t="s">
        <v>25</v>
      </c>
      <c r="H4156" t="s">
        <v>32</v>
      </c>
      <c r="I4156" t="s">
        <v>42</v>
      </c>
      <c r="J4156" t="s">
        <v>54</v>
      </c>
      <c r="K4156">
        <v>2</v>
      </c>
      <c r="L4156" s="2">
        <v>148.05000000000001</v>
      </c>
      <c r="M4156" s="3">
        <v>0</v>
      </c>
      <c r="N4156" t="s">
        <v>38</v>
      </c>
      <c r="O4156" s="2">
        <v>296.10000000000002</v>
      </c>
      <c r="P4156" s="2">
        <v>198.62</v>
      </c>
      <c r="Q4156" s="2">
        <v>97.48</v>
      </c>
      <c r="R4156">
        <v>1</v>
      </c>
      <c r="S4156">
        <v>0</v>
      </c>
      <c r="T4156">
        <v>5</v>
      </c>
      <c r="U4156">
        <v>4</v>
      </c>
    </row>
    <row r="4157" spans="1:21" ht="16.5" x14ac:dyDescent="0.3">
      <c r="A4157" t="s">
        <v>4245</v>
      </c>
      <c r="B4157" s="1">
        <v>45899</v>
      </c>
      <c r="C4157">
        <v>2025</v>
      </c>
      <c r="D4157" t="s">
        <v>1187</v>
      </c>
      <c r="E4157" t="s">
        <v>1356</v>
      </c>
      <c r="F4157" t="s">
        <v>31</v>
      </c>
      <c r="G4157" t="s">
        <v>51</v>
      </c>
      <c r="H4157" t="s">
        <v>32</v>
      </c>
      <c r="I4157" t="s">
        <v>42</v>
      </c>
      <c r="J4157" t="s">
        <v>54</v>
      </c>
      <c r="K4157">
        <v>2</v>
      </c>
      <c r="L4157" s="2">
        <v>148.05000000000001</v>
      </c>
      <c r="M4157" s="3">
        <v>0</v>
      </c>
      <c r="N4157" t="s">
        <v>38</v>
      </c>
      <c r="O4157" s="2">
        <v>296.10000000000002</v>
      </c>
      <c r="P4157" s="2">
        <v>198.49</v>
      </c>
      <c r="Q4157" s="2">
        <v>97.61</v>
      </c>
      <c r="R4157">
        <v>1</v>
      </c>
      <c r="S4157">
        <v>0</v>
      </c>
      <c r="T4157">
        <v>3</v>
      </c>
      <c r="U4157">
        <v>5</v>
      </c>
    </row>
    <row r="4158" spans="1:21" ht="16.5" x14ac:dyDescent="0.3">
      <c r="A4158" t="s">
        <v>4246</v>
      </c>
      <c r="B4158" s="1">
        <v>45899</v>
      </c>
      <c r="C4158">
        <v>2025</v>
      </c>
      <c r="D4158" t="s">
        <v>1187</v>
      </c>
      <c r="E4158" t="s">
        <v>1356</v>
      </c>
      <c r="F4158" t="s">
        <v>45</v>
      </c>
      <c r="G4158" t="s">
        <v>49</v>
      </c>
      <c r="H4158" t="s">
        <v>32</v>
      </c>
      <c r="I4158" t="s">
        <v>27</v>
      </c>
      <c r="J4158" t="s">
        <v>60</v>
      </c>
      <c r="K4158">
        <v>1</v>
      </c>
      <c r="L4158" s="2">
        <v>94.85</v>
      </c>
      <c r="M4158" s="3">
        <v>0.05</v>
      </c>
      <c r="N4158" t="s">
        <v>29</v>
      </c>
      <c r="O4158" s="2">
        <v>90.11</v>
      </c>
      <c r="P4158" s="2">
        <v>50.7</v>
      </c>
      <c r="Q4158" s="2">
        <v>39.409999999999997</v>
      </c>
      <c r="R4158">
        <v>1</v>
      </c>
      <c r="S4158">
        <v>0</v>
      </c>
      <c r="T4158">
        <v>4</v>
      </c>
      <c r="U4158">
        <v>4</v>
      </c>
    </row>
    <row r="4159" spans="1:21" ht="16.5" x14ac:dyDescent="0.3">
      <c r="A4159" t="s">
        <v>4247</v>
      </c>
      <c r="B4159" s="1">
        <v>45899</v>
      </c>
      <c r="C4159">
        <v>2025</v>
      </c>
      <c r="D4159" t="s">
        <v>1187</v>
      </c>
      <c r="E4159" t="s">
        <v>1356</v>
      </c>
      <c r="F4159" t="s">
        <v>31</v>
      </c>
      <c r="G4159" t="s">
        <v>65</v>
      </c>
      <c r="H4159" t="s">
        <v>26</v>
      </c>
      <c r="I4159" t="s">
        <v>84</v>
      </c>
      <c r="J4159" t="s">
        <v>96</v>
      </c>
      <c r="K4159">
        <v>1</v>
      </c>
      <c r="L4159" s="2">
        <v>10.76</v>
      </c>
      <c r="M4159" s="3">
        <v>0.1</v>
      </c>
      <c r="N4159" t="s">
        <v>29</v>
      </c>
      <c r="O4159" s="2">
        <v>9.68</v>
      </c>
      <c r="P4159" s="2">
        <v>7.76</v>
      </c>
      <c r="Q4159" s="2">
        <v>1.92</v>
      </c>
      <c r="R4159">
        <v>1</v>
      </c>
      <c r="S4159">
        <v>0</v>
      </c>
      <c r="T4159">
        <v>6</v>
      </c>
      <c r="U4159">
        <v>5</v>
      </c>
    </row>
    <row r="4160" spans="1:21" ht="16.5" x14ac:dyDescent="0.3">
      <c r="A4160" t="s">
        <v>4248</v>
      </c>
      <c r="B4160" s="1">
        <v>45899</v>
      </c>
      <c r="C4160">
        <v>2025</v>
      </c>
      <c r="D4160" t="s">
        <v>1187</v>
      </c>
      <c r="E4160" t="s">
        <v>1356</v>
      </c>
      <c r="F4160" t="s">
        <v>31</v>
      </c>
      <c r="G4160" t="s">
        <v>65</v>
      </c>
      <c r="H4160" t="s">
        <v>26</v>
      </c>
      <c r="I4160" t="s">
        <v>84</v>
      </c>
      <c r="J4160" t="s">
        <v>106</v>
      </c>
      <c r="K4160">
        <v>1</v>
      </c>
      <c r="L4160" s="2">
        <v>45.28</v>
      </c>
      <c r="M4160" s="3">
        <v>0</v>
      </c>
      <c r="N4160" t="s">
        <v>38</v>
      </c>
      <c r="O4160" s="2">
        <v>45.28</v>
      </c>
      <c r="P4160" s="2">
        <v>30.77</v>
      </c>
      <c r="Q4160" s="2">
        <v>14.51</v>
      </c>
      <c r="R4160">
        <v>1</v>
      </c>
      <c r="S4160">
        <v>0</v>
      </c>
      <c r="T4160">
        <v>8</v>
      </c>
      <c r="U4160">
        <v>4</v>
      </c>
    </row>
    <row r="4161" spans="1:21" ht="16.5" x14ac:dyDescent="0.3">
      <c r="A4161" t="s">
        <v>4249</v>
      </c>
      <c r="B4161" s="1">
        <v>45900</v>
      </c>
      <c r="C4161">
        <v>2025</v>
      </c>
      <c r="D4161" t="s">
        <v>1187</v>
      </c>
      <c r="E4161" t="s">
        <v>1356</v>
      </c>
      <c r="F4161" t="s">
        <v>24</v>
      </c>
      <c r="G4161" t="s">
        <v>49</v>
      </c>
      <c r="H4161" t="s">
        <v>32</v>
      </c>
      <c r="I4161" t="s">
        <v>70</v>
      </c>
      <c r="J4161" t="s">
        <v>71</v>
      </c>
      <c r="K4161">
        <v>1</v>
      </c>
      <c r="L4161" s="2">
        <v>588.41</v>
      </c>
      <c r="M4161" s="3">
        <v>0.3</v>
      </c>
      <c r="N4161" t="s">
        <v>62</v>
      </c>
      <c r="O4161" s="2">
        <v>411.89</v>
      </c>
      <c r="P4161" s="2">
        <v>464.92</v>
      </c>
      <c r="Q4161" s="2">
        <v>-53.03</v>
      </c>
      <c r="R4161">
        <v>1</v>
      </c>
      <c r="S4161">
        <v>0</v>
      </c>
      <c r="T4161">
        <v>4</v>
      </c>
      <c r="U4161">
        <v>5</v>
      </c>
    </row>
    <row r="4162" spans="1:21" ht="16.5" x14ac:dyDescent="0.3">
      <c r="A4162" t="s">
        <v>4250</v>
      </c>
      <c r="B4162" s="1">
        <v>45900</v>
      </c>
      <c r="C4162">
        <v>2025</v>
      </c>
      <c r="D4162" t="s">
        <v>1187</v>
      </c>
      <c r="E4162" t="s">
        <v>1356</v>
      </c>
      <c r="F4162" t="s">
        <v>24</v>
      </c>
      <c r="G4162" t="s">
        <v>25</v>
      </c>
      <c r="H4162" t="s">
        <v>32</v>
      </c>
      <c r="I4162" t="s">
        <v>70</v>
      </c>
      <c r="J4162" t="s">
        <v>252</v>
      </c>
      <c r="K4162">
        <v>2</v>
      </c>
      <c r="L4162" s="2">
        <v>216.08</v>
      </c>
      <c r="M4162" s="3">
        <v>0.15</v>
      </c>
      <c r="N4162" t="s">
        <v>34</v>
      </c>
      <c r="O4162" s="2">
        <v>367.34</v>
      </c>
      <c r="P4162" s="2">
        <v>342.18</v>
      </c>
      <c r="Q4162" s="2">
        <v>25.16</v>
      </c>
      <c r="R4162">
        <v>1</v>
      </c>
      <c r="S4162">
        <v>0</v>
      </c>
      <c r="T4162">
        <v>3</v>
      </c>
      <c r="U4162">
        <v>4</v>
      </c>
    </row>
    <row r="4163" spans="1:21" ht="16.5" x14ac:dyDescent="0.3">
      <c r="A4163" t="s">
        <v>4251</v>
      </c>
      <c r="B4163" s="1">
        <v>45900</v>
      </c>
      <c r="C4163">
        <v>2025</v>
      </c>
      <c r="D4163" t="s">
        <v>1187</v>
      </c>
      <c r="E4163" t="s">
        <v>1356</v>
      </c>
      <c r="F4163" t="s">
        <v>31</v>
      </c>
      <c r="G4163" t="s">
        <v>25</v>
      </c>
      <c r="H4163" t="s">
        <v>32</v>
      </c>
      <c r="I4163" t="s">
        <v>36</v>
      </c>
      <c r="J4163" t="s">
        <v>52</v>
      </c>
      <c r="K4163">
        <v>1</v>
      </c>
      <c r="L4163" s="2">
        <v>92.54</v>
      </c>
      <c r="M4163" s="3">
        <v>0</v>
      </c>
      <c r="N4163" t="s">
        <v>38</v>
      </c>
      <c r="O4163" s="2">
        <v>92.54</v>
      </c>
      <c r="P4163" s="2">
        <v>44.68</v>
      </c>
      <c r="Q4163" s="2">
        <v>47.86</v>
      </c>
      <c r="R4163">
        <v>1</v>
      </c>
      <c r="S4163">
        <v>1</v>
      </c>
      <c r="T4163">
        <v>4</v>
      </c>
      <c r="U4163">
        <v>4</v>
      </c>
    </row>
    <row r="4164" spans="1:21" ht="16.5" x14ac:dyDescent="0.3">
      <c r="A4164" t="s">
        <v>4252</v>
      </c>
      <c r="B4164" s="1">
        <v>45900</v>
      </c>
      <c r="C4164">
        <v>2025</v>
      </c>
      <c r="D4164" t="s">
        <v>1187</v>
      </c>
      <c r="E4164" t="s">
        <v>1356</v>
      </c>
      <c r="F4164" t="s">
        <v>24</v>
      </c>
      <c r="G4164" t="s">
        <v>51</v>
      </c>
      <c r="H4164" t="s">
        <v>32</v>
      </c>
      <c r="I4164" t="s">
        <v>27</v>
      </c>
      <c r="J4164" t="s">
        <v>40</v>
      </c>
      <c r="K4164">
        <v>1</v>
      </c>
      <c r="L4164" s="2">
        <v>104.94</v>
      </c>
      <c r="M4164" s="3">
        <v>0</v>
      </c>
      <c r="N4164" t="s">
        <v>38</v>
      </c>
      <c r="O4164" s="2">
        <v>104.94</v>
      </c>
      <c r="P4164" s="2">
        <v>59.31</v>
      </c>
      <c r="Q4164" s="2">
        <v>45.63</v>
      </c>
      <c r="R4164">
        <v>1</v>
      </c>
      <c r="S4164">
        <v>0</v>
      </c>
      <c r="T4164">
        <v>6</v>
      </c>
      <c r="U4164">
        <v>4</v>
      </c>
    </row>
    <row r="4165" spans="1:21" ht="16.5" x14ac:dyDescent="0.3">
      <c r="A4165" t="s">
        <v>4253</v>
      </c>
      <c r="B4165" s="1">
        <v>45900</v>
      </c>
      <c r="C4165">
        <v>2025</v>
      </c>
      <c r="D4165" t="s">
        <v>1187</v>
      </c>
      <c r="E4165" t="s">
        <v>1356</v>
      </c>
      <c r="F4165" t="s">
        <v>31</v>
      </c>
      <c r="G4165" t="s">
        <v>51</v>
      </c>
      <c r="H4165" t="s">
        <v>32</v>
      </c>
      <c r="I4165" t="s">
        <v>27</v>
      </c>
      <c r="J4165" t="s">
        <v>28</v>
      </c>
      <c r="K4165">
        <v>2</v>
      </c>
      <c r="L4165" s="2">
        <v>138.5</v>
      </c>
      <c r="M4165" s="3">
        <v>0.05</v>
      </c>
      <c r="N4165" t="s">
        <v>29</v>
      </c>
      <c r="O4165" s="2">
        <v>263.14999999999998</v>
      </c>
      <c r="P4165" s="2">
        <v>151.46</v>
      </c>
      <c r="Q4165" s="2">
        <v>111.69</v>
      </c>
      <c r="R4165">
        <v>1</v>
      </c>
      <c r="S4165">
        <v>0</v>
      </c>
      <c r="T4165">
        <v>3</v>
      </c>
      <c r="U4165">
        <v>4</v>
      </c>
    </row>
    <row r="4166" spans="1:21" ht="16.5" x14ac:dyDescent="0.3">
      <c r="A4166" t="s">
        <v>4254</v>
      </c>
      <c r="B4166" s="1">
        <v>45900</v>
      </c>
      <c r="C4166">
        <v>2025</v>
      </c>
      <c r="D4166" t="s">
        <v>1187</v>
      </c>
      <c r="E4166" t="s">
        <v>1356</v>
      </c>
      <c r="F4166" t="s">
        <v>31</v>
      </c>
      <c r="G4166" t="s">
        <v>25</v>
      </c>
      <c r="H4166" t="s">
        <v>32</v>
      </c>
      <c r="I4166" t="s">
        <v>27</v>
      </c>
      <c r="J4166" t="s">
        <v>40</v>
      </c>
      <c r="K4166">
        <v>1</v>
      </c>
      <c r="L4166" s="2">
        <v>104.94</v>
      </c>
      <c r="M4166" s="3">
        <v>0</v>
      </c>
      <c r="N4166" t="s">
        <v>38</v>
      </c>
      <c r="O4166" s="2">
        <v>104.94</v>
      </c>
      <c r="P4166" s="2">
        <v>54.21</v>
      </c>
      <c r="Q4166" s="2">
        <v>50.73</v>
      </c>
      <c r="R4166">
        <v>1</v>
      </c>
      <c r="S4166">
        <v>1</v>
      </c>
      <c r="T4166">
        <v>3</v>
      </c>
      <c r="U4166">
        <v>3</v>
      </c>
    </row>
    <row r="4167" spans="1:21" ht="16.5" x14ac:dyDescent="0.3">
      <c r="A4167" t="s">
        <v>4255</v>
      </c>
      <c r="B4167" s="1">
        <v>45901</v>
      </c>
      <c r="C4167">
        <v>2025</v>
      </c>
      <c r="D4167" t="s">
        <v>1187</v>
      </c>
      <c r="E4167" t="s">
        <v>1543</v>
      </c>
      <c r="F4167" t="s">
        <v>24</v>
      </c>
      <c r="G4167" t="s">
        <v>51</v>
      </c>
      <c r="H4167" t="s">
        <v>32</v>
      </c>
      <c r="I4167" t="s">
        <v>67</v>
      </c>
      <c r="J4167" t="s">
        <v>103</v>
      </c>
      <c r="K4167">
        <v>2</v>
      </c>
      <c r="L4167" s="2">
        <v>83.06</v>
      </c>
      <c r="M4167" s="3">
        <v>0.25</v>
      </c>
      <c r="N4167" t="s">
        <v>62</v>
      </c>
      <c r="O4167" s="2">
        <v>124.59</v>
      </c>
      <c r="P4167" s="2">
        <v>112.64</v>
      </c>
      <c r="Q4167" s="2">
        <v>11.95</v>
      </c>
      <c r="R4167">
        <v>1</v>
      </c>
      <c r="S4167">
        <v>0</v>
      </c>
      <c r="T4167">
        <v>3</v>
      </c>
      <c r="U4167">
        <v>3</v>
      </c>
    </row>
    <row r="4168" spans="1:21" ht="16.5" x14ac:dyDescent="0.3">
      <c r="A4168" t="s">
        <v>4256</v>
      </c>
      <c r="B4168" s="1">
        <v>45901</v>
      </c>
      <c r="C4168">
        <v>2025</v>
      </c>
      <c r="D4168" t="s">
        <v>1187</v>
      </c>
      <c r="E4168" t="s">
        <v>1543</v>
      </c>
      <c r="F4168" t="s">
        <v>24</v>
      </c>
      <c r="G4168" t="s">
        <v>65</v>
      </c>
      <c r="H4168" t="s">
        <v>32</v>
      </c>
      <c r="I4168" t="s">
        <v>42</v>
      </c>
      <c r="J4168" t="s">
        <v>43</v>
      </c>
      <c r="K4168">
        <v>1</v>
      </c>
      <c r="L4168" s="2">
        <v>154.66</v>
      </c>
      <c r="M4168" s="3">
        <v>0.2</v>
      </c>
      <c r="N4168" t="s">
        <v>34</v>
      </c>
      <c r="O4168" s="2">
        <v>123.73</v>
      </c>
      <c r="P4168" s="2">
        <v>102.8</v>
      </c>
      <c r="Q4168" s="2">
        <v>20.93</v>
      </c>
      <c r="R4168">
        <v>1</v>
      </c>
      <c r="S4168">
        <v>1</v>
      </c>
      <c r="T4168">
        <v>5</v>
      </c>
      <c r="U4168">
        <v>3</v>
      </c>
    </row>
    <row r="4169" spans="1:21" ht="16.5" x14ac:dyDescent="0.3">
      <c r="A4169" t="s">
        <v>4257</v>
      </c>
      <c r="B4169" s="1">
        <v>45902</v>
      </c>
      <c r="C4169">
        <v>2025</v>
      </c>
      <c r="D4169" t="s">
        <v>1187</v>
      </c>
      <c r="E4169" t="s">
        <v>1543</v>
      </c>
      <c r="F4169" t="s">
        <v>31</v>
      </c>
      <c r="G4169" t="s">
        <v>51</v>
      </c>
      <c r="H4169" t="s">
        <v>32</v>
      </c>
      <c r="I4169" t="s">
        <v>42</v>
      </c>
      <c r="J4169" t="s">
        <v>58</v>
      </c>
      <c r="K4169">
        <v>2</v>
      </c>
      <c r="L4169" s="2">
        <v>233.81</v>
      </c>
      <c r="M4169" s="3">
        <v>0.1</v>
      </c>
      <c r="N4169" t="s">
        <v>29</v>
      </c>
      <c r="O4169" s="2">
        <v>420.86</v>
      </c>
      <c r="P4169" s="2">
        <v>300.37</v>
      </c>
      <c r="Q4169" s="2">
        <v>120.49</v>
      </c>
      <c r="R4169">
        <v>1</v>
      </c>
      <c r="S4169">
        <v>0</v>
      </c>
      <c r="T4169">
        <v>2</v>
      </c>
      <c r="U4169">
        <v>5</v>
      </c>
    </row>
    <row r="4170" spans="1:21" ht="16.5" x14ac:dyDescent="0.3">
      <c r="A4170" t="s">
        <v>4258</v>
      </c>
      <c r="B4170" s="1">
        <v>45902</v>
      </c>
      <c r="C4170">
        <v>2025</v>
      </c>
      <c r="D4170" t="s">
        <v>1187</v>
      </c>
      <c r="E4170" t="s">
        <v>1543</v>
      </c>
      <c r="F4170" t="s">
        <v>31</v>
      </c>
      <c r="G4170" t="s">
        <v>25</v>
      </c>
      <c r="H4170" t="s">
        <v>32</v>
      </c>
      <c r="I4170" t="s">
        <v>36</v>
      </c>
      <c r="J4170" t="s">
        <v>56</v>
      </c>
      <c r="K4170">
        <v>2</v>
      </c>
      <c r="L4170" s="2">
        <v>74.3</v>
      </c>
      <c r="M4170" s="3">
        <v>0.25</v>
      </c>
      <c r="N4170" t="s">
        <v>62</v>
      </c>
      <c r="O4170" s="2">
        <v>111.45</v>
      </c>
      <c r="P4170" s="2">
        <v>70.459999999999994</v>
      </c>
      <c r="Q4170" s="2">
        <v>40.99</v>
      </c>
      <c r="R4170">
        <v>1</v>
      </c>
      <c r="S4170">
        <v>0</v>
      </c>
      <c r="T4170">
        <v>4</v>
      </c>
      <c r="U4170">
        <v>4</v>
      </c>
    </row>
    <row r="4171" spans="1:21" ht="16.5" x14ac:dyDescent="0.3">
      <c r="A4171" t="s">
        <v>4259</v>
      </c>
      <c r="B4171" s="1">
        <v>45902</v>
      </c>
      <c r="C4171">
        <v>2025</v>
      </c>
      <c r="D4171" t="s">
        <v>1187</v>
      </c>
      <c r="E4171" t="s">
        <v>1543</v>
      </c>
      <c r="F4171" t="s">
        <v>24</v>
      </c>
      <c r="G4171" t="s">
        <v>51</v>
      </c>
      <c r="H4171" t="s">
        <v>32</v>
      </c>
      <c r="I4171" t="s">
        <v>42</v>
      </c>
      <c r="J4171" t="s">
        <v>76</v>
      </c>
      <c r="K4171">
        <v>3</v>
      </c>
      <c r="L4171" s="2">
        <v>90.75</v>
      </c>
      <c r="M4171" s="3">
        <v>0</v>
      </c>
      <c r="N4171" t="s">
        <v>38</v>
      </c>
      <c r="O4171" s="2">
        <v>272.25</v>
      </c>
      <c r="P4171" s="2">
        <v>179.95</v>
      </c>
      <c r="Q4171" s="2">
        <v>92.3</v>
      </c>
      <c r="R4171">
        <v>1</v>
      </c>
      <c r="S4171">
        <v>0</v>
      </c>
      <c r="T4171">
        <v>3</v>
      </c>
      <c r="U4171">
        <v>5</v>
      </c>
    </row>
    <row r="4172" spans="1:21" ht="16.5" x14ac:dyDescent="0.3">
      <c r="A4172" t="s">
        <v>4260</v>
      </c>
      <c r="B4172" s="1">
        <v>45902</v>
      </c>
      <c r="C4172">
        <v>2025</v>
      </c>
      <c r="D4172" t="s">
        <v>1187</v>
      </c>
      <c r="E4172" t="s">
        <v>1543</v>
      </c>
      <c r="F4172" t="s">
        <v>45</v>
      </c>
      <c r="G4172" t="s">
        <v>65</v>
      </c>
      <c r="H4172" t="s">
        <v>26</v>
      </c>
      <c r="I4172" t="s">
        <v>27</v>
      </c>
      <c r="J4172" t="s">
        <v>60</v>
      </c>
      <c r="K4172">
        <v>1</v>
      </c>
      <c r="L4172" s="2">
        <v>94.85</v>
      </c>
      <c r="M4172" s="3">
        <v>0.1</v>
      </c>
      <c r="N4172" t="s">
        <v>29</v>
      </c>
      <c r="O4172" s="2">
        <v>85.36</v>
      </c>
      <c r="P4172" s="2">
        <v>52.55</v>
      </c>
      <c r="Q4172" s="2">
        <v>32.81</v>
      </c>
      <c r="R4172">
        <v>1</v>
      </c>
      <c r="S4172">
        <v>0</v>
      </c>
      <c r="T4172">
        <v>5</v>
      </c>
      <c r="U4172">
        <v>5</v>
      </c>
    </row>
    <row r="4173" spans="1:21" ht="16.5" x14ac:dyDescent="0.3">
      <c r="A4173" t="s">
        <v>4261</v>
      </c>
      <c r="B4173" s="1">
        <v>45902</v>
      </c>
      <c r="C4173">
        <v>2025</v>
      </c>
      <c r="D4173" t="s">
        <v>1187</v>
      </c>
      <c r="E4173" t="s">
        <v>1543</v>
      </c>
      <c r="F4173" t="s">
        <v>24</v>
      </c>
      <c r="G4173" t="s">
        <v>46</v>
      </c>
      <c r="H4173" t="s">
        <v>26</v>
      </c>
      <c r="I4173" t="s">
        <v>27</v>
      </c>
      <c r="J4173" t="s">
        <v>47</v>
      </c>
      <c r="K4173">
        <v>2</v>
      </c>
      <c r="L4173" s="2">
        <v>33.99</v>
      </c>
      <c r="M4173" s="3">
        <v>0</v>
      </c>
      <c r="N4173" t="s">
        <v>38</v>
      </c>
      <c r="O4173" s="2">
        <v>67.98</v>
      </c>
      <c r="P4173" s="2">
        <v>36.18</v>
      </c>
      <c r="Q4173" s="2">
        <v>31.8</v>
      </c>
      <c r="R4173">
        <v>1</v>
      </c>
      <c r="S4173">
        <v>0</v>
      </c>
      <c r="T4173">
        <v>6</v>
      </c>
      <c r="U4173">
        <v>3</v>
      </c>
    </row>
    <row r="4174" spans="1:21" ht="16.5" x14ac:dyDescent="0.3">
      <c r="A4174" t="s">
        <v>4262</v>
      </c>
      <c r="B4174" s="1">
        <v>45902</v>
      </c>
      <c r="C4174">
        <v>2025</v>
      </c>
      <c r="D4174" t="s">
        <v>1187</v>
      </c>
      <c r="E4174" t="s">
        <v>1543</v>
      </c>
      <c r="F4174" t="s">
        <v>45</v>
      </c>
      <c r="G4174" t="s">
        <v>46</v>
      </c>
      <c r="H4174" t="s">
        <v>26</v>
      </c>
      <c r="I4174" t="s">
        <v>42</v>
      </c>
      <c r="J4174" t="s">
        <v>54</v>
      </c>
      <c r="K4174">
        <v>2</v>
      </c>
      <c r="L4174" s="2">
        <v>148.05000000000001</v>
      </c>
      <c r="M4174" s="3">
        <v>0</v>
      </c>
      <c r="N4174" t="s">
        <v>38</v>
      </c>
      <c r="O4174" s="2">
        <v>296.10000000000002</v>
      </c>
      <c r="P4174" s="2">
        <v>191.76</v>
      </c>
      <c r="Q4174" s="2">
        <v>104.34</v>
      </c>
      <c r="R4174">
        <v>1</v>
      </c>
      <c r="S4174">
        <v>1</v>
      </c>
      <c r="T4174">
        <v>6</v>
      </c>
      <c r="U4174">
        <v>2</v>
      </c>
    </row>
    <row r="4175" spans="1:21" ht="16.5" x14ac:dyDescent="0.3">
      <c r="A4175" t="s">
        <v>4263</v>
      </c>
      <c r="B4175" s="1">
        <v>45902</v>
      </c>
      <c r="C4175">
        <v>2025</v>
      </c>
      <c r="D4175" t="s">
        <v>1187</v>
      </c>
      <c r="E4175" t="s">
        <v>1543</v>
      </c>
      <c r="F4175" t="s">
        <v>24</v>
      </c>
      <c r="G4175" t="s">
        <v>25</v>
      </c>
      <c r="H4175" t="s">
        <v>32</v>
      </c>
      <c r="I4175" t="s">
        <v>36</v>
      </c>
      <c r="J4175" t="s">
        <v>115</v>
      </c>
      <c r="K4175">
        <v>1</v>
      </c>
      <c r="L4175" s="2">
        <v>33.479999999999997</v>
      </c>
      <c r="M4175" s="3">
        <v>0</v>
      </c>
      <c r="N4175" t="s">
        <v>38</v>
      </c>
      <c r="O4175" s="2">
        <v>33.479999999999997</v>
      </c>
      <c r="P4175" s="2">
        <v>17.239999999999998</v>
      </c>
      <c r="Q4175" s="2">
        <v>16.239999999999998</v>
      </c>
      <c r="R4175">
        <v>1</v>
      </c>
      <c r="S4175">
        <v>0</v>
      </c>
      <c r="T4175">
        <v>7</v>
      </c>
      <c r="U4175">
        <v>3</v>
      </c>
    </row>
    <row r="4176" spans="1:21" ht="16.5" x14ac:dyDescent="0.3">
      <c r="A4176" t="s">
        <v>4264</v>
      </c>
      <c r="B4176" s="1">
        <v>45902</v>
      </c>
      <c r="C4176">
        <v>2025</v>
      </c>
      <c r="D4176" t="s">
        <v>1187</v>
      </c>
      <c r="E4176" t="s">
        <v>1543</v>
      </c>
      <c r="F4176" t="s">
        <v>45</v>
      </c>
      <c r="G4176" t="s">
        <v>49</v>
      </c>
      <c r="H4176" t="s">
        <v>32</v>
      </c>
      <c r="I4176" t="s">
        <v>42</v>
      </c>
      <c r="J4176" t="s">
        <v>54</v>
      </c>
      <c r="K4176">
        <v>1</v>
      </c>
      <c r="L4176" s="2">
        <v>148.05000000000001</v>
      </c>
      <c r="M4176" s="3">
        <v>0</v>
      </c>
      <c r="N4176" t="s">
        <v>38</v>
      </c>
      <c r="O4176" s="2">
        <v>148.05000000000001</v>
      </c>
      <c r="P4176" s="2">
        <v>102.42</v>
      </c>
      <c r="Q4176" s="2">
        <v>45.63</v>
      </c>
      <c r="R4176">
        <v>1</v>
      </c>
      <c r="S4176">
        <v>0</v>
      </c>
      <c r="T4176">
        <v>6</v>
      </c>
      <c r="U4176">
        <v>4</v>
      </c>
    </row>
    <row r="4177" spans="1:21" ht="16.5" x14ac:dyDescent="0.3">
      <c r="A4177" t="s">
        <v>4265</v>
      </c>
      <c r="B4177" s="1">
        <v>45902</v>
      </c>
      <c r="C4177">
        <v>2025</v>
      </c>
      <c r="D4177" t="s">
        <v>1187</v>
      </c>
      <c r="E4177" t="s">
        <v>1543</v>
      </c>
      <c r="F4177" t="s">
        <v>31</v>
      </c>
      <c r="G4177" t="s">
        <v>25</v>
      </c>
      <c r="H4177" t="s">
        <v>32</v>
      </c>
      <c r="I4177" t="s">
        <v>36</v>
      </c>
      <c r="J4177" t="s">
        <v>126</v>
      </c>
      <c r="K4177">
        <v>3</v>
      </c>
      <c r="L4177" s="2">
        <v>54.56</v>
      </c>
      <c r="M4177" s="3">
        <v>0.1</v>
      </c>
      <c r="N4177" t="s">
        <v>29</v>
      </c>
      <c r="O4177" s="2">
        <v>147.31</v>
      </c>
      <c r="P4177" s="2">
        <v>76.319999999999993</v>
      </c>
      <c r="Q4177" s="2">
        <v>70.989999999999995</v>
      </c>
      <c r="R4177">
        <v>1</v>
      </c>
      <c r="S4177">
        <v>0</v>
      </c>
      <c r="T4177">
        <v>3</v>
      </c>
      <c r="U4177">
        <v>3</v>
      </c>
    </row>
    <row r="4178" spans="1:21" ht="16.5" x14ac:dyDescent="0.3">
      <c r="A4178" t="s">
        <v>4266</v>
      </c>
      <c r="B4178" s="1">
        <v>45902</v>
      </c>
      <c r="C4178">
        <v>2025</v>
      </c>
      <c r="D4178" t="s">
        <v>1187</v>
      </c>
      <c r="E4178" t="s">
        <v>1543</v>
      </c>
      <c r="F4178" t="s">
        <v>31</v>
      </c>
      <c r="G4178" t="s">
        <v>51</v>
      </c>
      <c r="H4178" t="s">
        <v>32</v>
      </c>
      <c r="I4178" t="s">
        <v>27</v>
      </c>
      <c r="J4178" t="s">
        <v>60</v>
      </c>
      <c r="K4178">
        <v>1</v>
      </c>
      <c r="L4178" s="2">
        <v>94.85</v>
      </c>
      <c r="M4178" s="3">
        <v>0.15</v>
      </c>
      <c r="N4178" t="s">
        <v>34</v>
      </c>
      <c r="O4178" s="2">
        <v>80.62</v>
      </c>
      <c r="P4178" s="2">
        <v>50.54</v>
      </c>
      <c r="Q4178" s="2">
        <v>30.08</v>
      </c>
      <c r="R4178">
        <v>1</v>
      </c>
      <c r="S4178">
        <v>0</v>
      </c>
      <c r="T4178">
        <v>3</v>
      </c>
      <c r="U4178">
        <v>4</v>
      </c>
    </row>
    <row r="4179" spans="1:21" ht="16.5" x14ac:dyDescent="0.3">
      <c r="A4179" t="s">
        <v>4267</v>
      </c>
      <c r="B4179" s="1">
        <v>45903</v>
      </c>
      <c r="C4179">
        <v>2025</v>
      </c>
      <c r="D4179" t="s">
        <v>1187</v>
      </c>
      <c r="E4179" t="s">
        <v>1543</v>
      </c>
      <c r="F4179" t="s">
        <v>24</v>
      </c>
      <c r="G4179" t="s">
        <v>25</v>
      </c>
      <c r="H4179" t="s">
        <v>26</v>
      </c>
      <c r="I4179" t="s">
        <v>27</v>
      </c>
      <c r="J4179" t="s">
        <v>33</v>
      </c>
      <c r="K4179">
        <v>2</v>
      </c>
      <c r="L4179" s="2">
        <v>78.510000000000005</v>
      </c>
      <c r="M4179" s="3">
        <v>0</v>
      </c>
      <c r="N4179" t="s">
        <v>38</v>
      </c>
      <c r="O4179" s="2">
        <v>157.02000000000001</v>
      </c>
      <c r="P4179" s="2">
        <v>78.400000000000006</v>
      </c>
      <c r="Q4179" s="2">
        <v>78.62</v>
      </c>
      <c r="R4179">
        <v>1</v>
      </c>
      <c r="S4179">
        <v>0</v>
      </c>
      <c r="T4179">
        <v>3</v>
      </c>
      <c r="U4179">
        <v>4</v>
      </c>
    </row>
    <row r="4180" spans="1:21" ht="16.5" x14ac:dyDescent="0.3">
      <c r="A4180" t="s">
        <v>4268</v>
      </c>
      <c r="B4180" s="1">
        <v>45903</v>
      </c>
      <c r="C4180">
        <v>2025</v>
      </c>
      <c r="D4180" t="s">
        <v>1187</v>
      </c>
      <c r="E4180" t="s">
        <v>1543</v>
      </c>
      <c r="F4180" t="s">
        <v>45</v>
      </c>
      <c r="G4180" t="s">
        <v>46</v>
      </c>
      <c r="H4180" t="s">
        <v>26</v>
      </c>
      <c r="I4180" t="s">
        <v>27</v>
      </c>
      <c r="J4180" t="s">
        <v>40</v>
      </c>
      <c r="K4180">
        <v>2</v>
      </c>
      <c r="L4180" s="2">
        <v>104.94</v>
      </c>
      <c r="M4180" s="3">
        <v>0</v>
      </c>
      <c r="N4180" t="s">
        <v>38</v>
      </c>
      <c r="O4180" s="2">
        <v>209.88</v>
      </c>
      <c r="P4180" s="2">
        <v>110.35</v>
      </c>
      <c r="Q4180" s="2">
        <v>99.53</v>
      </c>
      <c r="R4180">
        <v>1</v>
      </c>
      <c r="S4180">
        <v>0</v>
      </c>
      <c r="T4180">
        <v>7</v>
      </c>
      <c r="U4180">
        <v>3</v>
      </c>
    </row>
    <row r="4181" spans="1:21" ht="16.5" x14ac:dyDescent="0.3">
      <c r="A4181" t="s">
        <v>4269</v>
      </c>
      <c r="B4181" s="1">
        <v>45903</v>
      </c>
      <c r="C4181">
        <v>2025</v>
      </c>
      <c r="D4181" t="s">
        <v>1187</v>
      </c>
      <c r="E4181" t="s">
        <v>1543</v>
      </c>
      <c r="F4181" t="s">
        <v>24</v>
      </c>
      <c r="G4181" t="s">
        <v>65</v>
      </c>
      <c r="H4181" t="s">
        <v>32</v>
      </c>
      <c r="I4181" t="s">
        <v>67</v>
      </c>
      <c r="J4181" t="s">
        <v>93</v>
      </c>
      <c r="K4181">
        <v>1</v>
      </c>
      <c r="L4181" s="2">
        <v>198.42</v>
      </c>
      <c r="M4181" s="3">
        <v>0.15</v>
      </c>
      <c r="N4181" t="s">
        <v>34</v>
      </c>
      <c r="O4181" s="2">
        <v>168.66</v>
      </c>
      <c r="P4181" s="2">
        <v>137.03</v>
      </c>
      <c r="Q4181" s="2">
        <v>31.63</v>
      </c>
      <c r="R4181">
        <v>1</v>
      </c>
      <c r="S4181">
        <v>0</v>
      </c>
      <c r="T4181">
        <v>6</v>
      </c>
      <c r="U4181">
        <v>4</v>
      </c>
    </row>
    <row r="4182" spans="1:21" ht="16.5" x14ac:dyDescent="0.3">
      <c r="A4182" t="s">
        <v>4270</v>
      </c>
      <c r="B4182" s="1">
        <v>45903</v>
      </c>
      <c r="C4182">
        <v>2025</v>
      </c>
      <c r="D4182" t="s">
        <v>1187</v>
      </c>
      <c r="E4182" t="s">
        <v>1543</v>
      </c>
      <c r="F4182" t="s">
        <v>24</v>
      </c>
      <c r="G4182" t="s">
        <v>51</v>
      </c>
      <c r="H4182" t="s">
        <v>26</v>
      </c>
      <c r="I4182" t="s">
        <v>27</v>
      </c>
      <c r="J4182" t="s">
        <v>28</v>
      </c>
      <c r="K4182">
        <v>2</v>
      </c>
      <c r="L4182" s="2">
        <v>138.5</v>
      </c>
      <c r="M4182" s="3">
        <v>0.3</v>
      </c>
      <c r="N4182" t="s">
        <v>62</v>
      </c>
      <c r="O4182" s="2">
        <v>193.9</v>
      </c>
      <c r="P4182" s="2">
        <v>146.22</v>
      </c>
      <c r="Q4182" s="2">
        <v>47.68</v>
      </c>
      <c r="R4182">
        <v>1</v>
      </c>
      <c r="S4182">
        <v>0</v>
      </c>
      <c r="T4182">
        <v>3</v>
      </c>
      <c r="U4182">
        <v>5</v>
      </c>
    </row>
    <row r="4183" spans="1:21" ht="16.5" x14ac:dyDescent="0.3">
      <c r="A4183" t="s">
        <v>4271</v>
      </c>
      <c r="B4183" s="1">
        <v>45903</v>
      </c>
      <c r="C4183">
        <v>2025</v>
      </c>
      <c r="D4183" t="s">
        <v>1187</v>
      </c>
      <c r="E4183" t="s">
        <v>1543</v>
      </c>
      <c r="F4183" t="s">
        <v>31</v>
      </c>
      <c r="G4183" t="s">
        <v>49</v>
      </c>
      <c r="H4183" t="s">
        <v>32</v>
      </c>
      <c r="I4183" t="s">
        <v>27</v>
      </c>
      <c r="J4183" t="s">
        <v>33</v>
      </c>
      <c r="K4183">
        <v>2</v>
      </c>
      <c r="L4183" s="2">
        <v>78.510000000000005</v>
      </c>
      <c r="M4183" s="3">
        <v>0.15</v>
      </c>
      <c r="N4183" t="s">
        <v>34</v>
      </c>
      <c r="O4183" s="2">
        <v>133.47</v>
      </c>
      <c r="P4183" s="2">
        <v>83.86</v>
      </c>
      <c r="Q4183" s="2">
        <v>49.61</v>
      </c>
      <c r="R4183">
        <v>1</v>
      </c>
      <c r="S4183">
        <v>1</v>
      </c>
      <c r="T4183">
        <v>4</v>
      </c>
      <c r="U4183">
        <v>3</v>
      </c>
    </row>
    <row r="4184" spans="1:21" ht="16.5" x14ac:dyDescent="0.3">
      <c r="A4184" t="s">
        <v>4272</v>
      </c>
      <c r="B4184" s="1">
        <v>45903</v>
      </c>
      <c r="C4184">
        <v>2025</v>
      </c>
      <c r="D4184" t="s">
        <v>1187</v>
      </c>
      <c r="E4184" t="s">
        <v>1543</v>
      </c>
      <c r="F4184" t="s">
        <v>45</v>
      </c>
      <c r="G4184" t="s">
        <v>51</v>
      </c>
      <c r="H4184" t="s">
        <v>32</v>
      </c>
      <c r="I4184" t="s">
        <v>42</v>
      </c>
      <c r="J4184" t="s">
        <v>43</v>
      </c>
      <c r="K4184">
        <v>1</v>
      </c>
      <c r="L4184" s="2">
        <v>154.66</v>
      </c>
      <c r="M4184" s="3">
        <v>0.1</v>
      </c>
      <c r="N4184" t="s">
        <v>29</v>
      </c>
      <c r="O4184" s="2">
        <v>139.19</v>
      </c>
      <c r="P4184" s="2">
        <v>105.64</v>
      </c>
      <c r="Q4184" s="2">
        <v>33.549999999999997</v>
      </c>
      <c r="R4184">
        <v>1</v>
      </c>
      <c r="S4184">
        <v>0</v>
      </c>
      <c r="T4184">
        <v>2</v>
      </c>
      <c r="U4184">
        <v>5</v>
      </c>
    </row>
    <row r="4185" spans="1:21" ht="16.5" x14ac:dyDescent="0.3">
      <c r="A4185" t="s">
        <v>4273</v>
      </c>
      <c r="B4185" s="1">
        <v>45903</v>
      </c>
      <c r="C4185">
        <v>2025</v>
      </c>
      <c r="D4185" t="s">
        <v>1187</v>
      </c>
      <c r="E4185" t="s">
        <v>1543</v>
      </c>
      <c r="F4185" t="s">
        <v>45</v>
      </c>
      <c r="G4185" t="s">
        <v>25</v>
      </c>
      <c r="H4185" t="s">
        <v>32</v>
      </c>
      <c r="I4185" t="s">
        <v>36</v>
      </c>
      <c r="J4185" t="s">
        <v>56</v>
      </c>
      <c r="K4185">
        <v>2</v>
      </c>
      <c r="L4185" s="2">
        <v>74.3</v>
      </c>
      <c r="M4185" s="3">
        <v>0.15</v>
      </c>
      <c r="N4185" t="s">
        <v>34</v>
      </c>
      <c r="O4185" s="2">
        <v>126.31</v>
      </c>
      <c r="P4185" s="2">
        <v>72.69</v>
      </c>
      <c r="Q4185" s="2">
        <v>53.62</v>
      </c>
      <c r="R4185">
        <v>1</v>
      </c>
      <c r="S4185">
        <v>0</v>
      </c>
      <c r="T4185">
        <v>3</v>
      </c>
      <c r="U4185">
        <v>4</v>
      </c>
    </row>
    <row r="4186" spans="1:21" ht="16.5" x14ac:dyDescent="0.3">
      <c r="A4186" t="s">
        <v>4274</v>
      </c>
      <c r="B4186" s="1">
        <v>45903</v>
      </c>
      <c r="C4186">
        <v>2025</v>
      </c>
      <c r="D4186" t="s">
        <v>1187</v>
      </c>
      <c r="E4186" t="s">
        <v>1543</v>
      </c>
      <c r="F4186" t="s">
        <v>45</v>
      </c>
      <c r="G4186" t="s">
        <v>51</v>
      </c>
      <c r="H4186" t="s">
        <v>26</v>
      </c>
      <c r="I4186" t="s">
        <v>67</v>
      </c>
      <c r="J4186" t="s">
        <v>93</v>
      </c>
      <c r="K4186">
        <v>1</v>
      </c>
      <c r="L4186" s="2">
        <v>198.42</v>
      </c>
      <c r="M4186" s="3">
        <v>0.1</v>
      </c>
      <c r="N4186" t="s">
        <v>29</v>
      </c>
      <c r="O4186" s="2">
        <v>178.58</v>
      </c>
      <c r="P4186" s="2">
        <v>130.69</v>
      </c>
      <c r="Q4186" s="2">
        <v>47.89</v>
      </c>
      <c r="R4186">
        <v>1</v>
      </c>
      <c r="S4186">
        <v>0</v>
      </c>
      <c r="T4186">
        <v>4</v>
      </c>
      <c r="U4186">
        <v>5</v>
      </c>
    </row>
    <row r="4187" spans="1:21" ht="16.5" x14ac:dyDescent="0.3">
      <c r="A4187" t="s">
        <v>4275</v>
      </c>
      <c r="B4187" s="1">
        <v>45904</v>
      </c>
      <c r="C4187">
        <v>2025</v>
      </c>
      <c r="D4187" t="s">
        <v>1187</v>
      </c>
      <c r="E4187" t="s">
        <v>1543</v>
      </c>
      <c r="F4187" t="s">
        <v>31</v>
      </c>
      <c r="G4187" t="s">
        <v>25</v>
      </c>
      <c r="H4187" t="s">
        <v>26</v>
      </c>
      <c r="I4187" t="s">
        <v>42</v>
      </c>
      <c r="J4187" t="s">
        <v>98</v>
      </c>
      <c r="K4187">
        <v>3</v>
      </c>
      <c r="L4187" s="2">
        <v>117.63</v>
      </c>
      <c r="M4187" s="3">
        <v>0</v>
      </c>
      <c r="N4187" t="s">
        <v>38</v>
      </c>
      <c r="O4187" s="2">
        <v>352.89</v>
      </c>
      <c r="P4187" s="2">
        <v>225.6</v>
      </c>
      <c r="Q4187" s="2">
        <v>127.29</v>
      </c>
      <c r="R4187">
        <v>1</v>
      </c>
      <c r="S4187">
        <v>1</v>
      </c>
      <c r="T4187">
        <v>4</v>
      </c>
      <c r="U4187">
        <v>4</v>
      </c>
    </row>
    <row r="4188" spans="1:21" ht="16.5" x14ac:dyDescent="0.3">
      <c r="A4188" t="s">
        <v>4276</v>
      </c>
      <c r="B4188" s="1">
        <v>45904</v>
      </c>
      <c r="C4188">
        <v>2025</v>
      </c>
      <c r="D4188" t="s">
        <v>1187</v>
      </c>
      <c r="E4188" t="s">
        <v>1543</v>
      </c>
      <c r="F4188" t="s">
        <v>24</v>
      </c>
      <c r="G4188" t="s">
        <v>25</v>
      </c>
      <c r="H4188" t="s">
        <v>26</v>
      </c>
      <c r="I4188" t="s">
        <v>42</v>
      </c>
      <c r="J4188" t="s">
        <v>89</v>
      </c>
      <c r="K4188">
        <v>1</v>
      </c>
      <c r="L4188" s="2">
        <v>68.349999999999994</v>
      </c>
      <c r="M4188" s="3">
        <v>0.1</v>
      </c>
      <c r="N4188" t="s">
        <v>29</v>
      </c>
      <c r="O4188" s="2">
        <v>61.51</v>
      </c>
      <c r="P4188" s="2">
        <v>44.69</v>
      </c>
      <c r="Q4188" s="2">
        <v>16.82</v>
      </c>
      <c r="R4188">
        <v>1</v>
      </c>
      <c r="S4188">
        <v>0</v>
      </c>
      <c r="T4188">
        <v>4</v>
      </c>
      <c r="U4188">
        <v>3</v>
      </c>
    </row>
    <row r="4189" spans="1:21" ht="16.5" x14ac:dyDescent="0.3">
      <c r="A4189" t="s">
        <v>4277</v>
      </c>
      <c r="B4189" s="1">
        <v>45904</v>
      </c>
      <c r="C4189">
        <v>2025</v>
      </c>
      <c r="D4189" t="s">
        <v>1187</v>
      </c>
      <c r="E4189" t="s">
        <v>1543</v>
      </c>
      <c r="F4189" t="s">
        <v>31</v>
      </c>
      <c r="G4189" t="s">
        <v>65</v>
      </c>
      <c r="H4189" t="s">
        <v>26</v>
      </c>
      <c r="I4189" t="s">
        <v>70</v>
      </c>
      <c r="J4189" t="s">
        <v>87</v>
      </c>
      <c r="K4189">
        <v>1</v>
      </c>
      <c r="L4189" s="2">
        <v>490.3</v>
      </c>
      <c r="M4189" s="3">
        <v>0</v>
      </c>
      <c r="N4189" t="s">
        <v>38</v>
      </c>
      <c r="O4189" s="2">
        <v>490.3</v>
      </c>
      <c r="P4189" s="2">
        <v>389.41</v>
      </c>
      <c r="Q4189" s="2">
        <v>100.89</v>
      </c>
      <c r="R4189">
        <v>1</v>
      </c>
      <c r="S4189">
        <v>0</v>
      </c>
      <c r="T4189">
        <v>5</v>
      </c>
      <c r="U4189">
        <v>5</v>
      </c>
    </row>
    <row r="4190" spans="1:21" ht="16.5" x14ac:dyDescent="0.3">
      <c r="A4190" t="s">
        <v>4278</v>
      </c>
      <c r="B4190" s="1">
        <v>45904</v>
      </c>
      <c r="C4190">
        <v>2025</v>
      </c>
      <c r="D4190" t="s">
        <v>1187</v>
      </c>
      <c r="E4190" t="s">
        <v>1543</v>
      </c>
      <c r="F4190" t="s">
        <v>45</v>
      </c>
      <c r="G4190" t="s">
        <v>51</v>
      </c>
      <c r="H4190" t="s">
        <v>32</v>
      </c>
      <c r="I4190" t="s">
        <v>42</v>
      </c>
      <c r="J4190" t="s">
        <v>89</v>
      </c>
      <c r="K4190">
        <v>1</v>
      </c>
      <c r="L4190" s="2">
        <v>68.349999999999994</v>
      </c>
      <c r="M4190" s="3">
        <v>0.15</v>
      </c>
      <c r="N4190" t="s">
        <v>34</v>
      </c>
      <c r="O4190" s="2">
        <v>58.1</v>
      </c>
      <c r="P4190" s="2">
        <v>44.6</v>
      </c>
      <c r="Q4190" s="2">
        <v>13.5</v>
      </c>
      <c r="R4190">
        <v>1</v>
      </c>
      <c r="S4190">
        <v>0</v>
      </c>
      <c r="T4190">
        <v>3</v>
      </c>
      <c r="U4190">
        <v>4</v>
      </c>
    </row>
    <row r="4191" spans="1:21" ht="16.5" x14ac:dyDescent="0.3">
      <c r="A4191" t="s">
        <v>4279</v>
      </c>
      <c r="B4191" s="1">
        <v>45904</v>
      </c>
      <c r="C4191">
        <v>2025</v>
      </c>
      <c r="D4191" t="s">
        <v>1187</v>
      </c>
      <c r="E4191" t="s">
        <v>1543</v>
      </c>
      <c r="F4191" t="s">
        <v>24</v>
      </c>
      <c r="G4191" t="s">
        <v>49</v>
      </c>
      <c r="H4191" t="s">
        <v>32</v>
      </c>
      <c r="I4191" t="s">
        <v>27</v>
      </c>
      <c r="J4191" t="s">
        <v>28</v>
      </c>
      <c r="K4191">
        <v>2</v>
      </c>
      <c r="L4191" s="2">
        <v>138.5</v>
      </c>
      <c r="M4191" s="3">
        <v>0.15</v>
      </c>
      <c r="N4191" t="s">
        <v>34</v>
      </c>
      <c r="O4191" s="2">
        <v>235.45</v>
      </c>
      <c r="P4191" s="2">
        <v>144.77000000000001</v>
      </c>
      <c r="Q4191" s="2">
        <v>90.68</v>
      </c>
      <c r="R4191">
        <v>1</v>
      </c>
      <c r="S4191">
        <v>0</v>
      </c>
      <c r="T4191">
        <v>3</v>
      </c>
      <c r="U4191">
        <v>4</v>
      </c>
    </row>
    <row r="4192" spans="1:21" ht="16.5" x14ac:dyDescent="0.3">
      <c r="A4192" t="s">
        <v>4280</v>
      </c>
      <c r="B4192" s="1">
        <v>45904</v>
      </c>
      <c r="C4192">
        <v>2025</v>
      </c>
      <c r="D4192" t="s">
        <v>1187</v>
      </c>
      <c r="E4192" t="s">
        <v>1543</v>
      </c>
      <c r="F4192" t="s">
        <v>45</v>
      </c>
      <c r="G4192" t="s">
        <v>51</v>
      </c>
      <c r="H4192" t="s">
        <v>26</v>
      </c>
      <c r="I4192" t="s">
        <v>84</v>
      </c>
      <c r="J4192" t="s">
        <v>223</v>
      </c>
      <c r="K4192">
        <v>1</v>
      </c>
      <c r="L4192" s="2">
        <v>16.97</v>
      </c>
      <c r="M4192" s="3">
        <v>0.2</v>
      </c>
      <c r="N4192" t="s">
        <v>34</v>
      </c>
      <c r="O4192" s="2">
        <v>13.58</v>
      </c>
      <c r="P4192" s="2">
        <v>11.96</v>
      </c>
      <c r="Q4192" s="2">
        <v>1.62</v>
      </c>
      <c r="R4192">
        <v>1</v>
      </c>
      <c r="S4192">
        <v>0</v>
      </c>
      <c r="T4192">
        <v>2</v>
      </c>
      <c r="U4192">
        <v>5</v>
      </c>
    </row>
    <row r="4193" spans="1:21" ht="16.5" x14ac:dyDescent="0.3">
      <c r="A4193" t="s">
        <v>4281</v>
      </c>
      <c r="B4193" s="1">
        <v>45904</v>
      </c>
      <c r="C4193">
        <v>2025</v>
      </c>
      <c r="D4193" t="s">
        <v>1187</v>
      </c>
      <c r="E4193" t="s">
        <v>1543</v>
      </c>
      <c r="F4193" t="s">
        <v>24</v>
      </c>
      <c r="G4193" t="s">
        <v>65</v>
      </c>
      <c r="H4193" t="s">
        <v>26</v>
      </c>
      <c r="I4193" t="s">
        <v>27</v>
      </c>
      <c r="J4193" t="s">
        <v>110</v>
      </c>
      <c r="K4193">
        <v>1</v>
      </c>
      <c r="L4193" s="2">
        <v>19.41</v>
      </c>
      <c r="M4193" s="3">
        <v>0.05</v>
      </c>
      <c r="N4193" t="s">
        <v>29</v>
      </c>
      <c r="O4193" s="2">
        <v>18.440000000000001</v>
      </c>
      <c r="P4193" s="2">
        <v>10.23</v>
      </c>
      <c r="Q4193" s="2">
        <v>8.2100000000000009</v>
      </c>
      <c r="R4193">
        <v>1</v>
      </c>
      <c r="S4193">
        <v>0</v>
      </c>
      <c r="T4193">
        <v>6</v>
      </c>
      <c r="U4193">
        <v>4</v>
      </c>
    </row>
    <row r="4194" spans="1:21" ht="16.5" x14ac:dyDescent="0.3">
      <c r="A4194" t="s">
        <v>4282</v>
      </c>
      <c r="B4194" s="1">
        <v>45904</v>
      </c>
      <c r="C4194">
        <v>2025</v>
      </c>
      <c r="D4194" t="s">
        <v>1187</v>
      </c>
      <c r="E4194" t="s">
        <v>1543</v>
      </c>
      <c r="F4194" t="s">
        <v>31</v>
      </c>
      <c r="G4194" t="s">
        <v>25</v>
      </c>
      <c r="H4194" t="s">
        <v>32</v>
      </c>
      <c r="I4194" t="s">
        <v>27</v>
      </c>
      <c r="J4194" t="s">
        <v>28</v>
      </c>
      <c r="K4194">
        <v>1</v>
      </c>
      <c r="L4194" s="2">
        <v>138.5</v>
      </c>
      <c r="M4194" s="3">
        <v>0</v>
      </c>
      <c r="N4194" t="s">
        <v>38</v>
      </c>
      <c r="O4194" s="2">
        <v>138.5</v>
      </c>
      <c r="P4194" s="2">
        <v>76.14</v>
      </c>
      <c r="Q4194" s="2">
        <v>62.36</v>
      </c>
      <c r="R4194">
        <v>1</v>
      </c>
      <c r="S4194">
        <v>1</v>
      </c>
      <c r="T4194">
        <v>3</v>
      </c>
      <c r="U4194">
        <v>4</v>
      </c>
    </row>
    <row r="4195" spans="1:21" ht="16.5" x14ac:dyDescent="0.3">
      <c r="A4195" t="s">
        <v>4283</v>
      </c>
      <c r="B4195" s="1">
        <v>45905</v>
      </c>
      <c r="C4195">
        <v>2025</v>
      </c>
      <c r="D4195" t="s">
        <v>1187</v>
      </c>
      <c r="E4195" t="s">
        <v>1543</v>
      </c>
      <c r="F4195" t="s">
        <v>24</v>
      </c>
      <c r="G4195" t="s">
        <v>51</v>
      </c>
      <c r="H4195" t="s">
        <v>26</v>
      </c>
      <c r="I4195" t="s">
        <v>67</v>
      </c>
      <c r="J4195" t="s">
        <v>93</v>
      </c>
      <c r="K4195">
        <v>1</v>
      </c>
      <c r="L4195" s="2">
        <v>198.42</v>
      </c>
      <c r="M4195" s="3">
        <v>0.1</v>
      </c>
      <c r="N4195" t="s">
        <v>29</v>
      </c>
      <c r="O4195" s="2">
        <v>178.58</v>
      </c>
      <c r="P4195" s="2">
        <v>134.13999999999999</v>
      </c>
      <c r="Q4195" s="2">
        <v>44.44</v>
      </c>
      <c r="R4195">
        <v>1</v>
      </c>
      <c r="S4195">
        <v>0</v>
      </c>
      <c r="T4195">
        <v>4</v>
      </c>
      <c r="U4195">
        <v>4</v>
      </c>
    </row>
    <row r="4196" spans="1:21" ht="16.5" x14ac:dyDescent="0.3">
      <c r="A4196" t="s">
        <v>4284</v>
      </c>
      <c r="B4196" s="1">
        <v>45905</v>
      </c>
      <c r="C4196">
        <v>2025</v>
      </c>
      <c r="D4196" t="s">
        <v>1187</v>
      </c>
      <c r="E4196" t="s">
        <v>1543</v>
      </c>
      <c r="F4196" t="s">
        <v>31</v>
      </c>
      <c r="G4196" t="s">
        <v>51</v>
      </c>
      <c r="H4196" t="s">
        <v>26</v>
      </c>
      <c r="I4196" t="s">
        <v>84</v>
      </c>
      <c r="J4196" t="s">
        <v>132</v>
      </c>
      <c r="K4196">
        <v>3</v>
      </c>
      <c r="L4196" s="2">
        <v>48.86</v>
      </c>
      <c r="M4196" s="3">
        <v>0.05</v>
      </c>
      <c r="N4196" t="s">
        <v>29</v>
      </c>
      <c r="O4196" s="2">
        <v>139.25</v>
      </c>
      <c r="P4196" s="2">
        <v>104.9</v>
      </c>
      <c r="Q4196" s="2">
        <v>34.35</v>
      </c>
      <c r="R4196">
        <v>1</v>
      </c>
      <c r="S4196">
        <v>0</v>
      </c>
      <c r="T4196">
        <v>2</v>
      </c>
      <c r="U4196">
        <v>5</v>
      </c>
    </row>
    <row r="4197" spans="1:21" ht="16.5" x14ac:dyDescent="0.3">
      <c r="A4197" t="s">
        <v>4285</v>
      </c>
      <c r="B4197" s="1">
        <v>45905</v>
      </c>
      <c r="C4197">
        <v>2025</v>
      </c>
      <c r="D4197" t="s">
        <v>1187</v>
      </c>
      <c r="E4197" t="s">
        <v>1543</v>
      </c>
      <c r="F4197" t="s">
        <v>31</v>
      </c>
      <c r="G4197" t="s">
        <v>46</v>
      </c>
      <c r="H4197" t="s">
        <v>32</v>
      </c>
      <c r="I4197" t="s">
        <v>36</v>
      </c>
      <c r="J4197" t="s">
        <v>37</v>
      </c>
      <c r="K4197">
        <v>1</v>
      </c>
      <c r="L4197" s="2">
        <v>33.18</v>
      </c>
      <c r="M4197" s="3">
        <v>0.15</v>
      </c>
      <c r="N4197" t="s">
        <v>34</v>
      </c>
      <c r="O4197" s="2">
        <v>28.2</v>
      </c>
      <c r="P4197" s="2">
        <v>15.95</v>
      </c>
      <c r="Q4197" s="2">
        <v>12.25</v>
      </c>
      <c r="R4197">
        <v>1</v>
      </c>
      <c r="S4197">
        <v>0</v>
      </c>
      <c r="T4197">
        <v>6</v>
      </c>
      <c r="U4197">
        <v>4</v>
      </c>
    </row>
    <row r="4198" spans="1:21" ht="16.5" x14ac:dyDescent="0.3">
      <c r="A4198" t="s">
        <v>4286</v>
      </c>
      <c r="B4198" s="1">
        <v>45905</v>
      </c>
      <c r="C4198">
        <v>2025</v>
      </c>
      <c r="D4198" t="s">
        <v>1187</v>
      </c>
      <c r="E4198" t="s">
        <v>1543</v>
      </c>
      <c r="F4198" t="s">
        <v>24</v>
      </c>
      <c r="G4198" t="s">
        <v>25</v>
      </c>
      <c r="H4198" t="s">
        <v>32</v>
      </c>
      <c r="I4198" t="s">
        <v>42</v>
      </c>
      <c r="J4198" t="s">
        <v>43</v>
      </c>
      <c r="K4198">
        <v>1</v>
      </c>
      <c r="L4198" s="2">
        <v>154.66</v>
      </c>
      <c r="M4198" s="3">
        <v>0.1</v>
      </c>
      <c r="N4198" t="s">
        <v>29</v>
      </c>
      <c r="O4198" s="2">
        <v>139.19</v>
      </c>
      <c r="P4198" s="2">
        <v>96.12</v>
      </c>
      <c r="Q4198" s="2">
        <v>43.07</v>
      </c>
      <c r="R4198">
        <v>1</v>
      </c>
      <c r="S4198">
        <v>0</v>
      </c>
      <c r="T4198">
        <v>4</v>
      </c>
      <c r="U4198">
        <v>4</v>
      </c>
    </row>
    <row r="4199" spans="1:21" ht="16.5" x14ac:dyDescent="0.3">
      <c r="A4199" t="s">
        <v>4287</v>
      </c>
      <c r="B4199" s="1">
        <v>45905</v>
      </c>
      <c r="C4199">
        <v>2025</v>
      </c>
      <c r="D4199" t="s">
        <v>1187</v>
      </c>
      <c r="E4199" t="s">
        <v>1543</v>
      </c>
      <c r="F4199" t="s">
        <v>45</v>
      </c>
      <c r="G4199" t="s">
        <v>51</v>
      </c>
      <c r="H4199" t="s">
        <v>32</v>
      </c>
      <c r="I4199" t="s">
        <v>42</v>
      </c>
      <c r="J4199" t="s">
        <v>98</v>
      </c>
      <c r="K4199">
        <v>2</v>
      </c>
      <c r="L4199" s="2">
        <v>117.63</v>
      </c>
      <c r="M4199" s="3">
        <v>0</v>
      </c>
      <c r="N4199" t="s">
        <v>38</v>
      </c>
      <c r="O4199" s="2">
        <v>235.26</v>
      </c>
      <c r="P4199" s="2">
        <v>147.30000000000001</v>
      </c>
      <c r="Q4199" s="2">
        <v>87.96</v>
      </c>
      <c r="R4199">
        <v>1</v>
      </c>
      <c r="S4199">
        <v>0</v>
      </c>
      <c r="T4199">
        <v>3</v>
      </c>
      <c r="U4199">
        <v>5</v>
      </c>
    </row>
    <row r="4200" spans="1:21" ht="16.5" x14ac:dyDescent="0.3">
      <c r="A4200" t="s">
        <v>4288</v>
      </c>
      <c r="B4200" s="1">
        <v>45905</v>
      </c>
      <c r="C4200">
        <v>2025</v>
      </c>
      <c r="D4200" t="s">
        <v>1187</v>
      </c>
      <c r="E4200" t="s">
        <v>1543</v>
      </c>
      <c r="F4200" t="s">
        <v>31</v>
      </c>
      <c r="G4200" t="s">
        <v>25</v>
      </c>
      <c r="H4200" t="s">
        <v>26</v>
      </c>
      <c r="I4200" t="s">
        <v>36</v>
      </c>
      <c r="J4200" t="s">
        <v>126</v>
      </c>
      <c r="K4200">
        <v>1</v>
      </c>
      <c r="L4200" s="2">
        <v>54.56</v>
      </c>
      <c r="M4200" s="3">
        <v>0.15</v>
      </c>
      <c r="N4200" t="s">
        <v>34</v>
      </c>
      <c r="O4200" s="2">
        <v>46.38</v>
      </c>
      <c r="P4200" s="2">
        <v>24.8</v>
      </c>
      <c r="Q4200" s="2">
        <v>21.58</v>
      </c>
      <c r="R4200">
        <v>1</v>
      </c>
      <c r="S4200">
        <v>0</v>
      </c>
      <c r="T4200">
        <v>4</v>
      </c>
      <c r="U4200">
        <v>4</v>
      </c>
    </row>
    <row r="4201" spans="1:21" ht="16.5" x14ac:dyDescent="0.3">
      <c r="A4201" t="s">
        <v>4289</v>
      </c>
      <c r="B4201" s="1">
        <v>45905</v>
      </c>
      <c r="C4201">
        <v>2025</v>
      </c>
      <c r="D4201" t="s">
        <v>1187</v>
      </c>
      <c r="E4201" t="s">
        <v>1543</v>
      </c>
      <c r="F4201" t="s">
        <v>45</v>
      </c>
      <c r="G4201" t="s">
        <v>49</v>
      </c>
      <c r="H4201" t="s">
        <v>26</v>
      </c>
      <c r="I4201" t="s">
        <v>27</v>
      </c>
      <c r="J4201" t="s">
        <v>40</v>
      </c>
      <c r="K4201">
        <v>1</v>
      </c>
      <c r="L4201" s="2">
        <v>104.94</v>
      </c>
      <c r="M4201" s="3">
        <v>0.05</v>
      </c>
      <c r="N4201" t="s">
        <v>29</v>
      </c>
      <c r="O4201" s="2">
        <v>99.69</v>
      </c>
      <c r="P4201" s="2">
        <v>58.62</v>
      </c>
      <c r="Q4201" s="2">
        <v>41.07</v>
      </c>
      <c r="R4201">
        <v>1</v>
      </c>
      <c r="S4201">
        <v>1</v>
      </c>
      <c r="T4201">
        <v>4</v>
      </c>
      <c r="U4201">
        <v>3</v>
      </c>
    </row>
    <row r="4202" spans="1:21" ht="16.5" x14ac:dyDescent="0.3">
      <c r="A4202" t="s">
        <v>4290</v>
      </c>
      <c r="B4202" s="1">
        <v>45905</v>
      </c>
      <c r="C4202">
        <v>2025</v>
      </c>
      <c r="D4202" t="s">
        <v>1187</v>
      </c>
      <c r="E4202" t="s">
        <v>1543</v>
      </c>
      <c r="F4202" t="s">
        <v>45</v>
      </c>
      <c r="G4202" t="s">
        <v>65</v>
      </c>
      <c r="H4202" t="s">
        <v>26</v>
      </c>
      <c r="I4202" t="s">
        <v>27</v>
      </c>
      <c r="J4202" t="s">
        <v>33</v>
      </c>
      <c r="K4202">
        <v>3</v>
      </c>
      <c r="L4202" s="2">
        <v>78.510000000000005</v>
      </c>
      <c r="M4202" s="3">
        <v>0.2</v>
      </c>
      <c r="N4202" t="s">
        <v>34</v>
      </c>
      <c r="O4202" s="2">
        <v>188.42</v>
      </c>
      <c r="P4202" s="2">
        <v>119.01</v>
      </c>
      <c r="Q4202" s="2">
        <v>69.41</v>
      </c>
      <c r="R4202">
        <v>1</v>
      </c>
      <c r="S4202">
        <v>0</v>
      </c>
      <c r="T4202">
        <v>6</v>
      </c>
      <c r="U4202">
        <v>4</v>
      </c>
    </row>
    <row r="4203" spans="1:21" ht="16.5" x14ac:dyDescent="0.3">
      <c r="A4203" t="s">
        <v>4291</v>
      </c>
      <c r="B4203" s="1">
        <v>45905</v>
      </c>
      <c r="C4203">
        <v>2025</v>
      </c>
      <c r="D4203" t="s">
        <v>1187</v>
      </c>
      <c r="E4203" t="s">
        <v>1543</v>
      </c>
      <c r="F4203" t="s">
        <v>31</v>
      </c>
      <c r="G4203" t="s">
        <v>46</v>
      </c>
      <c r="H4203" t="s">
        <v>26</v>
      </c>
      <c r="I4203" t="s">
        <v>36</v>
      </c>
      <c r="J4203" t="s">
        <v>126</v>
      </c>
      <c r="K4203">
        <v>2</v>
      </c>
      <c r="L4203" s="2">
        <v>54.56</v>
      </c>
      <c r="M4203" s="3">
        <v>0.05</v>
      </c>
      <c r="N4203" t="s">
        <v>29</v>
      </c>
      <c r="O4203" s="2">
        <v>103.66</v>
      </c>
      <c r="P4203" s="2">
        <v>54.46</v>
      </c>
      <c r="Q4203" s="2">
        <v>49.2</v>
      </c>
      <c r="R4203">
        <v>1</v>
      </c>
      <c r="S4203">
        <v>0</v>
      </c>
      <c r="T4203">
        <v>5</v>
      </c>
      <c r="U4203">
        <v>5</v>
      </c>
    </row>
    <row r="4204" spans="1:21" ht="16.5" x14ac:dyDescent="0.3">
      <c r="A4204" t="s">
        <v>4292</v>
      </c>
      <c r="B4204" s="1">
        <v>45906</v>
      </c>
      <c r="C4204">
        <v>2025</v>
      </c>
      <c r="D4204" t="s">
        <v>1187</v>
      </c>
      <c r="E4204" t="s">
        <v>1543</v>
      </c>
      <c r="F4204" t="s">
        <v>31</v>
      </c>
      <c r="G4204" t="s">
        <v>49</v>
      </c>
      <c r="H4204" t="s">
        <v>32</v>
      </c>
      <c r="I4204" t="s">
        <v>70</v>
      </c>
      <c r="J4204" t="s">
        <v>82</v>
      </c>
      <c r="K4204">
        <v>2</v>
      </c>
      <c r="L4204" s="2">
        <v>508.8</v>
      </c>
      <c r="M4204" s="3">
        <v>0.25</v>
      </c>
      <c r="N4204" t="s">
        <v>62</v>
      </c>
      <c r="O4204" s="2">
        <v>763.2</v>
      </c>
      <c r="P4204" s="2">
        <v>796.47</v>
      </c>
      <c r="Q4204" s="2">
        <v>-33.270000000000003</v>
      </c>
      <c r="R4204">
        <v>1</v>
      </c>
      <c r="S4204">
        <v>0</v>
      </c>
      <c r="T4204">
        <v>3</v>
      </c>
      <c r="U4204">
        <v>5</v>
      </c>
    </row>
    <row r="4205" spans="1:21" ht="16.5" x14ac:dyDescent="0.3">
      <c r="A4205" t="s">
        <v>4293</v>
      </c>
      <c r="B4205" s="1">
        <v>45906</v>
      </c>
      <c r="C4205">
        <v>2025</v>
      </c>
      <c r="D4205" t="s">
        <v>1187</v>
      </c>
      <c r="E4205" t="s">
        <v>1543</v>
      </c>
      <c r="F4205" t="s">
        <v>31</v>
      </c>
      <c r="G4205" t="s">
        <v>51</v>
      </c>
      <c r="H4205" t="s">
        <v>32</v>
      </c>
      <c r="I4205" t="s">
        <v>27</v>
      </c>
      <c r="J4205" t="s">
        <v>33</v>
      </c>
      <c r="K4205">
        <v>1</v>
      </c>
      <c r="L4205" s="2">
        <v>78.510000000000005</v>
      </c>
      <c r="M4205" s="3">
        <v>0</v>
      </c>
      <c r="N4205" t="s">
        <v>38</v>
      </c>
      <c r="O4205" s="2">
        <v>78.510000000000005</v>
      </c>
      <c r="P4205" s="2">
        <v>41.94</v>
      </c>
      <c r="Q4205" s="2">
        <v>36.57</v>
      </c>
      <c r="R4205">
        <v>1</v>
      </c>
      <c r="S4205">
        <v>0</v>
      </c>
      <c r="T4205">
        <v>4</v>
      </c>
      <c r="U4205">
        <v>4</v>
      </c>
    </row>
    <row r="4206" spans="1:21" ht="16.5" x14ac:dyDescent="0.3">
      <c r="A4206" t="s">
        <v>4294</v>
      </c>
      <c r="B4206" s="1">
        <v>45906</v>
      </c>
      <c r="C4206">
        <v>2025</v>
      </c>
      <c r="D4206" t="s">
        <v>1187</v>
      </c>
      <c r="E4206" t="s">
        <v>1543</v>
      </c>
      <c r="F4206" t="s">
        <v>24</v>
      </c>
      <c r="G4206" t="s">
        <v>25</v>
      </c>
      <c r="H4206" t="s">
        <v>26</v>
      </c>
      <c r="I4206" t="s">
        <v>42</v>
      </c>
      <c r="J4206" t="s">
        <v>58</v>
      </c>
      <c r="K4206">
        <v>1</v>
      </c>
      <c r="L4206" s="2">
        <v>233.81</v>
      </c>
      <c r="M4206" s="3">
        <v>0.25</v>
      </c>
      <c r="N4206" t="s">
        <v>62</v>
      </c>
      <c r="O4206" s="2">
        <v>175.36</v>
      </c>
      <c r="P4206" s="2">
        <v>155.07</v>
      </c>
      <c r="Q4206" s="2">
        <v>20.29</v>
      </c>
      <c r="R4206">
        <v>1</v>
      </c>
      <c r="S4206">
        <v>1</v>
      </c>
      <c r="T4206">
        <v>5</v>
      </c>
      <c r="U4206">
        <v>3</v>
      </c>
    </row>
    <row r="4207" spans="1:21" ht="16.5" x14ac:dyDescent="0.3">
      <c r="A4207" t="s">
        <v>4295</v>
      </c>
      <c r="B4207" s="1">
        <v>45906</v>
      </c>
      <c r="C4207">
        <v>2025</v>
      </c>
      <c r="D4207" t="s">
        <v>1187</v>
      </c>
      <c r="E4207" t="s">
        <v>1543</v>
      </c>
      <c r="F4207" t="s">
        <v>31</v>
      </c>
      <c r="G4207" t="s">
        <v>51</v>
      </c>
      <c r="H4207" t="s">
        <v>26</v>
      </c>
      <c r="I4207" t="s">
        <v>67</v>
      </c>
      <c r="J4207" t="s">
        <v>103</v>
      </c>
      <c r="K4207">
        <v>1</v>
      </c>
      <c r="L4207" s="2">
        <v>83.06</v>
      </c>
      <c r="M4207" s="3">
        <v>0.2</v>
      </c>
      <c r="N4207" t="s">
        <v>34</v>
      </c>
      <c r="O4207" s="2">
        <v>66.45</v>
      </c>
      <c r="P4207" s="2">
        <v>55.39</v>
      </c>
      <c r="Q4207" s="2">
        <v>11.06</v>
      </c>
      <c r="R4207">
        <v>1</v>
      </c>
      <c r="S4207">
        <v>0</v>
      </c>
      <c r="T4207">
        <v>3</v>
      </c>
      <c r="U4207">
        <v>5</v>
      </c>
    </row>
    <row r="4208" spans="1:21" ht="16.5" x14ac:dyDescent="0.3">
      <c r="A4208" t="s">
        <v>4296</v>
      </c>
      <c r="B4208" s="1">
        <v>45906</v>
      </c>
      <c r="C4208">
        <v>2025</v>
      </c>
      <c r="D4208" t="s">
        <v>1187</v>
      </c>
      <c r="E4208" t="s">
        <v>1543</v>
      </c>
      <c r="F4208" t="s">
        <v>45</v>
      </c>
      <c r="G4208" t="s">
        <v>65</v>
      </c>
      <c r="H4208" t="s">
        <v>32</v>
      </c>
      <c r="I4208" t="s">
        <v>70</v>
      </c>
      <c r="J4208" t="s">
        <v>129</v>
      </c>
      <c r="K4208">
        <v>1</v>
      </c>
      <c r="L4208" s="2">
        <v>177.65</v>
      </c>
      <c r="M4208" s="3">
        <v>0</v>
      </c>
      <c r="N4208" t="s">
        <v>38</v>
      </c>
      <c r="O4208" s="2">
        <v>177.65</v>
      </c>
      <c r="P4208" s="2">
        <v>143.32</v>
      </c>
      <c r="Q4208" s="2">
        <v>34.33</v>
      </c>
      <c r="R4208">
        <v>1</v>
      </c>
      <c r="S4208">
        <v>0</v>
      </c>
      <c r="T4208">
        <v>6</v>
      </c>
      <c r="U4208">
        <v>4</v>
      </c>
    </row>
    <row r="4209" spans="1:21" ht="16.5" x14ac:dyDescent="0.3">
      <c r="A4209" t="s">
        <v>4297</v>
      </c>
      <c r="B4209" s="1">
        <v>45906</v>
      </c>
      <c r="C4209">
        <v>2025</v>
      </c>
      <c r="D4209" t="s">
        <v>1187</v>
      </c>
      <c r="E4209" t="s">
        <v>1543</v>
      </c>
      <c r="F4209" t="s">
        <v>24</v>
      </c>
      <c r="G4209" t="s">
        <v>51</v>
      </c>
      <c r="H4209" t="s">
        <v>26</v>
      </c>
      <c r="I4209" t="s">
        <v>70</v>
      </c>
      <c r="J4209" t="s">
        <v>162</v>
      </c>
      <c r="K4209">
        <v>1</v>
      </c>
      <c r="L4209" s="2">
        <v>636.09</v>
      </c>
      <c r="M4209" s="3">
        <v>0.1</v>
      </c>
      <c r="N4209" t="s">
        <v>29</v>
      </c>
      <c r="O4209" s="2">
        <v>572.48</v>
      </c>
      <c r="P4209" s="2">
        <v>483.74</v>
      </c>
      <c r="Q4209" s="2">
        <v>88.74</v>
      </c>
      <c r="R4209">
        <v>1</v>
      </c>
      <c r="S4209">
        <v>0</v>
      </c>
      <c r="T4209">
        <v>2</v>
      </c>
      <c r="U4209">
        <v>4</v>
      </c>
    </row>
    <row r="4210" spans="1:21" ht="16.5" x14ac:dyDescent="0.3">
      <c r="A4210" t="s">
        <v>4298</v>
      </c>
      <c r="B4210" s="1">
        <v>45906</v>
      </c>
      <c r="C4210">
        <v>2025</v>
      </c>
      <c r="D4210" t="s">
        <v>1187</v>
      </c>
      <c r="E4210" t="s">
        <v>1543</v>
      </c>
      <c r="F4210" t="s">
        <v>24</v>
      </c>
      <c r="G4210" t="s">
        <v>51</v>
      </c>
      <c r="H4210" t="s">
        <v>26</v>
      </c>
      <c r="I4210" t="s">
        <v>27</v>
      </c>
      <c r="J4210" t="s">
        <v>28</v>
      </c>
      <c r="K4210">
        <v>1</v>
      </c>
      <c r="L4210" s="2">
        <v>138.5</v>
      </c>
      <c r="M4210" s="3">
        <v>0.05</v>
      </c>
      <c r="N4210" t="s">
        <v>29</v>
      </c>
      <c r="O4210" s="2">
        <v>131.57</v>
      </c>
      <c r="P4210" s="2">
        <v>75.81</v>
      </c>
      <c r="Q4210" s="2">
        <v>55.76</v>
      </c>
      <c r="R4210">
        <v>1</v>
      </c>
      <c r="S4210">
        <v>0</v>
      </c>
      <c r="T4210">
        <v>2</v>
      </c>
      <c r="U4210">
        <v>5</v>
      </c>
    </row>
    <row r="4211" spans="1:21" ht="16.5" x14ac:dyDescent="0.3">
      <c r="A4211" t="s">
        <v>4299</v>
      </c>
      <c r="B4211" s="1">
        <v>45906</v>
      </c>
      <c r="C4211">
        <v>2025</v>
      </c>
      <c r="D4211" t="s">
        <v>1187</v>
      </c>
      <c r="E4211" t="s">
        <v>1543</v>
      </c>
      <c r="F4211" t="s">
        <v>24</v>
      </c>
      <c r="G4211" t="s">
        <v>51</v>
      </c>
      <c r="H4211" t="s">
        <v>32</v>
      </c>
      <c r="I4211" t="s">
        <v>36</v>
      </c>
      <c r="J4211" t="s">
        <v>115</v>
      </c>
      <c r="K4211">
        <v>1</v>
      </c>
      <c r="L4211" s="2">
        <v>33.479999999999997</v>
      </c>
      <c r="M4211" s="3">
        <v>0.2</v>
      </c>
      <c r="N4211" t="s">
        <v>34</v>
      </c>
      <c r="O4211" s="2">
        <v>26.78</v>
      </c>
      <c r="P4211" s="2">
        <v>16.12</v>
      </c>
      <c r="Q4211" s="2">
        <v>10.66</v>
      </c>
      <c r="R4211">
        <v>1</v>
      </c>
      <c r="S4211">
        <v>0</v>
      </c>
      <c r="T4211">
        <v>4</v>
      </c>
      <c r="U4211">
        <v>3</v>
      </c>
    </row>
    <row r="4212" spans="1:21" ht="16.5" x14ac:dyDescent="0.3">
      <c r="A4212" t="s">
        <v>4300</v>
      </c>
      <c r="B4212" s="1">
        <v>45906</v>
      </c>
      <c r="C4212">
        <v>2025</v>
      </c>
      <c r="D4212" t="s">
        <v>1187</v>
      </c>
      <c r="E4212" t="s">
        <v>1543</v>
      </c>
      <c r="F4212" t="s">
        <v>24</v>
      </c>
      <c r="G4212" t="s">
        <v>49</v>
      </c>
      <c r="H4212" t="s">
        <v>26</v>
      </c>
      <c r="I4212" t="s">
        <v>27</v>
      </c>
      <c r="J4212" t="s">
        <v>33</v>
      </c>
      <c r="K4212">
        <v>1</v>
      </c>
      <c r="L4212" s="2">
        <v>78.510000000000005</v>
      </c>
      <c r="M4212" s="3">
        <v>0</v>
      </c>
      <c r="N4212" t="s">
        <v>38</v>
      </c>
      <c r="O4212" s="2">
        <v>78.510000000000005</v>
      </c>
      <c r="P4212" s="2">
        <v>42.73</v>
      </c>
      <c r="Q4212" s="2">
        <v>35.78</v>
      </c>
      <c r="R4212">
        <v>1</v>
      </c>
      <c r="S4212">
        <v>0</v>
      </c>
      <c r="T4212">
        <v>3</v>
      </c>
      <c r="U4212">
        <v>4</v>
      </c>
    </row>
    <row r="4213" spans="1:21" ht="16.5" x14ac:dyDescent="0.3">
      <c r="A4213" t="s">
        <v>4301</v>
      </c>
      <c r="B4213" s="1">
        <v>45907</v>
      </c>
      <c r="C4213">
        <v>2025</v>
      </c>
      <c r="D4213" t="s">
        <v>1187</v>
      </c>
      <c r="E4213" t="s">
        <v>1543</v>
      </c>
      <c r="F4213" t="s">
        <v>45</v>
      </c>
      <c r="G4213" t="s">
        <v>25</v>
      </c>
      <c r="H4213" t="s">
        <v>26</v>
      </c>
      <c r="I4213" t="s">
        <v>84</v>
      </c>
      <c r="J4213" t="s">
        <v>132</v>
      </c>
      <c r="K4213">
        <v>2</v>
      </c>
      <c r="L4213" s="2">
        <v>48.86</v>
      </c>
      <c r="M4213" s="3">
        <v>0</v>
      </c>
      <c r="N4213" t="s">
        <v>38</v>
      </c>
      <c r="O4213" s="2">
        <v>97.72</v>
      </c>
      <c r="P4213" s="2">
        <v>69.510000000000005</v>
      </c>
      <c r="Q4213" s="2">
        <v>28.21</v>
      </c>
      <c r="R4213">
        <v>1</v>
      </c>
      <c r="S4213">
        <v>0</v>
      </c>
      <c r="T4213">
        <v>6</v>
      </c>
      <c r="U4213">
        <v>3</v>
      </c>
    </row>
    <row r="4214" spans="1:21" ht="16.5" x14ac:dyDescent="0.3">
      <c r="A4214" t="s">
        <v>4302</v>
      </c>
      <c r="B4214" s="1">
        <v>45907</v>
      </c>
      <c r="C4214">
        <v>2025</v>
      </c>
      <c r="D4214" t="s">
        <v>1187</v>
      </c>
      <c r="E4214" t="s">
        <v>1543</v>
      </c>
      <c r="F4214" t="s">
        <v>31</v>
      </c>
      <c r="G4214" t="s">
        <v>25</v>
      </c>
      <c r="H4214" t="s">
        <v>32</v>
      </c>
      <c r="I4214" t="s">
        <v>36</v>
      </c>
      <c r="J4214" t="s">
        <v>115</v>
      </c>
      <c r="K4214">
        <v>1</v>
      </c>
      <c r="L4214" s="2">
        <v>33.479999999999997</v>
      </c>
      <c r="M4214" s="3">
        <v>0.1</v>
      </c>
      <c r="N4214" t="s">
        <v>29</v>
      </c>
      <c r="O4214" s="2">
        <v>30.13</v>
      </c>
      <c r="P4214" s="2">
        <v>16.04</v>
      </c>
      <c r="Q4214" s="2">
        <v>14.09</v>
      </c>
      <c r="R4214">
        <v>1</v>
      </c>
      <c r="S4214">
        <v>0</v>
      </c>
      <c r="T4214">
        <v>3</v>
      </c>
      <c r="U4214">
        <v>4</v>
      </c>
    </row>
    <row r="4215" spans="1:21" ht="16.5" x14ac:dyDescent="0.3">
      <c r="A4215" t="s">
        <v>4303</v>
      </c>
      <c r="B4215" s="1">
        <v>45907</v>
      </c>
      <c r="C4215">
        <v>2025</v>
      </c>
      <c r="D4215" t="s">
        <v>1187</v>
      </c>
      <c r="E4215" t="s">
        <v>1543</v>
      </c>
      <c r="F4215" t="s">
        <v>24</v>
      </c>
      <c r="G4215" t="s">
        <v>25</v>
      </c>
      <c r="H4215" t="s">
        <v>32</v>
      </c>
      <c r="I4215" t="s">
        <v>36</v>
      </c>
      <c r="J4215" t="s">
        <v>126</v>
      </c>
      <c r="K4215">
        <v>1</v>
      </c>
      <c r="L4215" s="2">
        <v>54.56</v>
      </c>
      <c r="M4215" s="3">
        <v>0</v>
      </c>
      <c r="N4215" t="s">
        <v>38</v>
      </c>
      <c r="O4215" s="2">
        <v>54.56</v>
      </c>
      <c r="P4215" s="2">
        <v>26.92</v>
      </c>
      <c r="Q4215" s="2">
        <v>27.64</v>
      </c>
      <c r="R4215">
        <v>1</v>
      </c>
      <c r="S4215">
        <v>0</v>
      </c>
      <c r="T4215">
        <v>4</v>
      </c>
      <c r="U4215">
        <v>4</v>
      </c>
    </row>
    <row r="4216" spans="1:21" ht="16.5" x14ac:dyDescent="0.3">
      <c r="A4216" t="s">
        <v>4304</v>
      </c>
      <c r="B4216" s="1">
        <v>45907</v>
      </c>
      <c r="C4216">
        <v>2025</v>
      </c>
      <c r="D4216" t="s">
        <v>1187</v>
      </c>
      <c r="E4216" t="s">
        <v>1543</v>
      </c>
      <c r="F4216" t="s">
        <v>24</v>
      </c>
      <c r="G4216" t="s">
        <v>25</v>
      </c>
      <c r="H4216" t="s">
        <v>32</v>
      </c>
      <c r="I4216" t="s">
        <v>27</v>
      </c>
      <c r="J4216" t="s">
        <v>28</v>
      </c>
      <c r="K4216">
        <v>1</v>
      </c>
      <c r="L4216" s="2">
        <v>138.5</v>
      </c>
      <c r="M4216" s="3">
        <v>0</v>
      </c>
      <c r="N4216" t="s">
        <v>38</v>
      </c>
      <c r="O4216" s="2">
        <v>138.5</v>
      </c>
      <c r="P4216" s="2">
        <v>74.709999999999994</v>
      </c>
      <c r="Q4216" s="2">
        <v>63.79</v>
      </c>
      <c r="R4216">
        <v>1</v>
      </c>
      <c r="S4216">
        <v>0</v>
      </c>
      <c r="T4216">
        <v>4</v>
      </c>
      <c r="U4216">
        <v>5</v>
      </c>
    </row>
    <row r="4217" spans="1:21" ht="16.5" x14ac:dyDescent="0.3">
      <c r="A4217" t="s">
        <v>4305</v>
      </c>
      <c r="B4217" s="1">
        <v>45907</v>
      </c>
      <c r="C4217">
        <v>2025</v>
      </c>
      <c r="D4217" t="s">
        <v>1187</v>
      </c>
      <c r="E4217" t="s">
        <v>1543</v>
      </c>
      <c r="F4217" t="s">
        <v>45</v>
      </c>
      <c r="G4217" t="s">
        <v>51</v>
      </c>
      <c r="H4217" t="s">
        <v>32</v>
      </c>
      <c r="I4217" t="s">
        <v>70</v>
      </c>
      <c r="J4217" t="s">
        <v>71</v>
      </c>
      <c r="K4217">
        <v>1</v>
      </c>
      <c r="L4217" s="2">
        <v>588.41</v>
      </c>
      <c r="M4217" s="3">
        <v>0.05</v>
      </c>
      <c r="N4217" t="s">
        <v>29</v>
      </c>
      <c r="O4217" s="2">
        <v>558.99</v>
      </c>
      <c r="P4217" s="2">
        <v>478.17</v>
      </c>
      <c r="Q4217" s="2">
        <v>80.819999999999993</v>
      </c>
      <c r="R4217">
        <v>1</v>
      </c>
      <c r="S4217">
        <v>0</v>
      </c>
      <c r="T4217">
        <v>3</v>
      </c>
      <c r="U4217">
        <v>4</v>
      </c>
    </row>
    <row r="4218" spans="1:21" ht="16.5" x14ac:dyDescent="0.3">
      <c r="A4218" t="s">
        <v>4306</v>
      </c>
      <c r="B4218" s="1">
        <v>45907</v>
      </c>
      <c r="C4218">
        <v>2025</v>
      </c>
      <c r="D4218" t="s">
        <v>1187</v>
      </c>
      <c r="E4218" t="s">
        <v>1543</v>
      </c>
      <c r="F4218" t="s">
        <v>31</v>
      </c>
      <c r="G4218" t="s">
        <v>25</v>
      </c>
      <c r="H4218" t="s">
        <v>32</v>
      </c>
      <c r="I4218" t="s">
        <v>70</v>
      </c>
      <c r="J4218" t="s">
        <v>162</v>
      </c>
      <c r="K4218">
        <v>2</v>
      </c>
      <c r="L4218" s="2">
        <v>636.09</v>
      </c>
      <c r="M4218" s="3">
        <v>0</v>
      </c>
      <c r="N4218" t="s">
        <v>38</v>
      </c>
      <c r="O4218" s="2">
        <v>1272.18</v>
      </c>
      <c r="P4218" s="2">
        <v>1051.8399999999999</v>
      </c>
      <c r="Q4218" s="2">
        <v>220.34</v>
      </c>
      <c r="R4218">
        <v>1</v>
      </c>
      <c r="S4218">
        <v>0</v>
      </c>
      <c r="T4218">
        <v>4</v>
      </c>
      <c r="U4218">
        <v>4</v>
      </c>
    </row>
    <row r="4219" spans="1:21" ht="16.5" x14ac:dyDescent="0.3">
      <c r="A4219" t="s">
        <v>4307</v>
      </c>
      <c r="B4219" s="1">
        <v>45907</v>
      </c>
      <c r="C4219">
        <v>2025</v>
      </c>
      <c r="D4219" t="s">
        <v>1187</v>
      </c>
      <c r="E4219" t="s">
        <v>1543</v>
      </c>
      <c r="F4219" t="s">
        <v>31</v>
      </c>
      <c r="G4219" t="s">
        <v>65</v>
      </c>
      <c r="H4219" t="s">
        <v>32</v>
      </c>
      <c r="I4219" t="s">
        <v>42</v>
      </c>
      <c r="J4219" t="s">
        <v>54</v>
      </c>
      <c r="K4219">
        <v>1</v>
      </c>
      <c r="L4219" s="2">
        <v>148.05000000000001</v>
      </c>
      <c r="M4219" s="3">
        <v>0.15</v>
      </c>
      <c r="N4219" t="s">
        <v>34</v>
      </c>
      <c r="O4219" s="2">
        <v>125.84</v>
      </c>
      <c r="P4219" s="2">
        <v>94.09</v>
      </c>
      <c r="Q4219" s="2">
        <v>31.75</v>
      </c>
      <c r="R4219">
        <v>1</v>
      </c>
      <c r="S4219">
        <v>0</v>
      </c>
      <c r="T4219">
        <v>6</v>
      </c>
      <c r="U4219">
        <v>4</v>
      </c>
    </row>
    <row r="4220" spans="1:21" ht="16.5" x14ac:dyDescent="0.3">
      <c r="A4220" t="s">
        <v>4308</v>
      </c>
      <c r="B4220" s="1">
        <v>45907</v>
      </c>
      <c r="C4220">
        <v>2025</v>
      </c>
      <c r="D4220" t="s">
        <v>1187</v>
      </c>
      <c r="E4220" t="s">
        <v>1543</v>
      </c>
      <c r="F4220" t="s">
        <v>45</v>
      </c>
      <c r="G4220" t="s">
        <v>49</v>
      </c>
      <c r="H4220" t="s">
        <v>32</v>
      </c>
      <c r="I4220" t="s">
        <v>27</v>
      </c>
      <c r="J4220" t="s">
        <v>40</v>
      </c>
      <c r="K4220">
        <v>3</v>
      </c>
      <c r="L4220" s="2">
        <v>104.94</v>
      </c>
      <c r="M4220" s="3">
        <v>0.1</v>
      </c>
      <c r="N4220" t="s">
        <v>29</v>
      </c>
      <c r="O4220" s="2">
        <v>283.33999999999997</v>
      </c>
      <c r="P4220" s="2">
        <v>168.01</v>
      </c>
      <c r="Q4220" s="2">
        <v>115.33</v>
      </c>
      <c r="R4220">
        <v>1</v>
      </c>
      <c r="S4220">
        <v>0</v>
      </c>
      <c r="T4220">
        <v>3</v>
      </c>
      <c r="U4220">
        <v>4</v>
      </c>
    </row>
    <row r="4221" spans="1:21" ht="16.5" x14ac:dyDescent="0.3">
      <c r="A4221" t="s">
        <v>4309</v>
      </c>
      <c r="B4221" s="1">
        <v>45908</v>
      </c>
      <c r="C4221">
        <v>2025</v>
      </c>
      <c r="D4221" t="s">
        <v>1187</v>
      </c>
      <c r="E4221" t="s">
        <v>1543</v>
      </c>
      <c r="F4221" t="s">
        <v>31</v>
      </c>
      <c r="G4221" t="s">
        <v>25</v>
      </c>
      <c r="H4221" t="s">
        <v>32</v>
      </c>
      <c r="I4221" t="s">
        <v>70</v>
      </c>
      <c r="J4221" t="s">
        <v>252</v>
      </c>
      <c r="K4221">
        <v>2</v>
      </c>
      <c r="L4221" s="2">
        <v>216.08</v>
      </c>
      <c r="M4221" s="3">
        <v>0</v>
      </c>
      <c r="N4221" t="s">
        <v>38</v>
      </c>
      <c r="O4221" s="2">
        <v>432.16</v>
      </c>
      <c r="P4221" s="2">
        <v>349.34</v>
      </c>
      <c r="Q4221" s="2">
        <v>82.82</v>
      </c>
      <c r="R4221">
        <v>1</v>
      </c>
      <c r="S4221">
        <v>0</v>
      </c>
      <c r="T4221">
        <v>5</v>
      </c>
      <c r="U4221">
        <v>5</v>
      </c>
    </row>
    <row r="4222" spans="1:21" ht="16.5" x14ac:dyDescent="0.3">
      <c r="A4222" t="s">
        <v>4310</v>
      </c>
      <c r="B4222" s="1">
        <v>45908</v>
      </c>
      <c r="C4222">
        <v>2025</v>
      </c>
      <c r="D4222" t="s">
        <v>1187</v>
      </c>
      <c r="E4222" t="s">
        <v>1543</v>
      </c>
      <c r="F4222" t="s">
        <v>45</v>
      </c>
      <c r="G4222" t="s">
        <v>51</v>
      </c>
      <c r="H4222" t="s">
        <v>26</v>
      </c>
      <c r="I4222" t="s">
        <v>27</v>
      </c>
      <c r="J4222" t="s">
        <v>28</v>
      </c>
      <c r="K4222">
        <v>2</v>
      </c>
      <c r="L4222" s="2">
        <v>138.5</v>
      </c>
      <c r="M4222" s="3">
        <v>0</v>
      </c>
      <c r="N4222" t="s">
        <v>38</v>
      </c>
      <c r="O4222" s="2">
        <v>277</v>
      </c>
      <c r="P4222" s="2">
        <v>156.69</v>
      </c>
      <c r="Q4222" s="2">
        <v>120.31</v>
      </c>
      <c r="R4222">
        <v>1</v>
      </c>
      <c r="S4222">
        <v>0</v>
      </c>
      <c r="T4222">
        <v>2</v>
      </c>
      <c r="U4222">
        <v>5</v>
      </c>
    </row>
    <row r="4223" spans="1:21" ht="16.5" x14ac:dyDescent="0.3">
      <c r="A4223" t="s">
        <v>4311</v>
      </c>
      <c r="B4223" s="1">
        <v>45908</v>
      </c>
      <c r="C4223">
        <v>2025</v>
      </c>
      <c r="D4223" t="s">
        <v>1187</v>
      </c>
      <c r="E4223" t="s">
        <v>1543</v>
      </c>
      <c r="F4223" t="s">
        <v>24</v>
      </c>
      <c r="G4223" t="s">
        <v>49</v>
      </c>
      <c r="H4223" t="s">
        <v>26</v>
      </c>
      <c r="I4223" t="s">
        <v>42</v>
      </c>
      <c r="J4223" t="s">
        <v>54</v>
      </c>
      <c r="K4223">
        <v>1</v>
      </c>
      <c r="L4223" s="2">
        <v>148.05000000000001</v>
      </c>
      <c r="M4223" s="3">
        <v>0.05</v>
      </c>
      <c r="N4223" t="s">
        <v>29</v>
      </c>
      <c r="O4223" s="2">
        <v>140.65</v>
      </c>
      <c r="P4223" s="2">
        <v>93.32</v>
      </c>
      <c r="Q4223" s="2">
        <v>47.33</v>
      </c>
      <c r="R4223">
        <v>1</v>
      </c>
      <c r="S4223">
        <v>0</v>
      </c>
      <c r="T4223">
        <v>7</v>
      </c>
      <c r="U4223">
        <v>3</v>
      </c>
    </row>
    <row r="4224" spans="1:21" ht="16.5" x14ac:dyDescent="0.3">
      <c r="A4224" t="s">
        <v>4312</v>
      </c>
      <c r="B4224" s="1">
        <v>45908</v>
      </c>
      <c r="C4224">
        <v>2025</v>
      </c>
      <c r="D4224" t="s">
        <v>1187</v>
      </c>
      <c r="E4224" t="s">
        <v>1543</v>
      </c>
      <c r="F4224" t="s">
        <v>24</v>
      </c>
      <c r="G4224" t="s">
        <v>46</v>
      </c>
      <c r="H4224" t="s">
        <v>26</v>
      </c>
      <c r="I4224" t="s">
        <v>27</v>
      </c>
      <c r="J4224" t="s">
        <v>28</v>
      </c>
      <c r="K4224">
        <v>2</v>
      </c>
      <c r="L4224" s="2">
        <v>138.5</v>
      </c>
      <c r="M4224" s="3">
        <v>0.1</v>
      </c>
      <c r="N4224" t="s">
        <v>29</v>
      </c>
      <c r="O4224" s="2">
        <v>249.3</v>
      </c>
      <c r="P4224" s="2">
        <v>149.11000000000001</v>
      </c>
      <c r="Q4224" s="2">
        <v>100.19</v>
      </c>
      <c r="R4224">
        <v>1</v>
      </c>
      <c r="S4224">
        <v>0</v>
      </c>
      <c r="T4224">
        <v>6</v>
      </c>
      <c r="U4224">
        <v>4</v>
      </c>
    </row>
    <row r="4225" spans="1:21" ht="16.5" x14ac:dyDescent="0.3">
      <c r="A4225" t="s">
        <v>4313</v>
      </c>
      <c r="B4225" s="1">
        <v>45909</v>
      </c>
      <c r="C4225">
        <v>2025</v>
      </c>
      <c r="D4225" t="s">
        <v>1187</v>
      </c>
      <c r="E4225" t="s">
        <v>1543</v>
      </c>
      <c r="F4225" t="s">
        <v>24</v>
      </c>
      <c r="G4225" t="s">
        <v>49</v>
      </c>
      <c r="H4225" t="s">
        <v>26</v>
      </c>
      <c r="I4225" t="s">
        <v>70</v>
      </c>
      <c r="J4225" t="s">
        <v>82</v>
      </c>
      <c r="K4225">
        <v>1</v>
      </c>
      <c r="L4225" s="2">
        <v>508.8</v>
      </c>
      <c r="M4225" s="3">
        <v>0.05</v>
      </c>
      <c r="N4225" t="s">
        <v>29</v>
      </c>
      <c r="O4225" s="2">
        <v>483.36</v>
      </c>
      <c r="P4225" s="2">
        <v>399.47</v>
      </c>
      <c r="Q4225" s="2">
        <v>83.89</v>
      </c>
      <c r="R4225">
        <v>1</v>
      </c>
      <c r="S4225">
        <v>0</v>
      </c>
      <c r="T4225">
        <v>4</v>
      </c>
      <c r="U4225">
        <v>5</v>
      </c>
    </row>
    <row r="4226" spans="1:21" ht="16.5" x14ac:dyDescent="0.3">
      <c r="A4226" t="s">
        <v>4314</v>
      </c>
      <c r="B4226" s="1">
        <v>45909</v>
      </c>
      <c r="C4226">
        <v>2025</v>
      </c>
      <c r="D4226" t="s">
        <v>1187</v>
      </c>
      <c r="E4226" t="s">
        <v>1543</v>
      </c>
      <c r="F4226" t="s">
        <v>31</v>
      </c>
      <c r="G4226" t="s">
        <v>65</v>
      </c>
      <c r="H4226" t="s">
        <v>26</v>
      </c>
      <c r="I4226" t="s">
        <v>84</v>
      </c>
      <c r="J4226" t="s">
        <v>96</v>
      </c>
      <c r="K4226">
        <v>3</v>
      </c>
      <c r="L4226" s="2">
        <v>10.76</v>
      </c>
      <c r="M4226" s="3">
        <v>0.05</v>
      </c>
      <c r="N4226" t="s">
        <v>29</v>
      </c>
      <c r="O4226" s="2">
        <v>30.67</v>
      </c>
      <c r="P4226" s="2">
        <v>24.23</v>
      </c>
      <c r="Q4226" s="2">
        <v>6.44</v>
      </c>
      <c r="R4226">
        <v>1</v>
      </c>
      <c r="S4226">
        <v>0</v>
      </c>
      <c r="T4226">
        <v>7</v>
      </c>
      <c r="U4226">
        <v>3</v>
      </c>
    </row>
    <row r="4227" spans="1:21" ht="16.5" x14ac:dyDescent="0.3">
      <c r="A4227" t="s">
        <v>4315</v>
      </c>
      <c r="B4227" s="1">
        <v>45909</v>
      </c>
      <c r="C4227">
        <v>2025</v>
      </c>
      <c r="D4227" t="s">
        <v>1187</v>
      </c>
      <c r="E4227" t="s">
        <v>1543</v>
      </c>
      <c r="F4227" t="s">
        <v>31</v>
      </c>
      <c r="G4227" t="s">
        <v>46</v>
      </c>
      <c r="H4227" t="s">
        <v>26</v>
      </c>
      <c r="I4227" t="s">
        <v>67</v>
      </c>
      <c r="J4227" t="s">
        <v>174</v>
      </c>
      <c r="K4227">
        <v>1</v>
      </c>
      <c r="L4227" s="2">
        <v>137.05000000000001</v>
      </c>
      <c r="M4227" s="3">
        <v>0.1</v>
      </c>
      <c r="N4227" t="s">
        <v>29</v>
      </c>
      <c r="O4227" s="2">
        <v>123.35</v>
      </c>
      <c r="P4227" s="2">
        <v>90.79</v>
      </c>
      <c r="Q4227" s="2">
        <v>32.56</v>
      </c>
      <c r="R4227">
        <v>1</v>
      </c>
      <c r="S4227">
        <v>0</v>
      </c>
      <c r="T4227">
        <v>6</v>
      </c>
      <c r="U4227">
        <v>3</v>
      </c>
    </row>
    <row r="4228" spans="1:21" ht="16.5" x14ac:dyDescent="0.3">
      <c r="A4228" t="s">
        <v>4316</v>
      </c>
      <c r="B4228" s="1">
        <v>45909</v>
      </c>
      <c r="C4228">
        <v>2025</v>
      </c>
      <c r="D4228" t="s">
        <v>1187</v>
      </c>
      <c r="E4228" t="s">
        <v>1543</v>
      </c>
      <c r="F4228" t="s">
        <v>24</v>
      </c>
      <c r="G4228" t="s">
        <v>65</v>
      </c>
      <c r="H4228" t="s">
        <v>26</v>
      </c>
      <c r="I4228" t="s">
        <v>36</v>
      </c>
      <c r="J4228" t="s">
        <v>37</v>
      </c>
      <c r="K4228">
        <v>1</v>
      </c>
      <c r="L4228" s="2">
        <v>33.18</v>
      </c>
      <c r="M4228" s="3">
        <v>0</v>
      </c>
      <c r="N4228" t="s">
        <v>38</v>
      </c>
      <c r="O4228" s="2">
        <v>33.18</v>
      </c>
      <c r="P4228" s="2">
        <v>16.53</v>
      </c>
      <c r="Q4228" s="2">
        <v>16.649999999999999</v>
      </c>
      <c r="R4228">
        <v>1</v>
      </c>
      <c r="S4228">
        <v>0</v>
      </c>
      <c r="T4228">
        <v>8</v>
      </c>
      <c r="U4228">
        <v>4</v>
      </c>
    </row>
    <row r="4229" spans="1:21" ht="16.5" x14ac:dyDescent="0.3">
      <c r="A4229" t="s">
        <v>4317</v>
      </c>
      <c r="B4229" s="1">
        <v>45909</v>
      </c>
      <c r="C4229">
        <v>2025</v>
      </c>
      <c r="D4229" t="s">
        <v>1187</v>
      </c>
      <c r="E4229" t="s">
        <v>1543</v>
      </c>
      <c r="F4229" t="s">
        <v>24</v>
      </c>
      <c r="G4229" t="s">
        <v>51</v>
      </c>
      <c r="H4229" t="s">
        <v>26</v>
      </c>
      <c r="I4229" t="s">
        <v>36</v>
      </c>
      <c r="J4229" t="s">
        <v>37</v>
      </c>
      <c r="K4229">
        <v>1</v>
      </c>
      <c r="L4229" s="2">
        <v>33.18</v>
      </c>
      <c r="M4229" s="3">
        <v>0.05</v>
      </c>
      <c r="N4229" t="s">
        <v>29</v>
      </c>
      <c r="O4229" s="2">
        <v>31.52</v>
      </c>
      <c r="P4229" s="2">
        <v>15.5</v>
      </c>
      <c r="Q4229" s="2">
        <v>16.02</v>
      </c>
      <c r="R4229">
        <v>1</v>
      </c>
      <c r="S4229">
        <v>0</v>
      </c>
      <c r="T4229">
        <v>3</v>
      </c>
      <c r="U4229">
        <v>4</v>
      </c>
    </row>
    <row r="4230" spans="1:21" ht="16.5" x14ac:dyDescent="0.3">
      <c r="A4230" t="s">
        <v>4318</v>
      </c>
      <c r="B4230" s="1">
        <v>45909</v>
      </c>
      <c r="C4230">
        <v>2025</v>
      </c>
      <c r="D4230" t="s">
        <v>1187</v>
      </c>
      <c r="E4230" t="s">
        <v>1543</v>
      </c>
      <c r="F4230" t="s">
        <v>31</v>
      </c>
      <c r="G4230" t="s">
        <v>51</v>
      </c>
      <c r="H4230" t="s">
        <v>26</v>
      </c>
      <c r="I4230" t="s">
        <v>84</v>
      </c>
      <c r="J4230" t="s">
        <v>132</v>
      </c>
      <c r="K4230">
        <v>1</v>
      </c>
      <c r="L4230" s="2">
        <v>48.86</v>
      </c>
      <c r="M4230" s="3">
        <v>0.2</v>
      </c>
      <c r="N4230" t="s">
        <v>34</v>
      </c>
      <c r="O4230" s="2">
        <v>39.090000000000003</v>
      </c>
      <c r="P4230" s="2">
        <v>35.380000000000003</v>
      </c>
      <c r="Q4230" s="2">
        <v>3.71</v>
      </c>
      <c r="R4230">
        <v>1</v>
      </c>
      <c r="S4230">
        <v>0</v>
      </c>
      <c r="T4230">
        <v>2</v>
      </c>
      <c r="U4230">
        <v>5</v>
      </c>
    </row>
    <row r="4231" spans="1:21" ht="16.5" x14ac:dyDescent="0.3">
      <c r="A4231" t="s">
        <v>4319</v>
      </c>
      <c r="B4231" s="1">
        <v>45909</v>
      </c>
      <c r="C4231">
        <v>2025</v>
      </c>
      <c r="D4231" t="s">
        <v>1187</v>
      </c>
      <c r="E4231" t="s">
        <v>1543</v>
      </c>
      <c r="F4231" t="s">
        <v>31</v>
      </c>
      <c r="G4231" t="s">
        <v>49</v>
      </c>
      <c r="H4231" t="s">
        <v>26</v>
      </c>
      <c r="I4231" t="s">
        <v>42</v>
      </c>
      <c r="J4231" t="s">
        <v>89</v>
      </c>
      <c r="K4231">
        <v>3</v>
      </c>
      <c r="L4231" s="2">
        <v>68.349999999999994</v>
      </c>
      <c r="M4231" s="3">
        <v>0.1</v>
      </c>
      <c r="N4231" t="s">
        <v>29</v>
      </c>
      <c r="O4231" s="2">
        <v>184.54</v>
      </c>
      <c r="P4231" s="2">
        <v>130.30000000000001</v>
      </c>
      <c r="Q4231" s="2">
        <v>54.24</v>
      </c>
      <c r="R4231">
        <v>1</v>
      </c>
      <c r="S4231">
        <v>0</v>
      </c>
      <c r="T4231">
        <v>3</v>
      </c>
      <c r="U4231">
        <v>4</v>
      </c>
    </row>
    <row r="4232" spans="1:21" ht="16.5" x14ac:dyDescent="0.3">
      <c r="A4232" t="s">
        <v>4320</v>
      </c>
      <c r="B4232" s="1">
        <v>45909</v>
      </c>
      <c r="C4232">
        <v>2025</v>
      </c>
      <c r="D4232" t="s">
        <v>1187</v>
      </c>
      <c r="E4232" t="s">
        <v>1543</v>
      </c>
      <c r="F4232" t="s">
        <v>31</v>
      </c>
      <c r="G4232" t="s">
        <v>49</v>
      </c>
      <c r="H4232" t="s">
        <v>26</v>
      </c>
      <c r="I4232" t="s">
        <v>70</v>
      </c>
      <c r="J4232" t="s">
        <v>87</v>
      </c>
      <c r="K4232">
        <v>4</v>
      </c>
      <c r="L4232" s="2">
        <v>490.3</v>
      </c>
      <c r="M4232" s="3">
        <v>0.1</v>
      </c>
      <c r="N4232" t="s">
        <v>29</v>
      </c>
      <c r="O4232" s="2">
        <v>1765.08</v>
      </c>
      <c r="P4232" s="2">
        <v>1478.62</v>
      </c>
      <c r="Q4232" s="2">
        <v>286.45999999999998</v>
      </c>
      <c r="R4232">
        <v>1</v>
      </c>
      <c r="S4232">
        <v>0</v>
      </c>
      <c r="T4232">
        <v>3</v>
      </c>
      <c r="U4232">
        <v>5</v>
      </c>
    </row>
    <row r="4233" spans="1:21" ht="16.5" x14ac:dyDescent="0.3">
      <c r="A4233" t="s">
        <v>4321</v>
      </c>
      <c r="B4233" s="1">
        <v>45909</v>
      </c>
      <c r="C4233">
        <v>2025</v>
      </c>
      <c r="D4233" t="s">
        <v>1187</v>
      </c>
      <c r="E4233" t="s">
        <v>1543</v>
      </c>
      <c r="F4233" t="s">
        <v>24</v>
      </c>
      <c r="G4233" t="s">
        <v>51</v>
      </c>
      <c r="H4233" t="s">
        <v>32</v>
      </c>
      <c r="I4233" t="s">
        <v>27</v>
      </c>
      <c r="J4233" t="s">
        <v>110</v>
      </c>
      <c r="K4233">
        <v>2</v>
      </c>
      <c r="L4233" s="2">
        <v>19.41</v>
      </c>
      <c r="M4233" s="3">
        <v>0.1</v>
      </c>
      <c r="N4233" t="s">
        <v>29</v>
      </c>
      <c r="O4233" s="2">
        <v>34.94</v>
      </c>
      <c r="P4233" s="2">
        <v>21.21</v>
      </c>
      <c r="Q4233" s="2">
        <v>13.73</v>
      </c>
      <c r="R4233">
        <v>1</v>
      </c>
      <c r="S4233">
        <v>1</v>
      </c>
      <c r="T4233">
        <v>2</v>
      </c>
      <c r="U4233">
        <v>3</v>
      </c>
    </row>
    <row r="4234" spans="1:21" ht="16.5" x14ac:dyDescent="0.3">
      <c r="A4234" t="s">
        <v>4322</v>
      </c>
      <c r="B4234" s="1">
        <v>45909</v>
      </c>
      <c r="C4234">
        <v>2025</v>
      </c>
      <c r="D4234" t="s">
        <v>1187</v>
      </c>
      <c r="E4234" t="s">
        <v>1543</v>
      </c>
      <c r="F4234" t="s">
        <v>45</v>
      </c>
      <c r="G4234" t="s">
        <v>46</v>
      </c>
      <c r="H4234" t="s">
        <v>26</v>
      </c>
      <c r="I4234" t="s">
        <v>27</v>
      </c>
      <c r="J4234" t="s">
        <v>28</v>
      </c>
      <c r="K4234">
        <v>1</v>
      </c>
      <c r="L4234" s="2">
        <v>138.5</v>
      </c>
      <c r="M4234" s="3">
        <v>0.1</v>
      </c>
      <c r="N4234" t="s">
        <v>29</v>
      </c>
      <c r="O4234" s="2">
        <v>124.65</v>
      </c>
      <c r="P4234" s="2">
        <v>73.319999999999993</v>
      </c>
      <c r="Q4234" s="2">
        <v>51.33</v>
      </c>
      <c r="R4234">
        <v>1</v>
      </c>
      <c r="S4234">
        <v>1</v>
      </c>
      <c r="T4234">
        <v>6</v>
      </c>
      <c r="U4234">
        <v>1</v>
      </c>
    </row>
    <row r="4235" spans="1:21" ht="16.5" x14ac:dyDescent="0.3">
      <c r="A4235" t="s">
        <v>4323</v>
      </c>
      <c r="B4235" s="1">
        <v>45910</v>
      </c>
      <c r="C4235">
        <v>2025</v>
      </c>
      <c r="D4235" t="s">
        <v>1187</v>
      </c>
      <c r="E4235" t="s">
        <v>1543</v>
      </c>
      <c r="F4235" t="s">
        <v>24</v>
      </c>
      <c r="G4235" t="s">
        <v>25</v>
      </c>
      <c r="H4235" t="s">
        <v>26</v>
      </c>
      <c r="I4235" t="s">
        <v>84</v>
      </c>
      <c r="J4235" t="s">
        <v>106</v>
      </c>
      <c r="K4235">
        <v>1</v>
      </c>
      <c r="L4235" s="2">
        <v>45.28</v>
      </c>
      <c r="M4235" s="3">
        <v>0</v>
      </c>
      <c r="N4235" t="s">
        <v>38</v>
      </c>
      <c r="O4235" s="2">
        <v>45.28</v>
      </c>
      <c r="P4235" s="2">
        <v>30.49</v>
      </c>
      <c r="Q4235" s="2">
        <v>14.79</v>
      </c>
      <c r="R4235">
        <v>1</v>
      </c>
      <c r="S4235">
        <v>0</v>
      </c>
      <c r="T4235">
        <v>3</v>
      </c>
      <c r="U4235">
        <v>4</v>
      </c>
    </row>
    <row r="4236" spans="1:21" ht="16.5" x14ac:dyDescent="0.3">
      <c r="A4236" t="s">
        <v>4324</v>
      </c>
      <c r="B4236" s="1">
        <v>45910</v>
      </c>
      <c r="C4236">
        <v>2025</v>
      </c>
      <c r="D4236" t="s">
        <v>1187</v>
      </c>
      <c r="E4236" t="s">
        <v>1543</v>
      </c>
      <c r="F4236" t="s">
        <v>45</v>
      </c>
      <c r="G4236" t="s">
        <v>25</v>
      </c>
      <c r="H4236" t="s">
        <v>26</v>
      </c>
      <c r="I4236" t="s">
        <v>27</v>
      </c>
      <c r="J4236" t="s">
        <v>60</v>
      </c>
      <c r="K4236">
        <v>2</v>
      </c>
      <c r="L4236" s="2">
        <v>94.85</v>
      </c>
      <c r="M4236" s="3">
        <v>0.25</v>
      </c>
      <c r="N4236" t="s">
        <v>62</v>
      </c>
      <c r="O4236" s="2">
        <v>142.27000000000001</v>
      </c>
      <c r="P4236" s="2">
        <v>105.87</v>
      </c>
      <c r="Q4236" s="2">
        <v>36.4</v>
      </c>
      <c r="R4236">
        <v>1</v>
      </c>
      <c r="S4236">
        <v>0</v>
      </c>
      <c r="T4236">
        <v>3</v>
      </c>
      <c r="U4236">
        <v>3</v>
      </c>
    </row>
    <row r="4237" spans="1:21" ht="16.5" x14ac:dyDescent="0.3">
      <c r="A4237" t="s">
        <v>4325</v>
      </c>
      <c r="B4237" s="1">
        <v>45911</v>
      </c>
      <c r="C4237">
        <v>2025</v>
      </c>
      <c r="D4237" t="s">
        <v>1187</v>
      </c>
      <c r="E4237" t="s">
        <v>1543</v>
      </c>
      <c r="F4237" t="s">
        <v>31</v>
      </c>
      <c r="G4237" t="s">
        <v>25</v>
      </c>
      <c r="H4237" t="s">
        <v>32</v>
      </c>
      <c r="I4237" t="s">
        <v>70</v>
      </c>
      <c r="J4237" t="s">
        <v>252</v>
      </c>
      <c r="K4237">
        <v>2</v>
      </c>
      <c r="L4237" s="2">
        <v>216.08</v>
      </c>
      <c r="M4237" s="3">
        <v>0.15</v>
      </c>
      <c r="N4237" t="s">
        <v>34</v>
      </c>
      <c r="O4237" s="2">
        <v>367.34</v>
      </c>
      <c r="P4237" s="2">
        <v>352.27</v>
      </c>
      <c r="Q4237" s="2">
        <v>15.07</v>
      </c>
      <c r="R4237">
        <v>1</v>
      </c>
      <c r="S4237">
        <v>0</v>
      </c>
      <c r="T4237">
        <v>3</v>
      </c>
      <c r="U4237">
        <v>5</v>
      </c>
    </row>
    <row r="4238" spans="1:21" ht="16.5" x14ac:dyDescent="0.3">
      <c r="A4238" t="s">
        <v>4326</v>
      </c>
      <c r="B4238" s="1">
        <v>45911</v>
      </c>
      <c r="C4238">
        <v>2025</v>
      </c>
      <c r="D4238" t="s">
        <v>1187</v>
      </c>
      <c r="E4238" t="s">
        <v>1543</v>
      </c>
      <c r="F4238" t="s">
        <v>24</v>
      </c>
      <c r="G4238" t="s">
        <v>49</v>
      </c>
      <c r="H4238" t="s">
        <v>32</v>
      </c>
      <c r="I4238" t="s">
        <v>27</v>
      </c>
      <c r="J4238" t="s">
        <v>47</v>
      </c>
      <c r="K4238">
        <v>1</v>
      </c>
      <c r="L4238" s="2">
        <v>33.99</v>
      </c>
      <c r="M4238" s="3">
        <v>0.1</v>
      </c>
      <c r="N4238" t="s">
        <v>29</v>
      </c>
      <c r="O4238" s="2">
        <v>30.59</v>
      </c>
      <c r="P4238" s="2">
        <v>17.899999999999999</v>
      </c>
      <c r="Q4238" s="2">
        <v>12.69</v>
      </c>
      <c r="R4238">
        <v>1</v>
      </c>
      <c r="S4238">
        <v>1</v>
      </c>
      <c r="T4238">
        <v>3</v>
      </c>
      <c r="U4238">
        <v>3</v>
      </c>
    </row>
    <row r="4239" spans="1:21" ht="16.5" x14ac:dyDescent="0.3">
      <c r="A4239" t="s">
        <v>4327</v>
      </c>
      <c r="B4239" s="1">
        <v>45911</v>
      </c>
      <c r="C4239">
        <v>2025</v>
      </c>
      <c r="D4239" t="s">
        <v>1187</v>
      </c>
      <c r="E4239" t="s">
        <v>1543</v>
      </c>
      <c r="F4239" t="s">
        <v>24</v>
      </c>
      <c r="G4239" t="s">
        <v>49</v>
      </c>
      <c r="H4239" t="s">
        <v>26</v>
      </c>
      <c r="I4239" t="s">
        <v>84</v>
      </c>
      <c r="J4239" t="s">
        <v>96</v>
      </c>
      <c r="K4239">
        <v>2</v>
      </c>
      <c r="L4239" s="2">
        <v>10.76</v>
      </c>
      <c r="M4239" s="3">
        <v>0.05</v>
      </c>
      <c r="N4239" t="s">
        <v>29</v>
      </c>
      <c r="O4239" s="2">
        <v>20.440000000000001</v>
      </c>
      <c r="P4239" s="2">
        <v>14.72</v>
      </c>
      <c r="Q4239" s="2">
        <v>5.72</v>
      </c>
      <c r="R4239">
        <v>1</v>
      </c>
      <c r="S4239">
        <v>0</v>
      </c>
      <c r="T4239">
        <v>4</v>
      </c>
      <c r="U4239">
        <v>5</v>
      </c>
    </row>
    <row r="4240" spans="1:21" ht="16.5" x14ac:dyDescent="0.3">
      <c r="A4240" t="s">
        <v>4328</v>
      </c>
      <c r="B4240" s="1">
        <v>45912</v>
      </c>
      <c r="C4240">
        <v>2025</v>
      </c>
      <c r="D4240" t="s">
        <v>1187</v>
      </c>
      <c r="E4240" t="s">
        <v>1543</v>
      </c>
      <c r="F4240" t="s">
        <v>24</v>
      </c>
      <c r="G4240" t="s">
        <v>25</v>
      </c>
      <c r="H4240" t="s">
        <v>26</v>
      </c>
      <c r="I4240" t="s">
        <v>27</v>
      </c>
      <c r="J4240" t="s">
        <v>47</v>
      </c>
      <c r="K4240">
        <v>3</v>
      </c>
      <c r="L4240" s="2">
        <v>33.99</v>
      </c>
      <c r="M4240" s="3">
        <v>0.15</v>
      </c>
      <c r="N4240" t="s">
        <v>34</v>
      </c>
      <c r="O4240" s="2">
        <v>86.67</v>
      </c>
      <c r="P4240" s="2">
        <v>56.29</v>
      </c>
      <c r="Q4240" s="2">
        <v>30.38</v>
      </c>
      <c r="R4240">
        <v>1</v>
      </c>
      <c r="S4240">
        <v>0</v>
      </c>
      <c r="T4240">
        <v>3</v>
      </c>
      <c r="U4240">
        <v>4</v>
      </c>
    </row>
    <row r="4241" spans="1:21" ht="16.5" x14ac:dyDescent="0.3">
      <c r="A4241" t="s">
        <v>4329</v>
      </c>
      <c r="B4241" s="1">
        <v>45912</v>
      </c>
      <c r="C4241">
        <v>2025</v>
      </c>
      <c r="D4241" t="s">
        <v>1187</v>
      </c>
      <c r="E4241" t="s">
        <v>1543</v>
      </c>
      <c r="F4241" t="s">
        <v>31</v>
      </c>
      <c r="G4241" t="s">
        <v>46</v>
      </c>
      <c r="H4241" t="s">
        <v>26</v>
      </c>
      <c r="I4241" t="s">
        <v>67</v>
      </c>
      <c r="J4241" t="s">
        <v>68</v>
      </c>
      <c r="K4241">
        <v>2</v>
      </c>
      <c r="L4241" s="2">
        <v>74.459999999999994</v>
      </c>
      <c r="M4241" s="3">
        <v>0</v>
      </c>
      <c r="N4241" t="s">
        <v>38</v>
      </c>
      <c r="O4241" s="2">
        <v>148.91999999999999</v>
      </c>
      <c r="P4241" s="2">
        <v>106.39</v>
      </c>
      <c r="Q4241" s="2">
        <v>42.53</v>
      </c>
      <c r="R4241">
        <v>1</v>
      </c>
      <c r="S4241">
        <v>0</v>
      </c>
      <c r="T4241">
        <v>5</v>
      </c>
      <c r="U4241">
        <v>4</v>
      </c>
    </row>
    <row r="4242" spans="1:21" ht="16.5" x14ac:dyDescent="0.3">
      <c r="A4242" t="s">
        <v>4330</v>
      </c>
      <c r="B4242" s="1">
        <v>45912</v>
      </c>
      <c r="C4242">
        <v>2025</v>
      </c>
      <c r="D4242" t="s">
        <v>1187</v>
      </c>
      <c r="E4242" t="s">
        <v>1543</v>
      </c>
      <c r="F4242" t="s">
        <v>45</v>
      </c>
      <c r="G4242" t="s">
        <v>25</v>
      </c>
      <c r="H4242" t="s">
        <v>32</v>
      </c>
      <c r="I4242" t="s">
        <v>36</v>
      </c>
      <c r="J4242" t="s">
        <v>37</v>
      </c>
      <c r="K4242">
        <v>1</v>
      </c>
      <c r="L4242" s="2">
        <v>33.18</v>
      </c>
      <c r="M4242" s="3">
        <v>0.1</v>
      </c>
      <c r="N4242" t="s">
        <v>29</v>
      </c>
      <c r="O4242" s="2">
        <v>29.86</v>
      </c>
      <c r="P4242" s="2">
        <v>16.16</v>
      </c>
      <c r="Q4242" s="2">
        <v>13.7</v>
      </c>
      <c r="R4242">
        <v>1</v>
      </c>
      <c r="S4242">
        <v>0</v>
      </c>
      <c r="T4242">
        <v>4</v>
      </c>
      <c r="U4242">
        <v>4</v>
      </c>
    </row>
    <row r="4243" spans="1:21" ht="16.5" x14ac:dyDescent="0.3">
      <c r="A4243" t="s">
        <v>4331</v>
      </c>
      <c r="B4243" s="1">
        <v>45912</v>
      </c>
      <c r="C4243">
        <v>2025</v>
      </c>
      <c r="D4243" t="s">
        <v>1187</v>
      </c>
      <c r="E4243" t="s">
        <v>1543</v>
      </c>
      <c r="F4243" t="s">
        <v>31</v>
      </c>
      <c r="G4243" t="s">
        <v>49</v>
      </c>
      <c r="H4243" t="s">
        <v>32</v>
      </c>
      <c r="I4243" t="s">
        <v>27</v>
      </c>
      <c r="J4243" t="s">
        <v>28</v>
      </c>
      <c r="K4243">
        <v>1</v>
      </c>
      <c r="L4243" s="2">
        <v>138.5</v>
      </c>
      <c r="M4243" s="3">
        <v>0</v>
      </c>
      <c r="N4243" t="s">
        <v>38</v>
      </c>
      <c r="O4243" s="2">
        <v>138.5</v>
      </c>
      <c r="P4243" s="2">
        <v>74.83</v>
      </c>
      <c r="Q4243" s="2">
        <v>63.67</v>
      </c>
      <c r="R4243">
        <v>1</v>
      </c>
      <c r="S4243">
        <v>1</v>
      </c>
      <c r="T4243">
        <v>4</v>
      </c>
      <c r="U4243">
        <v>3</v>
      </c>
    </row>
    <row r="4244" spans="1:21" ht="16.5" x14ac:dyDescent="0.3">
      <c r="A4244" t="s">
        <v>4332</v>
      </c>
      <c r="B4244" s="1">
        <v>45912</v>
      </c>
      <c r="C4244">
        <v>2025</v>
      </c>
      <c r="D4244" t="s">
        <v>1187</v>
      </c>
      <c r="E4244" t="s">
        <v>1543</v>
      </c>
      <c r="F4244" t="s">
        <v>31</v>
      </c>
      <c r="G4244" t="s">
        <v>65</v>
      </c>
      <c r="H4244" t="s">
        <v>32</v>
      </c>
      <c r="I4244" t="s">
        <v>70</v>
      </c>
      <c r="J4244" t="s">
        <v>252</v>
      </c>
      <c r="K4244">
        <v>3</v>
      </c>
      <c r="L4244" s="2">
        <v>216.08</v>
      </c>
      <c r="M4244" s="3">
        <v>0.1</v>
      </c>
      <c r="N4244" t="s">
        <v>29</v>
      </c>
      <c r="O4244" s="2">
        <v>583.41999999999996</v>
      </c>
      <c r="P4244" s="2">
        <v>545.35</v>
      </c>
      <c r="Q4244" s="2">
        <v>38.07</v>
      </c>
      <c r="R4244">
        <v>1</v>
      </c>
      <c r="S4244">
        <v>0</v>
      </c>
      <c r="T4244">
        <v>5</v>
      </c>
      <c r="U4244">
        <v>4</v>
      </c>
    </row>
    <row r="4245" spans="1:21" ht="16.5" x14ac:dyDescent="0.3">
      <c r="A4245" t="s">
        <v>4333</v>
      </c>
      <c r="B4245" s="1">
        <v>45912</v>
      </c>
      <c r="C4245">
        <v>2025</v>
      </c>
      <c r="D4245" t="s">
        <v>1187</v>
      </c>
      <c r="E4245" t="s">
        <v>1543</v>
      </c>
      <c r="F4245" t="s">
        <v>31</v>
      </c>
      <c r="G4245" t="s">
        <v>25</v>
      </c>
      <c r="H4245" t="s">
        <v>32</v>
      </c>
      <c r="I4245" t="s">
        <v>36</v>
      </c>
      <c r="J4245" t="s">
        <v>52</v>
      </c>
      <c r="K4245">
        <v>1</v>
      </c>
      <c r="L4245" s="2">
        <v>92.54</v>
      </c>
      <c r="M4245" s="3">
        <v>0</v>
      </c>
      <c r="N4245" t="s">
        <v>38</v>
      </c>
      <c r="O4245" s="2">
        <v>92.54</v>
      </c>
      <c r="P4245" s="2">
        <v>45.86</v>
      </c>
      <c r="Q4245" s="2">
        <v>46.68</v>
      </c>
      <c r="R4245">
        <v>1</v>
      </c>
      <c r="S4245">
        <v>0</v>
      </c>
      <c r="T4245">
        <v>4</v>
      </c>
      <c r="U4245">
        <v>5</v>
      </c>
    </row>
    <row r="4246" spans="1:21" ht="16.5" x14ac:dyDescent="0.3">
      <c r="A4246" t="s">
        <v>4334</v>
      </c>
      <c r="B4246" s="1">
        <v>45912</v>
      </c>
      <c r="C4246">
        <v>2025</v>
      </c>
      <c r="D4246" t="s">
        <v>1187</v>
      </c>
      <c r="E4246" t="s">
        <v>1543</v>
      </c>
      <c r="F4246" t="s">
        <v>31</v>
      </c>
      <c r="G4246" t="s">
        <v>65</v>
      </c>
      <c r="H4246" t="s">
        <v>32</v>
      </c>
      <c r="I4246" t="s">
        <v>67</v>
      </c>
      <c r="J4246" t="s">
        <v>174</v>
      </c>
      <c r="K4246">
        <v>1</v>
      </c>
      <c r="L4246" s="2">
        <v>137.05000000000001</v>
      </c>
      <c r="M4246" s="3">
        <v>0</v>
      </c>
      <c r="N4246" t="s">
        <v>38</v>
      </c>
      <c r="O4246" s="2">
        <v>137.05000000000001</v>
      </c>
      <c r="P4246" s="2">
        <v>89.87</v>
      </c>
      <c r="Q4246" s="2">
        <v>47.18</v>
      </c>
      <c r="R4246">
        <v>1</v>
      </c>
      <c r="S4246">
        <v>0</v>
      </c>
      <c r="T4246">
        <v>5</v>
      </c>
      <c r="U4246">
        <v>5</v>
      </c>
    </row>
    <row r="4247" spans="1:21" ht="16.5" x14ac:dyDescent="0.3">
      <c r="A4247" t="s">
        <v>4335</v>
      </c>
      <c r="B4247" s="1">
        <v>45912</v>
      </c>
      <c r="C4247">
        <v>2025</v>
      </c>
      <c r="D4247" t="s">
        <v>1187</v>
      </c>
      <c r="E4247" t="s">
        <v>1543</v>
      </c>
      <c r="F4247" t="s">
        <v>24</v>
      </c>
      <c r="G4247" t="s">
        <v>25</v>
      </c>
      <c r="H4247" t="s">
        <v>32</v>
      </c>
      <c r="I4247" t="s">
        <v>67</v>
      </c>
      <c r="J4247" t="s">
        <v>103</v>
      </c>
      <c r="K4247">
        <v>1</v>
      </c>
      <c r="L4247" s="2">
        <v>83.06</v>
      </c>
      <c r="M4247" s="3">
        <v>0</v>
      </c>
      <c r="N4247" t="s">
        <v>38</v>
      </c>
      <c r="O4247" s="2">
        <v>83.06</v>
      </c>
      <c r="P4247" s="2">
        <v>55.71</v>
      </c>
      <c r="Q4247" s="2">
        <v>27.35</v>
      </c>
      <c r="R4247">
        <v>1</v>
      </c>
      <c r="S4247">
        <v>0</v>
      </c>
      <c r="T4247">
        <v>5</v>
      </c>
      <c r="U4247">
        <v>5</v>
      </c>
    </row>
    <row r="4248" spans="1:21" ht="16.5" x14ac:dyDescent="0.3">
      <c r="A4248" t="s">
        <v>4336</v>
      </c>
      <c r="B4248" s="1">
        <v>45912</v>
      </c>
      <c r="C4248">
        <v>2025</v>
      </c>
      <c r="D4248" t="s">
        <v>1187</v>
      </c>
      <c r="E4248" t="s">
        <v>1543</v>
      </c>
      <c r="F4248" t="s">
        <v>24</v>
      </c>
      <c r="G4248" t="s">
        <v>65</v>
      </c>
      <c r="H4248" t="s">
        <v>32</v>
      </c>
      <c r="I4248" t="s">
        <v>84</v>
      </c>
      <c r="J4248" t="s">
        <v>96</v>
      </c>
      <c r="K4248">
        <v>1</v>
      </c>
      <c r="L4248" s="2">
        <v>10.76</v>
      </c>
      <c r="M4248" s="3">
        <v>0</v>
      </c>
      <c r="N4248" t="s">
        <v>38</v>
      </c>
      <c r="O4248" s="2">
        <v>10.76</v>
      </c>
      <c r="P4248" s="2">
        <v>7.72</v>
      </c>
      <c r="Q4248" s="2">
        <v>3.04</v>
      </c>
      <c r="R4248">
        <v>1</v>
      </c>
      <c r="S4248">
        <v>0</v>
      </c>
      <c r="T4248">
        <v>6</v>
      </c>
      <c r="U4248">
        <v>3</v>
      </c>
    </row>
    <row r="4249" spans="1:21" ht="16.5" x14ac:dyDescent="0.3">
      <c r="A4249" t="s">
        <v>4337</v>
      </c>
      <c r="B4249" s="1">
        <v>45912</v>
      </c>
      <c r="C4249">
        <v>2025</v>
      </c>
      <c r="D4249" t="s">
        <v>1187</v>
      </c>
      <c r="E4249" t="s">
        <v>1543</v>
      </c>
      <c r="F4249" t="s">
        <v>31</v>
      </c>
      <c r="G4249" t="s">
        <v>51</v>
      </c>
      <c r="H4249" t="s">
        <v>32</v>
      </c>
      <c r="I4249" t="s">
        <v>70</v>
      </c>
      <c r="J4249" t="s">
        <v>87</v>
      </c>
      <c r="K4249">
        <v>2</v>
      </c>
      <c r="L4249" s="2">
        <v>490.3</v>
      </c>
      <c r="M4249" s="3">
        <v>0</v>
      </c>
      <c r="N4249" t="s">
        <v>38</v>
      </c>
      <c r="O4249" s="2">
        <v>980.6</v>
      </c>
      <c r="P4249" s="2">
        <v>803.45</v>
      </c>
      <c r="Q4249" s="2">
        <v>177.15</v>
      </c>
      <c r="R4249">
        <v>1</v>
      </c>
      <c r="S4249">
        <v>0</v>
      </c>
      <c r="T4249">
        <v>3</v>
      </c>
      <c r="U4249">
        <v>4</v>
      </c>
    </row>
    <row r="4250" spans="1:21" ht="16.5" x14ac:dyDescent="0.3">
      <c r="A4250" t="s">
        <v>4338</v>
      </c>
      <c r="B4250" s="1">
        <v>45912</v>
      </c>
      <c r="C4250">
        <v>2025</v>
      </c>
      <c r="D4250" t="s">
        <v>1187</v>
      </c>
      <c r="E4250" t="s">
        <v>1543</v>
      </c>
      <c r="F4250" t="s">
        <v>24</v>
      </c>
      <c r="G4250" t="s">
        <v>51</v>
      </c>
      <c r="H4250" t="s">
        <v>26</v>
      </c>
      <c r="I4250" t="s">
        <v>42</v>
      </c>
      <c r="J4250" t="s">
        <v>43</v>
      </c>
      <c r="K4250">
        <v>1</v>
      </c>
      <c r="L4250" s="2">
        <v>154.66</v>
      </c>
      <c r="M4250" s="3">
        <v>0.05</v>
      </c>
      <c r="N4250" t="s">
        <v>29</v>
      </c>
      <c r="O4250" s="2">
        <v>146.93</v>
      </c>
      <c r="P4250" s="2">
        <v>108.38</v>
      </c>
      <c r="Q4250" s="2">
        <v>38.549999999999997</v>
      </c>
      <c r="R4250">
        <v>1</v>
      </c>
      <c r="S4250">
        <v>0</v>
      </c>
      <c r="T4250">
        <v>2</v>
      </c>
      <c r="U4250">
        <v>4</v>
      </c>
    </row>
    <row r="4251" spans="1:21" ht="16.5" x14ac:dyDescent="0.3">
      <c r="A4251" t="s">
        <v>4339</v>
      </c>
      <c r="B4251" s="1">
        <v>45912</v>
      </c>
      <c r="C4251">
        <v>2025</v>
      </c>
      <c r="D4251" t="s">
        <v>1187</v>
      </c>
      <c r="E4251" t="s">
        <v>1543</v>
      </c>
      <c r="F4251" t="s">
        <v>24</v>
      </c>
      <c r="G4251" t="s">
        <v>65</v>
      </c>
      <c r="H4251" t="s">
        <v>26</v>
      </c>
      <c r="I4251" t="s">
        <v>70</v>
      </c>
      <c r="J4251" t="s">
        <v>129</v>
      </c>
      <c r="K4251">
        <v>1</v>
      </c>
      <c r="L4251" s="2">
        <v>177.65</v>
      </c>
      <c r="M4251" s="3">
        <v>0.1</v>
      </c>
      <c r="N4251" t="s">
        <v>29</v>
      </c>
      <c r="O4251" s="2">
        <v>159.88999999999999</v>
      </c>
      <c r="P4251" s="2">
        <v>141.94999999999999</v>
      </c>
      <c r="Q4251" s="2">
        <v>17.940000000000001</v>
      </c>
      <c r="R4251">
        <v>1</v>
      </c>
      <c r="S4251">
        <v>1</v>
      </c>
      <c r="T4251">
        <v>6</v>
      </c>
      <c r="U4251">
        <v>2</v>
      </c>
    </row>
    <row r="4252" spans="1:21" ht="16.5" x14ac:dyDescent="0.3">
      <c r="A4252" t="s">
        <v>4340</v>
      </c>
      <c r="B4252" s="1">
        <v>45913</v>
      </c>
      <c r="C4252">
        <v>2025</v>
      </c>
      <c r="D4252" t="s">
        <v>1187</v>
      </c>
      <c r="E4252" t="s">
        <v>1543</v>
      </c>
      <c r="F4252" t="s">
        <v>31</v>
      </c>
      <c r="G4252" t="s">
        <v>25</v>
      </c>
      <c r="H4252" t="s">
        <v>32</v>
      </c>
      <c r="I4252" t="s">
        <v>42</v>
      </c>
      <c r="J4252" t="s">
        <v>54</v>
      </c>
      <c r="K4252">
        <v>1</v>
      </c>
      <c r="L4252" s="2">
        <v>148.05000000000001</v>
      </c>
      <c r="M4252" s="3">
        <v>0.05</v>
      </c>
      <c r="N4252" t="s">
        <v>29</v>
      </c>
      <c r="O4252" s="2">
        <v>140.65</v>
      </c>
      <c r="P4252" s="2">
        <v>98.12</v>
      </c>
      <c r="Q4252" s="2">
        <v>42.53</v>
      </c>
      <c r="R4252">
        <v>1</v>
      </c>
      <c r="S4252">
        <v>1</v>
      </c>
      <c r="T4252">
        <v>3</v>
      </c>
      <c r="U4252">
        <v>4</v>
      </c>
    </row>
    <row r="4253" spans="1:21" ht="16.5" x14ac:dyDescent="0.3">
      <c r="A4253" t="s">
        <v>4341</v>
      </c>
      <c r="B4253" s="1">
        <v>45913</v>
      </c>
      <c r="C4253">
        <v>2025</v>
      </c>
      <c r="D4253" t="s">
        <v>1187</v>
      </c>
      <c r="E4253" t="s">
        <v>1543</v>
      </c>
      <c r="F4253" t="s">
        <v>31</v>
      </c>
      <c r="G4253" t="s">
        <v>49</v>
      </c>
      <c r="H4253" t="s">
        <v>32</v>
      </c>
      <c r="I4253" t="s">
        <v>70</v>
      </c>
      <c r="J4253" t="s">
        <v>71</v>
      </c>
      <c r="K4253">
        <v>1</v>
      </c>
      <c r="L4253" s="2">
        <v>588.41</v>
      </c>
      <c r="M4253" s="3">
        <v>0</v>
      </c>
      <c r="N4253" t="s">
        <v>38</v>
      </c>
      <c r="O4253" s="2">
        <v>588.41</v>
      </c>
      <c r="P4253" s="2">
        <v>489.08</v>
      </c>
      <c r="Q4253" s="2">
        <v>99.33</v>
      </c>
      <c r="R4253">
        <v>1</v>
      </c>
      <c r="S4253">
        <v>0</v>
      </c>
      <c r="T4253">
        <v>3</v>
      </c>
      <c r="U4253">
        <v>4</v>
      </c>
    </row>
    <row r="4254" spans="1:21" ht="16.5" x14ac:dyDescent="0.3">
      <c r="A4254" t="s">
        <v>4342</v>
      </c>
      <c r="B4254" s="1">
        <v>45914</v>
      </c>
      <c r="C4254">
        <v>2025</v>
      </c>
      <c r="D4254" t="s">
        <v>1187</v>
      </c>
      <c r="E4254" t="s">
        <v>1543</v>
      </c>
      <c r="F4254" t="s">
        <v>31</v>
      </c>
      <c r="G4254" t="s">
        <v>25</v>
      </c>
      <c r="H4254" t="s">
        <v>26</v>
      </c>
      <c r="I4254" t="s">
        <v>42</v>
      </c>
      <c r="J4254" t="s">
        <v>43</v>
      </c>
      <c r="K4254">
        <v>1</v>
      </c>
      <c r="L4254" s="2">
        <v>154.66</v>
      </c>
      <c r="M4254" s="3">
        <v>0.05</v>
      </c>
      <c r="N4254" t="s">
        <v>29</v>
      </c>
      <c r="O4254" s="2">
        <v>146.93</v>
      </c>
      <c r="P4254" s="2">
        <v>102.79</v>
      </c>
      <c r="Q4254" s="2">
        <v>44.14</v>
      </c>
      <c r="R4254">
        <v>1</v>
      </c>
      <c r="S4254">
        <v>0</v>
      </c>
      <c r="T4254">
        <v>3</v>
      </c>
      <c r="U4254">
        <v>5</v>
      </c>
    </row>
    <row r="4255" spans="1:21" ht="16.5" x14ac:dyDescent="0.3">
      <c r="A4255" t="s">
        <v>4343</v>
      </c>
      <c r="B4255" s="1">
        <v>45914</v>
      </c>
      <c r="C4255">
        <v>2025</v>
      </c>
      <c r="D4255" t="s">
        <v>1187</v>
      </c>
      <c r="E4255" t="s">
        <v>1543</v>
      </c>
      <c r="F4255" t="s">
        <v>31</v>
      </c>
      <c r="G4255" t="s">
        <v>51</v>
      </c>
      <c r="H4255" t="s">
        <v>26</v>
      </c>
      <c r="I4255" t="s">
        <v>27</v>
      </c>
      <c r="J4255" t="s">
        <v>28</v>
      </c>
      <c r="K4255">
        <v>1</v>
      </c>
      <c r="L4255" s="2">
        <v>138.5</v>
      </c>
      <c r="M4255" s="3">
        <v>0.05</v>
      </c>
      <c r="N4255" t="s">
        <v>29</v>
      </c>
      <c r="O4255" s="2">
        <v>131.57</v>
      </c>
      <c r="P4255" s="2">
        <v>72.400000000000006</v>
      </c>
      <c r="Q4255" s="2">
        <v>59.17</v>
      </c>
      <c r="R4255">
        <v>1</v>
      </c>
      <c r="S4255">
        <v>1</v>
      </c>
      <c r="T4255">
        <v>2</v>
      </c>
      <c r="U4255">
        <v>3</v>
      </c>
    </row>
    <row r="4256" spans="1:21" ht="16.5" x14ac:dyDescent="0.3">
      <c r="A4256" t="s">
        <v>4344</v>
      </c>
      <c r="B4256" s="1">
        <v>45914</v>
      </c>
      <c r="C4256">
        <v>2025</v>
      </c>
      <c r="D4256" t="s">
        <v>1187</v>
      </c>
      <c r="E4256" t="s">
        <v>1543</v>
      </c>
      <c r="F4256" t="s">
        <v>24</v>
      </c>
      <c r="G4256" t="s">
        <v>49</v>
      </c>
      <c r="H4256" t="s">
        <v>32</v>
      </c>
      <c r="I4256" t="s">
        <v>70</v>
      </c>
      <c r="J4256" t="s">
        <v>129</v>
      </c>
      <c r="K4256">
        <v>1</v>
      </c>
      <c r="L4256" s="2">
        <v>177.65</v>
      </c>
      <c r="M4256" s="3">
        <v>0</v>
      </c>
      <c r="N4256" t="s">
        <v>38</v>
      </c>
      <c r="O4256" s="2">
        <v>177.65</v>
      </c>
      <c r="P4256" s="2">
        <v>138.1</v>
      </c>
      <c r="Q4256" s="2">
        <v>39.549999999999997</v>
      </c>
      <c r="R4256">
        <v>1</v>
      </c>
      <c r="S4256">
        <v>0</v>
      </c>
      <c r="T4256">
        <v>3</v>
      </c>
      <c r="U4256">
        <v>4</v>
      </c>
    </row>
    <row r="4257" spans="1:21" ht="16.5" x14ac:dyDescent="0.3">
      <c r="A4257" t="s">
        <v>4345</v>
      </c>
      <c r="B4257" s="1">
        <v>45914</v>
      </c>
      <c r="C4257">
        <v>2025</v>
      </c>
      <c r="D4257" t="s">
        <v>1187</v>
      </c>
      <c r="E4257" t="s">
        <v>1543</v>
      </c>
      <c r="F4257" t="s">
        <v>24</v>
      </c>
      <c r="G4257" t="s">
        <v>25</v>
      </c>
      <c r="H4257" t="s">
        <v>26</v>
      </c>
      <c r="I4257" t="s">
        <v>27</v>
      </c>
      <c r="J4257" t="s">
        <v>28</v>
      </c>
      <c r="K4257">
        <v>1</v>
      </c>
      <c r="L4257" s="2">
        <v>138.5</v>
      </c>
      <c r="M4257" s="3">
        <v>0</v>
      </c>
      <c r="N4257" t="s">
        <v>38</v>
      </c>
      <c r="O4257" s="2">
        <v>138.5</v>
      </c>
      <c r="P4257" s="2">
        <v>78.28</v>
      </c>
      <c r="Q4257" s="2">
        <v>60.22</v>
      </c>
      <c r="R4257">
        <v>1</v>
      </c>
      <c r="S4257">
        <v>0</v>
      </c>
      <c r="T4257">
        <v>4</v>
      </c>
      <c r="U4257">
        <v>4</v>
      </c>
    </row>
    <row r="4258" spans="1:21" ht="16.5" x14ac:dyDescent="0.3">
      <c r="A4258" t="s">
        <v>4346</v>
      </c>
      <c r="B4258" s="1">
        <v>45914</v>
      </c>
      <c r="C4258">
        <v>2025</v>
      </c>
      <c r="D4258" t="s">
        <v>1187</v>
      </c>
      <c r="E4258" t="s">
        <v>1543</v>
      </c>
      <c r="F4258" t="s">
        <v>45</v>
      </c>
      <c r="G4258" t="s">
        <v>25</v>
      </c>
      <c r="H4258" t="s">
        <v>32</v>
      </c>
      <c r="I4258" t="s">
        <v>84</v>
      </c>
      <c r="J4258" t="s">
        <v>85</v>
      </c>
      <c r="K4258">
        <v>2</v>
      </c>
      <c r="L4258" s="2">
        <v>57.92</v>
      </c>
      <c r="M4258" s="3">
        <v>0.1</v>
      </c>
      <c r="N4258" t="s">
        <v>29</v>
      </c>
      <c r="O4258" s="2">
        <v>104.26</v>
      </c>
      <c r="P4258" s="2">
        <v>85.04</v>
      </c>
      <c r="Q4258" s="2">
        <v>19.22</v>
      </c>
      <c r="R4258">
        <v>1</v>
      </c>
      <c r="S4258">
        <v>0</v>
      </c>
      <c r="T4258">
        <v>3</v>
      </c>
      <c r="U4258">
        <v>5</v>
      </c>
    </row>
    <row r="4259" spans="1:21" ht="16.5" x14ac:dyDescent="0.3">
      <c r="A4259" t="s">
        <v>4347</v>
      </c>
      <c r="B4259" s="1">
        <v>45914</v>
      </c>
      <c r="C4259">
        <v>2025</v>
      </c>
      <c r="D4259" t="s">
        <v>1187</v>
      </c>
      <c r="E4259" t="s">
        <v>1543</v>
      </c>
      <c r="F4259" t="s">
        <v>31</v>
      </c>
      <c r="G4259" t="s">
        <v>51</v>
      </c>
      <c r="H4259" t="s">
        <v>32</v>
      </c>
      <c r="I4259" t="s">
        <v>70</v>
      </c>
      <c r="J4259" t="s">
        <v>252</v>
      </c>
      <c r="K4259">
        <v>2</v>
      </c>
      <c r="L4259" s="2">
        <v>216.08</v>
      </c>
      <c r="M4259" s="3">
        <v>0</v>
      </c>
      <c r="N4259" t="s">
        <v>38</v>
      </c>
      <c r="O4259" s="2">
        <v>432.16</v>
      </c>
      <c r="P4259" s="2">
        <v>341.48</v>
      </c>
      <c r="Q4259" s="2">
        <v>90.68</v>
      </c>
      <c r="R4259">
        <v>1</v>
      </c>
      <c r="S4259">
        <v>0</v>
      </c>
      <c r="T4259">
        <v>2</v>
      </c>
      <c r="U4259">
        <v>4</v>
      </c>
    </row>
    <row r="4260" spans="1:21" ht="16.5" x14ac:dyDescent="0.3">
      <c r="A4260" t="s">
        <v>4348</v>
      </c>
      <c r="B4260" s="1">
        <v>45914</v>
      </c>
      <c r="C4260">
        <v>2025</v>
      </c>
      <c r="D4260" t="s">
        <v>1187</v>
      </c>
      <c r="E4260" t="s">
        <v>1543</v>
      </c>
      <c r="F4260" t="s">
        <v>31</v>
      </c>
      <c r="G4260" t="s">
        <v>65</v>
      </c>
      <c r="H4260" t="s">
        <v>32</v>
      </c>
      <c r="I4260" t="s">
        <v>36</v>
      </c>
      <c r="J4260" t="s">
        <v>115</v>
      </c>
      <c r="K4260">
        <v>1</v>
      </c>
      <c r="L4260" s="2">
        <v>33.479999999999997</v>
      </c>
      <c r="M4260" s="3">
        <v>0.25</v>
      </c>
      <c r="N4260" t="s">
        <v>62</v>
      </c>
      <c r="O4260" s="2">
        <v>25.11</v>
      </c>
      <c r="P4260" s="2">
        <v>15.85</v>
      </c>
      <c r="Q4260" s="2">
        <v>9.26</v>
      </c>
      <c r="R4260">
        <v>1</v>
      </c>
      <c r="S4260">
        <v>0</v>
      </c>
      <c r="T4260">
        <v>5</v>
      </c>
      <c r="U4260">
        <v>4</v>
      </c>
    </row>
    <row r="4261" spans="1:21" ht="16.5" x14ac:dyDescent="0.3">
      <c r="A4261" t="s">
        <v>4349</v>
      </c>
      <c r="B4261" s="1">
        <v>45914</v>
      </c>
      <c r="C4261">
        <v>2025</v>
      </c>
      <c r="D4261" t="s">
        <v>1187</v>
      </c>
      <c r="E4261" t="s">
        <v>1543</v>
      </c>
      <c r="F4261" t="s">
        <v>24</v>
      </c>
      <c r="G4261" t="s">
        <v>25</v>
      </c>
      <c r="H4261" t="s">
        <v>32</v>
      </c>
      <c r="I4261" t="s">
        <v>27</v>
      </c>
      <c r="J4261" t="s">
        <v>28</v>
      </c>
      <c r="K4261">
        <v>2</v>
      </c>
      <c r="L4261" s="2">
        <v>138.5</v>
      </c>
      <c r="M4261" s="3">
        <v>0.05</v>
      </c>
      <c r="N4261" t="s">
        <v>29</v>
      </c>
      <c r="O4261" s="2">
        <v>263.14999999999998</v>
      </c>
      <c r="P4261" s="2">
        <v>143.34</v>
      </c>
      <c r="Q4261" s="2">
        <v>119.81</v>
      </c>
      <c r="R4261">
        <v>1</v>
      </c>
      <c r="S4261">
        <v>0</v>
      </c>
      <c r="T4261">
        <v>5</v>
      </c>
      <c r="U4261">
        <v>4</v>
      </c>
    </row>
    <row r="4262" spans="1:21" ht="16.5" x14ac:dyDescent="0.3">
      <c r="A4262" t="s">
        <v>4350</v>
      </c>
      <c r="B4262" s="1">
        <v>45914</v>
      </c>
      <c r="C4262">
        <v>2025</v>
      </c>
      <c r="D4262" t="s">
        <v>1187</v>
      </c>
      <c r="E4262" t="s">
        <v>1543</v>
      </c>
      <c r="F4262" t="s">
        <v>24</v>
      </c>
      <c r="G4262" t="s">
        <v>51</v>
      </c>
      <c r="H4262" t="s">
        <v>26</v>
      </c>
      <c r="I4262" t="s">
        <v>70</v>
      </c>
      <c r="J4262" t="s">
        <v>82</v>
      </c>
      <c r="K4262">
        <v>2</v>
      </c>
      <c r="L4262" s="2">
        <v>508.8</v>
      </c>
      <c r="M4262" s="3">
        <v>0.05</v>
      </c>
      <c r="N4262" t="s">
        <v>29</v>
      </c>
      <c r="O4262" s="2">
        <v>966.72</v>
      </c>
      <c r="P4262" s="2">
        <v>776.56</v>
      </c>
      <c r="Q4262" s="2">
        <v>190.16</v>
      </c>
      <c r="R4262">
        <v>1</v>
      </c>
      <c r="S4262">
        <v>0</v>
      </c>
      <c r="T4262">
        <v>5</v>
      </c>
      <c r="U4262">
        <v>4</v>
      </c>
    </row>
    <row r="4263" spans="1:21" ht="16.5" x14ac:dyDescent="0.3">
      <c r="A4263" t="s">
        <v>4351</v>
      </c>
      <c r="B4263" s="1">
        <v>45914</v>
      </c>
      <c r="C4263">
        <v>2025</v>
      </c>
      <c r="D4263" t="s">
        <v>1187</v>
      </c>
      <c r="E4263" t="s">
        <v>1543</v>
      </c>
      <c r="F4263" t="s">
        <v>24</v>
      </c>
      <c r="G4263" t="s">
        <v>49</v>
      </c>
      <c r="H4263" t="s">
        <v>32</v>
      </c>
      <c r="I4263" t="s">
        <v>70</v>
      </c>
      <c r="J4263" t="s">
        <v>129</v>
      </c>
      <c r="K4263">
        <v>1</v>
      </c>
      <c r="L4263" s="2">
        <v>177.65</v>
      </c>
      <c r="M4263" s="3">
        <v>0.1</v>
      </c>
      <c r="N4263" t="s">
        <v>29</v>
      </c>
      <c r="O4263" s="2">
        <v>159.88999999999999</v>
      </c>
      <c r="P4263" s="2">
        <v>146.84</v>
      </c>
      <c r="Q4263" s="2">
        <v>13.05</v>
      </c>
      <c r="R4263">
        <v>1</v>
      </c>
      <c r="S4263">
        <v>0</v>
      </c>
      <c r="T4263">
        <v>3</v>
      </c>
      <c r="U4263">
        <v>4</v>
      </c>
    </row>
    <row r="4264" spans="1:21" ht="16.5" x14ac:dyDescent="0.3">
      <c r="A4264" t="s">
        <v>4352</v>
      </c>
      <c r="B4264" s="1">
        <v>45915</v>
      </c>
      <c r="C4264">
        <v>2025</v>
      </c>
      <c r="D4264" t="s">
        <v>1187</v>
      </c>
      <c r="E4264" t="s">
        <v>1543</v>
      </c>
      <c r="F4264" t="s">
        <v>45</v>
      </c>
      <c r="G4264" t="s">
        <v>51</v>
      </c>
      <c r="H4264" t="s">
        <v>32</v>
      </c>
      <c r="I4264" t="s">
        <v>36</v>
      </c>
      <c r="J4264" t="s">
        <v>52</v>
      </c>
      <c r="K4264">
        <v>1</v>
      </c>
      <c r="L4264" s="2">
        <v>92.54</v>
      </c>
      <c r="M4264" s="3">
        <v>0</v>
      </c>
      <c r="N4264" t="s">
        <v>38</v>
      </c>
      <c r="O4264" s="2">
        <v>92.54</v>
      </c>
      <c r="P4264" s="2">
        <v>42.83</v>
      </c>
      <c r="Q4264" s="2">
        <v>49.71</v>
      </c>
      <c r="R4264">
        <v>1</v>
      </c>
      <c r="S4264">
        <v>0</v>
      </c>
      <c r="T4264">
        <v>4</v>
      </c>
      <c r="U4264">
        <v>5</v>
      </c>
    </row>
    <row r="4265" spans="1:21" ht="16.5" x14ac:dyDescent="0.3">
      <c r="A4265" t="s">
        <v>4353</v>
      </c>
      <c r="B4265" s="1">
        <v>45915</v>
      </c>
      <c r="C4265">
        <v>2025</v>
      </c>
      <c r="D4265" t="s">
        <v>1187</v>
      </c>
      <c r="E4265" t="s">
        <v>1543</v>
      </c>
      <c r="F4265" t="s">
        <v>45</v>
      </c>
      <c r="G4265" t="s">
        <v>25</v>
      </c>
      <c r="H4265" t="s">
        <v>32</v>
      </c>
      <c r="I4265" t="s">
        <v>84</v>
      </c>
      <c r="J4265" t="s">
        <v>106</v>
      </c>
      <c r="K4265">
        <v>4</v>
      </c>
      <c r="L4265" s="2">
        <v>45.28</v>
      </c>
      <c r="M4265" s="3">
        <v>0</v>
      </c>
      <c r="N4265" t="s">
        <v>38</v>
      </c>
      <c r="O4265" s="2">
        <v>181.12</v>
      </c>
      <c r="P4265" s="2">
        <v>133.81</v>
      </c>
      <c r="Q4265" s="2">
        <v>47.31</v>
      </c>
      <c r="R4265">
        <v>1</v>
      </c>
      <c r="S4265">
        <v>0</v>
      </c>
      <c r="T4265">
        <v>6</v>
      </c>
      <c r="U4265">
        <v>4</v>
      </c>
    </row>
    <row r="4266" spans="1:21" ht="16.5" x14ac:dyDescent="0.3">
      <c r="A4266" t="s">
        <v>4354</v>
      </c>
      <c r="B4266" s="1">
        <v>45915</v>
      </c>
      <c r="C4266">
        <v>2025</v>
      </c>
      <c r="D4266" t="s">
        <v>1187</v>
      </c>
      <c r="E4266" t="s">
        <v>1543</v>
      </c>
      <c r="F4266" t="s">
        <v>31</v>
      </c>
      <c r="G4266" t="s">
        <v>49</v>
      </c>
      <c r="H4266" t="s">
        <v>32</v>
      </c>
      <c r="I4266" t="s">
        <v>42</v>
      </c>
      <c r="J4266" t="s">
        <v>58</v>
      </c>
      <c r="K4266">
        <v>1</v>
      </c>
      <c r="L4266" s="2">
        <v>233.81</v>
      </c>
      <c r="M4266" s="3">
        <v>0.1</v>
      </c>
      <c r="N4266" t="s">
        <v>29</v>
      </c>
      <c r="O4266" s="2">
        <v>210.43</v>
      </c>
      <c r="P4266" s="2">
        <v>159.27000000000001</v>
      </c>
      <c r="Q4266" s="2">
        <v>51.16</v>
      </c>
      <c r="R4266">
        <v>1</v>
      </c>
      <c r="S4266">
        <v>0</v>
      </c>
      <c r="T4266">
        <v>3</v>
      </c>
      <c r="U4266">
        <v>4</v>
      </c>
    </row>
    <row r="4267" spans="1:21" ht="16.5" x14ac:dyDescent="0.3">
      <c r="A4267" t="s">
        <v>4355</v>
      </c>
      <c r="B4267" s="1">
        <v>45915</v>
      </c>
      <c r="C4267">
        <v>2025</v>
      </c>
      <c r="D4267" t="s">
        <v>1187</v>
      </c>
      <c r="E4267" t="s">
        <v>1543</v>
      </c>
      <c r="F4267" t="s">
        <v>24</v>
      </c>
      <c r="G4267" t="s">
        <v>25</v>
      </c>
      <c r="H4267" t="s">
        <v>32</v>
      </c>
      <c r="I4267" t="s">
        <v>70</v>
      </c>
      <c r="J4267" t="s">
        <v>252</v>
      </c>
      <c r="K4267">
        <v>2</v>
      </c>
      <c r="L4267" s="2">
        <v>216.08</v>
      </c>
      <c r="M4267" s="3">
        <v>0</v>
      </c>
      <c r="N4267" t="s">
        <v>38</v>
      </c>
      <c r="O4267" s="2">
        <v>432.16</v>
      </c>
      <c r="P4267" s="2">
        <v>358.51</v>
      </c>
      <c r="Q4267" s="2">
        <v>73.650000000000006</v>
      </c>
      <c r="R4267">
        <v>1</v>
      </c>
      <c r="S4267">
        <v>1</v>
      </c>
      <c r="T4267">
        <v>4</v>
      </c>
      <c r="U4267">
        <v>4</v>
      </c>
    </row>
    <row r="4268" spans="1:21" ht="16.5" x14ac:dyDescent="0.3">
      <c r="A4268" t="s">
        <v>4356</v>
      </c>
      <c r="B4268" s="1">
        <v>45915</v>
      </c>
      <c r="C4268">
        <v>2025</v>
      </c>
      <c r="D4268" t="s">
        <v>1187</v>
      </c>
      <c r="E4268" t="s">
        <v>1543</v>
      </c>
      <c r="F4268" t="s">
        <v>31</v>
      </c>
      <c r="G4268" t="s">
        <v>25</v>
      </c>
      <c r="H4268" t="s">
        <v>32</v>
      </c>
      <c r="I4268" t="s">
        <v>42</v>
      </c>
      <c r="J4268" t="s">
        <v>54</v>
      </c>
      <c r="K4268">
        <v>2</v>
      </c>
      <c r="L4268" s="2">
        <v>148.05000000000001</v>
      </c>
      <c r="M4268" s="3">
        <v>0.1</v>
      </c>
      <c r="N4268" t="s">
        <v>29</v>
      </c>
      <c r="O4268" s="2">
        <v>266.49</v>
      </c>
      <c r="P4268" s="2">
        <v>198.53</v>
      </c>
      <c r="Q4268" s="2">
        <v>67.959999999999994</v>
      </c>
      <c r="R4268">
        <v>1</v>
      </c>
      <c r="S4268">
        <v>0</v>
      </c>
      <c r="T4268">
        <v>4</v>
      </c>
      <c r="U4268">
        <v>5</v>
      </c>
    </row>
    <row r="4269" spans="1:21" ht="16.5" x14ac:dyDescent="0.3">
      <c r="A4269" t="s">
        <v>4357</v>
      </c>
      <c r="B4269" s="1">
        <v>45916</v>
      </c>
      <c r="C4269">
        <v>2025</v>
      </c>
      <c r="D4269" t="s">
        <v>1187</v>
      </c>
      <c r="E4269" t="s">
        <v>1543</v>
      </c>
      <c r="F4269" t="s">
        <v>31</v>
      </c>
      <c r="G4269" t="s">
        <v>51</v>
      </c>
      <c r="H4269" t="s">
        <v>26</v>
      </c>
      <c r="I4269" t="s">
        <v>27</v>
      </c>
      <c r="J4269" t="s">
        <v>47</v>
      </c>
      <c r="K4269">
        <v>1</v>
      </c>
      <c r="L4269" s="2">
        <v>33.99</v>
      </c>
      <c r="M4269" s="3">
        <v>0</v>
      </c>
      <c r="N4269" t="s">
        <v>38</v>
      </c>
      <c r="O4269" s="2">
        <v>33.99</v>
      </c>
      <c r="P4269" s="2">
        <v>18.16</v>
      </c>
      <c r="Q4269" s="2">
        <v>15.83</v>
      </c>
      <c r="R4269">
        <v>1</v>
      </c>
      <c r="S4269">
        <v>0</v>
      </c>
      <c r="T4269">
        <v>5</v>
      </c>
      <c r="U4269">
        <v>4</v>
      </c>
    </row>
    <row r="4270" spans="1:21" ht="16.5" x14ac:dyDescent="0.3">
      <c r="A4270" t="s">
        <v>4358</v>
      </c>
      <c r="B4270" s="1">
        <v>45916</v>
      </c>
      <c r="C4270">
        <v>2025</v>
      </c>
      <c r="D4270" t="s">
        <v>1187</v>
      </c>
      <c r="E4270" t="s">
        <v>1543</v>
      </c>
      <c r="F4270" t="s">
        <v>31</v>
      </c>
      <c r="G4270" t="s">
        <v>46</v>
      </c>
      <c r="H4270" t="s">
        <v>26</v>
      </c>
      <c r="I4270" t="s">
        <v>70</v>
      </c>
      <c r="J4270" t="s">
        <v>162</v>
      </c>
      <c r="K4270">
        <v>1</v>
      </c>
      <c r="L4270" s="2">
        <v>636.09</v>
      </c>
      <c r="M4270" s="3">
        <v>0.15</v>
      </c>
      <c r="N4270" t="s">
        <v>34</v>
      </c>
      <c r="O4270" s="2">
        <v>540.67999999999995</v>
      </c>
      <c r="P4270" s="2">
        <v>515.04</v>
      </c>
      <c r="Q4270" s="2">
        <v>25.64</v>
      </c>
      <c r="R4270">
        <v>1</v>
      </c>
      <c r="S4270">
        <v>0</v>
      </c>
      <c r="T4270">
        <v>8</v>
      </c>
      <c r="U4270">
        <v>3</v>
      </c>
    </row>
    <row r="4271" spans="1:21" ht="16.5" x14ac:dyDescent="0.3">
      <c r="A4271" t="s">
        <v>4359</v>
      </c>
      <c r="B4271" s="1">
        <v>45916</v>
      </c>
      <c r="C4271">
        <v>2025</v>
      </c>
      <c r="D4271" t="s">
        <v>1187</v>
      </c>
      <c r="E4271" t="s">
        <v>1543</v>
      </c>
      <c r="F4271" t="s">
        <v>24</v>
      </c>
      <c r="G4271" t="s">
        <v>51</v>
      </c>
      <c r="H4271" t="s">
        <v>32</v>
      </c>
      <c r="I4271" t="s">
        <v>42</v>
      </c>
      <c r="J4271" t="s">
        <v>54</v>
      </c>
      <c r="K4271">
        <v>1</v>
      </c>
      <c r="L4271" s="2">
        <v>148.05000000000001</v>
      </c>
      <c r="M4271" s="3">
        <v>0.1</v>
      </c>
      <c r="N4271" t="s">
        <v>29</v>
      </c>
      <c r="O4271" s="2">
        <v>133.24</v>
      </c>
      <c r="P4271" s="2">
        <v>95.87</v>
      </c>
      <c r="Q4271" s="2">
        <v>37.369999999999997</v>
      </c>
      <c r="R4271">
        <v>1</v>
      </c>
      <c r="S4271">
        <v>0</v>
      </c>
      <c r="T4271">
        <v>4</v>
      </c>
      <c r="U4271">
        <v>5</v>
      </c>
    </row>
    <row r="4272" spans="1:21" ht="16.5" x14ac:dyDescent="0.3">
      <c r="A4272" t="s">
        <v>4360</v>
      </c>
      <c r="B4272" s="1">
        <v>45916</v>
      </c>
      <c r="C4272">
        <v>2025</v>
      </c>
      <c r="D4272" t="s">
        <v>1187</v>
      </c>
      <c r="E4272" t="s">
        <v>1543</v>
      </c>
      <c r="F4272" t="s">
        <v>31</v>
      </c>
      <c r="G4272" t="s">
        <v>46</v>
      </c>
      <c r="H4272" t="s">
        <v>32</v>
      </c>
      <c r="I4272" t="s">
        <v>36</v>
      </c>
      <c r="J4272" t="s">
        <v>56</v>
      </c>
      <c r="K4272">
        <v>1</v>
      </c>
      <c r="L4272" s="2">
        <v>74.3</v>
      </c>
      <c r="M4272" s="3">
        <v>0.05</v>
      </c>
      <c r="N4272" t="s">
        <v>29</v>
      </c>
      <c r="O4272" s="2">
        <v>70.58</v>
      </c>
      <c r="P4272" s="2">
        <v>35.22</v>
      </c>
      <c r="Q4272" s="2">
        <v>35.36</v>
      </c>
      <c r="R4272">
        <v>1</v>
      </c>
      <c r="S4272">
        <v>0</v>
      </c>
      <c r="T4272">
        <v>7</v>
      </c>
      <c r="U4272">
        <v>3</v>
      </c>
    </row>
    <row r="4273" spans="1:21" ht="16.5" x14ac:dyDescent="0.3">
      <c r="A4273" t="s">
        <v>4361</v>
      </c>
      <c r="B4273" s="1">
        <v>45916</v>
      </c>
      <c r="C4273">
        <v>2025</v>
      </c>
      <c r="D4273" t="s">
        <v>1187</v>
      </c>
      <c r="E4273" t="s">
        <v>1543</v>
      </c>
      <c r="F4273" t="s">
        <v>24</v>
      </c>
      <c r="G4273" t="s">
        <v>46</v>
      </c>
      <c r="H4273" t="s">
        <v>26</v>
      </c>
      <c r="I4273" t="s">
        <v>84</v>
      </c>
      <c r="J4273" t="s">
        <v>106</v>
      </c>
      <c r="K4273">
        <v>1</v>
      </c>
      <c r="L4273" s="2">
        <v>45.28</v>
      </c>
      <c r="M4273" s="3">
        <v>0</v>
      </c>
      <c r="N4273" t="s">
        <v>38</v>
      </c>
      <c r="O4273" s="2">
        <v>45.28</v>
      </c>
      <c r="P4273" s="2">
        <v>32.909999999999997</v>
      </c>
      <c r="Q4273" s="2">
        <v>12.37</v>
      </c>
      <c r="R4273">
        <v>1</v>
      </c>
      <c r="S4273">
        <v>0</v>
      </c>
      <c r="T4273">
        <v>6</v>
      </c>
      <c r="U4273">
        <v>4</v>
      </c>
    </row>
    <row r="4274" spans="1:21" ht="16.5" x14ac:dyDescent="0.3">
      <c r="A4274" t="s">
        <v>4362</v>
      </c>
      <c r="B4274" s="1">
        <v>45916</v>
      </c>
      <c r="C4274">
        <v>2025</v>
      </c>
      <c r="D4274" t="s">
        <v>1187</v>
      </c>
      <c r="E4274" t="s">
        <v>1543</v>
      </c>
      <c r="F4274" t="s">
        <v>31</v>
      </c>
      <c r="G4274" t="s">
        <v>49</v>
      </c>
      <c r="H4274" t="s">
        <v>26</v>
      </c>
      <c r="I4274" t="s">
        <v>42</v>
      </c>
      <c r="J4274" t="s">
        <v>89</v>
      </c>
      <c r="K4274">
        <v>3</v>
      </c>
      <c r="L4274" s="2">
        <v>68.349999999999994</v>
      </c>
      <c r="M4274" s="3">
        <v>0.1</v>
      </c>
      <c r="N4274" t="s">
        <v>29</v>
      </c>
      <c r="O4274" s="2">
        <v>184.54</v>
      </c>
      <c r="P4274" s="2">
        <v>135.88999999999999</v>
      </c>
      <c r="Q4274" s="2">
        <v>48.65</v>
      </c>
      <c r="R4274">
        <v>1</v>
      </c>
      <c r="S4274">
        <v>0</v>
      </c>
      <c r="T4274">
        <v>5</v>
      </c>
      <c r="U4274">
        <v>4</v>
      </c>
    </row>
    <row r="4275" spans="1:21" ht="16.5" x14ac:dyDescent="0.3">
      <c r="A4275" t="s">
        <v>4363</v>
      </c>
      <c r="B4275" s="1">
        <v>45917</v>
      </c>
      <c r="C4275">
        <v>2025</v>
      </c>
      <c r="D4275" t="s">
        <v>1187</v>
      </c>
      <c r="E4275" t="s">
        <v>1543</v>
      </c>
      <c r="F4275" t="s">
        <v>45</v>
      </c>
      <c r="G4275" t="s">
        <v>25</v>
      </c>
      <c r="H4275" t="s">
        <v>32</v>
      </c>
      <c r="I4275" t="s">
        <v>84</v>
      </c>
      <c r="J4275" t="s">
        <v>132</v>
      </c>
      <c r="K4275">
        <v>3</v>
      </c>
      <c r="L4275" s="2">
        <v>48.86</v>
      </c>
      <c r="M4275" s="3">
        <v>0.1</v>
      </c>
      <c r="N4275" t="s">
        <v>29</v>
      </c>
      <c r="O4275" s="2">
        <v>131.91999999999999</v>
      </c>
      <c r="P4275" s="2">
        <v>101.39</v>
      </c>
      <c r="Q4275" s="2">
        <v>30.53</v>
      </c>
      <c r="R4275">
        <v>1</v>
      </c>
      <c r="S4275">
        <v>0</v>
      </c>
      <c r="T4275">
        <v>6</v>
      </c>
      <c r="U4275">
        <v>3</v>
      </c>
    </row>
    <row r="4276" spans="1:21" ht="16.5" x14ac:dyDescent="0.3">
      <c r="A4276" t="s">
        <v>4364</v>
      </c>
      <c r="B4276" s="1">
        <v>45917</v>
      </c>
      <c r="C4276">
        <v>2025</v>
      </c>
      <c r="D4276" t="s">
        <v>1187</v>
      </c>
      <c r="E4276" t="s">
        <v>1543</v>
      </c>
      <c r="F4276" t="s">
        <v>31</v>
      </c>
      <c r="G4276" t="s">
        <v>49</v>
      </c>
      <c r="H4276" t="s">
        <v>26</v>
      </c>
      <c r="I4276" t="s">
        <v>70</v>
      </c>
      <c r="J4276" t="s">
        <v>71</v>
      </c>
      <c r="K4276">
        <v>1</v>
      </c>
      <c r="L4276" s="2">
        <v>588.41</v>
      </c>
      <c r="M4276" s="3">
        <v>0</v>
      </c>
      <c r="N4276" t="s">
        <v>38</v>
      </c>
      <c r="O4276" s="2">
        <v>588.41</v>
      </c>
      <c r="P4276" s="2">
        <v>483.79</v>
      </c>
      <c r="Q4276" s="2">
        <v>104.62</v>
      </c>
      <c r="R4276">
        <v>1</v>
      </c>
      <c r="S4276">
        <v>0</v>
      </c>
      <c r="T4276">
        <v>4</v>
      </c>
      <c r="U4276">
        <v>5</v>
      </c>
    </row>
    <row r="4277" spans="1:21" ht="16.5" x14ac:dyDescent="0.3">
      <c r="A4277" t="s">
        <v>4365</v>
      </c>
      <c r="B4277" s="1">
        <v>45917</v>
      </c>
      <c r="C4277">
        <v>2025</v>
      </c>
      <c r="D4277" t="s">
        <v>1187</v>
      </c>
      <c r="E4277" t="s">
        <v>1543</v>
      </c>
      <c r="F4277" t="s">
        <v>31</v>
      </c>
      <c r="G4277" t="s">
        <v>51</v>
      </c>
      <c r="H4277" t="s">
        <v>26</v>
      </c>
      <c r="I4277" t="s">
        <v>27</v>
      </c>
      <c r="J4277" t="s">
        <v>40</v>
      </c>
      <c r="K4277">
        <v>2</v>
      </c>
      <c r="L4277" s="2">
        <v>104.94</v>
      </c>
      <c r="M4277" s="3">
        <v>0.15</v>
      </c>
      <c r="N4277" t="s">
        <v>34</v>
      </c>
      <c r="O4277" s="2">
        <v>178.4</v>
      </c>
      <c r="P4277" s="2">
        <v>117.03</v>
      </c>
      <c r="Q4277" s="2">
        <v>61.37</v>
      </c>
      <c r="R4277">
        <v>1</v>
      </c>
      <c r="S4277">
        <v>0</v>
      </c>
      <c r="T4277">
        <v>5</v>
      </c>
      <c r="U4277">
        <v>4</v>
      </c>
    </row>
    <row r="4278" spans="1:21" ht="16.5" x14ac:dyDescent="0.3">
      <c r="A4278" t="s">
        <v>4366</v>
      </c>
      <c r="B4278" s="1">
        <v>45917</v>
      </c>
      <c r="C4278">
        <v>2025</v>
      </c>
      <c r="D4278" t="s">
        <v>1187</v>
      </c>
      <c r="E4278" t="s">
        <v>1543</v>
      </c>
      <c r="F4278" t="s">
        <v>45</v>
      </c>
      <c r="G4278" t="s">
        <v>49</v>
      </c>
      <c r="H4278" t="s">
        <v>32</v>
      </c>
      <c r="I4278" t="s">
        <v>27</v>
      </c>
      <c r="J4278" t="s">
        <v>47</v>
      </c>
      <c r="K4278">
        <v>1</v>
      </c>
      <c r="L4278" s="2">
        <v>33.99</v>
      </c>
      <c r="M4278" s="3">
        <v>0</v>
      </c>
      <c r="N4278" t="s">
        <v>38</v>
      </c>
      <c r="O4278" s="2">
        <v>33.99</v>
      </c>
      <c r="P4278" s="2">
        <v>19.440000000000001</v>
      </c>
      <c r="Q4278" s="2">
        <v>14.55</v>
      </c>
      <c r="R4278">
        <v>1</v>
      </c>
      <c r="S4278">
        <v>0</v>
      </c>
      <c r="T4278">
        <v>4</v>
      </c>
      <c r="U4278">
        <v>4</v>
      </c>
    </row>
    <row r="4279" spans="1:21" ht="16.5" x14ac:dyDescent="0.3">
      <c r="A4279" t="s">
        <v>4367</v>
      </c>
      <c r="B4279" s="1">
        <v>45917</v>
      </c>
      <c r="C4279">
        <v>2025</v>
      </c>
      <c r="D4279" t="s">
        <v>1187</v>
      </c>
      <c r="E4279" t="s">
        <v>1543</v>
      </c>
      <c r="F4279" t="s">
        <v>24</v>
      </c>
      <c r="G4279" t="s">
        <v>25</v>
      </c>
      <c r="H4279" t="s">
        <v>32</v>
      </c>
      <c r="I4279" t="s">
        <v>42</v>
      </c>
      <c r="J4279" t="s">
        <v>98</v>
      </c>
      <c r="K4279">
        <v>4</v>
      </c>
      <c r="L4279" s="2">
        <v>117.63</v>
      </c>
      <c r="M4279" s="3">
        <v>0.15</v>
      </c>
      <c r="N4279" t="s">
        <v>34</v>
      </c>
      <c r="O4279" s="2">
        <v>399.94</v>
      </c>
      <c r="P4279" s="2">
        <v>300.54000000000002</v>
      </c>
      <c r="Q4279" s="2">
        <v>99.4</v>
      </c>
      <c r="R4279">
        <v>1</v>
      </c>
      <c r="S4279">
        <v>0</v>
      </c>
      <c r="T4279">
        <v>5</v>
      </c>
      <c r="U4279">
        <v>4</v>
      </c>
    </row>
    <row r="4280" spans="1:21" ht="16.5" x14ac:dyDescent="0.3">
      <c r="A4280" t="s">
        <v>4368</v>
      </c>
      <c r="B4280" s="1">
        <v>45918</v>
      </c>
      <c r="C4280">
        <v>2025</v>
      </c>
      <c r="D4280" t="s">
        <v>1187</v>
      </c>
      <c r="E4280" t="s">
        <v>1543</v>
      </c>
      <c r="F4280" t="s">
        <v>31</v>
      </c>
      <c r="G4280" t="s">
        <v>25</v>
      </c>
      <c r="H4280" t="s">
        <v>26</v>
      </c>
      <c r="I4280" t="s">
        <v>27</v>
      </c>
      <c r="J4280" t="s">
        <v>33</v>
      </c>
      <c r="K4280">
        <v>2</v>
      </c>
      <c r="L4280" s="2">
        <v>78.510000000000005</v>
      </c>
      <c r="M4280" s="3">
        <v>0.1</v>
      </c>
      <c r="N4280" t="s">
        <v>29</v>
      </c>
      <c r="O4280" s="2">
        <v>141.32</v>
      </c>
      <c r="P4280" s="2">
        <v>86.61</v>
      </c>
      <c r="Q4280" s="2">
        <v>54.71</v>
      </c>
      <c r="R4280">
        <v>1</v>
      </c>
      <c r="S4280">
        <v>0</v>
      </c>
      <c r="T4280">
        <v>4</v>
      </c>
      <c r="U4280">
        <v>4</v>
      </c>
    </row>
    <row r="4281" spans="1:21" ht="16.5" x14ac:dyDescent="0.3">
      <c r="A4281" t="s">
        <v>4369</v>
      </c>
      <c r="B4281" s="1">
        <v>45918</v>
      </c>
      <c r="C4281">
        <v>2025</v>
      </c>
      <c r="D4281" t="s">
        <v>1187</v>
      </c>
      <c r="E4281" t="s">
        <v>1543</v>
      </c>
      <c r="F4281" t="s">
        <v>31</v>
      </c>
      <c r="G4281" t="s">
        <v>25</v>
      </c>
      <c r="H4281" t="s">
        <v>32</v>
      </c>
      <c r="I4281" t="s">
        <v>27</v>
      </c>
      <c r="J4281" t="s">
        <v>60</v>
      </c>
      <c r="K4281">
        <v>4</v>
      </c>
      <c r="L4281" s="2">
        <v>94.85</v>
      </c>
      <c r="M4281" s="3">
        <v>0.1</v>
      </c>
      <c r="N4281" t="s">
        <v>29</v>
      </c>
      <c r="O4281" s="2">
        <v>341.46</v>
      </c>
      <c r="P4281" s="2">
        <v>206.8</v>
      </c>
      <c r="Q4281" s="2">
        <v>134.66</v>
      </c>
      <c r="R4281">
        <v>1</v>
      </c>
      <c r="S4281">
        <v>0</v>
      </c>
      <c r="T4281">
        <v>4</v>
      </c>
      <c r="U4281">
        <v>4</v>
      </c>
    </row>
    <row r="4282" spans="1:21" ht="16.5" x14ac:dyDescent="0.3">
      <c r="A4282" t="s">
        <v>4370</v>
      </c>
      <c r="B4282" s="1">
        <v>45918</v>
      </c>
      <c r="C4282">
        <v>2025</v>
      </c>
      <c r="D4282" t="s">
        <v>1187</v>
      </c>
      <c r="E4282" t="s">
        <v>1543</v>
      </c>
      <c r="F4282" t="s">
        <v>31</v>
      </c>
      <c r="G4282" t="s">
        <v>46</v>
      </c>
      <c r="H4282" t="s">
        <v>26</v>
      </c>
      <c r="I4282" t="s">
        <v>70</v>
      </c>
      <c r="J4282" t="s">
        <v>87</v>
      </c>
      <c r="K4282">
        <v>1</v>
      </c>
      <c r="L4282" s="2">
        <v>490.3</v>
      </c>
      <c r="M4282" s="3">
        <v>0.05</v>
      </c>
      <c r="N4282" t="s">
        <v>29</v>
      </c>
      <c r="O4282" s="2">
        <v>465.78</v>
      </c>
      <c r="P4282" s="2">
        <v>433.05</v>
      </c>
      <c r="Q4282" s="2">
        <v>32.729999999999997</v>
      </c>
      <c r="R4282">
        <v>1</v>
      </c>
      <c r="S4282">
        <v>0</v>
      </c>
      <c r="T4282">
        <v>5</v>
      </c>
      <c r="U4282">
        <v>5</v>
      </c>
    </row>
    <row r="4283" spans="1:21" ht="16.5" x14ac:dyDescent="0.3">
      <c r="A4283" t="s">
        <v>4371</v>
      </c>
      <c r="B4283" s="1">
        <v>45918</v>
      </c>
      <c r="C4283">
        <v>2025</v>
      </c>
      <c r="D4283" t="s">
        <v>1187</v>
      </c>
      <c r="E4283" t="s">
        <v>1543</v>
      </c>
      <c r="F4283" t="s">
        <v>24</v>
      </c>
      <c r="G4283" t="s">
        <v>51</v>
      </c>
      <c r="H4283" t="s">
        <v>32</v>
      </c>
      <c r="I4283" t="s">
        <v>27</v>
      </c>
      <c r="J4283" t="s">
        <v>47</v>
      </c>
      <c r="K4283">
        <v>1</v>
      </c>
      <c r="L4283" s="2">
        <v>33.99</v>
      </c>
      <c r="M4283" s="3">
        <v>0.15</v>
      </c>
      <c r="N4283" t="s">
        <v>34</v>
      </c>
      <c r="O4283" s="2">
        <v>28.89</v>
      </c>
      <c r="P4283" s="2">
        <v>18.16</v>
      </c>
      <c r="Q4283" s="2">
        <v>10.73</v>
      </c>
      <c r="R4283">
        <v>1</v>
      </c>
      <c r="S4283">
        <v>0</v>
      </c>
      <c r="T4283">
        <v>3</v>
      </c>
      <c r="U4283">
        <v>5</v>
      </c>
    </row>
    <row r="4284" spans="1:21" ht="16.5" x14ac:dyDescent="0.3">
      <c r="A4284" t="s">
        <v>4372</v>
      </c>
      <c r="B4284" s="1">
        <v>45919</v>
      </c>
      <c r="C4284">
        <v>2025</v>
      </c>
      <c r="D4284" t="s">
        <v>1187</v>
      </c>
      <c r="E4284" t="s">
        <v>1543</v>
      </c>
      <c r="F4284" t="s">
        <v>31</v>
      </c>
      <c r="G4284" t="s">
        <v>51</v>
      </c>
      <c r="H4284" t="s">
        <v>32</v>
      </c>
      <c r="I4284" t="s">
        <v>36</v>
      </c>
      <c r="J4284" t="s">
        <v>52</v>
      </c>
      <c r="K4284">
        <v>1</v>
      </c>
      <c r="L4284" s="2">
        <v>92.54</v>
      </c>
      <c r="M4284" s="3">
        <v>0.2</v>
      </c>
      <c r="N4284" t="s">
        <v>34</v>
      </c>
      <c r="O4284" s="2">
        <v>74.03</v>
      </c>
      <c r="P4284" s="2">
        <v>45.17</v>
      </c>
      <c r="Q4284" s="2">
        <v>28.86</v>
      </c>
      <c r="R4284">
        <v>1</v>
      </c>
      <c r="S4284">
        <v>0</v>
      </c>
      <c r="T4284">
        <v>4</v>
      </c>
      <c r="U4284">
        <v>4</v>
      </c>
    </row>
    <row r="4285" spans="1:21" ht="16.5" x14ac:dyDescent="0.3">
      <c r="A4285" t="s">
        <v>4373</v>
      </c>
      <c r="B4285" s="1">
        <v>45919</v>
      </c>
      <c r="C4285">
        <v>2025</v>
      </c>
      <c r="D4285" t="s">
        <v>1187</v>
      </c>
      <c r="E4285" t="s">
        <v>1543</v>
      </c>
      <c r="F4285" t="s">
        <v>31</v>
      </c>
      <c r="G4285" t="s">
        <v>51</v>
      </c>
      <c r="H4285" t="s">
        <v>32</v>
      </c>
      <c r="I4285" t="s">
        <v>27</v>
      </c>
      <c r="J4285" t="s">
        <v>60</v>
      </c>
      <c r="K4285">
        <v>1</v>
      </c>
      <c r="L4285" s="2">
        <v>94.85</v>
      </c>
      <c r="M4285" s="3">
        <v>0</v>
      </c>
      <c r="N4285" t="s">
        <v>38</v>
      </c>
      <c r="O4285" s="2">
        <v>94.85</v>
      </c>
      <c r="P4285" s="2">
        <v>53.87</v>
      </c>
      <c r="Q4285" s="2">
        <v>40.98</v>
      </c>
      <c r="R4285">
        <v>1</v>
      </c>
      <c r="S4285">
        <v>0</v>
      </c>
      <c r="T4285">
        <v>4</v>
      </c>
      <c r="U4285">
        <v>4</v>
      </c>
    </row>
    <row r="4286" spans="1:21" ht="16.5" x14ac:dyDescent="0.3">
      <c r="A4286" t="s">
        <v>4374</v>
      </c>
      <c r="B4286" s="1">
        <v>45919</v>
      </c>
      <c r="C4286">
        <v>2025</v>
      </c>
      <c r="D4286" t="s">
        <v>1187</v>
      </c>
      <c r="E4286" t="s">
        <v>1543</v>
      </c>
      <c r="F4286" t="s">
        <v>24</v>
      </c>
      <c r="G4286" t="s">
        <v>49</v>
      </c>
      <c r="H4286" t="s">
        <v>26</v>
      </c>
      <c r="I4286" t="s">
        <v>42</v>
      </c>
      <c r="J4286" t="s">
        <v>58</v>
      </c>
      <c r="K4286">
        <v>1</v>
      </c>
      <c r="L4286" s="2">
        <v>233.81</v>
      </c>
      <c r="M4286" s="3">
        <v>0.15</v>
      </c>
      <c r="N4286" t="s">
        <v>34</v>
      </c>
      <c r="O4286" s="2">
        <v>198.74</v>
      </c>
      <c r="P4286" s="2">
        <v>152.18</v>
      </c>
      <c r="Q4286" s="2">
        <v>46.56</v>
      </c>
      <c r="R4286">
        <v>1</v>
      </c>
      <c r="S4286">
        <v>1</v>
      </c>
      <c r="T4286">
        <v>4</v>
      </c>
      <c r="U4286">
        <v>3</v>
      </c>
    </row>
    <row r="4287" spans="1:21" ht="16.5" x14ac:dyDescent="0.3">
      <c r="A4287" t="s">
        <v>4375</v>
      </c>
      <c r="B4287" s="1">
        <v>45919</v>
      </c>
      <c r="C4287">
        <v>2025</v>
      </c>
      <c r="D4287" t="s">
        <v>1187</v>
      </c>
      <c r="E4287" t="s">
        <v>1543</v>
      </c>
      <c r="F4287" t="s">
        <v>45</v>
      </c>
      <c r="G4287" t="s">
        <v>46</v>
      </c>
      <c r="H4287" t="s">
        <v>32</v>
      </c>
      <c r="I4287" t="s">
        <v>84</v>
      </c>
      <c r="J4287" t="s">
        <v>106</v>
      </c>
      <c r="K4287">
        <v>2</v>
      </c>
      <c r="L4287" s="2">
        <v>45.28</v>
      </c>
      <c r="M4287" s="3">
        <v>0.15</v>
      </c>
      <c r="N4287" t="s">
        <v>34</v>
      </c>
      <c r="O4287" s="2">
        <v>76.98</v>
      </c>
      <c r="P4287" s="2">
        <v>65.47</v>
      </c>
      <c r="Q4287" s="2">
        <v>11.51</v>
      </c>
      <c r="R4287">
        <v>1</v>
      </c>
      <c r="S4287">
        <v>1</v>
      </c>
      <c r="T4287">
        <v>8</v>
      </c>
      <c r="U4287">
        <v>2</v>
      </c>
    </row>
    <row r="4288" spans="1:21" ht="16.5" x14ac:dyDescent="0.3">
      <c r="A4288" t="s">
        <v>4376</v>
      </c>
      <c r="B4288" s="1">
        <v>45919</v>
      </c>
      <c r="C4288">
        <v>2025</v>
      </c>
      <c r="D4288" t="s">
        <v>1187</v>
      </c>
      <c r="E4288" t="s">
        <v>1543</v>
      </c>
      <c r="F4288" t="s">
        <v>45</v>
      </c>
      <c r="G4288" t="s">
        <v>51</v>
      </c>
      <c r="H4288" t="s">
        <v>32</v>
      </c>
      <c r="I4288" t="s">
        <v>70</v>
      </c>
      <c r="J4288" t="s">
        <v>129</v>
      </c>
      <c r="K4288">
        <v>1</v>
      </c>
      <c r="L4288" s="2">
        <v>177.65</v>
      </c>
      <c r="M4288" s="3">
        <v>0.1</v>
      </c>
      <c r="N4288" t="s">
        <v>29</v>
      </c>
      <c r="O4288" s="2">
        <v>159.88999999999999</v>
      </c>
      <c r="P4288" s="2">
        <v>139.69999999999999</v>
      </c>
      <c r="Q4288" s="2">
        <v>20.190000000000001</v>
      </c>
      <c r="R4288">
        <v>1</v>
      </c>
      <c r="S4288">
        <v>0</v>
      </c>
      <c r="T4288">
        <v>2</v>
      </c>
      <c r="U4288">
        <v>4</v>
      </c>
    </row>
    <row r="4289" spans="1:21" ht="16.5" x14ac:dyDescent="0.3">
      <c r="A4289" t="s">
        <v>4377</v>
      </c>
      <c r="B4289" s="1">
        <v>45919</v>
      </c>
      <c r="C4289">
        <v>2025</v>
      </c>
      <c r="D4289" t="s">
        <v>1187</v>
      </c>
      <c r="E4289" t="s">
        <v>1543</v>
      </c>
      <c r="F4289" t="s">
        <v>31</v>
      </c>
      <c r="G4289" t="s">
        <v>51</v>
      </c>
      <c r="H4289" t="s">
        <v>32</v>
      </c>
      <c r="I4289" t="s">
        <v>84</v>
      </c>
      <c r="J4289" t="s">
        <v>223</v>
      </c>
      <c r="K4289">
        <v>1</v>
      </c>
      <c r="L4289" s="2">
        <v>16.97</v>
      </c>
      <c r="M4289" s="3">
        <v>0</v>
      </c>
      <c r="N4289" t="s">
        <v>38</v>
      </c>
      <c r="O4289" s="2">
        <v>16.97</v>
      </c>
      <c r="P4289" s="2">
        <v>12.19</v>
      </c>
      <c r="Q4289" s="2">
        <v>4.78</v>
      </c>
      <c r="R4289">
        <v>1</v>
      </c>
      <c r="S4289">
        <v>0</v>
      </c>
      <c r="T4289">
        <v>4</v>
      </c>
      <c r="U4289">
        <v>5</v>
      </c>
    </row>
    <row r="4290" spans="1:21" ht="16.5" x14ac:dyDescent="0.3">
      <c r="A4290" t="s">
        <v>4378</v>
      </c>
      <c r="B4290" s="1">
        <v>45919</v>
      </c>
      <c r="C4290">
        <v>2025</v>
      </c>
      <c r="D4290" t="s">
        <v>1187</v>
      </c>
      <c r="E4290" t="s">
        <v>1543</v>
      </c>
      <c r="F4290" t="s">
        <v>24</v>
      </c>
      <c r="G4290" t="s">
        <v>51</v>
      </c>
      <c r="H4290" t="s">
        <v>26</v>
      </c>
      <c r="I4290" t="s">
        <v>67</v>
      </c>
      <c r="J4290" t="s">
        <v>78</v>
      </c>
      <c r="K4290">
        <v>1</v>
      </c>
      <c r="L4290" s="2">
        <v>85.42</v>
      </c>
      <c r="M4290" s="3">
        <v>0.15</v>
      </c>
      <c r="N4290" t="s">
        <v>34</v>
      </c>
      <c r="O4290" s="2">
        <v>72.61</v>
      </c>
      <c r="P4290" s="2">
        <v>59.92</v>
      </c>
      <c r="Q4290" s="2">
        <v>12.69</v>
      </c>
      <c r="R4290">
        <v>1</v>
      </c>
      <c r="S4290">
        <v>0</v>
      </c>
      <c r="T4290">
        <v>3</v>
      </c>
      <c r="U4290">
        <v>5</v>
      </c>
    </row>
    <row r="4291" spans="1:21" ht="16.5" x14ac:dyDescent="0.3">
      <c r="A4291" t="s">
        <v>4379</v>
      </c>
      <c r="B4291" s="1">
        <v>45919</v>
      </c>
      <c r="C4291">
        <v>2025</v>
      </c>
      <c r="D4291" t="s">
        <v>1187</v>
      </c>
      <c r="E4291" t="s">
        <v>1543</v>
      </c>
      <c r="F4291" t="s">
        <v>24</v>
      </c>
      <c r="G4291" t="s">
        <v>46</v>
      </c>
      <c r="H4291" t="s">
        <v>26</v>
      </c>
      <c r="I4291" t="s">
        <v>67</v>
      </c>
      <c r="J4291" t="s">
        <v>68</v>
      </c>
      <c r="K4291">
        <v>1</v>
      </c>
      <c r="L4291" s="2">
        <v>74.459999999999994</v>
      </c>
      <c r="M4291" s="3">
        <v>0</v>
      </c>
      <c r="N4291" t="s">
        <v>38</v>
      </c>
      <c r="O4291" s="2">
        <v>74.459999999999994</v>
      </c>
      <c r="P4291" s="2">
        <v>51.29</v>
      </c>
      <c r="Q4291" s="2">
        <v>23.17</v>
      </c>
      <c r="R4291">
        <v>1</v>
      </c>
      <c r="S4291">
        <v>0</v>
      </c>
      <c r="T4291">
        <v>5</v>
      </c>
      <c r="U4291">
        <v>5</v>
      </c>
    </row>
    <row r="4292" spans="1:21" ht="16.5" x14ac:dyDescent="0.3">
      <c r="A4292" t="s">
        <v>4380</v>
      </c>
      <c r="B4292" s="1">
        <v>45919</v>
      </c>
      <c r="C4292">
        <v>2025</v>
      </c>
      <c r="D4292" t="s">
        <v>1187</v>
      </c>
      <c r="E4292" t="s">
        <v>1543</v>
      </c>
      <c r="F4292" t="s">
        <v>24</v>
      </c>
      <c r="G4292" t="s">
        <v>49</v>
      </c>
      <c r="H4292" t="s">
        <v>26</v>
      </c>
      <c r="I4292" t="s">
        <v>84</v>
      </c>
      <c r="J4292" t="s">
        <v>132</v>
      </c>
      <c r="K4292">
        <v>1</v>
      </c>
      <c r="L4292" s="2">
        <v>48.86</v>
      </c>
      <c r="M4292" s="3">
        <v>0</v>
      </c>
      <c r="N4292" t="s">
        <v>38</v>
      </c>
      <c r="O4292" s="2">
        <v>48.86</v>
      </c>
      <c r="P4292" s="2">
        <v>35.729999999999997</v>
      </c>
      <c r="Q4292" s="2">
        <v>13.13</v>
      </c>
      <c r="R4292">
        <v>1</v>
      </c>
      <c r="S4292">
        <v>0</v>
      </c>
      <c r="T4292">
        <v>3</v>
      </c>
      <c r="U4292">
        <v>5</v>
      </c>
    </row>
    <row r="4293" spans="1:21" ht="16.5" x14ac:dyDescent="0.3">
      <c r="A4293" t="s">
        <v>4381</v>
      </c>
      <c r="B4293" s="1">
        <v>45920</v>
      </c>
      <c r="C4293">
        <v>2025</v>
      </c>
      <c r="D4293" t="s">
        <v>1187</v>
      </c>
      <c r="E4293" t="s">
        <v>1543</v>
      </c>
      <c r="F4293" t="s">
        <v>24</v>
      </c>
      <c r="G4293" t="s">
        <v>51</v>
      </c>
      <c r="H4293" t="s">
        <v>26</v>
      </c>
      <c r="I4293" t="s">
        <v>70</v>
      </c>
      <c r="J4293" t="s">
        <v>71</v>
      </c>
      <c r="K4293">
        <v>1</v>
      </c>
      <c r="L4293" s="2">
        <v>588.41</v>
      </c>
      <c r="M4293" s="3">
        <v>0</v>
      </c>
      <c r="N4293" t="s">
        <v>38</v>
      </c>
      <c r="O4293" s="2">
        <v>588.41</v>
      </c>
      <c r="P4293" s="2">
        <v>478.98</v>
      </c>
      <c r="Q4293" s="2">
        <v>109.43</v>
      </c>
      <c r="R4293">
        <v>1</v>
      </c>
      <c r="S4293">
        <v>0</v>
      </c>
      <c r="T4293">
        <v>7</v>
      </c>
      <c r="U4293">
        <v>4</v>
      </c>
    </row>
    <row r="4294" spans="1:21" ht="16.5" x14ac:dyDescent="0.3">
      <c r="A4294" t="s">
        <v>4382</v>
      </c>
      <c r="B4294" s="1">
        <v>45920</v>
      </c>
      <c r="C4294">
        <v>2025</v>
      </c>
      <c r="D4294" t="s">
        <v>1187</v>
      </c>
      <c r="E4294" t="s">
        <v>1543</v>
      </c>
      <c r="F4294" t="s">
        <v>45</v>
      </c>
      <c r="G4294" t="s">
        <v>25</v>
      </c>
      <c r="H4294" t="s">
        <v>26</v>
      </c>
      <c r="I4294" t="s">
        <v>42</v>
      </c>
      <c r="J4294" t="s">
        <v>76</v>
      </c>
      <c r="K4294">
        <v>2</v>
      </c>
      <c r="L4294" s="2">
        <v>90.75</v>
      </c>
      <c r="M4294" s="3">
        <v>0.05</v>
      </c>
      <c r="N4294" t="s">
        <v>29</v>
      </c>
      <c r="O4294" s="2">
        <v>172.42</v>
      </c>
      <c r="P4294" s="2">
        <v>120.74</v>
      </c>
      <c r="Q4294" s="2">
        <v>51.68</v>
      </c>
      <c r="R4294">
        <v>1</v>
      </c>
      <c r="S4294">
        <v>0</v>
      </c>
      <c r="T4294">
        <v>3</v>
      </c>
      <c r="U4294">
        <v>4</v>
      </c>
    </row>
    <row r="4295" spans="1:21" ht="16.5" x14ac:dyDescent="0.3">
      <c r="A4295" t="s">
        <v>4383</v>
      </c>
      <c r="B4295" s="1">
        <v>45920</v>
      </c>
      <c r="C4295">
        <v>2025</v>
      </c>
      <c r="D4295" t="s">
        <v>1187</v>
      </c>
      <c r="E4295" t="s">
        <v>1543</v>
      </c>
      <c r="F4295" t="s">
        <v>24</v>
      </c>
      <c r="G4295" t="s">
        <v>51</v>
      </c>
      <c r="H4295" t="s">
        <v>26</v>
      </c>
      <c r="I4295" t="s">
        <v>70</v>
      </c>
      <c r="J4295" t="s">
        <v>162</v>
      </c>
      <c r="K4295">
        <v>1</v>
      </c>
      <c r="L4295" s="2">
        <v>636.09</v>
      </c>
      <c r="M4295" s="3">
        <v>0</v>
      </c>
      <c r="N4295" t="s">
        <v>38</v>
      </c>
      <c r="O4295" s="2">
        <v>636.09</v>
      </c>
      <c r="P4295" s="2">
        <v>502.63</v>
      </c>
      <c r="Q4295" s="2">
        <v>133.46</v>
      </c>
      <c r="R4295">
        <v>1</v>
      </c>
      <c r="S4295">
        <v>0</v>
      </c>
      <c r="T4295">
        <v>4</v>
      </c>
      <c r="U4295">
        <v>5</v>
      </c>
    </row>
    <row r="4296" spans="1:21" ht="16.5" x14ac:dyDescent="0.3">
      <c r="A4296" t="s">
        <v>4384</v>
      </c>
      <c r="B4296" s="1">
        <v>45920</v>
      </c>
      <c r="C4296">
        <v>2025</v>
      </c>
      <c r="D4296" t="s">
        <v>1187</v>
      </c>
      <c r="E4296" t="s">
        <v>1543</v>
      </c>
      <c r="F4296" t="s">
        <v>45</v>
      </c>
      <c r="G4296" t="s">
        <v>25</v>
      </c>
      <c r="H4296" t="s">
        <v>26</v>
      </c>
      <c r="I4296" t="s">
        <v>67</v>
      </c>
      <c r="J4296" t="s">
        <v>103</v>
      </c>
      <c r="K4296">
        <v>2</v>
      </c>
      <c r="L4296" s="2">
        <v>83.06</v>
      </c>
      <c r="M4296" s="3">
        <v>0.1</v>
      </c>
      <c r="N4296" t="s">
        <v>29</v>
      </c>
      <c r="O4296" s="2">
        <v>149.51</v>
      </c>
      <c r="P4296" s="2">
        <v>112.12</v>
      </c>
      <c r="Q4296" s="2">
        <v>37.39</v>
      </c>
      <c r="R4296">
        <v>1</v>
      </c>
      <c r="S4296">
        <v>0</v>
      </c>
      <c r="T4296">
        <v>5</v>
      </c>
      <c r="U4296">
        <v>3</v>
      </c>
    </row>
    <row r="4297" spans="1:21" ht="16.5" x14ac:dyDescent="0.3">
      <c r="A4297" t="s">
        <v>4385</v>
      </c>
      <c r="B4297" s="1">
        <v>45920</v>
      </c>
      <c r="C4297">
        <v>2025</v>
      </c>
      <c r="D4297" t="s">
        <v>1187</v>
      </c>
      <c r="E4297" t="s">
        <v>1543</v>
      </c>
      <c r="F4297" t="s">
        <v>31</v>
      </c>
      <c r="G4297" t="s">
        <v>49</v>
      </c>
      <c r="H4297" t="s">
        <v>26</v>
      </c>
      <c r="I4297" t="s">
        <v>36</v>
      </c>
      <c r="J4297" t="s">
        <v>52</v>
      </c>
      <c r="K4297">
        <v>4</v>
      </c>
      <c r="L4297" s="2">
        <v>92.54</v>
      </c>
      <c r="M4297" s="3">
        <v>0</v>
      </c>
      <c r="N4297" t="s">
        <v>38</v>
      </c>
      <c r="O4297" s="2">
        <v>370.16</v>
      </c>
      <c r="P4297" s="2">
        <v>180.52</v>
      </c>
      <c r="Q4297" s="2">
        <v>189.64</v>
      </c>
      <c r="R4297">
        <v>1</v>
      </c>
      <c r="S4297">
        <v>0</v>
      </c>
      <c r="T4297">
        <v>3</v>
      </c>
      <c r="U4297">
        <v>5</v>
      </c>
    </row>
    <row r="4298" spans="1:21" ht="16.5" x14ac:dyDescent="0.3">
      <c r="A4298" t="s">
        <v>4386</v>
      </c>
      <c r="B4298" s="1">
        <v>45920</v>
      </c>
      <c r="C4298">
        <v>2025</v>
      </c>
      <c r="D4298" t="s">
        <v>1187</v>
      </c>
      <c r="E4298" t="s">
        <v>1543</v>
      </c>
      <c r="F4298" t="s">
        <v>24</v>
      </c>
      <c r="G4298" t="s">
        <v>46</v>
      </c>
      <c r="H4298" t="s">
        <v>32</v>
      </c>
      <c r="I4298" t="s">
        <v>36</v>
      </c>
      <c r="J4298" t="s">
        <v>56</v>
      </c>
      <c r="K4298">
        <v>1</v>
      </c>
      <c r="L4298" s="2">
        <v>74.3</v>
      </c>
      <c r="M4298" s="3">
        <v>0.3</v>
      </c>
      <c r="N4298" t="s">
        <v>62</v>
      </c>
      <c r="O4298" s="2">
        <v>52.01</v>
      </c>
      <c r="P4298" s="2">
        <v>35.49</v>
      </c>
      <c r="Q4298" s="2">
        <v>16.52</v>
      </c>
      <c r="R4298">
        <v>1</v>
      </c>
      <c r="S4298">
        <v>0</v>
      </c>
      <c r="T4298">
        <v>5</v>
      </c>
      <c r="U4298">
        <v>5</v>
      </c>
    </row>
    <row r="4299" spans="1:21" ht="16.5" x14ac:dyDescent="0.3">
      <c r="A4299" t="s">
        <v>4387</v>
      </c>
      <c r="B4299" s="1">
        <v>45920</v>
      </c>
      <c r="C4299">
        <v>2025</v>
      </c>
      <c r="D4299" t="s">
        <v>1187</v>
      </c>
      <c r="E4299" t="s">
        <v>1543</v>
      </c>
      <c r="F4299" t="s">
        <v>24</v>
      </c>
      <c r="G4299" t="s">
        <v>25</v>
      </c>
      <c r="H4299" t="s">
        <v>32</v>
      </c>
      <c r="I4299" t="s">
        <v>84</v>
      </c>
      <c r="J4299" t="s">
        <v>85</v>
      </c>
      <c r="K4299">
        <v>2</v>
      </c>
      <c r="L4299" s="2">
        <v>57.92</v>
      </c>
      <c r="M4299" s="3">
        <v>0.05</v>
      </c>
      <c r="N4299" t="s">
        <v>29</v>
      </c>
      <c r="O4299" s="2">
        <v>110.05</v>
      </c>
      <c r="P4299" s="2">
        <v>85</v>
      </c>
      <c r="Q4299" s="2">
        <v>25.05</v>
      </c>
      <c r="R4299">
        <v>1</v>
      </c>
      <c r="S4299">
        <v>0</v>
      </c>
      <c r="T4299">
        <v>5</v>
      </c>
      <c r="U4299">
        <v>4</v>
      </c>
    </row>
    <row r="4300" spans="1:21" ht="16.5" x14ac:dyDescent="0.3">
      <c r="A4300" t="s">
        <v>4388</v>
      </c>
      <c r="B4300" s="1">
        <v>45921</v>
      </c>
      <c r="C4300">
        <v>2025</v>
      </c>
      <c r="D4300" t="s">
        <v>1187</v>
      </c>
      <c r="E4300" t="s">
        <v>1543</v>
      </c>
      <c r="F4300" t="s">
        <v>31</v>
      </c>
      <c r="G4300" t="s">
        <v>65</v>
      </c>
      <c r="H4300" t="s">
        <v>32</v>
      </c>
      <c r="I4300" t="s">
        <v>27</v>
      </c>
      <c r="J4300" t="s">
        <v>110</v>
      </c>
      <c r="K4300">
        <v>1</v>
      </c>
      <c r="L4300" s="2">
        <v>19.41</v>
      </c>
      <c r="M4300" s="3">
        <v>0.05</v>
      </c>
      <c r="N4300" t="s">
        <v>29</v>
      </c>
      <c r="O4300" s="2">
        <v>18.440000000000001</v>
      </c>
      <c r="P4300" s="2">
        <v>10.01</v>
      </c>
      <c r="Q4300" s="2">
        <v>8.43</v>
      </c>
      <c r="R4300">
        <v>1</v>
      </c>
      <c r="S4300">
        <v>0</v>
      </c>
      <c r="T4300">
        <v>7</v>
      </c>
      <c r="U4300">
        <v>3</v>
      </c>
    </row>
    <row r="4301" spans="1:21" ht="16.5" x14ac:dyDescent="0.3">
      <c r="A4301" t="s">
        <v>4389</v>
      </c>
      <c r="B4301" s="1">
        <v>45921</v>
      </c>
      <c r="C4301">
        <v>2025</v>
      </c>
      <c r="D4301" t="s">
        <v>1187</v>
      </c>
      <c r="E4301" t="s">
        <v>1543</v>
      </c>
      <c r="F4301" t="s">
        <v>45</v>
      </c>
      <c r="G4301" t="s">
        <v>51</v>
      </c>
      <c r="H4301" t="s">
        <v>32</v>
      </c>
      <c r="I4301" t="s">
        <v>84</v>
      </c>
      <c r="J4301" t="s">
        <v>132</v>
      </c>
      <c r="K4301">
        <v>2</v>
      </c>
      <c r="L4301" s="2">
        <v>48.86</v>
      </c>
      <c r="M4301" s="3">
        <v>0.15</v>
      </c>
      <c r="N4301" t="s">
        <v>34</v>
      </c>
      <c r="O4301" s="2">
        <v>83.06</v>
      </c>
      <c r="P4301" s="2">
        <v>68.989999999999995</v>
      </c>
      <c r="Q4301" s="2">
        <v>14.07</v>
      </c>
      <c r="R4301">
        <v>1</v>
      </c>
      <c r="S4301">
        <v>0</v>
      </c>
      <c r="T4301">
        <v>3</v>
      </c>
      <c r="U4301">
        <v>4</v>
      </c>
    </row>
    <row r="4302" spans="1:21" ht="16.5" x14ac:dyDescent="0.3">
      <c r="A4302" t="s">
        <v>4390</v>
      </c>
      <c r="B4302" s="1">
        <v>45921</v>
      </c>
      <c r="C4302">
        <v>2025</v>
      </c>
      <c r="D4302" t="s">
        <v>1187</v>
      </c>
      <c r="E4302" t="s">
        <v>1543</v>
      </c>
      <c r="F4302" t="s">
        <v>45</v>
      </c>
      <c r="G4302" t="s">
        <v>65</v>
      </c>
      <c r="H4302" t="s">
        <v>26</v>
      </c>
      <c r="I4302" t="s">
        <v>27</v>
      </c>
      <c r="J4302" t="s">
        <v>47</v>
      </c>
      <c r="K4302">
        <v>1</v>
      </c>
      <c r="L4302" s="2">
        <v>33.99</v>
      </c>
      <c r="M4302" s="3">
        <v>0</v>
      </c>
      <c r="N4302" t="s">
        <v>38</v>
      </c>
      <c r="O4302" s="2">
        <v>33.99</v>
      </c>
      <c r="P4302" s="2">
        <v>17.8</v>
      </c>
      <c r="Q4302" s="2">
        <v>16.190000000000001</v>
      </c>
      <c r="R4302">
        <v>1</v>
      </c>
      <c r="S4302">
        <v>0</v>
      </c>
      <c r="T4302">
        <v>5</v>
      </c>
      <c r="U4302">
        <v>3</v>
      </c>
    </row>
    <row r="4303" spans="1:21" ht="16.5" x14ac:dyDescent="0.3">
      <c r="A4303" t="s">
        <v>4391</v>
      </c>
      <c r="B4303" s="1">
        <v>45921</v>
      </c>
      <c r="C4303">
        <v>2025</v>
      </c>
      <c r="D4303" t="s">
        <v>1187</v>
      </c>
      <c r="E4303" t="s">
        <v>1543</v>
      </c>
      <c r="F4303" t="s">
        <v>45</v>
      </c>
      <c r="G4303" t="s">
        <v>49</v>
      </c>
      <c r="H4303" t="s">
        <v>26</v>
      </c>
      <c r="I4303" t="s">
        <v>42</v>
      </c>
      <c r="J4303" t="s">
        <v>54</v>
      </c>
      <c r="K4303">
        <v>1</v>
      </c>
      <c r="L4303" s="2">
        <v>148.05000000000001</v>
      </c>
      <c r="M4303" s="3">
        <v>0.15</v>
      </c>
      <c r="N4303" t="s">
        <v>34</v>
      </c>
      <c r="O4303" s="2">
        <v>125.84</v>
      </c>
      <c r="P4303" s="2">
        <v>103.57</v>
      </c>
      <c r="Q4303" s="2">
        <v>22.27</v>
      </c>
      <c r="R4303">
        <v>1</v>
      </c>
      <c r="S4303">
        <v>1</v>
      </c>
      <c r="T4303">
        <v>4</v>
      </c>
      <c r="U4303">
        <v>3</v>
      </c>
    </row>
    <row r="4304" spans="1:21" ht="16.5" x14ac:dyDescent="0.3">
      <c r="A4304" t="s">
        <v>4392</v>
      </c>
      <c r="B4304" s="1">
        <v>45921</v>
      </c>
      <c r="C4304">
        <v>2025</v>
      </c>
      <c r="D4304" t="s">
        <v>1187</v>
      </c>
      <c r="E4304" t="s">
        <v>1543</v>
      </c>
      <c r="F4304" t="s">
        <v>45</v>
      </c>
      <c r="G4304" t="s">
        <v>51</v>
      </c>
      <c r="H4304" t="s">
        <v>32</v>
      </c>
      <c r="I4304" t="s">
        <v>67</v>
      </c>
      <c r="J4304" t="s">
        <v>93</v>
      </c>
      <c r="K4304">
        <v>2</v>
      </c>
      <c r="L4304" s="2">
        <v>198.42</v>
      </c>
      <c r="M4304" s="3">
        <v>0</v>
      </c>
      <c r="N4304" t="s">
        <v>38</v>
      </c>
      <c r="O4304" s="2">
        <v>396.84</v>
      </c>
      <c r="P4304" s="2">
        <v>269.49</v>
      </c>
      <c r="Q4304" s="2">
        <v>127.35</v>
      </c>
      <c r="R4304">
        <v>1</v>
      </c>
      <c r="S4304">
        <v>0</v>
      </c>
      <c r="T4304">
        <v>2</v>
      </c>
      <c r="U4304">
        <v>5</v>
      </c>
    </row>
    <row r="4305" spans="1:21" ht="16.5" x14ac:dyDescent="0.3">
      <c r="A4305" t="s">
        <v>4393</v>
      </c>
      <c r="B4305" s="1">
        <v>45921</v>
      </c>
      <c r="C4305">
        <v>2025</v>
      </c>
      <c r="D4305" t="s">
        <v>1187</v>
      </c>
      <c r="E4305" t="s">
        <v>1543</v>
      </c>
      <c r="F4305" t="s">
        <v>31</v>
      </c>
      <c r="G4305" t="s">
        <v>25</v>
      </c>
      <c r="H4305" t="s">
        <v>32</v>
      </c>
      <c r="I4305" t="s">
        <v>27</v>
      </c>
      <c r="J4305" t="s">
        <v>40</v>
      </c>
      <c r="K4305">
        <v>2</v>
      </c>
      <c r="L4305" s="2">
        <v>104.94</v>
      </c>
      <c r="M4305" s="3">
        <v>0</v>
      </c>
      <c r="N4305" t="s">
        <v>38</v>
      </c>
      <c r="O4305" s="2">
        <v>209.88</v>
      </c>
      <c r="P4305" s="2">
        <v>112.34</v>
      </c>
      <c r="Q4305" s="2">
        <v>97.54</v>
      </c>
      <c r="R4305">
        <v>1</v>
      </c>
      <c r="S4305">
        <v>0</v>
      </c>
      <c r="T4305">
        <v>3</v>
      </c>
      <c r="U4305">
        <v>5</v>
      </c>
    </row>
    <row r="4306" spans="1:21" ht="16.5" x14ac:dyDescent="0.3">
      <c r="A4306" t="s">
        <v>4394</v>
      </c>
      <c r="B4306" s="1">
        <v>45921</v>
      </c>
      <c r="C4306">
        <v>2025</v>
      </c>
      <c r="D4306" t="s">
        <v>1187</v>
      </c>
      <c r="E4306" t="s">
        <v>1543</v>
      </c>
      <c r="F4306" t="s">
        <v>24</v>
      </c>
      <c r="G4306" t="s">
        <v>46</v>
      </c>
      <c r="H4306" t="s">
        <v>26</v>
      </c>
      <c r="I4306" t="s">
        <v>70</v>
      </c>
      <c r="J4306" t="s">
        <v>87</v>
      </c>
      <c r="K4306">
        <v>1</v>
      </c>
      <c r="L4306" s="2">
        <v>490.3</v>
      </c>
      <c r="M4306" s="3">
        <v>0.15</v>
      </c>
      <c r="N4306" t="s">
        <v>34</v>
      </c>
      <c r="O4306" s="2">
        <v>416.76</v>
      </c>
      <c r="P4306" s="2">
        <v>413.11</v>
      </c>
      <c r="Q4306" s="2">
        <v>3.65</v>
      </c>
      <c r="R4306">
        <v>1</v>
      </c>
      <c r="S4306">
        <v>0</v>
      </c>
      <c r="T4306">
        <v>6</v>
      </c>
      <c r="U4306">
        <v>3</v>
      </c>
    </row>
    <row r="4307" spans="1:21" ht="16.5" x14ac:dyDescent="0.3">
      <c r="A4307" t="s">
        <v>4395</v>
      </c>
      <c r="B4307" s="1">
        <v>45921</v>
      </c>
      <c r="C4307">
        <v>2025</v>
      </c>
      <c r="D4307" t="s">
        <v>1187</v>
      </c>
      <c r="E4307" t="s">
        <v>1543</v>
      </c>
      <c r="F4307" t="s">
        <v>31</v>
      </c>
      <c r="G4307" t="s">
        <v>25</v>
      </c>
      <c r="H4307" t="s">
        <v>32</v>
      </c>
      <c r="I4307" t="s">
        <v>70</v>
      </c>
      <c r="J4307" t="s">
        <v>71</v>
      </c>
      <c r="K4307">
        <v>1</v>
      </c>
      <c r="L4307" s="2">
        <v>588.41</v>
      </c>
      <c r="M4307" s="3">
        <v>0</v>
      </c>
      <c r="N4307" t="s">
        <v>38</v>
      </c>
      <c r="O4307" s="2">
        <v>588.41</v>
      </c>
      <c r="P4307" s="2">
        <v>459.77</v>
      </c>
      <c r="Q4307" s="2">
        <v>128.63999999999999</v>
      </c>
      <c r="R4307">
        <v>1</v>
      </c>
      <c r="S4307">
        <v>0</v>
      </c>
      <c r="T4307">
        <v>4</v>
      </c>
      <c r="U4307">
        <v>5</v>
      </c>
    </row>
    <row r="4308" spans="1:21" ht="16.5" x14ac:dyDescent="0.3">
      <c r="A4308" t="s">
        <v>4396</v>
      </c>
      <c r="B4308" s="1">
        <v>45921</v>
      </c>
      <c r="C4308">
        <v>2025</v>
      </c>
      <c r="D4308" t="s">
        <v>1187</v>
      </c>
      <c r="E4308" t="s">
        <v>1543</v>
      </c>
      <c r="F4308" t="s">
        <v>45</v>
      </c>
      <c r="G4308" t="s">
        <v>46</v>
      </c>
      <c r="H4308" t="s">
        <v>32</v>
      </c>
      <c r="I4308" t="s">
        <v>42</v>
      </c>
      <c r="J4308" t="s">
        <v>58</v>
      </c>
      <c r="K4308">
        <v>2</v>
      </c>
      <c r="L4308" s="2">
        <v>233.81</v>
      </c>
      <c r="M4308" s="3">
        <v>0.05</v>
      </c>
      <c r="N4308" t="s">
        <v>29</v>
      </c>
      <c r="O4308" s="2">
        <v>444.24</v>
      </c>
      <c r="P4308" s="2">
        <v>300.35000000000002</v>
      </c>
      <c r="Q4308" s="2">
        <v>143.88999999999999</v>
      </c>
      <c r="R4308">
        <v>1</v>
      </c>
      <c r="S4308">
        <v>0</v>
      </c>
      <c r="T4308">
        <v>6</v>
      </c>
      <c r="U4308">
        <v>3</v>
      </c>
    </row>
    <row r="4309" spans="1:21" ht="16.5" x14ac:dyDescent="0.3">
      <c r="A4309" t="s">
        <v>4397</v>
      </c>
      <c r="B4309" s="1">
        <v>45921</v>
      </c>
      <c r="C4309">
        <v>2025</v>
      </c>
      <c r="D4309" t="s">
        <v>1187</v>
      </c>
      <c r="E4309" t="s">
        <v>1543</v>
      </c>
      <c r="F4309" t="s">
        <v>31</v>
      </c>
      <c r="G4309" t="s">
        <v>46</v>
      </c>
      <c r="H4309" t="s">
        <v>26</v>
      </c>
      <c r="I4309" t="s">
        <v>36</v>
      </c>
      <c r="J4309" t="s">
        <v>115</v>
      </c>
      <c r="K4309">
        <v>1</v>
      </c>
      <c r="L4309" s="2">
        <v>33.479999999999997</v>
      </c>
      <c r="M4309" s="3">
        <v>0</v>
      </c>
      <c r="N4309" t="s">
        <v>38</v>
      </c>
      <c r="O4309" s="2">
        <v>33.479999999999997</v>
      </c>
      <c r="P4309" s="2">
        <v>16.239999999999998</v>
      </c>
      <c r="Q4309" s="2">
        <v>17.239999999999998</v>
      </c>
      <c r="R4309">
        <v>1</v>
      </c>
      <c r="S4309">
        <v>0</v>
      </c>
      <c r="T4309">
        <v>7</v>
      </c>
      <c r="U4309">
        <v>4</v>
      </c>
    </row>
    <row r="4310" spans="1:21" ht="16.5" x14ac:dyDescent="0.3">
      <c r="A4310" t="s">
        <v>4398</v>
      </c>
      <c r="B4310" s="1">
        <v>45922</v>
      </c>
      <c r="C4310">
        <v>2025</v>
      </c>
      <c r="D4310" t="s">
        <v>1187</v>
      </c>
      <c r="E4310" t="s">
        <v>1543</v>
      </c>
      <c r="F4310" t="s">
        <v>24</v>
      </c>
      <c r="G4310" t="s">
        <v>65</v>
      </c>
      <c r="H4310" t="s">
        <v>32</v>
      </c>
      <c r="I4310" t="s">
        <v>67</v>
      </c>
      <c r="J4310" t="s">
        <v>174</v>
      </c>
      <c r="K4310">
        <v>1</v>
      </c>
      <c r="L4310" s="2">
        <v>137.05000000000001</v>
      </c>
      <c r="M4310" s="3">
        <v>0</v>
      </c>
      <c r="N4310" t="s">
        <v>38</v>
      </c>
      <c r="O4310" s="2">
        <v>137.05000000000001</v>
      </c>
      <c r="P4310" s="2">
        <v>95.82</v>
      </c>
      <c r="Q4310" s="2">
        <v>41.23</v>
      </c>
      <c r="R4310">
        <v>1</v>
      </c>
      <c r="S4310">
        <v>0</v>
      </c>
      <c r="T4310">
        <v>6</v>
      </c>
      <c r="U4310">
        <v>4</v>
      </c>
    </row>
    <row r="4311" spans="1:21" ht="16.5" x14ac:dyDescent="0.3">
      <c r="A4311" t="s">
        <v>4399</v>
      </c>
      <c r="B4311" s="1">
        <v>45922</v>
      </c>
      <c r="C4311">
        <v>2025</v>
      </c>
      <c r="D4311" t="s">
        <v>1187</v>
      </c>
      <c r="E4311" t="s">
        <v>1543</v>
      </c>
      <c r="F4311" t="s">
        <v>24</v>
      </c>
      <c r="G4311" t="s">
        <v>25</v>
      </c>
      <c r="H4311" t="s">
        <v>32</v>
      </c>
      <c r="I4311" t="s">
        <v>70</v>
      </c>
      <c r="J4311" t="s">
        <v>129</v>
      </c>
      <c r="K4311">
        <v>3</v>
      </c>
      <c r="L4311" s="2">
        <v>177.65</v>
      </c>
      <c r="M4311" s="3">
        <v>0</v>
      </c>
      <c r="N4311" t="s">
        <v>38</v>
      </c>
      <c r="O4311" s="2">
        <v>532.95000000000005</v>
      </c>
      <c r="P4311" s="2">
        <v>424.62</v>
      </c>
      <c r="Q4311" s="2">
        <v>108.33</v>
      </c>
      <c r="R4311">
        <v>1</v>
      </c>
      <c r="S4311">
        <v>0</v>
      </c>
      <c r="T4311">
        <v>4</v>
      </c>
      <c r="U4311">
        <v>4</v>
      </c>
    </row>
    <row r="4312" spans="1:21" ht="16.5" x14ac:dyDescent="0.3">
      <c r="A4312" t="s">
        <v>4400</v>
      </c>
      <c r="B4312" s="1">
        <v>45922</v>
      </c>
      <c r="C4312">
        <v>2025</v>
      </c>
      <c r="D4312" t="s">
        <v>1187</v>
      </c>
      <c r="E4312" t="s">
        <v>1543</v>
      </c>
      <c r="F4312" t="s">
        <v>31</v>
      </c>
      <c r="G4312" t="s">
        <v>51</v>
      </c>
      <c r="H4312" t="s">
        <v>26</v>
      </c>
      <c r="I4312" t="s">
        <v>70</v>
      </c>
      <c r="J4312" t="s">
        <v>87</v>
      </c>
      <c r="K4312">
        <v>3</v>
      </c>
      <c r="L4312" s="2">
        <v>490.3</v>
      </c>
      <c r="M4312" s="3">
        <v>0</v>
      </c>
      <c r="N4312" t="s">
        <v>38</v>
      </c>
      <c r="O4312" s="2">
        <v>1470.9</v>
      </c>
      <c r="P4312" s="2">
        <v>1119.8399999999999</v>
      </c>
      <c r="Q4312" s="2">
        <v>351.06</v>
      </c>
      <c r="R4312">
        <v>1</v>
      </c>
      <c r="S4312">
        <v>0</v>
      </c>
      <c r="T4312">
        <v>4</v>
      </c>
      <c r="U4312">
        <v>3</v>
      </c>
    </row>
    <row r="4313" spans="1:21" ht="16.5" x14ac:dyDescent="0.3">
      <c r="A4313" t="s">
        <v>4401</v>
      </c>
      <c r="B4313" s="1">
        <v>45922</v>
      </c>
      <c r="C4313">
        <v>2025</v>
      </c>
      <c r="D4313" t="s">
        <v>1187</v>
      </c>
      <c r="E4313" t="s">
        <v>1543</v>
      </c>
      <c r="F4313" t="s">
        <v>24</v>
      </c>
      <c r="G4313" t="s">
        <v>51</v>
      </c>
      <c r="H4313" t="s">
        <v>32</v>
      </c>
      <c r="I4313" t="s">
        <v>70</v>
      </c>
      <c r="J4313" t="s">
        <v>129</v>
      </c>
      <c r="K4313">
        <v>1</v>
      </c>
      <c r="L4313" s="2">
        <v>177.65</v>
      </c>
      <c r="M4313" s="3">
        <v>0.05</v>
      </c>
      <c r="N4313" t="s">
        <v>29</v>
      </c>
      <c r="O4313" s="2">
        <v>168.77</v>
      </c>
      <c r="P4313" s="2">
        <v>147.82</v>
      </c>
      <c r="Q4313" s="2">
        <v>20.95</v>
      </c>
      <c r="R4313">
        <v>1</v>
      </c>
      <c r="S4313">
        <v>0</v>
      </c>
      <c r="T4313">
        <v>3</v>
      </c>
      <c r="U4313">
        <v>4</v>
      </c>
    </row>
    <row r="4314" spans="1:21" ht="16.5" x14ac:dyDescent="0.3">
      <c r="A4314" t="s">
        <v>4402</v>
      </c>
      <c r="B4314" s="1">
        <v>45922</v>
      </c>
      <c r="C4314">
        <v>2025</v>
      </c>
      <c r="D4314" t="s">
        <v>1187</v>
      </c>
      <c r="E4314" t="s">
        <v>1543</v>
      </c>
      <c r="F4314" t="s">
        <v>24</v>
      </c>
      <c r="G4314" t="s">
        <v>49</v>
      </c>
      <c r="H4314" t="s">
        <v>26</v>
      </c>
      <c r="I4314" t="s">
        <v>27</v>
      </c>
      <c r="J4314" t="s">
        <v>47</v>
      </c>
      <c r="K4314">
        <v>1</v>
      </c>
      <c r="L4314" s="2">
        <v>33.99</v>
      </c>
      <c r="M4314" s="3">
        <v>0.1</v>
      </c>
      <c r="N4314" t="s">
        <v>29</v>
      </c>
      <c r="O4314" s="2">
        <v>30.59</v>
      </c>
      <c r="P4314" s="2">
        <v>18.63</v>
      </c>
      <c r="Q4314" s="2">
        <v>11.96</v>
      </c>
      <c r="R4314">
        <v>1</v>
      </c>
      <c r="S4314">
        <v>0</v>
      </c>
      <c r="T4314">
        <v>4</v>
      </c>
      <c r="U4314">
        <v>4</v>
      </c>
    </row>
    <row r="4315" spans="1:21" ht="16.5" x14ac:dyDescent="0.3">
      <c r="A4315" t="s">
        <v>4403</v>
      </c>
      <c r="B4315" s="1">
        <v>45922</v>
      </c>
      <c r="C4315">
        <v>2025</v>
      </c>
      <c r="D4315" t="s">
        <v>1187</v>
      </c>
      <c r="E4315" t="s">
        <v>1543</v>
      </c>
      <c r="F4315" t="s">
        <v>45</v>
      </c>
      <c r="G4315" t="s">
        <v>46</v>
      </c>
      <c r="H4315" t="s">
        <v>26</v>
      </c>
      <c r="I4315" t="s">
        <v>67</v>
      </c>
      <c r="J4315" t="s">
        <v>68</v>
      </c>
      <c r="K4315">
        <v>2</v>
      </c>
      <c r="L4315" s="2">
        <v>74.459999999999994</v>
      </c>
      <c r="M4315" s="3">
        <v>0.25</v>
      </c>
      <c r="N4315" t="s">
        <v>62</v>
      </c>
      <c r="O4315" s="2">
        <v>111.69</v>
      </c>
      <c r="P4315" s="2">
        <v>101.63</v>
      </c>
      <c r="Q4315" s="2">
        <v>10.06</v>
      </c>
      <c r="R4315">
        <v>1</v>
      </c>
      <c r="S4315">
        <v>0</v>
      </c>
      <c r="T4315">
        <v>6</v>
      </c>
      <c r="U4315">
        <v>4</v>
      </c>
    </row>
    <row r="4316" spans="1:21" ht="16.5" x14ac:dyDescent="0.3">
      <c r="A4316" t="s">
        <v>4404</v>
      </c>
      <c r="B4316" s="1">
        <v>45922</v>
      </c>
      <c r="C4316">
        <v>2025</v>
      </c>
      <c r="D4316" t="s">
        <v>1187</v>
      </c>
      <c r="E4316" t="s">
        <v>1543</v>
      </c>
      <c r="F4316" t="s">
        <v>24</v>
      </c>
      <c r="G4316" t="s">
        <v>51</v>
      </c>
      <c r="H4316" t="s">
        <v>32</v>
      </c>
      <c r="I4316" t="s">
        <v>27</v>
      </c>
      <c r="J4316" t="s">
        <v>47</v>
      </c>
      <c r="K4316">
        <v>3</v>
      </c>
      <c r="L4316" s="2">
        <v>33.99</v>
      </c>
      <c r="M4316" s="3">
        <v>0</v>
      </c>
      <c r="N4316" t="s">
        <v>38</v>
      </c>
      <c r="O4316" s="2">
        <v>101.97</v>
      </c>
      <c r="P4316" s="2">
        <v>55.75</v>
      </c>
      <c r="Q4316" s="2">
        <v>46.22</v>
      </c>
      <c r="R4316">
        <v>1</v>
      </c>
      <c r="S4316">
        <v>0</v>
      </c>
      <c r="T4316">
        <v>4</v>
      </c>
      <c r="U4316">
        <v>5</v>
      </c>
    </row>
    <row r="4317" spans="1:21" ht="16.5" x14ac:dyDescent="0.3">
      <c r="A4317" t="s">
        <v>4405</v>
      </c>
      <c r="B4317" s="1">
        <v>45923</v>
      </c>
      <c r="C4317">
        <v>2025</v>
      </c>
      <c r="D4317" t="s">
        <v>1187</v>
      </c>
      <c r="E4317" t="s">
        <v>1543</v>
      </c>
      <c r="F4317" t="s">
        <v>24</v>
      </c>
      <c r="G4317" t="s">
        <v>65</v>
      </c>
      <c r="H4317" t="s">
        <v>26</v>
      </c>
      <c r="I4317" t="s">
        <v>67</v>
      </c>
      <c r="J4317" t="s">
        <v>78</v>
      </c>
      <c r="K4317">
        <v>1</v>
      </c>
      <c r="L4317" s="2">
        <v>85.42</v>
      </c>
      <c r="M4317" s="3">
        <v>0</v>
      </c>
      <c r="N4317" t="s">
        <v>38</v>
      </c>
      <c r="O4317" s="2">
        <v>85.42</v>
      </c>
      <c r="P4317" s="2">
        <v>56.2</v>
      </c>
      <c r="Q4317" s="2">
        <v>29.22</v>
      </c>
      <c r="R4317">
        <v>1</v>
      </c>
      <c r="S4317">
        <v>0</v>
      </c>
      <c r="T4317">
        <v>5</v>
      </c>
      <c r="U4317">
        <v>4</v>
      </c>
    </row>
    <row r="4318" spans="1:21" ht="16.5" x14ac:dyDescent="0.3">
      <c r="A4318" t="s">
        <v>4406</v>
      </c>
      <c r="B4318" s="1">
        <v>45923</v>
      </c>
      <c r="C4318">
        <v>2025</v>
      </c>
      <c r="D4318" t="s">
        <v>1187</v>
      </c>
      <c r="E4318" t="s">
        <v>1543</v>
      </c>
      <c r="F4318" t="s">
        <v>31</v>
      </c>
      <c r="G4318" t="s">
        <v>65</v>
      </c>
      <c r="H4318" t="s">
        <v>32</v>
      </c>
      <c r="I4318" t="s">
        <v>70</v>
      </c>
      <c r="J4318" t="s">
        <v>129</v>
      </c>
      <c r="K4318">
        <v>1</v>
      </c>
      <c r="L4318" s="2">
        <v>177.65</v>
      </c>
      <c r="M4318" s="3">
        <v>0.05</v>
      </c>
      <c r="N4318" t="s">
        <v>29</v>
      </c>
      <c r="O4318" s="2">
        <v>168.77</v>
      </c>
      <c r="P4318" s="2">
        <v>138.16999999999999</v>
      </c>
      <c r="Q4318" s="2">
        <v>30.6</v>
      </c>
      <c r="R4318">
        <v>1</v>
      </c>
      <c r="S4318">
        <v>0</v>
      </c>
      <c r="T4318">
        <v>5</v>
      </c>
      <c r="U4318">
        <v>5</v>
      </c>
    </row>
    <row r="4319" spans="1:21" ht="16.5" x14ac:dyDescent="0.3">
      <c r="A4319" t="s">
        <v>4407</v>
      </c>
      <c r="B4319" s="1">
        <v>45923</v>
      </c>
      <c r="C4319">
        <v>2025</v>
      </c>
      <c r="D4319" t="s">
        <v>1187</v>
      </c>
      <c r="E4319" t="s">
        <v>1543</v>
      </c>
      <c r="F4319" t="s">
        <v>31</v>
      </c>
      <c r="G4319" t="s">
        <v>49</v>
      </c>
      <c r="H4319" t="s">
        <v>26</v>
      </c>
      <c r="I4319" t="s">
        <v>36</v>
      </c>
      <c r="J4319" t="s">
        <v>56</v>
      </c>
      <c r="K4319">
        <v>1</v>
      </c>
      <c r="L4319" s="2">
        <v>74.3</v>
      </c>
      <c r="M4319" s="3">
        <v>0.2</v>
      </c>
      <c r="N4319" t="s">
        <v>34</v>
      </c>
      <c r="O4319" s="2">
        <v>59.44</v>
      </c>
      <c r="P4319" s="2">
        <v>35.65</v>
      </c>
      <c r="Q4319" s="2">
        <v>23.79</v>
      </c>
      <c r="R4319">
        <v>1</v>
      </c>
      <c r="S4319">
        <v>0</v>
      </c>
      <c r="T4319">
        <v>3</v>
      </c>
      <c r="U4319">
        <v>3</v>
      </c>
    </row>
    <row r="4320" spans="1:21" ht="16.5" x14ac:dyDescent="0.3">
      <c r="A4320" t="s">
        <v>4408</v>
      </c>
      <c r="B4320" s="1">
        <v>45923</v>
      </c>
      <c r="C4320">
        <v>2025</v>
      </c>
      <c r="D4320" t="s">
        <v>1187</v>
      </c>
      <c r="E4320" t="s">
        <v>1543</v>
      </c>
      <c r="F4320" t="s">
        <v>31</v>
      </c>
      <c r="G4320" t="s">
        <v>51</v>
      </c>
      <c r="H4320" t="s">
        <v>26</v>
      </c>
      <c r="I4320" t="s">
        <v>36</v>
      </c>
      <c r="J4320" t="s">
        <v>115</v>
      </c>
      <c r="K4320">
        <v>4</v>
      </c>
      <c r="L4320" s="2">
        <v>33.479999999999997</v>
      </c>
      <c r="M4320" s="3">
        <v>0.1</v>
      </c>
      <c r="N4320" t="s">
        <v>29</v>
      </c>
      <c r="O4320" s="2">
        <v>120.53</v>
      </c>
      <c r="P4320" s="2">
        <v>65.11</v>
      </c>
      <c r="Q4320" s="2">
        <v>55.42</v>
      </c>
      <c r="R4320">
        <v>1</v>
      </c>
      <c r="S4320">
        <v>0</v>
      </c>
      <c r="T4320">
        <v>2</v>
      </c>
      <c r="U4320">
        <v>4</v>
      </c>
    </row>
    <row r="4321" spans="1:21" ht="16.5" x14ac:dyDescent="0.3">
      <c r="A4321" t="s">
        <v>4409</v>
      </c>
      <c r="B4321" s="1">
        <v>45923</v>
      </c>
      <c r="C4321">
        <v>2025</v>
      </c>
      <c r="D4321" t="s">
        <v>1187</v>
      </c>
      <c r="E4321" t="s">
        <v>1543</v>
      </c>
      <c r="F4321" t="s">
        <v>31</v>
      </c>
      <c r="G4321" t="s">
        <v>25</v>
      </c>
      <c r="H4321" t="s">
        <v>32</v>
      </c>
      <c r="I4321" t="s">
        <v>27</v>
      </c>
      <c r="J4321" t="s">
        <v>28</v>
      </c>
      <c r="K4321">
        <v>1</v>
      </c>
      <c r="L4321" s="2">
        <v>138.5</v>
      </c>
      <c r="M4321" s="3">
        <v>0.05</v>
      </c>
      <c r="N4321" t="s">
        <v>29</v>
      </c>
      <c r="O4321" s="2">
        <v>131.57</v>
      </c>
      <c r="P4321" s="2">
        <v>75.37</v>
      </c>
      <c r="Q4321" s="2">
        <v>56.2</v>
      </c>
      <c r="R4321">
        <v>1</v>
      </c>
      <c r="S4321">
        <v>0</v>
      </c>
      <c r="T4321">
        <v>5</v>
      </c>
      <c r="U4321">
        <v>5</v>
      </c>
    </row>
    <row r="4322" spans="1:21" ht="16.5" x14ac:dyDescent="0.3">
      <c r="A4322" t="s">
        <v>4410</v>
      </c>
      <c r="B4322" s="1">
        <v>45923</v>
      </c>
      <c r="C4322">
        <v>2025</v>
      </c>
      <c r="D4322" t="s">
        <v>1187</v>
      </c>
      <c r="E4322" t="s">
        <v>1543</v>
      </c>
      <c r="F4322" t="s">
        <v>45</v>
      </c>
      <c r="G4322" t="s">
        <v>25</v>
      </c>
      <c r="H4322" t="s">
        <v>26</v>
      </c>
      <c r="I4322" t="s">
        <v>27</v>
      </c>
      <c r="J4322" t="s">
        <v>40</v>
      </c>
      <c r="K4322">
        <v>1</v>
      </c>
      <c r="L4322" s="2">
        <v>104.94</v>
      </c>
      <c r="M4322" s="3">
        <v>0.05</v>
      </c>
      <c r="N4322" t="s">
        <v>29</v>
      </c>
      <c r="O4322" s="2">
        <v>99.69</v>
      </c>
      <c r="P4322" s="2">
        <v>57.15</v>
      </c>
      <c r="Q4322" s="2">
        <v>42.54</v>
      </c>
      <c r="R4322">
        <v>1</v>
      </c>
      <c r="S4322">
        <v>0</v>
      </c>
      <c r="T4322">
        <v>3</v>
      </c>
      <c r="U4322">
        <v>5</v>
      </c>
    </row>
    <row r="4323" spans="1:21" ht="16.5" x14ac:dyDescent="0.3">
      <c r="A4323" t="s">
        <v>4411</v>
      </c>
      <c r="B4323" s="1">
        <v>45923</v>
      </c>
      <c r="C4323">
        <v>2025</v>
      </c>
      <c r="D4323" t="s">
        <v>1187</v>
      </c>
      <c r="E4323" t="s">
        <v>1543</v>
      </c>
      <c r="F4323" t="s">
        <v>31</v>
      </c>
      <c r="G4323" t="s">
        <v>46</v>
      </c>
      <c r="H4323" t="s">
        <v>26</v>
      </c>
      <c r="I4323" t="s">
        <v>27</v>
      </c>
      <c r="J4323" t="s">
        <v>47</v>
      </c>
      <c r="K4323">
        <v>1</v>
      </c>
      <c r="L4323" s="2">
        <v>33.99</v>
      </c>
      <c r="M4323" s="3">
        <v>0</v>
      </c>
      <c r="N4323" t="s">
        <v>38</v>
      </c>
      <c r="O4323" s="2">
        <v>33.99</v>
      </c>
      <c r="P4323" s="2">
        <v>17.829999999999998</v>
      </c>
      <c r="Q4323" s="2">
        <v>16.16</v>
      </c>
      <c r="R4323">
        <v>1</v>
      </c>
      <c r="S4323">
        <v>0</v>
      </c>
      <c r="T4323">
        <v>7</v>
      </c>
      <c r="U4323">
        <v>4</v>
      </c>
    </row>
    <row r="4324" spans="1:21" ht="16.5" x14ac:dyDescent="0.3">
      <c r="A4324" t="s">
        <v>4412</v>
      </c>
      <c r="B4324" s="1">
        <v>45923</v>
      </c>
      <c r="C4324">
        <v>2025</v>
      </c>
      <c r="D4324" t="s">
        <v>1187</v>
      </c>
      <c r="E4324" t="s">
        <v>1543</v>
      </c>
      <c r="F4324" t="s">
        <v>31</v>
      </c>
      <c r="G4324" t="s">
        <v>51</v>
      </c>
      <c r="H4324" t="s">
        <v>26</v>
      </c>
      <c r="I4324" t="s">
        <v>27</v>
      </c>
      <c r="J4324" t="s">
        <v>110</v>
      </c>
      <c r="K4324">
        <v>1</v>
      </c>
      <c r="L4324" s="2">
        <v>19.41</v>
      </c>
      <c r="M4324" s="3">
        <v>0.15</v>
      </c>
      <c r="N4324" t="s">
        <v>34</v>
      </c>
      <c r="O4324" s="2">
        <v>16.5</v>
      </c>
      <c r="P4324" s="2">
        <v>10.29</v>
      </c>
      <c r="Q4324" s="2">
        <v>6.21</v>
      </c>
      <c r="R4324">
        <v>1</v>
      </c>
      <c r="S4324">
        <v>1</v>
      </c>
      <c r="T4324">
        <v>4</v>
      </c>
      <c r="U4324">
        <v>3</v>
      </c>
    </row>
    <row r="4325" spans="1:21" ht="16.5" x14ac:dyDescent="0.3">
      <c r="A4325" t="s">
        <v>4413</v>
      </c>
      <c r="B4325" s="1">
        <v>45923</v>
      </c>
      <c r="C4325">
        <v>2025</v>
      </c>
      <c r="D4325" t="s">
        <v>1187</v>
      </c>
      <c r="E4325" t="s">
        <v>1543</v>
      </c>
      <c r="F4325" t="s">
        <v>45</v>
      </c>
      <c r="G4325" t="s">
        <v>25</v>
      </c>
      <c r="H4325" t="s">
        <v>26</v>
      </c>
      <c r="I4325" t="s">
        <v>70</v>
      </c>
      <c r="J4325" t="s">
        <v>87</v>
      </c>
      <c r="K4325">
        <v>2</v>
      </c>
      <c r="L4325" s="2">
        <v>490.3</v>
      </c>
      <c r="M4325" s="3">
        <v>0.1</v>
      </c>
      <c r="N4325" t="s">
        <v>29</v>
      </c>
      <c r="O4325" s="2">
        <v>882.54</v>
      </c>
      <c r="P4325" s="2">
        <v>798.48</v>
      </c>
      <c r="Q4325" s="2">
        <v>84.06</v>
      </c>
      <c r="R4325">
        <v>1</v>
      </c>
      <c r="S4325">
        <v>0</v>
      </c>
      <c r="T4325">
        <v>5</v>
      </c>
      <c r="U4325">
        <v>5</v>
      </c>
    </row>
    <row r="4326" spans="1:21" ht="16.5" x14ac:dyDescent="0.3">
      <c r="A4326" t="s">
        <v>4414</v>
      </c>
      <c r="B4326" s="1">
        <v>45923</v>
      </c>
      <c r="C4326">
        <v>2025</v>
      </c>
      <c r="D4326" t="s">
        <v>1187</v>
      </c>
      <c r="E4326" t="s">
        <v>1543</v>
      </c>
      <c r="F4326" t="s">
        <v>24</v>
      </c>
      <c r="G4326" t="s">
        <v>49</v>
      </c>
      <c r="H4326" t="s">
        <v>26</v>
      </c>
      <c r="I4326" t="s">
        <v>67</v>
      </c>
      <c r="J4326" t="s">
        <v>103</v>
      </c>
      <c r="K4326">
        <v>1</v>
      </c>
      <c r="L4326" s="2">
        <v>83.06</v>
      </c>
      <c r="M4326" s="3">
        <v>0.05</v>
      </c>
      <c r="N4326" t="s">
        <v>29</v>
      </c>
      <c r="O4326" s="2">
        <v>78.91</v>
      </c>
      <c r="P4326" s="2">
        <v>55.92</v>
      </c>
      <c r="Q4326" s="2">
        <v>22.99</v>
      </c>
      <c r="R4326">
        <v>1</v>
      </c>
      <c r="S4326">
        <v>0</v>
      </c>
      <c r="T4326">
        <v>4</v>
      </c>
      <c r="U4326">
        <v>4</v>
      </c>
    </row>
    <row r="4327" spans="1:21" ht="16.5" x14ac:dyDescent="0.3">
      <c r="A4327" t="s">
        <v>4415</v>
      </c>
      <c r="B4327" s="1">
        <v>45924</v>
      </c>
      <c r="C4327">
        <v>2025</v>
      </c>
      <c r="D4327" t="s">
        <v>1187</v>
      </c>
      <c r="E4327" t="s">
        <v>1543</v>
      </c>
      <c r="F4327" t="s">
        <v>31</v>
      </c>
      <c r="G4327" t="s">
        <v>51</v>
      </c>
      <c r="H4327" t="s">
        <v>26</v>
      </c>
      <c r="I4327" t="s">
        <v>27</v>
      </c>
      <c r="J4327" t="s">
        <v>60</v>
      </c>
      <c r="K4327">
        <v>3</v>
      </c>
      <c r="L4327" s="2">
        <v>94.85</v>
      </c>
      <c r="M4327" s="3">
        <v>0.05</v>
      </c>
      <c r="N4327" t="s">
        <v>29</v>
      </c>
      <c r="O4327" s="2">
        <v>270.32</v>
      </c>
      <c r="P4327" s="2">
        <v>159.28</v>
      </c>
      <c r="Q4327" s="2">
        <v>111.04</v>
      </c>
      <c r="R4327">
        <v>1</v>
      </c>
      <c r="S4327">
        <v>0</v>
      </c>
      <c r="T4327">
        <v>4</v>
      </c>
      <c r="U4327">
        <v>5</v>
      </c>
    </row>
    <row r="4328" spans="1:21" ht="16.5" x14ac:dyDescent="0.3">
      <c r="A4328" t="s">
        <v>4416</v>
      </c>
      <c r="B4328" s="1">
        <v>45924</v>
      </c>
      <c r="C4328">
        <v>2025</v>
      </c>
      <c r="D4328" t="s">
        <v>1187</v>
      </c>
      <c r="E4328" t="s">
        <v>1543</v>
      </c>
      <c r="F4328" t="s">
        <v>24</v>
      </c>
      <c r="G4328" t="s">
        <v>25</v>
      </c>
      <c r="H4328" t="s">
        <v>32</v>
      </c>
      <c r="I4328" t="s">
        <v>42</v>
      </c>
      <c r="J4328" t="s">
        <v>76</v>
      </c>
      <c r="K4328">
        <v>1</v>
      </c>
      <c r="L4328" s="2">
        <v>90.75</v>
      </c>
      <c r="M4328" s="3">
        <v>0</v>
      </c>
      <c r="N4328" t="s">
        <v>38</v>
      </c>
      <c r="O4328" s="2">
        <v>90.75</v>
      </c>
      <c r="P4328" s="2">
        <v>61.83</v>
      </c>
      <c r="Q4328" s="2">
        <v>28.92</v>
      </c>
      <c r="R4328">
        <v>1</v>
      </c>
      <c r="S4328">
        <v>0</v>
      </c>
      <c r="T4328">
        <v>4</v>
      </c>
      <c r="U4328">
        <v>5</v>
      </c>
    </row>
    <row r="4329" spans="1:21" ht="16.5" x14ac:dyDescent="0.3">
      <c r="A4329" t="s">
        <v>4417</v>
      </c>
      <c r="B4329" s="1">
        <v>45924</v>
      </c>
      <c r="C4329">
        <v>2025</v>
      </c>
      <c r="D4329" t="s">
        <v>1187</v>
      </c>
      <c r="E4329" t="s">
        <v>1543</v>
      </c>
      <c r="F4329" t="s">
        <v>24</v>
      </c>
      <c r="G4329" t="s">
        <v>51</v>
      </c>
      <c r="H4329" t="s">
        <v>32</v>
      </c>
      <c r="I4329" t="s">
        <v>27</v>
      </c>
      <c r="J4329" t="s">
        <v>47</v>
      </c>
      <c r="K4329">
        <v>1</v>
      </c>
      <c r="L4329" s="2">
        <v>33.99</v>
      </c>
      <c r="M4329" s="3">
        <v>0.15</v>
      </c>
      <c r="N4329" t="s">
        <v>34</v>
      </c>
      <c r="O4329" s="2">
        <v>28.89</v>
      </c>
      <c r="P4329" s="2">
        <v>18.600000000000001</v>
      </c>
      <c r="Q4329" s="2">
        <v>10.29</v>
      </c>
      <c r="R4329">
        <v>1</v>
      </c>
      <c r="S4329">
        <v>0</v>
      </c>
      <c r="T4329">
        <v>3</v>
      </c>
      <c r="U4329">
        <v>4</v>
      </c>
    </row>
    <row r="4330" spans="1:21" ht="16.5" x14ac:dyDescent="0.3">
      <c r="A4330" t="s">
        <v>4418</v>
      </c>
      <c r="B4330" s="1">
        <v>45924</v>
      </c>
      <c r="C4330">
        <v>2025</v>
      </c>
      <c r="D4330" t="s">
        <v>1187</v>
      </c>
      <c r="E4330" t="s">
        <v>1543</v>
      </c>
      <c r="F4330" t="s">
        <v>24</v>
      </c>
      <c r="G4330" t="s">
        <v>25</v>
      </c>
      <c r="H4330" t="s">
        <v>32</v>
      </c>
      <c r="I4330" t="s">
        <v>67</v>
      </c>
      <c r="J4330" t="s">
        <v>93</v>
      </c>
      <c r="K4330">
        <v>2</v>
      </c>
      <c r="L4330" s="2">
        <v>198.42</v>
      </c>
      <c r="M4330" s="3">
        <v>0.15</v>
      </c>
      <c r="N4330" t="s">
        <v>34</v>
      </c>
      <c r="O4330" s="2">
        <v>337.31</v>
      </c>
      <c r="P4330" s="2">
        <v>271.88</v>
      </c>
      <c r="Q4330" s="2">
        <v>65.430000000000007</v>
      </c>
      <c r="R4330">
        <v>1</v>
      </c>
      <c r="S4330">
        <v>0</v>
      </c>
      <c r="T4330">
        <v>4</v>
      </c>
      <c r="U4330">
        <v>4</v>
      </c>
    </row>
    <row r="4331" spans="1:21" ht="16.5" x14ac:dyDescent="0.3">
      <c r="A4331" t="s">
        <v>4419</v>
      </c>
      <c r="B4331" s="1">
        <v>45924</v>
      </c>
      <c r="C4331">
        <v>2025</v>
      </c>
      <c r="D4331" t="s">
        <v>1187</v>
      </c>
      <c r="E4331" t="s">
        <v>1543</v>
      </c>
      <c r="F4331" t="s">
        <v>24</v>
      </c>
      <c r="G4331" t="s">
        <v>51</v>
      </c>
      <c r="H4331" t="s">
        <v>26</v>
      </c>
      <c r="I4331" t="s">
        <v>67</v>
      </c>
      <c r="J4331" t="s">
        <v>174</v>
      </c>
      <c r="K4331">
        <v>1</v>
      </c>
      <c r="L4331" s="2">
        <v>137.05000000000001</v>
      </c>
      <c r="M4331" s="3">
        <v>0.05</v>
      </c>
      <c r="N4331" t="s">
        <v>29</v>
      </c>
      <c r="O4331" s="2">
        <v>130.19999999999999</v>
      </c>
      <c r="P4331" s="2">
        <v>93.88</v>
      </c>
      <c r="Q4331" s="2">
        <v>36.32</v>
      </c>
      <c r="R4331">
        <v>1</v>
      </c>
      <c r="S4331">
        <v>0</v>
      </c>
      <c r="T4331">
        <v>3</v>
      </c>
      <c r="U4331">
        <v>5</v>
      </c>
    </row>
    <row r="4332" spans="1:21" ht="16.5" x14ac:dyDescent="0.3">
      <c r="A4332" t="s">
        <v>4420</v>
      </c>
      <c r="B4332" s="1">
        <v>45924</v>
      </c>
      <c r="C4332">
        <v>2025</v>
      </c>
      <c r="D4332" t="s">
        <v>1187</v>
      </c>
      <c r="E4332" t="s">
        <v>1543</v>
      </c>
      <c r="F4332" t="s">
        <v>45</v>
      </c>
      <c r="G4332" t="s">
        <v>25</v>
      </c>
      <c r="H4332" t="s">
        <v>32</v>
      </c>
      <c r="I4332" t="s">
        <v>42</v>
      </c>
      <c r="J4332" t="s">
        <v>43</v>
      </c>
      <c r="K4332">
        <v>1</v>
      </c>
      <c r="L4332" s="2">
        <v>154.66</v>
      </c>
      <c r="M4332" s="3">
        <v>0.15</v>
      </c>
      <c r="N4332" t="s">
        <v>34</v>
      </c>
      <c r="O4332" s="2">
        <v>131.46</v>
      </c>
      <c r="P4332" s="2">
        <v>106.68</v>
      </c>
      <c r="Q4332" s="2">
        <v>24.78</v>
      </c>
      <c r="R4332">
        <v>1</v>
      </c>
      <c r="S4332">
        <v>0</v>
      </c>
      <c r="T4332">
        <v>4</v>
      </c>
      <c r="U4332">
        <v>5</v>
      </c>
    </row>
    <row r="4333" spans="1:21" ht="16.5" x14ac:dyDescent="0.3">
      <c r="A4333" t="s">
        <v>4421</v>
      </c>
      <c r="B4333" s="1">
        <v>45925</v>
      </c>
      <c r="C4333">
        <v>2025</v>
      </c>
      <c r="D4333" t="s">
        <v>1187</v>
      </c>
      <c r="E4333" t="s">
        <v>1543</v>
      </c>
      <c r="F4333" t="s">
        <v>31</v>
      </c>
      <c r="G4333" t="s">
        <v>49</v>
      </c>
      <c r="H4333" t="s">
        <v>32</v>
      </c>
      <c r="I4333" t="s">
        <v>27</v>
      </c>
      <c r="J4333" t="s">
        <v>33</v>
      </c>
      <c r="K4333">
        <v>1</v>
      </c>
      <c r="L4333" s="2">
        <v>78.510000000000005</v>
      </c>
      <c r="M4333" s="3">
        <v>0</v>
      </c>
      <c r="N4333" t="s">
        <v>38</v>
      </c>
      <c r="O4333" s="2">
        <v>78.510000000000005</v>
      </c>
      <c r="P4333" s="2">
        <v>40.28</v>
      </c>
      <c r="Q4333" s="2">
        <v>38.229999999999997</v>
      </c>
      <c r="R4333">
        <v>1</v>
      </c>
      <c r="S4333">
        <v>0</v>
      </c>
      <c r="T4333">
        <v>6</v>
      </c>
      <c r="U4333">
        <v>3</v>
      </c>
    </row>
    <row r="4334" spans="1:21" ht="16.5" x14ac:dyDescent="0.3">
      <c r="A4334" t="s">
        <v>4422</v>
      </c>
      <c r="B4334" s="1">
        <v>45925</v>
      </c>
      <c r="C4334">
        <v>2025</v>
      </c>
      <c r="D4334" t="s">
        <v>1187</v>
      </c>
      <c r="E4334" t="s">
        <v>1543</v>
      </c>
      <c r="F4334" t="s">
        <v>24</v>
      </c>
      <c r="G4334" t="s">
        <v>25</v>
      </c>
      <c r="H4334" t="s">
        <v>32</v>
      </c>
      <c r="I4334" t="s">
        <v>67</v>
      </c>
      <c r="J4334" t="s">
        <v>78</v>
      </c>
      <c r="K4334">
        <v>1</v>
      </c>
      <c r="L4334" s="2">
        <v>85.42</v>
      </c>
      <c r="M4334" s="3">
        <v>0.1</v>
      </c>
      <c r="N4334" t="s">
        <v>29</v>
      </c>
      <c r="O4334" s="2">
        <v>76.88</v>
      </c>
      <c r="P4334" s="2">
        <v>56.75</v>
      </c>
      <c r="Q4334" s="2">
        <v>20.13</v>
      </c>
      <c r="R4334">
        <v>1</v>
      </c>
      <c r="S4334">
        <v>0</v>
      </c>
      <c r="T4334">
        <v>3</v>
      </c>
      <c r="U4334">
        <v>3</v>
      </c>
    </row>
    <row r="4335" spans="1:21" ht="16.5" x14ac:dyDescent="0.3">
      <c r="A4335" t="s">
        <v>4423</v>
      </c>
      <c r="B4335" s="1">
        <v>45925</v>
      </c>
      <c r="C4335">
        <v>2025</v>
      </c>
      <c r="D4335" t="s">
        <v>1187</v>
      </c>
      <c r="E4335" t="s">
        <v>1543</v>
      </c>
      <c r="F4335" t="s">
        <v>31</v>
      </c>
      <c r="G4335" t="s">
        <v>65</v>
      </c>
      <c r="H4335" t="s">
        <v>26</v>
      </c>
      <c r="I4335" t="s">
        <v>42</v>
      </c>
      <c r="J4335" t="s">
        <v>54</v>
      </c>
      <c r="K4335">
        <v>1</v>
      </c>
      <c r="L4335" s="2">
        <v>148.05000000000001</v>
      </c>
      <c r="M4335" s="3">
        <v>0</v>
      </c>
      <c r="N4335" t="s">
        <v>38</v>
      </c>
      <c r="O4335" s="2">
        <v>148.05000000000001</v>
      </c>
      <c r="P4335" s="2">
        <v>100.64</v>
      </c>
      <c r="Q4335" s="2">
        <v>47.41</v>
      </c>
      <c r="R4335">
        <v>1</v>
      </c>
      <c r="S4335">
        <v>0</v>
      </c>
      <c r="T4335">
        <v>8</v>
      </c>
      <c r="U4335">
        <v>4</v>
      </c>
    </row>
    <row r="4336" spans="1:21" ht="16.5" x14ac:dyDescent="0.3">
      <c r="A4336" t="s">
        <v>4424</v>
      </c>
      <c r="B4336" s="1">
        <v>45925</v>
      </c>
      <c r="C4336">
        <v>2025</v>
      </c>
      <c r="D4336" t="s">
        <v>1187</v>
      </c>
      <c r="E4336" t="s">
        <v>1543</v>
      </c>
      <c r="F4336" t="s">
        <v>31</v>
      </c>
      <c r="G4336" t="s">
        <v>51</v>
      </c>
      <c r="H4336" t="s">
        <v>32</v>
      </c>
      <c r="I4336" t="s">
        <v>67</v>
      </c>
      <c r="J4336" t="s">
        <v>93</v>
      </c>
      <c r="K4336">
        <v>1</v>
      </c>
      <c r="L4336" s="2">
        <v>198.42</v>
      </c>
      <c r="M4336" s="3">
        <v>0.1</v>
      </c>
      <c r="N4336" t="s">
        <v>29</v>
      </c>
      <c r="O4336" s="2">
        <v>178.58</v>
      </c>
      <c r="P4336" s="2">
        <v>138.16</v>
      </c>
      <c r="Q4336" s="2">
        <v>40.42</v>
      </c>
      <c r="R4336">
        <v>1</v>
      </c>
      <c r="S4336">
        <v>0</v>
      </c>
      <c r="T4336">
        <v>3</v>
      </c>
      <c r="U4336">
        <v>5</v>
      </c>
    </row>
    <row r="4337" spans="1:21" ht="16.5" x14ac:dyDescent="0.3">
      <c r="A4337" t="s">
        <v>4425</v>
      </c>
      <c r="B4337" s="1">
        <v>45925</v>
      </c>
      <c r="C4337">
        <v>2025</v>
      </c>
      <c r="D4337" t="s">
        <v>1187</v>
      </c>
      <c r="E4337" t="s">
        <v>1543</v>
      </c>
      <c r="F4337" t="s">
        <v>45</v>
      </c>
      <c r="G4337" t="s">
        <v>46</v>
      </c>
      <c r="H4337" t="s">
        <v>32</v>
      </c>
      <c r="I4337" t="s">
        <v>42</v>
      </c>
      <c r="J4337" t="s">
        <v>89</v>
      </c>
      <c r="K4337">
        <v>1</v>
      </c>
      <c r="L4337" s="2">
        <v>68.349999999999994</v>
      </c>
      <c r="M4337" s="3">
        <v>0</v>
      </c>
      <c r="N4337" t="s">
        <v>38</v>
      </c>
      <c r="O4337" s="2">
        <v>68.349999999999994</v>
      </c>
      <c r="P4337" s="2">
        <v>44.09</v>
      </c>
      <c r="Q4337" s="2">
        <v>24.26</v>
      </c>
      <c r="R4337">
        <v>1</v>
      </c>
      <c r="S4337">
        <v>0</v>
      </c>
      <c r="T4337">
        <v>5</v>
      </c>
      <c r="U4337">
        <v>5</v>
      </c>
    </row>
    <row r="4338" spans="1:21" ht="16.5" x14ac:dyDescent="0.3">
      <c r="A4338" t="s">
        <v>4426</v>
      </c>
      <c r="B4338" s="1">
        <v>45925</v>
      </c>
      <c r="C4338">
        <v>2025</v>
      </c>
      <c r="D4338" t="s">
        <v>1187</v>
      </c>
      <c r="E4338" t="s">
        <v>1543</v>
      </c>
      <c r="F4338" t="s">
        <v>45</v>
      </c>
      <c r="G4338" t="s">
        <v>65</v>
      </c>
      <c r="H4338" t="s">
        <v>26</v>
      </c>
      <c r="I4338" t="s">
        <v>84</v>
      </c>
      <c r="J4338" t="s">
        <v>106</v>
      </c>
      <c r="K4338">
        <v>1</v>
      </c>
      <c r="L4338" s="2">
        <v>45.28</v>
      </c>
      <c r="M4338" s="3">
        <v>0</v>
      </c>
      <c r="N4338" t="s">
        <v>38</v>
      </c>
      <c r="O4338" s="2">
        <v>45.28</v>
      </c>
      <c r="P4338" s="2">
        <v>32.33</v>
      </c>
      <c r="Q4338" s="2">
        <v>12.95</v>
      </c>
      <c r="R4338">
        <v>1</v>
      </c>
      <c r="S4338">
        <v>0</v>
      </c>
      <c r="T4338">
        <v>5</v>
      </c>
      <c r="U4338">
        <v>4</v>
      </c>
    </row>
    <row r="4339" spans="1:21" ht="16.5" x14ac:dyDescent="0.3">
      <c r="A4339" t="s">
        <v>4427</v>
      </c>
      <c r="B4339" s="1">
        <v>45926</v>
      </c>
      <c r="C4339">
        <v>2025</v>
      </c>
      <c r="D4339" t="s">
        <v>1187</v>
      </c>
      <c r="E4339" t="s">
        <v>1543</v>
      </c>
      <c r="F4339" t="s">
        <v>31</v>
      </c>
      <c r="G4339" t="s">
        <v>46</v>
      </c>
      <c r="H4339" t="s">
        <v>32</v>
      </c>
      <c r="I4339" t="s">
        <v>42</v>
      </c>
      <c r="J4339" t="s">
        <v>58</v>
      </c>
      <c r="K4339">
        <v>1</v>
      </c>
      <c r="L4339" s="2">
        <v>233.81</v>
      </c>
      <c r="M4339" s="3">
        <v>0.2</v>
      </c>
      <c r="N4339" t="s">
        <v>34</v>
      </c>
      <c r="O4339" s="2">
        <v>187.05</v>
      </c>
      <c r="P4339" s="2">
        <v>152.06</v>
      </c>
      <c r="Q4339" s="2">
        <v>34.99</v>
      </c>
      <c r="R4339">
        <v>1</v>
      </c>
      <c r="S4339">
        <v>0</v>
      </c>
      <c r="T4339">
        <v>5</v>
      </c>
      <c r="U4339">
        <v>5</v>
      </c>
    </row>
    <row r="4340" spans="1:21" ht="16.5" x14ac:dyDescent="0.3">
      <c r="A4340" t="s">
        <v>4428</v>
      </c>
      <c r="B4340" s="1">
        <v>45926</v>
      </c>
      <c r="C4340">
        <v>2025</v>
      </c>
      <c r="D4340" t="s">
        <v>1187</v>
      </c>
      <c r="E4340" t="s">
        <v>1543</v>
      </c>
      <c r="F4340" t="s">
        <v>31</v>
      </c>
      <c r="G4340" t="s">
        <v>25</v>
      </c>
      <c r="H4340" t="s">
        <v>26</v>
      </c>
      <c r="I4340" t="s">
        <v>70</v>
      </c>
      <c r="J4340" t="s">
        <v>87</v>
      </c>
      <c r="K4340">
        <v>1</v>
      </c>
      <c r="L4340" s="2">
        <v>490.3</v>
      </c>
      <c r="M4340" s="3">
        <v>0.05</v>
      </c>
      <c r="N4340" t="s">
        <v>29</v>
      </c>
      <c r="O4340" s="2">
        <v>465.78</v>
      </c>
      <c r="P4340" s="2">
        <v>387.17</v>
      </c>
      <c r="Q4340" s="2">
        <v>78.61</v>
      </c>
      <c r="R4340">
        <v>1</v>
      </c>
      <c r="S4340">
        <v>0</v>
      </c>
      <c r="T4340">
        <v>6</v>
      </c>
      <c r="U4340">
        <v>4</v>
      </c>
    </row>
    <row r="4341" spans="1:21" ht="16.5" x14ac:dyDescent="0.3">
      <c r="A4341" t="s">
        <v>4429</v>
      </c>
      <c r="B4341" s="1">
        <v>45926</v>
      </c>
      <c r="C4341">
        <v>2025</v>
      </c>
      <c r="D4341" t="s">
        <v>1187</v>
      </c>
      <c r="E4341" t="s">
        <v>1543</v>
      </c>
      <c r="F4341" t="s">
        <v>45</v>
      </c>
      <c r="G4341" t="s">
        <v>65</v>
      </c>
      <c r="H4341" t="s">
        <v>32</v>
      </c>
      <c r="I4341" t="s">
        <v>36</v>
      </c>
      <c r="J4341" t="s">
        <v>126</v>
      </c>
      <c r="K4341">
        <v>2</v>
      </c>
      <c r="L4341" s="2">
        <v>54.56</v>
      </c>
      <c r="M4341" s="3">
        <v>0.15</v>
      </c>
      <c r="N4341" t="s">
        <v>34</v>
      </c>
      <c r="O4341" s="2">
        <v>92.75</v>
      </c>
      <c r="P4341" s="2">
        <v>55.08</v>
      </c>
      <c r="Q4341" s="2">
        <v>37.67</v>
      </c>
      <c r="R4341">
        <v>1</v>
      </c>
      <c r="S4341">
        <v>0</v>
      </c>
      <c r="T4341">
        <v>7</v>
      </c>
      <c r="U4341">
        <v>4</v>
      </c>
    </row>
    <row r="4342" spans="1:21" ht="16.5" x14ac:dyDescent="0.3">
      <c r="A4342" t="s">
        <v>4430</v>
      </c>
      <c r="B4342" s="1">
        <v>45926</v>
      </c>
      <c r="C4342">
        <v>2025</v>
      </c>
      <c r="D4342" t="s">
        <v>1187</v>
      </c>
      <c r="E4342" t="s">
        <v>1543</v>
      </c>
      <c r="F4342" t="s">
        <v>31</v>
      </c>
      <c r="G4342" t="s">
        <v>25</v>
      </c>
      <c r="H4342" t="s">
        <v>26</v>
      </c>
      <c r="I4342" t="s">
        <v>67</v>
      </c>
      <c r="J4342" t="s">
        <v>93</v>
      </c>
      <c r="K4342">
        <v>2</v>
      </c>
      <c r="L4342" s="2">
        <v>198.42</v>
      </c>
      <c r="M4342" s="3">
        <v>0.05</v>
      </c>
      <c r="N4342" t="s">
        <v>29</v>
      </c>
      <c r="O4342" s="2">
        <v>377</v>
      </c>
      <c r="P4342" s="2">
        <v>276.42</v>
      </c>
      <c r="Q4342" s="2">
        <v>100.58</v>
      </c>
      <c r="R4342">
        <v>1</v>
      </c>
      <c r="S4342">
        <v>0</v>
      </c>
      <c r="T4342">
        <v>5</v>
      </c>
      <c r="U4342">
        <v>5</v>
      </c>
    </row>
    <row r="4343" spans="1:21" ht="16.5" x14ac:dyDescent="0.3">
      <c r="A4343" t="s">
        <v>4431</v>
      </c>
      <c r="B4343" s="1">
        <v>45926</v>
      </c>
      <c r="C4343">
        <v>2025</v>
      </c>
      <c r="D4343" t="s">
        <v>1187</v>
      </c>
      <c r="E4343" t="s">
        <v>1543</v>
      </c>
      <c r="F4343" t="s">
        <v>31</v>
      </c>
      <c r="G4343" t="s">
        <v>49</v>
      </c>
      <c r="H4343" t="s">
        <v>26</v>
      </c>
      <c r="I4343" t="s">
        <v>67</v>
      </c>
      <c r="J4343" t="s">
        <v>174</v>
      </c>
      <c r="K4343">
        <v>1</v>
      </c>
      <c r="L4343" s="2">
        <v>137.05000000000001</v>
      </c>
      <c r="M4343" s="3">
        <v>0.1</v>
      </c>
      <c r="N4343" t="s">
        <v>29</v>
      </c>
      <c r="O4343" s="2">
        <v>123.35</v>
      </c>
      <c r="P4343" s="2">
        <v>91.69</v>
      </c>
      <c r="Q4343" s="2">
        <v>31.66</v>
      </c>
      <c r="R4343">
        <v>1</v>
      </c>
      <c r="S4343">
        <v>0</v>
      </c>
      <c r="T4343">
        <v>3</v>
      </c>
      <c r="U4343">
        <v>5</v>
      </c>
    </row>
    <row r="4344" spans="1:21" ht="16.5" x14ac:dyDescent="0.3">
      <c r="A4344" t="s">
        <v>4432</v>
      </c>
      <c r="B4344" s="1">
        <v>45926</v>
      </c>
      <c r="C4344">
        <v>2025</v>
      </c>
      <c r="D4344" t="s">
        <v>1187</v>
      </c>
      <c r="E4344" t="s">
        <v>1543</v>
      </c>
      <c r="F4344" t="s">
        <v>24</v>
      </c>
      <c r="G4344" t="s">
        <v>25</v>
      </c>
      <c r="H4344" t="s">
        <v>32</v>
      </c>
      <c r="I4344" t="s">
        <v>84</v>
      </c>
      <c r="J4344" t="s">
        <v>96</v>
      </c>
      <c r="K4344">
        <v>1</v>
      </c>
      <c r="L4344" s="2">
        <v>10.76</v>
      </c>
      <c r="M4344" s="3">
        <v>0</v>
      </c>
      <c r="N4344" t="s">
        <v>38</v>
      </c>
      <c r="O4344" s="2">
        <v>10.76</v>
      </c>
      <c r="P4344" s="2">
        <v>7.8</v>
      </c>
      <c r="Q4344" s="2">
        <v>2.96</v>
      </c>
      <c r="R4344">
        <v>1</v>
      </c>
      <c r="S4344">
        <v>0</v>
      </c>
      <c r="T4344">
        <v>3</v>
      </c>
      <c r="U4344">
        <v>4</v>
      </c>
    </row>
    <row r="4345" spans="1:21" ht="16.5" x14ac:dyDescent="0.3">
      <c r="A4345" t="s">
        <v>4433</v>
      </c>
      <c r="B4345" s="1">
        <v>45926</v>
      </c>
      <c r="C4345">
        <v>2025</v>
      </c>
      <c r="D4345" t="s">
        <v>1187</v>
      </c>
      <c r="E4345" t="s">
        <v>1543</v>
      </c>
      <c r="F4345" t="s">
        <v>24</v>
      </c>
      <c r="G4345" t="s">
        <v>25</v>
      </c>
      <c r="H4345" t="s">
        <v>26</v>
      </c>
      <c r="I4345" t="s">
        <v>70</v>
      </c>
      <c r="J4345" t="s">
        <v>129</v>
      </c>
      <c r="K4345">
        <v>1</v>
      </c>
      <c r="L4345" s="2">
        <v>177.65</v>
      </c>
      <c r="M4345" s="3">
        <v>0</v>
      </c>
      <c r="N4345" t="s">
        <v>38</v>
      </c>
      <c r="O4345" s="2">
        <v>177.65</v>
      </c>
      <c r="P4345" s="2">
        <v>147.53</v>
      </c>
      <c r="Q4345" s="2">
        <v>30.12</v>
      </c>
      <c r="R4345">
        <v>1</v>
      </c>
      <c r="S4345">
        <v>0</v>
      </c>
      <c r="T4345">
        <v>6</v>
      </c>
      <c r="U4345">
        <v>4</v>
      </c>
    </row>
    <row r="4346" spans="1:21" ht="16.5" x14ac:dyDescent="0.3">
      <c r="A4346" t="s">
        <v>4434</v>
      </c>
      <c r="B4346" s="1">
        <v>45926</v>
      </c>
      <c r="C4346">
        <v>2025</v>
      </c>
      <c r="D4346" t="s">
        <v>1187</v>
      </c>
      <c r="E4346" t="s">
        <v>1543</v>
      </c>
      <c r="F4346" t="s">
        <v>24</v>
      </c>
      <c r="G4346" t="s">
        <v>51</v>
      </c>
      <c r="H4346" t="s">
        <v>26</v>
      </c>
      <c r="I4346" t="s">
        <v>70</v>
      </c>
      <c r="J4346" t="s">
        <v>162</v>
      </c>
      <c r="K4346">
        <v>1</v>
      </c>
      <c r="L4346" s="2">
        <v>636.09</v>
      </c>
      <c r="M4346" s="3">
        <v>0.2</v>
      </c>
      <c r="N4346" t="s">
        <v>34</v>
      </c>
      <c r="O4346" s="2">
        <v>508.87</v>
      </c>
      <c r="P4346" s="2">
        <v>493.36</v>
      </c>
      <c r="Q4346" s="2">
        <v>15.51</v>
      </c>
      <c r="R4346">
        <v>1</v>
      </c>
      <c r="S4346">
        <v>0</v>
      </c>
      <c r="T4346">
        <v>2</v>
      </c>
      <c r="U4346">
        <v>4</v>
      </c>
    </row>
    <row r="4347" spans="1:21" ht="16.5" x14ac:dyDescent="0.3">
      <c r="A4347" t="s">
        <v>4435</v>
      </c>
      <c r="B4347" s="1">
        <v>45926</v>
      </c>
      <c r="C4347">
        <v>2025</v>
      </c>
      <c r="D4347" t="s">
        <v>1187</v>
      </c>
      <c r="E4347" t="s">
        <v>1543</v>
      </c>
      <c r="F4347" t="s">
        <v>45</v>
      </c>
      <c r="G4347" t="s">
        <v>51</v>
      </c>
      <c r="H4347" t="s">
        <v>26</v>
      </c>
      <c r="I4347" t="s">
        <v>42</v>
      </c>
      <c r="J4347" t="s">
        <v>98</v>
      </c>
      <c r="K4347">
        <v>1</v>
      </c>
      <c r="L4347" s="2">
        <v>117.63</v>
      </c>
      <c r="M4347" s="3">
        <v>0.1</v>
      </c>
      <c r="N4347" t="s">
        <v>29</v>
      </c>
      <c r="O4347" s="2">
        <v>105.87</v>
      </c>
      <c r="P4347" s="2">
        <v>79.83</v>
      </c>
      <c r="Q4347" s="2">
        <v>26.04</v>
      </c>
      <c r="R4347">
        <v>1</v>
      </c>
      <c r="S4347">
        <v>0</v>
      </c>
      <c r="T4347">
        <v>2</v>
      </c>
      <c r="U4347">
        <v>5</v>
      </c>
    </row>
    <row r="4348" spans="1:21" ht="16.5" x14ac:dyDescent="0.3">
      <c r="A4348" t="s">
        <v>4436</v>
      </c>
      <c r="B4348" s="1">
        <v>45926</v>
      </c>
      <c r="C4348">
        <v>2025</v>
      </c>
      <c r="D4348" t="s">
        <v>1187</v>
      </c>
      <c r="E4348" t="s">
        <v>1543</v>
      </c>
      <c r="F4348" t="s">
        <v>45</v>
      </c>
      <c r="G4348" t="s">
        <v>65</v>
      </c>
      <c r="H4348" t="s">
        <v>32</v>
      </c>
      <c r="I4348" t="s">
        <v>42</v>
      </c>
      <c r="J4348" t="s">
        <v>54</v>
      </c>
      <c r="K4348">
        <v>1</v>
      </c>
      <c r="L4348" s="2">
        <v>148.05000000000001</v>
      </c>
      <c r="M4348" s="3">
        <v>0.1</v>
      </c>
      <c r="N4348" t="s">
        <v>29</v>
      </c>
      <c r="O4348" s="2">
        <v>133.24</v>
      </c>
      <c r="P4348" s="2">
        <v>98.07</v>
      </c>
      <c r="Q4348" s="2">
        <v>35.17</v>
      </c>
      <c r="R4348">
        <v>1</v>
      </c>
      <c r="S4348">
        <v>0</v>
      </c>
      <c r="T4348">
        <v>5</v>
      </c>
      <c r="U4348">
        <v>5</v>
      </c>
    </row>
    <row r="4349" spans="1:21" ht="16.5" x14ac:dyDescent="0.3">
      <c r="A4349" t="s">
        <v>4437</v>
      </c>
      <c r="B4349" s="1">
        <v>45927</v>
      </c>
      <c r="C4349">
        <v>2025</v>
      </c>
      <c r="D4349" t="s">
        <v>1187</v>
      </c>
      <c r="E4349" t="s">
        <v>1543</v>
      </c>
      <c r="F4349" t="s">
        <v>31</v>
      </c>
      <c r="G4349" t="s">
        <v>51</v>
      </c>
      <c r="H4349" t="s">
        <v>26</v>
      </c>
      <c r="I4349" t="s">
        <v>70</v>
      </c>
      <c r="J4349" t="s">
        <v>252</v>
      </c>
      <c r="K4349">
        <v>1</v>
      </c>
      <c r="L4349" s="2">
        <v>216.08</v>
      </c>
      <c r="M4349" s="3">
        <v>0</v>
      </c>
      <c r="N4349" t="s">
        <v>38</v>
      </c>
      <c r="O4349" s="2">
        <v>216.08</v>
      </c>
      <c r="P4349" s="2">
        <v>170.28</v>
      </c>
      <c r="Q4349" s="2">
        <v>45.8</v>
      </c>
      <c r="R4349">
        <v>1</v>
      </c>
      <c r="S4349">
        <v>0</v>
      </c>
      <c r="T4349">
        <v>2</v>
      </c>
      <c r="U4349">
        <v>4</v>
      </c>
    </row>
    <row r="4350" spans="1:21" ht="16.5" x14ac:dyDescent="0.3">
      <c r="A4350" t="s">
        <v>4438</v>
      </c>
      <c r="B4350" s="1">
        <v>45927</v>
      </c>
      <c r="C4350">
        <v>2025</v>
      </c>
      <c r="D4350" t="s">
        <v>1187</v>
      </c>
      <c r="E4350" t="s">
        <v>1543</v>
      </c>
      <c r="F4350" t="s">
        <v>24</v>
      </c>
      <c r="G4350" t="s">
        <v>51</v>
      </c>
      <c r="H4350" t="s">
        <v>26</v>
      </c>
      <c r="I4350" t="s">
        <v>67</v>
      </c>
      <c r="J4350" t="s">
        <v>103</v>
      </c>
      <c r="K4350">
        <v>1</v>
      </c>
      <c r="L4350" s="2">
        <v>83.06</v>
      </c>
      <c r="M4350" s="3">
        <v>0.15</v>
      </c>
      <c r="N4350" t="s">
        <v>34</v>
      </c>
      <c r="O4350" s="2">
        <v>70.599999999999994</v>
      </c>
      <c r="P4350" s="2">
        <v>58.45</v>
      </c>
      <c r="Q4350" s="2">
        <v>12.15</v>
      </c>
      <c r="R4350">
        <v>1</v>
      </c>
      <c r="S4350">
        <v>0</v>
      </c>
      <c r="T4350">
        <v>5</v>
      </c>
      <c r="U4350">
        <v>5</v>
      </c>
    </row>
    <row r="4351" spans="1:21" ht="16.5" x14ac:dyDescent="0.3">
      <c r="A4351" t="s">
        <v>4439</v>
      </c>
      <c r="B4351" s="1">
        <v>45927</v>
      </c>
      <c r="C4351">
        <v>2025</v>
      </c>
      <c r="D4351" t="s">
        <v>1187</v>
      </c>
      <c r="E4351" t="s">
        <v>1543</v>
      </c>
      <c r="F4351" t="s">
        <v>24</v>
      </c>
      <c r="G4351" t="s">
        <v>46</v>
      </c>
      <c r="H4351" t="s">
        <v>32</v>
      </c>
      <c r="I4351" t="s">
        <v>27</v>
      </c>
      <c r="J4351" t="s">
        <v>40</v>
      </c>
      <c r="K4351">
        <v>1</v>
      </c>
      <c r="L4351" s="2">
        <v>104.94</v>
      </c>
      <c r="M4351" s="3">
        <v>0.05</v>
      </c>
      <c r="N4351" t="s">
        <v>29</v>
      </c>
      <c r="O4351" s="2">
        <v>99.69</v>
      </c>
      <c r="P4351" s="2">
        <v>55.49</v>
      </c>
      <c r="Q4351" s="2">
        <v>44.2</v>
      </c>
      <c r="R4351">
        <v>1</v>
      </c>
      <c r="S4351">
        <v>0</v>
      </c>
      <c r="T4351">
        <v>6</v>
      </c>
      <c r="U4351">
        <v>5</v>
      </c>
    </row>
    <row r="4352" spans="1:21" ht="16.5" x14ac:dyDescent="0.3">
      <c r="A4352" t="s">
        <v>4440</v>
      </c>
      <c r="B4352" s="1">
        <v>45927</v>
      </c>
      <c r="C4352">
        <v>2025</v>
      </c>
      <c r="D4352" t="s">
        <v>1187</v>
      </c>
      <c r="E4352" t="s">
        <v>1543</v>
      </c>
      <c r="F4352" t="s">
        <v>24</v>
      </c>
      <c r="G4352" t="s">
        <v>49</v>
      </c>
      <c r="H4352" t="s">
        <v>32</v>
      </c>
      <c r="I4352" t="s">
        <v>27</v>
      </c>
      <c r="J4352" t="s">
        <v>47</v>
      </c>
      <c r="K4352">
        <v>1</v>
      </c>
      <c r="L4352" s="2">
        <v>33.99</v>
      </c>
      <c r="M4352" s="3">
        <v>0</v>
      </c>
      <c r="N4352" t="s">
        <v>38</v>
      </c>
      <c r="O4352" s="2">
        <v>33.99</v>
      </c>
      <c r="P4352" s="2">
        <v>18.239999999999998</v>
      </c>
      <c r="Q4352" s="2">
        <v>15.75</v>
      </c>
      <c r="R4352">
        <v>1</v>
      </c>
      <c r="S4352">
        <v>0</v>
      </c>
      <c r="T4352">
        <v>4</v>
      </c>
      <c r="U4352">
        <v>4</v>
      </c>
    </row>
    <row r="4353" spans="1:21" ht="16.5" x14ac:dyDescent="0.3">
      <c r="A4353" t="s">
        <v>4441</v>
      </c>
      <c r="B4353" s="1">
        <v>45927</v>
      </c>
      <c r="C4353">
        <v>2025</v>
      </c>
      <c r="D4353" t="s">
        <v>1187</v>
      </c>
      <c r="E4353" t="s">
        <v>1543</v>
      </c>
      <c r="F4353" t="s">
        <v>45</v>
      </c>
      <c r="G4353" t="s">
        <v>49</v>
      </c>
      <c r="H4353" t="s">
        <v>26</v>
      </c>
      <c r="I4353" t="s">
        <v>70</v>
      </c>
      <c r="J4353" t="s">
        <v>162</v>
      </c>
      <c r="K4353">
        <v>1</v>
      </c>
      <c r="L4353" s="2">
        <v>636.09</v>
      </c>
      <c r="M4353" s="3">
        <v>0.05</v>
      </c>
      <c r="N4353" t="s">
        <v>29</v>
      </c>
      <c r="O4353" s="2">
        <v>604.29</v>
      </c>
      <c r="P4353" s="2">
        <v>515.65</v>
      </c>
      <c r="Q4353" s="2">
        <v>88.64</v>
      </c>
      <c r="R4353">
        <v>1</v>
      </c>
      <c r="S4353">
        <v>0</v>
      </c>
      <c r="T4353">
        <v>3</v>
      </c>
      <c r="U4353">
        <v>5</v>
      </c>
    </row>
    <row r="4354" spans="1:21" ht="16.5" x14ac:dyDescent="0.3">
      <c r="A4354" t="s">
        <v>4442</v>
      </c>
      <c r="B4354" s="1">
        <v>45927</v>
      </c>
      <c r="C4354">
        <v>2025</v>
      </c>
      <c r="D4354" t="s">
        <v>1187</v>
      </c>
      <c r="E4354" t="s">
        <v>1543</v>
      </c>
      <c r="F4354" t="s">
        <v>24</v>
      </c>
      <c r="G4354" t="s">
        <v>25</v>
      </c>
      <c r="H4354" t="s">
        <v>32</v>
      </c>
      <c r="I4354" t="s">
        <v>70</v>
      </c>
      <c r="J4354" t="s">
        <v>82</v>
      </c>
      <c r="K4354">
        <v>3</v>
      </c>
      <c r="L4354" s="2">
        <v>508.8</v>
      </c>
      <c r="M4354" s="3">
        <v>0.1</v>
      </c>
      <c r="N4354" t="s">
        <v>29</v>
      </c>
      <c r="O4354" s="2">
        <v>1373.76</v>
      </c>
      <c r="P4354" s="2">
        <v>1205.1600000000001</v>
      </c>
      <c r="Q4354" s="2">
        <v>168.6</v>
      </c>
      <c r="R4354">
        <v>1</v>
      </c>
      <c r="S4354">
        <v>0</v>
      </c>
      <c r="T4354">
        <v>4</v>
      </c>
      <c r="U4354">
        <v>4</v>
      </c>
    </row>
    <row r="4355" spans="1:21" ht="16.5" x14ac:dyDescent="0.3">
      <c r="A4355" t="s">
        <v>4443</v>
      </c>
      <c r="B4355" s="1">
        <v>45927</v>
      </c>
      <c r="C4355">
        <v>2025</v>
      </c>
      <c r="D4355" t="s">
        <v>1187</v>
      </c>
      <c r="E4355" t="s">
        <v>1543</v>
      </c>
      <c r="F4355" t="s">
        <v>31</v>
      </c>
      <c r="G4355" t="s">
        <v>65</v>
      </c>
      <c r="H4355" t="s">
        <v>32</v>
      </c>
      <c r="I4355" t="s">
        <v>42</v>
      </c>
      <c r="J4355" t="s">
        <v>54</v>
      </c>
      <c r="K4355">
        <v>1</v>
      </c>
      <c r="L4355" s="2">
        <v>148.05000000000001</v>
      </c>
      <c r="M4355" s="3">
        <v>0.05</v>
      </c>
      <c r="N4355" t="s">
        <v>29</v>
      </c>
      <c r="O4355" s="2">
        <v>140.65</v>
      </c>
      <c r="P4355" s="2">
        <v>100.45</v>
      </c>
      <c r="Q4355" s="2">
        <v>40.200000000000003</v>
      </c>
      <c r="R4355">
        <v>1</v>
      </c>
      <c r="S4355">
        <v>0</v>
      </c>
      <c r="T4355">
        <v>7</v>
      </c>
      <c r="U4355">
        <v>3</v>
      </c>
    </row>
    <row r="4356" spans="1:21" ht="16.5" x14ac:dyDescent="0.3">
      <c r="A4356" t="s">
        <v>4444</v>
      </c>
      <c r="B4356" s="1">
        <v>45927</v>
      </c>
      <c r="C4356">
        <v>2025</v>
      </c>
      <c r="D4356" t="s">
        <v>1187</v>
      </c>
      <c r="E4356" t="s">
        <v>1543</v>
      </c>
      <c r="F4356" t="s">
        <v>31</v>
      </c>
      <c r="G4356" t="s">
        <v>51</v>
      </c>
      <c r="H4356" t="s">
        <v>32</v>
      </c>
      <c r="I4356" t="s">
        <v>70</v>
      </c>
      <c r="J4356" t="s">
        <v>82</v>
      </c>
      <c r="K4356">
        <v>1</v>
      </c>
      <c r="L4356" s="2">
        <v>508.8</v>
      </c>
      <c r="M4356" s="3">
        <v>0.2</v>
      </c>
      <c r="N4356" t="s">
        <v>34</v>
      </c>
      <c r="O4356" s="2">
        <v>407.04</v>
      </c>
      <c r="P4356" s="2">
        <v>397.52</v>
      </c>
      <c r="Q4356" s="2">
        <v>9.52</v>
      </c>
      <c r="R4356">
        <v>1</v>
      </c>
      <c r="S4356">
        <v>0</v>
      </c>
      <c r="T4356">
        <v>2</v>
      </c>
      <c r="U4356">
        <v>4</v>
      </c>
    </row>
    <row r="4357" spans="1:21" ht="16.5" x14ac:dyDescent="0.3">
      <c r="A4357" t="s">
        <v>4445</v>
      </c>
      <c r="B4357" s="1">
        <v>45927</v>
      </c>
      <c r="C4357">
        <v>2025</v>
      </c>
      <c r="D4357" t="s">
        <v>1187</v>
      </c>
      <c r="E4357" t="s">
        <v>1543</v>
      </c>
      <c r="F4357" t="s">
        <v>24</v>
      </c>
      <c r="G4357" t="s">
        <v>65</v>
      </c>
      <c r="H4357" t="s">
        <v>32</v>
      </c>
      <c r="I4357" t="s">
        <v>42</v>
      </c>
      <c r="J4357" t="s">
        <v>43</v>
      </c>
      <c r="K4357">
        <v>1</v>
      </c>
      <c r="L4357" s="2">
        <v>154.66</v>
      </c>
      <c r="M4357" s="3">
        <v>0</v>
      </c>
      <c r="N4357" t="s">
        <v>38</v>
      </c>
      <c r="O4357" s="2">
        <v>154.66</v>
      </c>
      <c r="P4357" s="2">
        <v>100.08</v>
      </c>
      <c r="Q4357" s="2">
        <v>54.58</v>
      </c>
      <c r="R4357">
        <v>1</v>
      </c>
      <c r="S4357">
        <v>0</v>
      </c>
      <c r="T4357">
        <v>5</v>
      </c>
      <c r="U4357">
        <v>4</v>
      </c>
    </row>
    <row r="4358" spans="1:21" ht="16.5" x14ac:dyDescent="0.3">
      <c r="A4358" t="s">
        <v>4446</v>
      </c>
      <c r="B4358" s="1">
        <v>45927</v>
      </c>
      <c r="C4358">
        <v>2025</v>
      </c>
      <c r="D4358" t="s">
        <v>1187</v>
      </c>
      <c r="E4358" t="s">
        <v>1543</v>
      </c>
      <c r="F4358" t="s">
        <v>45</v>
      </c>
      <c r="G4358" t="s">
        <v>25</v>
      </c>
      <c r="H4358" t="s">
        <v>32</v>
      </c>
      <c r="I4358" t="s">
        <v>84</v>
      </c>
      <c r="J4358" t="s">
        <v>223</v>
      </c>
      <c r="K4358">
        <v>2</v>
      </c>
      <c r="L4358" s="2">
        <v>16.97</v>
      </c>
      <c r="M4358" s="3">
        <v>0</v>
      </c>
      <c r="N4358" t="s">
        <v>38</v>
      </c>
      <c r="O4358" s="2">
        <v>33.94</v>
      </c>
      <c r="P4358" s="2">
        <v>22.57</v>
      </c>
      <c r="Q4358" s="2">
        <v>11.37</v>
      </c>
      <c r="R4358">
        <v>1</v>
      </c>
      <c r="S4358">
        <v>0</v>
      </c>
      <c r="T4358">
        <v>3</v>
      </c>
      <c r="U4358">
        <v>4</v>
      </c>
    </row>
    <row r="4359" spans="1:21" ht="16.5" x14ac:dyDescent="0.3">
      <c r="A4359" t="s">
        <v>4447</v>
      </c>
      <c r="B4359" s="1">
        <v>45927</v>
      </c>
      <c r="C4359">
        <v>2025</v>
      </c>
      <c r="D4359" t="s">
        <v>1187</v>
      </c>
      <c r="E4359" t="s">
        <v>1543</v>
      </c>
      <c r="F4359" t="s">
        <v>45</v>
      </c>
      <c r="G4359" t="s">
        <v>51</v>
      </c>
      <c r="H4359" t="s">
        <v>32</v>
      </c>
      <c r="I4359" t="s">
        <v>36</v>
      </c>
      <c r="J4359" t="s">
        <v>37</v>
      </c>
      <c r="K4359">
        <v>1</v>
      </c>
      <c r="L4359" s="2">
        <v>33.18</v>
      </c>
      <c r="M4359" s="3">
        <v>0</v>
      </c>
      <c r="N4359" t="s">
        <v>38</v>
      </c>
      <c r="O4359" s="2">
        <v>33.18</v>
      </c>
      <c r="P4359" s="2">
        <v>15.26</v>
      </c>
      <c r="Q4359" s="2">
        <v>17.920000000000002</v>
      </c>
      <c r="R4359">
        <v>1</v>
      </c>
      <c r="S4359">
        <v>0</v>
      </c>
      <c r="T4359">
        <v>3</v>
      </c>
      <c r="U4359">
        <v>5</v>
      </c>
    </row>
    <row r="4360" spans="1:21" ht="16.5" x14ac:dyDescent="0.3">
      <c r="A4360" t="s">
        <v>4448</v>
      </c>
      <c r="B4360" s="1">
        <v>45928</v>
      </c>
      <c r="C4360">
        <v>2025</v>
      </c>
      <c r="D4360" t="s">
        <v>1187</v>
      </c>
      <c r="E4360" t="s">
        <v>1543</v>
      </c>
      <c r="F4360" t="s">
        <v>24</v>
      </c>
      <c r="G4360" t="s">
        <v>25</v>
      </c>
      <c r="H4360" t="s">
        <v>26</v>
      </c>
      <c r="I4360" t="s">
        <v>70</v>
      </c>
      <c r="J4360" t="s">
        <v>252</v>
      </c>
      <c r="K4360">
        <v>1</v>
      </c>
      <c r="L4360" s="2">
        <v>216.08</v>
      </c>
      <c r="M4360" s="3">
        <v>0.05</v>
      </c>
      <c r="N4360" t="s">
        <v>29</v>
      </c>
      <c r="O4360" s="2">
        <v>205.28</v>
      </c>
      <c r="P4360" s="2">
        <v>168.09</v>
      </c>
      <c r="Q4360" s="2">
        <v>37.19</v>
      </c>
      <c r="R4360">
        <v>1</v>
      </c>
      <c r="S4360">
        <v>0</v>
      </c>
      <c r="T4360">
        <v>3</v>
      </c>
      <c r="U4360">
        <v>5</v>
      </c>
    </row>
    <row r="4361" spans="1:21" ht="16.5" x14ac:dyDescent="0.3">
      <c r="A4361" t="s">
        <v>4449</v>
      </c>
      <c r="B4361" s="1">
        <v>45928</v>
      </c>
      <c r="C4361">
        <v>2025</v>
      </c>
      <c r="D4361" t="s">
        <v>1187</v>
      </c>
      <c r="E4361" t="s">
        <v>1543</v>
      </c>
      <c r="F4361" t="s">
        <v>24</v>
      </c>
      <c r="G4361" t="s">
        <v>46</v>
      </c>
      <c r="H4361" t="s">
        <v>32</v>
      </c>
      <c r="I4361" t="s">
        <v>42</v>
      </c>
      <c r="J4361" t="s">
        <v>98</v>
      </c>
      <c r="K4361">
        <v>1</v>
      </c>
      <c r="L4361" s="2">
        <v>117.63</v>
      </c>
      <c r="M4361" s="3">
        <v>0.1</v>
      </c>
      <c r="N4361" t="s">
        <v>29</v>
      </c>
      <c r="O4361" s="2">
        <v>105.87</v>
      </c>
      <c r="P4361" s="2">
        <v>76.569999999999993</v>
      </c>
      <c r="Q4361" s="2">
        <v>29.3</v>
      </c>
      <c r="R4361">
        <v>1</v>
      </c>
      <c r="S4361">
        <v>0</v>
      </c>
      <c r="T4361">
        <v>7</v>
      </c>
      <c r="U4361">
        <v>4</v>
      </c>
    </row>
    <row r="4362" spans="1:21" ht="16.5" x14ac:dyDescent="0.3">
      <c r="A4362" t="s">
        <v>4450</v>
      </c>
      <c r="B4362" s="1">
        <v>45928</v>
      </c>
      <c r="C4362">
        <v>2025</v>
      </c>
      <c r="D4362" t="s">
        <v>1187</v>
      </c>
      <c r="E4362" t="s">
        <v>1543</v>
      </c>
      <c r="F4362" t="s">
        <v>45</v>
      </c>
      <c r="G4362" t="s">
        <v>46</v>
      </c>
      <c r="H4362" t="s">
        <v>32</v>
      </c>
      <c r="I4362" t="s">
        <v>67</v>
      </c>
      <c r="J4362" t="s">
        <v>78</v>
      </c>
      <c r="K4362">
        <v>2</v>
      </c>
      <c r="L4362" s="2">
        <v>85.42</v>
      </c>
      <c r="M4362" s="3">
        <v>0</v>
      </c>
      <c r="N4362" t="s">
        <v>38</v>
      </c>
      <c r="O4362" s="2">
        <v>170.84</v>
      </c>
      <c r="P4362" s="2">
        <v>112.95</v>
      </c>
      <c r="Q4362" s="2">
        <v>57.89</v>
      </c>
      <c r="R4362">
        <v>1</v>
      </c>
      <c r="S4362">
        <v>0</v>
      </c>
      <c r="T4362">
        <v>6</v>
      </c>
      <c r="U4362">
        <v>3</v>
      </c>
    </row>
    <row r="4363" spans="1:21" ht="16.5" x14ac:dyDescent="0.3">
      <c r="A4363" t="s">
        <v>4451</v>
      </c>
      <c r="B4363" s="1">
        <v>45928</v>
      </c>
      <c r="C4363">
        <v>2025</v>
      </c>
      <c r="D4363" t="s">
        <v>1187</v>
      </c>
      <c r="E4363" t="s">
        <v>1543</v>
      </c>
      <c r="F4363" t="s">
        <v>31</v>
      </c>
      <c r="G4363" t="s">
        <v>49</v>
      </c>
      <c r="H4363" t="s">
        <v>32</v>
      </c>
      <c r="I4363" t="s">
        <v>70</v>
      </c>
      <c r="J4363" t="s">
        <v>252</v>
      </c>
      <c r="K4363">
        <v>2</v>
      </c>
      <c r="L4363" s="2">
        <v>216.08</v>
      </c>
      <c r="M4363" s="3">
        <v>0.2</v>
      </c>
      <c r="N4363" t="s">
        <v>34</v>
      </c>
      <c r="O4363" s="2">
        <v>345.73</v>
      </c>
      <c r="P4363" s="2">
        <v>361.87</v>
      </c>
      <c r="Q4363" s="2">
        <v>-16.14</v>
      </c>
      <c r="R4363">
        <v>1</v>
      </c>
      <c r="S4363">
        <v>0</v>
      </c>
      <c r="T4363">
        <v>4</v>
      </c>
      <c r="U4363">
        <v>5</v>
      </c>
    </row>
    <row r="4364" spans="1:21" ht="16.5" x14ac:dyDescent="0.3">
      <c r="A4364" t="s">
        <v>4452</v>
      </c>
      <c r="B4364" s="1">
        <v>45928</v>
      </c>
      <c r="C4364">
        <v>2025</v>
      </c>
      <c r="D4364" t="s">
        <v>1187</v>
      </c>
      <c r="E4364" t="s">
        <v>1543</v>
      </c>
      <c r="F4364" t="s">
        <v>31</v>
      </c>
      <c r="G4364" t="s">
        <v>25</v>
      </c>
      <c r="H4364" t="s">
        <v>32</v>
      </c>
      <c r="I4364" t="s">
        <v>70</v>
      </c>
      <c r="J4364" t="s">
        <v>252</v>
      </c>
      <c r="K4364">
        <v>1</v>
      </c>
      <c r="L4364" s="2">
        <v>216.08</v>
      </c>
      <c r="M4364" s="3">
        <v>0.05</v>
      </c>
      <c r="N4364" t="s">
        <v>29</v>
      </c>
      <c r="O4364" s="2">
        <v>205.28</v>
      </c>
      <c r="P4364" s="2">
        <v>176.94</v>
      </c>
      <c r="Q4364" s="2">
        <v>28.34</v>
      </c>
      <c r="R4364">
        <v>1</v>
      </c>
      <c r="S4364">
        <v>0</v>
      </c>
      <c r="T4364">
        <v>6</v>
      </c>
      <c r="U4364">
        <v>3</v>
      </c>
    </row>
    <row r="4365" spans="1:21" ht="16.5" x14ac:dyDescent="0.3">
      <c r="A4365" t="s">
        <v>4453</v>
      </c>
      <c r="B4365" s="1">
        <v>45928</v>
      </c>
      <c r="C4365">
        <v>2025</v>
      </c>
      <c r="D4365" t="s">
        <v>1187</v>
      </c>
      <c r="E4365" t="s">
        <v>1543</v>
      </c>
      <c r="F4365" t="s">
        <v>31</v>
      </c>
      <c r="G4365" t="s">
        <v>51</v>
      </c>
      <c r="H4365" t="s">
        <v>26</v>
      </c>
      <c r="I4365" t="s">
        <v>36</v>
      </c>
      <c r="J4365" t="s">
        <v>37</v>
      </c>
      <c r="K4365">
        <v>2</v>
      </c>
      <c r="L4365" s="2">
        <v>33.18</v>
      </c>
      <c r="M4365" s="3">
        <v>0.15</v>
      </c>
      <c r="N4365" t="s">
        <v>34</v>
      </c>
      <c r="O4365" s="2">
        <v>56.41</v>
      </c>
      <c r="P4365" s="2">
        <v>32.5</v>
      </c>
      <c r="Q4365" s="2">
        <v>23.91</v>
      </c>
      <c r="R4365">
        <v>1</v>
      </c>
      <c r="S4365">
        <v>0</v>
      </c>
      <c r="T4365">
        <v>2</v>
      </c>
      <c r="U4365">
        <v>5</v>
      </c>
    </row>
    <row r="4366" spans="1:21" ht="16.5" x14ac:dyDescent="0.3">
      <c r="A4366" t="s">
        <v>4454</v>
      </c>
      <c r="B4366" s="1">
        <v>45928</v>
      </c>
      <c r="C4366">
        <v>2025</v>
      </c>
      <c r="D4366" t="s">
        <v>1187</v>
      </c>
      <c r="E4366" t="s">
        <v>1543</v>
      </c>
      <c r="F4366" t="s">
        <v>24</v>
      </c>
      <c r="G4366" t="s">
        <v>51</v>
      </c>
      <c r="H4366" t="s">
        <v>26</v>
      </c>
      <c r="I4366" t="s">
        <v>36</v>
      </c>
      <c r="J4366" t="s">
        <v>126</v>
      </c>
      <c r="K4366">
        <v>3</v>
      </c>
      <c r="L4366" s="2">
        <v>54.56</v>
      </c>
      <c r="M4366" s="3">
        <v>0.05</v>
      </c>
      <c r="N4366" t="s">
        <v>29</v>
      </c>
      <c r="O4366" s="2">
        <v>155.5</v>
      </c>
      <c r="P4366" s="2">
        <v>78.94</v>
      </c>
      <c r="Q4366" s="2">
        <v>76.56</v>
      </c>
      <c r="R4366">
        <v>1</v>
      </c>
      <c r="S4366">
        <v>0</v>
      </c>
      <c r="T4366">
        <v>3</v>
      </c>
      <c r="U4366">
        <v>5</v>
      </c>
    </row>
    <row r="4367" spans="1:21" ht="16.5" x14ac:dyDescent="0.3">
      <c r="A4367" t="s">
        <v>4455</v>
      </c>
      <c r="B4367" s="1">
        <v>45928</v>
      </c>
      <c r="C4367">
        <v>2025</v>
      </c>
      <c r="D4367" t="s">
        <v>1187</v>
      </c>
      <c r="E4367" t="s">
        <v>1543</v>
      </c>
      <c r="F4367" t="s">
        <v>45</v>
      </c>
      <c r="G4367" t="s">
        <v>46</v>
      </c>
      <c r="H4367" t="s">
        <v>32</v>
      </c>
      <c r="I4367" t="s">
        <v>42</v>
      </c>
      <c r="J4367" t="s">
        <v>89</v>
      </c>
      <c r="K4367">
        <v>1</v>
      </c>
      <c r="L4367" s="2">
        <v>68.349999999999994</v>
      </c>
      <c r="M4367" s="3">
        <v>0</v>
      </c>
      <c r="N4367" t="s">
        <v>38</v>
      </c>
      <c r="O4367" s="2">
        <v>68.349999999999994</v>
      </c>
      <c r="P4367" s="2">
        <v>43.8</v>
      </c>
      <c r="Q4367" s="2">
        <v>24.55</v>
      </c>
      <c r="R4367">
        <v>1</v>
      </c>
      <c r="S4367">
        <v>0</v>
      </c>
      <c r="T4367">
        <v>5</v>
      </c>
      <c r="U4367">
        <v>5</v>
      </c>
    </row>
    <row r="4368" spans="1:21" ht="16.5" x14ac:dyDescent="0.3">
      <c r="A4368" t="s">
        <v>4456</v>
      </c>
      <c r="B4368" s="1">
        <v>45929</v>
      </c>
      <c r="C4368">
        <v>2025</v>
      </c>
      <c r="D4368" t="s">
        <v>1187</v>
      </c>
      <c r="E4368" t="s">
        <v>1543</v>
      </c>
      <c r="F4368" t="s">
        <v>31</v>
      </c>
      <c r="G4368" t="s">
        <v>51</v>
      </c>
      <c r="H4368" t="s">
        <v>32</v>
      </c>
      <c r="I4368" t="s">
        <v>70</v>
      </c>
      <c r="J4368" t="s">
        <v>129</v>
      </c>
      <c r="K4368">
        <v>1</v>
      </c>
      <c r="L4368" s="2">
        <v>177.65</v>
      </c>
      <c r="M4368" s="3">
        <v>0.05</v>
      </c>
      <c r="N4368" t="s">
        <v>29</v>
      </c>
      <c r="O4368" s="2">
        <v>168.77</v>
      </c>
      <c r="P4368" s="2">
        <v>139.38</v>
      </c>
      <c r="Q4368" s="2">
        <v>29.39</v>
      </c>
      <c r="R4368">
        <v>1</v>
      </c>
      <c r="S4368">
        <v>0</v>
      </c>
      <c r="T4368">
        <v>2</v>
      </c>
      <c r="U4368">
        <v>5</v>
      </c>
    </row>
    <row r="4369" spans="1:21" ht="16.5" x14ac:dyDescent="0.3">
      <c r="A4369" t="s">
        <v>4457</v>
      </c>
      <c r="B4369" s="1">
        <v>45929</v>
      </c>
      <c r="C4369">
        <v>2025</v>
      </c>
      <c r="D4369" t="s">
        <v>1187</v>
      </c>
      <c r="E4369" t="s">
        <v>1543</v>
      </c>
      <c r="F4369" t="s">
        <v>24</v>
      </c>
      <c r="G4369" t="s">
        <v>25</v>
      </c>
      <c r="H4369" t="s">
        <v>26</v>
      </c>
      <c r="I4369" t="s">
        <v>70</v>
      </c>
      <c r="J4369" t="s">
        <v>162</v>
      </c>
      <c r="K4369">
        <v>1</v>
      </c>
      <c r="L4369" s="2">
        <v>636.09</v>
      </c>
      <c r="M4369" s="3">
        <v>0.1</v>
      </c>
      <c r="N4369" t="s">
        <v>29</v>
      </c>
      <c r="O4369" s="2">
        <v>572.48</v>
      </c>
      <c r="P4369" s="2">
        <v>515.05999999999995</v>
      </c>
      <c r="Q4369" s="2">
        <v>57.42</v>
      </c>
      <c r="R4369">
        <v>1</v>
      </c>
      <c r="S4369">
        <v>0</v>
      </c>
      <c r="T4369">
        <v>4</v>
      </c>
      <c r="U4369">
        <v>4</v>
      </c>
    </row>
    <row r="4370" spans="1:21" ht="16.5" x14ac:dyDescent="0.3">
      <c r="A4370" t="s">
        <v>4458</v>
      </c>
      <c r="B4370" s="1">
        <v>45929</v>
      </c>
      <c r="C4370">
        <v>2025</v>
      </c>
      <c r="D4370" t="s">
        <v>1187</v>
      </c>
      <c r="E4370" t="s">
        <v>1543</v>
      </c>
      <c r="F4370" t="s">
        <v>45</v>
      </c>
      <c r="G4370" t="s">
        <v>51</v>
      </c>
      <c r="H4370" t="s">
        <v>32</v>
      </c>
      <c r="I4370" t="s">
        <v>27</v>
      </c>
      <c r="J4370" t="s">
        <v>40</v>
      </c>
      <c r="K4370">
        <v>2</v>
      </c>
      <c r="L4370" s="2">
        <v>104.94</v>
      </c>
      <c r="M4370" s="3">
        <v>0.05</v>
      </c>
      <c r="N4370" t="s">
        <v>29</v>
      </c>
      <c r="O4370" s="2">
        <v>199.39</v>
      </c>
      <c r="P4370" s="2">
        <v>115.82</v>
      </c>
      <c r="Q4370" s="2">
        <v>83.57</v>
      </c>
      <c r="R4370">
        <v>1</v>
      </c>
      <c r="S4370">
        <v>0</v>
      </c>
      <c r="T4370">
        <v>2</v>
      </c>
      <c r="U4370">
        <v>5</v>
      </c>
    </row>
    <row r="4371" spans="1:21" ht="16.5" x14ac:dyDescent="0.3">
      <c r="A4371" t="s">
        <v>4459</v>
      </c>
      <c r="B4371" s="1">
        <v>45929</v>
      </c>
      <c r="C4371">
        <v>2025</v>
      </c>
      <c r="D4371" t="s">
        <v>1187</v>
      </c>
      <c r="E4371" t="s">
        <v>1543</v>
      </c>
      <c r="F4371" t="s">
        <v>31</v>
      </c>
      <c r="G4371" t="s">
        <v>65</v>
      </c>
      <c r="H4371" t="s">
        <v>26</v>
      </c>
      <c r="I4371" t="s">
        <v>42</v>
      </c>
      <c r="J4371" t="s">
        <v>89</v>
      </c>
      <c r="K4371">
        <v>1</v>
      </c>
      <c r="L4371" s="2">
        <v>68.349999999999994</v>
      </c>
      <c r="M4371" s="3">
        <v>0.3</v>
      </c>
      <c r="N4371" t="s">
        <v>62</v>
      </c>
      <c r="O4371" s="2">
        <v>47.84</v>
      </c>
      <c r="P4371" s="2">
        <v>43.98</v>
      </c>
      <c r="Q4371" s="2">
        <v>3.86</v>
      </c>
      <c r="R4371">
        <v>1</v>
      </c>
      <c r="S4371">
        <v>0</v>
      </c>
      <c r="T4371">
        <v>6</v>
      </c>
      <c r="U4371">
        <v>2</v>
      </c>
    </row>
    <row r="4372" spans="1:21" ht="16.5" x14ac:dyDescent="0.3">
      <c r="A4372" t="s">
        <v>4460</v>
      </c>
      <c r="B4372" s="1">
        <v>45929</v>
      </c>
      <c r="C4372">
        <v>2025</v>
      </c>
      <c r="D4372" t="s">
        <v>1187</v>
      </c>
      <c r="E4372" t="s">
        <v>1543</v>
      </c>
      <c r="F4372" t="s">
        <v>24</v>
      </c>
      <c r="G4372" t="s">
        <v>49</v>
      </c>
      <c r="H4372" t="s">
        <v>26</v>
      </c>
      <c r="I4372" t="s">
        <v>42</v>
      </c>
      <c r="J4372" t="s">
        <v>58</v>
      </c>
      <c r="K4372">
        <v>1</v>
      </c>
      <c r="L4372" s="2">
        <v>233.81</v>
      </c>
      <c r="M4372" s="3">
        <v>0</v>
      </c>
      <c r="N4372" t="s">
        <v>38</v>
      </c>
      <c r="O4372" s="2">
        <v>233.81</v>
      </c>
      <c r="P4372" s="2">
        <v>153.13</v>
      </c>
      <c r="Q4372" s="2">
        <v>80.680000000000007</v>
      </c>
      <c r="R4372">
        <v>1</v>
      </c>
      <c r="S4372">
        <v>0</v>
      </c>
      <c r="T4372">
        <v>3</v>
      </c>
      <c r="U4372">
        <v>5</v>
      </c>
    </row>
    <row r="4373" spans="1:21" ht="16.5" x14ac:dyDescent="0.3">
      <c r="A4373" t="s">
        <v>4461</v>
      </c>
      <c r="B4373" s="1">
        <v>45929</v>
      </c>
      <c r="C4373">
        <v>2025</v>
      </c>
      <c r="D4373" t="s">
        <v>1187</v>
      </c>
      <c r="E4373" t="s">
        <v>1543</v>
      </c>
      <c r="F4373" t="s">
        <v>31</v>
      </c>
      <c r="G4373" t="s">
        <v>25</v>
      </c>
      <c r="H4373" t="s">
        <v>26</v>
      </c>
      <c r="I4373" t="s">
        <v>27</v>
      </c>
      <c r="J4373" t="s">
        <v>28</v>
      </c>
      <c r="K4373">
        <v>1</v>
      </c>
      <c r="L4373" s="2">
        <v>138.5</v>
      </c>
      <c r="M4373" s="3">
        <v>0.2</v>
      </c>
      <c r="N4373" t="s">
        <v>34</v>
      </c>
      <c r="O4373" s="2">
        <v>110.8</v>
      </c>
      <c r="P4373" s="2">
        <v>74.27</v>
      </c>
      <c r="Q4373" s="2">
        <v>36.53</v>
      </c>
      <c r="R4373">
        <v>1</v>
      </c>
      <c r="S4373">
        <v>0</v>
      </c>
      <c r="T4373">
        <v>3</v>
      </c>
      <c r="U4373">
        <v>5</v>
      </c>
    </row>
    <row r="4374" spans="1:21" ht="16.5" x14ac:dyDescent="0.3">
      <c r="A4374" t="s">
        <v>4462</v>
      </c>
      <c r="B4374" s="1">
        <v>45929</v>
      </c>
      <c r="C4374">
        <v>2025</v>
      </c>
      <c r="D4374" t="s">
        <v>1187</v>
      </c>
      <c r="E4374" t="s">
        <v>1543</v>
      </c>
      <c r="F4374" t="s">
        <v>24</v>
      </c>
      <c r="G4374" t="s">
        <v>51</v>
      </c>
      <c r="H4374" t="s">
        <v>26</v>
      </c>
      <c r="I4374" t="s">
        <v>67</v>
      </c>
      <c r="J4374" t="s">
        <v>78</v>
      </c>
      <c r="K4374">
        <v>2</v>
      </c>
      <c r="L4374" s="2">
        <v>85.42</v>
      </c>
      <c r="M4374" s="3">
        <v>0.05</v>
      </c>
      <c r="N4374" t="s">
        <v>29</v>
      </c>
      <c r="O4374" s="2">
        <v>162.30000000000001</v>
      </c>
      <c r="P4374" s="2">
        <v>115.62</v>
      </c>
      <c r="Q4374" s="2">
        <v>46.68</v>
      </c>
      <c r="R4374">
        <v>1</v>
      </c>
      <c r="S4374">
        <v>0</v>
      </c>
      <c r="T4374">
        <v>2</v>
      </c>
      <c r="U4374">
        <v>4</v>
      </c>
    </row>
    <row r="4375" spans="1:21" ht="16.5" x14ac:dyDescent="0.3">
      <c r="A4375" t="s">
        <v>4463</v>
      </c>
      <c r="B4375" s="1">
        <v>45929</v>
      </c>
      <c r="C4375">
        <v>2025</v>
      </c>
      <c r="D4375" t="s">
        <v>1187</v>
      </c>
      <c r="E4375" t="s">
        <v>1543</v>
      </c>
      <c r="F4375" t="s">
        <v>45</v>
      </c>
      <c r="G4375" t="s">
        <v>46</v>
      </c>
      <c r="H4375" t="s">
        <v>26</v>
      </c>
      <c r="I4375" t="s">
        <v>67</v>
      </c>
      <c r="J4375" t="s">
        <v>68</v>
      </c>
      <c r="K4375">
        <v>1</v>
      </c>
      <c r="L4375" s="2">
        <v>74.459999999999994</v>
      </c>
      <c r="M4375" s="3">
        <v>0.1</v>
      </c>
      <c r="N4375" t="s">
        <v>29</v>
      </c>
      <c r="O4375" s="2">
        <v>67.010000000000005</v>
      </c>
      <c r="P4375" s="2">
        <v>51.66</v>
      </c>
      <c r="Q4375" s="2">
        <v>15.35</v>
      </c>
      <c r="R4375">
        <v>1</v>
      </c>
      <c r="S4375">
        <v>0</v>
      </c>
      <c r="T4375">
        <v>5</v>
      </c>
      <c r="U4375">
        <v>5</v>
      </c>
    </row>
    <row r="4376" spans="1:21" ht="16.5" x14ac:dyDescent="0.3">
      <c r="A4376" t="s">
        <v>4464</v>
      </c>
      <c r="B4376" s="1">
        <v>45929</v>
      </c>
      <c r="C4376">
        <v>2025</v>
      </c>
      <c r="D4376" t="s">
        <v>1187</v>
      </c>
      <c r="E4376" t="s">
        <v>1543</v>
      </c>
      <c r="F4376" t="s">
        <v>24</v>
      </c>
      <c r="G4376" t="s">
        <v>25</v>
      </c>
      <c r="H4376" t="s">
        <v>32</v>
      </c>
      <c r="I4376" t="s">
        <v>36</v>
      </c>
      <c r="J4376" t="s">
        <v>126</v>
      </c>
      <c r="K4376">
        <v>1</v>
      </c>
      <c r="L4376" s="2">
        <v>54.56</v>
      </c>
      <c r="M4376" s="3">
        <v>0.1</v>
      </c>
      <c r="N4376" t="s">
        <v>29</v>
      </c>
      <c r="O4376" s="2">
        <v>49.1</v>
      </c>
      <c r="P4376" s="2">
        <v>26.35</v>
      </c>
      <c r="Q4376" s="2">
        <v>22.75</v>
      </c>
      <c r="R4376">
        <v>1</v>
      </c>
      <c r="S4376">
        <v>0</v>
      </c>
      <c r="T4376">
        <v>3</v>
      </c>
      <c r="U4376">
        <v>5</v>
      </c>
    </row>
    <row r="4377" spans="1:21" ht="16.5" x14ac:dyDescent="0.3">
      <c r="A4377" t="s">
        <v>4465</v>
      </c>
      <c r="B4377" s="1">
        <v>45929</v>
      </c>
      <c r="C4377">
        <v>2025</v>
      </c>
      <c r="D4377" t="s">
        <v>1187</v>
      </c>
      <c r="E4377" t="s">
        <v>1543</v>
      </c>
      <c r="F4377" t="s">
        <v>45</v>
      </c>
      <c r="G4377" t="s">
        <v>46</v>
      </c>
      <c r="H4377" t="s">
        <v>32</v>
      </c>
      <c r="I4377" t="s">
        <v>70</v>
      </c>
      <c r="J4377" t="s">
        <v>82</v>
      </c>
      <c r="K4377">
        <v>1</v>
      </c>
      <c r="L4377" s="2">
        <v>508.8</v>
      </c>
      <c r="M4377" s="3">
        <v>0</v>
      </c>
      <c r="N4377" t="s">
        <v>38</v>
      </c>
      <c r="O4377" s="2">
        <v>508.8</v>
      </c>
      <c r="P4377" s="2">
        <v>395.56</v>
      </c>
      <c r="Q4377" s="2">
        <v>113.24</v>
      </c>
      <c r="R4377">
        <v>1</v>
      </c>
      <c r="S4377">
        <v>1</v>
      </c>
      <c r="T4377">
        <v>7</v>
      </c>
      <c r="U4377">
        <v>3</v>
      </c>
    </row>
    <row r="4378" spans="1:21" ht="16.5" x14ac:dyDescent="0.3">
      <c r="A4378" t="s">
        <v>4466</v>
      </c>
      <c r="B4378" s="1">
        <v>45929</v>
      </c>
      <c r="C4378">
        <v>2025</v>
      </c>
      <c r="D4378" t="s">
        <v>1187</v>
      </c>
      <c r="E4378" t="s">
        <v>1543</v>
      </c>
      <c r="F4378" t="s">
        <v>45</v>
      </c>
      <c r="G4378" t="s">
        <v>25</v>
      </c>
      <c r="H4378" t="s">
        <v>26</v>
      </c>
      <c r="I4378" t="s">
        <v>27</v>
      </c>
      <c r="J4378" t="s">
        <v>33</v>
      </c>
      <c r="K4378">
        <v>1</v>
      </c>
      <c r="L4378" s="2">
        <v>78.510000000000005</v>
      </c>
      <c r="M4378" s="3">
        <v>0.05</v>
      </c>
      <c r="N4378" t="s">
        <v>29</v>
      </c>
      <c r="O4378" s="2">
        <v>74.58</v>
      </c>
      <c r="P4378" s="2">
        <v>42.19</v>
      </c>
      <c r="Q4378" s="2">
        <v>32.39</v>
      </c>
      <c r="R4378">
        <v>1</v>
      </c>
      <c r="S4378">
        <v>0</v>
      </c>
      <c r="T4378">
        <v>3</v>
      </c>
      <c r="U4378">
        <v>4</v>
      </c>
    </row>
    <row r="4379" spans="1:21" ht="16.5" x14ac:dyDescent="0.3">
      <c r="A4379" t="s">
        <v>4467</v>
      </c>
      <c r="B4379" s="1">
        <v>45929</v>
      </c>
      <c r="C4379">
        <v>2025</v>
      </c>
      <c r="D4379" t="s">
        <v>1187</v>
      </c>
      <c r="E4379" t="s">
        <v>1543</v>
      </c>
      <c r="F4379" t="s">
        <v>31</v>
      </c>
      <c r="G4379" t="s">
        <v>51</v>
      </c>
      <c r="H4379" t="s">
        <v>26</v>
      </c>
      <c r="I4379" t="s">
        <v>42</v>
      </c>
      <c r="J4379" t="s">
        <v>58</v>
      </c>
      <c r="K4379">
        <v>2</v>
      </c>
      <c r="L4379" s="2">
        <v>233.81</v>
      </c>
      <c r="M4379" s="3">
        <v>0</v>
      </c>
      <c r="N4379" t="s">
        <v>38</v>
      </c>
      <c r="O4379" s="2">
        <v>467.62</v>
      </c>
      <c r="P4379" s="2">
        <v>298.74</v>
      </c>
      <c r="Q4379" s="2">
        <v>168.88</v>
      </c>
      <c r="R4379">
        <v>1</v>
      </c>
      <c r="S4379">
        <v>0</v>
      </c>
      <c r="T4379">
        <v>5</v>
      </c>
      <c r="U4379">
        <v>5</v>
      </c>
    </row>
    <row r="4380" spans="1:21" ht="16.5" x14ac:dyDescent="0.3">
      <c r="A4380" t="s">
        <v>4468</v>
      </c>
      <c r="B4380" s="1">
        <v>45929</v>
      </c>
      <c r="C4380">
        <v>2025</v>
      </c>
      <c r="D4380" t="s">
        <v>1187</v>
      </c>
      <c r="E4380" t="s">
        <v>1543</v>
      </c>
      <c r="F4380" t="s">
        <v>24</v>
      </c>
      <c r="G4380" t="s">
        <v>25</v>
      </c>
      <c r="H4380" t="s">
        <v>26</v>
      </c>
      <c r="I4380" t="s">
        <v>27</v>
      </c>
      <c r="J4380" t="s">
        <v>28</v>
      </c>
      <c r="K4380">
        <v>1</v>
      </c>
      <c r="L4380" s="2">
        <v>138.5</v>
      </c>
      <c r="M4380" s="3">
        <v>0.1</v>
      </c>
      <c r="N4380" t="s">
        <v>29</v>
      </c>
      <c r="O4380" s="2">
        <v>124.65</v>
      </c>
      <c r="P4380" s="2">
        <v>76.790000000000006</v>
      </c>
      <c r="Q4380" s="2">
        <v>47.86</v>
      </c>
      <c r="R4380">
        <v>1</v>
      </c>
      <c r="S4380">
        <v>1</v>
      </c>
      <c r="T4380">
        <v>3</v>
      </c>
      <c r="U4380">
        <v>4</v>
      </c>
    </row>
    <row r="4381" spans="1:21" ht="16.5" x14ac:dyDescent="0.3">
      <c r="A4381" t="s">
        <v>4469</v>
      </c>
      <c r="B4381" s="1">
        <v>45930</v>
      </c>
      <c r="C4381">
        <v>2025</v>
      </c>
      <c r="D4381" t="s">
        <v>1187</v>
      </c>
      <c r="E4381" t="s">
        <v>1543</v>
      </c>
      <c r="F4381" t="s">
        <v>31</v>
      </c>
      <c r="G4381" t="s">
        <v>65</v>
      </c>
      <c r="H4381" t="s">
        <v>32</v>
      </c>
      <c r="I4381" t="s">
        <v>36</v>
      </c>
      <c r="J4381" t="s">
        <v>126</v>
      </c>
      <c r="K4381">
        <v>4</v>
      </c>
      <c r="L4381" s="2">
        <v>54.56</v>
      </c>
      <c r="M4381" s="3">
        <v>0</v>
      </c>
      <c r="N4381" t="s">
        <v>38</v>
      </c>
      <c r="O4381" s="2">
        <v>218.24</v>
      </c>
      <c r="P4381" s="2">
        <v>106.37</v>
      </c>
      <c r="Q4381" s="2">
        <v>111.87</v>
      </c>
      <c r="R4381">
        <v>1</v>
      </c>
      <c r="S4381">
        <v>0</v>
      </c>
      <c r="T4381">
        <v>6</v>
      </c>
      <c r="U4381">
        <v>4</v>
      </c>
    </row>
    <row r="4382" spans="1:21" ht="16.5" x14ac:dyDescent="0.3">
      <c r="A4382" t="s">
        <v>4470</v>
      </c>
      <c r="B4382" s="1">
        <v>45930</v>
      </c>
      <c r="C4382">
        <v>2025</v>
      </c>
      <c r="D4382" t="s">
        <v>1187</v>
      </c>
      <c r="E4382" t="s">
        <v>1543</v>
      </c>
      <c r="F4382" t="s">
        <v>31</v>
      </c>
      <c r="G4382" t="s">
        <v>51</v>
      </c>
      <c r="H4382" t="s">
        <v>32</v>
      </c>
      <c r="I4382" t="s">
        <v>70</v>
      </c>
      <c r="J4382" t="s">
        <v>252</v>
      </c>
      <c r="K4382">
        <v>3</v>
      </c>
      <c r="L4382" s="2">
        <v>216.08</v>
      </c>
      <c r="M4382" s="3">
        <v>0.05</v>
      </c>
      <c r="N4382" t="s">
        <v>29</v>
      </c>
      <c r="O4382" s="2">
        <v>615.83000000000004</v>
      </c>
      <c r="P4382" s="2">
        <v>533.54</v>
      </c>
      <c r="Q4382" s="2">
        <v>82.29</v>
      </c>
      <c r="R4382">
        <v>1</v>
      </c>
      <c r="S4382">
        <v>0</v>
      </c>
      <c r="T4382">
        <v>4</v>
      </c>
      <c r="U4382">
        <v>4</v>
      </c>
    </row>
    <row r="4383" spans="1:21" ht="16.5" x14ac:dyDescent="0.3">
      <c r="A4383" t="s">
        <v>4471</v>
      </c>
      <c r="B4383" s="1">
        <v>45930</v>
      </c>
      <c r="C4383">
        <v>2025</v>
      </c>
      <c r="D4383" t="s">
        <v>1187</v>
      </c>
      <c r="E4383" t="s">
        <v>1543</v>
      </c>
      <c r="F4383" t="s">
        <v>31</v>
      </c>
      <c r="G4383" t="s">
        <v>49</v>
      </c>
      <c r="H4383" t="s">
        <v>32</v>
      </c>
      <c r="I4383" t="s">
        <v>27</v>
      </c>
      <c r="J4383" t="s">
        <v>40</v>
      </c>
      <c r="K4383">
        <v>1</v>
      </c>
      <c r="L4383" s="2">
        <v>104.94</v>
      </c>
      <c r="M4383" s="3">
        <v>0.1</v>
      </c>
      <c r="N4383" t="s">
        <v>29</v>
      </c>
      <c r="O4383" s="2">
        <v>94.45</v>
      </c>
      <c r="P4383" s="2">
        <v>58.13</v>
      </c>
      <c r="Q4383" s="2">
        <v>36.32</v>
      </c>
      <c r="R4383">
        <v>1</v>
      </c>
      <c r="S4383">
        <v>0</v>
      </c>
      <c r="T4383">
        <v>4</v>
      </c>
      <c r="U4383">
        <v>5</v>
      </c>
    </row>
    <row r="4384" spans="1:21" ht="16.5" x14ac:dyDescent="0.3">
      <c r="A4384" t="s">
        <v>4472</v>
      </c>
      <c r="B4384" s="1">
        <v>45930</v>
      </c>
      <c r="C4384">
        <v>2025</v>
      </c>
      <c r="D4384" t="s">
        <v>1187</v>
      </c>
      <c r="E4384" t="s">
        <v>1543</v>
      </c>
      <c r="F4384" t="s">
        <v>24</v>
      </c>
      <c r="G4384" t="s">
        <v>49</v>
      </c>
      <c r="H4384" t="s">
        <v>26</v>
      </c>
      <c r="I4384" t="s">
        <v>27</v>
      </c>
      <c r="J4384" t="s">
        <v>33</v>
      </c>
      <c r="K4384">
        <v>1</v>
      </c>
      <c r="L4384" s="2">
        <v>78.510000000000005</v>
      </c>
      <c r="M4384" s="3">
        <v>0.05</v>
      </c>
      <c r="N4384" t="s">
        <v>29</v>
      </c>
      <c r="O4384" s="2">
        <v>74.58</v>
      </c>
      <c r="P4384" s="2">
        <v>41.54</v>
      </c>
      <c r="Q4384" s="2">
        <v>33.04</v>
      </c>
      <c r="R4384">
        <v>1</v>
      </c>
      <c r="S4384">
        <v>0</v>
      </c>
      <c r="T4384">
        <v>4</v>
      </c>
      <c r="U4384">
        <v>4</v>
      </c>
    </row>
    <row r="4385" spans="1:21" ht="16.5" x14ac:dyDescent="0.3">
      <c r="A4385" t="s">
        <v>4473</v>
      </c>
      <c r="B4385" s="1">
        <v>45930</v>
      </c>
      <c r="C4385">
        <v>2025</v>
      </c>
      <c r="D4385" t="s">
        <v>1187</v>
      </c>
      <c r="E4385" t="s">
        <v>1543</v>
      </c>
      <c r="F4385" t="s">
        <v>31</v>
      </c>
      <c r="G4385" t="s">
        <v>65</v>
      </c>
      <c r="H4385" t="s">
        <v>32</v>
      </c>
      <c r="I4385" t="s">
        <v>84</v>
      </c>
      <c r="J4385" t="s">
        <v>132</v>
      </c>
      <c r="K4385">
        <v>1</v>
      </c>
      <c r="L4385" s="2">
        <v>48.86</v>
      </c>
      <c r="M4385" s="3">
        <v>0.05</v>
      </c>
      <c r="N4385" t="s">
        <v>29</v>
      </c>
      <c r="O4385" s="2">
        <v>46.42</v>
      </c>
      <c r="P4385" s="2">
        <v>36.68</v>
      </c>
      <c r="Q4385" s="2">
        <v>9.74</v>
      </c>
      <c r="R4385">
        <v>1</v>
      </c>
      <c r="S4385">
        <v>0</v>
      </c>
      <c r="T4385">
        <v>8</v>
      </c>
      <c r="U4385">
        <v>3</v>
      </c>
    </row>
    <row r="4386" spans="1:21" ht="16.5" x14ac:dyDescent="0.3">
      <c r="A4386" t="s">
        <v>4474</v>
      </c>
      <c r="B4386" s="1">
        <v>45930</v>
      </c>
      <c r="C4386">
        <v>2025</v>
      </c>
      <c r="D4386" t="s">
        <v>1187</v>
      </c>
      <c r="E4386" t="s">
        <v>1543</v>
      </c>
      <c r="F4386" t="s">
        <v>31</v>
      </c>
      <c r="G4386" t="s">
        <v>25</v>
      </c>
      <c r="H4386" t="s">
        <v>26</v>
      </c>
      <c r="I4386" t="s">
        <v>67</v>
      </c>
      <c r="J4386" t="s">
        <v>68</v>
      </c>
      <c r="K4386">
        <v>2</v>
      </c>
      <c r="L4386" s="2">
        <v>74.459999999999994</v>
      </c>
      <c r="M4386" s="3">
        <v>0</v>
      </c>
      <c r="N4386" t="s">
        <v>38</v>
      </c>
      <c r="O4386" s="2">
        <v>148.91999999999999</v>
      </c>
      <c r="P4386" s="2">
        <v>98.34</v>
      </c>
      <c r="Q4386" s="2">
        <v>50.58</v>
      </c>
      <c r="R4386">
        <v>1</v>
      </c>
      <c r="S4386">
        <v>0</v>
      </c>
      <c r="T4386">
        <v>5</v>
      </c>
      <c r="U4386">
        <v>3</v>
      </c>
    </row>
    <row r="4387" spans="1:21" ht="16.5" x14ac:dyDescent="0.3">
      <c r="A4387" t="s">
        <v>4475</v>
      </c>
      <c r="B4387" s="1">
        <v>45930</v>
      </c>
      <c r="C4387">
        <v>2025</v>
      </c>
      <c r="D4387" t="s">
        <v>1187</v>
      </c>
      <c r="E4387" t="s">
        <v>1543</v>
      </c>
      <c r="F4387" t="s">
        <v>45</v>
      </c>
      <c r="G4387" t="s">
        <v>51</v>
      </c>
      <c r="H4387" t="s">
        <v>32</v>
      </c>
      <c r="I4387" t="s">
        <v>27</v>
      </c>
      <c r="J4387" t="s">
        <v>33</v>
      </c>
      <c r="K4387">
        <v>2</v>
      </c>
      <c r="L4387" s="2">
        <v>78.510000000000005</v>
      </c>
      <c r="M4387" s="3">
        <v>0.1</v>
      </c>
      <c r="N4387" t="s">
        <v>29</v>
      </c>
      <c r="O4387" s="2">
        <v>141.32</v>
      </c>
      <c r="P4387" s="2">
        <v>86.32</v>
      </c>
      <c r="Q4387" s="2">
        <v>55</v>
      </c>
      <c r="R4387">
        <v>1</v>
      </c>
      <c r="S4387">
        <v>0</v>
      </c>
      <c r="T4387">
        <v>5</v>
      </c>
      <c r="U4387">
        <v>4</v>
      </c>
    </row>
    <row r="4388" spans="1:21" ht="16.5" x14ac:dyDescent="0.3">
      <c r="A4388" t="s">
        <v>4476</v>
      </c>
      <c r="B4388" s="1">
        <v>45930</v>
      </c>
      <c r="C4388">
        <v>2025</v>
      </c>
      <c r="D4388" t="s">
        <v>1187</v>
      </c>
      <c r="E4388" t="s">
        <v>1543</v>
      </c>
      <c r="F4388" t="s">
        <v>31</v>
      </c>
      <c r="G4388" t="s">
        <v>51</v>
      </c>
      <c r="H4388" t="s">
        <v>26</v>
      </c>
      <c r="I4388" t="s">
        <v>42</v>
      </c>
      <c r="J4388" t="s">
        <v>54</v>
      </c>
      <c r="K4388">
        <v>1</v>
      </c>
      <c r="L4388" s="2">
        <v>148.05000000000001</v>
      </c>
      <c r="M4388" s="3">
        <v>0.3</v>
      </c>
      <c r="N4388" t="s">
        <v>62</v>
      </c>
      <c r="O4388" s="2">
        <v>103.64</v>
      </c>
      <c r="P4388" s="2">
        <v>94.7</v>
      </c>
      <c r="Q4388" s="2">
        <v>8.94</v>
      </c>
      <c r="R4388">
        <v>1</v>
      </c>
      <c r="S4388">
        <v>0</v>
      </c>
      <c r="T4388">
        <v>4</v>
      </c>
      <c r="U4388">
        <v>4</v>
      </c>
    </row>
    <row r="4389" spans="1:21" ht="16.5" x14ac:dyDescent="0.3">
      <c r="A4389" t="s">
        <v>4477</v>
      </c>
      <c r="B4389" s="1">
        <v>45930</v>
      </c>
      <c r="C4389">
        <v>2025</v>
      </c>
      <c r="D4389" t="s">
        <v>1187</v>
      </c>
      <c r="E4389" t="s">
        <v>1543</v>
      </c>
      <c r="F4389" t="s">
        <v>31</v>
      </c>
      <c r="G4389" t="s">
        <v>49</v>
      </c>
      <c r="H4389" t="s">
        <v>32</v>
      </c>
      <c r="I4389" t="s">
        <v>42</v>
      </c>
      <c r="J4389" t="s">
        <v>89</v>
      </c>
      <c r="K4389">
        <v>4</v>
      </c>
      <c r="L4389" s="2">
        <v>68.349999999999994</v>
      </c>
      <c r="M4389" s="3">
        <v>0.1</v>
      </c>
      <c r="N4389" t="s">
        <v>29</v>
      </c>
      <c r="O4389" s="2">
        <v>246.06</v>
      </c>
      <c r="P4389" s="2">
        <v>181.73</v>
      </c>
      <c r="Q4389" s="2">
        <v>64.33</v>
      </c>
      <c r="R4389">
        <v>1</v>
      </c>
      <c r="S4389">
        <v>0</v>
      </c>
      <c r="T4389">
        <v>5</v>
      </c>
      <c r="U4389">
        <v>4</v>
      </c>
    </row>
    <row r="4390" spans="1:21" ht="16.5" x14ac:dyDescent="0.3">
      <c r="A4390" t="s">
        <v>4478</v>
      </c>
      <c r="B4390" s="1">
        <v>45930</v>
      </c>
      <c r="C4390">
        <v>2025</v>
      </c>
      <c r="D4390" t="s">
        <v>1187</v>
      </c>
      <c r="E4390" t="s">
        <v>1543</v>
      </c>
      <c r="F4390" t="s">
        <v>24</v>
      </c>
      <c r="G4390" t="s">
        <v>46</v>
      </c>
      <c r="H4390" t="s">
        <v>32</v>
      </c>
      <c r="I4390" t="s">
        <v>27</v>
      </c>
      <c r="J4390" t="s">
        <v>40</v>
      </c>
      <c r="K4390">
        <v>3</v>
      </c>
      <c r="L4390" s="2">
        <v>104.94</v>
      </c>
      <c r="M4390" s="3">
        <v>0.15</v>
      </c>
      <c r="N4390" t="s">
        <v>34</v>
      </c>
      <c r="O4390" s="2">
        <v>267.60000000000002</v>
      </c>
      <c r="P4390" s="2">
        <v>170.42</v>
      </c>
      <c r="Q4390" s="2">
        <v>97.18</v>
      </c>
      <c r="R4390">
        <v>1</v>
      </c>
      <c r="S4390">
        <v>0</v>
      </c>
      <c r="T4390">
        <v>5</v>
      </c>
      <c r="U4390">
        <v>4</v>
      </c>
    </row>
    <row r="4391" spans="1:21" ht="16.5" x14ac:dyDescent="0.3">
      <c r="A4391" t="s">
        <v>4479</v>
      </c>
      <c r="B4391" s="1">
        <v>45931</v>
      </c>
      <c r="C4391">
        <v>2025</v>
      </c>
      <c r="D4391" t="s">
        <v>1738</v>
      </c>
      <c r="E4391" t="s">
        <v>1739</v>
      </c>
      <c r="F4391" t="s">
        <v>24</v>
      </c>
      <c r="G4391" t="s">
        <v>46</v>
      </c>
      <c r="H4391" t="s">
        <v>32</v>
      </c>
      <c r="I4391" t="s">
        <v>67</v>
      </c>
      <c r="J4391" t="s">
        <v>93</v>
      </c>
      <c r="K4391">
        <v>1</v>
      </c>
      <c r="L4391" s="2">
        <v>198.42</v>
      </c>
      <c r="M4391" s="3">
        <v>0.1</v>
      </c>
      <c r="N4391" t="s">
        <v>29</v>
      </c>
      <c r="O4391" s="2">
        <v>178.58</v>
      </c>
      <c r="P4391" s="2">
        <v>135.66</v>
      </c>
      <c r="Q4391" s="2">
        <v>42.92</v>
      </c>
      <c r="R4391">
        <v>1</v>
      </c>
      <c r="S4391">
        <v>0</v>
      </c>
      <c r="T4391">
        <v>7</v>
      </c>
      <c r="U4391">
        <v>3</v>
      </c>
    </row>
    <row r="4392" spans="1:21" ht="16.5" x14ac:dyDescent="0.3">
      <c r="A4392" t="s">
        <v>4480</v>
      </c>
      <c r="B4392" s="1">
        <v>45931</v>
      </c>
      <c r="C4392">
        <v>2025</v>
      </c>
      <c r="D4392" t="s">
        <v>1738</v>
      </c>
      <c r="E4392" t="s">
        <v>1739</v>
      </c>
      <c r="F4392" t="s">
        <v>31</v>
      </c>
      <c r="G4392" t="s">
        <v>51</v>
      </c>
      <c r="H4392" t="s">
        <v>26</v>
      </c>
      <c r="I4392" t="s">
        <v>70</v>
      </c>
      <c r="J4392" t="s">
        <v>82</v>
      </c>
      <c r="K4392">
        <v>2</v>
      </c>
      <c r="L4392" s="2">
        <v>508.8</v>
      </c>
      <c r="M4392" s="3">
        <v>0.1</v>
      </c>
      <c r="N4392" t="s">
        <v>29</v>
      </c>
      <c r="O4392" s="2">
        <v>915.84</v>
      </c>
      <c r="P4392" s="2">
        <v>799.04</v>
      </c>
      <c r="Q4392" s="2">
        <v>116.8</v>
      </c>
      <c r="R4392">
        <v>1</v>
      </c>
      <c r="S4392">
        <v>0</v>
      </c>
      <c r="T4392">
        <v>3</v>
      </c>
      <c r="U4392">
        <v>4</v>
      </c>
    </row>
    <row r="4393" spans="1:21" ht="16.5" x14ac:dyDescent="0.3">
      <c r="A4393" t="s">
        <v>4481</v>
      </c>
      <c r="B4393" s="1">
        <v>45931</v>
      </c>
      <c r="C4393">
        <v>2025</v>
      </c>
      <c r="D4393" t="s">
        <v>1738</v>
      </c>
      <c r="E4393" t="s">
        <v>1739</v>
      </c>
      <c r="F4393" t="s">
        <v>31</v>
      </c>
      <c r="G4393" t="s">
        <v>25</v>
      </c>
      <c r="H4393" t="s">
        <v>32</v>
      </c>
      <c r="I4393" t="s">
        <v>84</v>
      </c>
      <c r="J4393" t="s">
        <v>96</v>
      </c>
      <c r="K4393">
        <v>3</v>
      </c>
      <c r="L4393" s="2">
        <v>10.76</v>
      </c>
      <c r="M4393" s="3">
        <v>0</v>
      </c>
      <c r="N4393" t="s">
        <v>38</v>
      </c>
      <c r="O4393" s="2">
        <v>32.28</v>
      </c>
      <c r="P4393" s="2">
        <v>23.43</v>
      </c>
      <c r="Q4393" s="2">
        <v>8.85</v>
      </c>
      <c r="R4393">
        <v>1</v>
      </c>
      <c r="S4393">
        <v>0</v>
      </c>
      <c r="T4393">
        <v>4</v>
      </c>
      <c r="U4393">
        <v>5</v>
      </c>
    </row>
    <row r="4394" spans="1:21" ht="16.5" x14ac:dyDescent="0.3">
      <c r="A4394" t="s">
        <v>4482</v>
      </c>
      <c r="B4394" s="1">
        <v>45931</v>
      </c>
      <c r="C4394">
        <v>2025</v>
      </c>
      <c r="D4394" t="s">
        <v>1738</v>
      </c>
      <c r="E4394" t="s">
        <v>1739</v>
      </c>
      <c r="F4394" t="s">
        <v>24</v>
      </c>
      <c r="G4394" t="s">
        <v>51</v>
      </c>
      <c r="H4394" t="s">
        <v>26</v>
      </c>
      <c r="I4394" t="s">
        <v>67</v>
      </c>
      <c r="J4394" t="s">
        <v>93</v>
      </c>
      <c r="K4394">
        <v>1</v>
      </c>
      <c r="L4394" s="2">
        <v>198.42</v>
      </c>
      <c r="M4394" s="3">
        <v>0.15</v>
      </c>
      <c r="N4394" t="s">
        <v>34</v>
      </c>
      <c r="O4394" s="2">
        <v>168.66</v>
      </c>
      <c r="P4394" s="2">
        <v>131.08000000000001</v>
      </c>
      <c r="Q4394" s="2">
        <v>37.58</v>
      </c>
      <c r="R4394">
        <v>1</v>
      </c>
      <c r="S4394">
        <v>1</v>
      </c>
      <c r="T4394">
        <v>4</v>
      </c>
      <c r="U4394">
        <v>3</v>
      </c>
    </row>
    <row r="4395" spans="1:21" ht="16.5" x14ac:dyDescent="0.3">
      <c r="A4395" t="s">
        <v>4483</v>
      </c>
      <c r="B4395" s="1">
        <v>45931</v>
      </c>
      <c r="C4395">
        <v>2025</v>
      </c>
      <c r="D4395" t="s">
        <v>1738</v>
      </c>
      <c r="E4395" t="s">
        <v>1739</v>
      </c>
      <c r="F4395" t="s">
        <v>31</v>
      </c>
      <c r="G4395" t="s">
        <v>51</v>
      </c>
      <c r="H4395" t="s">
        <v>26</v>
      </c>
      <c r="I4395" t="s">
        <v>67</v>
      </c>
      <c r="J4395" t="s">
        <v>93</v>
      </c>
      <c r="K4395">
        <v>1</v>
      </c>
      <c r="L4395" s="2">
        <v>198.42</v>
      </c>
      <c r="M4395" s="3">
        <v>0</v>
      </c>
      <c r="N4395" t="s">
        <v>38</v>
      </c>
      <c r="O4395" s="2">
        <v>198.42</v>
      </c>
      <c r="P4395" s="2">
        <v>138.59</v>
      </c>
      <c r="Q4395" s="2">
        <v>59.83</v>
      </c>
      <c r="R4395">
        <v>1</v>
      </c>
      <c r="S4395">
        <v>0</v>
      </c>
      <c r="T4395">
        <v>2</v>
      </c>
      <c r="U4395">
        <v>4</v>
      </c>
    </row>
    <row r="4396" spans="1:21" ht="16.5" x14ac:dyDescent="0.3">
      <c r="A4396" t="s">
        <v>4484</v>
      </c>
      <c r="B4396" s="1">
        <v>45931</v>
      </c>
      <c r="C4396">
        <v>2025</v>
      </c>
      <c r="D4396" t="s">
        <v>1738</v>
      </c>
      <c r="E4396" t="s">
        <v>1739</v>
      </c>
      <c r="F4396" t="s">
        <v>31</v>
      </c>
      <c r="G4396" t="s">
        <v>51</v>
      </c>
      <c r="H4396" t="s">
        <v>26</v>
      </c>
      <c r="I4396" t="s">
        <v>36</v>
      </c>
      <c r="J4396" t="s">
        <v>56</v>
      </c>
      <c r="K4396">
        <v>1</v>
      </c>
      <c r="L4396" s="2">
        <v>74.3</v>
      </c>
      <c r="M4396" s="3">
        <v>0.1</v>
      </c>
      <c r="N4396" t="s">
        <v>29</v>
      </c>
      <c r="O4396" s="2">
        <v>66.87</v>
      </c>
      <c r="P4396" s="2">
        <v>35.46</v>
      </c>
      <c r="Q4396" s="2">
        <v>31.41</v>
      </c>
      <c r="R4396">
        <v>1</v>
      </c>
      <c r="S4396">
        <v>0</v>
      </c>
      <c r="T4396">
        <v>3</v>
      </c>
      <c r="U4396">
        <v>5</v>
      </c>
    </row>
    <row r="4397" spans="1:21" ht="16.5" x14ac:dyDescent="0.3">
      <c r="A4397" t="s">
        <v>4485</v>
      </c>
      <c r="B4397" s="1">
        <v>45931</v>
      </c>
      <c r="C4397">
        <v>2025</v>
      </c>
      <c r="D4397" t="s">
        <v>1738</v>
      </c>
      <c r="E4397" t="s">
        <v>1739</v>
      </c>
      <c r="F4397" t="s">
        <v>24</v>
      </c>
      <c r="G4397" t="s">
        <v>25</v>
      </c>
      <c r="H4397" t="s">
        <v>26</v>
      </c>
      <c r="I4397" t="s">
        <v>42</v>
      </c>
      <c r="J4397" t="s">
        <v>98</v>
      </c>
      <c r="K4397">
        <v>1</v>
      </c>
      <c r="L4397" s="2">
        <v>117.63</v>
      </c>
      <c r="M4397" s="3">
        <v>0.05</v>
      </c>
      <c r="N4397" t="s">
        <v>29</v>
      </c>
      <c r="O4397" s="2">
        <v>111.75</v>
      </c>
      <c r="P4397" s="2">
        <v>75.02</v>
      </c>
      <c r="Q4397" s="2">
        <v>36.729999999999997</v>
      </c>
      <c r="R4397">
        <v>1</v>
      </c>
      <c r="S4397">
        <v>0</v>
      </c>
      <c r="T4397">
        <v>4</v>
      </c>
      <c r="U4397">
        <v>5</v>
      </c>
    </row>
    <row r="4398" spans="1:21" ht="16.5" x14ac:dyDescent="0.3">
      <c r="A4398" t="s">
        <v>4486</v>
      </c>
      <c r="B4398" s="1">
        <v>45931</v>
      </c>
      <c r="C4398">
        <v>2025</v>
      </c>
      <c r="D4398" t="s">
        <v>1738</v>
      </c>
      <c r="E4398" t="s">
        <v>1739</v>
      </c>
      <c r="F4398" t="s">
        <v>45</v>
      </c>
      <c r="G4398" t="s">
        <v>25</v>
      </c>
      <c r="H4398" t="s">
        <v>26</v>
      </c>
      <c r="I4398" t="s">
        <v>67</v>
      </c>
      <c r="J4398" t="s">
        <v>68</v>
      </c>
      <c r="K4398">
        <v>2</v>
      </c>
      <c r="L4398" s="2">
        <v>74.459999999999994</v>
      </c>
      <c r="M4398" s="3">
        <v>0.25</v>
      </c>
      <c r="N4398" t="s">
        <v>62</v>
      </c>
      <c r="O4398" s="2">
        <v>111.69</v>
      </c>
      <c r="P4398" s="2">
        <v>105.06</v>
      </c>
      <c r="Q4398" s="2">
        <v>6.63</v>
      </c>
      <c r="R4398">
        <v>1</v>
      </c>
      <c r="S4398">
        <v>0</v>
      </c>
      <c r="T4398">
        <v>3</v>
      </c>
      <c r="U4398">
        <v>3</v>
      </c>
    </row>
    <row r="4399" spans="1:21" ht="16.5" x14ac:dyDescent="0.3">
      <c r="A4399" t="s">
        <v>4487</v>
      </c>
      <c r="B4399" s="1">
        <v>45931</v>
      </c>
      <c r="C4399">
        <v>2025</v>
      </c>
      <c r="D4399" t="s">
        <v>1738</v>
      </c>
      <c r="E4399" t="s">
        <v>1739</v>
      </c>
      <c r="F4399" t="s">
        <v>45</v>
      </c>
      <c r="G4399" t="s">
        <v>25</v>
      </c>
      <c r="H4399" t="s">
        <v>32</v>
      </c>
      <c r="I4399" t="s">
        <v>67</v>
      </c>
      <c r="J4399" t="s">
        <v>78</v>
      </c>
      <c r="K4399">
        <v>1</v>
      </c>
      <c r="L4399" s="2">
        <v>85.42</v>
      </c>
      <c r="M4399" s="3">
        <v>0.05</v>
      </c>
      <c r="N4399" t="s">
        <v>29</v>
      </c>
      <c r="O4399" s="2">
        <v>81.150000000000006</v>
      </c>
      <c r="P4399" s="2">
        <v>58.83</v>
      </c>
      <c r="Q4399" s="2">
        <v>22.32</v>
      </c>
      <c r="R4399">
        <v>1</v>
      </c>
      <c r="S4399">
        <v>0</v>
      </c>
      <c r="T4399">
        <v>4</v>
      </c>
      <c r="U4399">
        <v>5</v>
      </c>
    </row>
    <row r="4400" spans="1:21" ht="16.5" x14ac:dyDescent="0.3">
      <c r="A4400" t="s">
        <v>4488</v>
      </c>
      <c r="B4400" s="1">
        <v>45932</v>
      </c>
      <c r="C4400">
        <v>2025</v>
      </c>
      <c r="D4400" t="s">
        <v>1738</v>
      </c>
      <c r="E4400" t="s">
        <v>1739</v>
      </c>
      <c r="F4400" t="s">
        <v>45</v>
      </c>
      <c r="G4400" t="s">
        <v>25</v>
      </c>
      <c r="H4400" t="s">
        <v>32</v>
      </c>
      <c r="I4400" t="s">
        <v>27</v>
      </c>
      <c r="J4400" t="s">
        <v>110</v>
      </c>
      <c r="K4400">
        <v>1</v>
      </c>
      <c r="L4400" s="2">
        <v>19.41</v>
      </c>
      <c r="M4400" s="3">
        <v>0</v>
      </c>
      <c r="N4400" t="s">
        <v>38</v>
      </c>
      <c r="O4400" s="2">
        <v>19.41</v>
      </c>
      <c r="P4400" s="2">
        <v>10.46</v>
      </c>
      <c r="Q4400" s="2">
        <v>8.9499999999999993</v>
      </c>
      <c r="R4400">
        <v>1</v>
      </c>
      <c r="S4400">
        <v>0</v>
      </c>
      <c r="T4400">
        <v>6</v>
      </c>
      <c r="U4400">
        <v>4</v>
      </c>
    </row>
    <row r="4401" spans="1:21" ht="16.5" x14ac:dyDescent="0.3">
      <c r="A4401" t="s">
        <v>4489</v>
      </c>
      <c r="B4401" s="1">
        <v>45932</v>
      </c>
      <c r="C4401">
        <v>2025</v>
      </c>
      <c r="D4401" t="s">
        <v>1738</v>
      </c>
      <c r="E4401" t="s">
        <v>1739</v>
      </c>
      <c r="F4401" t="s">
        <v>31</v>
      </c>
      <c r="G4401" t="s">
        <v>49</v>
      </c>
      <c r="H4401" t="s">
        <v>32</v>
      </c>
      <c r="I4401" t="s">
        <v>27</v>
      </c>
      <c r="J4401" t="s">
        <v>33</v>
      </c>
      <c r="K4401">
        <v>4</v>
      </c>
      <c r="L4401" s="2">
        <v>78.510000000000005</v>
      </c>
      <c r="M4401" s="3">
        <v>0.05</v>
      </c>
      <c r="N4401" t="s">
        <v>29</v>
      </c>
      <c r="O4401" s="2">
        <v>298.33999999999997</v>
      </c>
      <c r="P4401" s="2">
        <v>162.72999999999999</v>
      </c>
      <c r="Q4401" s="2">
        <v>135.61000000000001</v>
      </c>
      <c r="R4401">
        <v>1</v>
      </c>
      <c r="S4401">
        <v>0</v>
      </c>
      <c r="T4401">
        <v>4</v>
      </c>
      <c r="U4401">
        <v>4</v>
      </c>
    </row>
    <row r="4402" spans="1:21" ht="16.5" x14ac:dyDescent="0.3">
      <c r="A4402" t="s">
        <v>4490</v>
      </c>
      <c r="B4402" s="1">
        <v>45932</v>
      </c>
      <c r="C4402">
        <v>2025</v>
      </c>
      <c r="D4402" t="s">
        <v>1738</v>
      </c>
      <c r="E4402" t="s">
        <v>1739</v>
      </c>
      <c r="F4402" t="s">
        <v>31</v>
      </c>
      <c r="G4402" t="s">
        <v>49</v>
      </c>
      <c r="H4402" t="s">
        <v>32</v>
      </c>
      <c r="I4402" t="s">
        <v>27</v>
      </c>
      <c r="J4402" t="s">
        <v>33</v>
      </c>
      <c r="K4402">
        <v>1</v>
      </c>
      <c r="L4402" s="2">
        <v>78.510000000000005</v>
      </c>
      <c r="M4402" s="3">
        <v>0</v>
      </c>
      <c r="N4402" t="s">
        <v>38</v>
      </c>
      <c r="O4402" s="2">
        <v>78.510000000000005</v>
      </c>
      <c r="P4402" s="2">
        <v>42.32</v>
      </c>
      <c r="Q4402" s="2">
        <v>36.19</v>
      </c>
      <c r="R4402">
        <v>1</v>
      </c>
      <c r="S4402">
        <v>0</v>
      </c>
      <c r="T4402">
        <v>3</v>
      </c>
      <c r="U4402">
        <v>5</v>
      </c>
    </row>
    <row r="4403" spans="1:21" ht="16.5" x14ac:dyDescent="0.3">
      <c r="A4403" t="s">
        <v>4491</v>
      </c>
      <c r="B4403" s="1">
        <v>45932</v>
      </c>
      <c r="C4403">
        <v>2025</v>
      </c>
      <c r="D4403" t="s">
        <v>1738</v>
      </c>
      <c r="E4403" t="s">
        <v>1739</v>
      </c>
      <c r="F4403" t="s">
        <v>31</v>
      </c>
      <c r="G4403" t="s">
        <v>51</v>
      </c>
      <c r="H4403" t="s">
        <v>26</v>
      </c>
      <c r="I4403" t="s">
        <v>67</v>
      </c>
      <c r="J4403" t="s">
        <v>174</v>
      </c>
      <c r="K4403">
        <v>1</v>
      </c>
      <c r="L4403" s="2">
        <v>137.05000000000001</v>
      </c>
      <c r="M4403" s="3">
        <v>0</v>
      </c>
      <c r="N4403" t="s">
        <v>38</v>
      </c>
      <c r="O4403" s="2">
        <v>137.05000000000001</v>
      </c>
      <c r="P4403" s="2">
        <v>90.19</v>
      </c>
      <c r="Q4403" s="2">
        <v>46.86</v>
      </c>
      <c r="R4403">
        <v>1</v>
      </c>
      <c r="S4403">
        <v>0</v>
      </c>
      <c r="T4403">
        <v>2</v>
      </c>
      <c r="U4403">
        <v>5</v>
      </c>
    </row>
    <row r="4404" spans="1:21" ht="16.5" x14ac:dyDescent="0.3">
      <c r="A4404" t="s">
        <v>4492</v>
      </c>
      <c r="B4404" s="1">
        <v>45932</v>
      </c>
      <c r="C4404">
        <v>2025</v>
      </c>
      <c r="D4404" t="s">
        <v>1738</v>
      </c>
      <c r="E4404" t="s">
        <v>1739</v>
      </c>
      <c r="F4404" t="s">
        <v>24</v>
      </c>
      <c r="G4404" t="s">
        <v>51</v>
      </c>
      <c r="H4404" t="s">
        <v>26</v>
      </c>
      <c r="I4404" t="s">
        <v>67</v>
      </c>
      <c r="J4404" t="s">
        <v>174</v>
      </c>
      <c r="K4404">
        <v>1</v>
      </c>
      <c r="L4404" s="2">
        <v>137.05000000000001</v>
      </c>
      <c r="M4404" s="3">
        <v>0</v>
      </c>
      <c r="N4404" t="s">
        <v>38</v>
      </c>
      <c r="O4404" s="2">
        <v>137.05000000000001</v>
      </c>
      <c r="P4404" s="2">
        <v>89.6</v>
      </c>
      <c r="Q4404" s="2">
        <v>47.45</v>
      </c>
      <c r="R4404">
        <v>1</v>
      </c>
      <c r="S4404">
        <v>0</v>
      </c>
      <c r="T4404">
        <v>4</v>
      </c>
      <c r="U4404">
        <v>5</v>
      </c>
    </row>
    <row r="4405" spans="1:21" ht="16.5" x14ac:dyDescent="0.3">
      <c r="A4405" t="s">
        <v>4493</v>
      </c>
      <c r="B4405" s="1">
        <v>45933</v>
      </c>
      <c r="C4405">
        <v>2025</v>
      </c>
      <c r="D4405" t="s">
        <v>1738</v>
      </c>
      <c r="E4405" t="s">
        <v>1739</v>
      </c>
      <c r="F4405" t="s">
        <v>24</v>
      </c>
      <c r="G4405" t="s">
        <v>49</v>
      </c>
      <c r="H4405" t="s">
        <v>32</v>
      </c>
      <c r="I4405" t="s">
        <v>67</v>
      </c>
      <c r="J4405" t="s">
        <v>174</v>
      </c>
      <c r="K4405">
        <v>1</v>
      </c>
      <c r="L4405" s="2">
        <v>137.05000000000001</v>
      </c>
      <c r="M4405" s="3">
        <v>0.05</v>
      </c>
      <c r="N4405" t="s">
        <v>29</v>
      </c>
      <c r="O4405" s="2">
        <v>130.19999999999999</v>
      </c>
      <c r="P4405" s="2">
        <v>88.97</v>
      </c>
      <c r="Q4405" s="2">
        <v>41.23</v>
      </c>
      <c r="R4405">
        <v>1</v>
      </c>
      <c r="S4405">
        <v>0</v>
      </c>
      <c r="T4405">
        <v>3</v>
      </c>
      <c r="U4405">
        <v>3</v>
      </c>
    </row>
    <row r="4406" spans="1:21" ht="16.5" x14ac:dyDescent="0.3">
      <c r="A4406" t="s">
        <v>4494</v>
      </c>
      <c r="B4406" s="1">
        <v>45933</v>
      </c>
      <c r="C4406">
        <v>2025</v>
      </c>
      <c r="D4406" t="s">
        <v>1738</v>
      </c>
      <c r="E4406" t="s">
        <v>1739</v>
      </c>
      <c r="F4406" t="s">
        <v>24</v>
      </c>
      <c r="G4406" t="s">
        <v>51</v>
      </c>
      <c r="H4406" t="s">
        <v>32</v>
      </c>
      <c r="I4406" t="s">
        <v>70</v>
      </c>
      <c r="J4406" t="s">
        <v>252</v>
      </c>
      <c r="K4406">
        <v>1</v>
      </c>
      <c r="L4406" s="2">
        <v>216.08</v>
      </c>
      <c r="M4406" s="3">
        <v>0</v>
      </c>
      <c r="N4406" t="s">
        <v>38</v>
      </c>
      <c r="O4406" s="2">
        <v>216.08</v>
      </c>
      <c r="P4406" s="2">
        <v>176.56</v>
      </c>
      <c r="Q4406" s="2">
        <v>39.520000000000003</v>
      </c>
      <c r="R4406">
        <v>1</v>
      </c>
      <c r="S4406">
        <v>0</v>
      </c>
      <c r="T4406">
        <v>3</v>
      </c>
      <c r="U4406">
        <v>3</v>
      </c>
    </row>
    <row r="4407" spans="1:21" ht="16.5" x14ac:dyDescent="0.3">
      <c r="A4407" t="s">
        <v>4495</v>
      </c>
      <c r="B4407" s="1">
        <v>45933</v>
      </c>
      <c r="C4407">
        <v>2025</v>
      </c>
      <c r="D4407" t="s">
        <v>1738</v>
      </c>
      <c r="E4407" t="s">
        <v>1739</v>
      </c>
      <c r="F4407" t="s">
        <v>45</v>
      </c>
      <c r="G4407" t="s">
        <v>51</v>
      </c>
      <c r="H4407" t="s">
        <v>32</v>
      </c>
      <c r="I4407" t="s">
        <v>42</v>
      </c>
      <c r="J4407" t="s">
        <v>76</v>
      </c>
      <c r="K4407">
        <v>1</v>
      </c>
      <c r="L4407" s="2">
        <v>90.75</v>
      </c>
      <c r="M4407" s="3">
        <v>0.3</v>
      </c>
      <c r="N4407" t="s">
        <v>62</v>
      </c>
      <c r="O4407" s="2">
        <v>63.52</v>
      </c>
      <c r="P4407" s="2">
        <v>59.21</v>
      </c>
      <c r="Q4407" s="2">
        <v>4.3099999999999996</v>
      </c>
      <c r="R4407">
        <v>1</v>
      </c>
      <c r="S4407">
        <v>0</v>
      </c>
      <c r="T4407">
        <v>3</v>
      </c>
      <c r="U4407">
        <v>5</v>
      </c>
    </row>
    <row r="4408" spans="1:21" ht="16.5" x14ac:dyDescent="0.3">
      <c r="A4408" t="s">
        <v>4496</v>
      </c>
      <c r="B4408" s="1">
        <v>45933</v>
      </c>
      <c r="C4408">
        <v>2025</v>
      </c>
      <c r="D4408" t="s">
        <v>1738</v>
      </c>
      <c r="E4408" t="s">
        <v>1739</v>
      </c>
      <c r="F4408" t="s">
        <v>24</v>
      </c>
      <c r="G4408" t="s">
        <v>25</v>
      </c>
      <c r="H4408" t="s">
        <v>32</v>
      </c>
      <c r="I4408" t="s">
        <v>67</v>
      </c>
      <c r="J4408" t="s">
        <v>68</v>
      </c>
      <c r="K4408">
        <v>1</v>
      </c>
      <c r="L4408" s="2">
        <v>74.459999999999994</v>
      </c>
      <c r="M4408" s="3">
        <v>0.25</v>
      </c>
      <c r="N4408" t="s">
        <v>62</v>
      </c>
      <c r="O4408" s="2">
        <v>55.84</v>
      </c>
      <c r="P4408" s="2">
        <v>49.53</v>
      </c>
      <c r="Q4408" s="2">
        <v>6.31</v>
      </c>
      <c r="R4408">
        <v>1</v>
      </c>
      <c r="S4408">
        <v>0</v>
      </c>
      <c r="T4408">
        <v>5</v>
      </c>
      <c r="U4408">
        <v>4</v>
      </c>
    </row>
    <row r="4409" spans="1:21" ht="16.5" x14ac:dyDescent="0.3">
      <c r="A4409" t="s">
        <v>4497</v>
      </c>
      <c r="B4409" s="1">
        <v>45933</v>
      </c>
      <c r="C4409">
        <v>2025</v>
      </c>
      <c r="D4409" t="s">
        <v>1738</v>
      </c>
      <c r="E4409" t="s">
        <v>1739</v>
      </c>
      <c r="F4409" t="s">
        <v>24</v>
      </c>
      <c r="G4409" t="s">
        <v>51</v>
      </c>
      <c r="H4409" t="s">
        <v>26</v>
      </c>
      <c r="I4409" t="s">
        <v>42</v>
      </c>
      <c r="J4409" t="s">
        <v>43</v>
      </c>
      <c r="K4409">
        <v>2</v>
      </c>
      <c r="L4409" s="2">
        <v>154.66</v>
      </c>
      <c r="M4409" s="3">
        <v>0</v>
      </c>
      <c r="N4409" t="s">
        <v>38</v>
      </c>
      <c r="O4409" s="2">
        <v>309.32</v>
      </c>
      <c r="P4409" s="2">
        <v>212.66</v>
      </c>
      <c r="Q4409" s="2">
        <v>96.66</v>
      </c>
      <c r="R4409">
        <v>1</v>
      </c>
      <c r="S4409">
        <v>0</v>
      </c>
      <c r="T4409">
        <v>2</v>
      </c>
      <c r="U4409">
        <v>4</v>
      </c>
    </row>
    <row r="4410" spans="1:21" ht="16.5" x14ac:dyDescent="0.3">
      <c r="A4410" t="s">
        <v>4498</v>
      </c>
      <c r="B4410" s="1">
        <v>45933</v>
      </c>
      <c r="C4410">
        <v>2025</v>
      </c>
      <c r="D4410" t="s">
        <v>1738</v>
      </c>
      <c r="E4410" t="s">
        <v>1739</v>
      </c>
      <c r="F4410" t="s">
        <v>31</v>
      </c>
      <c r="G4410" t="s">
        <v>51</v>
      </c>
      <c r="H4410" t="s">
        <v>26</v>
      </c>
      <c r="I4410" t="s">
        <v>42</v>
      </c>
      <c r="J4410" t="s">
        <v>76</v>
      </c>
      <c r="K4410">
        <v>2</v>
      </c>
      <c r="L4410" s="2">
        <v>90.75</v>
      </c>
      <c r="M4410" s="3">
        <v>0.25</v>
      </c>
      <c r="N4410" t="s">
        <v>62</v>
      </c>
      <c r="O4410" s="2">
        <v>136.12</v>
      </c>
      <c r="P4410" s="2">
        <v>121.76</v>
      </c>
      <c r="Q4410" s="2">
        <v>14.36</v>
      </c>
      <c r="R4410">
        <v>1</v>
      </c>
      <c r="S4410">
        <v>0</v>
      </c>
      <c r="T4410">
        <v>2</v>
      </c>
      <c r="U4410">
        <v>5</v>
      </c>
    </row>
    <row r="4411" spans="1:21" ht="16.5" x14ac:dyDescent="0.3">
      <c r="A4411" t="s">
        <v>4499</v>
      </c>
      <c r="B4411" s="1">
        <v>45933</v>
      </c>
      <c r="C4411">
        <v>2025</v>
      </c>
      <c r="D4411" t="s">
        <v>1738</v>
      </c>
      <c r="E4411" t="s">
        <v>1739</v>
      </c>
      <c r="F4411" t="s">
        <v>31</v>
      </c>
      <c r="G4411" t="s">
        <v>65</v>
      </c>
      <c r="H4411" t="s">
        <v>26</v>
      </c>
      <c r="I4411" t="s">
        <v>70</v>
      </c>
      <c r="J4411" t="s">
        <v>82</v>
      </c>
      <c r="K4411">
        <v>1</v>
      </c>
      <c r="L4411" s="2">
        <v>508.8</v>
      </c>
      <c r="M4411" s="3">
        <v>0</v>
      </c>
      <c r="N4411" t="s">
        <v>38</v>
      </c>
      <c r="O4411" s="2">
        <v>508.8</v>
      </c>
      <c r="P4411" s="2">
        <v>413.12</v>
      </c>
      <c r="Q4411" s="2">
        <v>95.68</v>
      </c>
      <c r="R4411">
        <v>1</v>
      </c>
      <c r="S4411">
        <v>0</v>
      </c>
      <c r="T4411">
        <v>5</v>
      </c>
      <c r="U4411">
        <v>4</v>
      </c>
    </row>
    <row r="4412" spans="1:21" ht="16.5" x14ac:dyDescent="0.3">
      <c r="A4412" t="s">
        <v>4500</v>
      </c>
      <c r="B4412" s="1">
        <v>45934</v>
      </c>
      <c r="C4412">
        <v>2025</v>
      </c>
      <c r="D4412" t="s">
        <v>1738</v>
      </c>
      <c r="E4412" t="s">
        <v>1739</v>
      </c>
      <c r="F4412" t="s">
        <v>31</v>
      </c>
      <c r="G4412" t="s">
        <v>25</v>
      </c>
      <c r="H4412" t="s">
        <v>26</v>
      </c>
      <c r="I4412" t="s">
        <v>70</v>
      </c>
      <c r="J4412" t="s">
        <v>129</v>
      </c>
      <c r="K4412">
        <v>2</v>
      </c>
      <c r="L4412" s="2">
        <v>177.65</v>
      </c>
      <c r="M4412" s="3">
        <v>0</v>
      </c>
      <c r="N4412" t="s">
        <v>38</v>
      </c>
      <c r="O4412" s="2">
        <v>355.3</v>
      </c>
      <c r="P4412" s="2">
        <v>286.35000000000002</v>
      </c>
      <c r="Q4412" s="2">
        <v>68.95</v>
      </c>
      <c r="R4412">
        <v>1</v>
      </c>
      <c r="S4412">
        <v>0</v>
      </c>
      <c r="T4412">
        <v>4</v>
      </c>
      <c r="U4412">
        <v>5</v>
      </c>
    </row>
    <row r="4413" spans="1:21" ht="16.5" x14ac:dyDescent="0.3">
      <c r="A4413" t="s">
        <v>4501</v>
      </c>
      <c r="B4413" s="1">
        <v>45934</v>
      </c>
      <c r="C4413">
        <v>2025</v>
      </c>
      <c r="D4413" t="s">
        <v>1738</v>
      </c>
      <c r="E4413" t="s">
        <v>1739</v>
      </c>
      <c r="F4413" t="s">
        <v>31</v>
      </c>
      <c r="G4413" t="s">
        <v>46</v>
      </c>
      <c r="H4413" t="s">
        <v>26</v>
      </c>
      <c r="I4413" t="s">
        <v>70</v>
      </c>
      <c r="J4413" t="s">
        <v>162</v>
      </c>
      <c r="K4413">
        <v>2</v>
      </c>
      <c r="L4413" s="2">
        <v>636.09</v>
      </c>
      <c r="M4413" s="3">
        <v>0</v>
      </c>
      <c r="N4413" t="s">
        <v>38</v>
      </c>
      <c r="O4413" s="2">
        <v>1272.18</v>
      </c>
      <c r="P4413" s="2">
        <v>995.12</v>
      </c>
      <c r="Q4413" s="2">
        <v>277.06</v>
      </c>
      <c r="R4413">
        <v>1</v>
      </c>
      <c r="S4413">
        <v>0</v>
      </c>
      <c r="T4413">
        <v>5</v>
      </c>
      <c r="U4413">
        <v>4</v>
      </c>
    </row>
    <row r="4414" spans="1:21" ht="16.5" x14ac:dyDescent="0.3">
      <c r="A4414" t="s">
        <v>4502</v>
      </c>
      <c r="B4414" s="1">
        <v>45934</v>
      </c>
      <c r="C4414">
        <v>2025</v>
      </c>
      <c r="D4414" t="s">
        <v>1738</v>
      </c>
      <c r="E4414" t="s">
        <v>1739</v>
      </c>
      <c r="F4414" t="s">
        <v>31</v>
      </c>
      <c r="G4414" t="s">
        <v>46</v>
      </c>
      <c r="H4414" t="s">
        <v>26</v>
      </c>
      <c r="I4414" t="s">
        <v>70</v>
      </c>
      <c r="J4414" t="s">
        <v>71</v>
      </c>
      <c r="K4414">
        <v>1</v>
      </c>
      <c r="L4414" s="2">
        <v>588.41</v>
      </c>
      <c r="M4414" s="3">
        <v>0.2</v>
      </c>
      <c r="N4414" t="s">
        <v>34</v>
      </c>
      <c r="O4414" s="2">
        <v>470.73</v>
      </c>
      <c r="P4414" s="2">
        <v>487.81</v>
      </c>
      <c r="Q4414" s="2">
        <v>-17.079999999999998</v>
      </c>
      <c r="R4414">
        <v>1</v>
      </c>
      <c r="S4414">
        <v>0</v>
      </c>
      <c r="T4414">
        <v>5</v>
      </c>
      <c r="U4414">
        <v>4</v>
      </c>
    </row>
    <row r="4415" spans="1:21" ht="16.5" x14ac:dyDescent="0.3">
      <c r="A4415" t="s">
        <v>4503</v>
      </c>
      <c r="B4415" s="1">
        <v>45934</v>
      </c>
      <c r="C4415">
        <v>2025</v>
      </c>
      <c r="D4415" t="s">
        <v>1738</v>
      </c>
      <c r="E4415" t="s">
        <v>1739</v>
      </c>
      <c r="F4415" t="s">
        <v>31</v>
      </c>
      <c r="G4415" t="s">
        <v>25</v>
      </c>
      <c r="H4415" t="s">
        <v>26</v>
      </c>
      <c r="I4415" t="s">
        <v>42</v>
      </c>
      <c r="J4415" t="s">
        <v>98</v>
      </c>
      <c r="K4415">
        <v>1</v>
      </c>
      <c r="L4415" s="2">
        <v>117.63</v>
      </c>
      <c r="M4415" s="3">
        <v>0</v>
      </c>
      <c r="N4415" t="s">
        <v>38</v>
      </c>
      <c r="O4415" s="2">
        <v>117.63</v>
      </c>
      <c r="P4415" s="2">
        <v>76.83</v>
      </c>
      <c r="Q4415" s="2">
        <v>40.799999999999997</v>
      </c>
      <c r="R4415">
        <v>1</v>
      </c>
      <c r="S4415">
        <v>0</v>
      </c>
      <c r="T4415">
        <v>4</v>
      </c>
      <c r="U4415">
        <v>4</v>
      </c>
    </row>
    <row r="4416" spans="1:21" ht="16.5" x14ac:dyDescent="0.3">
      <c r="A4416" t="s">
        <v>4504</v>
      </c>
      <c r="B4416" s="1">
        <v>45934</v>
      </c>
      <c r="C4416">
        <v>2025</v>
      </c>
      <c r="D4416" t="s">
        <v>1738</v>
      </c>
      <c r="E4416" t="s">
        <v>1739</v>
      </c>
      <c r="F4416" t="s">
        <v>31</v>
      </c>
      <c r="G4416" t="s">
        <v>25</v>
      </c>
      <c r="H4416" t="s">
        <v>32</v>
      </c>
      <c r="I4416" t="s">
        <v>67</v>
      </c>
      <c r="J4416" t="s">
        <v>68</v>
      </c>
      <c r="K4416">
        <v>1</v>
      </c>
      <c r="L4416" s="2">
        <v>74.459999999999994</v>
      </c>
      <c r="M4416" s="3">
        <v>0.05</v>
      </c>
      <c r="N4416" t="s">
        <v>29</v>
      </c>
      <c r="O4416" s="2">
        <v>70.739999999999995</v>
      </c>
      <c r="P4416" s="2">
        <v>50.11</v>
      </c>
      <c r="Q4416" s="2">
        <v>20.63</v>
      </c>
      <c r="R4416">
        <v>1</v>
      </c>
      <c r="S4416">
        <v>0</v>
      </c>
      <c r="T4416">
        <v>7</v>
      </c>
      <c r="U4416">
        <v>3</v>
      </c>
    </row>
    <row r="4417" spans="1:21" ht="16.5" x14ac:dyDescent="0.3">
      <c r="A4417" t="s">
        <v>4505</v>
      </c>
      <c r="B4417" s="1">
        <v>45934</v>
      </c>
      <c r="C4417">
        <v>2025</v>
      </c>
      <c r="D4417" t="s">
        <v>1738</v>
      </c>
      <c r="E4417" t="s">
        <v>1739</v>
      </c>
      <c r="F4417" t="s">
        <v>31</v>
      </c>
      <c r="G4417" t="s">
        <v>46</v>
      </c>
      <c r="H4417" t="s">
        <v>32</v>
      </c>
      <c r="I4417" t="s">
        <v>42</v>
      </c>
      <c r="J4417" t="s">
        <v>43</v>
      </c>
      <c r="K4417">
        <v>2</v>
      </c>
      <c r="L4417" s="2">
        <v>154.66</v>
      </c>
      <c r="M4417" s="3">
        <v>0.05</v>
      </c>
      <c r="N4417" t="s">
        <v>29</v>
      </c>
      <c r="O4417" s="2">
        <v>293.85000000000002</v>
      </c>
      <c r="P4417" s="2">
        <v>198.89</v>
      </c>
      <c r="Q4417" s="2">
        <v>94.96</v>
      </c>
      <c r="R4417">
        <v>1</v>
      </c>
      <c r="S4417">
        <v>0</v>
      </c>
      <c r="T4417">
        <v>6</v>
      </c>
      <c r="U4417">
        <v>4</v>
      </c>
    </row>
    <row r="4418" spans="1:21" ht="16.5" x14ac:dyDescent="0.3">
      <c r="A4418" t="s">
        <v>4506</v>
      </c>
      <c r="B4418" s="1">
        <v>45934</v>
      </c>
      <c r="C4418">
        <v>2025</v>
      </c>
      <c r="D4418" t="s">
        <v>1738</v>
      </c>
      <c r="E4418" t="s">
        <v>1739</v>
      </c>
      <c r="F4418" t="s">
        <v>31</v>
      </c>
      <c r="G4418" t="s">
        <v>25</v>
      </c>
      <c r="H4418" t="s">
        <v>26</v>
      </c>
      <c r="I4418" t="s">
        <v>42</v>
      </c>
      <c r="J4418" t="s">
        <v>58</v>
      </c>
      <c r="K4418">
        <v>1</v>
      </c>
      <c r="L4418" s="2">
        <v>233.81</v>
      </c>
      <c r="M4418" s="3">
        <v>0.15</v>
      </c>
      <c r="N4418" t="s">
        <v>34</v>
      </c>
      <c r="O4418" s="2">
        <v>198.74</v>
      </c>
      <c r="P4418" s="2">
        <v>157.74</v>
      </c>
      <c r="Q4418" s="2">
        <v>41</v>
      </c>
      <c r="R4418">
        <v>1</v>
      </c>
      <c r="S4418">
        <v>0</v>
      </c>
      <c r="T4418">
        <v>4</v>
      </c>
      <c r="U4418">
        <v>4</v>
      </c>
    </row>
    <row r="4419" spans="1:21" ht="16.5" x14ac:dyDescent="0.3">
      <c r="A4419" t="s">
        <v>4507</v>
      </c>
      <c r="B4419" s="1">
        <v>45935</v>
      </c>
      <c r="C4419">
        <v>2025</v>
      </c>
      <c r="D4419" t="s">
        <v>1738</v>
      </c>
      <c r="E4419" t="s">
        <v>1739</v>
      </c>
      <c r="F4419" t="s">
        <v>31</v>
      </c>
      <c r="G4419" t="s">
        <v>51</v>
      </c>
      <c r="H4419" t="s">
        <v>32</v>
      </c>
      <c r="I4419" t="s">
        <v>67</v>
      </c>
      <c r="J4419" t="s">
        <v>103</v>
      </c>
      <c r="K4419">
        <v>1</v>
      </c>
      <c r="L4419" s="2">
        <v>83.06</v>
      </c>
      <c r="M4419" s="3">
        <v>0</v>
      </c>
      <c r="N4419" t="s">
        <v>38</v>
      </c>
      <c r="O4419" s="2">
        <v>83.06</v>
      </c>
      <c r="P4419" s="2">
        <v>54.08</v>
      </c>
      <c r="Q4419" s="2">
        <v>28.98</v>
      </c>
      <c r="R4419">
        <v>1</v>
      </c>
      <c r="S4419">
        <v>0</v>
      </c>
      <c r="T4419">
        <v>3</v>
      </c>
      <c r="U4419">
        <v>4</v>
      </c>
    </row>
    <row r="4420" spans="1:21" ht="16.5" x14ac:dyDescent="0.3">
      <c r="A4420" t="s">
        <v>4508</v>
      </c>
      <c r="B4420" s="1">
        <v>45935</v>
      </c>
      <c r="C4420">
        <v>2025</v>
      </c>
      <c r="D4420" t="s">
        <v>1738</v>
      </c>
      <c r="E4420" t="s">
        <v>1739</v>
      </c>
      <c r="F4420" t="s">
        <v>31</v>
      </c>
      <c r="G4420" t="s">
        <v>51</v>
      </c>
      <c r="H4420" t="s">
        <v>26</v>
      </c>
      <c r="I4420" t="s">
        <v>67</v>
      </c>
      <c r="J4420" t="s">
        <v>68</v>
      </c>
      <c r="K4420">
        <v>1</v>
      </c>
      <c r="L4420" s="2">
        <v>74.459999999999994</v>
      </c>
      <c r="M4420" s="3">
        <v>0</v>
      </c>
      <c r="N4420" t="s">
        <v>38</v>
      </c>
      <c r="O4420" s="2">
        <v>74.459999999999994</v>
      </c>
      <c r="P4420" s="2">
        <v>48.77</v>
      </c>
      <c r="Q4420" s="2">
        <v>25.69</v>
      </c>
      <c r="R4420">
        <v>1</v>
      </c>
      <c r="S4420">
        <v>0</v>
      </c>
      <c r="T4420">
        <v>2</v>
      </c>
      <c r="U4420">
        <v>5</v>
      </c>
    </row>
    <row r="4421" spans="1:21" ht="16.5" x14ac:dyDescent="0.3">
      <c r="A4421" t="s">
        <v>4509</v>
      </c>
      <c r="B4421" s="1">
        <v>45935</v>
      </c>
      <c r="C4421">
        <v>2025</v>
      </c>
      <c r="D4421" t="s">
        <v>1738</v>
      </c>
      <c r="E4421" t="s">
        <v>1739</v>
      </c>
      <c r="F4421" t="s">
        <v>45</v>
      </c>
      <c r="G4421" t="s">
        <v>25</v>
      </c>
      <c r="H4421" t="s">
        <v>26</v>
      </c>
      <c r="I4421" t="s">
        <v>84</v>
      </c>
      <c r="J4421" t="s">
        <v>132</v>
      </c>
      <c r="K4421">
        <v>1</v>
      </c>
      <c r="L4421" s="2">
        <v>48.86</v>
      </c>
      <c r="M4421" s="3">
        <v>0.05</v>
      </c>
      <c r="N4421" t="s">
        <v>29</v>
      </c>
      <c r="O4421" s="2">
        <v>46.42</v>
      </c>
      <c r="P4421" s="2">
        <v>37.54</v>
      </c>
      <c r="Q4421" s="2">
        <v>8.8800000000000008</v>
      </c>
      <c r="R4421">
        <v>1</v>
      </c>
      <c r="S4421">
        <v>0</v>
      </c>
      <c r="T4421">
        <v>3</v>
      </c>
      <c r="U4421">
        <v>5</v>
      </c>
    </row>
    <row r="4422" spans="1:21" ht="16.5" x14ac:dyDescent="0.3">
      <c r="A4422" t="s">
        <v>4510</v>
      </c>
      <c r="B4422" s="1">
        <v>45935</v>
      </c>
      <c r="C4422">
        <v>2025</v>
      </c>
      <c r="D4422" t="s">
        <v>1738</v>
      </c>
      <c r="E4422" t="s">
        <v>1739</v>
      </c>
      <c r="F4422" t="s">
        <v>24</v>
      </c>
      <c r="G4422" t="s">
        <v>51</v>
      </c>
      <c r="H4422" t="s">
        <v>32</v>
      </c>
      <c r="I4422" t="s">
        <v>84</v>
      </c>
      <c r="J4422" t="s">
        <v>85</v>
      </c>
      <c r="K4422">
        <v>2</v>
      </c>
      <c r="L4422" s="2">
        <v>57.92</v>
      </c>
      <c r="M4422" s="3">
        <v>0</v>
      </c>
      <c r="N4422" t="s">
        <v>38</v>
      </c>
      <c r="O4422" s="2">
        <v>115.84</v>
      </c>
      <c r="P4422" s="2">
        <v>82.51</v>
      </c>
      <c r="Q4422" s="2">
        <v>33.33</v>
      </c>
      <c r="R4422">
        <v>1</v>
      </c>
      <c r="S4422">
        <v>0</v>
      </c>
      <c r="T4422">
        <v>2</v>
      </c>
      <c r="U4422">
        <v>5</v>
      </c>
    </row>
    <row r="4423" spans="1:21" ht="16.5" x14ac:dyDescent="0.3">
      <c r="A4423" t="s">
        <v>4511</v>
      </c>
      <c r="B4423" s="1">
        <v>45935</v>
      </c>
      <c r="C4423">
        <v>2025</v>
      </c>
      <c r="D4423" t="s">
        <v>1738</v>
      </c>
      <c r="E4423" t="s">
        <v>1739</v>
      </c>
      <c r="F4423" t="s">
        <v>31</v>
      </c>
      <c r="G4423" t="s">
        <v>51</v>
      </c>
      <c r="H4423" t="s">
        <v>32</v>
      </c>
      <c r="I4423" t="s">
        <v>70</v>
      </c>
      <c r="J4423" t="s">
        <v>87</v>
      </c>
      <c r="K4423">
        <v>4</v>
      </c>
      <c r="L4423" s="2">
        <v>490.3</v>
      </c>
      <c r="M4423" s="3">
        <v>0</v>
      </c>
      <c r="N4423" t="s">
        <v>38</v>
      </c>
      <c r="O4423" s="2">
        <v>1961.2</v>
      </c>
      <c r="P4423" s="2">
        <v>1526.44</v>
      </c>
      <c r="Q4423" s="2">
        <v>434.76</v>
      </c>
      <c r="R4423">
        <v>1</v>
      </c>
      <c r="S4423">
        <v>0</v>
      </c>
      <c r="T4423">
        <v>3</v>
      </c>
      <c r="U4423">
        <v>5</v>
      </c>
    </row>
    <row r="4424" spans="1:21" ht="16.5" x14ac:dyDescent="0.3">
      <c r="A4424" t="s">
        <v>4512</v>
      </c>
      <c r="B4424" s="1">
        <v>45935</v>
      </c>
      <c r="C4424">
        <v>2025</v>
      </c>
      <c r="D4424" t="s">
        <v>1738</v>
      </c>
      <c r="E4424" t="s">
        <v>1739</v>
      </c>
      <c r="F4424" t="s">
        <v>31</v>
      </c>
      <c r="G4424" t="s">
        <v>51</v>
      </c>
      <c r="H4424" t="s">
        <v>26</v>
      </c>
      <c r="I4424" t="s">
        <v>27</v>
      </c>
      <c r="J4424" t="s">
        <v>33</v>
      </c>
      <c r="K4424">
        <v>1</v>
      </c>
      <c r="L4424" s="2">
        <v>78.510000000000005</v>
      </c>
      <c r="M4424" s="3">
        <v>0.1</v>
      </c>
      <c r="N4424" t="s">
        <v>29</v>
      </c>
      <c r="O4424" s="2">
        <v>70.66</v>
      </c>
      <c r="P4424" s="2">
        <v>42.31</v>
      </c>
      <c r="Q4424" s="2">
        <v>28.35</v>
      </c>
      <c r="R4424">
        <v>1</v>
      </c>
      <c r="S4424">
        <v>0</v>
      </c>
      <c r="T4424">
        <v>2</v>
      </c>
      <c r="U4424">
        <v>4</v>
      </c>
    </row>
    <row r="4425" spans="1:21" ht="16.5" x14ac:dyDescent="0.3">
      <c r="A4425" t="s">
        <v>4513</v>
      </c>
      <c r="B4425" s="1">
        <v>45935</v>
      </c>
      <c r="C4425">
        <v>2025</v>
      </c>
      <c r="D4425" t="s">
        <v>1738</v>
      </c>
      <c r="E4425" t="s">
        <v>1739</v>
      </c>
      <c r="F4425" t="s">
        <v>31</v>
      </c>
      <c r="G4425" t="s">
        <v>46</v>
      </c>
      <c r="H4425" t="s">
        <v>32</v>
      </c>
      <c r="I4425" t="s">
        <v>84</v>
      </c>
      <c r="J4425" t="s">
        <v>96</v>
      </c>
      <c r="K4425">
        <v>1</v>
      </c>
      <c r="L4425" s="2">
        <v>10.76</v>
      </c>
      <c r="M4425" s="3">
        <v>0.1</v>
      </c>
      <c r="N4425" t="s">
        <v>29</v>
      </c>
      <c r="O4425" s="2">
        <v>9.68</v>
      </c>
      <c r="P4425" s="2">
        <v>7.62</v>
      </c>
      <c r="Q4425" s="2">
        <v>2.06</v>
      </c>
      <c r="R4425">
        <v>1</v>
      </c>
      <c r="S4425">
        <v>0</v>
      </c>
      <c r="T4425">
        <v>5</v>
      </c>
      <c r="U4425">
        <v>4</v>
      </c>
    </row>
    <row r="4426" spans="1:21" ht="16.5" x14ac:dyDescent="0.3">
      <c r="A4426" t="s">
        <v>4514</v>
      </c>
      <c r="B4426" s="1">
        <v>45935</v>
      </c>
      <c r="C4426">
        <v>2025</v>
      </c>
      <c r="D4426" t="s">
        <v>1738</v>
      </c>
      <c r="E4426" t="s">
        <v>1739</v>
      </c>
      <c r="F4426" t="s">
        <v>24</v>
      </c>
      <c r="G4426" t="s">
        <v>51</v>
      </c>
      <c r="H4426" t="s">
        <v>32</v>
      </c>
      <c r="I4426" t="s">
        <v>36</v>
      </c>
      <c r="J4426" t="s">
        <v>126</v>
      </c>
      <c r="K4426">
        <v>1</v>
      </c>
      <c r="L4426" s="2">
        <v>54.56</v>
      </c>
      <c r="M4426" s="3">
        <v>0</v>
      </c>
      <c r="N4426" t="s">
        <v>38</v>
      </c>
      <c r="O4426" s="2">
        <v>54.56</v>
      </c>
      <c r="P4426" s="2">
        <v>25.71</v>
      </c>
      <c r="Q4426" s="2">
        <v>28.85</v>
      </c>
      <c r="R4426">
        <v>1</v>
      </c>
      <c r="S4426">
        <v>0</v>
      </c>
      <c r="T4426">
        <v>3</v>
      </c>
      <c r="U4426">
        <v>5</v>
      </c>
    </row>
    <row r="4427" spans="1:21" ht="16.5" x14ac:dyDescent="0.3">
      <c r="A4427" t="s">
        <v>4515</v>
      </c>
      <c r="B4427" s="1">
        <v>45935</v>
      </c>
      <c r="C4427">
        <v>2025</v>
      </c>
      <c r="D4427" t="s">
        <v>1738</v>
      </c>
      <c r="E4427" t="s">
        <v>1739</v>
      </c>
      <c r="F4427" t="s">
        <v>24</v>
      </c>
      <c r="G4427" t="s">
        <v>25</v>
      </c>
      <c r="H4427" t="s">
        <v>26</v>
      </c>
      <c r="I4427" t="s">
        <v>27</v>
      </c>
      <c r="J4427" t="s">
        <v>60</v>
      </c>
      <c r="K4427">
        <v>1</v>
      </c>
      <c r="L4427" s="2">
        <v>94.85</v>
      </c>
      <c r="M4427" s="3">
        <v>0.05</v>
      </c>
      <c r="N4427" t="s">
        <v>29</v>
      </c>
      <c r="O4427" s="2">
        <v>90.11</v>
      </c>
      <c r="P4427" s="2">
        <v>50.82</v>
      </c>
      <c r="Q4427" s="2">
        <v>39.29</v>
      </c>
      <c r="R4427">
        <v>1</v>
      </c>
      <c r="S4427">
        <v>0</v>
      </c>
      <c r="T4427">
        <v>3</v>
      </c>
      <c r="U4427">
        <v>5</v>
      </c>
    </row>
    <row r="4428" spans="1:21" ht="16.5" x14ac:dyDescent="0.3">
      <c r="A4428" t="s">
        <v>4516</v>
      </c>
      <c r="B4428" s="1">
        <v>45935</v>
      </c>
      <c r="C4428">
        <v>2025</v>
      </c>
      <c r="D4428" t="s">
        <v>1738</v>
      </c>
      <c r="E4428" t="s">
        <v>1739</v>
      </c>
      <c r="F4428" t="s">
        <v>31</v>
      </c>
      <c r="G4428" t="s">
        <v>65</v>
      </c>
      <c r="H4428" t="s">
        <v>32</v>
      </c>
      <c r="I4428" t="s">
        <v>36</v>
      </c>
      <c r="J4428" t="s">
        <v>126</v>
      </c>
      <c r="K4428">
        <v>2</v>
      </c>
      <c r="L4428" s="2">
        <v>54.56</v>
      </c>
      <c r="M4428" s="3">
        <v>0</v>
      </c>
      <c r="N4428" t="s">
        <v>38</v>
      </c>
      <c r="O4428" s="2">
        <v>109.12</v>
      </c>
      <c r="P4428" s="2">
        <v>51.19</v>
      </c>
      <c r="Q4428" s="2">
        <v>57.93</v>
      </c>
      <c r="R4428">
        <v>1</v>
      </c>
      <c r="S4428">
        <v>0</v>
      </c>
      <c r="T4428">
        <v>5</v>
      </c>
      <c r="U4428">
        <v>5</v>
      </c>
    </row>
    <row r="4429" spans="1:21" ht="16.5" x14ac:dyDescent="0.3">
      <c r="A4429" t="s">
        <v>4517</v>
      </c>
      <c r="B4429" s="1">
        <v>45935</v>
      </c>
      <c r="C4429">
        <v>2025</v>
      </c>
      <c r="D4429" t="s">
        <v>1738</v>
      </c>
      <c r="E4429" t="s">
        <v>1739</v>
      </c>
      <c r="F4429" t="s">
        <v>24</v>
      </c>
      <c r="G4429" t="s">
        <v>49</v>
      </c>
      <c r="H4429" t="s">
        <v>26</v>
      </c>
      <c r="I4429" t="s">
        <v>42</v>
      </c>
      <c r="J4429" t="s">
        <v>89</v>
      </c>
      <c r="K4429">
        <v>2</v>
      </c>
      <c r="L4429" s="2">
        <v>68.349999999999994</v>
      </c>
      <c r="M4429" s="3">
        <v>0</v>
      </c>
      <c r="N4429" t="s">
        <v>38</v>
      </c>
      <c r="O4429" s="2">
        <v>136.69999999999999</v>
      </c>
      <c r="P4429" s="2">
        <v>93.97</v>
      </c>
      <c r="Q4429" s="2">
        <v>42.73</v>
      </c>
      <c r="R4429">
        <v>1</v>
      </c>
      <c r="S4429">
        <v>0</v>
      </c>
      <c r="T4429">
        <v>3</v>
      </c>
      <c r="U4429">
        <v>5</v>
      </c>
    </row>
    <row r="4430" spans="1:21" ht="16.5" x14ac:dyDescent="0.3">
      <c r="A4430" t="s">
        <v>4518</v>
      </c>
      <c r="B4430" s="1">
        <v>45935</v>
      </c>
      <c r="C4430">
        <v>2025</v>
      </c>
      <c r="D4430" t="s">
        <v>1738</v>
      </c>
      <c r="E4430" t="s">
        <v>1739</v>
      </c>
      <c r="F4430" t="s">
        <v>24</v>
      </c>
      <c r="G4430" t="s">
        <v>46</v>
      </c>
      <c r="H4430" t="s">
        <v>32</v>
      </c>
      <c r="I4430" t="s">
        <v>84</v>
      </c>
      <c r="J4430" t="s">
        <v>96</v>
      </c>
      <c r="K4430">
        <v>2</v>
      </c>
      <c r="L4430" s="2">
        <v>10.76</v>
      </c>
      <c r="M4430" s="3">
        <v>0.2</v>
      </c>
      <c r="N4430" t="s">
        <v>34</v>
      </c>
      <c r="O4430" s="2">
        <v>17.22</v>
      </c>
      <c r="P4430" s="2">
        <v>15.3</v>
      </c>
      <c r="Q4430" s="2">
        <v>1.92</v>
      </c>
      <c r="R4430">
        <v>1</v>
      </c>
      <c r="S4430">
        <v>0</v>
      </c>
      <c r="T4430">
        <v>5</v>
      </c>
      <c r="U4430">
        <v>5</v>
      </c>
    </row>
    <row r="4431" spans="1:21" ht="16.5" x14ac:dyDescent="0.3">
      <c r="A4431" t="s">
        <v>4519</v>
      </c>
      <c r="B4431" s="1">
        <v>45935</v>
      </c>
      <c r="C4431">
        <v>2025</v>
      </c>
      <c r="D4431" t="s">
        <v>1738</v>
      </c>
      <c r="E4431" t="s">
        <v>1739</v>
      </c>
      <c r="F4431" t="s">
        <v>24</v>
      </c>
      <c r="G4431" t="s">
        <v>51</v>
      </c>
      <c r="H4431" t="s">
        <v>32</v>
      </c>
      <c r="I4431" t="s">
        <v>70</v>
      </c>
      <c r="J4431" t="s">
        <v>71</v>
      </c>
      <c r="K4431">
        <v>1</v>
      </c>
      <c r="L4431" s="2">
        <v>588.41</v>
      </c>
      <c r="M4431" s="3">
        <v>0.15</v>
      </c>
      <c r="N4431" t="s">
        <v>34</v>
      </c>
      <c r="O4431" s="2">
        <v>500.15</v>
      </c>
      <c r="P4431" s="2">
        <v>468</v>
      </c>
      <c r="Q4431" s="2">
        <v>32.15</v>
      </c>
      <c r="R4431">
        <v>1</v>
      </c>
      <c r="S4431">
        <v>0</v>
      </c>
      <c r="T4431">
        <v>6</v>
      </c>
      <c r="U4431">
        <v>3</v>
      </c>
    </row>
    <row r="4432" spans="1:21" ht="16.5" x14ac:dyDescent="0.3">
      <c r="A4432" t="s">
        <v>4520</v>
      </c>
      <c r="B4432" s="1">
        <v>45935</v>
      </c>
      <c r="C4432">
        <v>2025</v>
      </c>
      <c r="D4432" t="s">
        <v>1738</v>
      </c>
      <c r="E4432" t="s">
        <v>1739</v>
      </c>
      <c r="F4432" t="s">
        <v>24</v>
      </c>
      <c r="G4432" t="s">
        <v>51</v>
      </c>
      <c r="H4432" t="s">
        <v>32</v>
      </c>
      <c r="I4432" t="s">
        <v>27</v>
      </c>
      <c r="J4432" t="s">
        <v>28</v>
      </c>
      <c r="K4432">
        <v>3</v>
      </c>
      <c r="L4432" s="2">
        <v>138.5</v>
      </c>
      <c r="M4432" s="3">
        <v>0</v>
      </c>
      <c r="N4432" t="s">
        <v>38</v>
      </c>
      <c r="O4432" s="2">
        <v>415.5</v>
      </c>
      <c r="P4432" s="2">
        <v>224.27</v>
      </c>
      <c r="Q4432" s="2">
        <v>191.23</v>
      </c>
      <c r="R4432">
        <v>1</v>
      </c>
      <c r="S4432">
        <v>0</v>
      </c>
      <c r="T4432">
        <v>5</v>
      </c>
      <c r="U4432">
        <v>4</v>
      </c>
    </row>
    <row r="4433" spans="1:21" ht="16.5" x14ac:dyDescent="0.3">
      <c r="A4433" t="s">
        <v>4521</v>
      </c>
      <c r="B4433" s="1">
        <v>45936</v>
      </c>
      <c r="C4433">
        <v>2025</v>
      </c>
      <c r="D4433" t="s">
        <v>1738</v>
      </c>
      <c r="E4433" t="s">
        <v>1739</v>
      </c>
      <c r="F4433" t="s">
        <v>45</v>
      </c>
      <c r="G4433" t="s">
        <v>51</v>
      </c>
      <c r="H4433" t="s">
        <v>32</v>
      </c>
      <c r="I4433" t="s">
        <v>36</v>
      </c>
      <c r="J4433" t="s">
        <v>37</v>
      </c>
      <c r="K4433">
        <v>1</v>
      </c>
      <c r="L4433" s="2">
        <v>33.18</v>
      </c>
      <c r="M4433" s="3">
        <v>0.15</v>
      </c>
      <c r="N4433" t="s">
        <v>34</v>
      </c>
      <c r="O4433" s="2">
        <v>28.2</v>
      </c>
      <c r="P4433" s="2">
        <v>15.91</v>
      </c>
      <c r="Q4433" s="2">
        <v>12.29</v>
      </c>
      <c r="R4433">
        <v>1</v>
      </c>
      <c r="S4433">
        <v>1</v>
      </c>
      <c r="T4433">
        <v>2</v>
      </c>
      <c r="U4433">
        <v>4</v>
      </c>
    </row>
    <row r="4434" spans="1:21" ht="16.5" x14ac:dyDescent="0.3">
      <c r="A4434" t="s">
        <v>4522</v>
      </c>
      <c r="B4434" s="1">
        <v>45936</v>
      </c>
      <c r="C4434">
        <v>2025</v>
      </c>
      <c r="D4434" t="s">
        <v>1738</v>
      </c>
      <c r="E4434" t="s">
        <v>1739</v>
      </c>
      <c r="F4434" t="s">
        <v>45</v>
      </c>
      <c r="G4434" t="s">
        <v>49</v>
      </c>
      <c r="H4434" t="s">
        <v>26</v>
      </c>
      <c r="I4434" t="s">
        <v>42</v>
      </c>
      <c r="J4434" t="s">
        <v>76</v>
      </c>
      <c r="K4434">
        <v>2</v>
      </c>
      <c r="L4434" s="2">
        <v>90.75</v>
      </c>
      <c r="M4434" s="3">
        <v>0</v>
      </c>
      <c r="N4434" t="s">
        <v>38</v>
      </c>
      <c r="O4434" s="2">
        <v>181.5</v>
      </c>
      <c r="P4434" s="2">
        <v>122.86</v>
      </c>
      <c r="Q4434" s="2">
        <v>58.64</v>
      </c>
      <c r="R4434">
        <v>1</v>
      </c>
      <c r="S4434">
        <v>0</v>
      </c>
      <c r="T4434">
        <v>5</v>
      </c>
      <c r="U4434">
        <v>4</v>
      </c>
    </row>
    <row r="4435" spans="1:21" ht="16.5" x14ac:dyDescent="0.3">
      <c r="A4435" t="s">
        <v>4523</v>
      </c>
      <c r="B4435" s="1">
        <v>45936</v>
      </c>
      <c r="C4435">
        <v>2025</v>
      </c>
      <c r="D4435" t="s">
        <v>1738</v>
      </c>
      <c r="E4435" t="s">
        <v>1739</v>
      </c>
      <c r="F4435" t="s">
        <v>31</v>
      </c>
      <c r="G4435" t="s">
        <v>25</v>
      </c>
      <c r="H4435" t="s">
        <v>32</v>
      </c>
      <c r="I4435" t="s">
        <v>70</v>
      </c>
      <c r="J4435" t="s">
        <v>82</v>
      </c>
      <c r="K4435">
        <v>2</v>
      </c>
      <c r="L4435" s="2">
        <v>508.8</v>
      </c>
      <c r="M4435" s="3">
        <v>0</v>
      </c>
      <c r="N4435" t="s">
        <v>38</v>
      </c>
      <c r="O4435" s="2">
        <v>1017.6</v>
      </c>
      <c r="P4435" s="2">
        <v>775.13</v>
      </c>
      <c r="Q4435" s="2">
        <v>242.47</v>
      </c>
      <c r="R4435">
        <v>1</v>
      </c>
      <c r="S4435">
        <v>0</v>
      </c>
      <c r="T4435">
        <v>4</v>
      </c>
      <c r="U4435">
        <v>5</v>
      </c>
    </row>
    <row r="4436" spans="1:21" ht="16.5" x14ac:dyDescent="0.3">
      <c r="A4436" t="s">
        <v>4524</v>
      </c>
      <c r="B4436" s="1">
        <v>45936</v>
      </c>
      <c r="C4436">
        <v>2025</v>
      </c>
      <c r="D4436" t="s">
        <v>1738</v>
      </c>
      <c r="E4436" t="s">
        <v>1739</v>
      </c>
      <c r="F4436" t="s">
        <v>24</v>
      </c>
      <c r="G4436" t="s">
        <v>51</v>
      </c>
      <c r="H4436" t="s">
        <v>26</v>
      </c>
      <c r="I4436" t="s">
        <v>42</v>
      </c>
      <c r="J4436" t="s">
        <v>76</v>
      </c>
      <c r="K4436">
        <v>1</v>
      </c>
      <c r="L4436" s="2">
        <v>90.75</v>
      </c>
      <c r="M4436" s="3">
        <v>0</v>
      </c>
      <c r="N4436" t="s">
        <v>38</v>
      </c>
      <c r="O4436" s="2">
        <v>90.75</v>
      </c>
      <c r="P4436" s="2">
        <v>59.68</v>
      </c>
      <c r="Q4436" s="2">
        <v>31.07</v>
      </c>
      <c r="R4436">
        <v>1</v>
      </c>
      <c r="S4436">
        <v>0</v>
      </c>
      <c r="T4436">
        <v>2</v>
      </c>
      <c r="U4436">
        <v>4</v>
      </c>
    </row>
    <row r="4437" spans="1:21" ht="16.5" x14ac:dyDescent="0.3">
      <c r="A4437" t="s">
        <v>4525</v>
      </c>
      <c r="B4437" s="1">
        <v>45936</v>
      </c>
      <c r="C4437">
        <v>2025</v>
      </c>
      <c r="D4437" t="s">
        <v>1738</v>
      </c>
      <c r="E4437" t="s">
        <v>1739</v>
      </c>
      <c r="F4437" t="s">
        <v>24</v>
      </c>
      <c r="G4437" t="s">
        <v>25</v>
      </c>
      <c r="H4437" t="s">
        <v>32</v>
      </c>
      <c r="I4437" t="s">
        <v>36</v>
      </c>
      <c r="J4437" t="s">
        <v>56</v>
      </c>
      <c r="K4437">
        <v>2</v>
      </c>
      <c r="L4437" s="2">
        <v>74.3</v>
      </c>
      <c r="M4437" s="3">
        <v>0.1</v>
      </c>
      <c r="N4437" t="s">
        <v>29</v>
      </c>
      <c r="O4437" s="2">
        <v>133.74</v>
      </c>
      <c r="P4437" s="2">
        <v>71.22</v>
      </c>
      <c r="Q4437" s="2">
        <v>62.52</v>
      </c>
      <c r="R4437">
        <v>1</v>
      </c>
      <c r="S4437">
        <v>0</v>
      </c>
      <c r="T4437">
        <v>3</v>
      </c>
      <c r="U4437">
        <v>5</v>
      </c>
    </row>
    <row r="4438" spans="1:21" ht="16.5" x14ac:dyDescent="0.3">
      <c r="A4438" t="s">
        <v>4526</v>
      </c>
      <c r="B4438" s="1">
        <v>45936</v>
      </c>
      <c r="C4438">
        <v>2025</v>
      </c>
      <c r="D4438" t="s">
        <v>1738</v>
      </c>
      <c r="E4438" t="s">
        <v>1739</v>
      </c>
      <c r="F4438" t="s">
        <v>24</v>
      </c>
      <c r="G4438" t="s">
        <v>51</v>
      </c>
      <c r="H4438" t="s">
        <v>32</v>
      </c>
      <c r="I4438" t="s">
        <v>84</v>
      </c>
      <c r="J4438" t="s">
        <v>106</v>
      </c>
      <c r="K4438">
        <v>3</v>
      </c>
      <c r="L4438" s="2">
        <v>45.28</v>
      </c>
      <c r="M4438" s="3">
        <v>0.05</v>
      </c>
      <c r="N4438" t="s">
        <v>29</v>
      </c>
      <c r="O4438" s="2">
        <v>129.05000000000001</v>
      </c>
      <c r="P4438" s="2">
        <v>95.23</v>
      </c>
      <c r="Q4438" s="2">
        <v>33.82</v>
      </c>
      <c r="R4438">
        <v>1</v>
      </c>
      <c r="S4438">
        <v>0</v>
      </c>
      <c r="T4438">
        <v>4</v>
      </c>
      <c r="U4438">
        <v>4</v>
      </c>
    </row>
    <row r="4439" spans="1:21" ht="16.5" x14ac:dyDescent="0.3">
      <c r="A4439" t="s">
        <v>4527</v>
      </c>
      <c r="B4439" s="1">
        <v>45937</v>
      </c>
      <c r="C4439">
        <v>2025</v>
      </c>
      <c r="D4439" t="s">
        <v>1738</v>
      </c>
      <c r="E4439" t="s">
        <v>1739</v>
      </c>
      <c r="F4439" t="s">
        <v>31</v>
      </c>
      <c r="G4439" t="s">
        <v>51</v>
      </c>
      <c r="H4439" t="s">
        <v>32</v>
      </c>
      <c r="I4439" t="s">
        <v>36</v>
      </c>
      <c r="J4439" t="s">
        <v>126</v>
      </c>
      <c r="K4439">
        <v>1</v>
      </c>
      <c r="L4439" s="2">
        <v>54.56</v>
      </c>
      <c r="M4439" s="3">
        <v>0.15</v>
      </c>
      <c r="N4439" t="s">
        <v>34</v>
      </c>
      <c r="O4439" s="2">
        <v>46.38</v>
      </c>
      <c r="P4439" s="2">
        <v>26.5</v>
      </c>
      <c r="Q4439" s="2">
        <v>19.88</v>
      </c>
      <c r="R4439">
        <v>1</v>
      </c>
      <c r="S4439">
        <v>0</v>
      </c>
      <c r="T4439">
        <v>3</v>
      </c>
      <c r="U4439">
        <v>3</v>
      </c>
    </row>
    <row r="4440" spans="1:21" ht="16.5" x14ac:dyDescent="0.3">
      <c r="A4440" t="s">
        <v>4528</v>
      </c>
      <c r="B4440" s="1">
        <v>45937</v>
      </c>
      <c r="C4440">
        <v>2025</v>
      </c>
      <c r="D4440" t="s">
        <v>1738</v>
      </c>
      <c r="E4440" t="s">
        <v>1739</v>
      </c>
      <c r="F4440" t="s">
        <v>31</v>
      </c>
      <c r="G4440" t="s">
        <v>25</v>
      </c>
      <c r="H4440" t="s">
        <v>32</v>
      </c>
      <c r="I4440" t="s">
        <v>67</v>
      </c>
      <c r="J4440" t="s">
        <v>103</v>
      </c>
      <c r="K4440">
        <v>1</v>
      </c>
      <c r="L4440" s="2">
        <v>83.06</v>
      </c>
      <c r="M4440" s="3">
        <v>0.05</v>
      </c>
      <c r="N4440" t="s">
        <v>29</v>
      </c>
      <c r="O4440" s="2">
        <v>78.91</v>
      </c>
      <c r="P4440" s="2">
        <v>56.43</v>
      </c>
      <c r="Q4440" s="2">
        <v>22.48</v>
      </c>
      <c r="R4440">
        <v>1</v>
      </c>
      <c r="S4440">
        <v>0</v>
      </c>
      <c r="T4440">
        <v>3</v>
      </c>
      <c r="U4440">
        <v>5</v>
      </c>
    </row>
    <row r="4441" spans="1:21" ht="16.5" x14ac:dyDescent="0.3">
      <c r="A4441" t="s">
        <v>4529</v>
      </c>
      <c r="B4441" s="1">
        <v>45937</v>
      </c>
      <c r="C4441">
        <v>2025</v>
      </c>
      <c r="D4441" t="s">
        <v>1738</v>
      </c>
      <c r="E4441" t="s">
        <v>1739</v>
      </c>
      <c r="F4441" t="s">
        <v>31</v>
      </c>
      <c r="G4441" t="s">
        <v>25</v>
      </c>
      <c r="H4441" t="s">
        <v>26</v>
      </c>
      <c r="I4441" t="s">
        <v>84</v>
      </c>
      <c r="J4441" t="s">
        <v>223</v>
      </c>
      <c r="K4441">
        <v>4</v>
      </c>
      <c r="L4441" s="2">
        <v>16.97</v>
      </c>
      <c r="M4441" s="3">
        <v>0.25</v>
      </c>
      <c r="N4441" t="s">
        <v>62</v>
      </c>
      <c r="O4441" s="2">
        <v>50.91</v>
      </c>
      <c r="P4441" s="2">
        <v>48.86</v>
      </c>
      <c r="Q4441" s="2">
        <v>2.0499999999999998</v>
      </c>
      <c r="R4441">
        <v>1</v>
      </c>
      <c r="S4441">
        <v>0</v>
      </c>
      <c r="T4441">
        <v>5</v>
      </c>
      <c r="U4441">
        <v>5</v>
      </c>
    </row>
    <row r="4442" spans="1:21" ht="16.5" x14ac:dyDescent="0.3">
      <c r="A4442" t="s">
        <v>4530</v>
      </c>
      <c r="B4442" s="1">
        <v>45937</v>
      </c>
      <c r="C4442">
        <v>2025</v>
      </c>
      <c r="D4442" t="s">
        <v>1738</v>
      </c>
      <c r="E4442" t="s">
        <v>1739</v>
      </c>
      <c r="F4442" t="s">
        <v>24</v>
      </c>
      <c r="G4442" t="s">
        <v>49</v>
      </c>
      <c r="H4442" t="s">
        <v>32</v>
      </c>
      <c r="I4442" t="s">
        <v>70</v>
      </c>
      <c r="J4442" t="s">
        <v>252</v>
      </c>
      <c r="K4442">
        <v>1</v>
      </c>
      <c r="L4442" s="2">
        <v>216.08</v>
      </c>
      <c r="M4442" s="3">
        <v>0.3</v>
      </c>
      <c r="N4442" t="s">
        <v>62</v>
      </c>
      <c r="O4442" s="2">
        <v>151.26</v>
      </c>
      <c r="P4442" s="2">
        <v>176.88</v>
      </c>
      <c r="Q4442" s="2">
        <v>-25.62</v>
      </c>
      <c r="R4442">
        <v>1</v>
      </c>
      <c r="S4442">
        <v>0</v>
      </c>
      <c r="T4442">
        <v>5</v>
      </c>
      <c r="U4442">
        <v>5</v>
      </c>
    </row>
    <row r="4443" spans="1:21" ht="16.5" x14ac:dyDescent="0.3">
      <c r="A4443" t="s">
        <v>4531</v>
      </c>
      <c r="B4443" s="1">
        <v>45937</v>
      </c>
      <c r="C4443">
        <v>2025</v>
      </c>
      <c r="D4443" t="s">
        <v>1738</v>
      </c>
      <c r="E4443" t="s">
        <v>1739</v>
      </c>
      <c r="F4443" t="s">
        <v>24</v>
      </c>
      <c r="G4443" t="s">
        <v>46</v>
      </c>
      <c r="H4443" t="s">
        <v>32</v>
      </c>
      <c r="I4443" t="s">
        <v>27</v>
      </c>
      <c r="J4443" t="s">
        <v>60</v>
      </c>
      <c r="K4443">
        <v>1</v>
      </c>
      <c r="L4443" s="2">
        <v>94.85</v>
      </c>
      <c r="M4443" s="3">
        <v>0</v>
      </c>
      <c r="N4443" t="s">
        <v>38</v>
      </c>
      <c r="O4443" s="2">
        <v>94.85</v>
      </c>
      <c r="P4443" s="2">
        <v>50.27</v>
      </c>
      <c r="Q4443" s="2">
        <v>44.58</v>
      </c>
      <c r="R4443">
        <v>1</v>
      </c>
      <c r="S4443">
        <v>0</v>
      </c>
      <c r="T4443">
        <v>5</v>
      </c>
      <c r="U4443">
        <v>5</v>
      </c>
    </row>
    <row r="4444" spans="1:21" ht="16.5" x14ac:dyDescent="0.3">
      <c r="A4444" t="s">
        <v>4532</v>
      </c>
      <c r="B4444" s="1">
        <v>45938</v>
      </c>
      <c r="C4444">
        <v>2025</v>
      </c>
      <c r="D4444" t="s">
        <v>1738</v>
      </c>
      <c r="E4444" t="s">
        <v>1739</v>
      </c>
      <c r="F4444" t="s">
        <v>31</v>
      </c>
      <c r="G4444" t="s">
        <v>49</v>
      </c>
      <c r="H4444" t="s">
        <v>26</v>
      </c>
      <c r="I4444" t="s">
        <v>36</v>
      </c>
      <c r="J4444" t="s">
        <v>56</v>
      </c>
      <c r="K4444">
        <v>2</v>
      </c>
      <c r="L4444" s="2">
        <v>74.3</v>
      </c>
      <c r="M4444" s="3">
        <v>0.05</v>
      </c>
      <c r="N4444" t="s">
        <v>29</v>
      </c>
      <c r="O4444" s="2">
        <v>141.16999999999999</v>
      </c>
      <c r="P4444" s="2">
        <v>65.13</v>
      </c>
      <c r="Q4444" s="2">
        <v>76.040000000000006</v>
      </c>
      <c r="R4444">
        <v>1</v>
      </c>
      <c r="S4444">
        <v>0</v>
      </c>
      <c r="T4444">
        <v>5</v>
      </c>
      <c r="U4444">
        <v>3</v>
      </c>
    </row>
    <row r="4445" spans="1:21" ht="16.5" x14ac:dyDescent="0.3">
      <c r="A4445" t="s">
        <v>4533</v>
      </c>
      <c r="B4445" s="1">
        <v>45938</v>
      </c>
      <c r="C4445">
        <v>2025</v>
      </c>
      <c r="D4445" t="s">
        <v>1738</v>
      </c>
      <c r="E4445" t="s">
        <v>1739</v>
      </c>
      <c r="F4445" t="s">
        <v>31</v>
      </c>
      <c r="G4445" t="s">
        <v>49</v>
      </c>
      <c r="H4445" t="s">
        <v>32</v>
      </c>
      <c r="I4445" t="s">
        <v>70</v>
      </c>
      <c r="J4445" t="s">
        <v>87</v>
      </c>
      <c r="K4445">
        <v>1</v>
      </c>
      <c r="L4445" s="2">
        <v>490.3</v>
      </c>
      <c r="M4445" s="3">
        <v>0</v>
      </c>
      <c r="N4445" t="s">
        <v>38</v>
      </c>
      <c r="O4445" s="2">
        <v>490.3</v>
      </c>
      <c r="P4445" s="2">
        <v>393.85</v>
      </c>
      <c r="Q4445" s="2">
        <v>96.45</v>
      </c>
      <c r="R4445">
        <v>1</v>
      </c>
      <c r="S4445">
        <v>0</v>
      </c>
      <c r="T4445">
        <v>3</v>
      </c>
      <c r="U4445">
        <v>4</v>
      </c>
    </row>
    <row r="4446" spans="1:21" ht="16.5" x14ac:dyDescent="0.3">
      <c r="A4446" t="s">
        <v>4534</v>
      </c>
      <c r="B4446" s="1">
        <v>45938</v>
      </c>
      <c r="C4446">
        <v>2025</v>
      </c>
      <c r="D4446" t="s">
        <v>1738</v>
      </c>
      <c r="E4446" t="s">
        <v>1739</v>
      </c>
      <c r="F4446" t="s">
        <v>31</v>
      </c>
      <c r="G4446" t="s">
        <v>25</v>
      </c>
      <c r="H4446" t="s">
        <v>26</v>
      </c>
      <c r="I4446" t="s">
        <v>42</v>
      </c>
      <c r="J4446" t="s">
        <v>54</v>
      </c>
      <c r="K4446">
        <v>1</v>
      </c>
      <c r="L4446" s="2">
        <v>148.05000000000001</v>
      </c>
      <c r="M4446" s="3">
        <v>0.05</v>
      </c>
      <c r="N4446" t="s">
        <v>29</v>
      </c>
      <c r="O4446" s="2">
        <v>140.65</v>
      </c>
      <c r="P4446" s="2">
        <v>93</v>
      </c>
      <c r="Q4446" s="2">
        <v>47.65</v>
      </c>
      <c r="R4446">
        <v>1</v>
      </c>
      <c r="S4446">
        <v>0</v>
      </c>
      <c r="T4446">
        <v>3</v>
      </c>
      <c r="U4446">
        <v>5</v>
      </c>
    </row>
    <row r="4447" spans="1:21" ht="16.5" x14ac:dyDescent="0.3">
      <c r="A4447" t="s">
        <v>4535</v>
      </c>
      <c r="B4447" s="1">
        <v>45938</v>
      </c>
      <c r="C4447">
        <v>2025</v>
      </c>
      <c r="D4447" t="s">
        <v>1738</v>
      </c>
      <c r="E4447" t="s">
        <v>1739</v>
      </c>
      <c r="F4447" t="s">
        <v>31</v>
      </c>
      <c r="G4447" t="s">
        <v>51</v>
      </c>
      <c r="H4447" t="s">
        <v>26</v>
      </c>
      <c r="I4447" t="s">
        <v>84</v>
      </c>
      <c r="J4447" t="s">
        <v>106</v>
      </c>
      <c r="K4447">
        <v>1</v>
      </c>
      <c r="L4447" s="2">
        <v>45.28</v>
      </c>
      <c r="M4447" s="3">
        <v>0.2</v>
      </c>
      <c r="N4447" t="s">
        <v>34</v>
      </c>
      <c r="O4447" s="2">
        <v>36.22</v>
      </c>
      <c r="P4447" s="2">
        <v>30.79</v>
      </c>
      <c r="Q4447" s="2">
        <v>5.43</v>
      </c>
      <c r="R4447">
        <v>1</v>
      </c>
      <c r="S4447">
        <v>0</v>
      </c>
      <c r="T4447">
        <v>3</v>
      </c>
      <c r="U4447">
        <v>4</v>
      </c>
    </row>
    <row r="4448" spans="1:21" ht="16.5" x14ac:dyDescent="0.3">
      <c r="A4448" t="s">
        <v>4536</v>
      </c>
      <c r="B4448" s="1">
        <v>45938</v>
      </c>
      <c r="C4448">
        <v>2025</v>
      </c>
      <c r="D4448" t="s">
        <v>1738</v>
      </c>
      <c r="E4448" t="s">
        <v>1739</v>
      </c>
      <c r="F4448" t="s">
        <v>31</v>
      </c>
      <c r="G4448" t="s">
        <v>51</v>
      </c>
      <c r="H4448" t="s">
        <v>32</v>
      </c>
      <c r="I4448" t="s">
        <v>36</v>
      </c>
      <c r="J4448" t="s">
        <v>126</v>
      </c>
      <c r="K4448">
        <v>1</v>
      </c>
      <c r="L4448" s="2">
        <v>54.56</v>
      </c>
      <c r="M4448" s="3">
        <v>0.05</v>
      </c>
      <c r="N4448" t="s">
        <v>29</v>
      </c>
      <c r="O4448" s="2">
        <v>51.83</v>
      </c>
      <c r="P4448" s="2">
        <v>25.54</v>
      </c>
      <c r="Q4448" s="2">
        <v>26.29</v>
      </c>
      <c r="R4448">
        <v>1</v>
      </c>
      <c r="S4448">
        <v>0</v>
      </c>
      <c r="T4448">
        <v>5</v>
      </c>
      <c r="U4448">
        <v>5</v>
      </c>
    </row>
    <row r="4449" spans="1:21" ht="16.5" x14ac:dyDescent="0.3">
      <c r="A4449" t="s">
        <v>4537</v>
      </c>
      <c r="B4449" s="1">
        <v>45938</v>
      </c>
      <c r="C4449">
        <v>2025</v>
      </c>
      <c r="D4449" t="s">
        <v>1738</v>
      </c>
      <c r="E4449" t="s">
        <v>1739</v>
      </c>
      <c r="F4449" t="s">
        <v>24</v>
      </c>
      <c r="G4449" t="s">
        <v>25</v>
      </c>
      <c r="H4449" t="s">
        <v>26</v>
      </c>
      <c r="I4449" t="s">
        <v>70</v>
      </c>
      <c r="J4449" t="s">
        <v>162</v>
      </c>
      <c r="K4449">
        <v>1</v>
      </c>
      <c r="L4449" s="2">
        <v>636.09</v>
      </c>
      <c r="M4449" s="3">
        <v>0.15</v>
      </c>
      <c r="N4449" t="s">
        <v>34</v>
      </c>
      <c r="O4449" s="2">
        <v>540.67999999999995</v>
      </c>
      <c r="P4449" s="2">
        <v>514.16999999999996</v>
      </c>
      <c r="Q4449" s="2">
        <v>26.51</v>
      </c>
      <c r="R4449">
        <v>1</v>
      </c>
      <c r="S4449">
        <v>0</v>
      </c>
      <c r="T4449">
        <v>4</v>
      </c>
      <c r="U4449">
        <v>4</v>
      </c>
    </row>
    <row r="4450" spans="1:21" ht="16.5" x14ac:dyDescent="0.3">
      <c r="A4450" t="s">
        <v>4538</v>
      </c>
      <c r="B4450" s="1">
        <v>45938</v>
      </c>
      <c r="C4450">
        <v>2025</v>
      </c>
      <c r="D4450" t="s">
        <v>1738</v>
      </c>
      <c r="E4450" t="s">
        <v>1739</v>
      </c>
      <c r="F4450" t="s">
        <v>31</v>
      </c>
      <c r="G4450" t="s">
        <v>25</v>
      </c>
      <c r="H4450" t="s">
        <v>26</v>
      </c>
      <c r="I4450" t="s">
        <v>70</v>
      </c>
      <c r="J4450" t="s">
        <v>162</v>
      </c>
      <c r="K4450">
        <v>2</v>
      </c>
      <c r="L4450" s="2">
        <v>636.09</v>
      </c>
      <c r="M4450" s="3">
        <v>0.05</v>
      </c>
      <c r="N4450" t="s">
        <v>29</v>
      </c>
      <c r="O4450" s="2">
        <v>1208.57</v>
      </c>
      <c r="P4450" s="2">
        <v>994.98</v>
      </c>
      <c r="Q4450" s="2">
        <v>213.59</v>
      </c>
      <c r="R4450">
        <v>1</v>
      </c>
      <c r="S4450">
        <v>0</v>
      </c>
      <c r="T4450">
        <v>5</v>
      </c>
      <c r="U4450">
        <v>4</v>
      </c>
    </row>
    <row r="4451" spans="1:21" ht="16.5" x14ac:dyDescent="0.3">
      <c r="A4451" t="s">
        <v>4539</v>
      </c>
      <c r="B4451" s="1">
        <v>45938</v>
      </c>
      <c r="C4451">
        <v>2025</v>
      </c>
      <c r="D4451" t="s">
        <v>1738</v>
      </c>
      <c r="E4451" t="s">
        <v>1739</v>
      </c>
      <c r="F4451" t="s">
        <v>45</v>
      </c>
      <c r="G4451" t="s">
        <v>51</v>
      </c>
      <c r="H4451" t="s">
        <v>26</v>
      </c>
      <c r="I4451" t="s">
        <v>27</v>
      </c>
      <c r="J4451" t="s">
        <v>28</v>
      </c>
      <c r="K4451">
        <v>1</v>
      </c>
      <c r="L4451" s="2">
        <v>138.5</v>
      </c>
      <c r="M4451" s="3">
        <v>0.05</v>
      </c>
      <c r="N4451" t="s">
        <v>29</v>
      </c>
      <c r="O4451" s="2">
        <v>131.57</v>
      </c>
      <c r="P4451" s="2">
        <v>76.09</v>
      </c>
      <c r="Q4451" s="2">
        <v>55.48</v>
      </c>
      <c r="R4451">
        <v>1</v>
      </c>
      <c r="S4451">
        <v>0</v>
      </c>
      <c r="T4451">
        <v>6</v>
      </c>
      <c r="U4451">
        <v>4</v>
      </c>
    </row>
    <row r="4452" spans="1:21" ht="16.5" x14ac:dyDescent="0.3">
      <c r="A4452" t="s">
        <v>4540</v>
      </c>
      <c r="B4452" s="1">
        <v>45938</v>
      </c>
      <c r="C4452">
        <v>2025</v>
      </c>
      <c r="D4452" t="s">
        <v>1738</v>
      </c>
      <c r="E4452" t="s">
        <v>1739</v>
      </c>
      <c r="F4452" t="s">
        <v>24</v>
      </c>
      <c r="G4452" t="s">
        <v>49</v>
      </c>
      <c r="H4452" t="s">
        <v>32</v>
      </c>
      <c r="I4452" t="s">
        <v>42</v>
      </c>
      <c r="J4452" t="s">
        <v>89</v>
      </c>
      <c r="K4452">
        <v>1</v>
      </c>
      <c r="L4452" s="2">
        <v>68.349999999999994</v>
      </c>
      <c r="M4452" s="3">
        <v>0.1</v>
      </c>
      <c r="N4452" t="s">
        <v>29</v>
      </c>
      <c r="O4452" s="2">
        <v>61.51</v>
      </c>
      <c r="P4452" s="2">
        <v>46.48</v>
      </c>
      <c r="Q4452" s="2">
        <v>15.03</v>
      </c>
      <c r="R4452">
        <v>1</v>
      </c>
      <c r="S4452">
        <v>0</v>
      </c>
      <c r="T4452">
        <v>3</v>
      </c>
      <c r="U4452">
        <v>4</v>
      </c>
    </row>
    <row r="4453" spans="1:21" ht="16.5" x14ac:dyDescent="0.3">
      <c r="A4453" t="s">
        <v>4541</v>
      </c>
      <c r="B4453" s="1">
        <v>45938</v>
      </c>
      <c r="C4453">
        <v>2025</v>
      </c>
      <c r="D4453" t="s">
        <v>1738</v>
      </c>
      <c r="E4453" t="s">
        <v>1739</v>
      </c>
      <c r="F4453" t="s">
        <v>31</v>
      </c>
      <c r="G4453" t="s">
        <v>25</v>
      </c>
      <c r="H4453" t="s">
        <v>32</v>
      </c>
      <c r="I4453" t="s">
        <v>70</v>
      </c>
      <c r="J4453" t="s">
        <v>71</v>
      </c>
      <c r="K4453">
        <v>1</v>
      </c>
      <c r="L4453" s="2">
        <v>588.41</v>
      </c>
      <c r="M4453" s="3">
        <v>0</v>
      </c>
      <c r="N4453" t="s">
        <v>38</v>
      </c>
      <c r="O4453" s="2">
        <v>588.41</v>
      </c>
      <c r="P4453" s="2">
        <v>453.41</v>
      </c>
      <c r="Q4453" s="2">
        <v>135</v>
      </c>
      <c r="R4453">
        <v>1</v>
      </c>
      <c r="S4453">
        <v>0</v>
      </c>
      <c r="T4453">
        <v>4</v>
      </c>
      <c r="U4453">
        <v>5</v>
      </c>
    </row>
    <row r="4454" spans="1:21" ht="16.5" x14ac:dyDescent="0.3">
      <c r="A4454" t="s">
        <v>4542</v>
      </c>
      <c r="B4454" s="1">
        <v>45938</v>
      </c>
      <c r="C4454">
        <v>2025</v>
      </c>
      <c r="D4454" t="s">
        <v>1738</v>
      </c>
      <c r="E4454" t="s">
        <v>1739</v>
      </c>
      <c r="F4454" t="s">
        <v>31</v>
      </c>
      <c r="G4454" t="s">
        <v>25</v>
      </c>
      <c r="H4454" t="s">
        <v>26</v>
      </c>
      <c r="I4454" t="s">
        <v>84</v>
      </c>
      <c r="J4454" t="s">
        <v>106</v>
      </c>
      <c r="K4454">
        <v>1</v>
      </c>
      <c r="L4454" s="2">
        <v>45.28</v>
      </c>
      <c r="M4454" s="3">
        <v>0</v>
      </c>
      <c r="N4454" t="s">
        <v>38</v>
      </c>
      <c r="O4454" s="2">
        <v>45.28</v>
      </c>
      <c r="P4454" s="2">
        <v>32.14</v>
      </c>
      <c r="Q4454" s="2">
        <v>13.14</v>
      </c>
      <c r="R4454">
        <v>1</v>
      </c>
      <c r="S4454">
        <v>0</v>
      </c>
      <c r="T4454">
        <v>4</v>
      </c>
      <c r="U4454">
        <v>4</v>
      </c>
    </row>
    <row r="4455" spans="1:21" ht="16.5" x14ac:dyDescent="0.3">
      <c r="A4455" t="s">
        <v>4543</v>
      </c>
      <c r="B4455" s="1">
        <v>45938</v>
      </c>
      <c r="C4455">
        <v>2025</v>
      </c>
      <c r="D4455" t="s">
        <v>1738</v>
      </c>
      <c r="E4455" t="s">
        <v>1739</v>
      </c>
      <c r="F4455" t="s">
        <v>24</v>
      </c>
      <c r="G4455" t="s">
        <v>51</v>
      </c>
      <c r="H4455" t="s">
        <v>32</v>
      </c>
      <c r="I4455" t="s">
        <v>27</v>
      </c>
      <c r="J4455" t="s">
        <v>40</v>
      </c>
      <c r="K4455">
        <v>3</v>
      </c>
      <c r="L4455" s="2">
        <v>104.94</v>
      </c>
      <c r="M4455" s="3">
        <v>0.15</v>
      </c>
      <c r="N4455" t="s">
        <v>34</v>
      </c>
      <c r="O4455" s="2">
        <v>267.60000000000002</v>
      </c>
      <c r="P4455" s="2">
        <v>166.34</v>
      </c>
      <c r="Q4455" s="2">
        <v>101.26</v>
      </c>
      <c r="R4455">
        <v>1</v>
      </c>
      <c r="S4455">
        <v>0</v>
      </c>
      <c r="T4455">
        <v>3</v>
      </c>
      <c r="U4455">
        <v>3</v>
      </c>
    </row>
    <row r="4456" spans="1:21" ht="16.5" x14ac:dyDescent="0.3">
      <c r="A4456" t="s">
        <v>4544</v>
      </c>
      <c r="B4456" s="1">
        <v>45938</v>
      </c>
      <c r="C4456">
        <v>2025</v>
      </c>
      <c r="D4456" t="s">
        <v>1738</v>
      </c>
      <c r="E4456" t="s">
        <v>1739</v>
      </c>
      <c r="F4456" t="s">
        <v>45</v>
      </c>
      <c r="G4456" t="s">
        <v>49</v>
      </c>
      <c r="H4456" t="s">
        <v>26</v>
      </c>
      <c r="I4456" t="s">
        <v>36</v>
      </c>
      <c r="J4456" t="s">
        <v>37</v>
      </c>
      <c r="K4456">
        <v>1</v>
      </c>
      <c r="L4456" s="2">
        <v>33.18</v>
      </c>
      <c r="M4456" s="3">
        <v>0.05</v>
      </c>
      <c r="N4456" t="s">
        <v>29</v>
      </c>
      <c r="O4456" s="2">
        <v>31.52</v>
      </c>
      <c r="P4456" s="2">
        <v>15.97</v>
      </c>
      <c r="Q4456" s="2">
        <v>15.55</v>
      </c>
      <c r="R4456">
        <v>1</v>
      </c>
      <c r="S4456">
        <v>0</v>
      </c>
      <c r="T4456">
        <v>3</v>
      </c>
      <c r="U4456">
        <v>4</v>
      </c>
    </row>
    <row r="4457" spans="1:21" ht="16.5" x14ac:dyDescent="0.3">
      <c r="A4457" t="s">
        <v>4545</v>
      </c>
      <c r="B4457" s="1">
        <v>45938</v>
      </c>
      <c r="C4457">
        <v>2025</v>
      </c>
      <c r="D4457" t="s">
        <v>1738</v>
      </c>
      <c r="E4457" t="s">
        <v>1739</v>
      </c>
      <c r="F4457" t="s">
        <v>45</v>
      </c>
      <c r="G4457" t="s">
        <v>46</v>
      </c>
      <c r="H4457" t="s">
        <v>32</v>
      </c>
      <c r="I4457" t="s">
        <v>27</v>
      </c>
      <c r="J4457" t="s">
        <v>47</v>
      </c>
      <c r="K4457">
        <v>1</v>
      </c>
      <c r="L4457" s="2">
        <v>33.99</v>
      </c>
      <c r="M4457" s="3">
        <v>0.1</v>
      </c>
      <c r="N4457" t="s">
        <v>29</v>
      </c>
      <c r="O4457" s="2">
        <v>30.59</v>
      </c>
      <c r="P4457" s="2">
        <v>18.62</v>
      </c>
      <c r="Q4457" s="2">
        <v>11.97</v>
      </c>
      <c r="R4457">
        <v>1</v>
      </c>
      <c r="S4457">
        <v>1</v>
      </c>
      <c r="T4457">
        <v>6</v>
      </c>
      <c r="U4457">
        <v>3</v>
      </c>
    </row>
    <row r="4458" spans="1:21" ht="16.5" x14ac:dyDescent="0.3">
      <c r="A4458" t="s">
        <v>4546</v>
      </c>
      <c r="B4458" s="1">
        <v>45938</v>
      </c>
      <c r="C4458">
        <v>2025</v>
      </c>
      <c r="D4458" t="s">
        <v>1738</v>
      </c>
      <c r="E4458" t="s">
        <v>1739</v>
      </c>
      <c r="F4458" t="s">
        <v>31</v>
      </c>
      <c r="G4458" t="s">
        <v>51</v>
      </c>
      <c r="H4458" t="s">
        <v>26</v>
      </c>
      <c r="I4458" t="s">
        <v>27</v>
      </c>
      <c r="J4458" t="s">
        <v>28</v>
      </c>
      <c r="K4458">
        <v>3</v>
      </c>
      <c r="L4458" s="2">
        <v>138.5</v>
      </c>
      <c r="M4458" s="3">
        <v>0</v>
      </c>
      <c r="N4458" t="s">
        <v>38</v>
      </c>
      <c r="O4458" s="2">
        <v>415.5</v>
      </c>
      <c r="P4458" s="2">
        <v>230.56</v>
      </c>
      <c r="Q4458" s="2">
        <v>184.94</v>
      </c>
      <c r="R4458">
        <v>1</v>
      </c>
      <c r="S4458">
        <v>0</v>
      </c>
      <c r="T4458">
        <v>2</v>
      </c>
      <c r="U4458">
        <v>5</v>
      </c>
    </row>
    <row r="4459" spans="1:21" ht="16.5" x14ac:dyDescent="0.3">
      <c r="A4459" t="s">
        <v>4547</v>
      </c>
      <c r="B4459" s="1">
        <v>45939</v>
      </c>
      <c r="C4459">
        <v>2025</v>
      </c>
      <c r="D4459" t="s">
        <v>1738</v>
      </c>
      <c r="E4459" t="s">
        <v>1739</v>
      </c>
      <c r="F4459" t="s">
        <v>24</v>
      </c>
      <c r="G4459" t="s">
        <v>65</v>
      </c>
      <c r="H4459" t="s">
        <v>32</v>
      </c>
      <c r="I4459" t="s">
        <v>67</v>
      </c>
      <c r="J4459" t="s">
        <v>78</v>
      </c>
      <c r="K4459">
        <v>1</v>
      </c>
      <c r="L4459" s="2">
        <v>85.42</v>
      </c>
      <c r="M4459" s="3">
        <v>0</v>
      </c>
      <c r="N4459" t="s">
        <v>38</v>
      </c>
      <c r="O4459" s="2">
        <v>85.42</v>
      </c>
      <c r="P4459" s="2">
        <v>58.76</v>
      </c>
      <c r="Q4459" s="2">
        <v>26.66</v>
      </c>
      <c r="R4459">
        <v>1</v>
      </c>
      <c r="S4459">
        <v>0</v>
      </c>
      <c r="T4459">
        <v>5</v>
      </c>
      <c r="U4459">
        <v>4</v>
      </c>
    </row>
    <row r="4460" spans="1:21" ht="16.5" x14ac:dyDescent="0.3">
      <c r="A4460" t="s">
        <v>4548</v>
      </c>
      <c r="B4460" s="1">
        <v>45939</v>
      </c>
      <c r="C4460">
        <v>2025</v>
      </c>
      <c r="D4460" t="s">
        <v>1738</v>
      </c>
      <c r="E4460" t="s">
        <v>1739</v>
      </c>
      <c r="F4460" t="s">
        <v>31</v>
      </c>
      <c r="G4460" t="s">
        <v>51</v>
      </c>
      <c r="H4460" t="s">
        <v>26</v>
      </c>
      <c r="I4460" t="s">
        <v>84</v>
      </c>
      <c r="J4460" t="s">
        <v>132</v>
      </c>
      <c r="K4460">
        <v>1</v>
      </c>
      <c r="L4460" s="2">
        <v>48.86</v>
      </c>
      <c r="M4460" s="3">
        <v>0.1</v>
      </c>
      <c r="N4460" t="s">
        <v>29</v>
      </c>
      <c r="O4460" s="2">
        <v>43.97</v>
      </c>
      <c r="P4460" s="2">
        <v>35.4</v>
      </c>
      <c r="Q4460" s="2">
        <v>8.57</v>
      </c>
      <c r="R4460">
        <v>1</v>
      </c>
      <c r="S4460">
        <v>0</v>
      </c>
      <c r="T4460">
        <v>4</v>
      </c>
      <c r="U4460">
        <v>4</v>
      </c>
    </row>
    <row r="4461" spans="1:21" ht="16.5" x14ac:dyDescent="0.3">
      <c r="A4461" t="s">
        <v>4549</v>
      </c>
      <c r="B4461" s="1">
        <v>45939</v>
      </c>
      <c r="C4461">
        <v>2025</v>
      </c>
      <c r="D4461" t="s">
        <v>1738</v>
      </c>
      <c r="E4461" t="s">
        <v>1739</v>
      </c>
      <c r="F4461" t="s">
        <v>24</v>
      </c>
      <c r="G4461" t="s">
        <v>25</v>
      </c>
      <c r="H4461" t="s">
        <v>26</v>
      </c>
      <c r="I4461" t="s">
        <v>27</v>
      </c>
      <c r="J4461" t="s">
        <v>110</v>
      </c>
      <c r="K4461">
        <v>1</v>
      </c>
      <c r="L4461" s="2">
        <v>19.41</v>
      </c>
      <c r="M4461" s="3">
        <v>0.15</v>
      </c>
      <c r="N4461" t="s">
        <v>34</v>
      </c>
      <c r="O4461" s="2">
        <v>16.5</v>
      </c>
      <c r="P4461" s="2">
        <v>10.11</v>
      </c>
      <c r="Q4461" s="2">
        <v>6.39</v>
      </c>
      <c r="R4461">
        <v>1</v>
      </c>
      <c r="S4461">
        <v>0</v>
      </c>
      <c r="T4461">
        <v>5</v>
      </c>
      <c r="U4461">
        <v>5</v>
      </c>
    </row>
    <row r="4462" spans="1:21" ht="16.5" x14ac:dyDescent="0.3">
      <c r="A4462" t="s">
        <v>4550</v>
      </c>
      <c r="B4462" s="1">
        <v>45939</v>
      </c>
      <c r="C4462">
        <v>2025</v>
      </c>
      <c r="D4462" t="s">
        <v>1738</v>
      </c>
      <c r="E4462" t="s">
        <v>1739</v>
      </c>
      <c r="F4462" t="s">
        <v>24</v>
      </c>
      <c r="G4462" t="s">
        <v>49</v>
      </c>
      <c r="H4462" t="s">
        <v>32</v>
      </c>
      <c r="I4462" t="s">
        <v>27</v>
      </c>
      <c r="J4462" t="s">
        <v>110</v>
      </c>
      <c r="K4462">
        <v>1</v>
      </c>
      <c r="L4462" s="2">
        <v>19.41</v>
      </c>
      <c r="M4462" s="3">
        <v>0.05</v>
      </c>
      <c r="N4462" t="s">
        <v>29</v>
      </c>
      <c r="O4462" s="2">
        <v>18.440000000000001</v>
      </c>
      <c r="P4462" s="2">
        <v>10.17</v>
      </c>
      <c r="Q4462" s="2">
        <v>8.27</v>
      </c>
      <c r="R4462">
        <v>1</v>
      </c>
      <c r="S4462">
        <v>1</v>
      </c>
      <c r="T4462">
        <v>4</v>
      </c>
      <c r="U4462">
        <v>3</v>
      </c>
    </row>
    <row r="4463" spans="1:21" ht="16.5" x14ac:dyDescent="0.3">
      <c r="A4463" t="s">
        <v>4551</v>
      </c>
      <c r="B4463" s="1">
        <v>45939</v>
      </c>
      <c r="C4463">
        <v>2025</v>
      </c>
      <c r="D4463" t="s">
        <v>1738</v>
      </c>
      <c r="E4463" t="s">
        <v>1739</v>
      </c>
      <c r="F4463" t="s">
        <v>31</v>
      </c>
      <c r="G4463" t="s">
        <v>51</v>
      </c>
      <c r="H4463" t="s">
        <v>32</v>
      </c>
      <c r="I4463" t="s">
        <v>27</v>
      </c>
      <c r="J4463" t="s">
        <v>28</v>
      </c>
      <c r="K4463">
        <v>1</v>
      </c>
      <c r="L4463" s="2">
        <v>138.5</v>
      </c>
      <c r="M4463" s="3">
        <v>0.05</v>
      </c>
      <c r="N4463" t="s">
        <v>29</v>
      </c>
      <c r="O4463" s="2">
        <v>131.57</v>
      </c>
      <c r="P4463" s="2">
        <v>74.09</v>
      </c>
      <c r="Q4463" s="2">
        <v>57.48</v>
      </c>
      <c r="R4463">
        <v>1</v>
      </c>
      <c r="S4463">
        <v>0</v>
      </c>
      <c r="T4463">
        <v>2</v>
      </c>
      <c r="U4463">
        <v>4</v>
      </c>
    </row>
    <row r="4464" spans="1:21" ht="16.5" x14ac:dyDescent="0.3">
      <c r="A4464" t="s">
        <v>4552</v>
      </c>
      <c r="B4464" s="1">
        <v>45939</v>
      </c>
      <c r="C4464">
        <v>2025</v>
      </c>
      <c r="D4464" t="s">
        <v>1738</v>
      </c>
      <c r="E4464" t="s">
        <v>1739</v>
      </c>
      <c r="F4464" t="s">
        <v>31</v>
      </c>
      <c r="G4464" t="s">
        <v>51</v>
      </c>
      <c r="H4464" t="s">
        <v>32</v>
      </c>
      <c r="I4464" t="s">
        <v>36</v>
      </c>
      <c r="J4464" t="s">
        <v>52</v>
      </c>
      <c r="K4464">
        <v>2</v>
      </c>
      <c r="L4464" s="2">
        <v>92.54</v>
      </c>
      <c r="M4464" s="3">
        <v>0.05</v>
      </c>
      <c r="N4464" t="s">
        <v>29</v>
      </c>
      <c r="O4464" s="2">
        <v>175.83</v>
      </c>
      <c r="P4464" s="2">
        <v>87.16</v>
      </c>
      <c r="Q4464" s="2">
        <v>88.67</v>
      </c>
      <c r="R4464">
        <v>1</v>
      </c>
      <c r="S4464">
        <v>0</v>
      </c>
      <c r="T4464">
        <v>3</v>
      </c>
      <c r="U4464">
        <v>4</v>
      </c>
    </row>
    <row r="4465" spans="1:21" ht="16.5" x14ac:dyDescent="0.3">
      <c r="A4465" t="s">
        <v>4553</v>
      </c>
      <c r="B4465" s="1">
        <v>45939</v>
      </c>
      <c r="C4465">
        <v>2025</v>
      </c>
      <c r="D4465" t="s">
        <v>1738</v>
      </c>
      <c r="E4465" t="s">
        <v>1739</v>
      </c>
      <c r="F4465" t="s">
        <v>31</v>
      </c>
      <c r="G4465" t="s">
        <v>49</v>
      </c>
      <c r="H4465" t="s">
        <v>32</v>
      </c>
      <c r="I4465" t="s">
        <v>67</v>
      </c>
      <c r="J4465" t="s">
        <v>68</v>
      </c>
      <c r="K4465">
        <v>1</v>
      </c>
      <c r="L4465" s="2">
        <v>74.459999999999994</v>
      </c>
      <c r="M4465" s="3">
        <v>0</v>
      </c>
      <c r="N4465" t="s">
        <v>38</v>
      </c>
      <c r="O4465" s="2">
        <v>74.459999999999994</v>
      </c>
      <c r="P4465" s="2">
        <v>48.86</v>
      </c>
      <c r="Q4465" s="2">
        <v>25.6</v>
      </c>
      <c r="R4465">
        <v>1</v>
      </c>
      <c r="S4465">
        <v>0</v>
      </c>
      <c r="T4465">
        <v>3</v>
      </c>
      <c r="U4465">
        <v>4</v>
      </c>
    </row>
    <row r="4466" spans="1:21" ht="16.5" x14ac:dyDescent="0.3">
      <c r="A4466" t="s">
        <v>4554</v>
      </c>
      <c r="B4466" s="1">
        <v>45939</v>
      </c>
      <c r="C4466">
        <v>2025</v>
      </c>
      <c r="D4466" t="s">
        <v>1738</v>
      </c>
      <c r="E4466" t="s">
        <v>1739</v>
      </c>
      <c r="F4466" t="s">
        <v>31</v>
      </c>
      <c r="G4466" t="s">
        <v>25</v>
      </c>
      <c r="H4466" t="s">
        <v>26</v>
      </c>
      <c r="I4466" t="s">
        <v>67</v>
      </c>
      <c r="J4466" t="s">
        <v>78</v>
      </c>
      <c r="K4466">
        <v>1</v>
      </c>
      <c r="L4466" s="2">
        <v>85.42</v>
      </c>
      <c r="M4466" s="3">
        <v>0</v>
      </c>
      <c r="N4466" t="s">
        <v>38</v>
      </c>
      <c r="O4466" s="2">
        <v>85.42</v>
      </c>
      <c r="P4466" s="2">
        <v>54.21</v>
      </c>
      <c r="Q4466" s="2">
        <v>31.21</v>
      </c>
      <c r="R4466">
        <v>1</v>
      </c>
      <c r="S4466">
        <v>0</v>
      </c>
      <c r="T4466">
        <v>3</v>
      </c>
      <c r="U4466">
        <v>5</v>
      </c>
    </row>
    <row r="4467" spans="1:21" ht="16.5" x14ac:dyDescent="0.3">
      <c r="A4467" t="s">
        <v>4555</v>
      </c>
      <c r="B4467" s="1">
        <v>45939</v>
      </c>
      <c r="C4467">
        <v>2025</v>
      </c>
      <c r="D4467" t="s">
        <v>1738</v>
      </c>
      <c r="E4467" t="s">
        <v>1739</v>
      </c>
      <c r="F4467" t="s">
        <v>31</v>
      </c>
      <c r="G4467" t="s">
        <v>25</v>
      </c>
      <c r="H4467" t="s">
        <v>26</v>
      </c>
      <c r="I4467" t="s">
        <v>67</v>
      </c>
      <c r="J4467" t="s">
        <v>93</v>
      </c>
      <c r="K4467">
        <v>1</v>
      </c>
      <c r="L4467" s="2">
        <v>198.42</v>
      </c>
      <c r="M4467" s="3">
        <v>0</v>
      </c>
      <c r="N4467" t="s">
        <v>38</v>
      </c>
      <c r="O4467" s="2">
        <v>198.42</v>
      </c>
      <c r="P4467" s="2">
        <v>133.71</v>
      </c>
      <c r="Q4467" s="2">
        <v>64.709999999999994</v>
      </c>
      <c r="R4467">
        <v>1</v>
      </c>
      <c r="S4467">
        <v>0</v>
      </c>
      <c r="T4467">
        <v>4</v>
      </c>
      <c r="U4467">
        <v>3</v>
      </c>
    </row>
    <row r="4468" spans="1:21" ht="16.5" x14ac:dyDescent="0.3">
      <c r="A4468" t="s">
        <v>4556</v>
      </c>
      <c r="B4468" s="1">
        <v>45939</v>
      </c>
      <c r="C4468">
        <v>2025</v>
      </c>
      <c r="D4468" t="s">
        <v>1738</v>
      </c>
      <c r="E4468" t="s">
        <v>1739</v>
      </c>
      <c r="F4468" t="s">
        <v>31</v>
      </c>
      <c r="G4468" t="s">
        <v>25</v>
      </c>
      <c r="H4468" t="s">
        <v>32</v>
      </c>
      <c r="I4468" t="s">
        <v>84</v>
      </c>
      <c r="J4468" t="s">
        <v>132</v>
      </c>
      <c r="K4468">
        <v>1</v>
      </c>
      <c r="L4468" s="2">
        <v>48.86</v>
      </c>
      <c r="M4468" s="3">
        <v>0.15</v>
      </c>
      <c r="N4468" t="s">
        <v>34</v>
      </c>
      <c r="O4468" s="2">
        <v>41.53</v>
      </c>
      <c r="P4468" s="2">
        <v>33.79</v>
      </c>
      <c r="Q4468" s="2">
        <v>7.74</v>
      </c>
      <c r="R4468">
        <v>1</v>
      </c>
      <c r="S4468">
        <v>0</v>
      </c>
      <c r="T4468">
        <v>4</v>
      </c>
      <c r="U4468">
        <v>4</v>
      </c>
    </row>
    <row r="4469" spans="1:21" ht="16.5" x14ac:dyDescent="0.3">
      <c r="A4469" t="s">
        <v>4557</v>
      </c>
      <c r="B4469" s="1">
        <v>45940</v>
      </c>
      <c r="C4469">
        <v>2025</v>
      </c>
      <c r="D4469" t="s">
        <v>1738</v>
      </c>
      <c r="E4469" t="s">
        <v>1739</v>
      </c>
      <c r="F4469" t="s">
        <v>24</v>
      </c>
      <c r="G4469" t="s">
        <v>25</v>
      </c>
      <c r="H4469" t="s">
        <v>32</v>
      </c>
      <c r="I4469" t="s">
        <v>70</v>
      </c>
      <c r="J4469" t="s">
        <v>129</v>
      </c>
      <c r="K4469">
        <v>2</v>
      </c>
      <c r="L4469" s="2">
        <v>177.65</v>
      </c>
      <c r="M4469" s="3">
        <v>0.1</v>
      </c>
      <c r="N4469" t="s">
        <v>29</v>
      </c>
      <c r="O4469" s="2">
        <v>319.77</v>
      </c>
      <c r="P4469" s="2">
        <v>298.5</v>
      </c>
      <c r="Q4469" s="2">
        <v>21.27</v>
      </c>
      <c r="R4469">
        <v>1</v>
      </c>
      <c r="S4469">
        <v>0</v>
      </c>
      <c r="T4469">
        <v>7</v>
      </c>
      <c r="U4469">
        <v>3</v>
      </c>
    </row>
    <row r="4470" spans="1:21" ht="16.5" x14ac:dyDescent="0.3">
      <c r="A4470" t="s">
        <v>4558</v>
      </c>
      <c r="B4470" s="1">
        <v>45940</v>
      </c>
      <c r="C4470">
        <v>2025</v>
      </c>
      <c r="D4470" t="s">
        <v>1738</v>
      </c>
      <c r="E4470" t="s">
        <v>1739</v>
      </c>
      <c r="F4470" t="s">
        <v>24</v>
      </c>
      <c r="G4470" t="s">
        <v>25</v>
      </c>
      <c r="H4470" t="s">
        <v>26</v>
      </c>
      <c r="I4470" t="s">
        <v>67</v>
      </c>
      <c r="J4470" t="s">
        <v>93</v>
      </c>
      <c r="K4470">
        <v>1</v>
      </c>
      <c r="L4470" s="2">
        <v>198.42</v>
      </c>
      <c r="M4470" s="3">
        <v>0.15</v>
      </c>
      <c r="N4470" t="s">
        <v>34</v>
      </c>
      <c r="O4470" s="2">
        <v>168.66</v>
      </c>
      <c r="P4470" s="2">
        <v>132.18</v>
      </c>
      <c r="Q4470" s="2">
        <v>36.479999999999997</v>
      </c>
      <c r="R4470">
        <v>1</v>
      </c>
      <c r="S4470">
        <v>0</v>
      </c>
      <c r="T4470">
        <v>4</v>
      </c>
      <c r="U4470">
        <v>4</v>
      </c>
    </row>
    <row r="4471" spans="1:21" ht="16.5" x14ac:dyDescent="0.3">
      <c r="A4471" t="s">
        <v>4559</v>
      </c>
      <c r="B4471" s="1">
        <v>45940</v>
      </c>
      <c r="C4471">
        <v>2025</v>
      </c>
      <c r="D4471" t="s">
        <v>1738</v>
      </c>
      <c r="E4471" t="s">
        <v>1739</v>
      </c>
      <c r="F4471" t="s">
        <v>45</v>
      </c>
      <c r="G4471" t="s">
        <v>51</v>
      </c>
      <c r="H4471" t="s">
        <v>32</v>
      </c>
      <c r="I4471" t="s">
        <v>70</v>
      </c>
      <c r="J4471" t="s">
        <v>129</v>
      </c>
      <c r="K4471">
        <v>1</v>
      </c>
      <c r="L4471" s="2">
        <v>177.65</v>
      </c>
      <c r="M4471" s="3">
        <v>0.2</v>
      </c>
      <c r="N4471" t="s">
        <v>34</v>
      </c>
      <c r="O4471" s="2">
        <v>142.12</v>
      </c>
      <c r="P4471" s="2">
        <v>150.28</v>
      </c>
      <c r="Q4471" s="2">
        <v>-8.16</v>
      </c>
      <c r="R4471">
        <v>1</v>
      </c>
      <c r="S4471">
        <v>0</v>
      </c>
      <c r="T4471">
        <v>3</v>
      </c>
      <c r="U4471">
        <v>4</v>
      </c>
    </row>
    <row r="4472" spans="1:21" ht="16.5" x14ac:dyDescent="0.3">
      <c r="A4472" t="s">
        <v>4560</v>
      </c>
      <c r="B4472" s="1">
        <v>45940</v>
      </c>
      <c r="C4472">
        <v>2025</v>
      </c>
      <c r="D4472" t="s">
        <v>1738</v>
      </c>
      <c r="E4472" t="s">
        <v>1739</v>
      </c>
      <c r="F4472" t="s">
        <v>24</v>
      </c>
      <c r="G4472" t="s">
        <v>51</v>
      </c>
      <c r="H4472" t="s">
        <v>32</v>
      </c>
      <c r="I4472" t="s">
        <v>70</v>
      </c>
      <c r="J4472" t="s">
        <v>162</v>
      </c>
      <c r="K4472">
        <v>2</v>
      </c>
      <c r="L4472" s="2">
        <v>636.09</v>
      </c>
      <c r="M4472" s="3">
        <v>0.1</v>
      </c>
      <c r="N4472" t="s">
        <v>29</v>
      </c>
      <c r="O4472" s="2">
        <v>1144.96</v>
      </c>
      <c r="P4472" s="2">
        <v>1031.9100000000001</v>
      </c>
      <c r="Q4472" s="2">
        <v>113.05</v>
      </c>
      <c r="R4472">
        <v>1</v>
      </c>
      <c r="S4472">
        <v>0</v>
      </c>
      <c r="T4472">
        <v>3</v>
      </c>
      <c r="U4472">
        <v>5</v>
      </c>
    </row>
    <row r="4473" spans="1:21" ht="16.5" x14ac:dyDescent="0.3">
      <c r="A4473" t="s">
        <v>4561</v>
      </c>
      <c r="B4473" s="1">
        <v>45940</v>
      </c>
      <c r="C4473">
        <v>2025</v>
      </c>
      <c r="D4473" t="s">
        <v>1738</v>
      </c>
      <c r="E4473" t="s">
        <v>1739</v>
      </c>
      <c r="F4473" t="s">
        <v>24</v>
      </c>
      <c r="G4473" t="s">
        <v>51</v>
      </c>
      <c r="H4473" t="s">
        <v>32</v>
      </c>
      <c r="I4473" t="s">
        <v>42</v>
      </c>
      <c r="J4473" t="s">
        <v>58</v>
      </c>
      <c r="K4473">
        <v>1</v>
      </c>
      <c r="L4473" s="2">
        <v>233.81</v>
      </c>
      <c r="M4473" s="3">
        <v>0</v>
      </c>
      <c r="N4473" t="s">
        <v>38</v>
      </c>
      <c r="O4473" s="2">
        <v>233.81</v>
      </c>
      <c r="P4473" s="2">
        <v>149.11000000000001</v>
      </c>
      <c r="Q4473" s="2">
        <v>84.7</v>
      </c>
      <c r="R4473">
        <v>1</v>
      </c>
      <c r="S4473">
        <v>0</v>
      </c>
      <c r="T4473">
        <v>2</v>
      </c>
      <c r="U4473">
        <v>5</v>
      </c>
    </row>
    <row r="4474" spans="1:21" ht="16.5" x14ac:dyDescent="0.3">
      <c r="A4474" t="s">
        <v>4562</v>
      </c>
      <c r="B4474" s="1">
        <v>45940</v>
      </c>
      <c r="C4474">
        <v>2025</v>
      </c>
      <c r="D4474" t="s">
        <v>1738</v>
      </c>
      <c r="E4474" t="s">
        <v>1739</v>
      </c>
      <c r="F4474" t="s">
        <v>45</v>
      </c>
      <c r="G4474" t="s">
        <v>65</v>
      </c>
      <c r="H4474" t="s">
        <v>32</v>
      </c>
      <c r="I4474" t="s">
        <v>42</v>
      </c>
      <c r="J4474" t="s">
        <v>58</v>
      </c>
      <c r="K4474">
        <v>1</v>
      </c>
      <c r="L4474" s="2">
        <v>233.81</v>
      </c>
      <c r="M4474" s="3">
        <v>0.05</v>
      </c>
      <c r="N4474" t="s">
        <v>29</v>
      </c>
      <c r="O4474" s="2">
        <v>222.12</v>
      </c>
      <c r="P4474" s="2">
        <v>151.91</v>
      </c>
      <c r="Q4474" s="2">
        <v>70.209999999999994</v>
      </c>
      <c r="R4474">
        <v>1</v>
      </c>
      <c r="S4474">
        <v>0</v>
      </c>
      <c r="T4474">
        <v>5</v>
      </c>
      <c r="U4474">
        <v>4</v>
      </c>
    </row>
    <row r="4475" spans="1:21" ht="16.5" x14ac:dyDescent="0.3">
      <c r="A4475" t="s">
        <v>4563</v>
      </c>
      <c r="B4475" s="1">
        <v>45941</v>
      </c>
      <c r="C4475">
        <v>2025</v>
      </c>
      <c r="D4475" t="s">
        <v>1738</v>
      </c>
      <c r="E4475" t="s">
        <v>1739</v>
      </c>
      <c r="F4475" t="s">
        <v>31</v>
      </c>
      <c r="G4475" t="s">
        <v>49</v>
      </c>
      <c r="H4475" t="s">
        <v>32</v>
      </c>
      <c r="I4475" t="s">
        <v>70</v>
      </c>
      <c r="J4475" t="s">
        <v>252</v>
      </c>
      <c r="K4475">
        <v>2</v>
      </c>
      <c r="L4475" s="2">
        <v>216.08</v>
      </c>
      <c r="M4475" s="3">
        <v>0.25</v>
      </c>
      <c r="N4475" t="s">
        <v>62</v>
      </c>
      <c r="O4475" s="2">
        <v>324.12</v>
      </c>
      <c r="P4475" s="2">
        <v>322.67</v>
      </c>
      <c r="Q4475" s="2">
        <v>1.45</v>
      </c>
      <c r="R4475">
        <v>1</v>
      </c>
      <c r="S4475">
        <v>0</v>
      </c>
      <c r="T4475">
        <v>7</v>
      </c>
      <c r="U4475">
        <v>3</v>
      </c>
    </row>
    <row r="4476" spans="1:21" ht="16.5" x14ac:dyDescent="0.3">
      <c r="A4476" t="s">
        <v>4564</v>
      </c>
      <c r="B4476" s="1">
        <v>45941</v>
      </c>
      <c r="C4476">
        <v>2025</v>
      </c>
      <c r="D4476" t="s">
        <v>1738</v>
      </c>
      <c r="E4476" t="s">
        <v>1739</v>
      </c>
      <c r="F4476" t="s">
        <v>45</v>
      </c>
      <c r="G4476" t="s">
        <v>49</v>
      </c>
      <c r="H4476" t="s">
        <v>32</v>
      </c>
      <c r="I4476" t="s">
        <v>42</v>
      </c>
      <c r="J4476" t="s">
        <v>89</v>
      </c>
      <c r="K4476">
        <v>1</v>
      </c>
      <c r="L4476" s="2">
        <v>68.349999999999994</v>
      </c>
      <c r="M4476" s="3">
        <v>0.05</v>
      </c>
      <c r="N4476" t="s">
        <v>29</v>
      </c>
      <c r="O4476" s="2">
        <v>64.930000000000007</v>
      </c>
      <c r="P4476" s="2">
        <v>44.82</v>
      </c>
      <c r="Q4476" s="2">
        <v>20.11</v>
      </c>
      <c r="R4476">
        <v>1</v>
      </c>
      <c r="S4476">
        <v>1</v>
      </c>
      <c r="T4476">
        <v>3</v>
      </c>
      <c r="U4476">
        <v>3</v>
      </c>
    </row>
    <row r="4477" spans="1:21" ht="16.5" x14ac:dyDescent="0.3">
      <c r="A4477" t="s">
        <v>4565</v>
      </c>
      <c r="B4477" s="1">
        <v>45941</v>
      </c>
      <c r="C4477">
        <v>2025</v>
      </c>
      <c r="D4477" t="s">
        <v>1738</v>
      </c>
      <c r="E4477" t="s">
        <v>1739</v>
      </c>
      <c r="F4477" t="s">
        <v>31</v>
      </c>
      <c r="G4477" t="s">
        <v>51</v>
      </c>
      <c r="H4477" t="s">
        <v>26</v>
      </c>
      <c r="I4477" t="s">
        <v>27</v>
      </c>
      <c r="J4477" t="s">
        <v>40</v>
      </c>
      <c r="K4477">
        <v>1</v>
      </c>
      <c r="L4477" s="2">
        <v>104.94</v>
      </c>
      <c r="M4477" s="3">
        <v>0.2</v>
      </c>
      <c r="N4477" t="s">
        <v>34</v>
      </c>
      <c r="O4477" s="2">
        <v>83.95</v>
      </c>
      <c r="P4477" s="2">
        <v>55.82</v>
      </c>
      <c r="Q4477" s="2">
        <v>28.13</v>
      </c>
      <c r="R4477">
        <v>1</v>
      </c>
      <c r="S4477">
        <v>0</v>
      </c>
      <c r="T4477">
        <v>2</v>
      </c>
      <c r="U4477">
        <v>5</v>
      </c>
    </row>
    <row r="4478" spans="1:21" ht="16.5" x14ac:dyDescent="0.3">
      <c r="A4478" t="s">
        <v>4566</v>
      </c>
      <c r="B4478" s="1">
        <v>45941</v>
      </c>
      <c r="C4478">
        <v>2025</v>
      </c>
      <c r="D4478" t="s">
        <v>1738</v>
      </c>
      <c r="E4478" t="s">
        <v>1739</v>
      </c>
      <c r="F4478" t="s">
        <v>31</v>
      </c>
      <c r="G4478" t="s">
        <v>65</v>
      </c>
      <c r="H4478" t="s">
        <v>26</v>
      </c>
      <c r="I4478" t="s">
        <v>27</v>
      </c>
      <c r="J4478" t="s">
        <v>28</v>
      </c>
      <c r="K4478">
        <v>3</v>
      </c>
      <c r="L4478" s="2">
        <v>138.5</v>
      </c>
      <c r="M4478" s="3">
        <v>0</v>
      </c>
      <c r="N4478" t="s">
        <v>38</v>
      </c>
      <c r="O4478" s="2">
        <v>415.5</v>
      </c>
      <c r="P4478" s="2">
        <v>227.07</v>
      </c>
      <c r="Q4478" s="2">
        <v>188.43</v>
      </c>
      <c r="R4478">
        <v>1</v>
      </c>
      <c r="S4478">
        <v>0</v>
      </c>
      <c r="T4478">
        <v>5</v>
      </c>
      <c r="U4478">
        <v>5</v>
      </c>
    </row>
    <row r="4479" spans="1:21" ht="16.5" x14ac:dyDescent="0.3">
      <c r="A4479" t="s">
        <v>4567</v>
      </c>
      <c r="B4479" s="1">
        <v>45942</v>
      </c>
      <c r="C4479">
        <v>2025</v>
      </c>
      <c r="D4479" t="s">
        <v>1738</v>
      </c>
      <c r="E4479" t="s">
        <v>1739</v>
      </c>
      <c r="F4479" t="s">
        <v>45</v>
      </c>
      <c r="G4479" t="s">
        <v>65</v>
      </c>
      <c r="H4479" t="s">
        <v>26</v>
      </c>
      <c r="I4479" t="s">
        <v>27</v>
      </c>
      <c r="J4479" t="s">
        <v>40</v>
      </c>
      <c r="K4479">
        <v>2</v>
      </c>
      <c r="L4479" s="2">
        <v>104.94</v>
      </c>
      <c r="M4479" s="3">
        <v>0.05</v>
      </c>
      <c r="N4479" t="s">
        <v>29</v>
      </c>
      <c r="O4479" s="2">
        <v>199.39</v>
      </c>
      <c r="P4479" s="2">
        <v>110.21</v>
      </c>
      <c r="Q4479" s="2">
        <v>89.18</v>
      </c>
      <c r="R4479">
        <v>1</v>
      </c>
      <c r="S4479">
        <v>0</v>
      </c>
      <c r="T4479">
        <v>7</v>
      </c>
      <c r="U4479">
        <v>3</v>
      </c>
    </row>
    <row r="4480" spans="1:21" ht="16.5" x14ac:dyDescent="0.3">
      <c r="A4480" t="s">
        <v>4568</v>
      </c>
      <c r="B4480" s="1">
        <v>45942</v>
      </c>
      <c r="C4480">
        <v>2025</v>
      </c>
      <c r="D4480" t="s">
        <v>1738</v>
      </c>
      <c r="E4480" t="s">
        <v>1739</v>
      </c>
      <c r="F4480" t="s">
        <v>31</v>
      </c>
      <c r="G4480" t="s">
        <v>46</v>
      </c>
      <c r="H4480" t="s">
        <v>32</v>
      </c>
      <c r="I4480" t="s">
        <v>67</v>
      </c>
      <c r="J4480" t="s">
        <v>78</v>
      </c>
      <c r="K4480">
        <v>1</v>
      </c>
      <c r="L4480" s="2">
        <v>85.42</v>
      </c>
      <c r="M4480" s="3">
        <v>0.05</v>
      </c>
      <c r="N4480" t="s">
        <v>29</v>
      </c>
      <c r="O4480" s="2">
        <v>81.150000000000006</v>
      </c>
      <c r="P4480" s="2">
        <v>59.8</v>
      </c>
      <c r="Q4480" s="2">
        <v>21.35</v>
      </c>
      <c r="R4480">
        <v>1</v>
      </c>
      <c r="S4480">
        <v>0</v>
      </c>
      <c r="T4480">
        <v>6</v>
      </c>
      <c r="U4480">
        <v>4</v>
      </c>
    </row>
    <row r="4481" spans="1:21" ht="16.5" x14ac:dyDescent="0.3">
      <c r="A4481" t="s">
        <v>4569</v>
      </c>
      <c r="B4481" s="1">
        <v>45942</v>
      </c>
      <c r="C4481">
        <v>2025</v>
      </c>
      <c r="D4481" t="s">
        <v>1738</v>
      </c>
      <c r="E4481" t="s">
        <v>1739</v>
      </c>
      <c r="F4481" t="s">
        <v>31</v>
      </c>
      <c r="G4481" t="s">
        <v>65</v>
      </c>
      <c r="H4481" t="s">
        <v>26</v>
      </c>
      <c r="I4481" t="s">
        <v>36</v>
      </c>
      <c r="J4481" t="s">
        <v>126</v>
      </c>
      <c r="K4481">
        <v>1</v>
      </c>
      <c r="L4481" s="2">
        <v>54.56</v>
      </c>
      <c r="M4481" s="3">
        <v>0.15</v>
      </c>
      <c r="N4481" t="s">
        <v>34</v>
      </c>
      <c r="O4481" s="2">
        <v>46.38</v>
      </c>
      <c r="P4481" s="2">
        <v>26.82</v>
      </c>
      <c r="Q4481" s="2">
        <v>19.559999999999999</v>
      </c>
      <c r="R4481">
        <v>1</v>
      </c>
      <c r="S4481">
        <v>0</v>
      </c>
      <c r="T4481">
        <v>6</v>
      </c>
      <c r="U4481">
        <v>3</v>
      </c>
    </row>
    <row r="4482" spans="1:21" ht="16.5" x14ac:dyDescent="0.3">
      <c r="A4482" t="s">
        <v>4570</v>
      </c>
      <c r="B4482" s="1">
        <v>45942</v>
      </c>
      <c r="C4482">
        <v>2025</v>
      </c>
      <c r="D4482" t="s">
        <v>1738</v>
      </c>
      <c r="E4482" t="s">
        <v>1739</v>
      </c>
      <c r="F4482" t="s">
        <v>24</v>
      </c>
      <c r="G4482" t="s">
        <v>51</v>
      </c>
      <c r="H4482" t="s">
        <v>32</v>
      </c>
      <c r="I4482" t="s">
        <v>70</v>
      </c>
      <c r="J4482" t="s">
        <v>252</v>
      </c>
      <c r="K4482">
        <v>2</v>
      </c>
      <c r="L4482" s="2">
        <v>216.08</v>
      </c>
      <c r="M4482" s="3">
        <v>0.1</v>
      </c>
      <c r="N4482" t="s">
        <v>29</v>
      </c>
      <c r="O4482" s="2">
        <v>388.94</v>
      </c>
      <c r="P4482" s="2">
        <v>361.45</v>
      </c>
      <c r="Q4482" s="2">
        <v>27.49</v>
      </c>
      <c r="R4482">
        <v>1</v>
      </c>
      <c r="S4482">
        <v>0</v>
      </c>
      <c r="T4482">
        <v>4</v>
      </c>
      <c r="U4482">
        <v>5</v>
      </c>
    </row>
    <row r="4483" spans="1:21" ht="16.5" x14ac:dyDescent="0.3">
      <c r="A4483" t="s">
        <v>4571</v>
      </c>
      <c r="B4483" s="1">
        <v>45942</v>
      </c>
      <c r="C4483">
        <v>2025</v>
      </c>
      <c r="D4483" t="s">
        <v>1738</v>
      </c>
      <c r="E4483" t="s">
        <v>1739</v>
      </c>
      <c r="F4483" t="s">
        <v>31</v>
      </c>
      <c r="G4483" t="s">
        <v>51</v>
      </c>
      <c r="H4483" t="s">
        <v>26</v>
      </c>
      <c r="I4483" t="s">
        <v>27</v>
      </c>
      <c r="J4483" t="s">
        <v>40</v>
      </c>
      <c r="K4483">
        <v>3</v>
      </c>
      <c r="L4483" s="2">
        <v>104.94</v>
      </c>
      <c r="M4483" s="3">
        <v>0</v>
      </c>
      <c r="N4483" t="s">
        <v>38</v>
      </c>
      <c r="O4483" s="2">
        <v>314.82</v>
      </c>
      <c r="P4483" s="2">
        <v>172.04</v>
      </c>
      <c r="Q4483" s="2">
        <v>142.78</v>
      </c>
      <c r="R4483">
        <v>1</v>
      </c>
      <c r="S4483">
        <v>0</v>
      </c>
      <c r="T4483">
        <v>3</v>
      </c>
      <c r="U4483">
        <v>5</v>
      </c>
    </row>
    <row r="4484" spans="1:21" ht="16.5" x14ac:dyDescent="0.3">
      <c r="A4484" t="s">
        <v>4572</v>
      </c>
      <c r="B4484" s="1">
        <v>45942</v>
      </c>
      <c r="C4484">
        <v>2025</v>
      </c>
      <c r="D4484" t="s">
        <v>1738</v>
      </c>
      <c r="E4484" t="s">
        <v>1739</v>
      </c>
      <c r="F4484" t="s">
        <v>24</v>
      </c>
      <c r="G4484" t="s">
        <v>51</v>
      </c>
      <c r="H4484" t="s">
        <v>26</v>
      </c>
      <c r="I4484" t="s">
        <v>70</v>
      </c>
      <c r="J4484" t="s">
        <v>71</v>
      </c>
      <c r="K4484">
        <v>2</v>
      </c>
      <c r="L4484" s="2">
        <v>588.41</v>
      </c>
      <c r="M4484" s="3">
        <v>0.05</v>
      </c>
      <c r="N4484" t="s">
        <v>29</v>
      </c>
      <c r="O4484" s="2">
        <v>1117.98</v>
      </c>
      <c r="P4484" s="2">
        <v>935.17</v>
      </c>
      <c r="Q4484" s="2">
        <v>182.81</v>
      </c>
      <c r="R4484">
        <v>1</v>
      </c>
      <c r="S4484">
        <v>0</v>
      </c>
      <c r="T4484">
        <v>4</v>
      </c>
      <c r="U4484">
        <v>3</v>
      </c>
    </row>
    <row r="4485" spans="1:21" ht="16.5" x14ac:dyDescent="0.3">
      <c r="A4485" t="s">
        <v>4573</v>
      </c>
      <c r="B4485" s="1">
        <v>45942</v>
      </c>
      <c r="C4485">
        <v>2025</v>
      </c>
      <c r="D4485" t="s">
        <v>1738</v>
      </c>
      <c r="E4485" t="s">
        <v>1739</v>
      </c>
      <c r="F4485" t="s">
        <v>31</v>
      </c>
      <c r="G4485" t="s">
        <v>46</v>
      </c>
      <c r="H4485" t="s">
        <v>32</v>
      </c>
      <c r="I4485" t="s">
        <v>70</v>
      </c>
      <c r="J4485" t="s">
        <v>71</v>
      </c>
      <c r="K4485">
        <v>2</v>
      </c>
      <c r="L4485" s="2">
        <v>588.41</v>
      </c>
      <c r="M4485" s="3">
        <v>0.2</v>
      </c>
      <c r="N4485" t="s">
        <v>34</v>
      </c>
      <c r="O4485" s="2">
        <v>941.46</v>
      </c>
      <c r="P4485" s="2">
        <v>922.9</v>
      </c>
      <c r="Q4485" s="2">
        <v>18.559999999999999</v>
      </c>
      <c r="R4485">
        <v>1</v>
      </c>
      <c r="S4485">
        <v>0</v>
      </c>
      <c r="T4485">
        <v>5</v>
      </c>
      <c r="U4485">
        <v>4</v>
      </c>
    </row>
    <row r="4486" spans="1:21" ht="16.5" x14ac:dyDescent="0.3">
      <c r="A4486" t="s">
        <v>4574</v>
      </c>
      <c r="B4486" s="1">
        <v>45942</v>
      </c>
      <c r="C4486">
        <v>2025</v>
      </c>
      <c r="D4486" t="s">
        <v>1738</v>
      </c>
      <c r="E4486" t="s">
        <v>1739</v>
      </c>
      <c r="F4486" t="s">
        <v>24</v>
      </c>
      <c r="G4486" t="s">
        <v>49</v>
      </c>
      <c r="H4486" t="s">
        <v>32</v>
      </c>
      <c r="I4486" t="s">
        <v>42</v>
      </c>
      <c r="J4486" t="s">
        <v>98</v>
      </c>
      <c r="K4486">
        <v>1</v>
      </c>
      <c r="L4486" s="2">
        <v>117.63</v>
      </c>
      <c r="M4486" s="3">
        <v>0.2</v>
      </c>
      <c r="N4486" t="s">
        <v>34</v>
      </c>
      <c r="O4486" s="2">
        <v>94.1</v>
      </c>
      <c r="P4486" s="2">
        <v>76.86</v>
      </c>
      <c r="Q4486" s="2">
        <v>17.239999999999998</v>
      </c>
      <c r="R4486">
        <v>1</v>
      </c>
      <c r="S4486">
        <v>0</v>
      </c>
      <c r="T4486">
        <v>3</v>
      </c>
      <c r="U4486">
        <v>5</v>
      </c>
    </row>
    <row r="4487" spans="1:21" ht="16.5" x14ac:dyDescent="0.3">
      <c r="A4487" t="s">
        <v>4575</v>
      </c>
      <c r="B4487" s="1">
        <v>45943</v>
      </c>
      <c r="C4487">
        <v>2025</v>
      </c>
      <c r="D4487" t="s">
        <v>1738</v>
      </c>
      <c r="E4487" t="s">
        <v>1739</v>
      </c>
      <c r="F4487" t="s">
        <v>24</v>
      </c>
      <c r="G4487" t="s">
        <v>51</v>
      </c>
      <c r="H4487" t="s">
        <v>32</v>
      </c>
      <c r="I4487" t="s">
        <v>27</v>
      </c>
      <c r="J4487" t="s">
        <v>28</v>
      </c>
      <c r="K4487">
        <v>1</v>
      </c>
      <c r="L4487" s="2">
        <v>138.5</v>
      </c>
      <c r="M4487" s="3">
        <v>0</v>
      </c>
      <c r="N4487" t="s">
        <v>38</v>
      </c>
      <c r="O4487" s="2">
        <v>138.5</v>
      </c>
      <c r="P4487" s="2">
        <v>73.7</v>
      </c>
      <c r="Q4487" s="2">
        <v>64.8</v>
      </c>
      <c r="R4487">
        <v>1</v>
      </c>
      <c r="S4487">
        <v>0</v>
      </c>
      <c r="T4487">
        <v>4</v>
      </c>
      <c r="U4487">
        <v>3</v>
      </c>
    </row>
    <row r="4488" spans="1:21" ht="16.5" x14ac:dyDescent="0.3">
      <c r="A4488" t="s">
        <v>4576</v>
      </c>
      <c r="B4488" s="1">
        <v>45943</v>
      </c>
      <c r="C4488">
        <v>2025</v>
      </c>
      <c r="D4488" t="s">
        <v>1738</v>
      </c>
      <c r="E4488" t="s">
        <v>1739</v>
      </c>
      <c r="F4488" t="s">
        <v>31</v>
      </c>
      <c r="G4488" t="s">
        <v>25</v>
      </c>
      <c r="H4488" t="s">
        <v>32</v>
      </c>
      <c r="I4488" t="s">
        <v>70</v>
      </c>
      <c r="J4488" t="s">
        <v>82</v>
      </c>
      <c r="K4488">
        <v>1</v>
      </c>
      <c r="L4488" s="2">
        <v>508.8</v>
      </c>
      <c r="M4488" s="3">
        <v>0.15</v>
      </c>
      <c r="N4488" t="s">
        <v>34</v>
      </c>
      <c r="O4488" s="2">
        <v>432.48</v>
      </c>
      <c r="P4488" s="2">
        <v>394.92</v>
      </c>
      <c r="Q4488" s="2">
        <v>37.56</v>
      </c>
      <c r="R4488">
        <v>1</v>
      </c>
      <c r="S4488">
        <v>0</v>
      </c>
      <c r="T4488">
        <v>3</v>
      </c>
      <c r="U4488">
        <v>4</v>
      </c>
    </row>
    <row r="4489" spans="1:21" ht="16.5" x14ac:dyDescent="0.3">
      <c r="A4489" t="s">
        <v>4577</v>
      </c>
      <c r="B4489" s="1">
        <v>45943</v>
      </c>
      <c r="C4489">
        <v>2025</v>
      </c>
      <c r="D4489" t="s">
        <v>1738</v>
      </c>
      <c r="E4489" t="s">
        <v>1739</v>
      </c>
      <c r="F4489" t="s">
        <v>31</v>
      </c>
      <c r="G4489" t="s">
        <v>65</v>
      </c>
      <c r="H4489" t="s">
        <v>32</v>
      </c>
      <c r="I4489" t="s">
        <v>84</v>
      </c>
      <c r="J4489" t="s">
        <v>96</v>
      </c>
      <c r="K4489">
        <v>1</v>
      </c>
      <c r="L4489" s="2">
        <v>10.76</v>
      </c>
      <c r="M4489" s="3">
        <v>0.1</v>
      </c>
      <c r="N4489" t="s">
        <v>29</v>
      </c>
      <c r="O4489" s="2">
        <v>9.68</v>
      </c>
      <c r="P4489" s="2">
        <v>7.45</v>
      </c>
      <c r="Q4489" s="2">
        <v>2.23</v>
      </c>
      <c r="R4489">
        <v>1</v>
      </c>
      <c r="S4489">
        <v>0</v>
      </c>
      <c r="T4489">
        <v>5</v>
      </c>
      <c r="U4489">
        <v>4</v>
      </c>
    </row>
    <row r="4490" spans="1:21" ht="16.5" x14ac:dyDescent="0.3">
      <c r="A4490" t="s">
        <v>4578</v>
      </c>
      <c r="B4490" s="1">
        <v>45943</v>
      </c>
      <c r="C4490">
        <v>2025</v>
      </c>
      <c r="D4490" t="s">
        <v>1738</v>
      </c>
      <c r="E4490" t="s">
        <v>1739</v>
      </c>
      <c r="F4490" t="s">
        <v>31</v>
      </c>
      <c r="G4490" t="s">
        <v>51</v>
      </c>
      <c r="H4490" t="s">
        <v>32</v>
      </c>
      <c r="I4490" t="s">
        <v>27</v>
      </c>
      <c r="J4490" t="s">
        <v>110</v>
      </c>
      <c r="K4490">
        <v>1</v>
      </c>
      <c r="L4490" s="2">
        <v>19.41</v>
      </c>
      <c r="M4490" s="3">
        <v>0</v>
      </c>
      <c r="N4490" t="s">
        <v>38</v>
      </c>
      <c r="O4490" s="2">
        <v>19.41</v>
      </c>
      <c r="P4490" s="2">
        <v>10.73</v>
      </c>
      <c r="Q4490" s="2">
        <v>8.68</v>
      </c>
      <c r="R4490">
        <v>1</v>
      </c>
      <c r="S4490">
        <v>0</v>
      </c>
      <c r="T4490">
        <v>3</v>
      </c>
      <c r="U4490">
        <v>4</v>
      </c>
    </row>
    <row r="4491" spans="1:21" ht="16.5" x14ac:dyDescent="0.3">
      <c r="A4491" t="s">
        <v>4579</v>
      </c>
      <c r="B4491" s="1">
        <v>45943</v>
      </c>
      <c r="C4491">
        <v>2025</v>
      </c>
      <c r="D4491" t="s">
        <v>1738</v>
      </c>
      <c r="E4491" t="s">
        <v>1739</v>
      </c>
      <c r="F4491" t="s">
        <v>45</v>
      </c>
      <c r="G4491" t="s">
        <v>49</v>
      </c>
      <c r="H4491" t="s">
        <v>26</v>
      </c>
      <c r="I4491" t="s">
        <v>67</v>
      </c>
      <c r="J4491" t="s">
        <v>103</v>
      </c>
      <c r="K4491">
        <v>1</v>
      </c>
      <c r="L4491" s="2">
        <v>83.06</v>
      </c>
      <c r="M4491" s="3">
        <v>0</v>
      </c>
      <c r="N4491" t="s">
        <v>38</v>
      </c>
      <c r="O4491" s="2">
        <v>83.06</v>
      </c>
      <c r="P4491" s="2">
        <v>58.4</v>
      </c>
      <c r="Q4491" s="2">
        <v>24.66</v>
      </c>
      <c r="R4491">
        <v>1</v>
      </c>
      <c r="S4491">
        <v>0</v>
      </c>
      <c r="T4491">
        <v>3</v>
      </c>
      <c r="U4491">
        <v>5</v>
      </c>
    </row>
    <row r="4492" spans="1:21" ht="16.5" x14ac:dyDescent="0.3">
      <c r="A4492" t="s">
        <v>4580</v>
      </c>
      <c r="B4492" s="1">
        <v>45943</v>
      </c>
      <c r="C4492">
        <v>2025</v>
      </c>
      <c r="D4492" t="s">
        <v>1738</v>
      </c>
      <c r="E4492" t="s">
        <v>1739</v>
      </c>
      <c r="F4492" t="s">
        <v>24</v>
      </c>
      <c r="G4492" t="s">
        <v>49</v>
      </c>
      <c r="H4492" t="s">
        <v>32</v>
      </c>
      <c r="I4492" t="s">
        <v>42</v>
      </c>
      <c r="J4492" t="s">
        <v>54</v>
      </c>
      <c r="K4492">
        <v>2</v>
      </c>
      <c r="L4492" s="2">
        <v>148.05000000000001</v>
      </c>
      <c r="M4492" s="3">
        <v>0.1</v>
      </c>
      <c r="N4492" t="s">
        <v>29</v>
      </c>
      <c r="O4492" s="2">
        <v>266.49</v>
      </c>
      <c r="P4492" s="2">
        <v>198.67</v>
      </c>
      <c r="Q4492" s="2">
        <v>67.819999999999993</v>
      </c>
      <c r="R4492">
        <v>1</v>
      </c>
      <c r="S4492">
        <v>0</v>
      </c>
      <c r="T4492">
        <v>4</v>
      </c>
      <c r="U4492">
        <v>5</v>
      </c>
    </row>
    <row r="4493" spans="1:21" ht="16.5" x14ac:dyDescent="0.3">
      <c r="A4493" t="s">
        <v>4581</v>
      </c>
      <c r="B4493" s="1">
        <v>45943</v>
      </c>
      <c r="C4493">
        <v>2025</v>
      </c>
      <c r="D4493" t="s">
        <v>1738</v>
      </c>
      <c r="E4493" t="s">
        <v>1739</v>
      </c>
      <c r="F4493" t="s">
        <v>24</v>
      </c>
      <c r="G4493" t="s">
        <v>25</v>
      </c>
      <c r="H4493" t="s">
        <v>32</v>
      </c>
      <c r="I4493" t="s">
        <v>27</v>
      </c>
      <c r="J4493" t="s">
        <v>110</v>
      </c>
      <c r="K4493">
        <v>1</v>
      </c>
      <c r="L4493" s="2">
        <v>19.41</v>
      </c>
      <c r="M4493" s="3">
        <v>0.15</v>
      </c>
      <c r="N4493" t="s">
        <v>34</v>
      </c>
      <c r="O4493" s="2">
        <v>16.5</v>
      </c>
      <c r="P4493" s="2">
        <v>10.53</v>
      </c>
      <c r="Q4493" s="2">
        <v>5.97</v>
      </c>
      <c r="R4493">
        <v>1</v>
      </c>
      <c r="S4493">
        <v>0</v>
      </c>
      <c r="T4493">
        <v>4</v>
      </c>
      <c r="U4493">
        <v>4</v>
      </c>
    </row>
    <row r="4494" spans="1:21" ht="16.5" x14ac:dyDescent="0.3">
      <c r="A4494" t="s">
        <v>4582</v>
      </c>
      <c r="B4494" s="1">
        <v>45943</v>
      </c>
      <c r="C4494">
        <v>2025</v>
      </c>
      <c r="D4494" t="s">
        <v>1738</v>
      </c>
      <c r="E4494" t="s">
        <v>1739</v>
      </c>
      <c r="F4494" t="s">
        <v>45</v>
      </c>
      <c r="G4494" t="s">
        <v>25</v>
      </c>
      <c r="H4494" t="s">
        <v>32</v>
      </c>
      <c r="I4494" t="s">
        <v>27</v>
      </c>
      <c r="J4494" t="s">
        <v>47</v>
      </c>
      <c r="K4494">
        <v>1</v>
      </c>
      <c r="L4494" s="2">
        <v>33.99</v>
      </c>
      <c r="M4494" s="3">
        <v>0.1</v>
      </c>
      <c r="N4494" t="s">
        <v>29</v>
      </c>
      <c r="O4494" s="2">
        <v>30.59</v>
      </c>
      <c r="P4494" s="2">
        <v>18.04</v>
      </c>
      <c r="Q4494" s="2">
        <v>12.55</v>
      </c>
      <c r="R4494">
        <v>1</v>
      </c>
      <c r="S4494">
        <v>1</v>
      </c>
      <c r="T4494">
        <v>4</v>
      </c>
      <c r="U4494">
        <v>4</v>
      </c>
    </row>
    <row r="4495" spans="1:21" ht="16.5" x14ac:dyDescent="0.3">
      <c r="A4495" t="s">
        <v>4583</v>
      </c>
      <c r="B4495" s="1">
        <v>45943</v>
      </c>
      <c r="C4495">
        <v>2025</v>
      </c>
      <c r="D4495" t="s">
        <v>1738</v>
      </c>
      <c r="E4495" t="s">
        <v>1739</v>
      </c>
      <c r="F4495" t="s">
        <v>24</v>
      </c>
      <c r="G4495" t="s">
        <v>25</v>
      </c>
      <c r="H4495" t="s">
        <v>32</v>
      </c>
      <c r="I4495" t="s">
        <v>67</v>
      </c>
      <c r="J4495" t="s">
        <v>78</v>
      </c>
      <c r="K4495">
        <v>1</v>
      </c>
      <c r="L4495" s="2">
        <v>85.42</v>
      </c>
      <c r="M4495" s="3">
        <v>0.15</v>
      </c>
      <c r="N4495" t="s">
        <v>34</v>
      </c>
      <c r="O4495" s="2">
        <v>72.61</v>
      </c>
      <c r="P4495" s="2">
        <v>56.34</v>
      </c>
      <c r="Q4495" s="2">
        <v>16.27</v>
      </c>
      <c r="R4495">
        <v>1</v>
      </c>
      <c r="S4495">
        <v>0</v>
      </c>
      <c r="T4495">
        <v>6</v>
      </c>
      <c r="U4495">
        <v>4</v>
      </c>
    </row>
    <row r="4496" spans="1:21" ht="16.5" x14ac:dyDescent="0.3">
      <c r="A4496" t="s">
        <v>4584</v>
      </c>
      <c r="B4496" s="1">
        <v>45943</v>
      </c>
      <c r="C4496">
        <v>2025</v>
      </c>
      <c r="D4496" t="s">
        <v>1738</v>
      </c>
      <c r="E4496" t="s">
        <v>1739</v>
      </c>
      <c r="F4496" t="s">
        <v>31</v>
      </c>
      <c r="G4496" t="s">
        <v>51</v>
      </c>
      <c r="H4496" t="s">
        <v>32</v>
      </c>
      <c r="I4496" t="s">
        <v>84</v>
      </c>
      <c r="J4496" t="s">
        <v>132</v>
      </c>
      <c r="K4496">
        <v>1</v>
      </c>
      <c r="L4496" s="2">
        <v>48.86</v>
      </c>
      <c r="M4496" s="3">
        <v>0.1</v>
      </c>
      <c r="N4496" t="s">
        <v>29</v>
      </c>
      <c r="O4496" s="2">
        <v>43.97</v>
      </c>
      <c r="P4496" s="2">
        <v>35.18</v>
      </c>
      <c r="Q4496" s="2">
        <v>8.7899999999999991</v>
      </c>
      <c r="R4496">
        <v>1</v>
      </c>
      <c r="S4496">
        <v>0</v>
      </c>
      <c r="T4496">
        <v>3</v>
      </c>
      <c r="U4496">
        <v>4</v>
      </c>
    </row>
    <row r="4497" spans="1:21" ht="16.5" x14ac:dyDescent="0.3">
      <c r="A4497" t="s">
        <v>4585</v>
      </c>
      <c r="B4497" s="1">
        <v>45944</v>
      </c>
      <c r="C4497">
        <v>2025</v>
      </c>
      <c r="D4497" t="s">
        <v>1738</v>
      </c>
      <c r="E4497" t="s">
        <v>1739</v>
      </c>
      <c r="F4497" t="s">
        <v>24</v>
      </c>
      <c r="G4497" t="s">
        <v>65</v>
      </c>
      <c r="H4497" t="s">
        <v>32</v>
      </c>
      <c r="I4497" t="s">
        <v>27</v>
      </c>
      <c r="J4497" t="s">
        <v>40</v>
      </c>
      <c r="K4497">
        <v>1</v>
      </c>
      <c r="L4497" s="2">
        <v>104.94</v>
      </c>
      <c r="M4497" s="3">
        <v>0.05</v>
      </c>
      <c r="N4497" t="s">
        <v>29</v>
      </c>
      <c r="O4497" s="2">
        <v>99.69</v>
      </c>
      <c r="P4497" s="2">
        <v>53.56</v>
      </c>
      <c r="Q4497" s="2">
        <v>46.13</v>
      </c>
      <c r="R4497">
        <v>1</v>
      </c>
      <c r="S4497">
        <v>0</v>
      </c>
      <c r="T4497">
        <v>5</v>
      </c>
      <c r="U4497">
        <v>5</v>
      </c>
    </row>
    <row r="4498" spans="1:21" ht="16.5" x14ac:dyDescent="0.3">
      <c r="A4498" t="s">
        <v>4586</v>
      </c>
      <c r="B4498" s="1">
        <v>45944</v>
      </c>
      <c r="C4498">
        <v>2025</v>
      </c>
      <c r="D4498" t="s">
        <v>1738</v>
      </c>
      <c r="E4498" t="s">
        <v>1739</v>
      </c>
      <c r="F4498" t="s">
        <v>31</v>
      </c>
      <c r="G4498" t="s">
        <v>49</v>
      </c>
      <c r="H4498" t="s">
        <v>32</v>
      </c>
      <c r="I4498" t="s">
        <v>70</v>
      </c>
      <c r="J4498" t="s">
        <v>162</v>
      </c>
      <c r="K4498">
        <v>1</v>
      </c>
      <c r="L4498" s="2">
        <v>636.09</v>
      </c>
      <c r="M4498" s="3">
        <v>0.05</v>
      </c>
      <c r="N4498" t="s">
        <v>29</v>
      </c>
      <c r="O4498" s="2">
        <v>604.29</v>
      </c>
      <c r="P4498" s="2">
        <v>499.12</v>
      </c>
      <c r="Q4498" s="2">
        <v>105.17</v>
      </c>
      <c r="R4498">
        <v>1</v>
      </c>
      <c r="S4498">
        <v>0</v>
      </c>
      <c r="T4498">
        <v>3</v>
      </c>
      <c r="U4498">
        <v>5</v>
      </c>
    </row>
    <row r="4499" spans="1:21" ht="16.5" x14ac:dyDescent="0.3">
      <c r="A4499" t="s">
        <v>4587</v>
      </c>
      <c r="B4499" s="1">
        <v>45944</v>
      </c>
      <c r="C4499">
        <v>2025</v>
      </c>
      <c r="D4499" t="s">
        <v>1738</v>
      </c>
      <c r="E4499" t="s">
        <v>1739</v>
      </c>
      <c r="F4499" t="s">
        <v>24</v>
      </c>
      <c r="G4499" t="s">
        <v>51</v>
      </c>
      <c r="H4499" t="s">
        <v>26</v>
      </c>
      <c r="I4499" t="s">
        <v>27</v>
      </c>
      <c r="J4499" t="s">
        <v>33</v>
      </c>
      <c r="K4499">
        <v>2</v>
      </c>
      <c r="L4499" s="2">
        <v>78.510000000000005</v>
      </c>
      <c r="M4499" s="3">
        <v>0</v>
      </c>
      <c r="N4499" t="s">
        <v>38</v>
      </c>
      <c r="O4499" s="2">
        <v>157.02000000000001</v>
      </c>
      <c r="P4499" s="2">
        <v>81.17</v>
      </c>
      <c r="Q4499" s="2">
        <v>75.849999999999994</v>
      </c>
      <c r="R4499">
        <v>1</v>
      </c>
      <c r="S4499">
        <v>1</v>
      </c>
      <c r="T4499">
        <v>4</v>
      </c>
      <c r="U4499">
        <v>4</v>
      </c>
    </row>
    <row r="4500" spans="1:21" ht="16.5" x14ac:dyDescent="0.3">
      <c r="A4500" t="s">
        <v>4588</v>
      </c>
      <c r="B4500" s="1">
        <v>45944</v>
      </c>
      <c r="C4500">
        <v>2025</v>
      </c>
      <c r="D4500" t="s">
        <v>1738</v>
      </c>
      <c r="E4500" t="s">
        <v>1739</v>
      </c>
      <c r="F4500" t="s">
        <v>24</v>
      </c>
      <c r="G4500" t="s">
        <v>65</v>
      </c>
      <c r="H4500" t="s">
        <v>26</v>
      </c>
      <c r="I4500" t="s">
        <v>70</v>
      </c>
      <c r="J4500" t="s">
        <v>129</v>
      </c>
      <c r="K4500">
        <v>1</v>
      </c>
      <c r="L4500" s="2">
        <v>177.65</v>
      </c>
      <c r="M4500" s="3">
        <v>0.05</v>
      </c>
      <c r="N4500" t="s">
        <v>29</v>
      </c>
      <c r="O4500" s="2">
        <v>168.77</v>
      </c>
      <c r="P4500" s="2">
        <v>144.08000000000001</v>
      </c>
      <c r="Q4500" s="2">
        <v>24.69</v>
      </c>
      <c r="R4500">
        <v>1</v>
      </c>
      <c r="S4500">
        <v>1</v>
      </c>
      <c r="T4500">
        <v>7</v>
      </c>
      <c r="U4500">
        <v>3</v>
      </c>
    </row>
    <row r="4501" spans="1:21" ht="16.5" x14ac:dyDescent="0.3">
      <c r="A4501" t="s">
        <v>4589</v>
      </c>
      <c r="B4501" s="1">
        <v>45944</v>
      </c>
      <c r="C4501">
        <v>2025</v>
      </c>
      <c r="D4501" t="s">
        <v>1738</v>
      </c>
      <c r="E4501" t="s">
        <v>1739</v>
      </c>
      <c r="F4501" t="s">
        <v>45</v>
      </c>
      <c r="G4501" t="s">
        <v>65</v>
      </c>
      <c r="H4501" t="s">
        <v>32</v>
      </c>
      <c r="I4501" t="s">
        <v>42</v>
      </c>
      <c r="J4501" t="s">
        <v>76</v>
      </c>
      <c r="K4501">
        <v>1</v>
      </c>
      <c r="L4501" s="2">
        <v>90.75</v>
      </c>
      <c r="M4501" s="3">
        <v>0.05</v>
      </c>
      <c r="N4501" t="s">
        <v>29</v>
      </c>
      <c r="O4501" s="2">
        <v>86.21</v>
      </c>
      <c r="P4501" s="2">
        <v>56.91</v>
      </c>
      <c r="Q4501" s="2">
        <v>29.3</v>
      </c>
      <c r="R4501">
        <v>1</v>
      </c>
      <c r="S4501">
        <v>0</v>
      </c>
      <c r="T4501">
        <v>6</v>
      </c>
      <c r="U4501">
        <v>4</v>
      </c>
    </row>
    <row r="4502" spans="1:21" ht="16.5" x14ac:dyDescent="0.3">
      <c r="A4502" t="s">
        <v>4590</v>
      </c>
      <c r="B4502" s="1">
        <v>45944</v>
      </c>
      <c r="C4502">
        <v>2025</v>
      </c>
      <c r="D4502" t="s">
        <v>1738</v>
      </c>
      <c r="E4502" t="s">
        <v>1739</v>
      </c>
      <c r="F4502" t="s">
        <v>31</v>
      </c>
      <c r="G4502" t="s">
        <v>25</v>
      </c>
      <c r="H4502" t="s">
        <v>32</v>
      </c>
      <c r="I4502" t="s">
        <v>36</v>
      </c>
      <c r="J4502" t="s">
        <v>126</v>
      </c>
      <c r="K4502">
        <v>1</v>
      </c>
      <c r="L4502" s="2">
        <v>54.56</v>
      </c>
      <c r="M4502" s="3">
        <v>0.15</v>
      </c>
      <c r="N4502" t="s">
        <v>34</v>
      </c>
      <c r="O4502" s="2">
        <v>46.38</v>
      </c>
      <c r="P4502" s="2">
        <v>27.23</v>
      </c>
      <c r="Q4502" s="2">
        <v>19.149999999999999</v>
      </c>
      <c r="R4502">
        <v>1</v>
      </c>
      <c r="S4502">
        <v>0</v>
      </c>
      <c r="T4502">
        <v>4</v>
      </c>
      <c r="U4502">
        <v>5</v>
      </c>
    </row>
    <row r="4503" spans="1:21" ht="16.5" x14ac:dyDescent="0.3">
      <c r="A4503" t="s">
        <v>4591</v>
      </c>
      <c r="B4503" s="1">
        <v>45944</v>
      </c>
      <c r="C4503">
        <v>2025</v>
      </c>
      <c r="D4503" t="s">
        <v>1738</v>
      </c>
      <c r="E4503" t="s">
        <v>1739</v>
      </c>
      <c r="F4503" t="s">
        <v>31</v>
      </c>
      <c r="G4503" t="s">
        <v>51</v>
      </c>
      <c r="H4503" t="s">
        <v>32</v>
      </c>
      <c r="I4503" t="s">
        <v>42</v>
      </c>
      <c r="J4503" t="s">
        <v>43</v>
      </c>
      <c r="K4503">
        <v>4</v>
      </c>
      <c r="L4503" s="2">
        <v>154.66</v>
      </c>
      <c r="M4503" s="3">
        <v>0.1</v>
      </c>
      <c r="N4503" t="s">
        <v>29</v>
      </c>
      <c r="O4503" s="2">
        <v>556.78</v>
      </c>
      <c r="P4503" s="2">
        <v>419.39</v>
      </c>
      <c r="Q4503" s="2">
        <v>137.38999999999999</v>
      </c>
      <c r="R4503">
        <v>1</v>
      </c>
      <c r="S4503">
        <v>0</v>
      </c>
      <c r="T4503">
        <v>5</v>
      </c>
      <c r="U4503">
        <v>3</v>
      </c>
    </row>
    <row r="4504" spans="1:21" ht="16.5" x14ac:dyDescent="0.3">
      <c r="A4504" t="s">
        <v>4592</v>
      </c>
      <c r="B4504" s="1">
        <v>45944</v>
      </c>
      <c r="C4504">
        <v>2025</v>
      </c>
      <c r="D4504" t="s">
        <v>1738</v>
      </c>
      <c r="E4504" t="s">
        <v>1739</v>
      </c>
      <c r="F4504" t="s">
        <v>24</v>
      </c>
      <c r="G4504" t="s">
        <v>51</v>
      </c>
      <c r="H4504" t="s">
        <v>26</v>
      </c>
      <c r="I4504" t="s">
        <v>36</v>
      </c>
      <c r="J4504" t="s">
        <v>126</v>
      </c>
      <c r="K4504">
        <v>1</v>
      </c>
      <c r="L4504" s="2">
        <v>54.56</v>
      </c>
      <c r="M4504" s="3">
        <v>0.25</v>
      </c>
      <c r="N4504" t="s">
        <v>62</v>
      </c>
      <c r="O4504" s="2">
        <v>40.92</v>
      </c>
      <c r="P4504" s="2">
        <v>26.7</v>
      </c>
      <c r="Q4504" s="2">
        <v>14.22</v>
      </c>
      <c r="R4504">
        <v>1</v>
      </c>
      <c r="S4504">
        <v>0</v>
      </c>
      <c r="T4504">
        <v>2</v>
      </c>
      <c r="U4504">
        <v>4</v>
      </c>
    </row>
    <row r="4505" spans="1:21" ht="16.5" x14ac:dyDescent="0.3">
      <c r="A4505" t="s">
        <v>4593</v>
      </c>
      <c r="B4505" s="1">
        <v>45944</v>
      </c>
      <c r="C4505">
        <v>2025</v>
      </c>
      <c r="D4505" t="s">
        <v>1738</v>
      </c>
      <c r="E4505" t="s">
        <v>1739</v>
      </c>
      <c r="F4505" t="s">
        <v>31</v>
      </c>
      <c r="G4505" t="s">
        <v>51</v>
      </c>
      <c r="H4505" t="s">
        <v>26</v>
      </c>
      <c r="I4505" t="s">
        <v>67</v>
      </c>
      <c r="J4505" t="s">
        <v>68</v>
      </c>
      <c r="K4505">
        <v>1</v>
      </c>
      <c r="L4505" s="2">
        <v>74.459999999999994</v>
      </c>
      <c r="M4505" s="3">
        <v>0.05</v>
      </c>
      <c r="N4505" t="s">
        <v>29</v>
      </c>
      <c r="O4505" s="2">
        <v>70.739999999999995</v>
      </c>
      <c r="P4505" s="2">
        <v>52.59</v>
      </c>
      <c r="Q4505" s="2">
        <v>18.149999999999999</v>
      </c>
      <c r="R4505">
        <v>1</v>
      </c>
      <c r="S4505">
        <v>0</v>
      </c>
      <c r="T4505">
        <v>2</v>
      </c>
      <c r="U4505">
        <v>5</v>
      </c>
    </row>
    <row r="4506" spans="1:21" ht="16.5" x14ac:dyDescent="0.3">
      <c r="A4506" t="s">
        <v>4594</v>
      </c>
      <c r="B4506" s="1">
        <v>45944</v>
      </c>
      <c r="C4506">
        <v>2025</v>
      </c>
      <c r="D4506" t="s">
        <v>1738</v>
      </c>
      <c r="E4506" t="s">
        <v>1739</v>
      </c>
      <c r="F4506" t="s">
        <v>45</v>
      </c>
      <c r="G4506" t="s">
        <v>65</v>
      </c>
      <c r="H4506" t="s">
        <v>26</v>
      </c>
      <c r="I4506" t="s">
        <v>27</v>
      </c>
      <c r="J4506" t="s">
        <v>28</v>
      </c>
      <c r="K4506">
        <v>2</v>
      </c>
      <c r="L4506" s="2">
        <v>138.5</v>
      </c>
      <c r="M4506" s="3">
        <v>0</v>
      </c>
      <c r="N4506" t="s">
        <v>38</v>
      </c>
      <c r="O4506" s="2">
        <v>277</v>
      </c>
      <c r="P4506" s="2">
        <v>140.94</v>
      </c>
      <c r="Q4506" s="2">
        <v>136.06</v>
      </c>
      <c r="R4506">
        <v>1</v>
      </c>
      <c r="S4506">
        <v>0</v>
      </c>
      <c r="T4506">
        <v>7</v>
      </c>
      <c r="U4506">
        <v>3</v>
      </c>
    </row>
    <row r="4507" spans="1:21" ht="16.5" x14ac:dyDescent="0.3">
      <c r="A4507" t="s">
        <v>4595</v>
      </c>
      <c r="B4507" s="1">
        <v>45944</v>
      </c>
      <c r="C4507">
        <v>2025</v>
      </c>
      <c r="D4507" t="s">
        <v>1738</v>
      </c>
      <c r="E4507" t="s">
        <v>1739</v>
      </c>
      <c r="F4507" t="s">
        <v>31</v>
      </c>
      <c r="G4507" t="s">
        <v>65</v>
      </c>
      <c r="H4507" t="s">
        <v>32</v>
      </c>
      <c r="I4507" t="s">
        <v>36</v>
      </c>
      <c r="J4507" t="s">
        <v>115</v>
      </c>
      <c r="K4507">
        <v>3</v>
      </c>
      <c r="L4507" s="2">
        <v>33.479999999999997</v>
      </c>
      <c r="M4507" s="3">
        <v>0.05</v>
      </c>
      <c r="N4507" t="s">
        <v>29</v>
      </c>
      <c r="O4507" s="2">
        <v>95.42</v>
      </c>
      <c r="P4507" s="2">
        <v>44.88</v>
      </c>
      <c r="Q4507" s="2">
        <v>50.54</v>
      </c>
      <c r="R4507">
        <v>1</v>
      </c>
      <c r="S4507">
        <v>0</v>
      </c>
      <c r="T4507">
        <v>5</v>
      </c>
      <c r="U4507">
        <v>5</v>
      </c>
    </row>
    <row r="4508" spans="1:21" ht="16.5" x14ac:dyDescent="0.3">
      <c r="A4508" t="s">
        <v>4596</v>
      </c>
      <c r="B4508" s="1">
        <v>45945</v>
      </c>
      <c r="C4508">
        <v>2025</v>
      </c>
      <c r="D4508" t="s">
        <v>1738</v>
      </c>
      <c r="E4508" t="s">
        <v>1739</v>
      </c>
      <c r="F4508" t="s">
        <v>24</v>
      </c>
      <c r="G4508" t="s">
        <v>49</v>
      </c>
      <c r="H4508" t="s">
        <v>26</v>
      </c>
      <c r="I4508" t="s">
        <v>70</v>
      </c>
      <c r="J4508" t="s">
        <v>71</v>
      </c>
      <c r="K4508">
        <v>1</v>
      </c>
      <c r="L4508" s="2">
        <v>588.41</v>
      </c>
      <c r="M4508" s="3">
        <v>0.15</v>
      </c>
      <c r="N4508" t="s">
        <v>34</v>
      </c>
      <c r="O4508" s="2">
        <v>500.15</v>
      </c>
      <c r="P4508" s="2">
        <v>483</v>
      </c>
      <c r="Q4508" s="2">
        <v>17.149999999999999</v>
      </c>
      <c r="R4508">
        <v>1</v>
      </c>
      <c r="S4508">
        <v>0</v>
      </c>
      <c r="T4508">
        <v>3</v>
      </c>
      <c r="U4508">
        <v>5</v>
      </c>
    </row>
    <row r="4509" spans="1:21" ht="16.5" x14ac:dyDescent="0.3">
      <c r="A4509" t="s">
        <v>4597</v>
      </c>
      <c r="B4509" s="1">
        <v>45945</v>
      </c>
      <c r="C4509">
        <v>2025</v>
      </c>
      <c r="D4509" t="s">
        <v>1738</v>
      </c>
      <c r="E4509" t="s">
        <v>1739</v>
      </c>
      <c r="F4509" t="s">
        <v>24</v>
      </c>
      <c r="G4509" t="s">
        <v>25</v>
      </c>
      <c r="H4509" t="s">
        <v>26</v>
      </c>
      <c r="I4509" t="s">
        <v>42</v>
      </c>
      <c r="J4509" t="s">
        <v>54</v>
      </c>
      <c r="K4509">
        <v>1</v>
      </c>
      <c r="L4509" s="2">
        <v>148.05000000000001</v>
      </c>
      <c r="M4509" s="3">
        <v>0.1</v>
      </c>
      <c r="N4509" t="s">
        <v>29</v>
      </c>
      <c r="O4509" s="2">
        <v>133.24</v>
      </c>
      <c r="P4509" s="2">
        <v>103.36</v>
      </c>
      <c r="Q4509" s="2">
        <v>29.88</v>
      </c>
      <c r="R4509">
        <v>1</v>
      </c>
      <c r="S4509">
        <v>0</v>
      </c>
      <c r="T4509">
        <v>5</v>
      </c>
      <c r="U4509">
        <v>4</v>
      </c>
    </row>
    <row r="4510" spans="1:21" ht="16.5" x14ac:dyDescent="0.3">
      <c r="A4510" t="s">
        <v>4598</v>
      </c>
      <c r="B4510" s="1">
        <v>45945</v>
      </c>
      <c r="C4510">
        <v>2025</v>
      </c>
      <c r="D4510" t="s">
        <v>1738</v>
      </c>
      <c r="E4510" t="s">
        <v>1739</v>
      </c>
      <c r="F4510" t="s">
        <v>24</v>
      </c>
      <c r="G4510" t="s">
        <v>65</v>
      </c>
      <c r="H4510" t="s">
        <v>32</v>
      </c>
      <c r="I4510" t="s">
        <v>27</v>
      </c>
      <c r="J4510" t="s">
        <v>33</v>
      </c>
      <c r="K4510">
        <v>1</v>
      </c>
      <c r="L4510" s="2">
        <v>78.510000000000005</v>
      </c>
      <c r="M4510" s="3">
        <v>0</v>
      </c>
      <c r="N4510" t="s">
        <v>38</v>
      </c>
      <c r="O4510" s="2">
        <v>78.510000000000005</v>
      </c>
      <c r="P4510" s="2">
        <v>42.39</v>
      </c>
      <c r="Q4510" s="2">
        <v>36.119999999999997</v>
      </c>
      <c r="R4510">
        <v>1</v>
      </c>
      <c r="S4510">
        <v>0</v>
      </c>
      <c r="T4510">
        <v>6</v>
      </c>
      <c r="U4510">
        <v>4</v>
      </c>
    </row>
    <row r="4511" spans="1:21" ht="16.5" x14ac:dyDescent="0.3">
      <c r="A4511" t="s">
        <v>4599</v>
      </c>
      <c r="B4511" s="1">
        <v>45945</v>
      </c>
      <c r="C4511">
        <v>2025</v>
      </c>
      <c r="D4511" t="s">
        <v>1738</v>
      </c>
      <c r="E4511" t="s">
        <v>1739</v>
      </c>
      <c r="F4511" t="s">
        <v>45</v>
      </c>
      <c r="G4511" t="s">
        <v>49</v>
      </c>
      <c r="H4511" t="s">
        <v>32</v>
      </c>
      <c r="I4511" t="s">
        <v>27</v>
      </c>
      <c r="J4511" t="s">
        <v>110</v>
      </c>
      <c r="K4511">
        <v>1</v>
      </c>
      <c r="L4511" s="2">
        <v>19.41</v>
      </c>
      <c r="M4511" s="3">
        <v>0.05</v>
      </c>
      <c r="N4511" t="s">
        <v>29</v>
      </c>
      <c r="O4511" s="2">
        <v>18.440000000000001</v>
      </c>
      <c r="P4511" s="2">
        <v>10.72</v>
      </c>
      <c r="Q4511" s="2">
        <v>7.72</v>
      </c>
      <c r="R4511">
        <v>1</v>
      </c>
      <c r="S4511">
        <v>0</v>
      </c>
      <c r="T4511">
        <v>5</v>
      </c>
      <c r="U4511">
        <v>5</v>
      </c>
    </row>
    <row r="4512" spans="1:21" ht="16.5" x14ac:dyDescent="0.3">
      <c r="A4512" t="s">
        <v>4600</v>
      </c>
      <c r="B4512" s="1">
        <v>45945</v>
      </c>
      <c r="C4512">
        <v>2025</v>
      </c>
      <c r="D4512" t="s">
        <v>1738</v>
      </c>
      <c r="E4512" t="s">
        <v>1739</v>
      </c>
      <c r="F4512" t="s">
        <v>31</v>
      </c>
      <c r="G4512" t="s">
        <v>49</v>
      </c>
      <c r="H4512" t="s">
        <v>32</v>
      </c>
      <c r="I4512" t="s">
        <v>70</v>
      </c>
      <c r="J4512" t="s">
        <v>252</v>
      </c>
      <c r="K4512">
        <v>1</v>
      </c>
      <c r="L4512" s="2">
        <v>216.08</v>
      </c>
      <c r="M4512" s="3">
        <v>0</v>
      </c>
      <c r="N4512" t="s">
        <v>38</v>
      </c>
      <c r="O4512" s="2">
        <v>216.08</v>
      </c>
      <c r="P4512" s="2">
        <v>173.86</v>
      </c>
      <c r="Q4512" s="2">
        <v>42.22</v>
      </c>
      <c r="R4512">
        <v>1</v>
      </c>
      <c r="S4512">
        <v>0</v>
      </c>
      <c r="T4512">
        <v>5</v>
      </c>
      <c r="U4512">
        <v>4</v>
      </c>
    </row>
    <row r="4513" spans="1:21" ht="16.5" x14ac:dyDescent="0.3">
      <c r="A4513" t="s">
        <v>4601</v>
      </c>
      <c r="B4513" s="1">
        <v>45945</v>
      </c>
      <c r="C4513">
        <v>2025</v>
      </c>
      <c r="D4513" t="s">
        <v>1738</v>
      </c>
      <c r="E4513" t="s">
        <v>1739</v>
      </c>
      <c r="F4513" t="s">
        <v>24</v>
      </c>
      <c r="G4513" t="s">
        <v>51</v>
      </c>
      <c r="H4513" t="s">
        <v>26</v>
      </c>
      <c r="I4513" t="s">
        <v>67</v>
      </c>
      <c r="J4513" t="s">
        <v>68</v>
      </c>
      <c r="K4513">
        <v>2</v>
      </c>
      <c r="L4513" s="2">
        <v>74.459999999999994</v>
      </c>
      <c r="M4513" s="3">
        <v>0</v>
      </c>
      <c r="N4513" t="s">
        <v>38</v>
      </c>
      <c r="O4513" s="2">
        <v>148.91999999999999</v>
      </c>
      <c r="P4513" s="2">
        <v>99.45</v>
      </c>
      <c r="Q4513" s="2">
        <v>49.47</v>
      </c>
      <c r="R4513">
        <v>1</v>
      </c>
      <c r="S4513">
        <v>0</v>
      </c>
      <c r="T4513">
        <v>3</v>
      </c>
      <c r="U4513">
        <v>4</v>
      </c>
    </row>
    <row r="4514" spans="1:21" ht="16.5" x14ac:dyDescent="0.3">
      <c r="A4514" t="s">
        <v>4602</v>
      </c>
      <c r="B4514" s="1">
        <v>45945</v>
      </c>
      <c r="C4514">
        <v>2025</v>
      </c>
      <c r="D4514" t="s">
        <v>1738</v>
      </c>
      <c r="E4514" t="s">
        <v>1739</v>
      </c>
      <c r="F4514" t="s">
        <v>24</v>
      </c>
      <c r="G4514" t="s">
        <v>49</v>
      </c>
      <c r="H4514" t="s">
        <v>32</v>
      </c>
      <c r="I4514" t="s">
        <v>70</v>
      </c>
      <c r="J4514" t="s">
        <v>129</v>
      </c>
      <c r="K4514">
        <v>2</v>
      </c>
      <c r="L4514" s="2">
        <v>177.65</v>
      </c>
      <c r="M4514" s="3">
        <v>0.2</v>
      </c>
      <c r="N4514" t="s">
        <v>34</v>
      </c>
      <c r="O4514" s="2">
        <v>284.24</v>
      </c>
      <c r="P4514" s="2">
        <v>299.83999999999997</v>
      </c>
      <c r="Q4514" s="2">
        <v>-15.6</v>
      </c>
      <c r="R4514">
        <v>1</v>
      </c>
      <c r="S4514">
        <v>0</v>
      </c>
      <c r="T4514">
        <v>6</v>
      </c>
      <c r="U4514">
        <v>3</v>
      </c>
    </row>
    <row r="4515" spans="1:21" ht="16.5" x14ac:dyDescent="0.3">
      <c r="A4515" t="s">
        <v>4603</v>
      </c>
      <c r="B4515" s="1">
        <v>45945</v>
      </c>
      <c r="C4515">
        <v>2025</v>
      </c>
      <c r="D4515" t="s">
        <v>1738</v>
      </c>
      <c r="E4515" t="s">
        <v>1739</v>
      </c>
      <c r="F4515" t="s">
        <v>24</v>
      </c>
      <c r="G4515" t="s">
        <v>65</v>
      </c>
      <c r="H4515" t="s">
        <v>26</v>
      </c>
      <c r="I4515" t="s">
        <v>67</v>
      </c>
      <c r="J4515" t="s">
        <v>68</v>
      </c>
      <c r="K4515">
        <v>1</v>
      </c>
      <c r="L4515" s="2">
        <v>74.459999999999994</v>
      </c>
      <c r="M4515" s="3">
        <v>0.15</v>
      </c>
      <c r="N4515" t="s">
        <v>34</v>
      </c>
      <c r="O4515" s="2">
        <v>63.29</v>
      </c>
      <c r="P4515" s="2">
        <v>52.06</v>
      </c>
      <c r="Q4515" s="2">
        <v>11.23</v>
      </c>
      <c r="R4515">
        <v>1</v>
      </c>
      <c r="S4515">
        <v>0</v>
      </c>
      <c r="T4515">
        <v>5</v>
      </c>
      <c r="U4515">
        <v>4</v>
      </c>
    </row>
    <row r="4516" spans="1:21" ht="16.5" x14ac:dyDescent="0.3">
      <c r="A4516" t="s">
        <v>4604</v>
      </c>
      <c r="B4516" s="1">
        <v>45945</v>
      </c>
      <c r="C4516">
        <v>2025</v>
      </c>
      <c r="D4516" t="s">
        <v>1738</v>
      </c>
      <c r="E4516" t="s">
        <v>1739</v>
      </c>
      <c r="F4516" t="s">
        <v>45</v>
      </c>
      <c r="G4516" t="s">
        <v>65</v>
      </c>
      <c r="H4516" t="s">
        <v>32</v>
      </c>
      <c r="I4516" t="s">
        <v>27</v>
      </c>
      <c r="J4516" t="s">
        <v>60</v>
      </c>
      <c r="K4516">
        <v>4</v>
      </c>
      <c r="L4516" s="2">
        <v>94.85</v>
      </c>
      <c r="M4516" s="3">
        <v>0.1</v>
      </c>
      <c r="N4516" t="s">
        <v>29</v>
      </c>
      <c r="O4516" s="2">
        <v>341.46</v>
      </c>
      <c r="P4516" s="2">
        <v>210.34</v>
      </c>
      <c r="Q4516" s="2">
        <v>131.12</v>
      </c>
      <c r="R4516">
        <v>1</v>
      </c>
      <c r="S4516">
        <v>0</v>
      </c>
      <c r="T4516">
        <v>6</v>
      </c>
      <c r="U4516">
        <v>3</v>
      </c>
    </row>
    <row r="4517" spans="1:21" ht="16.5" x14ac:dyDescent="0.3">
      <c r="A4517" t="s">
        <v>4605</v>
      </c>
      <c r="B4517" s="1">
        <v>45945</v>
      </c>
      <c r="C4517">
        <v>2025</v>
      </c>
      <c r="D4517" t="s">
        <v>1738</v>
      </c>
      <c r="E4517" t="s">
        <v>1739</v>
      </c>
      <c r="F4517" t="s">
        <v>31</v>
      </c>
      <c r="G4517" t="s">
        <v>49</v>
      </c>
      <c r="H4517" t="s">
        <v>26</v>
      </c>
      <c r="I4517" t="s">
        <v>36</v>
      </c>
      <c r="J4517" t="s">
        <v>56</v>
      </c>
      <c r="K4517">
        <v>2</v>
      </c>
      <c r="L4517" s="2">
        <v>74.3</v>
      </c>
      <c r="M4517" s="3">
        <v>0.05</v>
      </c>
      <c r="N4517" t="s">
        <v>29</v>
      </c>
      <c r="O4517" s="2">
        <v>141.16999999999999</v>
      </c>
      <c r="P4517" s="2">
        <v>72.400000000000006</v>
      </c>
      <c r="Q4517" s="2">
        <v>68.77</v>
      </c>
      <c r="R4517">
        <v>1</v>
      </c>
      <c r="S4517">
        <v>0</v>
      </c>
      <c r="T4517">
        <v>3</v>
      </c>
      <c r="U4517">
        <v>5</v>
      </c>
    </row>
    <row r="4518" spans="1:21" ht="16.5" x14ac:dyDescent="0.3">
      <c r="A4518" t="s">
        <v>4606</v>
      </c>
      <c r="B4518" s="1">
        <v>45945</v>
      </c>
      <c r="C4518">
        <v>2025</v>
      </c>
      <c r="D4518" t="s">
        <v>1738</v>
      </c>
      <c r="E4518" t="s">
        <v>1739</v>
      </c>
      <c r="F4518" t="s">
        <v>24</v>
      </c>
      <c r="G4518" t="s">
        <v>65</v>
      </c>
      <c r="H4518" t="s">
        <v>32</v>
      </c>
      <c r="I4518" t="s">
        <v>42</v>
      </c>
      <c r="J4518" t="s">
        <v>76</v>
      </c>
      <c r="K4518">
        <v>2</v>
      </c>
      <c r="L4518" s="2">
        <v>90.75</v>
      </c>
      <c r="M4518" s="3">
        <v>0.05</v>
      </c>
      <c r="N4518" t="s">
        <v>29</v>
      </c>
      <c r="O4518" s="2">
        <v>172.42</v>
      </c>
      <c r="P4518" s="2">
        <v>121.4</v>
      </c>
      <c r="Q4518" s="2">
        <v>51.02</v>
      </c>
      <c r="R4518">
        <v>1</v>
      </c>
      <c r="S4518">
        <v>0</v>
      </c>
      <c r="T4518">
        <v>5</v>
      </c>
      <c r="U4518">
        <v>5</v>
      </c>
    </row>
    <row r="4519" spans="1:21" ht="16.5" x14ac:dyDescent="0.3">
      <c r="A4519" t="s">
        <v>4607</v>
      </c>
      <c r="B4519" s="1">
        <v>45945</v>
      </c>
      <c r="C4519">
        <v>2025</v>
      </c>
      <c r="D4519" t="s">
        <v>1738</v>
      </c>
      <c r="E4519" t="s">
        <v>1739</v>
      </c>
      <c r="F4519" t="s">
        <v>31</v>
      </c>
      <c r="G4519" t="s">
        <v>51</v>
      </c>
      <c r="H4519" t="s">
        <v>32</v>
      </c>
      <c r="I4519" t="s">
        <v>27</v>
      </c>
      <c r="J4519" t="s">
        <v>33</v>
      </c>
      <c r="K4519">
        <v>1</v>
      </c>
      <c r="L4519" s="2">
        <v>78.510000000000005</v>
      </c>
      <c r="M4519" s="3">
        <v>0</v>
      </c>
      <c r="N4519" t="s">
        <v>38</v>
      </c>
      <c r="O4519" s="2">
        <v>78.510000000000005</v>
      </c>
      <c r="P4519" s="2">
        <v>40.520000000000003</v>
      </c>
      <c r="Q4519" s="2">
        <v>37.99</v>
      </c>
      <c r="R4519">
        <v>1</v>
      </c>
      <c r="S4519">
        <v>0</v>
      </c>
      <c r="T4519">
        <v>3</v>
      </c>
      <c r="U4519">
        <v>4</v>
      </c>
    </row>
    <row r="4520" spans="1:21" ht="16.5" x14ac:dyDescent="0.3">
      <c r="A4520" t="s">
        <v>4608</v>
      </c>
      <c r="B4520" s="1">
        <v>45945</v>
      </c>
      <c r="C4520">
        <v>2025</v>
      </c>
      <c r="D4520" t="s">
        <v>1738</v>
      </c>
      <c r="E4520" t="s">
        <v>1739</v>
      </c>
      <c r="F4520" t="s">
        <v>31</v>
      </c>
      <c r="G4520" t="s">
        <v>51</v>
      </c>
      <c r="H4520" t="s">
        <v>26</v>
      </c>
      <c r="I4520" t="s">
        <v>67</v>
      </c>
      <c r="J4520" t="s">
        <v>93</v>
      </c>
      <c r="K4520">
        <v>1</v>
      </c>
      <c r="L4520" s="2">
        <v>198.42</v>
      </c>
      <c r="M4520" s="3">
        <v>0</v>
      </c>
      <c r="N4520" t="s">
        <v>38</v>
      </c>
      <c r="O4520" s="2">
        <v>198.42</v>
      </c>
      <c r="P4520" s="2">
        <v>133.19999999999999</v>
      </c>
      <c r="Q4520" s="2">
        <v>65.22</v>
      </c>
      <c r="R4520">
        <v>1</v>
      </c>
      <c r="S4520">
        <v>0</v>
      </c>
      <c r="T4520">
        <v>3</v>
      </c>
      <c r="U4520">
        <v>3</v>
      </c>
    </row>
    <row r="4521" spans="1:21" ht="16.5" x14ac:dyDescent="0.3">
      <c r="A4521" t="s">
        <v>4609</v>
      </c>
      <c r="B4521" s="1">
        <v>45945</v>
      </c>
      <c r="C4521">
        <v>2025</v>
      </c>
      <c r="D4521" t="s">
        <v>1738</v>
      </c>
      <c r="E4521" t="s">
        <v>1739</v>
      </c>
      <c r="F4521" t="s">
        <v>31</v>
      </c>
      <c r="G4521" t="s">
        <v>51</v>
      </c>
      <c r="H4521" t="s">
        <v>32</v>
      </c>
      <c r="I4521" t="s">
        <v>42</v>
      </c>
      <c r="J4521" t="s">
        <v>54</v>
      </c>
      <c r="K4521">
        <v>1</v>
      </c>
      <c r="L4521" s="2">
        <v>148.05000000000001</v>
      </c>
      <c r="M4521" s="3">
        <v>0</v>
      </c>
      <c r="N4521" t="s">
        <v>38</v>
      </c>
      <c r="O4521" s="2">
        <v>148.05000000000001</v>
      </c>
      <c r="P4521" s="2">
        <v>101.05</v>
      </c>
      <c r="Q4521" s="2">
        <v>47</v>
      </c>
      <c r="R4521">
        <v>1</v>
      </c>
      <c r="S4521">
        <v>0</v>
      </c>
      <c r="T4521">
        <v>4</v>
      </c>
      <c r="U4521">
        <v>4</v>
      </c>
    </row>
    <row r="4522" spans="1:21" ht="16.5" x14ac:dyDescent="0.3">
      <c r="A4522" t="s">
        <v>4610</v>
      </c>
      <c r="B4522" s="1">
        <v>45945</v>
      </c>
      <c r="C4522">
        <v>2025</v>
      </c>
      <c r="D4522" t="s">
        <v>1738</v>
      </c>
      <c r="E4522" t="s">
        <v>1739</v>
      </c>
      <c r="F4522" t="s">
        <v>24</v>
      </c>
      <c r="G4522" t="s">
        <v>46</v>
      </c>
      <c r="H4522" t="s">
        <v>26</v>
      </c>
      <c r="I4522" t="s">
        <v>27</v>
      </c>
      <c r="J4522" t="s">
        <v>40</v>
      </c>
      <c r="K4522">
        <v>1</v>
      </c>
      <c r="L4522" s="2">
        <v>104.94</v>
      </c>
      <c r="M4522" s="3">
        <v>0.2</v>
      </c>
      <c r="N4522" t="s">
        <v>34</v>
      </c>
      <c r="O4522" s="2">
        <v>83.95</v>
      </c>
      <c r="P4522" s="2">
        <v>54.7</v>
      </c>
      <c r="Q4522" s="2">
        <v>29.25</v>
      </c>
      <c r="R4522">
        <v>1</v>
      </c>
      <c r="S4522">
        <v>0</v>
      </c>
      <c r="T4522">
        <v>6</v>
      </c>
      <c r="U4522">
        <v>3</v>
      </c>
    </row>
    <row r="4523" spans="1:21" ht="16.5" x14ac:dyDescent="0.3">
      <c r="A4523" t="s">
        <v>4611</v>
      </c>
      <c r="B4523" s="1">
        <v>45945</v>
      </c>
      <c r="C4523">
        <v>2025</v>
      </c>
      <c r="D4523" t="s">
        <v>1738</v>
      </c>
      <c r="E4523" t="s">
        <v>1739</v>
      </c>
      <c r="F4523" t="s">
        <v>24</v>
      </c>
      <c r="G4523" t="s">
        <v>46</v>
      </c>
      <c r="H4523" t="s">
        <v>32</v>
      </c>
      <c r="I4523" t="s">
        <v>36</v>
      </c>
      <c r="J4523" t="s">
        <v>52</v>
      </c>
      <c r="K4523">
        <v>1</v>
      </c>
      <c r="L4523" s="2">
        <v>92.54</v>
      </c>
      <c r="M4523" s="3">
        <v>0</v>
      </c>
      <c r="N4523" t="s">
        <v>38</v>
      </c>
      <c r="O4523" s="2">
        <v>92.54</v>
      </c>
      <c r="P4523" s="2">
        <v>44.31</v>
      </c>
      <c r="Q4523" s="2">
        <v>48.23</v>
      </c>
      <c r="R4523">
        <v>1</v>
      </c>
      <c r="S4523">
        <v>0</v>
      </c>
      <c r="T4523">
        <v>7</v>
      </c>
      <c r="U4523">
        <v>3</v>
      </c>
    </row>
    <row r="4524" spans="1:21" ht="16.5" x14ac:dyDescent="0.3">
      <c r="A4524" t="s">
        <v>4612</v>
      </c>
      <c r="B4524" s="1">
        <v>45945</v>
      </c>
      <c r="C4524">
        <v>2025</v>
      </c>
      <c r="D4524" t="s">
        <v>1738</v>
      </c>
      <c r="E4524" t="s">
        <v>1739</v>
      </c>
      <c r="F4524" t="s">
        <v>31</v>
      </c>
      <c r="G4524" t="s">
        <v>25</v>
      </c>
      <c r="H4524" t="s">
        <v>26</v>
      </c>
      <c r="I4524" t="s">
        <v>42</v>
      </c>
      <c r="J4524" t="s">
        <v>98</v>
      </c>
      <c r="K4524">
        <v>1</v>
      </c>
      <c r="L4524" s="2">
        <v>117.63</v>
      </c>
      <c r="M4524" s="3">
        <v>0.1</v>
      </c>
      <c r="N4524" t="s">
        <v>29</v>
      </c>
      <c r="O4524" s="2">
        <v>105.87</v>
      </c>
      <c r="P4524" s="2">
        <v>79.45</v>
      </c>
      <c r="Q4524" s="2">
        <v>26.42</v>
      </c>
      <c r="R4524">
        <v>1</v>
      </c>
      <c r="S4524">
        <v>0</v>
      </c>
      <c r="T4524">
        <v>5</v>
      </c>
      <c r="U4524">
        <v>5</v>
      </c>
    </row>
    <row r="4525" spans="1:21" ht="16.5" x14ac:dyDescent="0.3">
      <c r="A4525" t="s">
        <v>4613</v>
      </c>
      <c r="B4525" s="1">
        <v>45946</v>
      </c>
      <c r="C4525">
        <v>2025</v>
      </c>
      <c r="D4525" t="s">
        <v>1738</v>
      </c>
      <c r="E4525" t="s">
        <v>1739</v>
      </c>
      <c r="F4525" t="s">
        <v>24</v>
      </c>
      <c r="G4525" t="s">
        <v>25</v>
      </c>
      <c r="H4525" t="s">
        <v>32</v>
      </c>
      <c r="I4525" t="s">
        <v>70</v>
      </c>
      <c r="J4525" t="s">
        <v>87</v>
      </c>
      <c r="K4525">
        <v>1</v>
      </c>
      <c r="L4525" s="2">
        <v>490.3</v>
      </c>
      <c r="M4525" s="3">
        <v>0</v>
      </c>
      <c r="N4525" t="s">
        <v>38</v>
      </c>
      <c r="O4525" s="2">
        <v>490.3</v>
      </c>
      <c r="P4525" s="2">
        <v>413.6</v>
      </c>
      <c r="Q4525" s="2">
        <v>76.7</v>
      </c>
      <c r="R4525">
        <v>1</v>
      </c>
      <c r="S4525">
        <v>0</v>
      </c>
      <c r="T4525">
        <v>3</v>
      </c>
      <c r="U4525">
        <v>5</v>
      </c>
    </row>
    <row r="4526" spans="1:21" ht="16.5" x14ac:dyDescent="0.3">
      <c r="A4526" t="s">
        <v>4614</v>
      </c>
      <c r="B4526" s="1">
        <v>45946</v>
      </c>
      <c r="C4526">
        <v>2025</v>
      </c>
      <c r="D4526" t="s">
        <v>1738</v>
      </c>
      <c r="E4526" t="s">
        <v>1739</v>
      </c>
      <c r="F4526" t="s">
        <v>45</v>
      </c>
      <c r="G4526" t="s">
        <v>51</v>
      </c>
      <c r="H4526" t="s">
        <v>26</v>
      </c>
      <c r="I4526" t="s">
        <v>42</v>
      </c>
      <c r="J4526" t="s">
        <v>43</v>
      </c>
      <c r="K4526">
        <v>3</v>
      </c>
      <c r="L4526" s="2">
        <v>154.66</v>
      </c>
      <c r="M4526" s="3">
        <v>0.05</v>
      </c>
      <c r="N4526" t="s">
        <v>29</v>
      </c>
      <c r="O4526" s="2">
        <v>440.78</v>
      </c>
      <c r="P4526" s="2">
        <v>293.61</v>
      </c>
      <c r="Q4526" s="2">
        <v>147.16999999999999</v>
      </c>
      <c r="R4526">
        <v>1</v>
      </c>
      <c r="S4526">
        <v>0</v>
      </c>
      <c r="T4526">
        <v>2</v>
      </c>
      <c r="U4526">
        <v>4</v>
      </c>
    </row>
    <row r="4527" spans="1:21" ht="16.5" x14ac:dyDescent="0.3">
      <c r="A4527" t="s">
        <v>4615</v>
      </c>
      <c r="B4527" s="1">
        <v>45946</v>
      </c>
      <c r="C4527">
        <v>2025</v>
      </c>
      <c r="D4527" t="s">
        <v>1738</v>
      </c>
      <c r="E4527" t="s">
        <v>1739</v>
      </c>
      <c r="F4527" t="s">
        <v>31</v>
      </c>
      <c r="G4527" t="s">
        <v>51</v>
      </c>
      <c r="H4527" t="s">
        <v>26</v>
      </c>
      <c r="I4527" t="s">
        <v>84</v>
      </c>
      <c r="J4527" t="s">
        <v>132</v>
      </c>
      <c r="K4527">
        <v>3</v>
      </c>
      <c r="L4527" s="2">
        <v>48.86</v>
      </c>
      <c r="M4527" s="3">
        <v>0.05</v>
      </c>
      <c r="N4527" t="s">
        <v>29</v>
      </c>
      <c r="O4527" s="2">
        <v>139.25</v>
      </c>
      <c r="P4527" s="2">
        <v>105.43</v>
      </c>
      <c r="Q4527" s="2">
        <v>33.82</v>
      </c>
      <c r="R4527">
        <v>1</v>
      </c>
      <c r="S4527">
        <v>0</v>
      </c>
      <c r="T4527">
        <v>3</v>
      </c>
      <c r="U4527">
        <v>4</v>
      </c>
    </row>
    <row r="4528" spans="1:21" ht="16.5" x14ac:dyDescent="0.3">
      <c r="A4528" t="s">
        <v>4616</v>
      </c>
      <c r="B4528" s="1">
        <v>45946</v>
      </c>
      <c r="C4528">
        <v>2025</v>
      </c>
      <c r="D4528" t="s">
        <v>1738</v>
      </c>
      <c r="E4528" t="s">
        <v>1739</v>
      </c>
      <c r="F4528" t="s">
        <v>24</v>
      </c>
      <c r="G4528" t="s">
        <v>49</v>
      </c>
      <c r="H4528" t="s">
        <v>32</v>
      </c>
      <c r="I4528" t="s">
        <v>67</v>
      </c>
      <c r="J4528" t="s">
        <v>68</v>
      </c>
      <c r="K4528">
        <v>1</v>
      </c>
      <c r="L4528" s="2">
        <v>74.459999999999994</v>
      </c>
      <c r="M4528" s="3">
        <v>0</v>
      </c>
      <c r="N4528" t="s">
        <v>38</v>
      </c>
      <c r="O4528" s="2">
        <v>74.459999999999994</v>
      </c>
      <c r="P4528" s="2">
        <v>48.27</v>
      </c>
      <c r="Q4528" s="2">
        <v>26.19</v>
      </c>
      <c r="R4528">
        <v>1</v>
      </c>
      <c r="S4528">
        <v>0</v>
      </c>
      <c r="T4528">
        <v>3</v>
      </c>
      <c r="U4528">
        <v>5</v>
      </c>
    </row>
    <row r="4529" spans="1:21" ht="16.5" x14ac:dyDescent="0.3">
      <c r="A4529" t="s">
        <v>4617</v>
      </c>
      <c r="B4529" s="1">
        <v>45946</v>
      </c>
      <c r="C4529">
        <v>2025</v>
      </c>
      <c r="D4529" t="s">
        <v>1738</v>
      </c>
      <c r="E4529" t="s">
        <v>1739</v>
      </c>
      <c r="F4529" t="s">
        <v>31</v>
      </c>
      <c r="G4529" t="s">
        <v>49</v>
      </c>
      <c r="H4529" t="s">
        <v>32</v>
      </c>
      <c r="I4529" t="s">
        <v>70</v>
      </c>
      <c r="J4529" t="s">
        <v>87</v>
      </c>
      <c r="K4529">
        <v>1</v>
      </c>
      <c r="L4529" s="2">
        <v>490.3</v>
      </c>
      <c r="M4529" s="3">
        <v>0.15</v>
      </c>
      <c r="N4529" t="s">
        <v>34</v>
      </c>
      <c r="O4529" s="2">
        <v>416.76</v>
      </c>
      <c r="P4529" s="2">
        <v>393.9</v>
      </c>
      <c r="Q4529" s="2">
        <v>22.86</v>
      </c>
      <c r="R4529">
        <v>1</v>
      </c>
      <c r="S4529">
        <v>0</v>
      </c>
      <c r="T4529">
        <v>3</v>
      </c>
      <c r="U4529">
        <v>5</v>
      </c>
    </row>
    <row r="4530" spans="1:21" ht="16.5" x14ac:dyDescent="0.3">
      <c r="A4530" t="s">
        <v>4618</v>
      </c>
      <c r="B4530" s="1">
        <v>45946</v>
      </c>
      <c r="C4530">
        <v>2025</v>
      </c>
      <c r="D4530" t="s">
        <v>1738</v>
      </c>
      <c r="E4530" t="s">
        <v>1739</v>
      </c>
      <c r="F4530" t="s">
        <v>45</v>
      </c>
      <c r="G4530" t="s">
        <v>25</v>
      </c>
      <c r="H4530" t="s">
        <v>26</v>
      </c>
      <c r="I4530" t="s">
        <v>27</v>
      </c>
      <c r="J4530" t="s">
        <v>40</v>
      </c>
      <c r="K4530">
        <v>1</v>
      </c>
      <c r="L4530" s="2">
        <v>104.94</v>
      </c>
      <c r="M4530" s="3">
        <v>0.05</v>
      </c>
      <c r="N4530" t="s">
        <v>29</v>
      </c>
      <c r="O4530" s="2">
        <v>99.69</v>
      </c>
      <c r="P4530" s="2">
        <v>57.99</v>
      </c>
      <c r="Q4530" s="2">
        <v>41.7</v>
      </c>
      <c r="R4530">
        <v>1</v>
      </c>
      <c r="S4530">
        <v>0</v>
      </c>
      <c r="T4530">
        <v>3</v>
      </c>
      <c r="U4530">
        <v>5</v>
      </c>
    </row>
    <row r="4531" spans="1:21" ht="16.5" x14ac:dyDescent="0.3">
      <c r="A4531" t="s">
        <v>4619</v>
      </c>
      <c r="B4531" s="1">
        <v>45946</v>
      </c>
      <c r="C4531">
        <v>2025</v>
      </c>
      <c r="D4531" t="s">
        <v>1738</v>
      </c>
      <c r="E4531" t="s">
        <v>1739</v>
      </c>
      <c r="F4531" t="s">
        <v>24</v>
      </c>
      <c r="G4531" t="s">
        <v>51</v>
      </c>
      <c r="H4531" t="s">
        <v>26</v>
      </c>
      <c r="I4531" t="s">
        <v>70</v>
      </c>
      <c r="J4531" t="s">
        <v>252</v>
      </c>
      <c r="K4531">
        <v>2</v>
      </c>
      <c r="L4531" s="2">
        <v>216.08</v>
      </c>
      <c r="M4531" s="3">
        <v>0.15</v>
      </c>
      <c r="N4531" t="s">
        <v>34</v>
      </c>
      <c r="O4531" s="2">
        <v>367.34</v>
      </c>
      <c r="P4531" s="2">
        <v>347.18</v>
      </c>
      <c r="Q4531" s="2">
        <v>20.16</v>
      </c>
      <c r="R4531">
        <v>1</v>
      </c>
      <c r="S4531">
        <v>0</v>
      </c>
      <c r="T4531">
        <v>3</v>
      </c>
      <c r="U4531">
        <v>4</v>
      </c>
    </row>
    <row r="4532" spans="1:21" ht="16.5" x14ac:dyDescent="0.3">
      <c r="A4532" t="s">
        <v>4620</v>
      </c>
      <c r="B4532" s="1">
        <v>45947</v>
      </c>
      <c r="C4532">
        <v>2025</v>
      </c>
      <c r="D4532" t="s">
        <v>1738</v>
      </c>
      <c r="E4532" t="s">
        <v>1739</v>
      </c>
      <c r="F4532" t="s">
        <v>24</v>
      </c>
      <c r="G4532" t="s">
        <v>25</v>
      </c>
      <c r="H4532" t="s">
        <v>32</v>
      </c>
      <c r="I4532" t="s">
        <v>27</v>
      </c>
      <c r="J4532" t="s">
        <v>60</v>
      </c>
      <c r="K4532">
        <v>3</v>
      </c>
      <c r="L4532" s="2">
        <v>94.85</v>
      </c>
      <c r="M4532" s="3">
        <v>0</v>
      </c>
      <c r="N4532" t="s">
        <v>38</v>
      </c>
      <c r="O4532" s="2">
        <v>284.55</v>
      </c>
      <c r="P4532" s="2">
        <v>155.4</v>
      </c>
      <c r="Q4532" s="2">
        <v>129.15</v>
      </c>
      <c r="R4532">
        <v>1</v>
      </c>
      <c r="S4532">
        <v>0</v>
      </c>
      <c r="T4532">
        <v>4</v>
      </c>
      <c r="U4532">
        <v>4</v>
      </c>
    </row>
    <row r="4533" spans="1:21" ht="16.5" x14ac:dyDescent="0.3">
      <c r="A4533" t="s">
        <v>4621</v>
      </c>
      <c r="B4533" s="1">
        <v>45947</v>
      </c>
      <c r="C4533">
        <v>2025</v>
      </c>
      <c r="D4533" t="s">
        <v>1738</v>
      </c>
      <c r="E4533" t="s">
        <v>1739</v>
      </c>
      <c r="F4533" t="s">
        <v>45</v>
      </c>
      <c r="G4533" t="s">
        <v>49</v>
      </c>
      <c r="H4533" t="s">
        <v>32</v>
      </c>
      <c r="I4533" t="s">
        <v>36</v>
      </c>
      <c r="J4533" t="s">
        <v>115</v>
      </c>
      <c r="K4533">
        <v>1</v>
      </c>
      <c r="L4533" s="2">
        <v>33.479999999999997</v>
      </c>
      <c r="M4533" s="3">
        <v>0</v>
      </c>
      <c r="N4533" t="s">
        <v>38</v>
      </c>
      <c r="O4533" s="2">
        <v>33.479999999999997</v>
      </c>
      <c r="P4533" s="2">
        <v>16.809999999999999</v>
      </c>
      <c r="Q4533" s="2">
        <v>16.670000000000002</v>
      </c>
      <c r="R4533">
        <v>1</v>
      </c>
      <c r="S4533">
        <v>0</v>
      </c>
      <c r="T4533">
        <v>6</v>
      </c>
      <c r="U4533">
        <v>4</v>
      </c>
    </row>
    <row r="4534" spans="1:21" ht="16.5" x14ac:dyDescent="0.3">
      <c r="A4534" t="s">
        <v>4622</v>
      </c>
      <c r="B4534" s="1">
        <v>45947</v>
      </c>
      <c r="C4534">
        <v>2025</v>
      </c>
      <c r="D4534" t="s">
        <v>1738</v>
      </c>
      <c r="E4534" t="s">
        <v>1739</v>
      </c>
      <c r="F4534" t="s">
        <v>24</v>
      </c>
      <c r="G4534" t="s">
        <v>46</v>
      </c>
      <c r="H4534" t="s">
        <v>32</v>
      </c>
      <c r="I4534" t="s">
        <v>84</v>
      </c>
      <c r="J4534" t="s">
        <v>106</v>
      </c>
      <c r="K4534">
        <v>1</v>
      </c>
      <c r="L4534" s="2">
        <v>45.28</v>
      </c>
      <c r="M4534" s="3">
        <v>0.05</v>
      </c>
      <c r="N4534" t="s">
        <v>29</v>
      </c>
      <c r="O4534" s="2">
        <v>43.02</v>
      </c>
      <c r="P4534" s="2">
        <v>33.33</v>
      </c>
      <c r="Q4534" s="2">
        <v>9.69</v>
      </c>
      <c r="R4534">
        <v>1</v>
      </c>
      <c r="S4534">
        <v>0</v>
      </c>
      <c r="T4534">
        <v>7</v>
      </c>
      <c r="U4534">
        <v>4</v>
      </c>
    </row>
    <row r="4535" spans="1:21" ht="16.5" x14ac:dyDescent="0.3">
      <c r="A4535" t="s">
        <v>4623</v>
      </c>
      <c r="B4535" s="1">
        <v>45947</v>
      </c>
      <c r="C4535">
        <v>2025</v>
      </c>
      <c r="D4535" t="s">
        <v>1738</v>
      </c>
      <c r="E4535" t="s">
        <v>1739</v>
      </c>
      <c r="F4535" t="s">
        <v>31</v>
      </c>
      <c r="G4535" t="s">
        <v>49</v>
      </c>
      <c r="H4535" t="s">
        <v>26</v>
      </c>
      <c r="I4535" t="s">
        <v>70</v>
      </c>
      <c r="J4535" t="s">
        <v>71</v>
      </c>
      <c r="K4535">
        <v>1</v>
      </c>
      <c r="L4535" s="2">
        <v>588.41</v>
      </c>
      <c r="M4535" s="3">
        <v>0.1</v>
      </c>
      <c r="N4535" t="s">
        <v>29</v>
      </c>
      <c r="O4535" s="2">
        <v>529.57000000000005</v>
      </c>
      <c r="P4535" s="2">
        <v>484.34</v>
      </c>
      <c r="Q4535" s="2">
        <v>45.23</v>
      </c>
      <c r="R4535">
        <v>1</v>
      </c>
      <c r="S4535">
        <v>0</v>
      </c>
      <c r="T4535">
        <v>3</v>
      </c>
      <c r="U4535">
        <v>4</v>
      </c>
    </row>
    <row r="4536" spans="1:21" ht="16.5" x14ac:dyDescent="0.3">
      <c r="A4536" t="s">
        <v>4624</v>
      </c>
      <c r="B4536" s="1">
        <v>45947</v>
      </c>
      <c r="C4536">
        <v>2025</v>
      </c>
      <c r="D4536" t="s">
        <v>1738</v>
      </c>
      <c r="E4536" t="s">
        <v>1739</v>
      </c>
      <c r="F4536" t="s">
        <v>31</v>
      </c>
      <c r="G4536" t="s">
        <v>49</v>
      </c>
      <c r="H4536" t="s">
        <v>32</v>
      </c>
      <c r="I4536" t="s">
        <v>27</v>
      </c>
      <c r="J4536" t="s">
        <v>33</v>
      </c>
      <c r="K4536">
        <v>1</v>
      </c>
      <c r="L4536" s="2">
        <v>78.510000000000005</v>
      </c>
      <c r="M4536" s="3">
        <v>0.1</v>
      </c>
      <c r="N4536" t="s">
        <v>29</v>
      </c>
      <c r="O4536" s="2">
        <v>70.66</v>
      </c>
      <c r="P4536" s="2">
        <v>40.049999999999997</v>
      </c>
      <c r="Q4536" s="2">
        <v>30.61</v>
      </c>
      <c r="R4536">
        <v>1</v>
      </c>
      <c r="S4536">
        <v>0</v>
      </c>
      <c r="T4536">
        <v>3</v>
      </c>
      <c r="U4536">
        <v>4</v>
      </c>
    </row>
    <row r="4537" spans="1:21" ht="16.5" x14ac:dyDescent="0.3">
      <c r="A4537" t="s">
        <v>4625</v>
      </c>
      <c r="B4537" s="1">
        <v>45948</v>
      </c>
      <c r="C4537">
        <v>2025</v>
      </c>
      <c r="D4537" t="s">
        <v>1738</v>
      </c>
      <c r="E4537" t="s">
        <v>1739</v>
      </c>
      <c r="F4537" t="s">
        <v>24</v>
      </c>
      <c r="G4537" t="s">
        <v>46</v>
      </c>
      <c r="H4537" t="s">
        <v>26</v>
      </c>
      <c r="I4537" t="s">
        <v>70</v>
      </c>
      <c r="J4537" t="s">
        <v>162</v>
      </c>
      <c r="K4537">
        <v>2</v>
      </c>
      <c r="L4537" s="2">
        <v>636.09</v>
      </c>
      <c r="M4537" s="3">
        <v>0</v>
      </c>
      <c r="N4537" t="s">
        <v>38</v>
      </c>
      <c r="O4537" s="2">
        <v>1272.18</v>
      </c>
      <c r="P4537" s="2">
        <v>980.02</v>
      </c>
      <c r="Q4537" s="2">
        <v>292.16000000000003</v>
      </c>
      <c r="R4537">
        <v>1</v>
      </c>
      <c r="S4537">
        <v>0</v>
      </c>
      <c r="T4537">
        <v>5</v>
      </c>
      <c r="U4537">
        <v>4</v>
      </c>
    </row>
    <row r="4538" spans="1:21" ht="16.5" x14ac:dyDescent="0.3">
      <c r="A4538" t="s">
        <v>4626</v>
      </c>
      <c r="B4538" s="1">
        <v>45948</v>
      </c>
      <c r="C4538">
        <v>2025</v>
      </c>
      <c r="D4538" t="s">
        <v>1738</v>
      </c>
      <c r="E4538" t="s">
        <v>1739</v>
      </c>
      <c r="F4538" t="s">
        <v>31</v>
      </c>
      <c r="G4538" t="s">
        <v>25</v>
      </c>
      <c r="H4538" t="s">
        <v>32</v>
      </c>
      <c r="I4538" t="s">
        <v>67</v>
      </c>
      <c r="J4538" t="s">
        <v>78</v>
      </c>
      <c r="K4538">
        <v>1</v>
      </c>
      <c r="L4538" s="2">
        <v>85.42</v>
      </c>
      <c r="M4538" s="3">
        <v>0.2</v>
      </c>
      <c r="N4538" t="s">
        <v>34</v>
      </c>
      <c r="O4538" s="2">
        <v>68.34</v>
      </c>
      <c r="P4538" s="2">
        <v>58.39</v>
      </c>
      <c r="Q4538" s="2">
        <v>9.9499999999999993</v>
      </c>
      <c r="R4538">
        <v>1</v>
      </c>
      <c r="S4538">
        <v>0</v>
      </c>
      <c r="T4538">
        <v>3</v>
      </c>
      <c r="U4538">
        <v>4</v>
      </c>
    </row>
    <row r="4539" spans="1:21" ht="16.5" x14ac:dyDescent="0.3">
      <c r="A4539" t="s">
        <v>4627</v>
      </c>
      <c r="B4539" s="1">
        <v>45948</v>
      </c>
      <c r="C4539">
        <v>2025</v>
      </c>
      <c r="D4539" t="s">
        <v>1738</v>
      </c>
      <c r="E4539" t="s">
        <v>1739</v>
      </c>
      <c r="F4539" t="s">
        <v>24</v>
      </c>
      <c r="G4539" t="s">
        <v>25</v>
      </c>
      <c r="H4539" t="s">
        <v>26</v>
      </c>
      <c r="I4539" t="s">
        <v>84</v>
      </c>
      <c r="J4539" t="s">
        <v>132</v>
      </c>
      <c r="K4539">
        <v>1</v>
      </c>
      <c r="L4539" s="2">
        <v>48.86</v>
      </c>
      <c r="M4539" s="3">
        <v>0.05</v>
      </c>
      <c r="N4539" t="s">
        <v>29</v>
      </c>
      <c r="O4539" s="2">
        <v>46.42</v>
      </c>
      <c r="P4539" s="2">
        <v>35.56</v>
      </c>
      <c r="Q4539" s="2">
        <v>10.86</v>
      </c>
      <c r="R4539">
        <v>1</v>
      </c>
      <c r="S4539">
        <v>0</v>
      </c>
      <c r="T4539">
        <v>3</v>
      </c>
      <c r="U4539">
        <v>4</v>
      </c>
    </row>
    <row r="4540" spans="1:21" ht="16.5" x14ac:dyDescent="0.3">
      <c r="A4540" t="s">
        <v>4628</v>
      </c>
      <c r="B4540" s="1">
        <v>45948</v>
      </c>
      <c r="C4540">
        <v>2025</v>
      </c>
      <c r="D4540" t="s">
        <v>1738</v>
      </c>
      <c r="E4540" t="s">
        <v>1739</v>
      </c>
      <c r="F4540" t="s">
        <v>24</v>
      </c>
      <c r="G4540" t="s">
        <v>49</v>
      </c>
      <c r="H4540" t="s">
        <v>26</v>
      </c>
      <c r="I4540" t="s">
        <v>36</v>
      </c>
      <c r="J4540" t="s">
        <v>126</v>
      </c>
      <c r="K4540">
        <v>1</v>
      </c>
      <c r="L4540" s="2">
        <v>54.56</v>
      </c>
      <c r="M4540" s="3">
        <v>0</v>
      </c>
      <c r="N4540" t="s">
        <v>38</v>
      </c>
      <c r="O4540" s="2">
        <v>54.56</v>
      </c>
      <c r="P4540" s="2">
        <v>25.68</v>
      </c>
      <c r="Q4540" s="2">
        <v>28.88</v>
      </c>
      <c r="R4540">
        <v>1</v>
      </c>
      <c r="S4540">
        <v>0</v>
      </c>
      <c r="T4540">
        <v>5</v>
      </c>
      <c r="U4540">
        <v>5</v>
      </c>
    </row>
    <row r="4541" spans="1:21" ht="16.5" x14ac:dyDescent="0.3">
      <c r="A4541" t="s">
        <v>4629</v>
      </c>
      <c r="B4541" s="1">
        <v>45948</v>
      </c>
      <c r="C4541">
        <v>2025</v>
      </c>
      <c r="D4541" t="s">
        <v>1738</v>
      </c>
      <c r="E4541" t="s">
        <v>1739</v>
      </c>
      <c r="F4541" t="s">
        <v>45</v>
      </c>
      <c r="G4541" t="s">
        <v>51</v>
      </c>
      <c r="H4541" t="s">
        <v>32</v>
      </c>
      <c r="I4541" t="s">
        <v>36</v>
      </c>
      <c r="J4541" t="s">
        <v>37</v>
      </c>
      <c r="K4541">
        <v>1</v>
      </c>
      <c r="L4541" s="2">
        <v>33.18</v>
      </c>
      <c r="M4541" s="3">
        <v>0.15</v>
      </c>
      <c r="N4541" t="s">
        <v>34</v>
      </c>
      <c r="O4541" s="2">
        <v>28.2</v>
      </c>
      <c r="P4541" s="2">
        <v>15.85</v>
      </c>
      <c r="Q4541" s="2">
        <v>12.35</v>
      </c>
      <c r="R4541">
        <v>1</v>
      </c>
      <c r="S4541">
        <v>0</v>
      </c>
      <c r="T4541">
        <v>3</v>
      </c>
      <c r="U4541">
        <v>5</v>
      </c>
    </row>
    <row r="4542" spans="1:21" ht="16.5" x14ac:dyDescent="0.3">
      <c r="A4542" t="s">
        <v>4630</v>
      </c>
      <c r="B4542" s="1">
        <v>45948</v>
      </c>
      <c r="C4542">
        <v>2025</v>
      </c>
      <c r="D4542" t="s">
        <v>1738</v>
      </c>
      <c r="E4542" t="s">
        <v>1739</v>
      </c>
      <c r="F4542" t="s">
        <v>24</v>
      </c>
      <c r="G4542" t="s">
        <v>25</v>
      </c>
      <c r="H4542" t="s">
        <v>32</v>
      </c>
      <c r="I4542" t="s">
        <v>67</v>
      </c>
      <c r="J4542" t="s">
        <v>103</v>
      </c>
      <c r="K4542">
        <v>1</v>
      </c>
      <c r="L4542" s="2">
        <v>83.06</v>
      </c>
      <c r="M4542" s="3">
        <v>0</v>
      </c>
      <c r="N4542" t="s">
        <v>38</v>
      </c>
      <c r="O4542" s="2">
        <v>83.06</v>
      </c>
      <c r="P4542" s="2">
        <v>53.6</v>
      </c>
      <c r="Q4542" s="2">
        <v>29.46</v>
      </c>
      <c r="R4542">
        <v>1</v>
      </c>
      <c r="S4542">
        <v>0</v>
      </c>
      <c r="T4542">
        <v>4</v>
      </c>
      <c r="U4542">
        <v>4</v>
      </c>
    </row>
    <row r="4543" spans="1:21" ht="16.5" x14ac:dyDescent="0.3">
      <c r="A4543" t="s">
        <v>4631</v>
      </c>
      <c r="B4543" s="1">
        <v>45948</v>
      </c>
      <c r="C4543">
        <v>2025</v>
      </c>
      <c r="D4543" t="s">
        <v>1738</v>
      </c>
      <c r="E4543" t="s">
        <v>1739</v>
      </c>
      <c r="F4543" t="s">
        <v>24</v>
      </c>
      <c r="G4543" t="s">
        <v>46</v>
      </c>
      <c r="H4543" t="s">
        <v>26</v>
      </c>
      <c r="I4543" t="s">
        <v>42</v>
      </c>
      <c r="J4543" t="s">
        <v>43</v>
      </c>
      <c r="K4543">
        <v>1</v>
      </c>
      <c r="L4543" s="2">
        <v>154.66</v>
      </c>
      <c r="M4543" s="3">
        <v>0.05</v>
      </c>
      <c r="N4543" t="s">
        <v>29</v>
      </c>
      <c r="O4543" s="2">
        <v>146.93</v>
      </c>
      <c r="P4543" s="2">
        <v>98.82</v>
      </c>
      <c r="Q4543" s="2">
        <v>48.11</v>
      </c>
      <c r="R4543">
        <v>1</v>
      </c>
      <c r="S4543">
        <v>0</v>
      </c>
      <c r="T4543">
        <v>5</v>
      </c>
      <c r="U4543">
        <v>4</v>
      </c>
    </row>
    <row r="4544" spans="1:21" ht="16.5" x14ac:dyDescent="0.3">
      <c r="A4544" t="s">
        <v>4632</v>
      </c>
      <c r="B4544" s="1">
        <v>45948</v>
      </c>
      <c r="C4544">
        <v>2025</v>
      </c>
      <c r="D4544" t="s">
        <v>1738</v>
      </c>
      <c r="E4544" t="s">
        <v>1739</v>
      </c>
      <c r="F4544" t="s">
        <v>31</v>
      </c>
      <c r="G4544" t="s">
        <v>25</v>
      </c>
      <c r="H4544" t="s">
        <v>26</v>
      </c>
      <c r="I4544" t="s">
        <v>27</v>
      </c>
      <c r="J4544" t="s">
        <v>47</v>
      </c>
      <c r="K4544">
        <v>1</v>
      </c>
      <c r="L4544" s="2">
        <v>33.99</v>
      </c>
      <c r="M4544" s="3">
        <v>0.2</v>
      </c>
      <c r="N4544" t="s">
        <v>34</v>
      </c>
      <c r="O4544" s="2">
        <v>27.19</v>
      </c>
      <c r="P4544" s="2">
        <v>18.39</v>
      </c>
      <c r="Q4544" s="2">
        <v>8.8000000000000007</v>
      </c>
      <c r="R4544">
        <v>1</v>
      </c>
      <c r="S4544">
        <v>0</v>
      </c>
      <c r="T4544">
        <v>3</v>
      </c>
      <c r="U4544">
        <v>3</v>
      </c>
    </row>
    <row r="4545" spans="1:21" ht="16.5" x14ac:dyDescent="0.3">
      <c r="A4545" t="s">
        <v>4633</v>
      </c>
      <c r="B4545" s="1">
        <v>45948</v>
      </c>
      <c r="C4545">
        <v>2025</v>
      </c>
      <c r="D4545" t="s">
        <v>1738</v>
      </c>
      <c r="E4545" t="s">
        <v>1739</v>
      </c>
      <c r="F4545" t="s">
        <v>31</v>
      </c>
      <c r="G4545" t="s">
        <v>51</v>
      </c>
      <c r="H4545" t="s">
        <v>32</v>
      </c>
      <c r="I4545" t="s">
        <v>84</v>
      </c>
      <c r="J4545" t="s">
        <v>132</v>
      </c>
      <c r="K4545">
        <v>1</v>
      </c>
      <c r="L4545" s="2">
        <v>48.86</v>
      </c>
      <c r="M4545" s="3">
        <v>0.05</v>
      </c>
      <c r="N4545" t="s">
        <v>29</v>
      </c>
      <c r="O4545" s="2">
        <v>46.42</v>
      </c>
      <c r="P4545" s="2">
        <v>35.93</v>
      </c>
      <c r="Q4545" s="2">
        <v>10.49</v>
      </c>
      <c r="R4545">
        <v>1</v>
      </c>
      <c r="S4545">
        <v>0</v>
      </c>
      <c r="T4545">
        <v>2</v>
      </c>
      <c r="U4545">
        <v>4</v>
      </c>
    </row>
    <row r="4546" spans="1:21" ht="16.5" x14ac:dyDescent="0.3">
      <c r="A4546" t="s">
        <v>4634</v>
      </c>
      <c r="B4546" s="1">
        <v>45948</v>
      </c>
      <c r="C4546">
        <v>2025</v>
      </c>
      <c r="D4546" t="s">
        <v>1738</v>
      </c>
      <c r="E4546" t="s">
        <v>1739</v>
      </c>
      <c r="F4546" t="s">
        <v>24</v>
      </c>
      <c r="G4546" t="s">
        <v>65</v>
      </c>
      <c r="H4546" t="s">
        <v>32</v>
      </c>
      <c r="I4546" t="s">
        <v>70</v>
      </c>
      <c r="J4546" t="s">
        <v>252</v>
      </c>
      <c r="K4546">
        <v>1</v>
      </c>
      <c r="L4546" s="2">
        <v>216.08</v>
      </c>
      <c r="M4546" s="3">
        <v>0</v>
      </c>
      <c r="N4546" t="s">
        <v>38</v>
      </c>
      <c r="O4546" s="2">
        <v>216.08</v>
      </c>
      <c r="P4546" s="2">
        <v>178.19</v>
      </c>
      <c r="Q4546" s="2">
        <v>37.89</v>
      </c>
      <c r="R4546">
        <v>1</v>
      </c>
      <c r="S4546">
        <v>0</v>
      </c>
      <c r="T4546">
        <v>5</v>
      </c>
      <c r="U4546">
        <v>4</v>
      </c>
    </row>
    <row r="4547" spans="1:21" ht="16.5" x14ac:dyDescent="0.3">
      <c r="A4547" t="s">
        <v>4635</v>
      </c>
      <c r="B4547" s="1">
        <v>45948</v>
      </c>
      <c r="C4547">
        <v>2025</v>
      </c>
      <c r="D4547" t="s">
        <v>1738</v>
      </c>
      <c r="E4547" t="s">
        <v>1739</v>
      </c>
      <c r="F4547" t="s">
        <v>24</v>
      </c>
      <c r="G4547" t="s">
        <v>49</v>
      </c>
      <c r="H4547" t="s">
        <v>32</v>
      </c>
      <c r="I4547" t="s">
        <v>27</v>
      </c>
      <c r="J4547" t="s">
        <v>60</v>
      </c>
      <c r="K4547">
        <v>1</v>
      </c>
      <c r="L4547" s="2">
        <v>94.85</v>
      </c>
      <c r="M4547" s="3">
        <v>0.2</v>
      </c>
      <c r="N4547" t="s">
        <v>34</v>
      </c>
      <c r="O4547" s="2">
        <v>75.88</v>
      </c>
      <c r="P4547" s="2">
        <v>50.32</v>
      </c>
      <c r="Q4547" s="2">
        <v>25.56</v>
      </c>
      <c r="R4547">
        <v>1</v>
      </c>
      <c r="S4547">
        <v>0</v>
      </c>
      <c r="T4547">
        <v>5</v>
      </c>
      <c r="U4547">
        <v>4</v>
      </c>
    </row>
    <row r="4548" spans="1:21" ht="16.5" x14ac:dyDescent="0.3">
      <c r="A4548" t="s">
        <v>4636</v>
      </c>
      <c r="B4548" s="1">
        <v>45949</v>
      </c>
      <c r="C4548">
        <v>2025</v>
      </c>
      <c r="D4548" t="s">
        <v>1738</v>
      </c>
      <c r="E4548" t="s">
        <v>1739</v>
      </c>
      <c r="F4548" t="s">
        <v>31</v>
      </c>
      <c r="G4548" t="s">
        <v>65</v>
      </c>
      <c r="H4548" t="s">
        <v>26</v>
      </c>
      <c r="I4548" t="s">
        <v>70</v>
      </c>
      <c r="J4548" t="s">
        <v>87</v>
      </c>
      <c r="K4548">
        <v>3</v>
      </c>
      <c r="L4548" s="2">
        <v>490.3</v>
      </c>
      <c r="M4548" s="3">
        <v>0.15</v>
      </c>
      <c r="N4548" t="s">
        <v>34</v>
      </c>
      <c r="O4548" s="2">
        <v>1250.27</v>
      </c>
      <c r="P4548" s="2">
        <v>1217.94</v>
      </c>
      <c r="Q4548" s="2">
        <v>32.33</v>
      </c>
      <c r="R4548">
        <v>1</v>
      </c>
      <c r="S4548">
        <v>0</v>
      </c>
      <c r="T4548">
        <v>7</v>
      </c>
      <c r="U4548">
        <v>2</v>
      </c>
    </row>
    <row r="4549" spans="1:21" ht="16.5" x14ac:dyDescent="0.3">
      <c r="A4549" t="s">
        <v>4637</v>
      </c>
      <c r="B4549" s="1">
        <v>45949</v>
      </c>
      <c r="C4549">
        <v>2025</v>
      </c>
      <c r="D4549" t="s">
        <v>1738</v>
      </c>
      <c r="E4549" t="s">
        <v>1739</v>
      </c>
      <c r="F4549" t="s">
        <v>31</v>
      </c>
      <c r="G4549" t="s">
        <v>51</v>
      </c>
      <c r="H4549" t="s">
        <v>32</v>
      </c>
      <c r="I4549" t="s">
        <v>27</v>
      </c>
      <c r="J4549" t="s">
        <v>28</v>
      </c>
      <c r="K4549">
        <v>1</v>
      </c>
      <c r="L4549" s="2">
        <v>138.5</v>
      </c>
      <c r="M4549" s="3">
        <v>0.15</v>
      </c>
      <c r="N4549" t="s">
        <v>34</v>
      </c>
      <c r="O4549" s="2">
        <v>117.72</v>
      </c>
      <c r="P4549" s="2">
        <v>74.52</v>
      </c>
      <c r="Q4549" s="2">
        <v>43.2</v>
      </c>
      <c r="R4549">
        <v>1</v>
      </c>
      <c r="S4549">
        <v>1</v>
      </c>
      <c r="T4549">
        <v>3</v>
      </c>
      <c r="U4549">
        <v>4</v>
      </c>
    </row>
    <row r="4550" spans="1:21" ht="16.5" x14ac:dyDescent="0.3">
      <c r="A4550" t="s">
        <v>4638</v>
      </c>
      <c r="B4550" s="1">
        <v>45949</v>
      </c>
      <c r="C4550">
        <v>2025</v>
      </c>
      <c r="D4550" t="s">
        <v>1738</v>
      </c>
      <c r="E4550" t="s">
        <v>1739</v>
      </c>
      <c r="F4550" t="s">
        <v>31</v>
      </c>
      <c r="G4550" t="s">
        <v>51</v>
      </c>
      <c r="H4550" t="s">
        <v>32</v>
      </c>
      <c r="I4550" t="s">
        <v>36</v>
      </c>
      <c r="J4550" t="s">
        <v>126</v>
      </c>
      <c r="K4550">
        <v>1</v>
      </c>
      <c r="L4550" s="2">
        <v>54.56</v>
      </c>
      <c r="M4550" s="3">
        <v>0.05</v>
      </c>
      <c r="N4550" t="s">
        <v>29</v>
      </c>
      <c r="O4550" s="2">
        <v>51.83</v>
      </c>
      <c r="P4550" s="2">
        <v>26.19</v>
      </c>
      <c r="Q4550" s="2">
        <v>25.64</v>
      </c>
      <c r="R4550">
        <v>1</v>
      </c>
      <c r="S4550">
        <v>0</v>
      </c>
      <c r="T4550">
        <v>4</v>
      </c>
      <c r="U4550">
        <v>5</v>
      </c>
    </row>
    <row r="4551" spans="1:21" ht="16.5" x14ac:dyDescent="0.3">
      <c r="A4551" t="s">
        <v>4639</v>
      </c>
      <c r="B4551" s="1">
        <v>45949</v>
      </c>
      <c r="C4551">
        <v>2025</v>
      </c>
      <c r="D4551" t="s">
        <v>1738</v>
      </c>
      <c r="E4551" t="s">
        <v>1739</v>
      </c>
      <c r="F4551" t="s">
        <v>31</v>
      </c>
      <c r="G4551" t="s">
        <v>25</v>
      </c>
      <c r="H4551" t="s">
        <v>26</v>
      </c>
      <c r="I4551" t="s">
        <v>36</v>
      </c>
      <c r="J4551" t="s">
        <v>52</v>
      </c>
      <c r="K4551">
        <v>1</v>
      </c>
      <c r="L4551" s="2">
        <v>92.54</v>
      </c>
      <c r="M4551" s="3">
        <v>0</v>
      </c>
      <c r="N4551" t="s">
        <v>38</v>
      </c>
      <c r="O4551" s="2">
        <v>92.54</v>
      </c>
      <c r="P4551" s="2">
        <v>43.2</v>
      </c>
      <c r="Q4551" s="2">
        <v>49.34</v>
      </c>
      <c r="R4551">
        <v>1</v>
      </c>
      <c r="S4551">
        <v>0</v>
      </c>
      <c r="T4551">
        <v>4</v>
      </c>
      <c r="U4551">
        <v>5</v>
      </c>
    </row>
    <row r="4552" spans="1:21" ht="16.5" x14ac:dyDescent="0.3">
      <c r="A4552" t="s">
        <v>4640</v>
      </c>
      <c r="B4552" s="1">
        <v>45949</v>
      </c>
      <c r="C4552">
        <v>2025</v>
      </c>
      <c r="D4552" t="s">
        <v>1738</v>
      </c>
      <c r="E4552" t="s">
        <v>1739</v>
      </c>
      <c r="F4552" t="s">
        <v>24</v>
      </c>
      <c r="G4552" t="s">
        <v>65</v>
      </c>
      <c r="H4552" t="s">
        <v>32</v>
      </c>
      <c r="I4552" t="s">
        <v>27</v>
      </c>
      <c r="J4552" t="s">
        <v>110</v>
      </c>
      <c r="K4552">
        <v>2</v>
      </c>
      <c r="L4552" s="2">
        <v>19.41</v>
      </c>
      <c r="M4552" s="3">
        <v>0</v>
      </c>
      <c r="N4552" t="s">
        <v>38</v>
      </c>
      <c r="O4552" s="2">
        <v>38.82</v>
      </c>
      <c r="P4552" s="2">
        <v>20.09</v>
      </c>
      <c r="Q4552" s="2">
        <v>18.73</v>
      </c>
      <c r="R4552">
        <v>1</v>
      </c>
      <c r="S4552">
        <v>0</v>
      </c>
      <c r="T4552">
        <v>5</v>
      </c>
      <c r="U4552">
        <v>4</v>
      </c>
    </row>
    <row r="4553" spans="1:21" ht="16.5" x14ac:dyDescent="0.3">
      <c r="A4553" t="s">
        <v>4641</v>
      </c>
      <c r="B4553" s="1">
        <v>45949</v>
      </c>
      <c r="C4553">
        <v>2025</v>
      </c>
      <c r="D4553" t="s">
        <v>1738</v>
      </c>
      <c r="E4553" t="s">
        <v>1739</v>
      </c>
      <c r="F4553" t="s">
        <v>24</v>
      </c>
      <c r="G4553" t="s">
        <v>49</v>
      </c>
      <c r="H4553" t="s">
        <v>26</v>
      </c>
      <c r="I4553" t="s">
        <v>42</v>
      </c>
      <c r="J4553" t="s">
        <v>76</v>
      </c>
      <c r="K4553">
        <v>1</v>
      </c>
      <c r="L4553" s="2">
        <v>90.75</v>
      </c>
      <c r="M4553" s="3">
        <v>0</v>
      </c>
      <c r="N4553" t="s">
        <v>38</v>
      </c>
      <c r="O4553" s="2">
        <v>90.75</v>
      </c>
      <c r="P4553" s="2">
        <v>60.59</v>
      </c>
      <c r="Q4553" s="2">
        <v>30.16</v>
      </c>
      <c r="R4553">
        <v>1</v>
      </c>
      <c r="S4553">
        <v>0</v>
      </c>
      <c r="T4553">
        <v>4</v>
      </c>
      <c r="U4553">
        <v>5</v>
      </c>
    </row>
    <row r="4554" spans="1:21" ht="16.5" x14ac:dyDescent="0.3">
      <c r="A4554" t="s">
        <v>4642</v>
      </c>
      <c r="B4554" s="1">
        <v>45949</v>
      </c>
      <c r="C4554">
        <v>2025</v>
      </c>
      <c r="D4554" t="s">
        <v>1738</v>
      </c>
      <c r="E4554" t="s">
        <v>1739</v>
      </c>
      <c r="F4554" t="s">
        <v>24</v>
      </c>
      <c r="G4554" t="s">
        <v>25</v>
      </c>
      <c r="H4554" t="s">
        <v>26</v>
      </c>
      <c r="I4554" t="s">
        <v>70</v>
      </c>
      <c r="J4554" t="s">
        <v>162</v>
      </c>
      <c r="K4554">
        <v>1</v>
      </c>
      <c r="L4554" s="2">
        <v>636.09</v>
      </c>
      <c r="M4554" s="3">
        <v>0</v>
      </c>
      <c r="N4554" t="s">
        <v>38</v>
      </c>
      <c r="O4554" s="2">
        <v>636.09</v>
      </c>
      <c r="P4554" s="2">
        <v>502.93</v>
      </c>
      <c r="Q4554" s="2">
        <v>133.16</v>
      </c>
      <c r="R4554">
        <v>1</v>
      </c>
      <c r="S4554">
        <v>0</v>
      </c>
      <c r="T4554">
        <v>6</v>
      </c>
      <c r="U4554">
        <v>4</v>
      </c>
    </row>
    <row r="4555" spans="1:21" ht="16.5" x14ac:dyDescent="0.3">
      <c r="A4555" t="s">
        <v>4643</v>
      </c>
      <c r="B4555" s="1">
        <v>45949</v>
      </c>
      <c r="C4555">
        <v>2025</v>
      </c>
      <c r="D4555" t="s">
        <v>1738</v>
      </c>
      <c r="E4555" t="s">
        <v>1739</v>
      </c>
      <c r="F4555" t="s">
        <v>24</v>
      </c>
      <c r="G4555" t="s">
        <v>51</v>
      </c>
      <c r="H4555" t="s">
        <v>32</v>
      </c>
      <c r="I4555" t="s">
        <v>70</v>
      </c>
      <c r="J4555" t="s">
        <v>87</v>
      </c>
      <c r="K4555">
        <v>1</v>
      </c>
      <c r="L4555" s="2">
        <v>490.3</v>
      </c>
      <c r="M4555" s="3">
        <v>0</v>
      </c>
      <c r="N4555" t="s">
        <v>38</v>
      </c>
      <c r="O4555" s="2">
        <v>490.3</v>
      </c>
      <c r="P4555" s="2">
        <v>406.86</v>
      </c>
      <c r="Q4555" s="2">
        <v>83.44</v>
      </c>
      <c r="R4555">
        <v>1</v>
      </c>
      <c r="S4555">
        <v>0</v>
      </c>
      <c r="T4555">
        <v>5</v>
      </c>
      <c r="U4555">
        <v>4</v>
      </c>
    </row>
    <row r="4556" spans="1:21" ht="16.5" x14ac:dyDescent="0.3">
      <c r="A4556" t="s">
        <v>4644</v>
      </c>
      <c r="B4556" s="1">
        <v>45949</v>
      </c>
      <c r="C4556">
        <v>2025</v>
      </c>
      <c r="D4556" t="s">
        <v>1738</v>
      </c>
      <c r="E4556" t="s">
        <v>1739</v>
      </c>
      <c r="F4556" t="s">
        <v>45</v>
      </c>
      <c r="G4556" t="s">
        <v>51</v>
      </c>
      <c r="H4556" t="s">
        <v>32</v>
      </c>
      <c r="I4556" t="s">
        <v>36</v>
      </c>
      <c r="J4556" t="s">
        <v>56</v>
      </c>
      <c r="K4556">
        <v>1</v>
      </c>
      <c r="L4556" s="2">
        <v>74.3</v>
      </c>
      <c r="M4556" s="3">
        <v>0.1</v>
      </c>
      <c r="N4556" t="s">
        <v>29</v>
      </c>
      <c r="O4556" s="2">
        <v>66.87</v>
      </c>
      <c r="P4556" s="2">
        <v>33.57</v>
      </c>
      <c r="Q4556" s="2">
        <v>33.299999999999997</v>
      </c>
      <c r="R4556">
        <v>1</v>
      </c>
      <c r="S4556">
        <v>0</v>
      </c>
      <c r="T4556">
        <v>3</v>
      </c>
      <c r="U4556">
        <v>5</v>
      </c>
    </row>
    <row r="4557" spans="1:21" ht="16.5" x14ac:dyDescent="0.3">
      <c r="A4557" t="s">
        <v>4645</v>
      </c>
      <c r="B4557" s="1">
        <v>45950</v>
      </c>
      <c r="C4557">
        <v>2025</v>
      </c>
      <c r="D4557" t="s">
        <v>1738</v>
      </c>
      <c r="E4557" t="s">
        <v>1739</v>
      </c>
      <c r="F4557" t="s">
        <v>24</v>
      </c>
      <c r="G4557" t="s">
        <v>65</v>
      </c>
      <c r="H4557" t="s">
        <v>32</v>
      </c>
      <c r="I4557" t="s">
        <v>27</v>
      </c>
      <c r="J4557" t="s">
        <v>33</v>
      </c>
      <c r="K4557">
        <v>1</v>
      </c>
      <c r="L4557" s="2">
        <v>78.510000000000005</v>
      </c>
      <c r="M4557" s="3">
        <v>0.1</v>
      </c>
      <c r="N4557" t="s">
        <v>29</v>
      </c>
      <c r="O4557" s="2">
        <v>70.66</v>
      </c>
      <c r="P4557" s="2">
        <v>41.72</v>
      </c>
      <c r="Q4557" s="2">
        <v>28.94</v>
      </c>
      <c r="R4557">
        <v>1</v>
      </c>
      <c r="S4557">
        <v>0</v>
      </c>
      <c r="T4557">
        <v>5</v>
      </c>
      <c r="U4557">
        <v>4</v>
      </c>
    </row>
    <row r="4558" spans="1:21" ht="16.5" x14ac:dyDescent="0.3">
      <c r="A4558" t="s">
        <v>4646</v>
      </c>
      <c r="B4558" s="1">
        <v>45950</v>
      </c>
      <c r="C4558">
        <v>2025</v>
      </c>
      <c r="D4558" t="s">
        <v>1738</v>
      </c>
      <c r="E4558" t="s">
        <v>1739</v>
      </c>
      <c r="F4558" t="s">
        <v>45</v>
      </c>
      <c r="G4558" t="s">
        <v>51</v>
      </c>
      <c r="H4558" t="s">
        <v>32</v>
      </c>
      <c r="I4558" t="s">
        <v>27</v>
      </c>
      <c r="J4558" t="s">
        <v>28</v>
      </c>
      <c r="K4558">
        <v>1</v>
      </c>
      <c r="L4558" s="2">
        <v>138.5</v>
      </c>
      <c r="M4558" s="3">
        <v>0.05</v>
      </c>
      <c r="N4558" t="s">
        <v>29</v>
      </c>
      <c r="O4558" s="2">
        <v>131.57</v>
      </c>
      <c r="P4558" s="2">
        <v>70.83</v>
      </c>
      <c r="Q4558" s="2">
        <v>60.74</v>
      </c>
      <c r="R4558">
        <v>1</v>
      </c>
      <c r="S4558">
        <v>1</v>
      </c>
      <c r="T4558">
        <v>6</v>
      </c>
      <c r="U4558">
        <v>2</v>
      </c>
    </row>
    <row r="4559" spans="1:21" ht="16.5" x14ac:dyDescent="0.3">
      <c r="A4559" t="s">
        <v>4647</v>
      </c>
      <c r="B4559" s="1">
        <v>45950</v>
      </c>
      <c r="C4559">
        <v>2025</v>
      </c>
      <c r="D4559" t="s">
        <v>1738</v>
      </c>
      <c r="E4559" t="s">
        <v>1739</v>
      </c>
      <c r="F4559" t="s">
        <v>31</v>
      </c>
      <c r="G4559" t="s">
        <v>46</v>
      </c>
      <c r="H4559" t="s">
        <v>26</v>
      </c>
      <c r="I4559" t="s">
        <v>36</v>
      </c>
      <c r="J4559" t="s">
        <v>56</v>
      </c>
      <c r="K4559">
        <v>1</v>
      </c>
      <c r="L4559" s="2">
        <v>74.3</v>
      </c>
      <c r="M4559" s="3">
        <v>0.1</v>
      </c>
      <c r="N4559" t="s">
        <v>29</v>
      </c>
      <c r="O4559" s="2">
        <v>66.87</v>
      </c>
      <c r="P4559" s="2">
        <v>34.93</v>
      </c>
      <c r="Q4559" s="2">
        <v>31.94</v>
      </c>
      <c r="R4559">
        <v>1</v>
      </c>
      <c r="S4559">
        <v>0</v>
      </c>
      <c r="T4559">
        <v>7</v>
      </c>
      <c r="U4559">
        <v>4</v>
      </c>
    </row>
    <row r="4560" spans="1:21" ht="16.5" x14ac:dyDescent="0.3">
      <c r="A4560" t="s">
        <v>4648</v>
      </c>
      <c r="B4560" s="1">
        <v>45950</v>
      </c>
      <c r="C4560">
        <v>2025</v>
      </c>
      <c r="D4560" t="s">
        <v>1738</v>
      </c>
      <c r="E4560" t="s">
        <v>1739</v>
      </c>
      <c r="F4560" t="s">
        <v>24</v>
      </c>
      <c r="G4560" t="s">
        <v>25</v>
      </c>
      <c r="H4560" t="s">
        <v>26</v>
      </c>
      <c r="I4560" t="s">
        <v>42</v>
      </c>
      <c r="J4560" t="s">
        <v>76</v>
      </c>
      <c r="K4560">
        <v>1</v>
      </c>
      <c r="L4560" s="2">
        <v>90.75</v>
      </c>
      <c r="M4560" s="3">
        <v>0.1</v>
      </c>
      <c r="N4560" t="s">
        <v>29</v>
      </c>
      <c r="O4560" s="2">
        <v>81.680000000000007</v>
      </c>
      <c r="P4560" s="2">
        <v>60.72</v>
      </c>
      <c r="Q4560" s="2">
        <v>20.96</v>
      </c>
      <c r="R4560">
        <v>1</v>
      </c>
      <c r="S4560">
        <v>0</v>
      </c>
      <c r="T4560">
        <v>3</v>
      </c>
      <c r="U4560">
        <v>4</v>
      </c>
    </row>
    <row r="4561" spans="1:21" ht="16.5" x14ac:dyDescent="0.3">
      <c r="A4561" t="s">
        <v>4649</v>
      </c>
      <c r="B4561" s="1">
        <v>45950</v>
      </c>
      <c r="C4561">
        <v>2025</v>
      </c>
      <c r="D4561" t="s">
        <v>1738</v>
      </c>
      <c r="E4561" t="s">
        <v>1739</v>
      </c>
      <c r="F4561" t="s">
        <v>31</v>
      </c>
      <c r="G4561" t="s">
        <v>25</v>
      </c>
      <c r="H4561" t="s">
        <v>32</v>
      </c>
      <c r="I4561" t="s">
        <v>70</v>
      </c>
      <c r="J4561" t="s">
        <v>71</v>
      </c>
      <c r="K4561">
        <v>1</v>
      </c>
      <c r="L4561" s="2">
        <v>588.41</v>
      </c>
      <c r="M4561" s="3">
        <v>0.15</v>
      </c>
      <c r="N4561" t="s">
        <v>34</v>
      </c>
      <c r="O4561" s="2">
        <v>500.15</v>
      </c>
      <c r="P4561" s="2">
        <v>477.13</v>
      </c>
      <c r="Q4561" s="2">
        <v>23.02</v>
      </c>
      <c r="R4561">
        <v>1</v>
      </c>
      <c r="S4561">
        <v>0</v>
      </c>
      <c r="T4561">
        <v>4</v>
      </c>
      <c r="U4561">
        <v>5</v>
      </c>
    </row>
    <row r="4562" spans="1:21" ht="16.5" x14ac:dyDescent="0.3">
      <c r="A4562" t="s">
        <v>4650</v>
      </c>
      <c r="B4562" s="1">
        <v>45951</v>
      </c>
      <c r="C4562">
        <v>2025</v>
      </c>
      <c r="D4562" t="s">
        <v>1738</v>
      </c>
      <c r="E4562" t="s">
        <v>1739</v>
      </c>
      <c r="F4562" t="s">
        <v>31</v>
      </c>
      <c r="G4562" t="s">
        <v>49</v>
      </c>
      <c r="H4562" t="s">
        <v>32</v>
      </c>
      <c r="I4562" t="s">
        <v>67</v>
      </c>
      <c r="J4562" t="s">
        <v>174</v>
      </c>
      <c r="K4562">
        <v>3</v>
      </c>
      <c r="L4562" s="2">
        <v>137.05000000000001</v>
      </c>
      <c r="M4562" s="3">
        <v>0.1</v>
      </c>
      <c r="N4562" t="s">
        <v>29</v>
      </c>
      <c r="O4562" s="2">
        <v>370.04</v>
      </c>
      <c r="P4562" s="2">
        <v>260.60000000000002</v>
      </c>
      <c r="Q4562" s="2">
        <v>109.44</v>
      </c>
      <c r="R4562">
        <v>1</v>
      </c>
      <c r="S4562">
        <v>0</v>
      </c>
      <c r="T4562">
        <v>3</v>
      </c>
      <c r="U4562">
        <v>4</v>
      </c>
    </row>
    <row r="4563" spans="1:21" ht="16.5" x14ac:dyDescent="0.3">
      <c r="A4563" t="s">
        <v>4651</v>
      </c>
      <c r="B4563" s="1">
        <v>45951</v>
      </c>
      <c r="C4563">
        <v>2025</v>
      </c>
      <c r="D4563" t="s">
        <v>1738</v>
      </c>
      <c r="E4563" t="s">
        <v>1739</v>
      </c>
      <c r="F4563" t="s">
        <v>31</v>
      </c>
      <c r="G4563" t="s">
        <v>51</v>
      </c>
      <c r="H4563" t="s">
        <v>26</v>
      </c>
      <c r="I4563" t="s">
        <v>42</v>
      </c>
      <c r="J4563" t="s">
        <v>58</v>
      </c>
      <c r="K4563">
        <v>2</v>
      </c>
      <c r="L4563" s="2">
        <v>233.81</v>
      </c>
      <c r="M4563" s="3">
        <v>0</v>
      </c>
      <c r="N4563" t="s">
        <v>38</v>
      </c>
      <c r="O4563" s="2">
        <v>467.62</v>
      </c>
      <c r="P4563" s="2">
        <v>307.79000000000002</v>
      </c>
      <c r="Q4563" s="2">
        <v>159.83000000000001</v>
      </c>
      <c r="R4563">
        <v>1</v>
      </c>
      <c r="S4563">
        <v>1</v>
      </c>
      <c r="T4563">
        <v>2</v>
      </c>
      <c r="U4563">
        <v>4</v>
      </c>
    </row>
    <row r="4564" spans="1:21" ht="16.5" x14ac:dyDescent="0.3">
      <c r="A4564" t="s">
        <v>4652</v>
      </c>
      <c r="B4564" s="1">
        <v>45951</v>
      </c>
      <c r="C4564">
        <v>2025</v>
      </c>
      <c r="D4564" t="s">
        <v>1738</v>
      </c>
      <c r="E4564" t="s">
        <v>1739</v>
      </c>
      <c r="F4564" t="s">
        <v>31</v>
      </c>
      <c r="G4564" t="s">
        <v>49</v>
      </c>
      <c r="H4564" t="s">
        <v>26</v>
      </c>
      <c r="I4564" t="s">
        <v>42</v>
      </c>
      <c r="J4564" t="s">
        <v>54</v>
      </c>
      <c r="K4564">
        <v>1</v>
      </c>
      <c r="L4564" s="2">
        <v>148.05000000000001</v>
      </c>
      <c r="M4564" s="3">
        <v>0</v>
      </c>
      <c r="N4564" t="s">
        <v>38</v>
      </c>
      <c r="O4564" s="2">
        <v>148.05000000000001</v>
      </c>
      <c r="P4564" s="2">
        <v>93.97</v>
      </c>
      <c r="Q4564" s="2">
        <v>54.08</v>
      </c>
      <c r="R4564">
        <v>1</v>
      </c>
      <c r="S4564">
        <v>0</v>
      </c>
      <c r="T4564">
        <v>3</v>
      </c>
      <c r="U4564">
        <v>4</v>
      </c>
    </row>
    <row r="4565" spans="1:21" ht="16.5" x14ac:dyDescent="0.3">
      <c r="A4565" t="s">
        <v>4653</v>
      </c>
      <c r="B4565" s="1">
        <v>45951</v>
      </c>
      <c r="C4565">
        <v>2025</v>
      </c>
      <c r="D4565" t="s">
        <v>1738</v>
      </c>
      <c r="E4565" t="s">
        <v>1739</v>
      </c>
      <c r="F4565" t="s">
        <v>31</v>
      </c>
      <c r="G4565" t="s">
        <v>51</v>
      </c>
      <c r="H4565" t="s">
        <v>26</v>
      </c>
      <c r="I4565" t="s">
        <v>27</v>
      </c>
      <c r="J4565" t="s">
        <v>40</v>
      </c>
      <c r="K4565">
        <v>1</v>
      </c>
      <c r="L4565" s="2">
        <v>104.94</v>
      </c>
      <c r="M4565" s="3">
        <v>0.15</v>
      </c>
      <c r="N4565" t="s">
        <v>34</v>
      </c>
      <c r="O4565" s="2">
        <v>89.2</v>
      </c>
      <c r="P4565" s="2">
        <v>55.66</v>
      </c>
      <c r="Q4565" s="2">
        <v>33.54</v>
      </c>
      <c r="R4565">
        <v>1</v>
      </c>
      <c r="S4565">
        <v>0</v>
      </c>
      <c r="T4565">
        <v>3</v>
      </c>
      <c r="U4565">
        <v>5</v>
      </c>
    </row>
    <row r="4566" spans="1:21" ht="16.5" x14ac:dyDescent="0.3">
      <c r="A4566" t="s">
        <v>4654</v>
      </c>
      <c r="B4566" s="1">
        <v>45951</v>
      </c>
      <c r="C4566">
        <v>2025</v>
      </c>
      <c r="D4566" t="s">
        <v>1738</v>
      </c>
      <c r="E4566" t="s">
        <v>1739</v>
      </c>
      <c r="F4566" t="s">
        <v>31</v>
      </c>
      <c r="G4566" t="s">
        <v>25</v>
      </c>
      <c r="H4566" t="s">
        <v>32</v>
      </c>
      <c r="I4566" t="s">
        <v>42</v>
      </c>
      <c r="J4566" t="s">
        <v>98</v>
      </c>
      <c r="K4566">
        <v>1</v>
      </c>
      <c r="L4566" s="2">
        <v>117.63</v>
      </c>
      <c r="M4566" s="3">
        <v>0.2</v>
      </c>
      <c r="N4566" t="s">
        <v>34</v>
      </c>
      <c r="O4566" s="2">
        <v>94.1</v>
      </c>
      <c r="P4566" s="2">
        <v>74.790000000000006</v>
      </c>
      <c r="Q4566" s="2">
        <v>19.309999999999999</v>
      </c>
      <c r="R4566">
        <v>1</v>
      </c>
      <c r="S4566">
        <v>0</v>
      </c>
      <c r="T4566">
        <v>4</v>
      </c>
      <c r="U4566">
        <v>4</v>
      </c>
    </row>
    <row r="4567" spans="1:21" ht="16.5" x14ac:dyDescent="0.3">
      <c r="A4567" t="s">
        <v>4655</v>
      </c>
      <c r="B4567" s="1">
        <v>45951</v>
      </c>
      <c r="C4567">
        <v>2025</v>
      </c>
      <c r="D4567" t="s">
        <v>1738</v>
      </c>
      <c r="E4567" t="s">
        <v>1739</v>
      </c>
      <c r="F4567" t="s">
        <v>31</v>
      </c>
      <c r="G4567" t="s">
        <v>65</v>
      </c>
      <c r="H4567" t="s">
        <v>32</v>
      </c>
      <c r="I4567" t="s">
        <v>27</v>
      </c>
      <c r="J4567" t="s">
        <v>110</v>
      </c>
      <c r="K4567">
        <v>1</v>
      </c>
      <c r="L4567" s="2">
        <v>19.41</v>
      </c>
      <c r="M4567" s="3">
        <v>0.15</v>
      </c>
      <c r="N4567" t="s">
        <v>34</v>
      </c>
      <c r="O4567" s="2">
        <v>16.5</v>
      </c>
      <c r="P4567" s="2">
        <v>10.94</v>
      </c>
      <c r="Q4567" s="2">
        <v>5.56</v>
      </c>
      <c r="R4567">
        <v>1</v>
      </c>
      <c r="S4567">
        <v>0</v>
      </c>
      <c r="T4567">
        <v>5</v>
      </c>
      <c r="U4567">
        <v>5</v>
      </c>
    </row>
    <row r="4568" spans="1:21" ht="16.5" x14ac:dyDescent="0.3">
      <c r="A4568" t="s">
        <v>4656</v>
      </c>
      <c r="B4568" s="1">
        <v>45951</v>
      </c>
      <c r="C4568">
        <v>2025</v>
      </c>
      <c r="D4568" t="s">
        <v>1738</v>
      </c>
      <c r="E4568" t="s">
        <v>1739</v>
      </c>
      <c r="F4568" t="s">
        <v>31</v>
      </c>
      <c r="G4568" t="s">
        <v>46</v>
      </c>
      <c r="H4568" t="s">
        <v>26</v>
      </c>
      <c r="I4568" t="s">
        <v>36</v>
      </c>
      <c r="J4568" t="s">
        <v>115</v>
      </c>
      <c r="K4568">
        <v>2</v>
      </c>
      <c r="L4568" s="2">
        <v>33.479999999999997</v>
      </c>
      <c r="M4568" s="3">
        <v>0.25</v>
      </c>
      <c r="N4568" t="s">
        <v>62</v>
      </c>
      <c r="O4568" s="2">
        <v>50.22</v>
      </c>
      <c r="P4568" s="2">
        <v>31.18</v>
      </c>
      <c r="Q4568" s="2">
        <v>19.04</v>
      </c>
      <c r="R4568">
        <v>1</v>
      </c>
      <c r="S4568">
        <v>0</v>
      </c>
      <c r="T4568">
        <v>6</v>
      </c>
      <c r="U4568">
        <v>3</v>
      </c>
    </row>
    <row r="4569" spans="1:21" ht="16.5" x14ac:dyDescent="0.3">
      <c r="A4569" t="s">
        <v>4657</v>
      </c>
      <c r="B4569" s="1">
        <v>45951</v>
      </c>
      <c r="C4569">
        <v>2025</v>
      </c>
      <c r="D4569" t="s">
        <v>1738</v>
      </c>
      <c r="E4569" t="s">
        <v>1739</v>
      </c>
      <c r="F4569" t="s">
        <v>24</v>
      </c>
      <c r="G4569" t="s">
        <v>51</v>
      </c>
      <c r="H4569" t="s">
        <v>26</v>
      </c>
      <c r="I4569" t="s">
        <v>70</v>
      </c>
      <c r="J4569" t="s">
        <v>162</v>
      </c>
      <c r="K4569">
        <v>1</v>
      </c>
      <c r="L4569" s="2">
        <v>636.09</v>
      </c>
      <c r="M4569" s="3">
        <v>0</v>
      </c>
      <c r="N4569" t="s">
        <v>38</v>
      </c>
      <c r="O4569" s="2">
        <v>636.09</v>
      </c>
      <c r="P4569" s="2">
        <v>513.89</v>
      </c>
      <c r="Q4569" s="2">
        <v>122.2</v>
      </c>
      <c r="R4569">
        <v>1</v>
      </c>
      <c r="S4569">
        <v>0</v>
      </c>
      <c r="T4569">
        <v>5</v>
      </c>
      <c r="U4569">
        <v>4</v>
      </c>
    </row>
    <row r="4570" spans="1:21" ht="16.5" x14ac:dyDescent="0.3">
      <c r="A4570" t="s">
        <v>4658</v>
      </c>
      <c r="B4570" s="1">
        <v>45951</v>
      </c>
      <c r="C4570">
        <v>2025</v>
      </c>
      <c r="D4570" t="s">
        <v>1738</v>
      </c>
      <c r="E4570" t="s">
        <v>1739</v>
      </c>
      <c r="F4570" t="s">
        <v>24</v>
      </c>
      <c r="G4570" t="s">
        <v>25</v>
      </c>
      <c r="H4570" t="s">
        <v>26</v>
      </c>
      <c r="I4570" t="s">
        <v>70</v>
      </c>
      <c r="J4570" t="s">
        <v>87</v>
      </c>
      <c r="K4570">
        <v>1</v>
      </c>
      <c r="L4570" s="2">
        <v>490.3</v>
      </c>
      <c r="M4570" s="3">
        <v>0.1</v>
      </c>
      <c r="N4570" t="s">
        <v>29</v>
      </c>
      <c r="O4570" s="2">
        <v>441.27</v>
      </c>
      <c r="P4570" s="2">
        <v>417.12</v>
      </c>
      <c r="Q4570" s="2">
        <v>24.15</v>
      </c>
      <c r="R4570">
        <v>1</v>
      </c>
      <c r="S4570">
        <v>0</v>
      </c>
      <c r="T4570">
        <v>4</v>
      </c>
      <c r="U4570">
        <v>5</v>
      </c>
    </row>
    <row r="4571" spans="1:21" ht="16.5" x14ac:dyDescent="0.3">
      <c r="A4571" t="s">
        <v>4659</v>
      </c>
      <c r="B4571" s="1">
        <v>45951</v>
      </c>
      <c r="C4571">
        <v>2025</v>
      </c>
      <c r="D4571" t="s">
        <v>1738</v>
      </c>
      <c r="E4571" t="s">
        <v>1739</v>
      </c>
      <c r="F4571" t="s">
        <v>45</v>
      </c>
      <c r="G4571" t="s">
        <v>49</v>
      </c>
      <c r="H4571" t="s">
        <v>26</v>
      </c>
      <c r="I4571" t="s">
        <v>27</v>
      </c>
      <c r="J4571" t="s">
        <v>110</v>
      </c>
      <c r="K4571">
        <v>1</v>
      </c>
      <c r="L4571" s="2">
        <v>19.41</v>
      </c>
      <c r="M4571" s="3">
        <v>0</v>
      </c>
      <c r="N4571" t="s">
        <v>38</v>
      </c>
      <c r="O4571" s="2">
        <v>19.41</v>
      </c>
      <c r="P4571" s="2">
        <v>10.63</v>
      </c>
      <c r="Q4571" s="2">
        <v>8.7799999999999994</v>
      </c>
      <c r="R4571">
        <v>1</v>
      </c>
      <c r="S4571">
        <v>0</v>
      </c>
      <c r="T4571">
        <v>4</v>
      </c>
      <c r="U4571">
        <v>5</v>
      </c>
    </row>
    <row r="4572" spans="1:21" ht="16.5" x14ac:dyDescent="0.3">
      <c r="A4572" t="s">
        <v>4660</v>
      </c>
      <c r="B4572" s="1">
        <v>45951</v>
      </c>
      <c r="C4572">
        <v>2025</v>
      </c>
      <c r="D4572" t="s">
        <v>1738</v>
      </c>
      <c r="E4572" t="s">
        <v>1739</v>
      </c>
      <c r="F4572" t="s">
        <v>31</v>
      </c>
      <c r="G4572" t="s">
        <v>49</v>
      </c>
      <c r="H4572" t="s">
        <v>26</v>
      </c>
      <c r="I4572" t="s">
        <v>42</v>
      </c>
      <c r="J4572" t="s">
        <v>58</v>
      </c>
      <c r="K4572">
        <v>2</v>
      </c>
      <c r="L4572" s="2">
        <v>233.81</v>
      </c>
      <c r="M4572" s="3">
        <v>0.15</v>
      </c>
      <c r="N4572" t="s">
        <v>34</v>
      </c>
      <c r="O4572" s="2">
        <v>397.48</v>
      </c>
      <c r="P4572" s="2">
        <v>303.93</v>
      </c>
      <c r="Q4572" s="2">
        <v>93.55</v>
      </c>
      <c r="R4572">
        <v>1</v>
      </c>
      <c r="S4572">
        <v>0</v>
      </c>
      <c r="T4572">
        <v>4</v>
      </c>
      <c r="U4572">
        <v>4</v>
      </c>
    </row>
    <row r="4573" spans="1:21" ht="16.5" x14ac:dyDescent="0.3">
      <c r="A4573" t="s">
        <v>4661</v>
      </c>
      <c r="B4573" s="1">
        <v>45951</v>
      </c>
      <c r="C4573">
        <v>2025</v>
      </c>
      <c r="D4573" t="s">
        <v>1738</v>
      </c>
      <c r="E4573" t="s">
        <v>1739</v>
      </c>
      <c r="F4573" t="s">
        <v>24</v>
      </c>
      <c r="G4573" t="s">
        <v>49</v>
      </c>
      <c r="H4573" t="s">
        <v>32</v>
      </c>
      <c r="I4573" t="s">
        <v>70</v>
      </c>
      <c r="J4573" t="s">
        <v>129</v>
      </c>
      <c r="K4573">
        <v>1</v>
      </c>
      <c r="L4573" s="2">
        <v>177.65</v>
      </c>
      <c r="M4573" s="3">
        <v>0.2</v>
      </c>
      <c r="N4573" t="s">
        <v>34</v>
      </c>
      <c r="O4573" s="2">
        <v>142.12</v>
      </c>
      <c r="P4573" s="2">
        <v>135.94999999999999</v>
      </c>
      <c r="Q4573" s="2">
        <v>6.17</v>
      </c>
      <c r="R4573">
        <v>1</v>
      </c>
      <c r="S4573">
        <v>0</v>
      </c>
      <c r="T4573">
        <v>4</v>
      </c>
      <c r="U4573">
        <v>5</v>
      </c>
    </row>
    <row r="4574" spans="1:21" ht="16.5" x14ac:dyDescent="0.3">
      <c r="A4574" t="s">
        <v>4662</v>
      </c>
      <c r="B4574" s="1">
        <v>45952</v>
      </c>
      <c r="C4574">
        <v>2025</v>
      </c>
      <c r="D4574" t="s">
        <v>1738</v>
      </c>
      <c r="E4574" t="s">
        <v>1739</v>
      </c>
      <c r="F4574" t="s">
        <v>31</v>
      </c>
      <c r="G4574" t="s">
        <v>51</v>
      </c>
      <c r="H4574" t="s">
        <v>26</v>
      </c>
      <c r="I4574" t="s">
        <v>27</v>
      </c>
      <c r="J4574" t="s">
        <v>28</v>
      </c>
      <c r="K4574">
        <v>2</v>
      </c>
      <c r="L4574" s="2">
        <v>138.5</v>
      </c>
      <c r="M4574" s="3">
        <v>0.1</v>
      </c>
      <c r="N4574" t="s">
        <v>29</v>
      </c>
      <c r="O4574" s="2">
        <v>249.3</v>
      </c>
      <c r="P4574" s="2">
        <v>147.09</v>
      </c>
      <c r="Q4574" s="2">
        <v>102.21</v>
      </c>
      <c r="R4574">
        <v>1</v>
      </c>
      <c r="S4574">
        <v>0</v>
      </c>
      <c r="T4574">
        <v>5</v>
      </c>
      <c r="U4574">
        <v>4</v>
      </c>
    </row>
    <row r="4575" spans="1:21" ht="16.5" x14ac:dyDescent="0.3">
      <c r="A4575" t="s">
        <v>4663</v>
      </c>
      <c r="B4575" s="1">
        <v>45952</v>
      </c>
      <c r="C4575">
        <v>2025</v>
      </c>
      <c r="D4575" t="s">
        <v>1738</v>
      </c>
      <c r="E4575" t="s">
        <v>1739</v>
      </c>
      <c r="F4575" t="s">
        <v>31</v>
      </c>
      <c r="G4575" t="s">
        <v>51</v>
      </c>
      <c r="H4575" t="s">
        <v>32</v>
      </c>
      <c r="I4575" t="s">
        <v>27</v>
      </c>
      <c r="J4575" t="s">
        <v>110</v>
      </c>
      <c r="K4575">
        <v>3</v>
      </c>
      <c r="L4575" s="2">
        <v>19.41</v>
      </c>
      <c r="M4575" s="3">
        <v>0.1</v>
      </c>
      <c r="N4575" t="s">
        <v>29</v>
      </c>
      <c r="O4575" s="2">
        <v>52.41</v>
      </c>
      <c r="P4575" s="2">
        <v>29.98</v>
      </c>
      <c r="Q4575" s="2">
        <v>22.43</v>
      </c>
      <c r="R4575">
        <v>1</v>
      </c>
      <c r="S4575">
        <v>0</v>
      </c>
      <c r="T4575">
        <v>2</v>
      </c>
      <c r="U4575">
        <v>5</v>
      </c>
    </row>
    <row r="4576" spans="1:21" ht="16.5" x14ac:dyDescent="0.3">
      <c r="A4576" t="s">
        <v>4664</v>
      </c>
      <c r="B4576" s="1">
        <v>45952</v>
      </c>
      <c r="C4576">
        <v>2025</v>
      </c>
      <c r="D4576" t="s">
        <v>1738</v>
      </c>
      <c r="E4576" t="s">
        <v>1739</v>
      </c>
      <c r="F4576" t="s">
        <v>31</v>
      </c>
      <c r="G4576" t="s">
        <v>49</v>
      </c>
      <c r="H4576" t="s">
        <v>26</v>
      </c>
      <c r="I4576" t="s">
        <v>42</v>
      </c>
      <c r="J4576" t="s">
        <v>98</v>
      </c>
      <c r="K4576">
        <v>1</v>
      </c>
      <c r="L4576" s="2">
        <v>117.63</v>
      </c>
      <c r="M4576" s="3">
        <v>0</v>
      </c>
      <c r="N4576" t="s">
        <v>38</v>
      </c>
      <c r="O4576" s="2">
        <v>117.63</v>
      </c>
      <c r="P4576" s="2">
        <v>75.86</v>
      </c>
      <c r="Q4576" s="2">
        <v>41.77</v>
      </c>
      <c r="R4576">
        <v>1</v>
      </c>
      <c r="S4576">
        <v>0</v>
      </c>
      <c r="T4576">
        <v>6</v>
      </c>
      <c r="U4576">
        <v>4</v>
      </c>
    </row>
    <row r="4577" spans="1:21" ht="16.5" x14ac:dyDescent="0.3">
      <c r="A4577" t="s">
        <v>4665</v>
      </c>
      <c r="B4577" s="1">
        <v>45952</v>
      </c>
      <c r="C4577">
        <v>2025</v>
      </c>
      <c r="D4577" t="s">
        <v>1738</v>
      </c>
      <c r="E4577" t="s">
        <v>1739</v>
      </c>
      <c r="F4577" t="s">
        <v>45</v>
      </c>
      <c r="G4577" t="s">
        <v>25</v>
      </c>
      <c r="H4577" t="s">
        <v>26</v>
      </c>
      <c r="I4577" t="s">
        <v>42</v>
      </c>
      <c r="J4577" t="s">
        <v>58</v>
      </c>
      <c r="K4577">
        <v>1</v>
      </c>
      <c r="L4577" s="2">
        <v>233.81</v>
      </c>
      <c r="M4577" s="3">
        <v>0.15</v>
      </c>
      <c r="N4577" t="s">
        <v>34</v>
      </c>
      <c r="O4577" s="2">
        <v>198.74</v>
      </c>
      <c r="P4577" s="2">
        <v>156.15</v>
      </c>
      <c r="Q4577" s="2">
        <v>42.59</v>
      </c>
      <c r="R4577">
        <v>1</v>
      </c>
      <c r="S4577">
        <v>0</v>
      </c>
      <c r="T4577">
        <v>4</v>
      </c>
      <c r="U4577">
        <v>4</v>
      </c>
    </row>
    <row r="4578" spans="1:21" ht="16.5" x14ac:dyDescent="0.3">
      <c r="A4578" t="s">
        <v>4666</v>
      </c>
      <c r="B4578" s="1">
        <v>45952</v>
      </c>
      <c r="C4578">
        <v>2025</v>
      </c>
      <c r="D4578" t="s">
        <v>1738</v>
      </c>
      <c r="E4578" t="s">
        <v>1739</v>
      </c>
      <c r="F4578" t="s">
        <v>31</v>
      </c>
      <c r="G4578" t="s">
        <v>65</v>
      </c>
      <c r="H4578" t="s">
        <v>26</v>
      </c>
      <c r="I4578" t="s">
        <v>36</v>
      </c>
      <c r="J4578" t="s">
        <v>52</v>
      </c>
      <c r="K4578">
        <v>2</v>
      </c>
      <c r="L4578" s="2">
        <v>92.54</v>
      </c>
      <c r="M4578" s="3">
        <v>0.05</v>
      </c>
      <c r="N4578" t="s">
        <v>29</v>
      </c>
      <c r="O4578" s="2">
        <v>175.83</v>
      </c>
      <c r="P4578" s="2">
        <v>89.29</v>
      </c>
      <c r="Q4578" s="2">
        <v>86.54</v>
      </c>
      <c r="R4578">
        <v>1</v>
      </c>
      <c r="S4578">
        <v>0</v>
      </c>
      <c r="T4578">
        <v>5</v>
      </c>
      <c r="U4578">
        <v>4</v>
      </c>
    </row>
    <row r="4579" spans="1:21" ht="16.5" x14ac:dyDescent="0.3">
      <c r="A4579" t="s">
        <v>4667</v>
      </c>
      <c r="B4579" s="1">
        <v>45952</v>
      </c>
      <c r="C4579">
        <v>2025</v>
      </c>
      <c r="D4579" t="s">
        <v>1738</v>
      </c>
      <c r="E4579" t="s">
        <v>1739</v>
      </c>
      <c r="F4579" t="s">
        <v>24</v>
      </c>
      <c r="G4579" t="s">
        <v>49</v>
      </c>
      <c r="H4579" t="s">
        <v>32</v>
      </c>
      <c r="I4579" t="s">
        <v>36</v>
      </c>
      <c r="J4579" t="s">
        <v>37</v>
      </c>
      <c r="K4579">
        <v>1</v>
      </c>
      <c r="L4579" s="2">
        <v>33.18</v>
      </c>
      <c r="M4579" s="3">
        <v>0.2</v>
      </c>
      <c r="N4579" t="s">
        <v>34</v>
      </c>
      <c r="O4579" s="2">
        <v>26.54</v>
      </c>
      <c r="P4579" s="2">
        <v>15.6</v>
      </c>
      <c r="Q4579" s="2">
        <v>10.94</v>
      </c>
      <c r="R4579">
        <v>1</v>
      </c>
      <c r="S4579">
        <v>1</v>
      </c>
      <c r="T4579">
        <v>4</v>
      </c>
      <c r="U4579">
        <v>4</v>
      </c>
    </row>
    <row r="4580" spans="1:21" ht="16.5" x14ac:dyDescent="0.3">
      <c r="A4580" t="s">
        <v>4668</v>
      </c>
      <c r="B4580" s="1">
        <v>45953</v>
      </c>
      <c r="C4580">
        <v>2025</v>
      </c>
      <c r="D4580" t="s">
        <v>1738</v>
      </c>
      <c r="E4580" t="s">
        <v>1739</v>
      </c>
      <c r="F4580" t="s">
        <v>31</v>
      </c>
      <c r="G4580" t="s">
        <v>65</v>
      </c>
      <c r="H4580" t="s">
        <v>32</v>
      </c>
      <c r="I4580" t="s">
        <v>70</v>
      </c>
      <c r="J4580" t="s">
        <v>162</v>
      </c>
      <c r="K4580">
        <v>2</v>
      </c>
      <c r="L4580" s="2">
        <v>636.09</v>
      </c>
      <c r="M4580" s="3">
        <v>0.05</v>
      </c>
      <c r="N4580" t="s">
        <v>29</v>
      </c>
      <c r="O4580" s="2">
        <v>1208.57</v>
      </c>
      <c r="P4580" s="2">
        <v>1011.13</v>
      </c>
      <c r="Q4580" s="2">
        <v>197.44</v>
      </c>
      <c r="R4580">
        <v>1</v>
      </c>
      <c r="S4580">
        <v>0</v>
      </c>
      <c r="T4580">
        <v>5</v>
      </c>
      <c r="U4580">
        <v>5</v>
      </c>
    </row>
    <row r="4581" spans="1:21" ht="16.5" x14ac:dyDescent="0.3">
      <c r="A4581" t="s">
        <v>4669</v>
      </c>
      <c r="B4581" s="1">
        <v>45953</v>
      </c>
      <c r="C4581">
        <v>2025</v>
      </c>
      <c r="D4581" t="s">
        <v>1738</v>
      </c>
      <c r="E4581" t="s">
        <v>1739</v>
      </c>
      <c r="F4581" t="s">
        <v>24</v>
      </c>
      <c r="G4581" t="s">
        <v>49</v>
      </c>
      <c r="H4581" t="s">
        <v>26</v>
      </c>
      <c r="I4581" t="s">
        <v>84</v>
      </c>
      <c r="J4581" t="s">
        <v>106</v>
      </c>
      <c r="K4581">
        <v>1</v>
      </c>
      <c r="L4581" s="2">
        <v>45.28</v>
      </c>
      <c r="M4581" s="3">
        <v>0.1</v>
      </c>
      <c r="N4581" t="s">
        <v>29</v>
      </c>
      <c r="O4581" s="2">
        <v>40.75</v>
      </c>
      <c r="P4581" s="2">
        <v>32.28</v>
      </c>
      <c r="Q4581" s="2">
        <v>8.4700000000000006</v>
      </c>
      <c r="R4581">
        <v>1</v>
      </c>
      <c r="S4581">
        <v>0</v>
      </c>
      <c r="T4581">
        <v>7</v>
      </c>
      <c r="U4581">
        <v>4</v>
      </c>
    </row>
    <row r="4582" spans="1:21" ht="16.5" x14ac:dyDescent="0.3">
      <c r="A4582" t="s">
        <v>4670</v>
      </c>
      <c r="B4582" s="1">
        <v>45953</v>
      </c>
      <c r="C4582">
        <v>2025</v>
      </c>
      <c r="D4582" t="s">
        <v>1738</v>
      </c>
      <c r="E4582" t="s">
        <v>1739</v>
      </c>
      <c r="F4582" t="s">
        <v>31</v>
      </c>
      <c r="G4582" t="s">
        <v>46</v>
      </c>
      <c r="H4582" t="s">
        <v>32</v>
      </c>
      <c r="I4582" t="s">
        <v>42</v>
      </c>
      <c r="J4582" t="s">
        <v>54</v>
      </c>
      <c r="K4582">
        <v>2</v>
      </c>
      <c r="L4582" s="2">
        <v>148.05000000000001</v>
      </c>
      <c r="M4582" s="3">
        <v>0.15</v>
      </c>
      <c r="N4582" t="s">
        <v>34</v>
      </c>
      <c r="O4582" s="2">
        <v>251.68</v>
      </c>
      <c r="P4582" s="2">
        <v>191.64</v>
      </c>
      <c r="Q4582" s="2">
        <v>60.04</v>
      </c>
      <c r="R4582">
        <v>1</v>
      </c>
      <c r="S4582">
        <v>0</v>
      </c>
      <c r="T4582">
        <v>11</v>
      </c>
      <c r="U4582">
        <v>4</v>
      </c>
    </row>
    <row r="4583" spans="1:21" ht="16.5" x14ac:dyDescent="0.3">
      <c r="A4583" t="s">
        <v>4671</v>
      </c>
      <c r="B4583" s="1">
        <v>45953</v>
      </c>
      <c r="C4583">
        <v>2025</v>
      </c>
      <c r="D4583" t="s">
        <v>1738</v>
      </c>
      <c r="E4583" t="s">
        <v>1739</v>
      </c>
      <c r="F4583" t="s">
        <v>24</v>
      </c>
      <c r="G4583" t="s">
        <v>25</v>
      </c>
      <c r="H4583" t="s">
        <v>26</v>
      </c>
      <c r="I4583" t="s">
        <v>70</v>
      </c>
      <c r="J4583" t="s">
        <v>252</v>
      </c>
      <c r="K4583">
        <v>1</v>
      </c>
      <c r="L4583" s="2">
        <v>216.08</v>
      </c>
      <c r="M4583" s="3">
        <v>0.1</v>
      </c>
      <c r="N4583" t="s">
        <v>29</v>
      </c>
      <c r="O4583" s="2">
        <v>194.47</v>
      </c>
      <c r="P4583" s="2">
        <v>177.72</v>
      </c>
      <c r="Q4583" s="2">
        <v>16.75</v>
      </c>
      <c r="R4583">
        <v>1</v>
      </c>
      <c r="S4583">
        <v>0</v>
      </c>
      <c r="T4583">
        <v>5</v>
      </c>
      <c r="U4583">
        <v>4</v>
      </c>
    </row>
    <row r="4584" spans="1:21" ht="16.5" x14ac:dyDescent="0.3">
      <c r="A4584" t="s">
        <v>4672</v>
      </c>
      <c r="B4584" s="1">
        <v>45953</v>
      </c>
      <c r="C4584">
        <v>2025</v>
      </c>
      <c r="D4584" t="s">
        <v>1738</v>
      </c>
      <c r="E4584" t="s">
        <v>1739</v>
      </c>
      <c r="F4584" t="s">
        <v>45</v>
      </c>
      <c r="G4584" t="s">
        <v>51</v>
      </c>
      <c r="H4584" t="s">
        <v>32</v>
      </c>
      <c r="I4584" t="s">
        <v>70</v>
      </c>
      <c r="J4584" t="s">
        <v>82</v>
      </c>
      <c r="K4584">
        <v>1</v>
      </c>
      <c r="L4584" s="2">
        <v>508.8</v>
      </c>
      <c r="M4584" s="3">
        <v>0.15</v>
      </c>
      <c r="N4584" t="s">
        <v>34</v>
      </c>
      <c r="O4584" s="2">
        <v>432.48</v>
      </c>
      <c r="P4584" s="2">
        <v>406.57</v>
      </c>
      <c r="Q4584" s="2">
        <v>25.91</v>
      </c>
      <c r="R4584">
        <v>1</v>
      </c>
      <c r="S4584">
        <v>1</v>
      </c>
      <c r="T4584">
        <v>2</v>
      </c>
      <c r="U4584">
        <v>3</v>
      </c>
    </row>
    <row r="4585" spans="1:21" ht="16.5" x14ac:dyDescent="0.3">
      <c r="A4585" t="s">
        <v>4673</v>
      </c>
      <c r="B4585" s="1">
        <v>45953</v>
      </c>
      <c r="C4585">
        <v>2025</v>
      </c>
      <c r="D4585" t="s">
        <v>1738</v>
      </c>
      <c r="E4585" t="s">
        <v>1739</v>
      </c>
      <c r="F4585" t="s">
        <v>45</v>
      </c>
      <c r="G4585" t="s">
        <v>51</v>
      </c>
      <c r="H4585" t="s">
        <v>32</v>
      </c>
      <c r="I4585" t="s">
        <v>42</v>
      </c>
      <c r="J4585" t="s">
        <v>76</v>
      </c>
      <c r="K4585">
        <v>4</v>
      </c>
      <c r="L4585" s="2">
        <v>90.75</v>
      </c>
      <c r="M4585" s="3">
        <v>0.05</v>
      </c>
      <c r="N4585" t="s">
        <v>29</v>
      </c>
      <c r="O4585" s="2">
        <v>344.85</v>
      </c>
      <c r="P4585" s="2">
        <v>226.26</v>
      </c>
      <c r="Q4585" s="2">
        <v>118.59</v>
      </c>
      <c r="R4585">
        <v>1</v>
      </c>
      <c r="S4585">
        <v>1</v>
      </c>
      <c r="T4585">
        <v>2</v>
      </c>
      <c r="U4585">
        <v>4</v>
      </c>
    </row>
    <row r="4586" spans="1:21" ht="16.5" x14ac:dyDescent="0.3">
      <c r="A4586" t="s">
        <v>4674</v>
      </c>
      <c r="B4586" s="1">
        <v>45953</v>
      </c>
      <c r="C4586">
        <v>2025</v>
      </c>
      <c r="D4586" t="s">
        <v>1738</v>
      </c>
      <c r="E4586" t="s">
        <v>1739</v>
      </c>
      <c r="F4586" t="s">
        <v>24</v>
      </c>
      <c r="G4586" t="s">
        <v>51</v>
      </c>
      <c r="H4586" t="s">
        <v>32</v>
      </c>
      <c r="I4586" t="s">
        <v>84</v>
      </c>
      <c r="J4586" t="s">
        <v>106</v>
      </c>
      <c r="K4586">
        <v>2</v>
      </c>
      <c r="L4586" s="2">
        <v>45.28</v>
      </c>
      <c r="M4586" s="3">
        <v>0</v>
      </c>
      <c r="N4586" t="s">
        <v>38</v>
      </c>
      <c r="O4586" s="2">
        <v>90.56</v>
      </c>
      <c r="P4586" s="2">
        <v>64.33</v>
      </c>
      <c r="Q4586" s="2">
        <v>26.23</v>
      </c>
      <c r="R4586">
        <v>1</v>
      </c>
      <c r="S4586">
        <v>0</v>
      </c>
      <c r="T4586">
        <v>2</v>
      </c>
      <c r="U4586">
        <v>4</v>
      </c>
    </row>
    <row r="4587" spans="1:21" ht="16.5" x14ac:dyDescent="0.3">
      <c r="A4587" t="s">
        <v>4675</v>
      </c>
      <c r="B4587" s="1">
        <v>45953</v>
      </c>
      <c r="C4587">
        <v>2025</v>
      </c>
      <c r="D4587" t="s">
        <v>1738</v>
      </c>
      <c r="E4587" t="s">
        <v>1739</v>
      </c>
      <c r="F4587" t="s">
        <v>24</v>
      </c>
      <c r="G4587" t="s">
        <v>49</v>
      </c>
      <c r="H4587" t="s">
        <v>32</v>
      </c>
      <c r="I4587" t="s">
        <v>70</v>
      </c>
      <c r="J4587" t="s">
        <v>82</v>
      </c>
      <c r="K4587">
        <v>2</v>
      </c>
      <c r="L4587" s="2">
        <v>508.8</v>
      </c>
      <c r="M4587" s="3">
        <v>0.05</v>
      </c>
      <c r="N4587" t="s">
        <v>29</v>
      </c>
      <c r="O4587" s="2">
        <v>966.72</v>
      </c>
      <c r="P4587" s="2">
        <v>781.64</v>
      </c>
      <c r="Q4587" s="2">
        <v>185.08</v>
      </c>
      <c r="R4587">
        <v>1</v>
      </c>
      <c r="S4587">
        <v>0</v>
      </c>
      <c r="T4587">
        <v>3</v>
      </c>
      <c r="U4587">
        <v>5</v>
      </c>
    </row>
    <row r="4588" spans="1:21" ht="16.5" x14ac:dyDescent="0.3">
      <c r="A4588" t="s">
        <v>4676</v>
      </c>
      <c r="B4588" s="1">
        <v>45953</v>
      </c>
      <c r="C4588">
        <v>2025</v>
      </c>
      <c r="D4588" t="s">
        <v>1738</v>
      </c>
      <c r="E4588" t="s">
        <v>1739</v>
      </c>
      <c r="F4588" t="s">
        <v>31</v>
      </c>
      <c r="G4588" t="s">
        <v>65</v>
      </c>
      <c r="H4588" t="s">
        <v>32</v>
      </c>
      <c r="I4588" t="s">
        <v>70</v>
      </c>
      <c r="J4588" t="s">
        <v>162</v>
      </c>
      <c r="K4588">
        <v>1</v>
      </c>
      <c r="L4588" s="2">
        <v>636.09</v>
      </c>
      <c r="M4588" s="3">
        <v>0.2</v>
      </c>
      <c r="N4588" t="s">
        <v>34</v>
      </c>
      <c r="O4588" s="2">
        <v>508.87</v>
      </c>
      <c r="P4588" s="2">
        <v>503.15</v>
      </c>
      <c r="Q4588" s="2">
        <v>5.72</v>
      </c>
      <c r="R4588">
        <v>1</v>
      </c>
      <c r="S4588">
        <v>0</v>
      </c>
      <c r="T4588">
        <v>5</v>
      </c>
      <c r="U4588">
        <v>5</v>
      </c>
    </row>
    <row r="4589" spans="1:21" ht="16.5" x14ac:dyDescent="0.3">
      <c r="A4589" t="s">
        <v>4677</v>
      </c>
      <c r="B4589" s="1">
        <v>45954</v>
      </c>
      <c r="C4589">
        <v>2025</v>
      </c>
      <c r="D4589" t="s">
        <v>1738</v>
      </c>
      <c r="E4589" t="s">
        <v>1739</v>
      </c>
      <c r="F4589" t="s">
        <v>24</v>
      </c>
      <c r="G4589" t="s">
        <v>51</v>
      </c>
      <c r="H4589" t="s">
        <v>32</v>
      </c>
      <c r="I4589" t="s">
        <v>84</v>
      </c>
      <c r="J4589" t="s">
        <v>132</v>
      </c>
      <c r="K4589">
        <v>1</v>
      </c>
      <c r="L4589" s="2">
        <v>48.86</v>
      </c>
      <c r="M4589" s="3">
        <v>0.05</v>
      </c>
      <c r="N4589" t="s">
        <v>29</v>
      </c>
      <c r="O4589" s="2">
        <v>46.42</v>
      </c>
      <c r="P4589" s="2">
        <v>34.93</v>
      </c>
      <c r="Q4589" s="2">
        <v>11.49</v>
      </c>
      <c r="R4589">
        <v>1</v>
      </c>
      <c r="S4589">
        <v>0</v>
      </c>
      <c r="T4589">
        <v>4</v>
      </c>
      <c r="U4589">
        <v>5</v>
      </c>
    </row>
    <row r="4590" spans="1:21" ht="16.5" x14ac:dyDescent="0.3">
      <c r="A4590" t="s">
        <v>4678</v>
      </c>
      <c r="B4590" s="1">
        <v>45954</v>
      </c>
      <c r="C4590">
        <v>2025</v>
      </c>
      <c r="D4590" t="s">
        <v>1738</v>
      </c>
      <c r="E4590" t="s">
        <v>1739</v>
      </c>
      <c r="F4590" t="s">
        <v>31</v>
      </c>
      <c r="G4590" t="s">
        <v>49</v>
      </c>
      <c r="H4590" t="s">
        <v>32</v>
      </c>
      <c r="I4590" t="s">
        <v>36</v>
      </c>
      <c r="J4590" t="s">
        <v>126</v>
      </c>
      <c r="K4590">
        <v>1</v>
      </c>
      <c r="L4590" s="2">
        <v>54.56</v>
      </c>
      <c r="M4590" s="3">
        <v>0.15</v>
      </c>
      <c r="N4590" t="s">
        <v>34</v>
      </c>
      <c r="O4590" s="2">
        <v>46.38</v>
      </c>
      <c r="P4590" s="2">
        <v>26.74</v>
      </c>
      <c r="Q4590" s="2">
        <v>19.64</v>
      </c>
      <c r="R4590">
        <v>1</v>
      </c>
      <c r="S4590">
        <v>0</v>
      </c>
      <c r="T4590">
        <v>5</v>
      </c>
      <c r="U4590">
        <v>5</v>
      </c>
    </row>
    <row r="4591" spans="1:21" ht="16.5" x14ac:dyDescent="0.3">
      <c r="A4591" t="s">
        <v>4679</v>
      </c>
      <c r="B4591" s="1">
        <v>45954</v>
      </c>
      <c r="C4591">
        <v>2025</v>
      </c>
      <c r="D4591" t="s">
        <v>1738</v>
      </c>
      <c r="E4591" t="s">
        <v>1739</v>
      </c>
      <c r="F4591" t="s">
        <v>45</v>
      </c>
      <c r="G4591" t="s">
        <v>51</v>
      </c>
      <c r="H4591" t="s">
        <v>32</v>
      </c>
      <c r="I4591" t="s">
        <v>27</v>
      </c>
      <c r="J4591" t="s">
        <v>33</v>
      </c>
      <c r="K4591">
        <v>3</v>
      </c>
      <c r="L4591" s="2">
        <v>78.510000000000005</v>
      </c>
      <c r="M4591" s="3">
        <v>0.2</v>
      </c>
      <c r="N4591" t="s">
        <v>34</v>
      </c>
      <c r="O4591" s="2">
        <v>188.42</v>
      </c>
      <c r="P4591" s="2">
        <v>119.67</v>
      </c>
      <c r="Q4591" s="2">
        <v>68.75</v>
      </c>
      <c r="R4591">
        <v>1</v>
      </c>
      <c r="S4591">
        <v>1</v>
      </c>
      <c r="T4591">
        <v>5</v>
      </c>
      <c r="U4591">
        <v>3</v>
      </c>
    </row>
    <row r="4592" spans="1:21" ht="16.5" x14ac:dyDescent="0.3">
      <c r="A4592" t="s">
        <v>4680</v>
      </c>
      <c r="B4592" s="1">
        <v>45954</v>
      </c>
      <c r="C4592">
        <v>2025</v>
      </c>
      <c r="D4592" t="s">
        <v>1738</v>
      </c>
      <c r="E4592" t="s">
        <v>1739</v>
      </c>
      <c r="F4592" t="s">
        <v>31</v>
      </c>
      <c r="G4592" t="s">
        <v>25</v>
      </c>
      <c r="H4592" t="s">
        <v>32</v>
      </c>
      <c r="I4592" t="s">
        <v>27</v>
      </c>
      <c r="J4592" t="s">
        <v>47</v>
      </c>
      <c r="K4592">
        <v>1</v>
      </c>
      <c r="L4592" s="2">
        <v>33.99</v>
      </c>
      <c r="M4592" s="3">
        <v>0.15</v>
      </c>
      <c r="N4592" t="s">
        <v>34</v>
      </c>
      <c r="O4592" s="2">
        <v>28.89</v>
      </c>
      <c r="P4592" s="2">
        <v>18.16</v>
      </c>
      <c r="Q4592" s="2">
        <v>10.73</v>
      </c>
      <c r="R4592">
        <v>1</v>
      </c>
      <c r="S4592">
        <v>0</v>
      </c>
      <c r="T4592">
        <v>3</v>
      </c>
      <c r="U4592">
        <v>3</v>
      </c>
    </row>
    <row r="4593" spans="1:21" ht="16.5" x14ac:dyDescent="0.3">
      <c r="A4593" t="s">
        <v>4681</v>
      </c>
      <c r="B4593" s="1">
        <v>45954</v>
      </c>
      <c r="C4593">
        <v>2025</v>
      </c>
      <c r="D4593" t="s">
        <v>1738</v>
      </c>
      <c r="E4593" t="s">
        <v>1739</v>
      </c>
      <c r="F4593" t="s">
        <v>24</v>
      </c>
      <c r="G4593" t="s">
        <v>51</v>
      </c>
      <c r="H4593" t="s">
        <v>32</v>
      </c>
      <c r="I4593" t="s">
        <v>70</v>
      </c>
      <c r="J4593" t="s">
        <v>252</v>
      </c>
      <c r="K4593">
        <v>3</v>
      </c>
      <c r="L4593" s="2">
        <v>216.08</v>
      </c>
      <c r="M4593" s="3">
        <v>0</v>
      </c>
      <c r="N4593" t="s">
        <v>38</v>
      </c>
      <c r="O4593" s="2">
        <v>648.24</v>
      </c>
      <c r="P4593" s="2">
        <v>475.63</v>
      </c>
      <c r="Q4593" s="2">
        <v>172.61</v>
      </c>
      <c r="R4593">
        <v>1</v>
      </c>
      <c r="S4593">
        <v>0</v>
      </c>
      <c r="T4593">
        <v>3</v>
      </c>
      <c r="U4593">
        <v>5</v>
      </c>
    </row>
    <row r="4594" spans="1:21" ht="16.5" x14ac:dyDescent="0.3">
      <c r="A4594" t="s">
        <v>4682</v>
      </c>
      <c r="B4594" s="1">
        <v>45954</v>
      </c>
      <c r="C4594">
        <v>2025</v>
      </c>
      <c r="D4594" t="s">
        <v>1738</v>
      </c>
      <c r="E4594" t="s">
        <v>1739</v>
      </c>
      <c r="F4594" t="s">
        <v>24</v>
      </c>
      <c r="G4594" t="s">
        <v>25</v>
      </c>
      <c r="H4594" t="s">
        <v>26</v>
      </c>
      <c r="I4594" t="s">
        <v>27</v>
      </c>
      <c r="J4594" t="s">
        <v>28</v>
      </c>
      <c r="K4594">
        <v>1</v>
      </c>
      <c r="L4594" s="2">
        <v>138.5</v>
      </c>
      <c r="M4594" s="3">
        <v>0.2</v>
      </c>
      <c r="N4594" t="s">
        <v>34</v>
      </c>
      <c r="O4594" s="2">
        <v>110.8</v>
      </c>
      <c r="P4594" s="2">
        <v>76.22</v>
      </c>
      <c r="Q4594" s="2">
        <v>34.58</v>
      </c>
      <c r="R4594">
        <v>1</v>
      </c>
      <c r="S4594">
        <v>1</v>
      </c>
      <c r="T4594">
        <v>3</v>
      </c>
      <c r="U4594">
        <v>4</v>
      </c>
    </row>
    <row r="4595" spans="1:21" ht="16.5" x14ac:dyDescent="0.3">
      <c r="A4595" t="s">
        <v>4683</v>
      </c>
      <c r="B4595" s="1">
        <v>45954</v>
      </c>
      <c r="C4595">
        <v>2025</v>
      </c>
      <c r="D4595" t="s">
        <v>1738</v>
      </c>
      <c r="E4595" t="s">
        <v>1739</v>
      </c>
      <c r="F4595" t="s">
        <v>45</v>
      </c>
      <c r="G4595" t="s">
        <v>51</v>
      </c>
      <c r="H4595" t="s">
        <v>32</v>
      </c>
      <c r="I4595" t="s">
        <v>42</v>
      </c>
      <c r="J4595" t="s">
        <v>54</v>
      </c>
      <c r="K4595">
        <v>2</v>
      </c>
      <c r="L4595" s="2">
        <v>148.05000000000001</v>
      </c>
      <c r="M4595" s="3">
        <v>0</v>
      </c>
      <c r="N4595" t="s">
        <v>38</v>
      </c>
      <c r="O4595" s="2">
        <v>296.10000000000002</v>
      </c>
      <c r="P4595" s="2">
        <v>189.16</v>
      </c>
      <c r="Q4595" s="2">
        <v>106.94</v>
      </c>
      <c r="R4595">
        <v>1</v>
      </c>
      <c r="S4595">
        <v>0</v>
      </c>
      <c r="T4595">
        <v>3</v>
      </c>
      <c r="U4595">
        <v>4</v>
      </c>
    </row>
    <row r="4596" spans="1:21" ht="16.5" x14ac:dyDescent="0.3">
      <c r="A4596" t="s">
        <v>4684</v>
      </c>
      <c r="B4596" s="1">
        <v>45955</v>
      </c>
      <c r="C4596">
        <v>2025</v>
      </c>
      <c r="D4596" t="s">
        <v>1738</v>
      </c>
      <c r="E4596" t="s">
        <v>1739</v>
      </c>
      <c r="F4596" t="s">
        <v>31</v>
      </c>
      <c r="G4596" t="s">
        <v>46</v>
      </c>
      <c r="H4596" t="s">
        <v>32</v>
      </c>
      <c r="I4596" t="s">
        <v>70</v>
      </c>
      <c r="J4596" t="s">
        <v>129</v>
      </c>
      <c r="K4596">
        <v>1</v>
      </c>
      <c r="L4596" s="2">
        <v>177.65</v>
      </c>
      <c r="M4596" s="3">
        <v>0.1</v>
      </c>
      <c r="N4596" t="s">
        <v>29</v>
      </c>
      <c r="O4596" s="2">
        <v>159.88999999999999</v>
      </c>
      <c r="P4596" s="2">
        <v>143.59</v>
      </c>
      <c r="Q4596" s="2">
        <v>16.3</v>
      </c>
      <c r="R4596">
        <v>1</v>
      </c>
      <c r="S4596">
        <v>0</v>
      </c>
      <c r="T4596">
        <v>8</v>
      </c>
      <c r="U4596">
        <v>4</v>
      </c>
    </row>
    <row r="4597" spans="1:21" ht="16.5" x14ac:dyDescent="0.3">
      <c r="A4597" t="s">
        <v>4685</v>
      </c>
      <c r="B4597" s="1">
        <v>45955</v>
      </c>
      <c r="C4597">
        <v>2025</v>
      </c>
      <c r="D4597" t="s">
        <v>1738</v>
      </c>
      <c r="E4597" t="s">
        <v>1739</v>
      </c>
      <c r="F4597" t="s">
        <v>45</v>
      </c>
      <c r="G4597" t="s">
        <v>49</v>
      </c>
      <c r="H4597" t="s">
        <v>26</v>
      </c>
      <c r="I4597" t="s">
        <v>36</v>
      </c>
      <c r="J4597" t="s">
        <v>126</v>
      </c>
      <c r="K4597">
        <v>4</v>
      </c>
      <c r="L4597" s="2">
        <v>54.56</v>
      </c>
      <c r="M4597" s="3">
        <v>0</v>
      </c>
      <c r="N4597" t="s">
        <v>38</v>
      </c>
      <c r="O4597" s="2">
        <v>218.24</v>
      </c>
      <c r="P4597" s="2">
        <v>104.19</v>
      </c>
      <c r="Q4597" s="2">
        <v>114.05</v>
      </c>
      <c r="R4597">
        <v>1</v>
      </c>
      <c r="S4597">
        <v>0</v>
      </c>
      <c r="T4597">
        <v>5</v>
      </c>
      <c r="U4597">
        <v>4</v>
      </c>
    </row>
    <row r="4598" spans="1:21" ht="16.5" x14ac:dyDescent="0.3">
      <c r="A4598" t="s">
        <v>4686</v>
      </c>
      <c r="B4598" s="1">
        <v>45955</v>
      </c>
      <c r="C4598">
        <v>2025</v>
      </c>
      <c r="D4598" t="s">
        <v>1738</v>
      </c>
      <c r="E4598" t="s">
        <v>1739</v>
      </c>
      <c r="F4598" t="s">
        <v>31</v>
      </c>
      <c r="G4598" t="s">
        <v>46</v>
      </c>
      <c r="H4598" t="s">
        <v>32</v>
      </c>
      <c r="I4598" t="s">
        <v>27</v>
      </c>
      <c r="J4598" t="s">
        <v>110</v>
      </c>
      <c r="K4598">
        <v>1</v>
      </c>
      <c r="L4598" s="2">
        <v>19.41</v>
      </c>
      <c r="M4598" s="3">
        <v>0.05</v>
      </c>
      <c r="N4598" t="s">
        <v>29</v>
      </c>
      <c r="O4598" s="2">
        <v>18.440000000000001</v>
      </c>
      <c r="P4598" s="2">
        <v>10.87</v>
      </c>
      <c r="Q4598" s="2">
        <v>7.57</v>
      </c>
      <c r="R4598">
        <v>1</v>
      </c>
      <c r="S4598">
        <v>0</v>
      </c>
      <c r="T4598">
        <v>7</v>
      </c>
      <c r="U4598">
        <v>4</v>
      </c>
    </row>
    <row r="4599" spans="1:21" ht="16.5" x14ac:dyDescent="0.3">
      <c r="A4599" t="s">
        <v>4687</v>
      </c>
      <c r="B4599" s="1">
        <v>45955</v>
      </c>
      <c r="C4599">
        <v>2025</v>
      </c>
      <c r="D4599" t="s">
        <v>1738</v>
      </c>
      <c r="E4599" t="s">
        <v>1739</v>
      </c>
      <c r="F4599" t="s">
        <v>24</v>
      </c>
      <c r="G4599" t="s">
        <v>51</v>
      </c>
      <c r="H4599" t="s">
        <v>32</v>
      </c>
      <c r="I4599" t="s">
        <v>42</v>
      </c>
      <c r="J4599" t="s">
        <v>76</v>
      </c>
      <c r="K4599">
        <v>2</v>
      </c>
      <c r="L4599" s="2">
        <v>90.75</v>
      </c>
      <c r="M4599" s="3">
        <v>0.2</v>
      </c>
      <c r="N4599" t="s">
        <v>34</v>
      </c>
      <c r="O4599" s="2">
        <v>145.19999999999999</v>
      </c>
      <c r="P4599" s="2">
        <v>123.34</v>
      </c>
      <c r="Q4599" s="2">
        <v>21.86</v>
      </c>
      <c r="R4599">
        <v>1</v>
      </c>
      <c r="S4599">
        <v>0</v>
      </c>
      <c r="T4599">
        <v>2</v>
      </c>
      <c r="U4599">
        <v>4</v>
      </c>
    </row>
    <row r="4600" spans="1:21" ht="16.5" x14ac:dyDescent="0.3">
      <c r="A4600" t="s">
        <v>4688</v>
      </c>
      <c r="B4600" s="1">
        <v>45955</v>
      </c>
      <c r="C4600">
        <v>2025</v>
      </c>
      <c r="D4600" t="s">
        <v>1738</v>
      </c>
      <c r="E4600" t="s">
        <v>1739</v>
      </c>
      <c r="F4600" t="s">
        <v>45</v>
      </c>
      <c r="G4600" t="s">
        <v>46</v>
      </c>
      <c r="H4600" t="s">
        <v>26</v>
      </c>
      <c r="I4600" t="s">
        <v>27</v>
      </c>
      <c r="J4600" t="s">
        <v>40</v>
      </c>
      <c r="K4600">
        <v>3</v>
      </c>
      <c r="L4600" s="2">
        <v>104.94</v>
      </c>
      <c r="M4600" s="3">
        <v>0.25</v>
      </c>
      <c r="N4600" t="s">
        <v>62</v>
      </c>
      <c r="O4600" s="2">
        <v>236.12</v>
      </c>
      <c r="P4600" s="2">
        <v>178.48</v>
      </c>
      <c r="Q4600" s="2">
        <v>57.64</v>
      </c>
      <c r="R4600">
        <v>1</v>
      </c>
      <c r="S4600">
        <v>1</v>
      </c>
      <c r="T4600">
        <v>7</v>
      </c>
      <c r="U4600">
        <v>2</v>
      </c>
    </row>
    <row r="4601" spans="1:21" ht="16.5" x14ac:dyDescent="0.3">
      <c r="A4601" t="s">
        <v>4689</v>
      </c>
      <c r="B4601" s="1">
        <v>45955</v>
      </c>
      <c r="C4601">
        <v>2025</v>
      </c>
      <c r="D4601" t="s">
        <v>1738</v>
      </c>
      <c r="E4601" t="s">
        <v>1739</v>
      </c>
      <c r="F4601" t="s">
        <v>31</v>
      </c>
      <c r="G4601" t="s">
        <v>25</v>
      </c>
      <c r="H4601" t="s">
        <v>32</v>
      </c>
      <c r="I4601" t="s">
        <v>70</v>
      </c>
      <c r="J4601" t="s">
        <v>162</v>
      </c>
      <c r="K4601">
        <v>1</v>
      </c>
      <c r="L4601" s="2">
        <v>636.09</v>
      </c>
      <c r="M4601" s="3">
        <v>0</v>
      </c>
      <c r="N4601" t="s">
        <v>38</v>
      </c>
      <c r="O4601" s="2">
        <v>636.09</v>
      </c>
      <c r="P4601" s="2">
        <v>536.97</v>
      </c>
      <c r="Q4601" s="2">
        <v>99.12</v>
      </c>
      <c r="R4601">
        <v>1</v>
      </c>
      <c r="S4601">
        <v>0</v>
      </c>
      <c r="T4601">
        <v>3</v>
      </c>
      <c r="U4601">
        <v>5</v>
      </c>
    </row>
    <row r="4602" spans="1:21" ht="16.5" x14ac:dyDescent="0.3">
      <c r="A4602" t="s">
        <v>4690</v>
      </c>
      <c r="B4602" s="1">
        <v>45955</v>
      </c>
      <c r="C4602">
        <v>2025</v>
      </c>
      <c r="D4602" t="s">
        <v>1738</v>
      </c>
      <c r="E4602" t="s">
        <v>1739</v>
      </c>
      <c r="F4602" t="s">
        <v>45</v>
      </c>
      <c r="G4602" t="s">
        <v>25</v>
      </c>
      <c r="H4602" t="s">
        <v>26</v>
      </c>
      <c r="I4602" t="s">
        <v>67</v>
      </c>
      <c r="J4602" t="s">
        <v>174</v>
      </c>
      <c r="K4602">
        <v>1</v>
      </c>
      <c r="L4602" s="2">
        <v>137.05000000000001</v>
      </c>
      <c r="M4602" s="3">
        <v>0</v>
      </c>
      <c r="N4602" t="s">
        <v>38</v>
      </c>
      <c r="O4602" s="2">
        <v>137.05000000000001</v>
      </c>
      <c r="P4602" s="2">
        <v>95.08</v>
      </c>
      <c r="Q4602" s="2">
        <v>41.97</v>
      </c>
      <c r="R4602">
        <v>1</v>
      </c>
      <c r="S4602">
        <v>0</v>
      </c>
      <c r="T4602">
        <v>4</v>
      </c>
      <c r="U4602">
        <v>5</v>
      </c>
    </row>
    <row r="4603" spans="1:21" ht="16.5" x14ac:dyDescent="0.3">
      <c r="A4603" t="s">
        <v>4691</v>
      </c>
      <c r="B4603" s="1">
        <v>45956</v>
      </c>
      <c r="C4603">
        <v>2025</v>
      </c>
      <c r="D4603" t="s">
        <v>1738</v>
      </c>
      <c r="E4603" t="s">
        <v>1739</v>
      </c>
      <c r="F4603" t="s">
        <v>24</v>
      </c>
      <c r="G4603" t="s">
        <v>65</v>
      </c>
      <c r="H4603" t="s">
        <v>26</v>
      </c>
      <c r="I4603" t="s">
        <v>84</v>
      </c>
      <c r="J4603" t="s">
        <v>223</v>
      </c>
      <c r="K4603">
        <v>4</v>
      </c>
      <c r="L4603" s="2">
        <v>16.97</v>
      </c>
      <c r="M4603" s="3">
        <v>0.2</v>
      </c>
      <c r="N4603" t="s">
        <v>34</v>
      </c>
      <c r="O4603" s="2">
        <v>54.3</v>
      </c>
      <c r="P4603" s="2">
        <v>47.23</v>
      </c>
      <c r="Q4603" s="2">
        <v>7.07</v>
      </c>
      <c r="R4603">
        <v>1</v>
      </c>
      <c r="S4603">
        <v>0</v>
      </c>
      <c r="T4603">
        <v>7</v>
      </c>
      <c r="U4603">
        <v>2</v>
      </c>
    </row>
    <row r="4604" spans="1:21" ht="16.5" x14ac:dyDescent="0.3">
      <c r="A4604" t="s">
        <v>4692</v>
      </c>
      <c r="B4604" s="1">
        <v>45956</v>
      </c>
      <c r="C4604">
        <v>2025</v>
      </c>
      <c r="D4604" t="s">
        <v>1738</v>
      </c>
      <c r="E4604" t="s">
        <v>1739</v>
      </c>
      <c r="F4604" t="s">
        <v>31</v>
      </c>
      <c r="G4604" t="s">
        <v>51</v>
      </c>
      <c r="H4604" t="s">
        <v>32</v>
      </c>
      <c r="I4604" t="s">
        <v>70</v>
      </c>
      <c r="J4604" t="s">
        <v>129</v>
      </c>
      <c r="K4604">
        <v>2</v>
      </c>
      <c r="L4604" s="2">
        <v>177.65</v>
      </c>
      <c r="M4604" s="3">
        <v>0.1</v>
      </c>
      <c r="N4604" t="s">
        <v>29</v>
      </c>
      <c r="O4604" s="2">
        <v>319.77</v>
      </c>
      <c r="P4604" s="2">
        <v>295.10000000000002</v>
      </c>
      <c r="Q4604" s="2">
        <v>24.67</v>
      </c>
      <c r="R4604">
        <v>1</v>
      </c>
      <c r="S4604">
        <v>0</v>
      </c>
      <c r="T4604">
        <v>3</v>
      </c>
      <c r="U4604">
        <v>4</v>
      </c>
    </row>
    <row r="4605" spans="1:21" ht="16.5" x14ac:dyDescent="0.3">
      <c r="A4605" t="s">
        <v>4693</v>
      </c>
      <c r="B4605" s="1">
        <v>45956</v>
      </c>
      <c r="C4605">
        <v>2025</v>
      </c>
      <c r="D4605" t="s">
        <v>1738</v>
      </c>
      <c r="E4605" t="s">
        <v>1739</v>
      </c>
      <c r="F4605" t="s">
        <v>24</v>
      </c>
      <c r="G4605" t="s">
        <v>51</v>
      </c>
      <c r="H4605" t="s">
        <v>32</v>
      </c>
      <c r="I4605" t="s">
        <v>36</v>
      </c>
      <c r="J4605" t="s">
        <v>56</v>
      </c>
      <c r="K4605">
        <v>1</v>
      </c>
      <c r="L4605" s="2">
        <v>74.3</v>
      </c>
      <c r="M4605" s="3">
        <v>0.1</v>
      </c>
      <c r="N4605" t="s">
        <v>29</v>
      </c>
      <c r="O4605" s="2">
        <v>66.87</v>
      </c>
      <c r="P4605" s="2">
        <v>36.880000000000003</v>
      </c>
      <c r="Q4605" s="2">
        <v>29.99</v>
      </c>
      <c r="R4605">
        <v>1</v>
      </c>
      <c r="S4605">
        <v>0</v>
      </c>
      <c r="T4605">
        <v>3</v>
      </c>
      <c r="U4605">
        <v>5</v>
      </c>
    </row>
    <row r="4606" spans="1:21" ht="16.5" x14ac:dyDescent="0.3">
      <c r="A4606" t="s">
        <v>4694</v>
      </c>
      <c r="B4606" s="1">
        <v>45956</v>
      </c>
      <c r="C4606">
        <v>2025</v>
      </c>
      <c r="D4606" t="s">
        <v>1738</v>
      </c>
      <c r="E4606" t="s">
        <v>1739</v>
      </c>
      <c r="F4606" t="s">
        <v>24</v>
      </c>
      <c r="G4606" t="s">
        <v>51</v>
      </c>
      <c r="H4606" t="s">
        <v>26</v>
      </c>
      <c r="I4606" t="s">
        <v>70</v>
      </c>
      <c r="J4606" t="s">
        <v>162</v>
      </c>
      <c r="K4606">
        <v>2</v>
      </c>
      <c r="L4606" s="2">
        <v>636.09</v>
      </c>
      <c r="M4606" s="3">
        <v>0</v>
      </c>
      <c r="N4606" t="s">
        <v>38</v>
      </c>
      <c r="O4606" s="2">
        <v>1272.18</v>
      </c>
      <c r="P4606" s="2">
        <v>1039.25</v>
      </c>
      <c r="Q4606" s="2">
        <v>232.93</v>
      </c>
      <c r="R4606">
        <v>1</v>
      </c>
      <c r="S4606">
        <v>0</v>
      </c>
      <c r="T4606">
        <v>2</v>
      </c>
      <c r="U4606">
        <v>5</v>
      </c>
    </row>
    <row r="4607" spans="1:21" ht="16.5" x14ac:dyDescent="0.3">
      <c r="A4607" t="s">
        <v>4695</v>
      </c>
      <c r="B4607" s="1">
        <v>45956</v>
      </c>
      <c r="C4607">
        <v>2025</v>
      </c>
      <c r="D4607" t="s">
        <v>1738</v>
      </c>
      <c r="E4607" t="s">
        <v>1739</v>
      </c>
      <c r="F4607" t="s">
        <v>24</v>
      </c>
      <c r="G4607" t="s">
        <v>51</v>
      </c>
      <c r="H4607" t="s">
        <v>26</v>
      </c>
      <c r="I4607" t="s">
        <v>42</v>
      </c>
      <c r="J4607" t="s">
        <v>98</v>
      </c>
      <c r="K4607">
        <v>1</v>
      </c>
      <c r="L4607" s="2">
        <v>117.63</v>
      </c>
      <c r="M4607" s="3">
        <v>0.15</v>
      </c>
      <c r="N4607" t="s">
        <v>34</v>
      </c>
      <c r="O4607" s="2">
        <v>99.99</v>
      </c>
      <c r="P4607" s="2">
        <v>79.64</v>
      </c>
      <c r="Q4607" s="2">
        <v>20.350000000000001</v>
      </c>
      <c r="R4607">
        <v>1</v>
      </c>
      <c r="S4607">
        <v>0</v>
      </c>
      <c r="T4607">
        <v>3</v>
      </c>
      <c r="U4607">
        <v>4</v>
      </c>
    </row>
    <row r="4608" spans="1:21" ht="16.5" x14ac:dyDescent="0.3">
      <c r="A4608" t="s">
        <v>4696</v>
      </c>
      <c r="B4608" s="1">
        <v>45957</v>
      </c>
      <c r="C4608">
        <v>2025</v>
      </c>
      <c r="D4608" t="s">
        <v>1738</v>
      </c>
      <c r="E4608" t="s">
        <v>1739</v>
      </c>
      <c r="F4608" t="s">
        <v>31</v>
      </c>
      <c r="G4608" t="s">
        <v>51</v>
      </c>
      <c r="H4608" t="s">
        <v>26</v>
      </c>
      <c r="I4608" t="s">
        <v>84</v>
      </c>
      <c r="J4608" t="s">
        <v>96</v>
      </c>
      <c r="K4608">
        <v>1</v>
      </c>
      <c r="L4608" s="2">
        <v>10.76</v>
      </c>
      <c r="M4608" s="3">
        <v>0.05</v>
      </c>
      <c r="N4608" t="s">
        <v>29</v>
      </c>
      <c r="O4608" s="2">
        <v>10.220000000000001</v>
      </c>
      <c r="P4608" s="2">
        <v>8.48</v>
      </c>
      <c r="Q4608" s="2">
        <v>1.74</v>
      </c>
      <c r="R4608">
        <v>1</v>
      </c>
      <c r="S4608">
        <v>0</v>
      </c>
      <c r="T4608">
        <v>3</v>
      </c>
      <c r="U4608">
        <v>5</v>
      </c>
    </row>
    <row r="4609" spans="1:21" ht="16.5" x14ac:dyDescent="0.3">
      <c r="A4609" t="s">
        <v>4697</v>
      </c>
      <c r="B4609" s="1">
        <v>45957</v>
      </c>
      <c r="C4609">
        <v>2025</v>
      </c>
      <c r="D4609" t="s">
        <v>1738</v>
      </c>
      <c r="E4609" t="s">
        <v>1739</v>
      </c>
      <c r="F4609" t="s">
        <v>31</v>
      </c>
      <c r="G4609" t="s">
        <v>49</v>
      </c>
      <c r="H4609" t="s">
        <v>32</v>
      </c>
      <c r="I4609" t="s">
        <v>84</v>
      </c>
      <c r="J4609" t="s">
        <v>96</v>
      </c>
      <c r="K4609">
        <v>1</v>
      </c>
      <c r="L4609" s="2">
        <v>10.76</v>
      </c>
      <c r="M4609" s="3">
        <v>0</v>
      </c>
      <c r="N4609" t="s">
        <v>38</v>
      </c>
      <c r="O4609" s="2">
        <v>10.76</v>
      </c>
      <c r="P4609" s="2">
        <v>7.66</v>
      </c>
      <c r="Q4609" s="2">
        <v>3.1</v>
      </c>
      <c r="R4609">
        <v>1</v>
      </c>
      <c r="S4609">
        <v>0</v>
      </c>
      <c r="T4609">
        <v>3</v>
      </c>
      <c r="U4609">
        <v>5</v>
      </c>
    </row>
    <row r="4610" spans="1:21" ht="16.5" x14ac:dyDescent="0.3">
      <c r="A4610" t="s">
        <v>4698</v>
      </c>
      <c r="B4610" s="1">
        <v>45957</v>
      </c>
      <c r="C4610">
        <v>2025</v>
      </c>
      <c r="D4610" t="s">
        <v>1738</v>
      </c>
      <c r="E4610" t="s">
        <v>1739</v>
      </c>
      <c r="F4610" t="s">
        <v>24</v>
      </c>
      <c r="G4610" t="s">
        <v>51</v>
      </c>
      <c r="H4610" t="s">
        <v>26</v>
      </c>
      <c r="I4610" t="s">
        <v>27</v>
      </c>
      <c r="J4610" t="s">
        <v>40</v>
      </c>
      <c r="K4610">
        <v>1</v>
      </c>
      <c r="L4610" s="2">
        <v>104.94</v>
      </c>
      <c r="M4610" s="3">
        <v>0</v>
      </c>
      <c r="N4610" t="s">
        <v>38</v>
      </c>
      <c r="O4610" s="2">
        <v>104.94</v>
      </c>
      <c r="P4610" s="2">
        <v>55.22</v>
      </c>
      <c r="Q4610" s="2">
        <v>49.72</v>
      </c>
      <c r="R4610">
        <v>1</v>
      </c>
      <c r="S4610">
        <v>0</v>
      </c>
      <c r="T4610">
        <v>2</v>
      </c>
      <c r="U4610">
        <v>5</v>
      </c>
    </row>
    <row r="4611" spans="1:21" ht="16.5" x14ac:dyDescent="0.3">
      <c r="A4611" t="s">
        <v>4699</v>
      </c>
      <c r="B4611" s="1">
        <v>45957</v>
      </c>
      <c r="C4611">
        <v>2025</v>
      </c>
      <c r="D4611" t="s">
        <v>1738</v>
      </c>
      <c r="E4611" t="s">
        <v>1739</v>
      </c>
      <c r="F4611" t="s">
        <v>24</v>
      </c>
      <c r="G4611" t="s">
        <v>51</v>
      </c>
      <c r="H4611" t="s">
        <v>32</v>
      </c>
      <c r="I4611" t="s">
        <v>27</v>
      </c>
      <c r="J4611" t="s">
        <v>40</v>
      </c>
      <c r="K4611">
        <v>1</v>
      </c>
      <c r="L4611" s="2">
        <v>104.94</v>
      </c>
      <c r="M4611" s="3">
        <v>0.05</v>
      </c>
      <c r="N4611" t="s">
        <v>29</v>
      </c>
      <c r="O4611" s="2">
        <v>99.69</v>
      </c>
      <c r="P4611" s="2">
        <v>56.71</v>
      </c>
      <c r="Q4611" s="2">
        <v>42.98</v>
      </c>
      <c r="R4611">
        <v>1</v>
      </c>
      <c r="S4611">
        <v>1</v>
      </c>
      <c r="T4611">
        <v>2</v>
      </c>
      <c r="U4611">
        <v>3</v>
      </c>
    </row>
    <row r="4612" spans="1:21" ht="16.5" x14ac:dyDescent="0.3">
      <c r="A4612" t="s">
        <v>4700</v>
      </c>
      <c r="B4612" s="1">
        <v>45957</v>
      </c>
      <c r="C4612">
        <v>2025</v>
      </c>
      <c r="D4612" t="s">
        <v>1738</v>
      </c>
      <c r="E4612" t="s">
        <v>1739</v>
      </c>
      <c r="F4612" t="s">
        <v>31</v>
      </c>
      <c r="G4612" t="s">
        <v>49</v>
      </c>
      <c r="H4612" t="s">
        <v>26</v>
      </c>
      <c r="I4612" t="s">
        <v>84</v>
      </c>
      <c r="J4612" t="s">
        <v>132</v>
      </c>
      <c r="K4612">
        <v>1</v>
      </c>
      <c r="L4612" s="2">
        <v>48.86</v>
      </c>
      <c r="M4612" s="3">
        <v>0.15</v>
      </c>
      <c r="N4612" t="s">
        <v>34</v>
      </c>
      <c r="O4612" s="2">
        <v>41.53</v>
      </c>
      <c r="P4612" s="2">
        <v>34.6</v>
      </c>
      <c r="Q4612" s="2">
        <v>6.93</v>
      </c>
      <c r="R4612">
        <v>1</v>
      </c>
      <c r="S4612">
        <v>0</v>
      </c>
      <c r="T4612">
        <v>3</v>
      </c>
      <c r="U4612">
        <v>4</v>
      </c>
    </row>
    <row r="4613" spans="1:21" ht="16.5" x14ac:dyDescent="0.3">
      <c r="A4613" t="s">
        <v>4701</v>
      </c>
      <c r="B4613" s="1">
        <v>45957</v>
      </c>
      <c r="C4613">
        <v>2025</v>
      </c>
      <c r="D4613" t="s">
        <v>1738</v>
      </c>
      <c r="E4613" t="s">
        <v>1739</v>
      </c>
      <c r="F4613" t="s">
        <v>45</v>
      </c>
      <c r="G4613" t="s">
        <v>51</v>
      </c>
      <c r="H4613" t="s">
        <v>32</v>
      </c>
      <c r="I4613" t="s">
        <v>84</v>
      </c>
      <c r="J4613" t="s">
        <v>223</v>
      </c>
      <c r="K4613">
        <v>2</v>
      </c>
      <c r="L4613" s="2">
        <v>16.97</v>
      </c>
      <c r="M4613" s="3">
        <v>0.05</v>
      </c>
      <c r="N4613" t="s">
        <v>29</v>
      </c>
      <c r="O4613" s="2">
        <v>32.24</v>
      </c>
      <c r="P4613" s="2">
        <v>25.13</v>
      </c>
      <c r="Q4613" s="2">
        <v>7.11</v>
      </c>
      <c r="R4613">
        <v>1</v>
      </c>
      <c r="S4613">
        <v>0</v>
      </c>
      <c r="T4613">
        <v>2</v>
      </c>
      <c r="U4613">
        <v>5</v>
      </c>
    </row>
    <row r="4614" spans="1:21" ht="16.5" x14ac:dyDescent="0.3">
      <c r="A4614" t="s">
        <v>4702</v>
      </c>
      <c r="B4614" s="1">
        <v>45957</v>
      </c>
      <c r="C4614">
        <v>2025</v>
      </c>
      <c r="D4614" t="s">
        <v>1738</v>
      </c>
      <c r="E4614" t="s">
        <v>1739</v>
      </c>
      <c r="F4614" t="s">
        <v>24</v>
      </c>
      <c r="G4614" t="s">
        <v>25</v>
      </c>
      <c r="H4614" t="s">
        <v>32</v>
      </c>
      <c r="I4614" t="s">
        <v>36</v>
      </c>
      <c r="J4614" t="s">
        <v>126</v>
      </c>
      <c r="K4614">
        <v>1</v>
      </c>
      <c r="L4614" s="2">
        <v>54.56</v>
      </c>
      <c r="M4614" s="3">
        <v>0.05</v>
      </c>
      <c r="N4614" t="s">
        <v>29</v>
      </c>
      <c r="O4614" s="2">
        <v>51.83</v>
      </c>
      <c r="P4614" s="2">
        <v>26.51</v>
      </c>
      <c r="Q4614" s="2">
        <v>25.32</v>
      </c>
      <c r="R4614">
        <v>1</v>
      </c>
      <c r="S4614">
        <v>0</v>
      </c>
      <c r="T4614">
        <v>5</v>
      </c>
      <c r="U4614">
        <v>4</v>
      </c>
    </row>
    <row r="4615" spans="1:21" ht="16.5" x14ac:dyDescent="0.3">
      <c r="A4615" t="s">
        <v>4703</v>
      </c>
      <c r="B4615" s="1">
        <v>45957</v>
      </c>
      <c r="C4615">
        <v>2025</v>
      </c>
      <c r="D4615" t="s">
        <v>1738</v>
      </c>
      <c r="E4615" t="s">
        <v>1739</v>
      </c>
      <c r="F4615" t="s">
        <v>31</v>
      </c>
      <c r="G4615" t="s">
        <v>49</v>
      </c>
      <c r="H4615" t="s">
        <v>32</v>
      </c>
      <c r="I4615" t="s">
        <v>42</v>
      </c>
      <c r="J4615" t="s">
        <v>98</v>
      </c>
      <c r="K4615">
        <v>2</v>
      </c>
      <c r="L4615" s="2">
        <v>117.63</v>
      </c>
      <c r="M4615" s="3">
        <v>0</v>
      </c>
      <c r="N4615" t="s">
        <v>38</v>
      </c>
      <c r="O4615" s="2">
        <v>235.26</v>
      </c>
      <c r="P4615" s="2">
        <v>164.21</v>
      </c>
      <c r="Q4615" s="2">
        <v>71.05</v>
      </c>
      <c r="R4615">
        <v>1</v>
      </c>
      <c r="S4615">
        <v>0</v>
      </c>
      <c r="T4615">
        <v>6</v>
      </c>
      <c r="U4615">
        <v>3</v>
      </c>
    </row>
    <row r="4616" spans="1:21" ht="16.5" x14ac:dyDescent="0.3">
      <c r="A4616" t="s">
        <v>4704</v>
      </c>
      <c r="B4616" s="1">
        <v>45957</v>
      </c>
      <c r="C4616">
        <v>2025</v>
      </c>
      <c r="D4616" t="s">
        <v>1738</v>
      </c>
      <c r="E4616" t="s">
        <v>1739</v>
      </c>
      <c r="F4616" t="s">
        <v>24</v>
      </c>
      <c r="G4616" t="s">
        <v>51</v>
      </c>
      <c r="H4616" t="s">
        <v>32</v>
      </c>
      <c r="I4616" t="s">
        <v>42</v>
      </c>
      <c r="J4616" t="s">
        <v>54</v>
      </c>
      <c r="K4616">
        <v>2</v>
      </c>
      <c r="L4616" s="2">
        <v>148.05000000000001</v>
      </c>
      <c r="M4616" s="3">
        <v>0.2</v>
      </c>
      <c r="N4616" t="s">
        <v>34</v>
      </c>
      <c r="O4616" s="2">
        <v>236.88</v>
      </c>
      <c r="P4616" s="2">
        <v>194.39</v>
      </c>
      <c r="Q4616" s="2">
        <v>42.49</v>
      </c>
      <c r="R4616">
        <v>1</v>
      </c>
      <c r="S4616">
        <v>0</v>
      </c>
      <c r="T4616">
        <v>2</v>
      </c>
      <c r="U4616">
        <v>3</v>
      </c>
    </row>
    <row r="4617" spans="1:21" ht="16.5" x14ac:dyDescent="0.3">
      <c r="A4617" t="s">
        <v>4705</v>
      </c>
      <c r="B4617" s="1">
        <v>45957</v>
      </c>
      <c r="C4617">
        <v>2025</v>
      </c>
      <c r="D4617" t="s">
        <v>1738</v>
      </c>
      <c r="E4617" t="s">
        <v>1739</v>
      </c>
      <c r="F4617" t="s">
        <v>24</v>
      </c>
      <c r="G4617" t="s">
        <v>51</v>
      </c>
      <c r="H4617" t="s">
        <v>26</v>
      </c>
      <c r="I4617" t="s">
        <v>70</v>
      </c>
      <c r="J4617" t="s">
        <v>252</v>
      </c>
      <c r="K4617">
        <v>1</v>
      </c>
      <c r="L4617" s="2">
        <v>216.08</v>
      </c>
      <c r="M4617" s="3">
        <v>0.05</v>
      </c>
      <c r="N4617" t="s">
        <v>29</v>
      </c>
      <c r="O4617" s="2">
        <v>205.28</v>
      </c>
      <c r="P4617" s="2">
        <v>167.94</v>
      </c>
      <c r="Q4617" s="2">
        <v>37.340000000000003</v>
      </c>
      <c r="R4617">
        <v>1</v>
      </c>
      <c r="S4617">
        <v>0</v>
      </c>
      <c r="T4617">
        <v>3</v>
      </c>
      <c r="U4617">
        <v>5</v>
      </c>
    </row>
    <row r="4618" spans="1:21" ht="16.5" x14ac:dyDescent="0.3">
      <c r="A4618" t="s">
        <v>4706</v>
      </c>
      <c r="B4618" s="1">
        <v>45957</v>
      </c>
      <c r="C4618">
        <v>2025</v>
      </c>
      <c r="D4618" t="s">
        <v>1738</v>
      </c>
      <c r="E4618" t="s">
        <v>1739</v>
      </c>
      <c r="F4618" t="s">
        <v>45</v>
      </c>
      <c r="G4618" t="s">
        <v>25</v>
      </c>
      <c r="H4618" t="s">
        <v>32</v>
      </c>
      <c r="I4618" t="s">
        <v>27</v>
      </c>
      <c r="J4618" t="s">
        <v>110</v>
      </c>
      <c r="K4618">
        <v>1</v>
      </c>
      <c r="L4618" s="2">
        <v>19.41</v>
      </c>
      <c r="M4618" s="3">
        <v>0.15</v>
      </c>
      <c r="N4618" t="s">
        <v>34</v>
      </c>
      <c r="O4618" s="2">
        <v>16.5</v>
      </c>
      <c r="P4618" s="2">
        <v>11.12</v>
      </c>
      <c r="Q4618" s="2">
        <v>5.38</v>
      </c>
      <c r="R4618">
        <v>1</v>
      </c>
      <c r="S4618">
        <v>1</v>
      </c>
      <c r="T4618">
        <v>3</v>
      </c>
      <c r="U4618">
        <v>4</v>
      </c>
    </row>
    <row r="4619" spans="1:21" ht="16.5" x14ac:dyDescent="0.3">
      <c r="A4619" t="s">
        <v>4707</v>
      </c>
      <c r="B4619" s="1">
        <v>45958</v>
      </c>
      <c r="C4619">
        <v>2025</v>
      </c>
      <c r="D4619" t="s">
        <v>1738</v>
      </c>
      <c r="E4619" t="s">
        <v>1739</v>
      </c>
      <c r="F4619" t="s">
        <v>31</v>
      </c>
      <c r="G4619" t="s">
        <v>51</v>
      </c>
      <c r="H4619" t="s">
        <v>32</v>
      </c>
      <c r="I4619" t="s">
        <v>27</v>
      </c>
      <c r="J4619" t="s">
        <v>33</v>
      </c>
      <c r="K4619">
        <v>1</v>
      </c>
      <c r="L4619" s="2">
        <v>78.510000000000005</v>
      </c>
      <c r="M4619" s="3">
        <v>0.2</v>
      </c>
      <c r="N4619" t="s">
        <v>34</v>
      </c>
      <c r="O4619" s="2">
        <v>62.81</v>
      </c>
      <c r="P4619" s="2">
        <v>43.3</v>
      </c>
      <c r="Q4619" s="2">
        <v>19.510000000000002</v>
      </c>
      <c r="R4619">
        <v>1</v>
      </c>
      <c r="S4619">
        <v>0</v>
      </c>
      <c r="T4619">
        <v>3</v>
      </c>
      <c r="U4619">
        <v>5</v>
      </c>
    </row>
    <row r="4620" spans="1:21" ht="16.5" x14ac:dyDescent="0.3">
      <c r="A4620" t="s">
        <v>4708</v>
      </c>
      <c r="B4620" s="1">
        <v>45958</v>
      </c>
      <c r="C4620">
        <v>2025</v>
      </c>
      <c r="D4620" t="s">
        <v>1738</v>
      </c>
      <c r="E4620" t="s">
        <v>1739</v>
      </c>
      <c r="F4620" t="s">
        <v>45</v>
      </c>
      <c r="G4620" t="s">
        <v>25</v>
      </c>
      <c r="H4620" t="s">
        <v>26</v>
      </c>
      <c r="I4620" t="s">
        <v>70</v>
      </c>
      <c r="J4620" t="s">
        <v>82</v>
      </c>
      <c r="K4620">
        <v>1</v>
      </c>
      <c r="L4620" s="2">
        <v>508.8</v>
      </c>
      <c r="M4620" s="3">
        <v>0</v>
      </c>
      <c r="N4620" t="s">
        <v>38</v>
      </c>
      <c r="O4620" s="2">
        <v>508.8</v>
      </c>
      <c r="P4620" s="2">
        <v>408.76</v>
      </c>
      <c r="Q4620" s="2">
        <v>100.04</v>
      </c>
      <c r="R4620">
        <v>1</v>
      </c>
      <c r="S4620">
        <v>0</v>
      </c>
      <c r="T4620">
        <v>3</v>
      </c>
      <c r="U4620">
        <v>5</v>
      </c>
    </row>
    <row r="4621" spans="1:21" ht="16.5" x14ac:dyDescent="0.3">
      <c r="A4621" t="s">
        <v>4709</v>
      </c>
      <c r="B4621" s="1">
        <v>45958</v>
      </c>
      <c r="C4621">
        <v>2025</v>
      </c>
      <c r="D4621" t="s">
        <v>1738</v>
      </c>
      <c r="E4621" t="s">
        <v>1739</v>
      </c>
      <c r="F4621" t="s">
        <v>45</v>
      </c>
      <c r="G4621" t="s">
        <v>25</v>
      </c>
      <c r="H4621" t="s">
        <v>32</v>
      </c>
      <c r="I4621" t="s">
        <v>67</v>
      </c>
      <c r="J4621" t="s">
        <v>68</v>
      </c>
      <c r="K4621">
        <v>1</v>
      </c>
      <c r="L4621" s="2">
        <v>74.459999999999994</v>
      </c>
      <c r="M4621" s="3">
        <v>0.05</v>
      </c>
      <c r="N4621" t="s">
        <v>29</v>
      </c>
      <c r="O4621" s="2">
        <v>70.739999999999995</v>
      </c>
      <c r="P4621" s="2">
        <v>51.48</v>
      </c>
      <c r="Q4621" s="2">
        <v>19.260000000000002</v>
      </c>
      <c r="R4621">
        <v>1</v>
      </c>
      <c r="S4621">
        <v>0</v>
      </c>
      <c r="T4621">
        <v>4</v>
      </c>
      <c r="U4621">
        <v>4</v>
      </c>
    </row>
    <row r="4622" spans="1:21" ht="16.5" x14ac:dyDescent="0.3">
      <c r="A4622" t="s">
        <v>4710</v>
      </c>
      <c r="B4622" s="1">
        <v>45958</v>
      </c>
      <c r="C4622">
        <v>2025</v>
      </c>
      <c r="D4622" t="s">
        <v>1738</v>
      </c>
      <c r="E4622" t="s">
        <v>1739</v>
      </c>
      <c r="F4622" t="s">
        <v>24</v>
      </c>
      <c r="G4622" t="s">
        <v>49</v>
      </c>
      <c r="H4622" t="s">
        <v>26</v>
      </c>
      <c r="I4622" t="s">
        <v>84</v>
      </c>
      <c r="J4622" t="s">
        <v>223</v>
      </c>
      <c r="K4622">
        <v>3</v>
      </c>
      <c r="L4622" s="2">
        <v>16.97</v>
      </c>
      <c r="M4622" s="3">
        <v>0.05</v>
      </c>
      <c r="N4622" t="s">
        <v>29</v>
      </c>
      <c r="O4622" s="2">
        <v>48.36</v>
      </c>
      <c r="P4622" s="2">
        <v>36.380000000000003</v>
      </c>
      <c r="Q4622" s="2">
        <v>11.98</v>
      </c>
      <c r="R4622">
        <v>1</v>
      </c>
      <c r="S4622">
        <v>0</v>
      </c>
      <c r="T4622">
        <v>6</v>
      </c>
      <c r="U4622">
        <v>4</v>
      </c>
    </row>
    <row r="4623" spans="1:21" ht="16.5" x14ac:dyDescent="0.3">
      <c r="A4623" t="s">
        <v>4711</v>
      </c>
      <c r="B4623" s="1">
        <v>45958</v>
      </c>
      <c r="C4623">
        <v>2025</v>
      </c>
      <c r="D4623" t="s">
        <v>1738</v>
      </c>
      <c r="E4623" t="s">
        <v>1739</v>
      </c>
      <c r="F4623" t="s">
        <v>31</v>
      </c>
      <c r="G4623" t="s">
        <v>49</v>
      </c>
      <c r="H4623" t="s">
        <v>26</v>
      </c>
      <c r="I4623" t="s">
        <v>36</v>
      </c>
      <c r="J4623" t="s">
        <v>56</v>
      </c>
      <c r="K4623">
        <v>1</v>
      </c>
      <c r="L4623" s="2">
        <v>74.3</v>
      </c>
      <c r="M4623" s="3">
        <v>0</v>
      </c>
      <c r="N4623" t="s">
        <v>38</v>
      </c>
      <c r="O4623" s="2">
        <v>74.3</v>
      </c>
      <c r="P4623" s="2">
        <v>36.28</v>
      </c>
      <c r="Q4623" s="2">
        <v>38.020000000000003</v>
      </c>
      <c r="R4623">
        <v>1</v>
      </c>
      <c r="S4623">
        <v>0</v>
      </c>
      <c r="T4623">
        <v>4</v>
      </c>
      <c r="U4623">
        <v>5</v>
      </c>
    </row>
    <row r="4624" spans="1:21" ht="16.5" x14ac:dyDescent="0.3">
      <c r="A4624" t="s">
        <v>4712</v>
      </c>
      <c r="B4624" s="1">
        <v>45958</v>
      </c>
      <c r="C4624">
        <v>2025</v>
      </c>
      <c r="D4624" t="s">
        <v>1738</v>
      </c>
      <c r="E4624" t="s">
        <v>1739</v>
      </c>
      <c r="F4624" t="s">
        <v>24</v>
      </c>
      <c r="G4624" t="s">
        <v>25</v>
      </c>
      <c r="H4624" t="s">
        <v>26</v>
      </c>
      <c r="I4624" t="s">
        <v>27</v>
      </c>
      <c r="J4624" t="s">
        <v>47</v>
      </c>
      <c r="K4624">
        <v>2</v>
      </c>
      <c r="L4624" s="2">
        <v>33.99</v>
      </c>
      <c r="M4624" s="3">
        <v>0.05</v>
      </c>
      <c r="N4624" t="s">
        <v>29</v>
      </c>
      <c r="O4624" s="2">
        <v>64.58</v>
      </c>
      <c r="P4624" s="2">
        <v>35.380000000000003</v>
      </c>
      <c r="Q4624" s="2">
        <v>29.2</v>
      </c>
      <c r="R4624">
        <v>1</v>
      </c>
      <c r="S4624">
        <v>0</v>
      </c>
      <c r="T4624">
        <v>4</v>
      </c>
      <c r="U4624">
        <v>5</v>
      </c>
    </row>
    <row r="4625" spans="1:21" ht="16.5" x14ac:dyDescent="0.3">
      <c r="A4625" t="s">
        <v>4713</v>
      </c>
      <c r="B4625" s="1">
        <v>45959</v>
      </c>
      <c r="C4625">
        <v>2025</v>
      </c>
      <c r="D4625" t="s">
        <v>1738</v>
      </c>
      <c r="E4625" t="s">
        <v>1739</v>
      </c>
      <c r="F4625" t="s">
        <v>24</v>
      </c>
      <c r="G4625" t="s">
        <v>25</v>
      </c>
      <c r="H4625" t="s">
        <v>26</v>
      </c>
      <c r="I4625" t="s">
        <v>70</v>
      </c>
      <c r="J4625" t="s">
        <v>252</v>
      </c>
      <c r="K4625">
        <v>1</v>
      </c>
      <c r="L4625" s="2">
        <v>216.08</v>
      </c>
      <c r="M4625" s="3">
        <v>0</v>
      </c>
      <c r="N4625" t="s">
        <v>38</v>
      </c>
      <c r="O4625" s="2">
        <v>216.08</v>
      </c>
      <c r="P4625" s="2">
        <v>175.59</v>
      </c>
      <c r="Q4625" s="2">
        <v>40.49</v>
      </c>
      <c r="R4625">
        <v>1</v>
      </c>
      <c r="S4625">
        <v>0</v>
      </c>
      <c r="T4625">
        <v>3</v>
      </c>
      <c r="U4625">
        <v>4</v>
      </c>
    </row>
    <row r="4626" spans="1:21" ht="16.5" x14ac:dyDescent="0.3">
      <c r="A4626" t="s">
        <v>4714</v>
      </c>
      <c r="B4626" s="1">
        <v>45959</v>
      </c>
      <c r="C4626">
        <v>2025</v>
      </c>
      <c r="D4626" t="s">
        <v>1738</v>
      </c>
      <c r="E4626" t="s">
        <v>1739</v>
      </c>
      <c r="F4626" t="s">
        <v>24</v>
      </c>
      <c r="G4626" t="s">
        <v>25</v>
      </c>
      <c r="H4626" t="s">
        <v>32</v>
      </c>
      <c r="I4626" t="s">
        <v>84</v>
      </c>
      <c r="J4626" t="s">
        <v>85</v>
      </c>
      <c r="K4626">
        <v>2</v>
      </c>
      <c r="L4626" s="2">
        <v>57.92</v>
      </c>
      <c r="M4626" s="3">
        <v>0.1</v>
      </c>
      <c r="N4626" t="s">
        <v>29</v>
      </c>
      <c r="O4626" s="2">
        <v>104.26</v>
      </c>
      <c r="P4626" s="2">
        <v>83.08</v>
      </c>
      <c r="Q4626" s="2">
        <v>21.18</v>
      </c>
      <c r="R4626">
        <v>1</v>
      </c>
      <c r="S4626">
        <v>0</v>
      </c>
      <c r="T4626">
        <v>3</v>
      </c>
      <c r="U4626">
        <v>5</v>
      </c>
    </row>
    <row r="4627" spans="1:21" ht="16.5" x14ac:dyDescent="0.3">
      <c r="A4627" t="s">
        <v>4715</v>
      </c>
      <c r="B4627" s="1">
        <v>45959</v>
      </c>
      <c r="C4627">
        <v>2025</v>
      </c>
      <c r="D4627" t="s">
        <v>1738</v>
      </c>
      <c r="E4627" t="s">
        <v>1739</v>
      </c>
      <c r="F4627" t="s">
        <v>45</v>
      </c>
      <c r="G4627" t="s">
        <v>49</v>
      </c>
      <c r="H4627" t="s">
        <v>32</v>
      </c>
      <c r="I4627" t="s">
        <v>42</v>
      </c>
      <c r="J4627" t="s">
        <v>58</v>
      </c>
      <c r="K4627">
        <v>1</v>
      </c>
      <c r="L4627" s="2">
        <v>233.81</v>
      </c>
      <c r="M4627" s="3">
        <v>0.05</v>
      </c>
      <c r="N4627" t="s">
        <v>29</v>
      </c>
      <c r="O4627" s="2">
        <v>222.12</v>
      </c>
      <c r="P4627" s="2">
        <v>146.79</v>
      </c>
      <c r="Q4627" s="2">
        <v>75.33</v>
      </c>
      <c r="R4627">
        <v>1</v>
      </c>
      <c r="S4627">
        <v>0</v>
      </c>
      <c r="T4627">
        <v>3</v>
      </c>
      <c r="U4627">
        <v>5</v>
      </c>
    </row>
    <row r="4628" spans="1:21" ht="16.5" x14ac:dyDescent="0.3">
      <c r="A4628" t="s">
        <v>4716</v>
      </c>
      <c r="B4628" s="1">
        <v>45959</v>
      </c>
      <c r="C4628">
        <v>2025</v>
      </c>
      <c r="D4628" t="s">
        <v>1738</v>
      </c>
      <c r="E4628" t="s">
        <v>1739</v>
      </c>
      <c r="F4628" t="s">
        <v>45</v>
      </c>
      <c r="G4628" t="s">
        <v>46</v>
      </c>
      <c r="H4628" t="s">
        <v>32</v>
      </c>
      <c r="I4628" t="s">
        <v>70</v>
      </c>
      <c r="J4628" t="s">
        <v>87</v>
      </c>
      <c r="K4628">
        <v>1</v>
      </c>
      <c r="L4628" s="2">
        <v>490.3</v>
      </c>
      <c r="M4628" s="3">
        <v>0.25</v>
      </c>
      <c r="N4628" t="s">
        <v>62</v>
      </c>
      <c r="O4628" s="2">
        <v>367.72</v>
      </c>
      <c r="P4628" s="2">
        <v>382.77</v>
      </c>
      <c r="Q4628" s="2">
        <v>-15.05</v>
      </c>
      <c r="R4628">
        <v>1</v>
      </c>
      <c r="S4628">
        <v>0</v>
      </c>
      <c r="T4628">
        <v>5</v>
      </c>
      <c r="U4628">
        <v>4</v>
      </c>
    </row>
    <row r="4629" spans="1:21" ht="16.5" x14ac:dyDescent="0.3">
      <c r="A4629" t="s">
        <v>4717</v>
      </c>
      <c r="B4629" s="1">
        <v>45959</v>
      </c>
      <c r="C4629">
        <v>2025</v>
      </c>
      <c r="D4629" t="s">
        <v>1738</v>
      </c>
      <c r="E4629" t="s">
        <v>1739</v>
      </c>
      <c r="F4629" t="s">
        <v>45</v>
      </c>
      <c r="G4629" t="s">
        <v>49</v>
      </c>
      <c r="H4629" t="s">
        <v>26</v>
      </c>
      <c r="I4629" t="s">
        <v>70</v>
      </c>
      <c r="J4629" t="s">
        <v>252</v>
      </c>
      <c r="K4629">
        <v>1</v>
      </c>
      <c r="L4629" s="2">
        <v>216.08</v>
      </c>
      <c r="M4629" s="3">
        <v>0</v>
      </c>
      <c r="N4629" t="s">
        <v>38</v>
      </c>
      <c r="O4629" s="2">
        <v>216.08</v>
      </c>
      <c r="P4629" s="2">
        <v>174.61</v>
      </c>
      <c r="Q4629" s="2">
        <v>41.47</v>
      </c>
      <c r="R4629">
        <v>1</v>
      </c>
      <c r="S4629">
        <v>0</v>
      </c>
      <c r="T4629">
        <v>4</v>
      </c>
      <c r="U4629">
        <v>4</v>
      </c>
    </row>
    <row r="4630" spans="1:21" ht="16.5" x14ac:dyDescent="0.3">
      <c r="A4630" t="s">
        <v>4718</v>
      </c>
      <c r="B4630" s="1">
        <v>45959</v>
      </c>
      <c r="C4630">
        <v>2025</v>
      </c>
      <c r="D4630" t="s">
        <v>1738</v>
      </c>
      <c r="E4630" t="s">
        <v>1739</v>
      </c>
      <c r="F4630" t="s">
        <v>24</v>
      </c>
      <c r="G4630" t="s">
        <v>51</v>
      </c>
      <c r="H4630" t="s">
        <v>32</v>
      </c>
      <c r="I4630" t="s">
        <v>70</v>
      </c>
      <c r="J4630" t="s">
        <v>129</v>
      </c>
      <c r="K4630">
        <v>1</v>
      </c>
      <c r="L4630" s="2">
        <v>177.65</v>
      </c>
      <c r="M4630" s="3">
        <v>0.3</v>
      </c>
      <c r="N4630" t="s">
        <v>62</v>
      </c>
      <c r="O4630" s="2">
        <v>124.35</v>
      </c>
      <c r="P4630" s="2">
        <v>142.31</v>
      </c>
      <c r="Q4630" s="2">
        <v>-17.96</v>
      </c>
      <c r="R4630">
        <v>1</v>
      </c>
      <c r="S4630">
        <v>0</v>
      </c>
      <c r="T4630">
        <v>3</v>
      </c>
      <c r="U4630">
        <v>5</v>
      </c>
    </row>
    <row r="4631" spans="1:21" ht="16.5" x14ac:dyDescent="0.3">
      <c r="A4631" t="s">
        <v>4719</v>
      </c>
      <c r="B4631" s="1">
        <v>45959</v>
      </c>
      <c r="C4631">
        <v>2025</v>
      </c>
      <c r="D4631" t="s">
        <v>1738</v>
      </c>
      <c r="E4631" t="s">
        <v>1739</v>
      </c>
      <c r="F4631" t="s">
        <v>31</v>
      </c>
      <c r="G4631" t="s">
        <v>49</v>
      </c>
      <c r="H4631" t="s">
        <v>26</v>
      </c>
      <c r="I4631" t="s">
        <v>42</v>
      </c>
      <c r="J4631" t="s">
        <v>89</v>
      </c>
      <c r="K4631">
        <v>2</v>
      </c>
      <c r="L4631" s="2">
        <v>68.349999999999994</v>
      </c>
      <c r="M4631" s="3">
        <v>0</v>
      </c>
      <c r="N4631" t="s">
        <v>38</v>
      </c>
      <c r="O4631" s="2">
        <v>136.69999999999999</v>
      </c>
      <c r="P4631" s="2">
        <v>87.98</v>
      </c>
      <c r="Q4631" s="2">
        <v>48.72</v>
      </c>
      <c r="R4631">
        <v>1</v>
      </c>
      <c r="S4631">
        <v>0</v>
      </c>
      <c r="T4631">
        <v>6</v>
      </c>
      <c r="U4631">
        <v>3</v>
      </c>
    </row>
    <row r="4632" spans="1:21" ht="16.5" x14ac:dyDescent="0.3">
      <c r="A4632" t="s">
        <v>4720</v>
      </c>
      <c r="B4632" s="1">
        <v>45960</v>
      </c>
      <c r="C4632">
        <v>2025</v>
      </c>
      <c r="D4632" t="s">
        <v>1738</v>
      </c>
      <c r="E4632" t="s">
        <v>1739</v>
      </c>
      <c r="F4632" t="s">
        <v>31</v>
      </c>
      <c r="G4632" t="s">
        <v>65</v>
      </c>
      <c r="H4632" t="s">
        <v>26</v>
      </c>
      <c r="I4632" t="s">
        <v>67</v>
      </c>
      <c r="J4632" t="s">
        <v>93</v>
      </c>
      <c r="K4632">
        <v>1</v>
      </c>
      <c r="L4632" s="2">
        <v>198.42</v>
      </c>
      <c r="M4632" s="3">
        <v>0</v>
      </c>
      <c r="N4632" t="s">
        <v>38</v>
      </c>
      <c r="O4632" s="2">
        <v>198.42</v>
      </c>
      <c r="P4632" s="2">
        <v>136.9</v>
      </c>
      <c r="Q4632" s="2">
        <v>61.52</v>
      </c>
      <c r="R4632">
        <v>1</v>
      </c>
      <c r="S4632">
        <v>0</v>
      </c>
      <c r="T4632">
        <v>6</v>
      </c>
      <c r="U4632">
        <v>3</v>
      </c>
    </row>
    <row r="4633" spans="1:21" ht="16.5" x14ac:dyDescent="0.3">
      <c r="A4633" t="s">
        <v>4721</v>
      </c>
      <c r="B4633" s="1">
        <v>45960</v>
      </c>
      <c r="C4633">
        <v>2025</v>
      </c>
      <c r="D4633" t="s">
        <v>1738</v>
      </c>
      <c r="E4633" t="s">
        <v>1739</v>
      </c>
      <c r="F4633" t="s">
        <v>31</v>
      </c>
      <c r="G4633" t="s">
        <v>65</v>
      </c>
      <c r="H4633" t="s">
        <v>32</v>
      </c>
      <c r="I4633" t="s">
        <v>70</v>
      </c>
      <c r="J4633" t="s">
        <v>82</v>
      </c>
      <c r="K4633">
        <v>1</v>
      </c>
      <c r="L4633" s="2">
        <v>508.8</v>
      </c>
      <c r="M4633" s="3">
        <v>0</v>
      </c>
      <c r="N4633" t="s">
        <v>38</v>
      </c>
      <c r="O4633" s="2">
        <v>508.8</v>
      </c>
      <c r="P4633" s="2">
        <v>413.69</v>
      </c>
      <c r="Q4633" s="2">
        <v>95.11</v>
      </c>
      <c r="R4633">
        <v>1</v>
      </c>
      <c r="S4633">
        <v>0</v>
      </c>
      <c r="T4633">
        <v>9</v>
      </c>
      <c r="U4633">
        <v>4</v>
      </c>
    </row>
    <row r="4634" spans="1:21" ht="16.5" x14ac:dyDescent="0.3">
      <c r="A4634" t="s">
        <v>4722</v>
      </c>
      <c r="B4634" s="1">
        <v>45960</v>
      </c>
      <c r="C4634">
        <v>2025</v>
      </c>
      <c r="D4634" t="s">
        <v>1738</v>
      </c>
      <c r="E4634" t="s">
        <v>1739</v>
      </c>
      <c r="F4634" t="s">
        <v>24</v>
      </c>
      <c r="G4634" t="s">
        <v>46</v>
      </c>
      <c r="H4634" t="s">
        <v>26</v>
      </c>
      <c r="I4634" t="s">
        <v>27</v>
      </c>
      <c r="J4634" t="s">
        <v>47</v>
      </c>
      <c r="K4634">
        <v>1</v>
      </c>
      <c r="L4634" s="2">
        <v>33.99</v>
      </c>
      <c r="M4634" s="3">
        <v>0.15</v>
      </c>
      <c r="N4634" t="s">
        <v>34</v>
      </c>
      <c r="O4634" s="2">
        <v>28.89</v>
      </c>
      <c r="P4634" s="2">
        <v>17.64</v>
      </c>
      <c r="Q4634" s="2">
        <v>11.25</v>
      </c>
      <c r="R4634">
        <v>1</v>
      </c>
      <c r="S4634">
        <v>0</v>
      </c>
      <c r="T4634">
        <v>5</v>
      </c>
      <c r="U4634">
        <v>5</v>
      </c>
    </row>
    <row r="4635" spans="1:21" ht="16.5" x14ac:dyDescent="0.3">
      <c r="A4635" t="s">
        <v>4723</v>
      </c>
      <c r="B4635" s="1">
        <v>45960</v>
      </c>
      <c r="C4635">
        <v>2025</v>
      </c>
      <c r="D4635" t="s">
        <v>1738</v>
      </c>
      <c r="E4635" t="s">
        <v>1739</v>
      </c>
      <c r="F4635" t="s">
        <v>24</v>
      </c>
      <c r="G4635" t="s">
        <v>65</v>
      </c>
      <c r="H4635" t="s">
        <v>26</v>
      </c>
      <c r="I4635" t="s">
        <v>84</v>
      </c>
      <c r="J4635" t="s">
        <v>223</v>
      </c>
      <c r="K4635">
        <v>1</v>
      </c>
      <c r="L4635" s="2">
        <v>16.97</v>
      </c>
      <c r="M4635" s="3">
        <v>0.15</v>
      </c>
      <c r="N4635" t="s">
        <v>34</v>
      </c>
      <c r="O4635" s="2">
        <v>14.42</v>
      </c>
      <c r="P4635" s="2">
        <v>11.97</v>
      </c>
      <c r="Q4635" s="2">
        <v>2.4500000000000002</v>
      </c>
      <c r="R4635">
        <v>1</v>
      </c>
      <c r="S4635">
        <v>0</v>
      </c>
      <c r="T4635">
        <v>7</v>
      </c>
      <c r="U4635">
        <v>4</v>
      </c>
    </row>
    <row r="4636" spans="1:21" ht="16.5" x14ac:dyDescent="0.3">
      <c r="A4636" t="s">
        <v>4724</v>
      </c>
      <c r="B4636" s="1">
        <v>45961</v>
      </c>
      <c r="C4636">
        <v>2025</v>
      </c>
      <c r="D4636" t="s">
        <v>1738</v>
      </c>
      <c r="E4636" t="s">
        <v>1739</v>
      </c>
      <c r="F4636" t="s">
        <v>24</v>
      </c>
      <c r="G4636" t="s">
        <v>25</v>
      </c>
      <c r="H4636" t="s">
        <v>32</v>
      </c>
      <c r="I4636" t="s">
        <v>27</v>
      </c>
      <c r="J4636" t="s">
        <v>47</v>
      </c>
      <c r="K4636">
        <v>1</v>
      </c>
      <c r="L4636" s="2">
        <v>33.99</v>
      </c>
      <c r="M4636" s="3">
        <v>0.25</v>
      </c>
      <c r="N4636" t="s">
        <v>62</v>
      </c>
      <c r="O4636" s="2">
        <v>25.49</v>
      </c>
      <c r="P4636" s="2">
        <v>20.25</v>
      </c>
      <c r="Q4636" s="2">
        <v>5.24</v>
      </c>
      <c r="R4636">
        <v>1</v>
      </c>
      <c r="S4636">
        <v>0</v>
      </c>
      <c r="T4636">
        <v>3</v>
      </c>
      <c r="U4636">
        <v>5</v>
      </c>
    </row>
    <row r="4637" spans="1:21" ht="16.5" x14ac:dyDescent="0.3">
      <c r="A4637" t="s">
        <v>4725</v>
      </c>
      <c r="B4637" s="1">
        <v>45961</v>
      </c>
      <c r="C4637">
        <v>2025</v>
      </c>
      <c r="D4637" t="s">
        <v>1738</v>
      </c>
      <c r="E4637" t="s">
        <v>1739</v>
      </c>
      <c r="F4637" t="s">
        <v>31</v>
      </c>
      <c r="G4637" t="s">
        <v>51</v>
      </c>
      <c r="H4637" t="s">
        <v>26</v>
      </c>
      <c r="I4637" t="s">
        <v>42</v>
      </c>
      <c r="J4637" t="s">
        <v>89</v>
      </c>
      <c r="K4637">
        <v>1</v>
      </c>
      <c r="L4637" s="2">
        <v>68.349999999999994</v>
      </c>
      <c r="M4637" s="3">
        <v>0.3</v>
      </c>
      <c r="N4637" t="s">
        <v>62</v>
      </c>
      <c r="O4637" s="2">
        <v>47.84</v>
      </c>
      <c r="P4637" s="2">
        <v>47.78</v>
      </c>
      <c r="Q4637" s="2">
        <v>0.06</v>
      </c>
      <c r="R4637">
        <v>1</v>
      </c>
      <c r="S4637">
        <v>0</v>
      </c>
      <c r="T4637">
        <v>3</v>
      </c>
      <c r="U4637">
        <v>4</v>
      </c>
    </row>
    <row r="4638" spans="1:21" ht="16.5" x14ac:dyDescent="0.3">
      <c r="A4638" t="s">
        <v>4726</v>
      </c>
      <c r="B4638" s="1">
        <v>45961</v>
      </c>
      <c r="C4638">
        <v>2025</v>
      </c>
      <c r="D4638" t="s">
        <v>1738</v>
      </c>
      <c r="E4638" t="s">
        <v>1739</v>
      </c>
      <c r="F4638" t="s">
        <v>24</v>
      </c>
      <c r="G4638" t="s">
        <v>65</v>
      </c>
      <c r="H4638" t="s">
        <v>26</v>
      </c>
      <c r="I4638" t="s">
        <v>70</v>
      </c>
      <c r="J4638" t="s">
        <v>87</v>
      </c>
      <c r="K4638">
        <v>1</v>
      </c>
      <c r="L4638" s="2">
        <v>490.3</v>
      </c>
      <c r="M4638" s="3">
        <v>0.15</v>
      </c>
      <c r="N4638" t="s">
        <v>34</v>
      </c>
      <c r="O4638" s="2">
        <v>416.76</v>
      </c>
      <c r="P4638" s="2">
        <v>394.59</v>
      </c>
      <c r="Q4638" s="2">
        <v>22.17</v>
      </c>
      <c r="R4638">
        <v>1</v>
      </c>
      <c r="S4638">
        <v>0</v>
      </c>
      <c r="T4638">
        <v>6</v>
      </c>
      <c r="U4638">
        <v>4</v>
      </c>
    </row>
    <row r="4639" spans="1:21" ht="16.5" x14ac:dyDescent="0.3">
      <c r="A4639" t="s">
        <v>4727</v>
      </c>
      <c r="B4639" s="1">
        <v>45961</v>
      </c>
      <c r="C4639">
        <v>2025</v>
      </c>
      <c r="D4639" t="s">
        <v>1738</v>
      </c>
      <c r="E4639" t="s">
        <v>1739</v>
      </c>
      <c r="F4639" t="s">
        <v>24</v>
      </c>
      <c r="G4639" t="s">
        <v>25</v>
      </c>
      <c r="H4639" t="s">
        <v>26</v>
      </c>
      <c r="I4639" t="s">
        <v>42</v>
      </c>
      <c r="J4639" t="s">
        <v>89</v>
      </c>
      <c r="K4639">
        <v>1</v>
      </c>
      <c r="L4639" s="2">
        <v>68.349999999999994</v>
      </c>
      <c r="M4639" s="3">
        <v>0</v>
      </c>
      <c r="N4639" t="s">
        <v>38</v>
      </c>
      <c r="O4639" s="2">
        <v>68.349999999999994</v>
      </c>
      <c r="P4639" s="2">
        <v>45.69</v>
      </c>
      <c r="Q4639" s="2">
        <v>22.66</v>
      </c>
      <c r="R4639">
        <v>1</v>
      </c>
      <c r="S4639">
        <v>0</v>
      </c>
      <c r="T4639">
        <v>4</v>
      </c>
      <c r="U4639">
        <v>4</v>
      </c>
    </row>
    <row r="4640" spans="1:21" ht="16.5" x14ac:dyDescent="0.3">
      <c r="A4640" t="s">
        <v>4728</v>
      </c>
      <c r="B4640" s="1">
        <v>45961</v>
      </c>
      <c r="C4640">
        <v>2025</v>
      </c>
      <c r="D4640" t="s">
        <v>1738</v>
      </c>
      <c r="E4640" t="s">
        <v>1739</v>
      </c>
      <c r="F4640" t="s">
        <v>31</v>
      </c>
      <c r="G4640" t="s">
        <v>25</v>
      </c>
      <c r="H4640" t="s">
        <v>32</v>
      </c>
      <c r="I4640" t="s">
        <v>70</v>
      </c>
      <c r="J4640" t="s">
        <v>87</v>
      </c>
      <c r="K4640">
        <v>1</v>
      </c>
      <c r="L4640" s="2">
        <v>490.3</v>
      </c>
      <c r="M4640" s="3">
        <v>0.05</v>
      </c>
      <c r="N4640" t="s">
        <v>29</v>
      </c>
      <c r="O4640" s="2">
        <v>465.78</v>
      </c>
      <c r="P4640" s="2">
        <v>397.98</v>
      </c>
      <c r="Q4640" s="2">
        <v>67.8</v>
      </c>
      <c r="R4640">
        <v>1</v>
      </c>
      <c r="S4640">
        <v>0</v>
      </c>
      <c r="T4640">
        <v>3</v>
      </c>
      <c r="U4640">
        <v>5</v>
      </c>
    </row>
    <row r="4641" spans="1:21" ht="16.5" x14ac:dyDescent="0.3">
      <c r="A4641" t="s">
        <v>4729</v>
      </c>
      <c r="B4641" s="1">
        <v>45961</v>
      </c>
      <c r="C4641">
        <v>2025</v>
      </c>
      <c r="D4641" t="s">
        <v>1738</v>
      </c>
      <c r="E4641" t="s">
        <v>1739</v>
      </c>
      <c r="F4641" t="s">
        <v>31</v>
      </c>
      <c r="G4641" t="s">
        <v>51</v>
      </c>
      <c r="H4641" t="s">
        <v>26</v>
      </c>
      <c r="I4641" t="s">
        <v>70</v>
      </c>
      <c r="J4641" t="s">
        <v>129</v>
      </c>
      <c r="K4641">
        <v>1</v>
      </c>
      <c r="L4641" s="2">
        <v>177.65</v>
      </c>
      <c r="M4641" s="3">
        <v>0</v>
      </c>
      <c r="N4641" t="s">
        <v>38</v>
      </c>
      <c r="O4641" s="2">
        <v>177.65</v>
      </c>
      <c r="P4641" s="2">
        <v>142.29</v>
      </c>
      <c r="Q4641" s="2">
        <v>35.36</v>
      </c>
      <c r="R4641">
        <v>1</v>
      </c>
      <c r="S4641">
        <v>0</v>
      </c>
      <c r="T4641">
        <v>3</v>
      </c>
      <c r="U4641">
        <v>4</v>
      </c>
    </row>
    <row r="4642" spans="1:21" ht="16.5" x14ac:dyDescent="0.3">
      <c r="A4642" t="s">
        <v>4730</v>
      </c>
      <c r="B4642" s="1">
        <v>45961</v>
      </c>
      <c r="C4642">
        <v>2025</v>
      </c>
      <c r="D4642" t="s">
        <v>1738</v>
      </c>
      <c r="E4642" t="s">
        <v>1739</v>
      </c>
      <c r="F4642" t="s">
        <v>24</v>
      </c>
      <c r="G4642" t="s">
        <v>49</v>
      </c>
      <c r="H4642" t="s">
        <v>32</v>
      </c>
      <c r="I4642" t="s">
        <v>36</v>
      </c>
      <c r="J4642" t="s">
        <v>115</v>
      </c>
      <c r="K4642">
        <v>1</v>
      </c>
      <c r="L4642" s="2">
        <v>33.479999999999997</v>
      </c>
      <c r="M4642" s="3">
        <v>0.05</v>
      </c>
      <c r="N4642" t="s">
        <v>29</v>
      </c>
      <c r="O4642" s="2">
        <v>31.81</v>
      </c>
      <c r="P4642" s="2">
        <v>16.649999999999999</v>
      </c>
      <c r="Q4642" s="2">
        <v>15.16</v>
      </c>
      <c r="R4642">
        <v>1</v>
      </c>
      <c r="S4642">
        <v>0</v>
      </c>
      <c r="T4642">
        <v>3</v>
      </c>
      <c r="U4642">
        <v>4</v>
      </c>
    </row>
    <row r="4643" spans="1:21" ht="16.5" x14ac:dyDescent="0.3">
      <c r="A4643" t="s">
        <v>4731</v>
      </c>
      <c r="B4643" s="1">
        <v>45961</v>
      </c>
      <c r="C4643">
        <v>2025</v>
      </c>
      <c r="D4643" t="s">
        <v>1738</v>
      </c>
      <c r="E4643" t="s">
        <v>1739</v>
      </c>
      <c r="F4643" t="s">
        <v>24</v>
      </c>
      <c r="G4643" t="s">
        <v>51</v>
      </c>
      <c r="H4643" t="s">
        <v>26</v>
      </c>
      <c r="I4643" t="s">
        <v>36</v>
      </c>
      <c r="J4643" t="s">
        <v>37</v>
      </c>
      <c r="K4643">
        <v>4</v>
      </c>
      <c r="L4643" s="2">
        <v>33.18</v>
      </c>
      <c r="M4643" s="3">
        <v>0.2</v>
      </c>
      <c r="N4643" t="s">
        <v>34</v>
      </c>
      <c r="O4643" s="2">
        <v>106.18</v>
      </c>
      <c r="P4643" s="2">
        <v>63.23</v>
      </c>
      <c r="Q4643" s="2">
        <v>42.95</v>
      </c>
      <c r="R4643">
        <v>1</v>
      </c>
      <c r="S4643">
        <v>0</v>
      </c>
      <c r="T4643">
        <v>4</v>
      </c>
      <c r="U4643">
        <v>4</v>
      </c>
    </row>
    <row r="4644" spans="1:21" ht="16.5" x14ac:dyDescent="0.3">
      <c r="A4644" t="s">
        <v>4732</v>
      </c>
      <c r="B4644" s="1">
        <v>45961</v>
      </c>
      <c r="C4644">
        <v>2025</v>
      </c>
      <c r="D4644" t="s">
        <v>1738</v>
      </c>
      <c r="E4644" t="s">
        <v>1739</v>
      </c>
      <c r="F4644" t="s">
        <v>31</v>
      </c>
      <c r="G4644" t="s">
        <v>25</v>
      </c>
      <c r="H4644" t="s">
        <v>32</v>
      </c>
      <c r="I4644" t="s">
        <v>36</v>
      </c>
      <c r="J4644" t="s">
        <v>37</v>
      </c>
      <c r="K4644">
        <v>1</v>
      </c>
      <c r="L4644" s="2">
        <v>33.18</v>
      </c>
      <c r="M4644" s="3">
        <v>0.3</v>
      </c>
      <c r="N4644" t="s">
        <v>62</v>
      </c>
      <c r="O4644" s="2">
        <v>23.23</v>
      </c>
      <c r="P4644" s="2">
        <v>16.170000000000002</v>
      </c>
      <c r="Q4644" s="2">
        <v>7.06</v>
      </c>
      <c r="R4644">
        <v>1</v>
      </c>
      <c r="S4644">
        <v>0</v>
      </c>
      <c r="T4644">
        <v>3</v>
      </c>
      <c r="U4644">
        <v>4</v>
      </c>
    </row>
    <row r="4645" spans="1:21" ht="16.5" x14ac:dyDescent="0.3">
      <c r="A4645" t="s">
        <v>4733</v>
      </c>
      <c r="B4645" s="1">
        <v>45961</v>
      </c>
      <c r="C4645">
        <v>2025</v>
      </c>
      <c r="D4645" t="s">
        <v>1738</v>
      </c>
      <c r="E4645" t="s">
        <v>1739</v>
      </c>
      <c r="F4645" t="s">
        <v>45</v>
      </c>
      <c r="G4645" t="s">
        <v>51</v>
      </c>
      <c r="H4645" t="s">
        <v>32</v>
      </c>
      <c r="I4645" t="s">
        <v>67</v>
      </c>
      <c r="J4645" t="s">
        <v>93</v>
      </c>
      <c r="K4645">
        <v>3</v>
      </c>
      <c r="L4645" s="2">
        <v>198.42</v>
      </c>
      <c r="M4645" s="3">
        <v>0.1</v>
      </c>
      <c r="N4645" t="s">
        <v>29</v>
      </c>
      <c r="O4645" s="2">
        <v>535.73</v>
      </c>
      <c r="P4645" s="2">
        <v>385.42</v>
      </c>
      <c r="Q4645" s="2">
        <v>150.31</v>
      </c>
      <c r="R4645">
        <v>1</v>
      </c>
      <c r="S4645">
        <v>0</v>
      </c>
      <c r="T4645">
        <v>2</v>
      </c>
      <c r="U4645">
        <v>4</v>
      </c>
    </row>
    <row r="4646" spans="1:21" ht="16.5" x14ac:dyDescent="0.3">
      <c r="A4646" t="s">
        <v>4734</v>
      </c>
      <c r="B4646" s="1">
        <v>45962</v>
      </c>
      <c r="C4646">
        <v>2025</v>
      </c>
      <c r="D4646" t="s">
        <v>1738</v>
      </c>
      <c r="E4646" t="s">
        <v>1959</v>
      </c>
      <c r="F4646" t="s">
        <v>31</v>
      </c>
      <c r="G4646" t="s">
        <v>25</v>
      </c>
      <c r="H4646" t="s">
        <v>32</v>
      </c>
      <c r="I4646" t="s">
        <v>36</v>
      </c>
      <c r="J4646" t="s">
        <v>52</v>
      </c>
      <c r="K4646">
        <v>2</v>
      </c>
      <c r="L4646" s="2">
        <v>92.54</v>
      </c>
      <c r="M4646" s="3">
        <v>0</v>
      </c>
      <c r="N4646" t="s">
        <v>38</v>
      </c>
      <c r="O4646" s="2">
        <v>185.08</v>
      </c>
      <c r="P4646" s="2">
        <v>83.92</v>
      </c>
      <c r="Q4646" s="2">
        <v>101.16</v>
      </c>
      <c r="R4646">
        <v>1</v>
      </c>
      <c r="S4646">
        <v>0</v>
      </c>
      <c r="T4646">
        <v>5</v>
      </c>
      <c r="U4646">
        <v>3</v>
      </c>
    </row>
    <row r="4647" spans="1:21" ht="16.5" x14ac:dyDescent="0.3">
      <c r="A4647" t="s">
        <v>4735</v>
      </c>
      <c r="B4647" s="1">
        <v>45962</v>
      </c>
      <c r="C4647">
        <v>2025</v>
      </c>
      <c r="D4647" t="s">
        <v>1738</v>
      </c>
      <c r="E4647" t="s">
        <v>1959</v>
      </c>
      <c r="F4647" t="s">
        <v>24</v>
      </c>
      <c r="G4647" t="s">
        <v>65</v>
      </c>
      <c r="H4647" t="s">
        <v>26</v>
      </c>
      <c r="I4647" t="s">
        <v>27</v>
      </c>
      <c r="J4647" t="s">
        <v>110</v>
      </c>
      <c r="K4647">
        <v>1</v>
      </c>
      <c r="L4647" s="2">
        <v>19.41</v>
      </c>
      <c r="M4647" s="3">
        <v>0.1</v>
      </c>
      <c r="N4647" t="s">
        <v>29</v>
      </c>
      <c r="O4647" s="2">
        <v>17.47</v>
      </c>
      <c r="P4647" s="2">
        <v>10.54</v>
      </c>
      <c r="Q4647" s="2">
        <v>6.93</v>
      </c>
      <c r="R4647">
        <v>1</v>
      </c>
      <c r="S4647">
        <v>0</v>
      </c>
      <c r="T4647">
        <v>7</v>
      </c>
      <c r="U4647">
        <v>4</v>
      </c>
    </row>
    <row r="4648" spans="1:21" ht="16.5" x14ac:dyDescent="0.3">
      <c r="A4648" t="s">
        <v>4736</v>
      </c>
      <c r="B4648" s="1">
        <v>45962</v>
      </c>
      <c r="C4648">
        <v>2025</v>
      </c>
      <c r="D4648" t="s">
        <v>1738</v>
      </c>
      <c r="E4648" t="s">
        <v>1959</v>
      </c>
      <c r="F4648" t="s">
        <v>24</v>
      </c>
      <c r="G4648" t="s">
        <v>65</v>
      </c>
      <c r="H4648" t="s">
        <v>26</v>
      </c>
      <c r="I4648" t="s">
        <v>36</v>
      </c>
      <c r="J4648" t="s">
        <v>126</v>
      </c>
      <c r="K4648">
        <v>1</v>
      </c>
      <c r="L4648" s="2">
        <v>54.56</v>
      </c>
      <c r="M4648" s="3">
        <v>0</v>
      </c>
      <c r="N4648" t="s">
        <v>38</v>
      </c>
      <c r="O4648" s="2">
        <v>54.56</v>
      </c>
      <c r="P4648" s="2">
        <v>25.08</v>
      </c>
      <c r="Q4648" s="2">
        <v>29.48</v>
      </c>
      <c r="R4648">
        <v>1</v>
      </c>
      <c r="S4648">
        <v>0</v>
      </c>
      <c r="T4648">
        <v>8</v>
      </c>
      <c r="U4648">
        <v>3</v>
      </c>
    </row>
    <row r="4649" spans="1:21" ht="16.5" x14ac:dyDescent="0.3">
      <c r="A4649" t="s">
        <v>4737</v>
      </c>
      <c r="B4649" s="1">
        <v>45962</v>
      </c>
      <c r="C4649">
        <v>2025</v>
      </c>
      <c r="D4649" t="s">
        <v>1738</v>
      </c>
      <c r="E4649" t="s">
        <v>1959</v>
      </c>
      <c r="F4649" t="s">
        <v>31</v>
      </c>
      <c r="G4649" t="s">
        <v>51</v>
      </c>
      <c r="H4649" t="s">
        <v>32</v>
      </c>
      <c r="I4649" t="s">
        <v>42</v>
      </c>
      <c r="J4649" t="s">
        <v>43</v>
      </c>
      <c r="K4649">
        <v>1</v>
      </c>
      <c r="L4649" s="2">
        <v>154.66</v>
      </c>
      <c r="M4649" s="3">
        <v>0</v>
      </c>
      <c r="N4649" t="s">
        <v>38</v>
      </c>
      <c r="O4649" s="2">
        <v>154.66</v>
      </c>
      <c r="P4649" s="2">
        <v>105.32</v>
      </c>
      <c r="Q4649" s="2">
        <v>49.34</v>
      </c>
      <c r="R4649">
        <v>1</v>
      </c>
      <c r="S4649">
        <v>0</v>
      </c>
      <c r="T4649">
        <v>4</v>
      </c>
      <c r="U4649">
        <v>5</v>
      </c>
    </row>
    <row r="4650" spans="1:21" ht="16.5" x14ac:dyDescent="0.3">
      <c r="A4650" t="s">
        <v>4738</v>
      </c>
      <c r="B4650" s="1">
        <v>45962</v>
      </c>
      <c r="C4650">
        <v>2025</v>
      </c>
      <c r="D4650" t="s">
        <v>1738</v>
      </c>
      <c r="E4650" t="s">
        <v>1959</v>
      </c>
      <c r="F4650" t="s">
        <v>45</v>
      </c>
      <c r="G4650" t="s">
        <v>25</v>
      </c>
      <c r="H4650" t="s">
        <v>32</v>
      </c>
      <c r="I4650" t="s">
        <v>84</v>
      </c>
      <c r="J4650" t="s">
        <v>106</v>
      </c>
      <c r="K4650">
        <v>1</v>
      </c>
      <c r="L4650" s="2">
        <v>45.28</v>
      </c>
      <c r="M4650" s="3">
        <v>0.2</v>
      </c>
      <c r="N4650" t="s">
        <v>34</v>
      </c>
      <c r="O4650" s="2">
        <v>36.22</v>
      </c>
      <c r="P4650" s="2">
        <v>32.08</v>
      </c>
      <c r="Q4650" s="2">
        <v>4.1399999999999997</v>
      </c>
      <c r="R4650">
        <v>1</v>
      </c>
      <c r="S4650">
        <v>0</v>
      </c>
      <c r="T4650">
        <v>6</v>
      </c>
      <c r="U4650">
        <v>4</v>
      </c>
    </row>
    <row r="4651" spans="1:21" ht="16.5" x14ac:dyDescent="0.3">
      <c r="A4651" t="s">
        <v>4739</v>
      </c>
      <c r="B4651" s="1">
        <v>45962</v>
      </c>
      <c r="C4651">
        <v>2025</v>
      </c>
      <c r="D4651" t="s">
        <v>1738</v>
      </c>
      <c r="E4651" t="s">
        <v>1959</v>
      </c>
      <c r="F4651" t="s">
        <v>24</v>
      </c>
      <c r="G4651" t="s">
        <v>51</v>
      </c>
      <c r="H4651" t="s">
        <v>26</v>
      </c>
      <c r="I4651" t="s">
        <v>42</v>
      </c>
      <c r="J4651" t="s">
        <v>43</v>
      </c>
      <c r="K4651">
        <v>2</v>
      </c>
      <c r="L4651" s="2">
        <v>154.66</v>
      </c>
      <c r="M4651" s="3">
        <v>0.25</v>
      </c>
      <c r="N4651" t="s">
        <v>62</v>
      </c>
      <c r="O4651" s="2">
        <v>231.99</v>
      </c>
      <c r="P4651" s="2">
        <v>199.79</v>
      </c>
      <c r="Q4651" s="2">
        <v>32.200000000000003</v>
      </c>
      <c r="R4651">
        <v>1</v>
      </c>
      <c r="S4651">
        <v>0</v>
      </c>
      <c r="T4651">
        <v>4</v>
      </c>
      <c r="U4651">
        <v>4</v>
      </c>
    </row>
    <row r="4652" spans="1:21" ht="16.5" x14ac:dyDescent="0.3">
      <c r="A4652" t="s">
        <v>4740</v>
      </c>
      <c r="B4652" s="1">
        <v>45962</v>
      </c>
      <c r="C4652">
        <v>2025</v>
      </c>
      <c r="D4652" t="s">
        <v>1738</v>
      </c>
      <c r="E4652" t="s">
        <v>1959</v>
      </c>
      <c r="F4652" t="s">
        <v>45</v>
      </c>
      <c r="G4652" t="s">
        <v>49</v>
      </c>
      <c r="H4652" t="s">
        <v>26</v>
      </c>
      <c r="I4652" t="s">
        <v>36</v>
      </c>
      <c r="J4652" t="s">
        <v>115</v>
      </c>
      <c r="K4652">
        <v>2</v>
      </c>
      <c r="L4652" s="2">
        <v>33.479999999999997</v>
      </c>
      <c r="M4652" s="3">
        <v>0.2</v>
      </c>
      <c r="N4652" t="s">
        <v>34</v>
      </c>
      <c r="O4652" s="2">
        <v>53.57</v>
      </c>
      <c r="P4652" s="2">
        <v>32.74</v>
      </c>
      <c r="Q4652" s="2">
        <v>20.83</v>
      </c>
      <c r="R4652">
        <v>1</v>
      </c>
      <c r="S4652">
        <v>0</v>
      </c>
      <c r="T4652">
        <v>4</v>
      </c>
      <c r="U4652">
        <v>4</v>
      </c>
    </row>
    <row r="4653" spans="1:21" ht="16.5" x14ac:dyDescent="0.3">
      <c r="A4653" t="s">
        <v>4741</v>
      </c>
      <c r="B4653" s="1">
        <v>45962</v>
      </c>
      <c r="C4653">
        <v>2025</v>
      </c>
      <c r="D4653" t="s">
        <v>1738</v>
      </c>
      <c r="E4653" t="s">
        <v>1959</v>
      </c>
      <c r="F4653" t="s">
        <v>45</v>
      </c>
      <c r="G4653" t="s">
        <v>49</v>
      </c>
      <c r="H4653" t="s">
        <v>26</v>
      </c>
      <c r="I4653" t="s">
        <v>36</v>
      </c>
      <c r="J4653" t="s">
        <v>52</v>
      </c>
      <c r="K4653">
        <v>1</v>
      </c>
      <c r="L4653" s="2">
        <v>92.54</v>
      </c>
      <c r="M4653" s="3">
        <v>0.05</v>
      </c>
      <c r="N4653" t="s">
        <v>29</v>
      </c>
      <c r="O4653" s="2">
        <v>87.91</v>
      </c>
      <c r="P4653" s="2">
        <v>44.66</v>
      </c>
      <c r="Q4653" s="2">
        <v>43.25</v>
      </c>
      <c r="R4653">
        <v>1</v>
      </c>
      <c r="S4653">
        <v>0</v>
      </c>
      <c r="T4653">
        <v>4</v>
      </c>
      <c r="U4653">
        <v>4</v>
      </c>
    </row>
    <row r="4654" spans="1:21" ht="16.5" x14ac:dyDescent="0.3">
      <c r="A4654" t="s">
        <v>4742</v>
      </c>
      <c r="B4654" s="1">
        <v>45962</v>
      </c>
      <c r="C4654">
        <v>2025</v>
      </c>
      <c r="D4654" t="s">
        <v>1738</v>
      </c>
      <c r="E4654" t="s">
        <v>1959</v>
      </c>
      <c r="F4654" t="s">
        <v>24</v>
      </c>
      <c r="G4654" t="s">
        <v>51</v>
      </c>
      <c r="H4654" t="s">
        <v>26</v>
      </c>
      <c r="I4654" t="s">
        <v>27</v>
      </c>
      <c r="J4654" t="s">
        <v>60</v>
      </c>
      <c r="K4654">
        <v>1</v>
      </c>
      <c r="L4654" s="2">
        <v>94.85</v>
      </c>
      <c r="M4654" s="3">
        <v>0.1</v>
      </c>
      <c r="N4654" t="s">
        <v>29</v>
      </c>
      <c r="O4654" s="2">
        <v>85.36</v>
      </c>
      <c r="P4654" s="2">
        <v>49.09</v>
      </c>
      <c r="Q4654" s="2">
        <v>36.270000000000003</v>
      </c>
      <c r="R4654">
        <v>1</v>
      </c>
      <c r="S4654">
        <v>0</v>
      </c>
      <c r="T4654">
        <v>6</v>
      </c>
      <c r="U4654">
        <v>4</v>
      </c>
    </row>
    <row r="4655" spans="1:21" ht="16.5" x14ac:dyDescent="0.3">
      <c r="A4655" t="s">
        <v>4743</v>
      </c>
      <c r="B4655" s="1">
        <v>45962</v>
      </c>
      <c r="C4655">
        <v>2025</v>
      </c>
      <c r="D4655" t="s">
        <v>1738</v>
      </c>
      <c r="E4655" t="s">
        <v>1959</v>
      </c>
      <c r="F4655" t="s">
        <v>31</v>
      </c>
      <c r="G4655" t="s">
        <v>51</v>
      </c>
      <c r="H4655" t="s">
        <v>32</v>
      </c>
      <c r="I4655" t="s">
        <v>70</v>
      </c>
      <c r="J4655" t="s">
        <v>129</v>
      </c>
      <c r="K4655">
        <v>2</v>
      </c>
      <c r="L4655" s="2">
        <v>177.65</v>
      </c>
      <c r="M4655" s="3">
        <v>0.3</v>
      </c>
      <c r="N4655" t="s">
        <v>62</v>
      </c>
      <c r="O4655" s="2">
        <v>248.71</v>
      </c>
      <c r="P4655" s="2">
        <v>276.07</v>
      </c>
      <c r="Q4655" s="2">
        <v>-27.36</v>
      </c>
      <c r="R4655">
        <v>1</v>
      </c>
      <c r="S4655">
        <v>0</v>
      </c>
      <c r="T4655">
        <v>5</v>
      </c>
      <c r="U4655">
        <v>4</v>
      </c>
    </row>
    <row r="4656" spans="1:21" ht="16.5" x14ac:dyDescent="0.3">
      <c r="A4656" t="s">
        <v>4744</v>
      </c>
      <c r="B4656" s="1">
        <v>45962</v>
      </c>
      <c r="C4656">
        <v>2025</v>
      </c>
      <c r="D4656" t="s">
        <v>1738</v>
      </c>
      <c r="E4656" t="s">
        <v>1959</v>
      </c>
      <c r="F4656" t="s">
        <v>24</v>
      </c>
      <c r="G4656" t="s">
        <v>49</v>
      </c>
      <c r="H4656" t="s">
        <v>32</v>
      </c>
      <c r="I4656" t="s">
        <v>27</v>
      </c>
      <c r="J4656" t="s">
        <v>60</v>
      </c>
      <c r="K4656">
        <v>2</v>
      </c>
      <c r="L4656" s="2">
        <v>94.85</v>
      </c>
      <c r="M4656" s="3">
        <v>0.3</v>
      </c>
      <c r="N4656" t="s">
        <v>62</v>
      </c>
      <c r="O4656" s="2">
        <v>132.79</v>
      </c>
      <c r="P4656" s="2">
        <v>104.56</v>
      </c>
      <c r="Q4656" s="2">
        <v>28.23</v>
      </c>
      <c r="R4656">
        <v>1</v>
      </c>
      <c r="S4656">
        <v>0</v>
      </c>
      <c r="T4656">
        <v>4</v>
      </c>
      <c r="U4656">
        <v>5</v>
      </c>
    </row>
    <row r="4657" spans="1:21" ht="16.5" x14ac:dyDescent="0.3">
      <c r="A4657" t="s">
        <v>4745</v>
      </c>
      <c r="B4657" s="1">
        <v>45962</v>
      </c>
      <c r="C4657">
        <v>2025</v>
      </c>
      <c r="D4657" t="s">
        <v>1738</v>
      </c>
      <c r="E4657" t="s">
        <v>1959</v>
      </c>
      <c r="F4657" t="s">
        <v>24</v>
      </c>
      <c r="G4657" t="s">
        <v>51</v>
      </c>
      <c r="H4657" t="s">
        <v>32</v>
      </c>
      <c r="I4657" t="s">
        <v>27</v>
      </c>
      <c r="J4657" t="s">
        <v>40</v>
      </c>
      <c r="K4657">
        <v>3</v>
      </c>
      <c r="L4657" s="2">
        <v>104.94</v>
      </c>
      <c r="M4657" s="3">
        <v>0.15</v>
      </c>
      <c r="N4657" t="s">
        <v>34</v>
      </c>
      <c r="O4657" s="2">
        <v>267.60000000000002</v>
      </c>
      <c r="P4657" s="2">
        <v>159.94</v>
      </c>
      <c r="Q4657" s="2">
        <v>107.66</v>
      </c>
      <c r="R4657">
        <v>1</v>
      </c>
      <c r="S4657">
        <v>0</v>
      </c>
      <c r="T4657">
        <v>5</v>
      </c>
      <c r="U4657">
        <v>4</v>
      </c>
    </row>
    <row r="4658" spans="1:21" ht="16.5" x14ac:dyDescent="0.3">
      <c r="A4658" t="s">
        <v>4746</v>
      </c>
      <c r="B4658" s="1">
        <v>45962</v>
      </c>
      <c r="C4658">
        <v>2025</v>
      </c>
      <c r="D4658" t="s">
        <v>1738</v>
      </c>
      <c r="E4658" t="s">
        <v>1959</v>
      </c>
      <c r="F4658" t="s">
        <v>45</v>
      </c>
      <c r="G4658" t="s">
        <v>51</v>
      </c>
      <c r="H4658" t="s">
        <v>26</v>
      </c>
      <c r="I4658" t="s">
        <v>70</v>
      </c>
      <c r="J4658" t="s">
        <v>252</v>
      </c>
      <c r="K4658">
        <v>2</v>
      </c>
      <c r="L4658" s="2">
        <v>216.08</v>
      </c>
      <c r="M4658" s="3">
        <v>0.15</v>
      </c>
      <c r="N4658" t="s">
        <v>34</v>
      </c>
      <c r="O4658" s="2">
        <v>367.34</v>
      </c>
      <c r="P4658" s="2">
        <v>346.08</v>
      </c>
      <c r="Q4658" s="2">
        <v>21.26</v>
      </c>
      <c r="R4658">
        <v>1</v>
      </c>
      <c r="S4658">
        <v>1</v>
      </c>
      <c r="T4658">
        <v>6</v>
      </c>
      <c r="U4658">
        <v>2</v>
      </c>
    </row>
    <row r="4659" spans="1:21" ht="16.5" x14ac:dyDescent="0.3">
      <c r="A4659" t="s">
        <v>4747</v>
      </c>
      <c r="B4659" s="1">
        <v>45963</v>
      </c>
      <c r="C4659">
        <v>2025</v>
      </c>
      <c r="D4659" t="s">
        <v>1738</v>
      </c>
      <c r="E4659" t="s">
        <v>1959</v>
      </c>
      <c r="F4659" t="s">
        <v>31</v>
      </c>
      <c r="G4659" t="s">
        <v>25</v>
      </c>
      <c r="H4659" t="s">
        <v>32</v>
      </c>
      <c r="I4659" t="s">
        <v>27</v>
      </c>
      <c r="J4659" t="s">
        <v>60</v>
      </c>
      <c r="K4659">
        <v>1</v>
      </c>
      <c r="L4659" s="2">
        <v>94.85</v>
      </c>
      <c r="M4659" s="3">
        <v>0.1</v>
      </c>
      <c r="N4659" t="s">
        <v>29</v>
      </c>
      <c r="O4659" s="2">
        <v>85.36</v>
      </c>
      <c r="P4659" s="2">
        <v>49.24</v>
      </c>
      <c r="Q4659" s="2">
        <v>36.119999999999997</v>
      </c>
      <c r="R4659">
        <v>1</v>
      </c>
      <c r="S4659">
        <v>0</v>
      </c>
      <c r="T4659">
        <v>7</v>
      </c>
      <c r="U4659">
        <v>4</v>
      </c>
    </row>
    <row r="4660" spans="1:21" ht="16.5" x14ac:dyDescent="0.3">
      <c r="A4660" t="s">
        <v>4748</v>
      </c>
      <c r="B4660" s="1">
        <v>45963</v>
      </c>
      <c r="C4660">
        <v>2025</v>
      </c>
      <c r="D4660" t="s">
        <v>1738</v>
      </c>
      <c r="E4660" t="s">
        <v>1959</v>
      </c>
      <c r="F4660" t="s">
        <v>24</v>
      </c>
      <c r="G4660" t="s">
        <v>46</v>
      </c>
      <c r="H4660" t="s">
        <v>32</v>
      </c>
      <c r="I4660" t="s">
        <v>84</v>
      </c>
      <c r="J4660" t="s">
        <v>106</v>
      </c>
      <c r="K4660">
        <v>1</v>
      </c>
      <c r="L4660" s="2">
        <v>45.28</v>
      </c>
      <c r="M4660" s="3">
        <v>0.3</v>
      </c>
      <c r="N4660" t="s">
        <v>62</v>
      </c>
      <c r="O4660" s="2">
        <v>31.7</v>
      </c>
      <c r="P4660" s="2">
        <v>34.06</v>
      </c>
      <c r="Q4660" s="2">
        <v>-2.36</v>
      </c>
      <c r="R4660">
        <v>1</v>
      </c>
      <c r="S4660">
        <v>0</v>
      </c>
      <c r="T4660">
        <v>6</v>
      </c>
      <c r="U4660">
        <v>3</v>
      </c>
    </row>
    <row r="4661" spans="1:21" ht="16.5" x14ac:dyDescent="0.3">
      <c r="A4661" t="s">
        <v>4749</v>
      </c>
      <c r="B4661" s="1">
        <v>45963</v>
      </c>
      <c r="C4661">
        <v>2025</v>
      </c>
      <c r="D4661" t="s">
        <v>1738</v>
      </c>
      <c r="E4661" t="s">
        <v>1959</v>
      </c>
      <c r="F4661" t="s">
        <v>24</v>
      </c>
      <c r="G4661" t="s">
        <v>49</v>
      </c>
      <c r="H4661" t="s">
        <v>32</v>
      </c>
      <c r="I4661" t="s">
        <v>27</v>
      </c>
      <c r="J4661" t="s">
        <v>60</v>
      </c>
      <c r="K4661">
        <v>2</v>
      </c>
      <c r="L4661" s="2">
        <v>94.85</v>
      </c>
      <c r="M4661" s="3">
        <v>0.25</v>
      </c>
      <c r="N4661" t="s">
        <v>62</v>
      </c>
      <c r="O4661" s="2">
        <v>142.27000000000001</v>
      </c>
      <c r="P4661" s="2">
        <v>101.86</v>
      </c>
      <c r="Q4661" s="2">
        <v>40.409999999999997</v>
      </c>
      <c r="R4661">
        <v>1</v>
      </c>
      <c r="S4661">
        <v>0</v>
      </c>
      <c r="T4661">
        <v>4</v>
      </c>
      <c r="U4661">
        <v>4</v>
      </c>
    </row>
    <row r="4662" spans="1:21" ht="16.5" x14ac:dyDescent="0.3">
      <c r="A4662" t="s">
        <v>4750</v>
      </c>
      <c r="B4662" s="1">
        <v>45963</v>
      </c>
      <c r="C4662">
        <v>2025</v>
      </c>
      <c r="D4662" t="s">
        <v>1738</v>
      </c>
      <c r="E4662" t="s">
        <v>1959</v>
      </c>
      <c r="F4662" t="s">
        <v>31</v>
      </c>
      <c r="G4662" t="s">
        <v>65</v>
      </c>
      <c r="H4662" t="s">
        <v>32</v>
      </c>
      <c r="I4662" t="s">
        <v>27</v>
      </c>
      <c r="J4662" t="s">
        <v>40</v>
      </c>
      <c r="K4662">
        <v>1</v>
      </c>
      <c r="L4662" s="2">
        <v>104.94</v>
      </c>
      <c r="M4662" s="3">
        <v>0.05</v>
      </c>
      <c r="N4662" t="s">
        <v>29</v>
      </c>
      <c r="O4662" s="2">
        <v>99.69</v>
      </c>
      <c r="P4662" s="2">
        <v>57.76</v>
      </c>
      <c r="Q4662" s="2">
        <v>41.93</v>
      </c>
      <c r="R4662">
        <v>1</v>
      </c>
      <c r="S4662">
        <v>0</v>
      </c>
      <c r="T4662">
        <v>7</v>
      </c>
      <c r="U4662">
        <v>4</v>
      </c>
    </row>
    <row r="4663" spans="1:21" ht="16.5" x14ac:dyDescent="0.3">
      <c r="A4663" t="s">
        <v>4751</v>
      </c>
      <c r="B4663" s="1">
        <v>45963</v>
      </c>
      <c r="C4663">
        <v>2025</v>
      </c>
      <c r="D4663" t="s">
        <v>1738</v>
      </c>
      <c r="E4663" t="s">
        <v>1959</v>
      </c>
      <c r="F4663" t="s">
        <v>31</v>
      </c>
      <c r="G4663" t="s">
        <v>25</v>
      </c>
      <c r="H4663" t="s">
        <v>32</v>
      </c>
      <c r="I4663" t="s">
        <v>67</v>
      </c>
      <c r="J4663" t="s">
        <v>78</v>
      </c>
      <c r="K4663">
        <v>3</v>
      </c>
      <c r="L4663" s="2">
        <v>85.42</v>
      </c>
      <c r="M4663" s="3">
        <v>0.15</v>
      </c>
      <c r="N4663" t="s">
        <v>34</v>
      </c>
      <c r="O4663" s="2">
        <v>217.82</v>
      </c>
      <c r="P4663" s="2">
        <v>173.42</v>
      </c>
      <c r="Q4663" s="2">
        <v>44.4</v>
      </c>
      <c r="R4663">
        <v>1</v>
      </c>
      <c r="S4663">
        <v>0</v>
      </c>
      <c r="T4663">
        <v>5</v>
      </c>
      <c r="U4663">
        <v>5</v>
      </c>
    </row>
    <row r="4664" spans="1:21" ht="16.5" x14ac:dyDescent="0.3">
      <c r="A4664" t="s">
        <v>4752</v>
      </c>
      <c r="B4664" s="1">
        <v>45963</v>
      </c>
      <c r="C4664">
        <v>2025</v>
      </c>
      <c r="D4664" t="s">
        <v>1738</v>
      </c>
      <c r="E4664" t="s">
        <v>1959</v>
      </c>
      <c r="F4664" t="s">
        <v>45</v>
      </c>
      <c r="G4664" t="s">
        <v>49</v>
      </c>
      <c r="H4664" t="s">
        <v>26</v>
      </c>
      <c r="I4664" t="s">
        <v>67</v>
      </c>
      <c r="J4664" t="s">
        <v>68</v>
      </c>
      <c r="K4664">
        <v>1</v>
      </c>
      <c r="L4664" s="2">
        <v>74.459999999999994</v>
      </c>
      <c r="M4664" s="3">
        <v>0.25</v>
      </c>
      <c r="N4664" t="s">
        <v>62</v>
      </c>
      <c r="O4664" s="2">
        <v>55.84</v>
      </c>
      <c r="P4664" s="2">
        <v>49.13</v>
      </c>
      <c r="Q4664" s="2">
        <v>6.71</v>
      </c>
      <c r="R4664">
        <v>1</v>
      </c>
      <c r="S4664">
        <v>0</v>
      </c>
      <c r="T4664">
        <v>5</v>
      </c>
      <c r="U4664">
        <v>5</v>
      </c>
    </row>
    <row r="4665" spans="1:21" ht="16.5" x14ac:dyDescent="0.3">
      <c r="A4665" t="s">
        <v>4753</v>
      </c>
      <c r="B4665" s="1">
        <v>45963</v>
      </c>
      <c r="C4665">
        <v>2025</v>
      </c>
      <c r="D4665" t="s">
        <v>1738</v>
      </c>
      <c r="E4665" t="s">
        <v>1959</v>
      </c>
      <c r="F4665" t="s">
        <v>45</v>
      </c>
      <c r="G4665" t="s">
        <v>25</v>
      </c>
      <c r="H4665" t="s">
        <v>32</v>
      </c>
      <c r="I4665" t="s">
        <v>36</v>
      </c>
      <c r="J4665" t="s">
        <v>52</v>
      </c>
      <c r="K4665">
        <v>4</v>
      </c>
      <c r="L4665" s="2">
        <v>92.54</v>
      </c>
      <c r="M4665" s="3">
        <v>0.15</v>
      </c>
      <c r="N4665" t="s">
        <v>34</v>
      </c>
      <c r="O4665" s="2">
        <v>314.64</v>
      </c>
      <c r="P4665" s="2">
        <v>175.73</v>
      </c>
      <c r="Q4665" s="2">
        <v>138.91</v>
      </c>
      <c r="R4665">
        <v>1</v>
      </c>
      <c r="S4665">
        <v>0</v>
      </c>
      <c r="T4665">
        <v>8</v>
      </c>
      <c r="U4665">
        <v>4</v>
      </c>
    </row>
    <row r="4666" spans="1:21" ht="16.5" x14ac:dyDescent="0.3">
      <c r="A4666" t="s">
        <v>4754</v>
      </c>
      <c r="B4666" s="1">
        <v>45963</v>
      </c>
      <c r="C4666">
        <v>2025</v>
      </c>
      <c r="D4666" t="s">
        <v>1738</v>
      </c>
      <c r="E4666" t="s">
        <v>1959</v>
      </c>
      <c r="F4666" t="s">
        <v>31</v>
      </c>
      <c r="G4666" t="s">
        <v>65</v>
      </c>
      <c r="H4666" t="s">
        <v>32</v>
      </c>
      <c r="I4666" t="s">
        <v>70</v>
      </c>
      <c r="J4666" t="s">
        <v>87</v>
      </c>
      <c r="K4666">
        <v>1</v>
      </c>
      <c r="L4666" s="2">
        <v>490.3</v>
      </c>
      <c r="M4666" s="3">
        <v>0.05</v>
      </c>
      <c r="N4666" t="s">
        <v>29</v>
      </c>
      <c r="O4666" s="2">
        <v>465.78</v>
      </c>
      <c r="P4666" s="2">
        <v>403.18</v>
      </c>
      <c r="Q4666" s="2">
        <v>62.6</v>
      </c>
      <c r="R4666">
        <v>1</v>
      </c>
      <c r="S4666">
        <v>0</v>
      </c>
      <c r="T4666">
        <v>8</v>
      </c>
      <c r="U4666">
        <v>3</v>
      </c>
    </row>
    <row r="4667" spans="1:21" ht="16.5" x14ac:dyDescent="0.3">
      <c r="A4667" t="s">
        <v>4755</v>
      </c>
      <c r="B4667" s="1">
        <v>45963</v>
      </c>
      <c r="C4667">
        <v>2025</v>
      </c>
      <c r="D4667" t="s">
        <v>1738</v>
      </c>
      <c r="E4667" t="s">
        <v>1959</v>
      </c>
      <c r="F4667" t="s">
        <v>45</v>
      </c>
      <c r="G4667" t="s">
        <v>51</v>
      </c>
      <c r="H4667" t="s">
        <v>32</v>
      </c>
      <c r="I4667" t="s">
        <v>27</v>
      </c>
      <c r="J4667" t="s">
        <v>40</v>
      </c>
      <c r="K4667">
        <v>2</v>
      </c>
      <c r="L4667" s="2">
        <v>104.94</v>
      </c>
      <c r="M4667" s="3">
        <v>0.25</v>
      </c>
      <c r="N4667" t="s">
        <v>62</v>
      </c>
      <c r="O4667" s="2">
        <v>157.41</v>
      </c>
      <c r="P4667" s="2">
        <v>103.32</v>
      </c>
      <c r="Q4667" s="2">
        <v>54.09</v>
      </c>
      <c r="R4667">
        <v>1</v>
      </c>
      <c r="S4667">
        <v>1</v>
      </c>
      <c r="T4667">
        <v>4</v>
      </c>
      <c r="U4667">
        <v>4</v>
      </c>
    </row>
    <row r="4668" spans="1:21" ht="16.5" x14ac:dyDescent="0.3">
      <c r="A4668" t="s">
        <v>4756</v>
      </c>
      <c r="B4668" s="1">
        <v>45963</v>
      </c>
      <c r="C4668">
        <v>2025</v>
      </c>
      <c r="D4668" t="s">
        <v>1738</v>
      </c>
      <c r="E4668" t="s">
        <v>1959</v>
      </c>
      <c r="F4668" t="s">
        <v>45</v>
      </c>
      <c r="G4668" t="s">
        <v>25</v>
      </c>
      <c r="H4668" t="s">
        <v>26</v>
      </c>
      <c r="I4668" t="s">
        <v>67</v>
      </c>
      <c r="J4668" t="s">
        <v>78</v>
      </c>
      <c r="K4668">
        <v>1</v>
      </c>
      <c r="L4668" s="2">
        <v>85.42</v>
      </c>
      <c r="M4668" s="3">
        <v>0.1</v>
      </c>
      <c r="N4668" t="s">
        <v>29</v>
      </c>
      <c r="O4668" s="2">
        <v>76.88</v>
      </c>
      <c r="P4668" s="2">
        <v>56.16</v>
      </c>
      <c r="Q4668" s="2">
        <v>20.72</v>
      </c>
      <c r="R4668">
        <v>1</v>
      </c>
      <c r="S4668">
        <v>0</v>
      </c>
      <c r="T4668">
        <v>5</v>
      </c>
      <c r="U4668">
        <v>5</v>
      </c>
    </row>
    <row r="4669" spans="1:21" ht="16.5" x14ac:dyDescent="0.3">
      <c r="A4669" t="s">
        <v>4757</v>
      </c>
      <c r="B4669" s="1">
        <v>45963</v>
      </c>
      <c r="C4669">
        <v>2025</v>
      </c>
      <c r="D4669" t="s">
        <v>1738</v>
      </c>
      <c r="E4669" t="s">
        <v>1959</v>
      </c>
      <c r="F4669" t="s">
        <v>24</v>
      </c>
      <c r="G4669" t="s">
        <v>51</v>
      </c>
      <c r="H4669" t="s">
        <v>26</v>
      </c>
      <c r="I4669" t="s">
        <v>84</v>
      </c>
      <c r="J4669" t="s">
        <v>96</v>
      </c>
      <c r="K4669">
        <v>1</v>
      </c>
      <c r="L4669" s="2">
        <v>10.76</v>
      </c>
      <c r="M4669" s="3">
        <v>0.2</v>
      </c>
      <c r="N4669" t="s">
        <v>34</v>
      </c>
      <c r="O4669" s="2">
        <v>8.61</v>
      </c>
      <c r="P4669" s="2">
        <v>7.96</v>
      </c>
      <c r="Q4669" s="2">
        <v>0.65</v>
      </c>
      <c r="R4669">
        <v>1</v>
      </c>
      <c r="S4669">
        <v>0</v>
      </c>
      <c r="T4669">
        <v>5</v>
      </c>
      <c r="U4669">
        <v>4</v>
      </c>
    </row>
    <row r="4670" spans="1:21" ht="16.5" x14ac:dyDescent="0.3">
      <c r="A4670" t="s">
        <v>4758</v>
      </c>
      <c r="B4670" s="1">
        <v>45963</v>
      </c>
      <c r="C4670">
        <v>2025</v>
      </c>
      <c r="D4670" t="s">
        <v>1738</v>
      </c>
      <c r="E4670" t="s">
        <v>1959</v>
      </c>
      <c r="F4670" t="s">
        <v>31</v>
      </c>
      <c r="G4670" t="s">
        <v>25</v>
      </c>
      <c r="H4670" t="s">
        <v>32</v>
      </c>
      <c r="I4670" t="s">
        <v>70</v>
      </c>
      <c r="J4670" t="s">
        <v>71</v>
      </c>
      <c r="K4670">
        <v>1</v>
      </c>
      <c r="L4670" s="2">
        <v>588.41</v>
      </c>
      <c r="M4670" s="3">
        <v>0.15</v>
      </c>
      <c r="N4670" t="s">
        <v>34</v>
      </c>
      <c r="O4670" s="2">
        <v>500.15</v>
      </c>
      <c r="P4670" s="2">
        <v>494.13</v>
      </c>
      <c r="Q4670" s="2">
        <v>6.02</v>
      </c>
      <c r="R4670">
        <v>1</v>
      </c>
      <c r="S4670">
        <v>0</v>
      </c>
      <c r="T4670">
        <v>5</v>
      </c>
      <c r="U4670">
        <v>4</v>
      </c>
    </row>
    <row r="4671" spans="1:21" ht="16.5" x14ac:dyDescent="0.3">
      <c r="A4671" t="s">
        <v>4759</v>
      </c>
      <c r="B4671" s="1">
        <v>45963</v>
      </c>
      <c r="C4671">
        <v>2025</v>
      </c>
      <c r="D4671" t="s">
        <v>1738</v>
      </c>
      <c r="E4671" t="s">
        <v>1959</v>
      </c>
      <c r="F4671" t="s">
        <v>24</v>
      </c>
      <c r="G4671" t="s">
        <v>46</v>
      </c>
      <c r="H4671" t="s">
        <v>26</v>
      </c>
      <c r="I4671" t="s">
        <v>84</v>
      </c>
      <c r="J4671" t="s">
        <v>85</v>
      </c>
      <c r="K4671">
        <v>1</v>
      </c>
      <c r="L4671" s="2">
        <v>57.92</v>
      </c>
      <c r="M4671" s="3">
        <v>0.15</v>
      </c>
      <c r="N4671" t="s">
        <v>34</v>
      </c>
      <c r="O4671" s="2">
        <v>49.23</v>
      </c>
      <c r="P4671" s="2">
        <v>41.67</v>
      </c>
      <c r="Q4671" s="2">
        <v>7.56</v>
      </c>
      <c r="R4671">
        <v>1</v>
      </c>
      <c r="S4671">
        <v>0</v>
      </c>
      <c r="T4671">
        <v>7</v>
      </c>
      <c r="U4671">
        <v>4</v>
      </c>
    </row>
    <row r="4672" spans="1:21" ht="16.5" x14ac:dyDescent="0.3">
      <c r="A4672" t="s">
        <v>4760</v>
      </c>
      <c r="B4672" s="1">
        <v>45963</v>
      </c>
      <c r="C4672">
        <v>2025</v>
      </c>
      <c r="D4672" t="s">
        <v>1738</v>
      </c>
      <c r="E4672" t="s">
        <v>1959</v>
      </c>
      <c r="F4672" t="s">
        <v>31</v>
      </c>
      <c r="G4672" t="s">
        <v>49</v>
      </c>
      <c r="H4672" t="s">
        <v>26</v>
      </c>
      <c r="I4672" t="s">
        <v>36</v>
      </c>
      <c r="J4672" t="s">
        <v>37</v>
      </c>
      <c r="K4672">
        <v>2</v>
      </c>
      <c r="L4672" s="2">
        <v>33.18</v>
      </c>
      <c r="M4672" s="3">
        <v>0.2</v>
      </c>
      <c r="N4672" t="s">
        <v>34</v>
      </c>
      <c r="O4672" s="2">
        <v>53.09</v>
      </c>
      <c r="P4672" s="2">
        <v>31.23</v>
      </c>
      <c r="Q4672" s="2">
        <v>21.86</v>
      </c>
      <c r="R4672">
        <v>1</v>
      </c>
      <c r="S4672">
        <v>0</v>
      </c>
      <c r="T4672">
        <v>6</v>
      </c>
      <c r="U4672">
        <v>4</v>
      </c>
    </row>
    <row r="4673" spans="1:21" ht="16.5" x14ac:dyDescent="0.3">
      <c r="A4673" t="s">
        <v>4761</v>
      </c>
      <c r="B4673" s="1">
        <v>45963</v>
      </c>
      <c r="C4673">
        <v>2025</v>
      </c>
      <c r="D4673" t="s">
        <v>1738</v>
      </c>
      <c r="E4673" t="s">
        <v>1959</v>
      </c>
      <c r="F4673" t="s">
        <v>24</v>
      </c>
      <c r="G4673" t="s">
        <v>49</v>
      </c>
      <c r="H4673" t="s">
        <v>26</v>
      </c>
      <c r="I4673" t="s">
        <v>70</v>
      </c>
      <c r="J4673" t="s">
        <v>252</v>
      </c>
      <c r="K4673">
        <v>3</v>
      </c>
      <c r="L4673" s="2">
        <v>216.08</v>
      </c>
      <c r="M4673" s="3">
        <v>0.1</v>
      </c>
      <c r="N4673" t="s">
        <v>29</v>
      </c>
      <c r="O4673" s="2">
        <v>583.41999999999996</v>
      </c>
      <c r="P4673" s="2">
        <v>531.52</v>
      </c>
      <c r="Q4673" s="2">
        <v>51.9</v>
      </c>
      <c r="R4673">
        <v>1</v>
      </c>
      <c r="S4673">
        <v>0</v>
      </c>
      <c r="T4673">
        <v>4</v>
      </c>
      <c r="U4673">
        <v>4</v>
      </c>
    </row>
    <row r="4674" spans="1:21" ht="16.5" x14ac:dyDescent="0.3">
      <c r="A4674" t="s">
        <v>4762</v>
      </c>
      <c r="B4674" s="1">
        <v>45964</v>
      </c>
      <c r="C4674">
        <v>2025</v>
      </c>
      <c r="D4674" t="s">
        <v>1738</v>
      </c>
      <c r="E4674" t="s">
        <v>1959</v>
      </c>
      <c r="F4674" t="s">
        <v>24</v>
      </c>
      <c r="G4674" t="s">
        <v>65</v>
      </c>
      <c r="H4674" t="s">
        <v>26</v>
      </c>
      <c r="I4674" t="s">
        <v>42</v>
      </c>
      <c r="J4674" t="s">
        <v>54</v>
      </c>
      <c r="K4674">
        <v>2</v>
      </c>
      <c r="L4674" s="2">
        <v>148.05000000000001</v>
      </c>
      <c r="M4674" s="3">
        <v>0.15</v>
      </c>
      <c r="N4674" t="s">
        <v>34</v>
      </c>
      <c r="O4674" s="2">
        <v>251.68</v>
      </c>
      <c r="P4674" s="2">
        <v>197.13</v>
      </c>
      <c r="Q4674" s="2">
        <v>54.55</v>
      </c>
      <c r="R4674">
        <v>1</v>
      </c>
      <c r="S4674">
        <v>0</v>
      </c>
      <c r="T4674">
        <v>6</v>
      </c>
      <c r="U4674">
        <v>3</v>
      </c>
    </row>
    <row r="4675" spans="1:21" ht="16.5" x14ac:dyDescent="0.3">
      <c r="A4675" t="s">
        <v>4763</v>
      </c>
      <c r="B4675" s="1">
        <v>45964</v>
      </c>
      <c r="C4675">
        <v>2025</v>
      </c>
      <c r="D4675" t="s">
        <v>1738</v>
      </c>
      <c r="E4675" t="s">
        <v>1959</v>
      </c>
      <c r="F4675" t="s">
        <v>45</v>
      </c>
      <c r="G4675" t="s">
        <v>65</v>
      </c>
      <c r="H4675" t="s">
        <v>32</v>
      </c>
      <c r="I4675" t="s">
        <v>36</v>
      </c>
      <c r="J4675" t="s">
        <v>126</v>
      </c>
      <c r="K4675">
        <v>1</v>
      </c>
      <c r="L4675" s="2">
        <v>54.56</v>
      </c>
      <c r="M4675" s="3">
        <v>0.05</v>
      </c>
      <c r="N4675" t="s">
        <v>29</v>
      </c>
      <c r="O4675" s="2">
        <v>51.83</v>
      </c>
      <c r="P4675" s="2">
        <v>26.89</v>
      </c>
      <c r="Q4675" s="2">
        <v>24.94</v>
      </c>
      <c r="R4675">
        <v>1</v>
      </c>
      <c r="S4675">
        <v>0</v>
      </c>
      <c r="T4675">
        <v>8</v>
      </c>
      <c r="U4675">
        <v>3</v>
      </c>
    </row>
    <row r="4676" spans="1:21" ht="16.5" x14ac:dyDescent="0.3">
      <c r="A4676" t="s">
        <v>4764</v>
      </c>
      <c r="B4676" s="1">
        <v>45964</v>
      </c>
      <c r="C4676">
        <v>2025</v>
      </c>
      <c r="D4676" t="s">
        <v>1738</v>
      </c>
      <c r="E4676" t="s">
        <v>1959</v>
      </c>
      <c r="F4676" t="s">
        <v>31</v>
      </c>
      <c r="G4676" t="s">
        <v>51</v>
      </c>
      <c r="H4676" t="s">
        <v>32</v>
      </c>
      <c r="I4676" t="s">
        <v>36</v>
      </c>
      <c r="J4676" t="s">
        <v>37</v>
      </c>
      <c r="K4676">
        <v>1</v>
      </c>
      <c r="L4676" s="2">
        <v>33.18</v>
      </c>
      <c r="M4676" s="3">
        <v>0.1</v>
      </c>
      <c r="N4676" t="s">
        <v>29</v>
      </c>
      <c r="O4676" s="2">
        <v>29.86</v>
      </c>
      <c r="P4676" s="2">
        <v>16.3</v>
      </c>
      <c r="Q4676" s="2">
        <v>13.56</v>
      </c>
      <c r="R4676">
        <v>1</v>
      </c>
      <c r="S4676">
        <v>0</v>
      </c>
      <c r="T4676">
        <v>3</v>
      </c>
      <c r="U4676">
        <v>5</v>
      </c>
    </row>
    <row r="4677" spans="1:21" ht="16.5" x14ac:dyDescent="0.3">
      <c r="A4677" t="s">
        <v>4765</v>
      </c>
      <c r="B4677" s="1">
        <v>45964</v>
      </c>
      <c r="C4677">
        <v>2025</v>
      </c>
      <c r="D4677" t="s">
        <v>1738</v>
      </c>
      <c r="E4677" t="s">
        <v>1959</v>
      </c>
      <c r="F4677" t="s">
        <v>45</v>
      </c>
      <c r="G4677" t="s">
        <v>25</v>
      </c>
      <c r="H4677" t="s">
        <v>26</v>
      </c>
      <c r="I4677" t="s">
        <v>67</v>
      </c>
      <c r="J4677" t="s">
        <v>68</v>
      </c>
      <c r="K4677">
        <v>4</v>
      </c>
      <c r="L4677" s="2">
        <v>74.459999999999994</v>
      </c>
      <c r="M4677" s="3">
        <v>0.15</v>
      </c>
      <c r="N4677" t="s">
        <v>34</v>
      </c>
      <c r="O4677" s="2">
        <v>253.16</v>
      </c>
      <c r="P4677" s="2">
        <v>195.16</v>
      </c>
      <c r="Q4677" s="2">
        <v>58</v>
      </c>
      <c r="R4677">
        <v>1</v>
      </c>
      <c r="S4677">
        <v>0</v>
      </c>
      <c r="T4677">
        <v>6</v>
      </c>
      <c r="U4677">
        <v>4</v>
      </c>
    </row>
    <row r="4678" spans="1:21" ht="16.5" x14ac:dyDescent="0.3">
      <c r="A4678" t="s">
        <v>4766</v>
      </c>
      <c r="B4678" s="1">
        <v>45964</v>
      </c>
      <c r="C4678">
        <v>2025</v>
      </c>
      <c r="D4678" t="s">
        <v>1738</v>
      </c>
      <c r="E4678" t="s">
        <v>1959</v>
      </c>
      <c r="F4678" t="s">
        <v>31</v>
      </c>
      <c r="G4678" t="s">
        <v>25</v>
      </c>
      <c r="H4678" t="s">
        <v>26</v>
      </c>
      <c r="I4678" t="s">
        <v>36</v>
      </c>
      <c r="J4678" t="s">
        <v>52</v>
      </c>
      <c r="K4678">
        <v>1</v>
      </c>
      <c r="L4678" s="2">
        <v>92.54</v>
      </c>
      <c r="M4678" s="3">
        <v>0.2</v>
      </c>
      <c r="N4678" t="s">
        <v>34</v>
      </c>
      <c r="O4678" s="2">
        <v>74.03</v>
      </c>
      <c r="P4678" s="2">
        <v>44.63</v>
      </c>
      <c r="Q4678" s="2">
        <v>29.4</v>
      </c>
      <c r="R4678">
        <v>1</v>
      </c>
      <c r="S4678">
        <v>0</v>
      </c>
      <c r="T4678">
        <v>4</v>
      </c>
      <c r="U4678">
        <v>5</v>
      </c>
    </row>
    <row r="4679" spans="1:21" ht="16.5" x14ac:dyDescent="0.3">
      <c r="A4679" t="s">
        <v>4767</v>
      </c>
      <c r="B4679" s="1">
        <v>45964</v>
      </c>
      <c r="C4679">
        <v>2025</v>
      </c>
      <c r="D4679" t="s">
        <v>1738</v>
      </c>
      <c r="E4679" t="s">
        <v>1959</v>
      </c>
      <c r="F4679" t="s">
        <v>24</v>
      </c>
      <c r="G4679" t="s">
        <v>51</v>
      </c>
      <c r="H4679" t="s">
        <v>32</v>
      </c>
      <c r="I4679" t="s">
        <v>70</v>
      </c>
      <c r="J4679" t="s">
        <v>162</v>
      </c>
      <c r="K4679">
        <v>1</v>
      </c>
      <c r="L4679" s="2">
        <v>636.09</v>
      </c>
      <c r="M4679" s="3">
        <v>0.2</v>
      </c>
      <c r="N4679" t="s">
        <v>34</v>
      </c>
      <c r="O4679" s="2">
        <v>508.87</v>
      </c>
      <c r="P4679" s="2">
        <v>499.69</v>
      </c>
      <c r="Q4679" s="2">
        <v>9.18</v>
      </c>
      <c r="R4679">
        <v>1</v>
      </c>
      <c r="S4679">
        <v>0</v>
      </c>
      <c r="T4679">
        <v>3</v>
      </c>
      <c r="U4679">
        <v>4</v>
      </c>
    </row>
    <row r="4680" spans="1:21" ht="16.5" x14ac:dyDescent="0.3">
      <c r="A4680" t="s">
        <v>4768</v>
      </c>
      <c r="B4680" s="1">
        <v>45964</v>
      </c>
      <c r="C4680">
        <v>2025</v>
      </c>
      <c r="D4680" t="s">
        <v>1738</v>
      </c>
      <c r="E4680" t="s">
        <v>1959</v>
      </c>
      <c r="F4680" t="s">
        <v>45</v>
      </c>
      <c r="G4680" t="s">
        <v>51</v>
      </c>
      <c r="H4680" t="s">
        <v>32</v>
      </c>
      <c r="I4680" t="s">
        <v>36</v>
      </c>
      <c r="J4680" t="s">
        <v>37</v>
      </c>
      <c r="K4680">
        <v>4</v>
      </c>
      <c r="L4680" s="2">
        <v>33.18</v>
      </c>
      <c r="M4680" s="3">
        <v>0</v>
      </c>
      <c r="N4680" t="s">
        <v>38</v>
      </c>
      <c r="O4680" s="2">
        <v>132.72</v>
      </c>
      <c r="P4680" s="2">
        <v>63.25</v>
      </c>
      <c r="Q4680" s="2">
        <v>69.47</v>
      </c>
      <c r="R4680">
        <v>1</v>
      </c>
      <c r="S4680">
        <v>0</v>
      </c>
      <c r="T4680">
        <v>3</v>
      </c>
      <c r="U4680">
        <v>5</v>
      </c>
    </row>
    <row r="4681" spans="1:21" ht="16.5" x14ac:dyDescent="0.3">
      <c r="A4681" t="s">
        <v>4769</v>
      </c>
      <c r="B4681" s="1">
        <v>45964</v>
      </c>
      <c r="C4681">
        <v>2025</v>
      </c>
      <c r="D4681" t="s">
        <v>1738</v>
      </c>
      <c r="E4681" t="s">
        <v>1959</v>
      </c>
      <c r="F4681" t="s">
        <v>45</v>
      </c>
      <c r="G4681" t="s">
        <v>49</v>
      </c>
      <c r="H4681" t="s">
        <v>26</v>
      </c>
      <c r="I4681" t="s">
        <v>42</v>
      </c>
      <c r="J4681" t="s">
        <v>89</v>
      </c>
      <c r="K4681">
        <v>1</v>
      </c>
      <c r="L4681" s="2">
        <v>68.349999999999994</v>
      </c>
      <c r="M4681" s="3">
        <v>0.15</v>
      </c>
      <c r="N4681" t="s">
        <v>34</v>
      </c>
      <c r="O4681" s="2">
        <v>58.1</v>
      </c>
      <c r="P4681" s="2">
        <v>46.35</v>
      </c>
      <c r="Q4681" s="2">
        <v>11.75</v>
      </c>
      <c r="R4681">
        <v>1</v>
      </c>
      <c r="S4681">
        <v>0</v>
      </c>
      <c r="T4681">
        <v>6</v>
      </c>
      <c r="U4681">
        <v>4</v>
      </c>
    </row>
    <row r="4682" spans="1:21" ht="16.5" x14ac:dyDescent="0.3">
      <c r="A4682" t="s">
        <v>4770</v>
      </c>
      <c r="B4682" s="1">
        <v>45964</v>
      </c>
      <c r="C4682">
        <v>2025</v>
      </c>
      <c r="D4682" t="s">
        <v>1738</v>
      </c>
      <c r="E4682" t="s">
        <v>1959</v>
      </c>
      <c r="F4682" t="s">
        <v>24</v>
      </c>
      <c r="G4682" t="s">
        <v>51</v>
      </c>
      <c r="H4682" t="s">
        <v>32</v>
      </c>
      <c r="I4682" t="s">
        <v>42</v>
      </c>
      <c r="J4682" t="s">
        <v>54</v>
      </c>
      <c r="K4682">
        <v>2</v>
      </c>
      <c r="L4682" s="2">
        <v>148.05000000000001</v>
      </c>
      <c r="M4682" s="3">
        <v>0.15</v>
      </c>
      <c r="N4682" t="s">
        <v>34</v>
      </c>
      <c r="O4682" s="2">
        <v>251.68</v>
      </c>
      <c r="P4682" s="2">
        <v>201.48</v>
      </c>
      <c r="Q4682" s="2">
        <v>50.2</v>
      </c>
      <c r="R4682">
        <v>1</v>
      </c>
      <c r="S4682">
        <v>0</v>
      </c>
      <c r="T4682">
        <v>4</v>
      </c>
      <c r="U4682">
        <v>3</v>
      </c>
    </row>
    <row r="4683" spans="1:21" ht="16.5" x14ac:dyDescent="0.3">
      <c r="A4683" t="s">
        <v>4771</v>
      </c>
      <c r="B4683" s="1">
        <v>45964</v>
      </c>
      <c r="C4683">
        <v>2025</v>
      </c>
      <c r="D4683" t="s">
        <v>1738</v>
      </c>
      <c r="E4683" t="s">
        <v>1959</v>
      </c>
      <c r="F4683" t="s">
        <v>31</v>
      </c>
      <c r="G4683" t="s">
        <v>49</v>
      </c>
      <c r="H4683" t="s">
        <v>32</v>
      </c>
      <c r="I4683" t="s">
        <v>36</v>
      </c>
      <c r="J4683" t="s">
        <v>56</v>
      </c>
      <c r="K4683">
        <v>1</v>
      </c>
      <c r="L4683" s="2">
        <v>74.3</v>
      </c>
      <c r="M4683" s="3">
        <v>0.3</v>
      </c>
      <c r="N4683" t="s">
        <v>62</v>
      </c>
      <c r="O4683" s="2">
        <v>52.01</v>
      </c>
      <c r="P4683" s="2">
        <v>34.909999999999997</v>
      </c>
      <c r="Q4683" s="2">
        <v>17.100000000000001</v>
      </c>
      <c r="R4683">
        <v>1</v>
      </c>
      <c r="S4683">
        <v>0</v>
      </c>
      <c r="T4683">
        <v>7</v>
      </c>
      <c r="U4683">
        <v>4</v>
      </c>
    </row>
    <row r="4684" spans="1:21" ht="16.5" x14ac:dyDescent="0.3">
      <c r="A4684" t="s">
        <v>4772</v>
      </c>
      <c r="B4684" s="1">
        <v>45964</v>
      </c>
      <c r="C4684">
        <v>2025</v>
      </c>
      <c r="D4684" t="s">
        <v>1738</v>
      </c>
      <c r="E4684" t="s">
        <v>1959</v>
      </c>
      <c r="F4684" t="s">
        <v>24</v>
      </c>
      <c r="G4684" t="s">
        <v>49</v>
      </c>
      <c r="H4684" t="s">
        <v>32</v>
      </c>
      <c r="I4684" t="s">
        <v>42</v>
      </c>
      <c r="J4684" t="s">
        <v>98</v>
      </c>
      <c r="K4684">
        <v>2</v>
      </c>
      <c r="L4684" s="2">
        <v>117.63</v>
      </c>
      <c r="M4684" s="3">
        <v>0.2</v>
      </c>
      <c r="N4684" t="s">
        <v>34</v>
      </c>
      <c r="O4684" s="2">
        <v>188.21</v>
      </c>
      <c r="P4684" s="2">
        <v>155.55000000000001</v>
      </c>
      <c r="Q4684" s="2">
        <v>32.659999999999997</v>
      </c>
      <c r="R4684">
        <v>1</v>
      </c>
      <c r="S4684">
        <v>0</v>
      </c>
      <c r="T4684">
        <v>6</v>
      </c>
      <c r="U4684">
        <v>4</v>
      </c>
    </row>
    <row r="4685" spans="1:21" ht="16.5" x14ac:dyDescent="0.3">
      <c r="A4685" t="s">
        <v>4773</v>
      </c>
      <c r="B4685" s="1">
        <v>45964</v>
      </c>
      <c r="C4685">
        <v>2025</v>
      </c>
      <c r="D4685" t="s">
        <v>1738</v>
      </c>
      <c r="E4685" t="s">
        <v>1959</v>
      </c>
      <c r="F4685" t="s">
        <v>45</v>
      </c>
      <c r="G4685" t="s">
        <v>51</v>
      </c>
      <c r="H4685" t="s">
        <v>26</v>
      </c>
      <c r="I4685" t="s">
        <v>27</v>
      </c>
      <c r="J4685" t="s">
        <v>47</v>
      </c>
      <c r="K4685">
        <v>1</v>
      </c>
      <c r="L4685" s="2">
        <v>33.99</v>
      </c>
      <c r="M4685" s="3">
        <v>0</v>
      </c>
      <c r="N4685" t="s">
        <v>38</v>
      </c>
      <c r="O4685" s="2">
        <v>33.99</v>
      </c>
      <c r="P4685" s="2">
        <v>18.14</v>
      </c>
      <c r="Q4685" s="2">
        <v>15.85</v>
      </c>
      <c r="R4685">
        <v>1</v>
      </c>
      <c r="S4685">
        <v>0</v>
      </c>
      <c r="T4685">
        <v>5</v>
      </c>
      <c r="U4685">
        <v>5</v>
      </c>
    </row>
    <row r="4686" spans="1:21" ht="16.5" x14ac:dyDescent="0.3">
      <c r="A4686" t="s">
        <v>4774</v>
      </c>
      <c r="B4686" s="1">
        <v>45964</v>
      </c>
      <c r="C4686">
        <v>2025</v>
      </c>
      <c r="D4686" t="s">
        <v>1738</v>
      </c>
      <c r="E4686" t="s">
        <v>1959</v>
      </c>
      <c r="F4686" t="s">
        <v>24</v>
      </c>
      <c r="G4686" t="s">
        <v>25</v>
      </c>
      <c r="H4686" t="s">
        <v>26</v>
      </c>
      <c r="I4686" t="s">
        <v>27</v>
      </c>
      <c r="J4686" t="s">
        <v>110</v>
      </c>
      <c r="K4686">
        <v>2</v>
      </c>
      <c r="L4686" s="2">
        <v>19.41</v>
      </c>
      <c r="M4686" s="3">
        <v>0.2</v>
      </c>
      <c r="N4686" t="s">
        <v>34</v>
      </c>
      <c r="O4686" s="2">
        <v>31.06</v>
      </c>
      <c r="P4686" s="2">
        <v>20.77</v>
      </c>
      <c r="Q4686" s="2">
        <v>10.29</v>
      </c>
      <c r="R4686">
        <v>1</v>
      </c>
      <c r="S4686">
        <v>0</v>
      </c>
      <c r="T4686">
        <v>7</v>
      </c>
      <c r="U4686">
        <v>3</v>
      </c>
    </row>
    <row r="4687" spans="1:21" ht="16.5" x14ac:dyDescent="0.3">
      <c r="A4687" t="s">
        <v>4775</v>
      </c>
      <c r="B4687" s="1">
        <v>45964</v>
      </c>
      <c r="C4687">
        <v>2025</v>
      </c>
      <c r="D4687" t="s">
        <v>1738</v>
      </c>
      <c r="E4687" t="s">
        <v>1959</v>
      </c>
      <c r="F4687" t="s">
        <v>45</v>
      </c>
      <c r="G4687" t="s">
        <v>25</v>
      </c>
      <c r="H4687" t="s">
        <v>32</v>
      </c>
      <c r="I4687" t="s">
        <v>36</v>
      </c>
      <c r="J4687" t="s">
        <v>56</v>
      </c>
      <c r="K4687">
        <v>1</v>
      </c>
      <c r="L4687" s="2">
        <v>74.3</v>
      </c>
      <c r="M4687" s="3">
        <v>0.1</v>
      </c>
      <c r="N4687" t="s">
        <v>29</v>
      </c>
      <c r="O4687" s="2">
        <v>66.87</v>
      </c>
      <c r="P4687" s="2">
        <v>36.229999999999997</v>
      </c>
      <c r="Q4687" s="2">
        <v>30.64</v>
      </c>
      <c r="R4687">
        <v>1</v>
      </c>
      <c r="S4687">
        <v>0</v>
      </c>
      <c r="T4687">
        <v>5</v>
      </c>
      <c r="U4687">
        <v>4</v>
      </c>
    </row>
    <row r="4688" spans="1:21" ht="16.5" x14ac:dyDescent="0.3">
      <c r="A4688" t="s">
        <v>4776</v>
      </c>
      <c r="B4688" s="1">
        <v>45964</v>
      </c>
      <c r="C4688">
        <v>2025</v>
      </c>
      <c r="D4688" t="s">
        <v>1738</v>
      </c>
      <c r="E4688" t="s">
        <v>1959</v>
      </c>
      <c r="F4688" t="s">
        <v>31</v>
      </c>
      <c r="G4688" t="s">
        <v>46</v>
      </c>
      <c r="H4688" t="s">
        <v>26</v>
      </c>
      <c r="I4688" t="s">
        <v>84</v>
      </c>
      <c r="J4688" t="s">
        <v>223</v>
      </c>
      <c r="K4688">
        <v>1</v>
      </c>
      <c r="L4688" s="2">
        <v>16.97</v>
      </c>
      <c r="M4688" s="3">
        <v>0.25</v>
      </c>
      <c r="N4688" t="s">
        <v>62</v>
      </c>
      <c r="O4688" s="2">
        <v>12.73</v>
      </c>
      <c r="P4688" s="2">
        <v>11.71</v>
      </c>
      <c r="Q4688" s="2">
        <v>1.02</v>
      </c>
      <c r="R4688">
        <v>1</v>
      </c>
      <c r="S4688">
        <v>0</v>
      </c>
      <c r="T4688">
        <v>6</v>
      </c>
      <c r="U4688">
        <v>4</v>
      </c>
    </row>
    <row r="4689" spans="1:21" ht="16.5" x14ac:dyDescent="0.3">
      <c r="A4689" t="s">
        <v>4777</v>
      </c>
      <c r="B4689" s="1">
        <v>45964</v>
      </c>
      <c r="C4689">
        <v>2025</v>
      </c>
      <c r="D4689" t="s">
        <v>1738</v>
      </c>
      <c r="E4689" t="s">
        <v>1959</v>
      </c>
      <c r="F4689" t="s">
        <v>31</v>
      </c>
      <c r="G4689" t="s">
        <v>25</v>
      </c>
      <c r="H4689" t="s">
        <v>32</v>
      </c>
      <c r="I4689" t="s">
        <v>84</v>
      </c>
      <c r="J4689" t="s">
        <v>132</v>
      </c>
      <c r="K4689">
        <v>2</v>
      </c>
      <c r="L4689" s="2">
        <v>48.86</v>
      </c>
      <c r="M4689" s="3">
        <v>0.2</v>
      </c>
      <c r="N4689" t="s">
        <v>34</v>
      </c>
      <c r="O4689" s="2">
        <v>78.180000000000007</v>
      </c>
      <c r="P4689" s="2">
        <v>74.44</v>
      </c>
      <c r="Q4689" s="2">
        <v>3.74</v>
      </c>
      <c r="R4689">
        <v>1</v>
      </c>
      <c r="S4689">
        <v>0</v>
      </c>
      <c r="T4689">
        <v>4</v>
      </c>
      <c r="U4689">
        <v>5</v>
      </c>
    </row>
    <row r="4690" spans="1:21" ht="16.5" x14ac:dyDescent="0.3">
      <c r="A4690" t="s">
        <v>4778</v>
      </c>
      <c r="B4690" s="1">
        <v>45965</v>
      </c>
      <c r="C4690">
        <v>2025</v>
      </c>
      <c r="D4690" t="s">
        <v>1738</v>
      </c>
      <c r="E4690" t="s">
        <v>1959</v>
      </c>
      <c r="F4690" t="s">
        <v>24</v>
      </c>
      <c r="G4690" t="s">
        <v>49</v>
      </c>
      <c r="H4690" t="s">
        <v>32</v>
      </c>
      <c r="I4690" t="s">
        <v>27</v>
      </c>
      <c r="J4690" t="s">
        <v>110</v>
      </c>
      <c r="K4690">
        <v>1</v>
      </c>
      <c r="L4690" s="2">
        <v>19.41</v>
      </c>
      <c r="M4690" s="3">
        <v>0.15</v>
      </c>
      <c r="N4690" t="s">
        <v>34</v>
      </c>
      <c r="O4690" s="2">
        <v>16.5</v>
      </c>
      <c r="P4690" s="2">
        <v>10.17</v>
      </c>
      <c r="Q4690" s="2">
        <v>6.33</v>
      </c>
      <c r="R4690">
        <v>1</v>
      </c>
      <c r="S4690">
        <v>1</v>
      </c>
      <c r="T4690">
        <v>5</v>
      </c>
      <c r="U4690">
        <v>4</v>
      </c>
    </row>
    <row r="4691" spans="1:21" ht="16.5" x14ac:dyDescent="0.3">
      <c r="A4691" t="s">
        <v>4779</v>
      </c>
      <c r="B4691" s="1">
        <v>45965</v>
      </c>
      <c r="C4691">
        <v>2025</v>
      </c>
      <c r="D4691" t="s">
        <v>1738</v>
      </c>
      <c r="E4691" t="s">
        <v>1959</v>
      </c>
      <c r="F4691" t="s">
        <v>24</v>
      </c>
      <c r="G4691" t="s">
        <v>49</v>
      </c>
      <c r="H4691" t="s">
        <v>32</v>
      </c>
      <c r="I4691" t="s">
        <v>27</v>
      </c>
      <c r="J4691" t="s">
        <v>33</v>
      </c>
      <c r="K4691">
        <v>1</v>
      </c>
      <c r="L4691" s="2">
        <v>78.510000000000005</v>
      </c>
      <c r="M4691" s="3">
        <v>0.15</v>
      </c>
      <c r="N4691" t="s">
        <v>34</v>
      </c>
      <c r="O4691" s="2">
        <v>66.73</v>
      </c>
      <c r="P4691" s="2">
        <v>42.22</v>
      </c>
      <c r="Q4691" s="2">
        <v>24.51</v>
      </c>
      <c r="R4691">
        <v>1</v>
      </c>
      <c r="S4691">
        <v>0</v>
      </c>
      <c r="T4691">
        <v>5</v>
      </c>
      <c r="U4691">
        <v>5</v>
      </c>
    </row>
    <row r="4692" spans="1:21" ht="16.5" x14ac:dyDescent="0.3">
      <c r="A4692" t="s">
        <v>4780</v>
      </c>
      <c r="B4692" s="1">
        <v>45965</v>
      </c>
      <c r="C4692">
        <v>2025</v>
      </c>
      <c r="D4692" t="s">
        <v>1738</v>
      </c>
      <c r="E4692" t="s">
        <v>1959</v>
      </c>
      <c r="F4692" t="s">
        <v>31</v>
      </c>
      <c r="G4692" t="s">
        <v>65</v>
      </c>
      <c r="H4692" t="s">
        <v>32</v>
      </c>
      <c r="I4692" t="s">
        <v>27</v>
      </c>
      <c r="J4692" t="s">
        <v>110</v>
      </c>
      <c r="K4692">
        <v>1</v>
      </c>
      <c r="L4692" s="2">
        <v>19.41</v>
      </c>
      <c r="M4692" s="3">
        <v>0.2</v>
      </c>
      <c r="N4692" t="s">
        <v>34</v>
      </c>
      <c r="O4692" s="2">
        <v>15.53</v>
      </c>
      <c r="P4692" s="2">
        <v>10.63</v>
      </c>
      <c r="Q4692" s="2">
        <v>4.9000000000000004</v>
      </c>
      <c r="R4692">
        <v>1</v>
      </c>
      <c r="S4692">
        <v>0</v>
      </c>
      <c r="T4692">
        <v>7</v>
      </c>
      <c r="U4692">
        <v>3</v>
      </c>
    </row>
    <row r="4693" spans="1:21" ht="16.5" x14ac:dyDescent="0.3">
      <c r="A4693" t="s">
        <v>4781</v>
      </c>
      <c r="B4693" s="1">
        <v>45965</v>
      </c>
      <c r="C4693">
        <v>2025</v>
      </c>
      <c r="D4693" t="s">
        <v>1738</v>
      </c>
      <c r="E4693" t="s">
        <v>1959</v>
      </c>
      <c r="F4693" t="s">
        <v>45</v>
      </c>
      <c r="G4693" t="s">
        <v>46</v>
      </c>
      <c r="H4693" t="s">
        <v>32</v>
      </c>
      <c r="I4693" t="s">
        <v>67</v>
      </c>
      <c r="J4693" t="s">
        <v>174</v>
      </c>
      <c r="K4693">
        <v>1</v>
      </c>
      <c r="L4693" s="2">
        <v>137.05000000000001</v>
      </c>
      <c r="M4693" s="3">
        <v>0.2</v>
      </c>
      <c r="N4693" t="s">
        <v>34</v>
      </c>
      <c r="O4693" s="2">
        <v>109.64</v>
      </c>
      <c r="P4693" s="2">
        <v>92.18</v>
      </c>
      <c r="Q4693" s="2">
        <v>17.46</v>
      </c>
      <c r="R4693">
        <v>1</v>
      </c>
      <c r="S4693">
        <v>0</v>
      </c>
      <c r="T4693">
        <v>6</v>
      </c>
      <c r="U4693">
        <v>3</v>
      </c>
    </row>
    <row r="4694" spans="1:21" ht="16.5" x14ac:dyDescent="0.3">
      <c r="A4694" t="s">
        <v>4782</v>
      </c>
      <c r="B4694" s="1">
        <v>45965</v>
      </c>
      <c r="C4694">
        <v>2025</v>
      </c>
      <c r="D4694" t="s">
        <v>1738</v>
      </c>
      <c r="E4694" t="s">
        <v>1959</v>
      </c>
      <c r="F4694" t="s">
        <v>31</v>
      </c>
      <c r="G4694" t="s">
        <v>25</v>
      </c>
      <c r="H4694" t="s">
        <v>32</v>
      </c>
      <c r="I4694" t="s">
        <v>27</v>
      </c>
      <c r="J4694" t="s">
        <v>28</v>
      </c>
      <c r="K4694">
        <v>1</v>
      </c>
      <c r="L4694" s="2">
        <v>138.5</v>
      </c>
      <c r="M4694" s="3">
        <v>0.15</v>
      </c>
      <c r="N4694" t="s">
        <v>34</v>
      </c>
      <c r="O4694" s="2">
        <v>117.72</v>
      </c>
      <c r="P4694" s="2">
        <v>71.83</v>
      </c>
      <c r="Q4694" s="2">
        <v>45.89</v>
      </c>
      <c r="R4694">
        <v>1</v>
      </c>
      <c r="S4694">
        <v>0</v>
      </c>
      <c r="T4694">
        <v>5</v>
      </c>
      <c r="U4694">
        <v>5</v>
      </c>
    </row>
    <row r="4695" spans="1:21" ht="16.5" x14ac:dyDescent="0.3">
      <c r="A4695" t="s">
        <v>4783</v>
      </c>
      <c r="B4695" s="1">
        <v>45965</v>
      </c>
      <c r="C4695">
        <v>2025</v>
      </c>
      <c r="D4695" t="s">
        <v>1738</v>
      </c>
      <c r="E4695" t="s">
        <v>1959</v>
      </c>
      <c r="F4695" t="s">
        <v>24</v>
      </c>
      <c r="G4695" t="s">
        <v>51</v>
      </c>
      <c r="H4695" t="s">
        <v>32</v>
      </c>
      <c r="I4695" t="s">
        <v>84</v>
      </c>
      <c r="J4695" t="s">
        <v>106</v>
      </c>
      <c r="K4695">
        <v>1</v>
      </c>
      <c r="L4695" s="2">
        <v>45.28</v>
      </c>
      <c r="M4695" s="3">
        <v>0.3</v>
      </c>
      <c r="N4695" t="s">
        <v>62</v>
      </c>
      <c r="O4695" s="2">
        <v>31.7</v>
      </c>
      <c r="P4695" s="2">
        <v>33.9</v>
      </c>
      <c r="Q4695" s="2">
        <v>-2.2000000000000002</v>
      </c>
      <c r="R4695">
        <v>1</v>
      </c>
      <c r="S4695">
        <v>0</v>
      </c>
      <c r="T4695">
        <v>4</v>
      </c>
      <c r="U4695">
        <v>4</v>
      </c>
    </row>
    <row r="4696" spans="1:21" ht="16.5" x14ac:dyDescent="0.3">
      <c r="A4696" t="s">
        <v>4784</v>
      </c>
      <c r="B4696" s="1">
        <v>45965</v>
      </c>
      <c r="C4696">
        <v>2025</v>
      </c>
      <c r="D4696" t="s">
        <v>1738</v>
      </c>
      <c r="E4696" t="s">
        <v>1959</v>
      </c>
      <c r="F4696" t="s">
        <v>31</v>
      </c>
      <c r="G4696" t="s">
        <v>51</v>
      </c>
      <c r="H4696" t="s">
        <v>32</v>
      </c>
      <c r="I4696" t="s">
        <v>36</v>
      </c>
      <c r="J4696" t="s">
        <v>37</v>
      </c>
      <c r="K4696">
        <v>3</v>
      </c>
      <c r="L4696" s="2">
        <v>33.18</v>
      </c>
      <c r="M4696" s="3">
        <v>0.15</v>
      </c>
      <c r="N4696" t="s">
        <v>34</v>
      </c>
      <c r="O4696" s="2">
        <v>84.61</v>
      </c>
      <c r="P4696" s="2">
        <v>46.17</v>
      </c>
      <c r="Q4696" s="2">
        <v>38.44</v>
      </c>
      <c r="R4696">
        <v>1</v>
      </c>
      <c r="S4696">
        <v>0</v>
      </c>
      <c r="T4696">
        <v>4</v>
      </c>
      <c r="U4696">
        <v>4</v>
      </c>
    </row>
    <row r="4697" spans="1:21" ht="16.5" x14ac:dyDescent="0.3">
      <c r="A4697" t="s">
        <v>4785</v>
      </c>
      <c r="B4697" s="1">
        <v>45966</v>
      </c>
      <c r="C4697">
        <v>2025</v>
      </c>
      <c r="D4697" t="s">
        <v>1738</v>
      </c>
      <c r="E4697" t="s">
        <v>1959</v>
      </c>
      <c r="F4697" t="s">
        <v>24</v>
      </c>
      <c r="G4697" t="s">
        <v>49</v>
      </c>
      <c r="H4697" t="s">
        <v>32</v>
      </c>
      <c r="I4697" t="s">
        <v>67</v>
      </c>
      <c r="J4697" t="s">
        <v>68</v>
      </c>
      <c r="K4697">
        <v>1</v>
      </c>
      <c r="L4697" s="2">
        <v>74.459999999999994</v>
      </c>
      <c r="M4697" s="3">
        <v>0.15</v>
      </c>
      <c r="N4697" t="s">
        <v>34</v>
      </c>
      <c r="O4697" s="2">
        <v>63.29</v>
      </c>
      <c r="P4697" s="2">
        <v>52.54</v>
      </c>
      <c r="Q4697" s="2">
        <v>10.75</v>
      </c>
      <c r="R4697">
        <v>1</v>
      </c>
      <c r="S4697">
        <v>0</v>
      </c>
      <c r="T4697">
        <v>5</v>
      </c>
      <c r="U4697">
        <v>4</v>
      </c>
    </row>
    <row r="4698" spans="1:21" ht="16.5" x14ac:dyDescent="0.3">
      <c r="A4698" t="s">
        <v>4786</v>
      </c>
      <c r="B4698" s="1">
        <v>45966</v>
      </c>
      <c r="C4698">
        <v>2025</v>
      </c>
      <c r="D4698" t="s">
        <v>1738</v>
      </c>
      <c r="E4698" t="s">
        <v>1959</v>
      </c>
      <c r="F4698" t="s">
        <v>24</v>
      </c>
      <c r="G4698" t="s">
        <v>51</v>
      </c>
      <c r="H4698" t="s">
        <v>26</v>
      </c>
      <c r="I4698" t="s">
        <v>70</v>
      </c>
      <c r="J4698" t="s">
        <v>87</v>
      </c>
      <c r="K4698">
        <v>1</v>
      </c>
      <c r="L4698" s="2">
        <v>490.3</v>
      </c>
      <c r="M4698" s="3">
        <v>0.2</v>
      </c>
      <c r="N4698" t="s">
        <v>34</v>
      </c>
      <c r="O4698" s="2">
        <v>392.24</v>
      </c>
      <c r="P4698" s="2">
        <v>393.21</v>
      </c>
      <c r="Q4698" s="2">
        <v>-0.97</v>
      </c>
      <c r="R4698">
        <v>1</v>
      </c>
      <c r="S4698">
        <v>0</v>
      </c>
      <c r="T4698">
        <v>3</v>
      </c>
      <c r="U4698">
        <v>4</v>
      </c>
    </row>
    <row r="4699" spans="1:21" ht="16.5" x14ac:dyDescent="0.3">
      <c r="A4699" t="s">
        <v>4787</v>
      </c>
      <c r="B4699" s="1">
        <v>45966</v>
      </c>
      <c r="C4699">
        <v>2025</v>
      </c>
      <c r="D4699" t="s">
        <v>1738</v>
      </c>
      <c r="E4699" t="s">
        <v>1959</v>
      </c>
      <c r="F4699" t="s">
        <v>24</v>
      </c>
      <c r="G4699" t="s">
        <v>65</v>
      </c>
      <c r="H4699" t="s">
        <v>32</v>
      </c>
      <c r="I4699" t="s">
        <v>27</v>
      </c>
      <c r="J4699" t="s">
        <v>40</v>
      </c>
      <c r="K4699">
        <v>1</v>
      </c>
      <c r="L4699" s="2">
        <v>104.94</v>
      </c>
      <c r="M4699" s="3">
        <v>0.2</v>
      </c>
      <c r="N4699" t="s">
        <v>34</v>
      </c>
      <c r="O4699" s="2">
        <v>83.95</v>
      </c>
      <c r="P4699" s="2">
        <v>54.96</v>
      </c>
      <c r="Q4699" s="2">
        <v>28.99</v>
      </c>
      <c r="R4699">
        <v>1</v>
      </c>
      <c r="S4699">
        <v>0</v>
      </c>
      <c r="T4699">
        <v>9</v>
      </c>
      <c r="U4699">
        <v>3</v>
      </c>
    </row>
    <row r="4700" spans="1:21" ht="16.5" x14ac:dyDescent="0.3">
      <c r="A4700" t="s">
        <v>4788</v>
      </c>
      <c r="B4700" s="1">
        <v>45966</v>
      </c>
      <c r="C4700">
        <v>2025</v>
      </c>
      <c r="D4700" t="s">
        <v>1738</v>
      </c>
      <c r="E4700" t="s">
        <v>1959</v>
      </c>
      <c r="F4700" t="s">
        <v>31</v>
      </c>
      <c r="G4700" t="s">
        <v>25</v>
      </c>
      <c r="H4700" t="s">
        <v>32</v>
      </c>
      <c r="I4700" t="s">
        <v>27</v>
      </c>
      <c r="J4700" t="s">
        <v>40</v>
      </c>
      <c r="K4700">
        <v>1</v>
      </c>
      <c r="L4700" s="2">
        <v>104.94</v>
      </c>
      <c r="M4700" s="3">
        <v>0.25</v>
      </c>
      <c r="N4700" t="s">
        <v>62</v>
      </c>
      <c r="O4700" s="2">
        <v>78.7</v>
      </c>
      <c r="P4700" s="2">
        <v>55.76</v>
      </c>
      <c r="Q4700" s="2">
        <v>22.94</v>
      </c>
      <c r="R4700">
        <v>1</v>
      </c>
      <c r="S4700">
        <v>0</v>
      </c>
      <c r="T4700">
        <v>5</v>
      </c>
      <c r="U4700">
        <v>3</v>
      </c>
    </row>
    <row r="4701" spans="1:21" ht="16.5" x14ac:dyDescent="0.3">
      <c r="A4701" t="s">
        <v>4789</v>
      </c>
      <c r="B4701" s="1">
        <v>45966</v>
      </c>
      <c r="C4701">
        <v>2025</v>
      </c>
      <c r="D4701" t="s">
        <v>1738</v>
      </c>
      <c r="E4701" t="s">
        <v>1959</v>
      </c>
      <c r="F4701" t="s">
        <v>31</v>
      </c>
      <c r="G4701" t="s">
        <v>49</v>
      </c>
      <c r="H4701" t="s">
        <v>26</v>
      </c>
      <c r="I4701" t="s">
        <v>70</v>
      </c>
      <c r="J4701" t="s">
        <v>82</v>
      </c>
      <c r="K4701">
        <v>1</v>
      </c>
      <c r="L4701" s="2">
        <v>508.8</v>
      </c>
      <c r="M4701" s="3">
        <v>0.2</v>
      </c>
      <c r="N4701" t="s">
        <v>34</v>
      </c>
      <c r="O4701" s="2">
        <v>407.04</v>
      </c>
      <c r="P4701" s="2">
        <v>415.59</v>
      </c>
      <c r="Q4701" s="2">
        <v>-8.5500000000000007</v>
      </c>
      <c r="R4701">
        <v>1</v>
      </c>
      <c r="S4701">
        <v>0</v>
      </c>
      <c r="T4701">
        <v>4</v>
      </c>
      <c r="U4701">
        <v>4</v>
      </c>
    </row>
    <row r="4702" spans="1:21" ht="16.5" x14ac:dyDescent="0.3">
      <c r="A4702" t="s">
        <v>4790</v>
      </c>
      <c r="B4702" s="1">
        <v>45966</v>
      </c>
      <c r="C4702">
        <v>2025</v>
      </c>
      <c r="D4702" t="s">
        <v>1738</v>
      </c>
      <c r="E4702" t="s">
        <v>1959</v>
      </c>
      <c r="F4702" t="s">
        <v>24</v>
      </c>
      <c r="G4702" t="s">
        <v>49</v>
      </c>
      <c r="H4702" t="s">
        <v>32</v>
      </c>
      <c r="I4702" t="s">
        <v>70</v>
      </c>
      <c r="J4702" t="s">
        <v>252</v>
      </c>
      <c r="K4702">
        <v>1</v>
      </c>
      <c r="L4702" s="2">
        <v>216.08</v>
      </c>
      <c r="M4702" s="3">
        <v>0.2</v>
      </c>
      <c r="N4702" t="s">
        <v>34</v>
      </c>
      <c r="O4702" s="2">
        <v>172.86</v>
      </c>
      <c r="P4702" s="2">
        <v>170.88</v>
      </c>
      <c r="Q4702" s="2">
        <v>1.98</v>
      </c>
      <c r="R4702">
        <v>1</v>
      </c>
      <c r="S4702">
        <v>0</v>
      </c>
      <c r="T4702">
        <v>6</v>
      </c>
      <c r="U4702">
        <v>3</v>
      </c>
    </row>
    <row r="4703" spans="1:21" ht="16.5" x14ac:dyDescent="0.3">
      <c r="A4703" t="s">
        <v>4791</v>
      </c>
      <c r="B4703" s="1">
        <v>45966</v>
      </c>
      <c r="C4703">
        <v>2025</v>
      </c>
      <c r="D4703" t="s">
        <v>1738</v>
      </c>
      <c r="E4703" t="s">
        <v>1959</v>
      </c>
      <c r="F4703" t="s">
        <v>31</v>
      </c>
      <c r="G4703" t="s">
        <v>49</v>
      </c>
      <c r="H4703" t="s">
        <v>26</v>
      </c>
      <c r="I4703" t="s">
        <v>67</v>
      </c>
      <c r="J4703" t="s">
        <v>103</v>
      </c>
      <c r="K4703">
        <v>1</v>
      </c>
      <c r="L4703" s="2">
        <v>83.06</v>
      </c>
      <c r="M4703" s="3">
        <v>0.3</v>
      </c>
      <c r="N4703" t="s">
        <v>62</v>
      </c>
      <c r="O4703" s="2">
        <v>58.14</v>
      </c>
      <c r="P4703" s="2">
        <v>58.38</v>
      </c>
      <c r="Q4703" s="2">
        <v>-0.24</v>
      </c>
      <c r="R4703">
        <v>1</v>
      </c>
      <c r="S4703">
        <v>0</v>
      </c>
      <c r="T4703">
        <v>6</v>
      </c>
      <c r="U4703">
        <v>4</v>
      </c>
    </row>
    <row r="4704" spans="1:21" ht="16.5" x14ac:dyDescent="0.3">
      <c r="A4704" t="s">
        <v>4792</v>
      </c>
      <c r="B4704" s="1">
        <v>45966</v>
      </c>
      <c r="C4704">
        <v>2025</v>
      </c>
      <c r="D4704" t="s">
        <v>1738</v>
      </c>
      <c r="E4704" t="s">
        <v>1959</v>
      </c>
      <c r="F4704" t="s">
        <v>31</v>
      </c>
      <c r="G4704" t="s">
        <v>49</v>
      </c>
      <c r="H4704" t="s">
        <v>32</v>
      </c>
      <c r="I4704" t="s">
        <v>84</v>
      </c>
      <c r="J4704" t="s">
        <v>132</v>
      </c>
      <c r="K4704">
        <v>2</v>
      </c>
      <c r="L4704" s="2">
        <v>48.86</v>
      </c>
      <c r="M4704" s="3">
        <v>0.1</v>
      </c>
      <c r="N4704" t="s">
        <v>29</v>
      </c>
      <c r="O4704" s="2">
        <v>87.95</v>
      </c>
      <c r="P4704" s="2">
        <v>71.92</v>
      </c>
      <c r="Q4704" s="2">
        <v>16.03</v>
      </c>
      <c r="R4704">
        <v>1</v>
      </c>
      <c r="S4704">
        <v>1</v>
      </c>
      <c r="T4704">
        <v>5</v>
      </c>
      <c r="U4704">
        <v>4</v>
      </c>
    </row>
    <row r="4705" spans="1:21" ht="16.5" x14ac:dyDescent="0.3">
      <c r="A4705" t="s">
        <v>4793</v>
      </c>
      <c r="B4705" s="1">
        <v>45966</v>
      </c>
      <c r="C4705">
        <v>2025</v>
      </c>
      <c r="D4705" t="s">
        <v>1738</v>
      </c>
      <c r="E4705" t="s">
        <v>1959</v>
      </c>
      <c r="F4705" t="s">
        <v>31</v>
      </c>
      <c r="G4705" t="s">
        <v>65</v>
      </c>
      <c r="H4705" t="s">
        <v>26</v>
      </c>
      <c r="I4705" t="s">
        <v>67</v>
      </c>
      <c r="J4705" t="s">
        <v>93</v>
      </c>
      <c r="K4705">
        <v>2</v>
      </c>
      <c r="L4705" s="2">
        <v>198.42</v>
      </c>
      <c r="M4705" s="3">
        <v>0</v>
      </c>
      <c r="N4705" t="s">
        <v>38</v>
      </c>
      <c r="O4705" s="2">
        <v>396.84</v>
      </c>
      <c r="P4705" s="2">
        <v>272.19</v>
      </c>
      <c r="Q4705" s="2">
        <v>124.65</v>
      </c>
      <c r="R4705">
        <v>1</v>
      </c>
      <c r="S4705">
        <v>0</v>
      </c>
      <c r="T4705">
        <v>7</v>
      </c>
      <c r="U4705">
        <v>4</v>
      </c>
    </row>
    <row r="4706" spans="1:21" ht="16.5" x14ac:dyDescent="0.3">
      <c r="A4706" t="s">
        <v>4794</v>
      </c>
      <c r="B4706" s="1">
        <v>45966</v>
      </c>
      <c r="C4706">
        <v>2025</v>
      </c>
      <c r="D4706" t="s">
        <v>1738</v>
      </c>
      <c r="E4706" t="s">
        <v>1959</v>
      </c>
      <c r="F4706" t="s">
        <v>31</v>
      </c>
      <c r="G4706" t="s">
        <v>51</v>
      </c>
      <c r="H4706" t="s">
        <v>32</v>
      </c>
      <c r="I4706" t="s">
        <v>27</v>
      </c>
      <c r="J4706" t="s">
        <v>28</v>
      </c>
      <c r="K4706">
        <v>1</v>
      </c>
      <c r="L4706" s="2">
        <v>138.5</v>
      </c>
      <c r="M4706" s="3">
        <v>0.15</v>
      </c>
      <c r="N4706" t="s">
        <v>34</v>
      </c>
      <c r="O4706" s="2">
        <v>117.72</v>
      </c>
      <c r="P4706" s="2">
        <v>70.52</v>
      </c>
      <c r="Q4706" s="2">
        <v>47.2</v>
      </c>
      <c r="R4706">
        <v>1</v>
      </c>
      <c r="S4706">
        <v>0</v>
      </c>
      <c r="T4706">
        <v>4</v>
      </c>
      <c r="U4706">
        <v>4</v>
      </c>
    </row>
    <row r="4707" spans="1:21" ht="16.5" x14ac:dyDescent="0.3">
      <c r="A4707" t="s">
        <v>4795</v>
      </c>
      <c r="B4707" s="1">
        <v>45966</v>
      </c>
      <c r="C4707">
        <v>2025</v>
      </c>
      <c r="D4707" t="s">
        <v>1738</v>
      </c>
      <c r="E4707" t="s">
        <v>1959</v>
      </c>
      <c r="F4707" t="s">
        <v>31</v>
      </c>
      <c r="G4707" t="s">
        <v>51</v>
      </c>
      <c r="H4707" t="s">
        <v>26</v>
      </c>
      <c r="I4707" t="s">
        <v>67</v>
      </c>
      <c r="J4707" t="s">
        <v>93</v>
      </c>
      <c r="K4707">
        <v>1</v>
      </c>
      <c r="L4707" s="2">
        <v>198.42</v>
      </c>
      <c r="M4707" s="3">
        <v>0.15</v>
      </c>
      <c r="N4707" t="s">
        <v>34</v>
      </c>
      <c r="O4707" s="2">
        <v>168.66</v>
      </c>
      <c r="P4707" s="2">
        <v>124.81</v>
      </c>
      <c r="Q4707" s="2">
        <v>43.85</v>
      </c>
      <c r="R4707">
        <v>1</v>
      </c>
      <c r="S4707">
        <v>0</v>
      </c>
      <c r="T4707">
        <v>4</v>
      </c>
      <c r="U4707">
        <v>5</v>
      </c>
    </row>
    <row r="4708" spans="1:21" ht="16.5" x14ac:dyDescent="0.3">
      <c r="A4708" t="s">
        <v>4796</v>
      </c>
      <c r="B4708" s="1">
        <v>45966</v>
      </c>
      <c r="C4708">
        <v>2025</v>
      </c>
      <c r="D4708" t="s">
        <v>1738</v>
      </c>
      <c r="E4708" t="s">
        <v>1959</v>
      </c>
      <c r="F4708" t="s">
        <v>31</v>
      </c>
      <c r="G4708" t="s">
        <v>49</v>
      </c>
      <c r="H4708" t="s">
        <v>32</v>
      </c>
      <c r="I4708" t="s">
        <v>67</v>
      </c>
      <c r="J4708" t="s">
        <v>174</v>
      </c>
      <c r="K4708">
        <v>4</v>
      </c>
      <c r="L4708" s="2">
        <v>137.05000000000001</v>
      </c>
      <c r="M4708" s="3">
        <v>0.2</v>
      </c>
      <c r="N4708" t="s">
        <v>34</v>
      </c>
      <c r="O4708" s="2">
        <v>438.56</v>
      </c>
      <c r="P4708" s="2">
        <v>377.41</v>
      </c>
      <c r="Q4708" s="2">
        <v>61.15</v>
      </c>
      <c r="R4708">
        <v>1</v>
      </c>
      <c r="S4708">
        <v>0</v>
      </c>
      <c r="T4708">
        <v>6</v>
      </c>
      <c r="U4708">
        <v>3</v>
      </c>
    </row>
    <row r="4709" spans="1:21" ht="16.5" x14ac:dyDescent="0.3">
      <c r="A4709" t="s">
        <v>4797</v>
      </c>
      <c r="B4709" s="1">
        <v>45966</v>
      </c>
      <c r="C4709">
        <v>2025</v>
      </c>
      <c r="D4709" t="s">
        <v>1738</v>
      </c>
      <c r="E4709" t="s">
        <v>1959</v>
      </c>
      <c r="F4709" t="s">
        <v>45</v>
      </c>
      <c r="G4709" t="s">
        <v>25</v>
      </c>
      <c r="H4709" t="s">
        <v>26</v>
      </c>
      <c r="I4709" t="s">
        <v>36</v>
      </c>
      <c r="J4709" t="s">
        <v>52</v>
      </c>
      <c r="K4709">
        <v>1</v>
      </c>
      <c r="L4709" s="2">
        <v>92.54</v>
      </c>
      <c r="M4709" s="3">
        <v>0.15</v>
      </c>
      <c r="N4709" t="s">
        <v>34</v>
      </c>
      <c r="O4709" s="2">
        <v>78.66</v>
      </c>
      <c r="P4709" s="2">
        <v>43.32</v>
      </c>
      <c r="Q4709" s="2">
        <v>35.340000000000003</v>
      </c>
      <c r="R4709">
        <v>1</v>
      </c>
      <c r="S4709">
        <v>0</v>
      </c>
      <c r="T4709">
        <v>4</v>
      </c>
      <c r="U4709">
        <v>5</v>
      </c>
    </row>
    <row r="4710" spans="1:21" ht="16.5" x14ac:dyDescent="0.3">
      <c r="A4710" t="s">
        <v>4798</v>
      </c>
      <c r="B4710" s="1">
        <v>45966</v>
      </c>
      <c r="C4710">
        <v>2025</v>
      </c>
      <c r="D4710" t="s">
        <v>1738</v>
      </c>
      <c r="E4710" t="s">
        <v>1959</v>
      </c>
      <c r="F4710" t="s">
        <v>45</v>
      </c>
      <c r="G4710" t="s">
        <v>49</v>
      </c>
      <c r="H4710" t="s">
        <v>32</v>
      </c>
      <c r="I4710" t="s">
        <v>27</v>
      </c>
      <c r="J4710" t="s">
        <v>110</v>
      </c>
      <c r="K4710">
        <v>1</v>
      </c>
      <c r="L4710" s="2">
        <v>19.41</v>
      </c>
      <c r="M4710" s="3">
        <v>0</v>
      </c>
      <c r="N4710" t="s">
        <v>38</v>
      </c>
      <c r="O4710" s="2">
        <v>19.41</v>
      </c>
      <c r="P4710" s="2">
        <v>10.8</v>
      </c>
      <c r="Q4710" s="2">
        <v>8.61</v>
      </c>
      <c r="R4710">
        <v>1</v>
      </c>
      <c r="S4710">
        <v>0</v>
      </c>
      <c r="T4710">
        <v>5</v>
      </c>
      <c r="U4710">
        <v>5</v>
      </c>
    </row>
    <row r="4711" spans="1:21" ht="16.5" x14ac:dyDescent="0.3">
      <c r="A4711" t="s">
        <v>4799</v>
      </c>
      <c r="B4711" s="1">
        <v>45966</v>
      </c>
      <c r="C4711">
        <v>2025</v>
      </c>
      <c r="D4711" t="s">
        <v>1738</v>
      </c>
      <c r="E4711" t="s">
        <v>1959</v>
      </c>
      <c r="F4711" t="s">
        <v>45</v>
      </c>
      <c r="G4711" t="s">
        <v>49</v>
      </c>
      <c r="H4711" t="s">
        <v>32</v>
      </c>
      <c r="I4711" t="s">
        <v>36</v>
      </c>
      <c r="J4711" t="s">
        <v>126</v>
      </c>
      <c r="K4711">
        <v>1</v>
      </c>
      <c r="L4711" s="2">
        <v>54.56</v>
      </c>
      <c r="M4711" s="3">
        <v>0.1</v>
      </c>
      <c r="N4711" t="s">
        <v>29</v>
      </c>
      <c r="O4711" s="2">
        <v>49.1</v>
      </c>
      <c r="P4711" s="2">
        <v>26.42</v>
      </c>
      <c r="Q4711" s="2">
        <v>22.68</v>
      </c>
      <c r="R4711">
        <v>1</v>
      </c>
      <c r="S4711">
        <v>0</v>
      </c>
      <c r="T4711">
        <v>5</v>
      </c>
      <c r="U4711">
        <v>4</v>
      </c>
    </row>
    <row r="4712" spans="1:21" ht="16.5" x14ac:dyDescent="0.3">
      <c r="A4712" t="s">
        <v>4800</v>
      </c>
      <c r="B4712" s="1">
        <v>45966</v>
      </c>
      <c r="C4712">
        <v>2025</v>
      </c>
      <c r="D4712" t="s">
        <v>1738</v>
      </c>
      <c r="E4712" t="s">
        <v>1959</v>
      </c>
      <c r="F4712" t="s">
        <v>31</v>
      </c>
      <c r="G4712" t="s">
        <v>25</v>
      </c>
      <c r="H4712" t="s">
        <v>32</v>
      </c>
      <c r="I4712" t="s">
        <v>70</v>
      </c>
      <c r="J4712" t="s">
        <v>129</v>
      </c>
      <c r="K4712">
        <v>2</v>
      </c>
      <c r="L4712" s="2">
        <v>177.65</v>
      </c>
      <c r="M4712" s="3">
        <v>0.1</v>
      </c>
      <c r="N4712" t="s">
        <v>29</v>
      </c>
      <c r="O4712" s="2">
        <v>319.77</v>
      </c>
      <c r="P4712" s="2">
        <v>291.56</v>
      </c>
      <c r="Q4712" s="2">
        <v>28.21</v>
      </c>
      <c r="R4712">
        <v>1</v>
      </c>
      <c r="S4712">
        <v>0</v>
      </c>
      <c r="T4712">
        <v>7</v>
      </c>
      <c r="U4712">
        <v>4</v>
      </c>
    </row>
    <row r="4713" spans="1:21" ht="16.5" x14ac:dyDescent="0.3">
      <c r="A4713" t="s">
        <v>4801</v>
      </c>
      <c r="B4713" s="1">
        <v>45967</v>
      </c>
      <c r="C4713">
        <v>2025</v>
      </c>
      <c r="D4713" t="s">
        <v>1738</v>
      </c>
      <c r="E4713" t="s">
        <v>1959</v>
      </c>
      <c r="F4713" t="s">
        <v>31</v>
      </c>
      <c r="G4713" t="s">
        <v>46</v>
      </c>
      <c r="H4713" t="s">
        <v>32</v>
      </c>
      <c r="I4713" t="s">
        <v>84</v>
      </c>
      <c r="J4713" t="s">
        <v>132</v>
      </c>
      <c r="K4713">
        <v>1</v>
      </c>
      <c r="L4713" s="2">
        <v>48.86</v>
      </c>
      <c r="M4713" s="3">
        <v>0.15</v>
      </c>
      <c r="N4713" t="s">
        <v>34</v>
      </c>
      <c r="O4713" s="2">
        <v>41.53</v>
      </c>
      <c r="P4713" s="2">
        <v>35.090000000000003</v>
      </c>
      <c r="Q4713" s="2">
        <v>6.44</v>
      </c>
      <c r="R4713">
        <v>1</v>
      </c>
      <c r="S4713">
        <v>0</v>
      </c>
      <c r="T4713">
        <v>6</v>
      </c>
      <c r="U4713">
        <v>4</v>
      </c>
    </row>
    <row r="4714" spans="1:21" ht="16.5" x14ac:dyDescent="0.3">
      <c r="A4714" t="s">
        <v>4802</v>
      </c>
      <c r="B4714" s="1">
        <v>45967</v>
      </c>
      <c r="C4714">
        <v>2025</v>
      </c>
      <c r="D4714" t="s">
        <v>1738</v>
      </c>
      <c r="E4714" t="s">
        <v>1959</v>
      </c>
      <c r="F4714" t="s">
        <v>24</v>
      </c>
      <c r="G4714" t="s">
        <v>49</v>
      </c>
      <c r="H4714" t="s">
        <v>32</v>
      </c>
      <c r="I4714" t="s">
        <v>42</v>
      </c>
      <c r="J4714" t="s">
        <v>43</v>
      </c>
      <c r="K4714">
        <v>1</v>
      </c>
      <c r="L4714" s="2">
        <v>154.66</v>
      </c>
      <c r="M4714" s="3">
        <v>0.3</v>
      </c>
      <c r="N4714" t="s">
        <v>62</v>
      </c>
      <c r="O4714" s="2">
        <v>108.26</v>
      </c>
      <c r="P4714" s="2">
        <v>103.96</v>
      </c>
      <c r="Q4714" s="2">
        <v>4.3</v>
      </c>
      <c r="R4714">
        <v>1</v>
      </c>
      <c r="S4714">
        <v>0</v>
      </c>
      <c r="T4714">
        <v>5</v>
      </c>
      <c r="U4714">
        <v>4</v>
      </c>
    </row>
    <row r="4715" spans="1:21" ht="16.5" x14ac:dyDescent="0.3">
      <c r="A4715" t="s">
        <v>4803</v>
      </c>
      <c r="B4715" s="1">
        <v>45967</v>
      </c>
      <c r="C4715">
        <v>2025</v>
      </c>
      <c r="D4715" t="s">
        <v>1738</v>
      </c>
      <c r="E4715" t="s">
        <v>1959</v>
      </c>
      <c r="F4715" t="s">
        <v>31</v>
      </c>
      <c r="G4715" t="s">
        <v>51</v>
      </c>
      <c r="H4715" t="s">
        <v>26</v>
      </c>
      <c r="I4715" t="s">
        <v>27</v>
      </c>
      <c r="J4715" t="s">
        <v>28</v>
      </c>
      <c r="K4715">
        <v>1</v>
      </c>
      <c r="L4715" s="2">
        <v>138.5</v>
      </c>
      <c r="M4715" s="3">
        <v>0.15</v>
      </c>
      <c r="N4715" t="s">
        <v>34</v>
      </c>
      <c r="O4715" s="2">
        <v>117.72</v>
      </c>
      <c r="P4715" s="2">
        <v>75.650000000000006</v>
      </c>
      <c r="Q4715" s="2">
        <v>42.07</v>
      </c>
      <c r="R4715">
        <v>1</v>
      </c>
      <c r="S4715">
        <v>1</v>
      </c>
      <c r="T4715">
        <v>4</v>
      </c>
      <c r="U4715">
        <v>3</v>
      </c>
    </row>
    <row r="4716" spans="1:21" ht="16.5" x14ac:dyDescent="0.3">
      <c r="A4716" t="s">
        <v>4804</v>
      </c>
      <c r="B4716" s="1">
        <v>45967</v>
      </c>
      <c r="C4716">
        <v>2025</v>
      </c>
      <c r="D4716" t="s">
        <v>1738</v>
      </c>
      <c r="E4716" t="s">
        <v>1959</v>
      </c>
      <c r="F4716" t="s">
        <v>24</v>
      </c>
      <c r="G4716" t="s">
        <v>51</v>
      </c>
      <c r="H4716" t="s">
        <v>32</v>
      </c>
      <c r="I4716" t="s">
        <v>70</v>
      </c>
      <c r="J4716" t="s">
        <v>82</v>
      </c>
      <c r="K4716">
        <v>1</v>
      </c>
      <c r="L4716" s="2">
        <v>508.8</v>
      </c>
      <c r="M4716" s="3">
        <v>0.3</v>
      </c>
      <c r="N4716" t="s">
        <v>62</v>
      </c>
      <c r="O4716" s="2">
        <v>356.16</v>
      </c>
      <c r="P4716" s="2">
        <v>395.35</v>
      </c>
      <c r="Q4716" s="2">
        <v>-39.19</v>
      </c>
      <c r="R4716">
        <v>1</v>
      </c>
      <c r="S4716">
        <v>0</v>
      </c>
      <c r="T4716">
        <v>3</v>
      </c>
      <c r="U4716">
        <v>4</v>
      </c>
    </row>
    <row r="4717" spans="1:21" ht="16.5" x14ac:dyDescent="0.3">
      <c r="A4717" t="s">
        <v>4805</v>
      </c>
      <c r="B4717" s="1">
        <v>45967</v>
      </c>
      <c r="C4717">
        <v>2025</v>
      </c>
      <c r="D4717" t="s">
        <v>1738</v>
      </c>
      <c r="E4717" t="s">
        <v>1959</v>
      </c>
      <c r="F4717" t="s">
        <v>45</v>
      </c>
      <c r="G4717" t="s">
        <v>25</v>
      </c>
      <c r="H4717" t="s">
        <v>26</v>
      </c>
      <c r="I4717" t="s">
        <v>70</v>
      </c>
      <c r="J4717" t="s">
        <v>162</v>
      </c>
      <c r="K4717">
        <v>2</v>
      </c>
      <c r="L4717" s="2">
        <v>636.09</v>
      </c>
      <c r="M4717" s="3">
        <v>0.05</v>
      </c>
      <c r="N4717" t="s">
        <v>29</v>
      </c>
      <c r="O4717" s="2">
        <v>1208.57</v>
      </c>
      <c r="P4717" s="2">
        <v>991.04</v>
      </c>
      <c r="Q4717" s="2">
        <v>217.53</v>
      </c>
      <c r="R4717">
        <v>1</v>
      </c>
      <c r="S4717">
        <v>0</v>
      </c>
      <c r="T4717">
        <v>4</v>
      </c>
      <c r="U4717">
        <v>4</v>
      </c>
    </row>
    <row r="4718" spans="1:21" ht="16.5" x14ac:dyDescent="0.3">
      <c r="A4718" t="s">
        <v>4806</v>
      </c>
      <c r="B4718" s="1">
        <v>45967</v>
      </c>
      <c r="C4718">
        <v>2025</v>
      </c>
      <c r="D4718" t="s">
        <v>1738</v>
      </c>
      <c r="E4718" t="s">
        <v>1959</v>
      </c>
      <c r="F4718" t="s">
        <v>31</v>
      </c>
      <c r="G4718" t="s">
        <v>49</v>
      </c>
      <c r="H4718" t="s">
        <v>32</v>
      </c>
      <c r="I4718" t="s">
        <v>84</v>
      </c>
      <c r="J4718" t="s">
        <v>96</v>
      </c>
      <c r="K4718">
        <v>2</v>
      </c>
      <c r="L4718" s="2">
        <v>10.76</v>
      </c>
      <c r="M4718" s="3">
        <v>0.15</v>
      </c>
      <c r="N4718" t="s">
        <v>34</v>
      </c>
      <c r="O4718" s="2">
        <v>18.29</v>
      </c>
      <c r="P4718" s="2">
        <v>15.48</v>
      </c>
      <c r="Q4718" s="2">
        <v>2.81</v>
      </c>
      <c r="R4718">
        <v>1</v>
      </c>
      <c r="S4718">
        <v>0</v>
      </c>
      <c r="T4718">
        <v>4</v>
      </c>
      <c r="U4718">
        <v>5</v>
      </c>
    </row>
    <row r="4719" spans="1:21" ht="16.5" x14ac:dyDescent="0.3">
      <c r="A4719" t="s">
        <v>4807</v>
      </c>
      <c r="B4719" s="1">
        <v>45967</v>
      </c>
      <c r="C4719">
        <v>2025</v>
      </c>
      <c r="D4719" t="s">
        <v>1738</v>
      </c>
      <c r="E4719" t="s">
        <v>1959</v>
      </c>
      <c r="F4719" t="s">
        <v>31</v>
      </c>
      <c r="G4719" t="s">
        <v>25</v>
      </c>
      <c r="H4719" t="s">
        <v>32</v>
      </c>
      <c r="I4719" t="s">
        <v>42</v>
      </c>
      <c r="J4719" t="s">
        <v>43</v>
      </c>
      <c r="K4719">
        <v>1</v>
      </c>
      <c r="L4719" s="2">
        <v>154.66</v>
      </c>
      <c r="M4719" s="3">
        <v>0.15</v>
      </c>
      <c r="N4719" t="s">
        <v>34</v>
      </c>
      <c r="O4719" s="2">
        <v>131.46</v>
      </c>
      <c r="P4719" s="2">
        <v>102.84</v>
      </c>
      <c r="Q4719" s="2">
        <v>28.62</v>
      </c>
      <c r="R4719">
        <v>1</v>
      </c>
      <c r="S4719">
        <v>0</v>
      </c>
      <c r="T4719">
        <v>4</v>
      </c>
      <c r="U4719">
        <v>4</v>
      </c>
    </row>
    <row r="4720" spans="1:21" ht="16.5" x14ac:dyDescent="0.3">
      <c r="A4720" t="s">
        <v>4808</v>
      </c>
      <c r="B4720" s="1">
        <v>45968</v>
      </c>
      <c r="C4720">
        <v>2025</v>
      </c>
      <c r="D4720" t="s">
        <v>1738</v>
      </c>
      <c r="E4720" t="s">
        <v>1959</v>
      </c>
      <c r="F4720" t="s">
        <v>24</v>
      </c>
      <c r="G4720" t="s">
        <v>25</v>
      </c>
      <c r="H4720" t="s">
        <v>26</v>
      </c>
      <c r="I4720" t="s">
        <v>27</v>
      </c>
      <c r="J4720" t="s">
        <v>28</v>
      </c>
      <c r="K4720">
        <v>1</v>
      </c>
      <c r="L4720" s="2">
        <v>138.5</v>
      </c>
      <c r="M4720" s="3">
        <v>0.15</v>
      </c>
      <c r="N4720" t="s">
        <v>34</v>
      </c>
      <c r="O4720" s="2">
        <v>117.72</v>
      </c>
      <c r="P4720" s="2">
        <v>78.069999999999993</v>
      </c>
      <c r="Q4720" s="2">
        <v>39.65</v>
      </c>
      <c r="R4720">
        <v>1</v>
      </c>
      <c r="S4720">
        <v>0</v>
      </c>
      <c r="T4720">
        <v>4</v>
      </c>
      <c r="U4720">
        <v>5</v>
      </c>
    </row>
    <row r="4721" spans="1:21" ht="16.5" x14ac:dyDescent="0.3">
      <c r="A4721" t="s">
        <v>4809</v>
      </c>
      <c r="B4721" s="1">
        <v>45968</v>
      </c>
      <c r="C4721">
        <v>2025</v>
      </c>
      <c r="D4721" t="s">
        <v>1738</v>
      </c>
      <c r="E4721" t="s">
        <v>1959</v>
      </c>
      <c r="F4721" t="s">
        <v>31</v>
      </c>
      <c r="G4721" t="s">
        <v>49</v>
      </c>
      <c r="H4721" t="s">
        <v>26</v>
      </c>
      <c r="I4721" t="s">
        <v>42</v>
      </c>
      <c r="J4721" t="s">
        <v>89</v>
      </c>
      <c r="K4721">
        <v>1</v>
      </c>
      <c r="L4721" s="2">
        <v>68.349999999999994</v>
      </c>
      <c r="M4721" s="3">
        <v>0.2</v>
      </c>
      <c r="N4721" t="s">
        <v>34</v>
      </c>
      <c r="O4721" s="2">
        <v>54.68</v>
      </c>
      <c r="P4721" s="2">
        <v>45.19</v>
      </c>
      <c r="Q4721" s="2">
        <v>9.49</v>
      </c>
      <c r="R4721">
        <v>1</v>
      </c>
      <c r="S4721">
        <v>0</v>
      </c>
      <c r="T4721">
        <v>5</v>
      </c>
      <c r="U4721">
        <v>4</v>
      </c>
    </row>
    <row r="4722" spans="1:21" ht="16.5" x14ac:dyDescent="0.3">
      <c r="A4722" t="s">
        <v>4810</v>
      </c>
      <c r="B4722" s="1">
        <v>45968</v>
      </c>
      <c r="C4722">
        <v>2025</v>
      </c>
      <c r="D4722" t="s">
        <v>1738</v>
      </c>
      <c r="E4722" t="s">
        <v>1959</v>
      </c>
      <c r="F4722" t="s">
        <v>31</v>
      </c>
      <c r="G4722" t="s">
        <v>49</v>
      </c>
      <c r="H4722" t="s">
        <v>32</v>
      </c>
      <c r="I4722" t="s">
        <v>27</v>
      </c>
      <c r="J4722" t="s">
        <v>47</v>
      </c>
      <c r="K4722">
        <v>1</v>
      </c>
      <c r="L4722" s="2">
        <v>33.99</v>
      </c>
      <c r="M4722" s="3">
        <v>0</v>
      </c>
      <c r="N4722" t="s">
        <v>38</v>
      </c>
      <c r="O4722" s="2">
        <v>33.99</v>
      </c>
      <c r="P4722" s="2">
        <v>18.489999999999998</v>
      </c>
      <c r="Q4722" s="2">
        <v>15.5</v>
      </c>
      <c r="R4722">
        <v>1</v>
      </c>
      <c r="S4722">
        <v>0</v>
      </c>
      <c r="T4722">
        <v>4</v>
      </c>
      <c r="U4722">
        <v>5</v>
      </c>
    </row>
    <row r="4723" spans="1:21" ht="16.5" x14ac:dyDescent="0.3">
      <c r="A4723" t="s">
        <v>4811</v>
      </c>
      <c r="B4723" s="1">
        <v>45968</v>
      </c>
      <c r="C4723">
        <v>2025</v>
      </c>
      <c r="D4723" t="s">
        <v>1738</v>
      </c>
      <c r="E4723" t="s">
        <v>1959</v>
      </c>
      <c r="F4723" t="s">
        <v>31</v>
      </c>
      <c r="G4723" t="s">
        <v>51</v>
      </c>
      <c r="H4723" t="s">
        <v>32</v>
      </c>
      <c r="I4723" t="s">
        <v>27</v>
      </c>
      <c r="J4723" t="s">
        <v>40</v>
      </c>
      <c r="K4723">
        <v>1</v>
      </c>
      <c r="L4723" s="2">
        <v>104.94</v>
      </c>
      <c r="M4723" s="3">
        <v>0.3</v>
      </c>
      <c r="N4723" t="s">
        <v>62</v>
      </c>
      <c r="O4723" s="2">
        <v>73.459999999999994</v>
      </c>
      <c r="P4723" s="2">
        <v>56.64</v>
      </c>
      <c r="Q4723" s="2">
        <v>16.82</v>
      </c>
      <c r="R4723">
        <v>1</v>
      </c>
      <c r="S4723">
        <v>0</v>
      </c>
      <c r="T4723">
        <v>3</v>
      </c>
      <c r="U4723">
        <v>5</v>
      </c>
    </row>
    <row r="4724" spans="1:21" ht="16.5" x14ac:dyDescent="0.3">
      <c r="A4724" t="s">
        <v>4812</v>
      </c>
      <c r="B4724" s="1">
        <v>45968</v>
      </c>
      <c r="C4724">
        <v>2025</v>
      </c>
      <c r="D4724" t="s">
        <v>1738</v>
      </c>
      <c r="E4724" t="s">
        <v>1959</v>
      </c>
      <c r="F4724" t="s">
        <v>31</v>
      </c>
      <c r="G4724" t="s">
        <v>49</v>
      </c>
      <c r="H4724" t="s">
        <v>26</v>
      </c>
      <c r="I4724" t="s">
        <v>36</v>
      </c>
      <c r="J4724" t="s">
        <v>37</v>
      </c>
      <c r="K4724">
        <v>1</v>
      </c>
      <c r="L4724" s="2">
        <v>33.18</v>
      </c>
      <c r="M4724" s="3">
        <v>0.1</v>
      </c>
      <c r="N4724" t="s">
        <v>29</v>
      </c>
      <c r="O4724" s="2">
        <v>29.86</v>
      </c>
      <c r="P4724" s="2">
        <v>16.309999999999999</v>
      </c>
      <c r="Q4724" s="2">
        <v>13.55</v>
      </c>
      <c r="R4724">
        <v>1</v>
      </c>
      <c r="S4724">
        <v>0</v>
      </c>
      <c r="T4724">
        <v>5</v>
      </c>
      <c r="U4724">
        <v>4</v>
      </c>
    </row>
    <row r="4725" spans="1:21" ht="16.5" x14ac:dyDescent="0.3">
      <c r="A4725" t="s">
        <v>4813</v>
      </c>
      <c r="B4725" s="1">
        <v>45968</v>
      </c>
      <c r="C4725">
        <v>2025</v>
      </c>
      <c r="D4725" t="s">
        <v>1738</v>
      </c>
      <c r="E4725" t="s">
        <v>1959</v>
      </c>
      <c r="F4725" t="s">
        <v>24</v>
      </c>
      <c r="G4725" t="s">
        <v>51</v>
      </c>
      <c r="H4725" t="s">
        <v>32</v>
      </c>
      <c r="I4725" t="s">
        <v>70</v>
      </c>
      <c r="J4725" t="s">
        <v>129</v>
      </c>
      <c r="K4725">
        <v>1</v>
      </c>
      <c r="L4725" s="2">
        <v>177.65</v>
      </c>
      <c r="M4725" s="3">
        <v>0.25</v>
      </c>
      <c r="N4725" t="s">
        <v>62</v>
      </c>
      <c r="O4725" s="2">
        <v>133.24</v>
      </c>
      <c r="P4725" s="2">
        <v>149.93</v>
      </c>
      <c r="Q4725" s="2">
        <v>-16.690000000000001</v>
      </c>
      <c r="R4725">
        <v>1</v>
      </c>
      <c r="S4725">
        <v>0</v>
      </c>
      <c r="T4725">
        <v>4</v>
      </c>
      <c r="U4725">
        <v>4</v>
      </c>
    </row>
    <row r="4726" spans="1:21" ht="16.5" x14ac:dyDescent="0.3">
      <c r="A4726" t="s">
        <v>4814</v>
      </c>
      <c r="B4726" s="1">
        <v>45968</v>
      </c>
      <c r="C4726">
        <v>2025</v>
      </c>
      <c r="D4726" t="s">
        <v>1738</v>
      </c>
      <c r="E4726" t="s">
        <v>1959</v>
      </c>
      <c r="F4726" t="s">
        <v>24</v>
      </c>
      <c r="G4726" t="s">
        <v>49</v>
      </c>
      <c r="H4726" t="s">
        <v>26</v>
      </c>
      <c r="I4726" t="s">
        <v>70</v>
      </c>
      <c r="J4726" t="s">
        <v>87</v>
      </c>
      <c r="K4726">
        <v>2</v>
      </c>
      <c r="L4726" s="2">
        <v>490.3</v>
      </c>
      <c r="M4726" s="3">
        <v>0.2</v>
      </c>
      <c r="N4726" t="s">
        <v>34</v>
      </c>
      <c r="O4726" s="2">
        <v>784.48</v>
      </c>
      <c r="P4726" s="2">
        <v>749.11</v>
      </c>
      <c r="Q4726" s="2">
        <v>35.369999999999997</v>
      </c>
      <c r="R4726">
        <v>1</v>
      </c>
      <c r="S4726">
        <v>0</v>
      </c>
      <c r="T4726">
        <v>4</v>
      </c>
      <c r="U4726">
        <v>4</v>
      </c>
    </row>
    <row r="4727" spans="1:21" ht="16.5" x14ac:dyDescent="0.3">
      <c r="A4727" t="s">
        <v>4815</v>
      </c>
      <c r="B4727" s="1">
        <v>45968</v>
      </c>
      <c r="C4727">
        <v>2025</v>
      </c>
      <c r="D4727" t="s">
        <v>1738</v>
      </c>
      <c r="E4727" t="s">
        <v>1959</v>
      </c>
      <c r="F4727" t="s">
        <v>45</v>
      </c>
      <c r="G4727" t="s">
        <v>49</v>
      </c>
      <c r="H4727" t="s">
        <v>26</v>
      </c>
      <c r="I4727" t="s">
        <v>84</v>
      </c>
      <c r="J4727" t="s">
        <v>85</v>
      </c>
      <c r="K4727">
        <v>3</v>
      </c>
      <c r="L4727" s="2">
        <v>57.92</v>
      </c>
      <c r="M4727" s="3">
        <v>0.1</v>
      </c>
      <c r="N4727" t="s">
        <v>29</v>
      </c>
      <c r="O4727" s="2">
        <v>156.38</v>
      </c>
      <c r="P4727" s="2">
        <v>127.04</v>
      </c>
      <c r="Q4727" s="2">
        <v>29.34</v>
      </c>
      <c r="R4727">
        <v>1</v>
      </c>
      <c r="S4727">
        <v>0</v>
      </c>
      <c r="T4727">
        <v>6</v>
      </c>
      <c r="U4727">
        <v>3</v>
      </c>
    </row>
    <row r="4728" spans="1:21" ht="16.5" x14ac:dyDescent="0.3">
      <c r="A4728" t="s">
        <v>4816</v>
      </c>
      <c r="B4728" s="1">
        <v>45968</v>
      </c>
      <c r="C4728">
        <v>2025</v>
      </c>
      <c r="D4728" t="s">
        <v>1738</v>
      </c>
      <c r="E4728" t="s">
        <v>1959</v>
      </c>
      <c r="F4728" t="s">
        <v>45</v>
      </c>
      <c r="G4728" t="s">
        <v>51</v>
      </c>
      <c r="H4728" t="s">
        <v>26</v>
      </c>
      <c r="I4728" t="s">
        <v>27</v>
      </c>
      <c r="J4728" t="s">
        <v>40</v>
      </c>
      <c r="K4728">
        <v>3</v>
      </c>
      <c r="L4728" s="2">
        <v>104.94</v>
      </c>
      <c r="M4728" s="3">
        <v>0.2</v>
      </c>
      <c r="N4728" t="s">
        <v>34</v>
      </c>
      <c r="O4728" s="2">
        <v>251.86</v>
      </c>
      <c r="P4728" s="2">
        <v>172.07</v>
      </c>
      <c r="Q4728" s="2">
        <v>79.790000000000006</v>
      </c>
      <c r="R4728">
        <v>1</v>
      </c>
      <c r="S4728">
        <v>1</v>
      </c>
      <c r="T4728">
        <v>3</v>
      </c>
      <c r="U4728">
        <v>3</v>
      </c>
    </row>
    <row r="4729" spans="1:21" ht="16.5" x14ac:dyDescent="0.3">
      <c r="A4729" t="s">
        <v>4817</v>
      </c>
      <c r="B4729" s="1">
        <v>45968</v>
      </c>
      <c r="C4729">
        <v>2025</v>
      </c>
      <c r="D4729" t="s">
        <v>1738</v>
      </c>
      <c r="E4729" t="s">
        <v>1959</v>
      </c>
      <c r="F4729" t="s">
        <v>31</v>
      </c>
      <c r="G4729" t="s">
        <v>46</v>
      </c>
      <c r="H4729" t="s">
        <v>32</v>
      </c>
      <c r="I4729" t="s">
        <v>27</v>
      </c>
      <c r="J4729" t="s">
        <v>40</v>
      </c>
      <c r="K4729">
        <v>1</v>
      </c>
      <c r="L4729" s="2">
        <v>104.94</v>
      </c>
      <c r="M4729" s="3">
        <v>0.1</v>
      </c>
      <c r="N4729" t="s">
        <v>29</v>
      </c>
      <c r="O4729" s="2">
        <v>94.45</v>
      </c>
      <c r="P4729" s="2">
        <v>54.08</v>
      </c>
      <c r="Q4729" s="2">
        <v>40.369999999999997</v>
      </c>
      <c r="R4729">
        <v>1</v>
      </c>
      <c r="S4729">
        <v>1</v>
      </c>
      <c r="T4729">
        <v>8</v>
      </c>
      <c r="U4729">
        <v>3</v>
      </c>
    </row>
    <row r="4730" spans="1:21" ht="16.5" x14ac:dyDescent="0.3">
      <c r="A4730" t="s">
        <v>4818</v>
      </c>
      <c r="B4730" s="1">
        <v>45968</v>
      </c>
      <c r="C4730">
        <v>2025</v>
      </c>
      <c r="D4730" t="s">
        <v>1738</v>
      </c>
      <c r="E4730" t="s">
        <v>1959</v>
      </c>
      <c r="F4730" t="s">
        <v>31</v>
      </c>
      <c r="G4730" t="s">
        <v>51</v>
      </c>
      <c r="H4730" t="s">
        <v>32</v>
      </c>
      <c r="I4730" t="s">
        <v>27</v>
      </c>
      <c r="J4730" t="s">
        <v>28</v>
      </c>
      <c r="K4730">
        <v>3</v>
      </c>
      <c r="L4730" s="2">
        <v>138.5</v>
      </c>
      <c r="M4730" s="3">
        <v>0.3</v>
      </c>
      <c r="N4730" t="s">
        <v>62</v>
      </c>
      <c r="O4730" s="2">
        <v>290.85000000000002</v>
      </c>
      <c r="P4730" s="2">
        <v>223.48</v>
      </c>
      <c r="Q4730" s="2">
        <v>67.37</v>
      </c>
      <c r="R4730">
        <v>1</v>
      </c>
      <c r="S4730">
        <v>1</v>
      </c>
      <c r="T4730">
        <v>5</v>
      </c>
      <c r="U4730">
        <v>4</v>
      </c>
    </row>
    <row r="4731" spans="1:21" ht="16.5" x14ac:dyDescent="0.3">
      <c r="A4731" t="s">
        <v>4819</v>
      </c>
      <c r="B4731" s="1">
        <v>45968</v>
      </c>
      <c r="C4731">
        <v>2025</v>
      </c>
      <c r="D4731" t="s">
        <v>1738</v>
      </c>
      <c r="E4731" t="s">
        <v>1959</v>
      </c>
      <c r="F4731" t="s">
        <v>31</v>
      </c>
      <c r="G4731" t="s">
        <v>25</v>
      </c>
      <c r="H4731" t="s">
        <v>32</v>
      </c>
      <c r="I4731" t="s">
        <v>67</v>
      </c>
      <c r="J4731" t="s">
        <v>93</v>
      </c>
      <c r="K4731">
        <v>1</v>
      </c>
      <c r="L4731" s="2">
        <v>198.42</v>
      </c>
      <c r="M4731" s="3">
        <v>0.1</v>
      </c>
      <c r="N4731" t="s">
        <v>29</v>
      </c>
      <c r="O4731" s="2">
        <v>178.58</v>
      </c>
      <c r="P4731" s="2">
        <v>135.72</v>
      </c>
      <c r="Q4731" s="2">
        <v>42.86</v>
      </c>
      <c r="R4731">
        <v>1</v>
      </c>
      <c r="S4731">
        <v>0</v>
      </c>
      <c r="T4731">
        <v>4</v>
      </c>
      <c r="U4731">
        <v>4</v>
      </c>
    </row>
    <row r="4732" spans="1:21" ht="16.5" x14ac:dyDescent="0.3">
      <c r="A4732" t="s">
        <v>4820</v>
      </c>
      <c r="B4732" s="1">
        <v>45968</v>
      </c>
      <c r="C4732">
        <v>2025</v>
      </c>
      <c r="D4732" t="s">
        <v>1738</v>
      </c>
      <c r="E4732" t="s">
        <v>1959</v>
      </c>
      <c r="F4732" t="s">
        <v>31</v>
      </c>
      <c r="G4732" t="s">
        <v>25</v>
      </c>
      <c r="H4732" t="s">
        <v>26</v>
      </c>
      <c r="I4732" t="s">
        <v>27</v>
      </c>
      <c r="J4732" t="s">
        <v>47</v>
      </c>
      <c r="K4732">
        <v>1</v>
      </c>
      <c r="L4732" s="2">
        <v>33.99</v>
      </c>
      <c r="M4732" s="3">
        <v>0.3</v>
      </c>
      <c r="N4732" t="s">
        <v>62</v>
      </c>
      <c r="O4732" s="2">
        <v>23.79</v>
      </c>
      <c r="P4732" s="2">
        <v>17.809999999999999</v>
      </c>
      <c r="Q4732" s="2">
        <v>5.98</v>
      </c>
      <c r="R4732">
        <v>1</v>
      </c>
      <c r="S4732">
        <v>0</v>
      </c>
      <c r="T4732">
        <v>4</v>
      </c>
      <c r="U4732">
        <v>4</v>
      </c>
    </row>
    <row r="4733" spans="1:21" ht="16.5" x14ac:dyDescent="0.3">
      <c r="A4733" t="s">
        <v>4821</v>
      </c>
      <c r="B4733" s="1">
        <v>45969</v>
      </c>
      <c r="C4733">
        <v>2025</v>
      </c>
      <c r="D4733" t="s">
        <v>1738</v>
      </c>
      <c r="E4733" t="s">
        <v>1959</v>
      </c>
      <c r="F4733" t="s">
        <v>31</v>
      </c>
      <c r="G4733" t="s">
        <v>49</v>
      </c>
      <c r="H4733" t="s">
        <v>32</v>
      </c>
      <c r="I4733" t="s">
        <v>27</v>
      </c>
      <c r="J4733" t="s">
        <v>110</v>
      </c>
      <c r="K4733">
        <v>1</v>
      </c>
      <c r="L4733" s="2">
        <v>19.41</v>
      </c>
      <c r="M4733" s="3">
        <v>0.25</v>
      </c>
      <c r="N4733" t="s">
        <v>62</v>
      </c>
      <c r="O4733" s="2">
        <v>14.56</v>
      </c>
      <c r="P4733" s="2">
        <v>9.9700000000000006</v>
      </c>
      <c r="Q4733" s="2">
        <v>4.59</v>
      </c>
      <c r="R4733">
        <v>1</v>
      </c>
      <c r="S4733">
        <v>0</v>
      </c>
      <c r="T4733">
        <v>4</v>
      </c>
      <c r="U4733">
        <v>4</v>
      </c>
    </row>
    <row r="4734" spans="1:21" ht="16.5" x14ac:dyDescent="0.3">
      <c r="A4734" t="s">
        <v>4822</v>
      </c>
      <c r="B4734" s="1">
        <v>45969</v>
      </c>
      <c r="C4734">
        <v>2025</v>
      </c>
      <c r="D4734" t="s">
        <v>1738</v>
      </c>
      <c r="E4734" t="s">
        <v>1959</v>
      </c>
      <c r="F4734" t="s">
        <v>31</v>
      </c>
      <c r="G4734" t="s">
        <v>25</v>
      </c>
      <c r="H4734" t="s">
        <v>26</v>
      </c>
      <c r="I4734" t="s">
        <v>84</v>
      </c>
      <c r="J4734" t="s">
        <v>132</v>
      </c>
      <c r="K4734">
        <v>2</v>
      </c>
      <c r="L4734" s="2">
        <v>48.86</v>
      </c>
      <c r="M4734" s="3">
        <v>0.05</v>
      </c>
      <c r="N4734" t="s">
        <v>29</v>
      </c>
      <c r="O4734" s="2">
        <v>92.83</v>
      </c>
      <c r="P4734" s="2">
        <v>68.540000000000006</v>
      </c>
      <c r="Q4734" s="2">
        <v>24.29</v>
      </c>
      <c r="R4734">
        <v>1</v>
      </c>
      <c r="S4734">
        <v>0</v>
      </c>
      <c r="T4734">
        <v>6</v>
      </c>
      <c r="U4734">
        <v>3</v>
      </c>
    </row>
    <row r="4735" spans="1:21" ht="16.5" x14ac:dyDescent="0.3">
      <c r="A4735" t="s">
        <v>4823</v>
      </c>
      <c r="B4735" s="1">
        <v>45969</v>
      </c>
      <c r="C4735">
        <v>2025</v>
      </c>
      <c r="D4735" t="s">
        <v>1738</v>
      </c>
      <c r="E4735" t="s">
        <v>1959</v>
      </c>
      <c r="F4735" t="s">
        <v>31</v>
      </c>
      <c r="G4735" t="s">
        <v>51</v>
      </c>
      <c r="H4735" t="s">
        <v>26</v>
      </c>
      <c r="I4735" t="s">
        <v>27</v>
      </c>
      <c r="J4735" t="s">
        <v>40</v>
      </c>
      <c r="K4735">
        <v>2</v>
      </c>
      <c r="L4735" s="2">
        <v>104.94</v>
      </c>
      <c r="M4735" s="3">
        <v>0.1</v>
      </c>
      <c r="N4735" t="s">
        <v>29</v>
      </c>
      <c r="O4735" s="2">
        <v>188.89</v>
      </c>
      <c r="P4735" s="2">
        <v>109.62</v>
      </c>
      <c r="Q4735" s="2">
        <v>79.27</v>
      </c>
      <c r="R4735">
        <v>1</v>
      </c>
      <c r="S4735">
        <v>0</v>
      </c>
      <c r="T4735">
        <v>4</v>
      </c>
      <c r="U4735">
        <v>4</v>
      </c>
    </row>
    <row r="4736" spans="1:21" ht="16.5" x14ac:dyDescent="0.3">
      <c r="A4736" t="s">
        <v>4824</v>
      </c>
      <c r="B4736" s="1">
        <v>45969</v>
      </c>
      <c r="C4736">
        <v>2025</v>
      </c>
      <c r="D4736" t="s">
        <v>1738</v>
      </c>
      <c r="E4736" t="s">
        <v>1959</v>
      </c>
      <c r="F4736" t="s">
        <v>24</v>
      </c>
      <c r="G4736" t="s">
        <v>25</v>
      </c>
      <c r="H4736" t="s">
        <v>32</v>
      </c>
      <c r="I4736" t="s">
        <v>70</v>
      </c>
      <c r="J4736" t="s">
        <v>82</v>
      </c>
      <c r="K4736">
        <v>2</v>
      </c>
      <c r="L4736" s="2">
        <v>508.8</v>
      </c>
      <c r="M4736" s="3">
        <v>0.15</v>
      </c>
      <c r="N4736" t="s">
        <v>34</v>
      </c>
      <c r="O4736" s="2">
        <v>864.96</v>
      </c>
      <c r="P4736" s="2">
        <v>805.4</v>
      </c>
      <c r="Q4736" s="2">
        <v>59.56</v>
      </c>
      <c r="R4736">
        <v>1</v>
      </c>
      <c r="S4736">
        <v>0</v>
      </c>
      <c r="T4736">
        <v>4</v>
      </c>
      <c r="U4736">
        <v>4</v>
      </c>
    </row>
    <row r="4737" spans="1:21" ht="16.5" x14ac:dyDescent="0.3">
      <c r="A4737" t="s">
        <v>4825</v>
      </c>
      <c r="B4737" s="1">
        <v>45969</v>
      </c>
      <c r="C4737">
        <v>2025</v>
      </c>
      <c r="D4737" t="s">
        <v>1738</v>
      </c>
      <c r="E4737" t="s">
        <v>1959</v>
      </c>
      <c r="F4737" t="s">
        <v>31</v>
      </c>
      <c r="G4737" t="s">
        <v>25</v>
      </c>
      <c r="H4737" t="s">
        <v>26</v>
      </c>
      <c r="I4737" t="s">
        <v>36</v>
      </c>
      <c r="J4737" t="s">
        <v>37</v>
      </c>
      <c r="K4737">
        <v>1</v>
      </c>
      <c r="L4737" s="2">
        <v>33.18</v>
      </c>
      <c r="M4737" s="3">
        <v>0.15</v>
      </c>
      <c r="N4737" t="s">
        <v>34</v>
      </c>
      <c r="O4737" s="2">
        <v>28.2</v>
      </c>
      <c r="P4737" s="2">
        <v>15.37</v>
      </c>
      <c r="Q4737" s="2">
        <v>12.83</v>
      </c>
      <c r="R4737">
        <v>1</v>
      </c>
      <c r="S4737">
        <v>0</v>
      </c>
      <c r="T4737">
        <v>5</v>
      </c>
      <c r="U4737">
        <v>4</v>
      </c>
    </row>
    <row r="4738" spans="1:21" ht="16.5" x14ac:dyDescent="0.3">
      <c r="A4738" t="s">
        <v>4826</v>
      </c>
      <c r="B4738" s="1">
        <v>45969</v>
      </c>
      <c r="C4738">
        <v>2025</v>
      </c>
      <c r="D4738" t="s">
        <v>1738</v>
      </c>
      <c r="E4738" t="s">
        <v>1959</v>
      </c>
      <c r="F4738" t="s">
        <v>45</v>
      </c>
      <c r="G4738" t="s">
        <v>51</v>
      </c>
      <c r="H4738" t="s">
        <v>32</v>
      </c>
      <c r="I4738" t="s">
        <v>42</v>
      </c>
      <c r="J4738" t="s">
        <v>89</v>
      </c>
      <c r="K4738">
        <v>2</v>
      </c>
      <c r="L4738" s="2">
        <v>68.349999999999994</v>
      </c>
      <c r="M4738" s="3">
        <v>0.1</v>
      </c>
      <c r="N4738" t="s">
        <v>29</v>
      </c>
      <c r="O4738" s="2">
        <v>123.03</v>
      </c>
      <c r="P4738" s="2">
        <v>91.92</v>
      </c>
      <c r="Q4738" s="2">
        <v>31.11</v>
      </c>
      <c r="R4738">
        <v>1</v>
      </c>
      <c r="S4738">
        <v>0</v>
      </c>
      <c r="T4738">
        <v>4</v>
      </c>
      <c r="U4738">
        <v>5</v>
      </c>
    </row>
    <row r="4739" spans="1:21" ht="16.5" x14ac:dyDescent="0.3">
      <c r="A4739" t="s">
        <v>4827</v>
      </c>
      <c r="B4739" s="1">
        <v>45969</v>
      </c>
      <c r="C4739">
        <v>2025</v>
      </c>
      <c r="D4739" t="s">
        <v>1738</v>
      </c>
      <c r="E4739" t="s">
        <v>1959</v>
      </c>
      <c r="F4739" t="s">
        <v>31</v>
      </c>
      <c r="G4739" t="s">
        <v>51</v>
      </c>
      <c r="H4739" t="s">
        <v>32</v>
      </c>
      <c r="I4739" t="s">
        <v>42</v>
      </c>
      <c r="J4739" t="s">
        <v>43</v>
      </c>
      <c r="K4739">
        <v>3</v>
      </c>
      <c r="L4739" s="2">
        <v>154.66</v>
      </c>
      <c r="M4739" s="3">
        <v>0.05</v>
      </c>
      <c r="N4739" t="s">
        <v>29</v>
      </c>
      <c r="O4739" s="2">
        <v>440.78</v>
      </c>
      <c r="P4739" s="2">
        <v>306.33999999999997</v>
      </c>
      <c r="Q4739" s="2">
        <v>134.44</v>
      </c>
      <c r="R4739">
        <v>1</v>
      </c>
      <c r="S4739">
        <v>0</v>
      </c>
      <c r="T4739">
        <v>6</v>
      </c>
      <c r="U4739">
        <v>4</v>
      </c>
    </row>
    <row r="4740" spans="1:21" ht="16.5" x14ac:dyDescent="0.3">
      <c r="A4740" t="s">
        <v>4828</v>
      </c>
      <c r="B4740" s="1">
        <v>45969</v>
      </c>
      <c r="C4740">
        <v>2025</v>
      </c>
      <c r="D4740" t="s">
        <v>1738</v>
      </c>
      <c r="E4740" t="s">
        <v>1959</v>
      </c>
      <c r="F4740" t="s">
        <v>24</v>
      </c>
      <c r="G4740" t="s">
        <v>51</v>
      </c>
      <c r="H4740" t="s">
        <v>32</v>
      </c>
      <c r="I4740" t="s">
        <v>27</v>
      </c>
      <c r="J4740" t="s">
        <v>110</v>
      </c>
      <c r="K4740">
        <v>1</v>
      </c>
      <c r="L4740" s="2">
        <v>19.41</v>
      </c>
      <c r="M4740" s="3">
        <v>0.15</v>
      </c>
      <c r="N4740" t="s">
        <v>34</v>
      </c>
      <c r="O4740" s="2">
        <v>16.5</v>
      </c>
      <c r="P4740" s="2">
        <v>10.8</v>
      </c>
      <c r="Q4740" s="2">
        <v>5.7</v>
      </c>
      <c r="R4740">
        <v>1</v>
      </c>
      <c r="S4740">
        <v>1</v>
      </c>
      <c r="T4740">
        <v>4</v>
      </c>
      <c r="U4740">
        <v>4</v>
      </c>
    </row>
    <row r="4741" spans="1:21" ht="16.5" x14ac:dyDescent="0.3">
      <c r="A4741" t="s">
        <v>4829</v>
      </c>
      <c r="B4741" s="1">
        <v>45969</v>
      </c>
      <c r="C4741">
        <v>2025</v>
      </c>
      <c r="D4741" t="s">
        <v>1738</v>
      </c>
      <c r="E4741" t="s">
        <v>1959</v>
      </c>
      <c r="F4741" t="s">
        <v>31</v>
      </c>
      <c r="G4741" t="s">
        <v>51</v>
      </c>
      <c r="H4741" t="s">
        <v>32</v>
      </c>
      <c r="I4741" t="s">
        <v>67</v>
      </c>
      <c r="J4741" t="s">
        <v>174</v>
      </c>
      <c r="K4741">
        <v>1</v>
      </c>
      <c r="L4741" s="2">
        <v>137.05000000000001</v>
      </c>
      <c r="M4741" s="3">
        <v>0.25</v>
      </c>
      <c r="N4741" t="s">
        <v>62</v>
      </c>
      <c r="O4741" s="2">
        <v>102.79</v>
      </c>
      <c r="P4741" s="2">
        <v>93.3</v>
      </c>
      <c r="Q4741" s="2">
        <v>9.49</v>
      </c>
      <c r="R4741">
        <v>1</v>
      </c>
      <c r="S4741">
        <v>0</v>
      </c>
      <c r="T4741">
        <v>4</v>
      </c>
      <c r="U4741">
        <v>4</v>
      </c>
    </row>
    <row r="4742" spans="1:21" ht="16.5" x14ac:dyDescent="0.3">
      <c r="A4742" t="s">
        <v>4830</v>
      </c>
      <c r="B4742" s="1">
        <v>45969</v>
      </c>
      <c r="C4742">
        <v>2025</v>
      </c>
      <c r="D4742" t="s">
        <v>1738</v>
      </c>
      <c r="E4742" t="s">
        <v>1959</v>
      </c>
      <c r="F4742" t="s">
        <v>24</v>
      </c>
      <c r="G4742" t="s">
        <v>49</v>
      </c>
      <c r="H4742" t="s">
        <v>26</v>
      </c>
      <c r="I4742" t="s">
        <v>70</v>
      </c>
      <c r="J4742" t="s">
        <v>82</v>
      </c>
      <c r="K4742">
        <v>1</v>
      </c>
      <c r="L4742" s="2">
        <v>508.8</v>
      </c>
      <c r="M4742" s="3">
        <v>0.15</v>
      </c>
      <c r="N4742" t="s">
        <v>34</v>
      </c>
      <c r="O4742" s="2">
        <v>432.48</v>
      </c>
      <c r="P4742" s="2">
        <v>409.65</v>
      </c>
      <c r="Q4742" s="2">
        <v>22.83</v>
      </c>
      <c r="R4742">
        <v>1</v>
      </c>
      <c r="S4742">
        <v>0</v>
      </c>
      <c r="T4742">
        <v>5</v>
      </c>
      <c r="U4742">
        <v>5</v>
      </c>
    </row>
    <row r="4743" spans="1:21" ht="16.5" x14ac:dyDescent="0.3">
      <c r="A4743" t="s">
        <v>4831</v>
      </c>
      <c r="B4743" s="1">
        <v>45969</v>
      </c>
      <c r="C4743">
        <v>2025</v>
      </c>
      <c r="D4743" t="s">
        <v>1738</v>
      </c>
      <c r="E4743" t="s">
        <v>1959</v>
      </c>
      <c r="F4743" t="s">
        <v>31</v>
      </c>
      <c r="G4743" t="s">
        <v>65</v>
      </c>
      <c r="H4743" t="s">
        <v>26</v>
      </c>
      <c r="I4743" t="s">
        <v>42</v>
      </c>
      <c r="J4743" t="s">
        <v>58</v>
      </c>
      <c r="K4743">
        <v>2</v>
      </c>
      <c r="L4743" s="2">
        <v>233.81</v>
      </c>
      <c r="M4743" s="3">
        <v>0.1</v>
      </c>
      <c r="N4743" t="s">
        <v>29</v>
      </c>
      <c r="O4743" s="2">
        <v>420.86</v>
      </c>
      <c r="P4743" s="2">
        <v>307.99</v>
      </c>
      <c r="Q4743" s="2">
        <v>112.87</v>
      </c>
      <c r="R4743">
        <v>1</v>
      </c>
      <c r="S4743">
        <v>0</v>
      </c>
      <c r="T4743">
        <v>6</v>
      </c>
      <c r="U4743">
        <v>4</v>
      </c>
    </row>
    <row r="4744" spans="1:21" ht="16.5" x14ac:dyDescent="0.3">
      <c r="A4744" t="s">
        <v>4832</v>
      </c>
      <c r="B4744" s="1">
        <v>45970</v>
      </c>
      <c r="C4744">
        <v>2025</v>
      </c>
      <c r="D4744" t="s">
        <v>1738</v>
      </c>
      <c r="E4744" t="s">
        <v>1959</v>
      </c>
      <c r="F4744" t="s">
        <v>31</v>
      </c>
      <c r="G4744" t="s">
        <v>25</v>
      </c>
      <c r="H4744" t="s">
        <v>32</v>
      </c>
      <c r="I4744" t="s">
        <v>70</v>
      </c>
      <c r="J4744" t="s">
        <v>71</v>
      </c>
      <c r="K4744">
        <v>2</v>
      </c>
      <c r="L4744" s="2">
        <v>588.41</v>
      </c>
      <c r="M4744" s="3">
        <v>0.25</v>
      </c>
      <c r="N4744" t="s">
        <v>62</v>
      </c>
      <c r="O4744" s="2">
        <v>882.62</v>
      </c>
      <c r="P4744" s="2">
        <v>926.09</v>
      </c>
      <c r="Q4744" s="2">
        <v>-43.47</v>
      </c>
      <c r="R4744">
        <v>1</v>
      </c>
      <c r="S4744">
        <v>0</v>
      </c>
      <c r="T4744">
        <v>5</v>
      </c>
      <c r="U4744">
        <v>4</v>
      </c>
    </row>
    <row r="4745" spans="1:21" ht="16.5" x14ac:dyDescent="0.3">
      <c r="A4745" t="s">
        <v>4833</v>
      </c>
      <c r="B4745" s="1">
        <v>45970</v>
      </c>
      <c r="C4745">
        <v>2025</v>
      </c>
      <c r="D4745" t="s">
        <v>1738</v>
      </c>
      <c r="E4745" t="s">
        <v>1959</v>
      </c>
      <c r="F4745" t="s">
        <v>31</v>
      </c>
      <c r="G4745" t="s">
        <v>51</v>
      </c>
      <c r="H4745" t="s">
        <v>32</v>
      </c>
      <c r="I4745" t="s">
        <v>42</v>
      </c>
      <c r="J4745" t="s">
        <v>98</v>
      </c>
      <c r="K4745">
        <v>1</v>
      </c>
      <c r="L4745" s="2">
        <v>117.63</v>
      </c>
      <c r="M4745" s="3">
        <v>0.25</v>
      </c>
      <c r="N4745" t="s">
        <v>62</v>
      </c>
      <c r="O4745" s="2">
        <v>88.22</v>
      </c>
      <c r="P4745" s="2">
        <v>74.31</v>
      </c>
      <c r="Q4745" s="2">
        <v>13.91</v>
      </c>
      <c r="R4745">
        <v>1</v>
      </c>
      <c r="S4745">
        <v>0</v>
      </c>
      <c r="T4745">
        <v>3</v>
      </c>
      <c r="U4745">
        <v>4</v>
      </c>
    </row>
    <row r="4746" spans="1:21" ht="16.5" x14ac:dyDescent="0.3">
      <c r="A4746" t="s">
        <v>4834</v>
      </c>
      <c r="B4746" s="1">
        <v>45970</v>
      </c>
      <c r="C4746">
        <v>2025</v>
      </c>
      <c r="D4746" t="s">
        <v>1738</v>
      </c>
      <c r="E4746" t="s">
        <v>1959</v>
      </c>
      <c r="F4746" t="s">
        <v>45</v>
      </c>
      <c r="G4746" t="s">
        <v>46</v>
      </c>
      <c r="H4746" t="s">
        <v>32</v>
      </c>
      <c r="I4746" t="s">
        <v>70</v>
      </c>
      <c r="J4746" t="s">
        <v>252</v>
      </c>
      <c r="K4746">
        <v>1</v>
      </c>
      <c r="L4746" s="2">
        <v>216.08</v>
      </c>
      <c r="M4746" s="3">
        <v>0.25</v>
      </c>
      <c r="N4746" t="s">
        <v>62</v>
      </c>
      <c r="O4746" s="2">
        <v>162.06</v>
      </c>
      <c r="P4746" s="2">
        <v>171.87</v>
      </c>
      <c r="Q4746" s="2">
        <v>-9.81</v>
      </c>
      <c r="R4746">
        <v>1</v>
      </c>
      <c r="S4746">
        <v>0</v>
      </c>
      <c r="T4746">
        <v>8</v>
      </c>
      <c r="U4746">
        <v>5</v>
      </c>
    </row>
    <row r="4747" spans="1:21" ht="16.5" x14ac:dyDescent="0.3">
      <c r="A4747" t="s">
        <v>4835</v>
      </c>
      <c r="B4747" s="1">
        <v>45970</v>
      </c>
      <c r="C4747">
        <v>2025</v>
      </c>
      <c r="D4747" t="s">
        <v>1738</v>
      </c>
      <c r="E4747" t="s">
        <v>1959</v>
      </c>
      <c r="F4747" t="s">
        <v>31</v>
      </c>
      <c r="G4747" t="s">
        <v>51</v>
      </c>
      <c r="H4747" t="s">
        <v>26</v>
      </c>
      <c r="I4747" t="s">
        <v>42</v>
      </c>
      <c r="J4747" t="s">
        <v>98</v>
      </c>
      <c r="K4747">
        <v>1</v>
      </c>
      <c r="L4747" s="2">
        <v>117.63</v>
      </c>
      <c r="M4747" s="3">
        <v>0.2</v>
      </c>
      <c r="N4747" t="s">
        <v>34</v>
      </c>
      <c r="O4747" s="2">
        <v>94.1</v>
      </c>
      <c r="P4747" s="2">
        <v>80.92</v>
      </c>
      <c r="Q4747" s="2">
        <v>13.18</v>
      </c>
      <c r="R4747">
        <v>1</v>
      </c>
      <c r="S4747">
        <v>0</v>
      </c>
      <c r="T4747">
        <v>8</v>
      </c>
      <c r="U4747">
        <v>4</v>
      </c>
    </row>
    <row r="4748" spans="1:21" ht="16.5" x14ac:dyDescent="0.3">
      <c r="A4748" t="s">
        <v>4836</v>
      </c>
      <c r="B4748" s="1">
        <v>45970</v>
      </c>
      <c r="C4748">
        <v>2025</v>
      </c>
      <c r="D4748" t="s">
        <v>1738</v>
      </c>
      <c r="E4748" t="s">
        <v>1959</v>
      </c>
      <c r="F4748" t="s">
        <v>24</v>
      </c>
      <c r="G4748" t="s">
        <v>49</v>
      </c>
      <c r="H4748" t="s">
        <v>26</v>
      </c>
      <c r="I4748" t="s">
        <v>36</v>
      </c>
      <c r="J4748" t="s">
        <v>115</v>
      </c>
      <c r="K4748">
        <v>1</v>
      </c>
      <c r="L4748" s="2">
        <v>33.479999999999997</v>
      </c>
      <c r="M4748" s="3">
        <v>0.2</v>
      </c>
      <c r="N4748" t="s">
        <v>34</v>
      </c>
      <c r="O4748" s="2">
        <v>26.78</v>
      </c>
      <c r="P4748" s="2">
        <v>15.77</v>
      </c>
      <c r="Q4748" s="2">
        <v>11.01</v>
      </c>
      <c r="R4748">
        <v>1</v>
      </c>
      <c r="S4748">
        <v>0</v>
      </c>
      <c r="T4748">
        <v>4</v>
      </c>
      <c r="U4748">
        <v>5</v>
      </c>
    </row>
    <row r="4749" spans="1:21" ht="16.5" x14ac:dyDescent="0.3">
      <c r="A4749" t="s">
        <v>4837</v>
      </c>
      <c r="B4749" s="1">
        <v>45970</v>
      </c>
      <c r="C4749">
        <v>2025</v>
      </c>
      <c r="D4749" t="s">
        <v>1738</v>
      </c>
      <c r="E4749" t="s">
        <v>1959</v>
      </c>
      <c r="F4749" t="s">
        <v>45</v>
      </c>
      <c r="G4749" t="s">
        <v>25</v>
      </c>
      <c r="H4749" t="s">
        <v>32</v>
      </c>
      <c r="I4749" t="s">
        <v>42</v>
      </c>
      <c r="J4749" t="s">
        <v>98</v>
      </c>
      <c r="K4749">
        <v>1</v>
      </c>
      <c r="L4749" s="2">
        <v>117.63</v>
      </c>
      <c r="M4749" s="3">
        <v>0</v>
      </c>
      <c r="N4749" t="s">
        <v>38</v>
      </c>
      <c r="O4749" s="2">
        <v>117.63</v>
      </c>
      <c r="P4749" s="2">
        <v>77.31</v>
      </c>
      <c r="Q4749" s="2">
        <v>40.32</v>
      </c>
      <c r="R4749">
        <v>1</v>
      </c>
      <c r="S4749">
        <v>1</v>
      </c>
      <c r="T4749">
        <v>4</v>
      </c>
      <c r="U4749">
        <v>3</v>
      </c>
    </row>
    <row r="4750" spans="1:21" ht="16.5" x14ac:dyDescent="0.3">
      <c r="A4750" t="s">
        <v>4838</v>
      </c>
      <c r="B4750" s="1">
        <v>45970</v>
      </c>
      <c r="C4750">
        <v>2025</v>
      </c>
      <c r="D4750" t="s">
        <v>1738</v>
      </c>
      <c r="E4750" t="s">
        <v>1959</v>
      </c>
      <c r="F4750" t="s">
        <v>24</v>
      </c>
      <c r="G4750" t="s">
        <v>65</v>
      </c>
      <c r="H4750" t="s">
        <v>32</v>
      </c>
      <c r="I4750" t="s">
        <v>70</v>
      </c>
      <c r="J4750" t="s">
        <v>252</v>
      </c>
      <c r="K4750">
        <v>1</v>
      </c>
      <c r="L4750" s="2">
        <v>216.08</v>
      </c>
      <c r="M4750" s="3">
        <v>0.1</v>
      </c>
      <c r="N4750" t="s">
        <v>29</v>
      </c>
      <c r="O4750" s="2">
        <v>194.47</v>
      </c>
      <c r="P4750" s="2">
        <v>171.1</v>
      </c>
      <c r="Q4750" s="2">
        <v>23.37</v>
      </c>
      <c r="R4750">
        <v>1</v>
      </c>
      <c r="S4750">
        <v>0</v>
      </c>
      <c r="T4750">
        <v>7</v>
      </c>
      <c r="U4750">
        <v>3</v>
      </c>
    </row>
    <row r="4751" spans="1:21" ht="16.5" x14ac:dyDescent="0.3">
      <c r="A4751" t="s">
        <v>4839</v>
      </c>
      <c r="B4751" s="1">
        <v>45970</v>
      </c>
      <c r="C4751">
        <v>2025</v>
      </c>
      <c r="D4751" t="s">
        <v>1738</v>
      </c>
      <c r="E4751" t="s">
        <v>1959</v>
      </c>
      <c r="F4751" t="s">
        <v>31</v>
      </c>
      <c r="G4751" t="s">
        <v>49</v>
      </c>
      <c r="H4751" t="s">
        <v>32</v>
      </c>
      <c r="I4751" t="s">
        <v>42</v>
      </c>
      <c r="J4751" t="s">
        <v>98</v>
      </c>
      <c r="K4751">
        <v>1</v>
      </c>
      <c r="L4751" s="2">
        <v>117.63</v>
      </c>
      <c r="M4751" s="3">
        <v>0.3</v>
      </c>
      <c r="N4751" t="s">
        <v>62</v>
      </c>
      <c r="O4751" s="2">
        <v>82.34</v>
      </c>
      <c r="P4751" s="2">
        <v>77.73</v>
      </c>
      <c r="Q4751" s="2">
        <v>4.6100000000000003</v>
      </c>
      <c r="R4751">
        <v>1</v>
      </c>
      <c r="S4751">
        <v>0</v>
      </c>
      <c r="T4751">
        <v>5</v>
      </c>
      <c r="U4751">
        <v>5</v>
      </c>
    </row>
    <row r="4752" spans="1:21" ht="16.5" x14ac:dyDescent="0.3">
      <c r="A4752" t="s">
        <v>4840</v>
      </c>
      <c r="B4752" s="1">
        <v>45970</v>
      </c>
      <c r="C4752">
        <v>2025</v>
      </c>
      <c r="D4752" t="s">
        <v>1738</v>
      </c>
      <c r="E4752" t="s">
        <v>1959</v>
      </c>
      <c r="F4752" t="s">
        <v>31</v>
      </c>
      <c r="G4752" t="s">
        <v>25</v>
      </c>
      <c r="H4752" t="s">
        <v>26</v>
      </c>
      <c r="I4752" t="s">
        <v>36</v>
      </c>
      <c r="J4752" t="s">
        <v>52</v>
      </c>
      <c r="K4752">
        <v>1</v>
      </c>
      <c r="L4752" s="2">
        <v>92.54</v>
      </c>
      <c r="M4752" s="3">
        <v>0.25</v>
      </c>
      <c r="N4752" t="s">
        <v>62</v>
      </c>
      <c r="O4752" s="2">
        <v>69.400000000000006</v>
      </c>
      <c r="P4752" s="2">
        <v>45.45</v>
      </c>
      <c r="Q4752" s="2">
        <v>23.95</v>
      </c>
      <c r="R4752">
        <v>1</v>
      </c>
      <c r="S4752">
        <v>0</v>
      </c>
      <c r="T4752">
        <v>5</v>
      </c>
      <c r="U4752">
        <v>4</v>
      </c>
    </row>
    <row r="4753" spans="1:21" ht="16.5" x14ac:dyDescent="0.3">
      <c r="A4753" t="s">
        <v>4841</v>
      </c>
      <c r="B4753" s="1">
        <v>45970</v>
      </c>
      <c r="C4753">
        <v>2025</v>
      </c>
      <c r="D4753" t="s">
        <v>1738</v>
      </c>
      <c r="E4753" t="s">
        <v>1959</v>
      </c>
      <c r="F4753" t="s">
        <v>24</v>
      </c>
      <c r="G4753" t="s">
        <v>25</v>
      </c>
      <c r="H4753" t="s">
        <v>32</v>
      </c>
      <c r="I4753" t="s">
        <v>84</v>
      </c>
      <c r="J4753" t="s">
        <v>106</v>
      </c>
      <c r="K4753">
        <v>2</v>
      </c>
      <c r="L4753" s="2">
        <v>45.28</v>
      </c>
      <c r="M4753" s="3">
        <v>0.3</v>
      </c>
      <c r="N4753" t="s">
        <v>62</v>
      </c>
      <c r="O4753" s="2">
        <v>63.39</v>
      </c>
      <c r="P4753" s="2">
        <v>63.09</v>
      </c>
      <c r="Q4753" s="2">
        <v>0.3</v>
      </c>
      <c r="R4753">
        <v>1</v>
      </c>
      <c r="S4753">
        <v>0</v>
      </c>
      <c r="T4753">
        <v>5</v>
      </c>
      <c r="U4753">
        <v>4</v>
      </c>
    </row>
    <row r="4754" spans="1:21" ht="16.5" x14ac:dyDescent="0.3">
      <c r="A4754" t="s">
        <v>4842</v>
      </c>
      <c r="B4754" s="1">
        <v>45970</v>
      </c>
      <c r="C4754">
        <v>2025</v>
      </c>
      <c r="D4754" t="s">
        <v>1738</v>
      </c>
      <c r="E4754" t="s">
        <v>1959</v>
      </c>
      <c r="F4754" t="s">
        <v>24</v>
      </c>
      <c r="G4754" t="s">
        <v>49</v>
      </c>
      <c r="H4754" t="s">
        <v>32</v>
      </c>
      <c r="I4754" t="s">
        <v>70</v>
      </c>
      <c r="J4754" t="s">
        <v>162</v>
      </c>
      <c r="K4754">
        <v>1</v>
      </c>
      <c r="L4754" s="2">
        <v>636.09</v>
      </c>
      <c r="M4754" s="3">
        <v>0.05</v>
      </c>
      <c r="N4754" t="s">
        <v>29</v>
      </c>
      <c r="O4754" s="2">
        <v>604.29</v>
      </c>
      <c r="P4754" s="2">
        <v>480.26</v>
      </c>
      <c r="Q4754" s="2">
        <v>124.03</v>
      </c>
      <c r="R4754">
        <v>1</v>
      </c>
      <c r="S4754">
        <v>0</v>
      </c>
      <c r="T4754">
        <v>4</v>
      </c>
      <c r="U4754">
        <v>5</v>
      </c>
    </row>
    <row r="4755" spans="1:21" ht="16.5" x14ac:dyDescent="0.3">
      <c r="A4755" t="s">
        <v>4843</v>
      </c>
      <c r="B4755" s="1">
        <v>45970</v>
      </c>
      <c r="C4755">
        <v>2025</v>
      </c>
      <c r="D4755" t="s">
        <v>1738</v>
      </c>
      <c r="E4755" t="s">
        <v>1959</v>
      </c>
      <c r="F4755" t="s">
        <v>24</v>
      </c>
      <c r="G4755" t="s">
        <v>51</v>
      </c>
      <c r="H4755" t="s">
        <v>26</v>
      </c>
      <c r="I4755" t="s">
        <v>67</v>
      </c>
      <c r="J4755" t="s">
        <v>93</v>
      </c>
      <c r="K4755">
        <v>1</v>
      </c>
      <c r="L4755" s="2">
        <v>198.42</v>
      </c>
      <c r="M4755" s="3">
        <v>0.2</v>
      </c>
      <c r="N4755" t="s">
        <v>34</v>
      </c>
      <c r="O4755" s="2">
        <v>158.74</v>
      </c>
      <c r="P4755" s="2">
        <v>130.36000000000001</v>
      </c>
      <c r="Q4755" s="2">
        <v>28.38</v>
      </c>
      <c r="R4755">
        <v>1</v>
      </c>
      <c r="S4755">
        <v>0</v>
      </c>
      <c r="T4755">
        <v>3</v>
      </c>
      <c r="U4755">
        <v>5</v>
      </c>
    </row>
    <row r="4756" spans="1:21" ht="16.5" x14ac:dyDescent="0.3">
      <c r="A4756" t="s">
        <v>4844</v>
      </c>
      <c r="B4756" s="1">
        <v>45970</v>
      </c>
      <c r="C4756">
        <v>2025</v>
      </c>
      <c r="D4756" t="s">
        <v>1738</v>
      </c>
      <c r="E4756" t="s">
        <v>1959</v>
      </c>
      <c r="F4756" t="s">
        <v>24</v>
      </c>
      <c r="G4756" t="s">
        <v>49</v>
      </c>
      <c r="H4756" t="s">
        <v>26</v>
      </c>
      <c r="I4756" t="s">
        <v>27</v>
      </c>
      <c r="J4756" t="s">
        <v>33</v>
      </c>
      <c r="K4756">
        <v>1</v>
      </c>
      <c r="L4756" s="2">
        <v>78.510000000000005</v>
      </c>
      <c r="M4756" s="3">
        <v>0.15</v>
      </c>
      <c r="N4756" t="s">
        <v>34</v>
      </c>
      <c r="O4756" s="2">
        <v>66.73</v>
      </c>
      <c r="P4756" s="2">
        <v>41.37</v>
      </c>
      <c r="Q4756" s="2">
        <v>25.36</v>
      </c>
      <c r="R4756">
        <v>1</v>
      </c>
      <c r="S4756">
        <v>0</v>
      </c>
      <c r="T4756">
        <v>7</v>
      </c>
      <c r="U4756">
        <v>4</v>
      </c>
    </row>
    <row r="4757" spans="1:21" ht="16.5" x14ac:dyDescent="0.3">
      <c r="A4757" t="s">
        <v>4845</v>
      </c>
      <c r="B4757" s="1">
        <v>45970</v>
      </c>
      <c r="C4757">
        <v>2025</v>
      </c>
      <c r="D4757" t="s">
        <v>1738</v>
      </c>
      <c r="E4757" t="s">
        <v>1959</v>
      </c>
      <c r="F4757" t="s">
        <v>31</v>
      </c>
      <c r="G4757" t="s">
        <v>51</v>
      </c>
      <c r="H4757" t="s">
        <v>26</v>
      </c>
      <c r="I4757" t="s">
        <v>27</v>
      </c>
      <c r="J4757" t="s">
        <v>60</v>
      </c>
      <c r="K4757">
        <v>2</v>
      </c>
      <c r="L4757" s="2">
        <v>94.85</v>
      </c>
      <c r="M4757" s="3">
        <v>0.1</v>
      </c>
      <c r="N4757" t="s">
        <v>29</v>
      </c>
      <c r="O4757" s="2">
        <v>170.73</v>
      </c>
      <c r="P4757" s="2">
        <v>100.57</v>
      </c>
      <c r="Q4757" s="2">
        <v>70.16</v>
      </c>
      <c r="R4757">
        <v>1</v>
      </c>
      <c r="S4757">
        <v>0</v>
      </c>
      <c r="T4757">
        <v>3</v>
      </c>
      <c r="U4757">
        <v>4</v>
      </c>
    </row>
    <row r="4758" spans="1:21" ht="16.5" x14ac:dyDescent="0.3">
      <c r="A4758" t="s">
        <v>4846</v>
      </c>
      <c r="B4758" s="1">
        <v>45970</v>
      </c>
      <c r="C4758">
        <v>2025</v>
      </c>
      <c r="D4758" t="s">
        <v>1738</v>
      </c>
      <c r="E4758" t="s">
        <v>1959</v>
      </c>
      <c r="F4758" t="s">
        <v>31</v>
      </c>
      <c r="G4758" t="s">
        <v>49</v>
      </c>
      <c r="H4758" t="s">
        <v>32</v>
      </c>
      <c r="I4758" t="s">
        <v>70</v>
      </c>
      <c r="J4758" t="s">
        <v>82</v>
      </c>
      <c r="K4758">
        <v>1</v>
      </c>
      <c r="L4758" s="2">
        <v>508.8</v>
      </c>
      <c r="M4758" s="3">
        <v>0.25</v>
      </c>
      <c r="N4758" t="s">
        <v>62</v>
      </c>
      <c r="O4758" s="2">
        <v>381.6</v>
      </c>
      <c r="P4758" s="2">
        <v>423.25</v>
      </c>
      <c r="Q4758" s="2">
        <v>-41.65</v>
      </c>
      <c r="R4758">
        <v>1</v>
      </c>
      <c r="S4758">
        <v>0</v>
      </c>
      <c r="T4758">
        <v>4</v>
      </c>
      <c r="U4758">
        <v>5</v>
      </c>
    </row>
    <row r="4759" spans="1:21" ht="16.5" x14ac:dyDescent="0.3">
      <c r="A4759" t="s">
        <v>4847</v>
      </c>
      <c r="B4759" s="1">
        <v>45970</v>
      </c>
      <c r="C4759">
        <v>2025</v>
      </c>
      <c r="D4759" t="s">
        <v>1738</v>
      </c>
      <c r="E4759" t="s">
        <v>1959</v>
      </c>
      <c r="F4759" t="s">
        <v>24</v>
      </c>
      <c r="G4759" t="s">
        <v>49</v>
      </c>
      <c r="H4759" t="s">
        <v>32</v>
      </c>
      <c r="I4759" t="s">
        <v>67</v>
      </c>
      <c r="J4759" t="s">
        <v>68</v>
      </c>
      <c r="K4759">
        <v>2</v>
      </c>
      <c r="L4759" s="2">
        <v>74.459999999999994</v>
      </c>
      <c r="M4759" s="3">
        <v>0.3</v>
      </c>
      <c r="N4759" t="s">
        <v>62</v>
      </c>
      <c r="O4759" s="2">
        <v>104.24</v>
      </c>
      <c r="P4759" s="2">
        <v>103.75</v>
      </c>
      <c r="Q4759" s="2">
        <v>0.49</v>
      </c>
      <c r="R4759">
        <v>1</v>
      </c>
      <c r="S4759">
        <v>0</v>
      </c>
      <c r="T4759">
        <v>5</v>
      </c>
      <c r="U4759">
        <v>5</v>
      </c>
    </row>
    <row r="4760" spans="1:21" ht="16.5" x14ac:dyDescent="0.3">
      <c r="A4760" t="s">
        <v>4848</v>
      </c>
      <c r="B4760" s="1">
        <v>45971</v>
      </c>
      <c r="C4760">
        <v>2025</v>
      </c>
      <c r="D4760" t="s">
        <v>1738</v>
      </c>
      <c r="E4760" t="s">
        <v>1959</v>
      </c>
      <c r="F4760" t="s">
        <v>24</v>
      </c>
      <c r="G4760" t="s">
        <v>46</v>
      </c>
      <c r="H4760" t="s">
        <v>32</v>
      </c>
      <c r="I4760" t="s">
        <v>27</v>
      </c>
      <c r="J4760" t="s">
        <v>110</v>
      </c>
      <c r="K4760">
        <v>3</v>
      </c>
      <c r="L4760" s="2">
        <v>19.41</v>
      </c>
      <c r="M4760" s="3">
        <v>0.3</v>
      </c>
      <c r="N4760" t="s">
        <v>62</v>
      </c>
      <c r="O4760" s="2">
        <v>40.76</v>
      </c>
      <c r="P4760" s="2">
        <v>31.7</v>
      </c>
      <c r="Q4760" s="2">
        <v>9.06</v>
      </c>
      <c r="R4760">
        <v>1</v>
      </c>
      <c r="S4760">
        <v>0</v>
      </c>
      <c r="T4760">
        <v>7</v>
      </c>
      <c r="U4760">
        <v>3</v>
      </c>
    </row>
    <row r="4761" spans="1:21" ht="16.5" x14ac:dyDescent="0.3">
      <c r="A4761" t="s">
        <v>4849</v>
      </c>
      <c r="B4761" s="1">
        <v>45971</v>
      </c>
      <c r="C4761">
        <v>2025</v>
      </c>
      <c r="D4761" t="s">
        <v>1738</v>
      </c>
      <c r="E4761" t="s">
        <v>1959</v>
      </c>
      <c r="F4761" t="s">
        <v>31</v>
      </c>
      <c r="G4761" t="s">
        <v>49</v>
      </c>
      <c r="H4761" t="s">
        <v>32</v>
      </c>
      <c r="I4761" t="s">
        <v>27</v>
      </c>
      <c r="J4761" t="s">
        <v>60</v>
      </c>
      <c r="K4761">
        <v>1</v>
      </c>
      <c r="L4761" s="2">
        <v>94.85</v>
      </c>
      <c r="M4761" s="3">
        <v>0.05</v>
      </c>
      <c r="N4761" t="s">
        <v>29</v>
      </c>
      <c r="O4761" s="2">
        <v>90.11</v>
      </c>
      <c r="P4761" s="2">
        <v>51.08</v>
      </c>
      <c r="Q4761" s="2">
        <v>39.03</v>
      </c>
      <c r="R4761">
        <v>1</v>
      </c>
      <c r="S4761">
        <v>0</v>
      </c>
      <c r="T4761">
        <v>5</v>
      </c>
      <c r="U4761">
        <v>4</v>
      </c>
    </row>
    <row r="4762" spans="1:21" ht="16.5" x14ac:dyDescent="0.3">
      <c r="A4762" t="s">
        <v>4850</v>
      </c>
      <c r="B4762" s="1">
        <v>45971</v>
      </c>
      <c r="C4762">
        <v>2025</v>
      </c>
      <c r="D4762" t="s">
        <v>1738</v>
      </c>
      <c r="E4762" t="s">
        <v>1959</v>
      </c>
      <c r="F4762" t="s">
        <v>31</v>
      </c>
      <c r="G4762" t="s">
        <v>51</v>
      </c>
      <c r="H4762" t="s">
        <v>26</v>
      </c>
      <c r="I4762" t="s">
        <v>27</v>
      </c>
      <c r="J4762" t="s">
        <v>47</v>
      </c>
      <c r="K4762">
        <v>1</v>
      </c>
      <c r="L4762" s="2">
        <v>33.99</v>
      </c>
      <c r="M4762" s="3">
        <v>0</v>
      </c>
      <c r="N4762" t="s">
        <v>38</v>
      </c>
      <c r="O4762" s="2">
        <v>33.99</v>
      </c>
      <c r="P4762" s="2">
        <v>18.77</v>
      </c>
      <c r="Q4762" s="2">
        <v>15.22</v>
      </c>
      <c r="R4762">
        <v>1</v>
      </c>
      <c r="S4762">
        <v>1</v>
      </c>
      <c r="T4762">
        <v>3</v>
      </c>
      <c r="U4762">
        <v>3</v>
      </c>
    </row>
    <row r="4763" spans="1:21" ht="16.5" x14ac:dyDescent="0.3">
      <c r="A4763" t="s">
        <v>4851</v>
      </c>
      <c r="B4763" s="1">
        <v>45971</v>
      </c>
      <c r="C4763">
        <v>2025</v>
      </c>
      <c r="D4763" t="s">
        <v>1738</v>
      </c>
      <c r="E4763" t="s">
        <v>1959</v>
      </c>
      <c r="F4763" t="s">
        <v>24</v>
      </c>
      <c r="G4763" t="s">
        <v>49</v>
      </c>
      <c r="H4763" t="s">
        <v>26</v>
      </c>
      <c r="I4763" t="s">
        <v>70</v>
      </c>
      <c r="J4763" t="s">
        <v>82</v>
      </c>
      <c r="K4763">
        <v>1</v>
      </c>
      <c r="L4763" s="2">
        <v>508.8</v>
      </c>
      <c r="M4763" s="3">
        <v>0.3</v>
      </c>
      <c r="N4763" t="s">
        <v>62</v>
      </c>
      <c r="O4763" s="2">
        <v>356.16</v>
      </c>
      <c r="P4763" s="2">
        <v>401.58</v>
      </c>
      <c r="Q4763" s="2">
        <v>-45.42</v>
      </c>
      <c r="R4763">
        <v>1</v>
      </c>
      <c r="S4763">
        <v>0</v>
      </c>
      <c r="T4763">
        <v>6</v>
      </c>
      <c r="U4763">
        <v>4</v>
      </c>
    </row>
    <row r="4764" spans="1:21" ht="16.5" x14ac:dyDescent="0.3">
      <c r="A4764" t="s">
        <v>4852</v>
      </c>
      <c r="B4764" s="1">
        <v>45971</v>
      </c>
      <c r="C4764">
        <v>2025</v>
      </c>
      <c r="D4764" t="s">
        <v>1738</v>
      </c>
      <c r="E4764" t="s">
        <v>1959</v>
      </c>
      <c r="F4764" t="s">
        <v>31</v>
      </c>
      <c r="G4764" t="s">
        <v>25</v>
      </c>
      <c r="H4764" t="s">
        <v>32</v>
      </c>
      <c r="I4764" t="s">
        <v>67</v>
      </c>
      <c r="J4764" t="s">
        <v>68</v>
      </c>
      <c r="K4764">
        <v>3</v>
      </c>
      <c r="L4764" s="2">
        <v>74.459999999999994</v>
      </c>
      <c r="M4764" s="3">
        <v>0.2</v>
      </c>
      <c r="N4764" t="s">
        <v>34</v>
      </c>
      <c r="O4764" s="2">
        <v>178.7</v>
      </c>
      <c r="P4764" s="2">
        <v>151.97999999999999</v>
      </c>
      <c r="Q4764" s="2">
        <v>26.72</v>
      </c>
      <c r="R4764">
        <v>1</v>
      </c>
      <c r="S4764">
        <v>0</v>
      </c>
      <c r="T4764">
        <v>5</v>
      </c>
      <c r="U4764">
        <v>4</v>
      </c>
    </row>
    <row r="4765" spans="1:21" ht="16.5" x14ac:dyDescent="0.3">
      <c r="A4765" t="s">
        <v>4853</v>
      </c>
      <c r="B4765" s="1">
        <v>45971</v>
      </c>
      <c r="C4765">
        <v>2025</v>
      </c>
      <c r="D4765" t="s">
        <v>1738</v>
      </c>
      <c r="E4765" t="s">
        <v>1959</v>
      </c>
      <c r="F4765" t="s">
        <v>45</v>
      </c>
      <c r="G4765" t="s">
        <v>49</v>
      </c>
      <c r="H4765" t="s">
        <v>32</v>
      </c>
      <c r="I4765" t="s">
        <v>36</v>
      </c>
      <c r="J4765" t="s">
        <v>37</v>
      </c>
      <c r="K4765">
        <v>1</v>
      </c>
      <c r="L4765" s="2">
        <v>33.18</v>
      </c>
      <c r="M4765" s="3">
        <v>0.15</v>
      </c>
      <c r="N4765" t="s">
        <v>34</v>
      </c>
      <c r="O4765" s="2">
        <v>28.2</v>
      </c>
      <c r="P4765" s="2">
        <v>15.5</v>
      </c>
      <c r="Q4765" s="2">
        <v>12.7</v>
      </c>
      <c r="R4765">
        <v>1</v>
      </c>
      <c r="S4765">
        <v>0</v>
      </c>
      <c r="T4765">
        <v>5</v>
      </c>
      <c r="U4765">
        <v>4</v>
      </c>
    </row>
    <row r="4766" spans="1:21" ht="16.5" x14ac:dyDescent="0.3">
      <c r="A4766" t="s">
        <v>4854</v>
      </c>
      <c r="B4766" s="1">
        <v>45971</v>
      </c>
      <c r="C4766">
        <v>2025</v>
      </c>
      <c r="D4766" t="s">
        <v>1738</v>
      </c>
      <c r="E4766" t="s">
        <v>1959</v>
      </c>
      <c r="F4766" t="s">
        <v>24</v>
      </c>
      <c r="G4766" t="s">
        <v>46</v>
      </c>
      <c r="H4766" t="s">
        <v>26</v>
      </c>
      <c r="I4766" t="s">
        <v>67</v>
      </c>
      <c r="J4766" t="s">
        <v>68</v>
      </c>
      <c r="K4766">
        <v>1</v>
      </c>
      <c r="L4766" s="2">
        <v>74.459999999999994</v>
      </c>
      <c r="M4766" s="3">
        <v>0.25</v>
      </c>
      <c r="N4766" t="s">
        <v>62</v>
      </c>
      <c r="O4766" s="2">
        <v>55.84</v>
      </c>
      <c r="P4766" s="2">
        <v>49.19</v>
      </c>
      <c r="Q4766" s="2">
        <v>6.65</v>
      </c>
      <c r="R4766">
        <v>1</v>
      </c>
      <c r="S4766">
        <v>1</v>
      </c>
      <c r="T4766">
        <v>6</v>
      </c>
      <c r="U4766">
        <v>1</v>
      </c>
    </row>
    <row r="4767" spans="1:21" ht="16.5" x14ac:dyDescent="0.3">
      <c r="A4767" t="s">
        <v>4855</v>
      </c>
      <c r="B4767" s="1">
        <v>45971</v>
      </c>
      <c r="C4767">
        <v>2025</v>
      </c>
      <c r="D4767" t="s">
        <v>1738</v>
      </c>
      <c r="E4767" t="s">
        <v>1959</v>
      </c>
      <c r="F4767" t="s">
        <v>31</v>
      </c>
      <c r="G4767" t="s">
        <v>51</v>
      </c>
      <c r="H4767" t="s">
        <v>26</v>
      </c>
      <c r="I4767" t="s">
        <v>70</v>
      </c>
      <c r="J4767" t="s">
        <v>129</v>
      </c>
      <c r="K4767">
        <v>1</v>
      </c>
      <c r="L4767" s="2">
        <v>177.65</v>
      </c>
      <c r="M4767" s="3">
        <v>0.3</v>
      </c>
      <c r="N4767" t="s">
        <v>62</v>
      </c>
      <c r="O4767" s="2">
        <v>124.35</v>
      </c>
      <c r="P4767" s="2">
        <v>138.77000000000001</v>
      </c>
      <c r="Q4767" s="2">
        <v>-14.42</v>
      </c>
      <c r="R4767">
        <v>1</v>
      </c>
      <c r="S4767">
        <v>0</v>
      </c>
      <c r="T4767">
        <v>3</v>
      </c>
      <c r="U4767">
        <v>4</v>
      </c>
    </row>
    <row r="4768" spans="1:21" ht="16.5" x14ac:dyDescent="0.3">
      <c r="A4768" t="s">
        <v>4856</v>
      </c>
      <c r="B4768" s="1">
        <v>45971</v>
      </c>
      <c r="C4768">
        <v>2025</v>
      </c>
      <c r="D4768" t="s">
        <v>1738</v>
      </c>
      <c r="E4768" t="s">
        <v>1959</v>
      </c>
      <c r="F4768" t="s">
        <v>24</v>
      </c>
      <c r="G4768" t="s">
        <v>46</v>
      </c>
      <c r="H4768" t="s">
        <v>26</v>
      </c>
      <c r="I4768" t="s">
        <v>42</v>
      </c>
      <c r="J4768" t="s">
        <v>89</v>
      </c>
      <c r="K4768">
        <v>2</v>
      </c>
      <c r="L4768" s="2">
        <v>68.349999999999994</v>
      </c>
      <c r="M4768" s="3">
        <v>0.15</v>
      </c>
      <c r="N4768" t="s">
        <v>34</v>
      </c>
      <c r="O4768" s="2">
        <v>116.2</v>
      </c>
      <c r="P4768" s="2">
        <v>89.23</v>
      </c>
      <c r="Q4768" s="2">
        <v>26.97</v>
      </c>
      <c r="R4768">
        <v>1</v>
      </c>
      <c r="S4768">
        <v>0</v>
      </c>
      <c r="T4768">
        <v>7</v>
      </c>
      <c r="U4768">
        <v>4</v>
      </c>
    </row>
    <row r="4769" spans="1:21" ht="16.5" x14ac:dyDescent="0.3">
      <c r="A4769" t="s">
        <v>4857</v>
      </c>
      <c r="B4769" s="1">
        <v>45971</v>
      </c>
      <c r="C4769">
        <v>2025</v>
      </c>
      <c r="D4769" t="s">
        <v>1738</v>
      </c>
      <c r="E4769" t="s">
        <v>1959</v>
      </c>
      <c r="F4769" t="s">
        <v>31</v>
      </c>
      <c r="G4769" t="s">
        <v>25</v>
      </c>
      <c r="H4769" t="s">
        <v>32</v>
      </c>
      <c r="I4769" t="s">
        <v>70</v>
      </c>
      <c r="J4769" t="s">
        <v>87</v>
      </c>
      <c r="K4769">
        <v>1</v>
      </c>
      <c r="L4769" s="2">
        <v>490.3</v>
      </c>
      <c r="M4769" s="3">
        <v>0.25</v>
      </c>
      <c r="N4769" t="s">
        <v>62</v>
      </c>
      <c r="O4769" s="2">
        <v>367.72</v>
      </c>
      <c r="P4769" s="2">
        <v>374.67</v>
      </c>
      <c r="Q4769" s="2">
        <v>-6.95</v>
      </c>
      <c r="R4769">
        <v>1</v>
      </c>
      <c r="S4769">
        <v>1</v>
      </c>
      <c r="T4769">
        <v>5</v>
      </c>
      <c r="U4769">
        <v>2</v>
      </c>
    </row>
    <row r="4770" spans="1:21" ht="16.5" x14ac:dyDescent="0.3">
      <c r="A4770" t="s">
        <v>4858</v>
      </c>
      <c r="B4770" s="1">
        <v>45972</v>
      </c>
      <c r="C4770">
        <v>2025</v>
      </c>
      <c r="D4770" t="s">
        <v>1738</v>
      </c>
      <c r="E4770" t="s">
        <v>1959</v>
      </c>
      <c r="F4770" t="s">
        <v>31</v>
      </c>
      <c r="G4770" t="s">
        <v>49</v>
      </c>
      <c r="H4770" t="s">
        <v>32</v>
      </c>
      <c r="I4770" t="s">
        <v>84</v>
      </c>
      <c r="J4770" t="s">
        <v>85</v>
      </c>
      <c r="K4770">
        <v>1</v>
      </c>
      <c r="L4770" s="2">
        <v>57.92</v>
      </c>
      <c r="M4770" s="3">
        <v>0.25</v>
      </c>
      <c r="N4770" t="s">
        <v>62</v>
      </c>
      <c r="O4770" s="2">
        <v>43.44</v>
      </c>
      <c r="P4770" s="2">
        <v>41.9</v>
      </c>
      <c r="Q4770" s="2">
        <v>1.54</v>
      </c>
      <c r="R4770">
        <v>1</v>
      </c>
      <c r="S4770">
        <v>0</v>
      </c>
      <c r="T4770">
        <v>5</v>
      </c>
      <c r="U4770">
        <v>3</v>
      </c>
    </row>
    <row r="4771" spans="1:21" ht="16.5" x14ac:dyDescent="0.3">
      <c r="A4771" t="s">
        <v>4859</v>
      </c>
      <c r="B4771" s="1">
        <v>45972</v>
      </c>
      <c r="C4771">
        <v>2025</v>
      </c>
      <c r="D4771" t="s">
        <v>1738</v>
      </c>
      <c r="E4771" t="s">
        <v>1959</v>
      </c>
      <c r="F4771" t="s">
        <v>31</v>
      </c>
      <c r="G4771" t="s">
        <v>65</v>
      </c>
      <c r="H4771" t="s">
        <v>26</v>
      </c>
      <c r="I4771" t="s">
        <v>84</v>
      </c>
      <c r="J4771" t="s">
        <v>85</v>
      </c>
      <c r="K4771">
        <v>1</v>
      </c>
      <c r="L4771" s="2">
        <v>57.92</v>
      </c>
      <c r="M4771" s="3">
        <v>0.25</v>
      </c>
      <c r="N4771" t="s">
        <v>62</v>
      </c>
      <c r="O4771" s="2">
        <v>43.44</v>
      </c>
      <c r="P4771" s="2">
        <v>41.58</v>
      </c>
      <c r="Q4771" s="2">
        <v>1.86</v>
      </c>
      <c r="R4771">
        <v>1</v>
      </c>
      <c r="S4771">
        <v>0</v>
      </c>
      <c r="T4771">
        <v>8</v>
      </c>
      <c r="U4771">
        <v>5</v>
      </c>
    </row>
    <row r="4772" spans="1:21" ht="16.5" x14ac:dyDescent="0.3">
      <c r="A4772" t="s">
        <v>4860</v>
      </c>
      <c r="B4772" s="1">
        <v>45972</v>
      </c>
      <c r="C4772">
        <v>2025</v>
      </c>
      <c r="D4772" t="s">
        <v>1738</v>
      </c>
      <c r="E4772" t="s">
        <v>1959</v>
      </c>
      <c r="F4772" t="s">
        <v>45</v>
      </c>
      <c r="G4772" t="s">
        <v>51</v>
      </c>
      <c r="H4772" t="s">
        <v>26</v>
      </c>
      <c r="I4772" t="s">
        <v>36</v>
      </c>
      <c r="J4772" t="s">
        <v>126</v>
      </c>
      <c r="K4772">
        <v>1</v>
      </c>
      <c r="L4772" s="2">
        <v>54.56</v>
      </c>
      <c r="M4772" s="3">
        <v>0.25</v>
      </c>
      <c r="N4772" t="s">
        <v>62</v>
      </c>
      <c r="O4772" s="2">
        <v>40.92</v>
      </c>
      <c r="P4772" s="2">
        <v>26.61</v>
      </c>
      <c r="Q4772" s="2">
        <v>14.31</v>
      </c>
      <c r="R4772">
        <v>1</v>
      </c>
      <c r="S4772">
        <v>0</v>
      </c>
      <c r="T4772">
        <v>3</v>
      </c>
      <c r="U4772">
        <v>5</v>
      </c>
    </row>
    <row r="4773" spans="1:21" ht="16.5" x14ac:dyDescent="0.3">
      <c r="A4773" t="s">
        <v>4861</v>
      </c>
      <c r="B4773" s="1">
        <v>45972</v>
      </c>
      <c r="C4773">
        <v>2025</v>
      </c>
      <c r="D4773" t="s">
        <v>1738</v>
      </c>
      <c r="E4773" t="s">
        <v>1959</v>
      </c>
      <c r="F4773" t="s">
        <v>24</v>
      </c>
      <c r="G4773" t="s">
        <v>51</v>
      </c>
      <c r="H4773" t="s">
        <v>32</v>
      </c>
      <c r="I4773" t="s">
        <v>84</v>
      </c>
      <c r="J4773" t="s">
        <v>223</v>
      </c>
      <c r="K4773">
        <v>1</v>
      </c>
      <c r="L4773" s="2">
        <v>16.97</v>
      </c>
      <c r="M4773" s="3">
        <v>0</v>
      </c>
      <c r="N4773" t="s">
        <v>38</v>
      </c>
      <c r="O4773" s="2">
        <v>16.97</v>
      </c>
      <c r="P4773" s="2">
        <v>11.73</v>
      </c>
      <c r="Q4773" s="2">
        <v>5.24</v>
      </c>
      <c r="R4773">
        <v>1</v>
      </c>
      <c r="S4773">
        <v>0</v>
      </c>
      <c r="T4773">
        <v>4</v>
      </c>
      <c r="U4773">
        <v>5</v>
      </c>
    </row>
    <row r="4774" spans="1:21" ht="16.5" x14ac:dyDescent="0.3">
      <c r="A4774" t="s">
        <v>4862</v>
      </c>
      <c r="B4774" s="1">
        <v>45972</v>
      </c>
      <c r="C4774">
        <v>2025</v>
      </c>
      <c r="D4774" t="s">
        <v>1738</v>
      </c>
      <c r="E4774" t="s">
        <v>1959</v>
      </c>
      <c r="F4774" t="s">
        <v>45</v>
      </c>
      <c r="G4774" t="s">
        <v>25</v>
      </c>
      <c r="H4774" t="s">
        <v>32</v>
      </c>
      <c r="I4774" t="s">
        <v>36</v>
      </c>
      <c r="J4774" t="s">
        <v>126</v>
      </c>
      <c r="K4774">
        <v>2</v>
      </c>
      <c r="L4774" s="2">
        <v>54.56</v>
      </c>
      <c r="M4774" s="3">
        <v>0.2</v>
      </c>
      <c r="N4774" t="s">
        <v>34</v>
      </c>
      <c r="O4774" s="2">
        <v>87.3</v>
      </c>
      <c r="P4774" s="2">
        <v>49.46</v>
      </c>
      <c r="Q4774" s="2">
        <v>37.840000000000003</v>
      </c>
      <c r="R4774">
        <v>1</v>
      </c>
      <c r="S4774">
        <v>0</v>
      </c>
      <c r="T4774">
        <v>4</v>
      </c>
      <c r="U4774">
        <v>4</v>
      </c>
    </row>
    <row r="4775" spans="1:21" ht="16.5" x14ac:dyDescent="0.3">
      <c r="A4775" t="s">
        <v>4863</v>
      </c>
      <c r="B4775" s="1">
        <v>45972</v>
      </c>
      <c r="C4775">
        <v>2025</v>
      </c>
      <c r="D4775" t="s">
        <v>1738</v>
      </c>
      <c r="E4775" t="s">
        <v>1959</v>
      </c>
      <c r="F4775" t="s">
        <v>24</v>
      </c>
      <c r="G4775" t="s">
        <v>51</v>
      </c>
      <c r="H4775" t="s">
        <v>32</v>
      </c>
      <c r="I4775" t="s">
        <v>84</v>
      </c>
      <c r="J4775" t="s">
        <v>132</v>
      </c>
      <c r="K4775">
        <v>1</v>
      </c>
      <c r="L4775" s="2">
        <v>48.86</v>
      </c>
      <c r="M4775" s="3">
        <v>0.2</v>
      </c>
      <c r="N4775" t="s">
        <v>34</v>
      </c>
      <c r="O4775" s="2">
        <v>39.090000000000003</v>
      </c>
      <c r="P4775" s="2">
        <v>35.159999999999997</v>
      </c>
      <c r="Q4775" s="2">
        <v>3.93</v>
      </c>
      <c r="R4775">
        <v>1</v>
      </c>
      <c r="S4775">
        <v>0</v>
      </c>
      <c r="T4775">
        <v>5</v>
      </c>
      <c r="U4775">
        <v>4</v>
      </c>
    </row>
    <row r="4776" spans="1:21" ht="16.5" x14ac:dyDescent="0.3">
      <c r="A4776" t="s">
        <v>4864</v>
      </c>
      <c r="B4776" s="1">
        <v>45972</v>
      </c>
      <c r="C4776">
        <v>2025</v>
      </c>
      <c r="D4776" t="s">
        <v>1738</v>
      </c>
      <c r="E4776" t="s">
        <v>1959</v>
      </c>
      <c r="F4776" t="s">
        <v>24</v>
      </c>
      <c r="G4776" t="s">
        <v>51</v>
      </c>
      <c r="H4776" t="s">
        <v>32</v>
      </c>
      <c r="I4776" t="s">
        <v>84</v>
      </c>
      <c r="J4776" t="s">
        <v>223</v>
      </c>
      <c r="K4776">
        <v>1</v>
      </c>
      <c r="L4776" s="2">
        <v>16.97</v>
      </c>
      <c r="M4776" s="3">
        <v>0.05</v>
      </c>
      <c r="N4776" t="s">
        <v>29</v>
      </c>
      <c r="O4776" s="2">
        <v>16.12</v>
      </c>
      <c r="P4776" s="2">
        <v>12.63</v>
      </c>
      <c r="Q4776" s="2">
        <v>3.49</v>
      </c>
      <c r="R4776">
        <v>1</v>
      </c>
      <c r="S4776">
        <v>0</v>
      </c>
      <c r="T4776">
        <v>3</v>
      </c>
      <c r="U4776">
        <v>4</v>
      </c>
    </row>
    <row r="4777" spans="1:21" ht="16.5" x14ac:dyDescent="0.3">
      <c r="A4777" t="s">
        <v>4865</v>
      </c>
      <c r="B4777" s="1">
        <v>45972</v>
      </c>
      <c r="C4777">
        <v>2025</v>
      </c>
      <c r="D4777" t="s">
        <v>1738</v>
      </c>
      <c r="E4777" t="s">
        <v>1959</v>
      </c>
      <c r="F4777" t="s">
        <v>31</v>
      </c>
      <c r="G4777" t="s">
        <v>25</v>
      </c>
      <c r="H4777" t="s">
        <v>26</v>
      </c>
      <c r="I4777" t="s">
        <v>84</v>
      </c>
      <c r="J4777" t="s">
        <v>106</v>
      </c>
      <c r="K4777">
        <v>1</v>
      </c>
      <c r="L4777" s="2">
        <v>45.28</v>
      </c>
      <c r="M4777" s="3">
        <v>0.1</v>
      </c>
      <c r="N4777" t="s">
        <v>29</v>
      </c>
      <c r="O4777" s="2">
        <v>40.75</v>
      </c>
      <c r="P4777" s="2">
        <v>31.53</v>
      </c>
      <c r="Q4777" s="2">
        <v>9.2200000000000006</v>
      </c>
      <c r="R4777">
        <v>1</v>
      </c>
      <c r="S4777">
        <v>1</v>
      </c>
      <c r="T4777">
        <v>10</v>
      </c>
      <c r="U4777">
        <v>2</v>
      </c>
    </row>
    <row r="4778" spans="1:21" ht="16.5" x14ac:dyDescent="0.3">
      <c r="A4778" t="s">
        <v>4866</v>
      </c>
      <c r="B4778" s="1">
        <v>45972</v>
      </c>
      <c r="C4778">
        <v>2025</v>
      </c>
      <c r="D4778" t="s">
        <v>1738</v>
      </c>
      <c r="E4778" t="s">
        <v>1959</v>
      </c>
      <c r="F4778" t="s">
        <v>31</v>
      </c>
      <c r="G4778" t="s">
        <v>49</v>
      </c>
      <c r="H4778" t="s">
        <v>32</v>
      </c>
      <c r="I4778" t="s">
        <v>36</v>
      </c>
      <c r="J4778" t="s">
        <v>37</v>
      </c>
      <c r="K4778">
        <v>1</v>
      </c>
      <c r="L4778" s="2">
        <v>33.18</v>
      </c>
      <c r="M4778" s="3">
        <v>0.1</v>
      </c>
      <c r="N4778" t="s">
        <v>29</v>
      </c>
      <c r="O4778" s="2">
        <v>29.86</v>
      </c>
      <c r="P4778" s="2">
        <v>16.47</v>
      </c>
      <c r="Q4778" s="2">
        <v>13.39</v>
      </c>
      <c r="R4778">
        <v>1</v>
      </c>
      <c r="S4778">
        <v>0</v>
      </c>
      <c r="T4778">
        <v>4</v>
      </c>
      <c r="U4778">
        <v>5</v>
      </c>
    </row>
    <row r="4779" spans="1:21" ht="16.5" x14ac:dyDescent="0.3">
      <c r="A4779" t="s">
        <v>4867</v>
      </c>
      <c r="B4779" s="1">
        <v>45972</v>
      </c>
      <c r="C4779">
        <v>2025</v>
      </c>
      <c r="D4779" t="s">
        <v>1738</v>
      </c>
      <c r="E4779" t="s">
        <v>1959</v>
      </c>
      <c r="F4779" t="s">
        <v>45</v>
      </c>
      <c r="G4779" t="s">
        <v>46</v>
      </c>
      <c r="H4779" t="s">
        <v>32</v>
      </c>
      <c r="I4779" t="s">
        <v>42</v>
      </c>
      <c r="J4779" t="s">
        <v>98</v>
      </c>
      <c r="K4779">
        <v>1</v>
      </c>
      <c r="L4779" s="2">
        <v>117.63</v>
      </c>
      <c r="M4779" s="3">
        <v>0.25</v>
      </c>
      <c r="N4779" t="s">
        <v>62</v>
      </c>
      <c r="O4779" s="2">
        <v>88.22</v>
      </c>
      <c r="P4779" s="2">
        <v>81.23</v>
      </c>
      <c r="Q4779" s="2">
        <v>6.99</v>
      </c>
      <c r="R4779">
        <v>1</v>
      </c>
      <c r="S4779">
        <v>0</v>
      </c>
      <c r="T4779">
        <v>7</v>
      </c>
      <c r="U4779">
        <v>3</v>
      </c>
    </row>
    <row r="4780" spans="1:21" ht="16.5" x14ac:dyDescent="0.3">
      <c r="A4780" t="s">
        <v>4868</v>
      </c>
      <c r="B4780" s="1">
        <v>45972</v>
      </c>
      <c r="C4780">
        <v>2025</v>
      </c>
      <c r="D4780" t="s">
        <v>1738</v>
      </c>
      <c r="E4780" t="s">
        <v>1959</v>
      </c>
      <c r="F4780" t="s">
        <v>45</v>
      </c>
      <c r="G4780" t="s">
        <v>51</v>
      </c>
      <c r="H4780" t="s">
        <v>32</v>
      </c>
      <c r="I4780" t="s">
        <v>67</v>
      </c>
      <c r="J4780" t="s">
        <v>68</v>
      </c>
      <c r="K4780">
        <v>1</v>
      </c>
      <c r="L4780" s="2">
        <v>74.459999999999994</v>
      </c>
      <c r="M4780" s="3">
        <v>0.05</v>
      </c>
      <c r="N4780" t="s">
        <v>29</v>
      </c>
      <c r="O4780" s="2">
        <v>70.739999999999995</v>
      </c>
      <c r="P4780" s="2">
        <v>50.54</v>
      </c>
      <c r="Q4780" s="2">
        <v>20.2</v>
      </c>
      <c r="R4780">
        <v>1</v>
      </c>
      <c r="S4780">
        <v>0</v>
      </c>
      <c r="T4780">
        <v>4</v>
      </c>
      <c r="U4780">
        <v>4</v>
      </c>
    </row>
    <row r="4781" spans="1:21" ht="16.5" x14ac:dyDescent="0.3">
      <c r="A4781" t="s">
        <v>4869</v>
      </c>
      <c r="B4781" s="1">
        <v>45972</v>
      </c>
      <c r="C4781">
        <v>2025</v>
      </c>
      <c r="D4781" t="s">
        <v>1738</v>
      </c>
      <c r="E4781" t="s">
        <v>1959</v>
      </c>
      <c r="F4781" t="s">
        <v>31</v>
      </c>
      <c r="G4781" t="s">
        <v>49</v>
      </c>
      <c r="H4781" t="s">
        <v>26</v>
      </c>
      <c r="I4781" t="s">
        <v>42</v>
      </c>
      <c r="J4781" t="s">
        <v>89</v>
      </c>
      <c r="K4781">
        <v>4</v>
      </c>
      <c r="L4781" s="2">
        <v>68.349999999999994</v>
      </c>
      <c r="M4781" s="3">
        <v>0</v>
      </c>
      <c r="N4781" t="s">
        <v>38</v>
      </c>
      <c r="O4781" s="2">
        <v>273.39999999999998</v>
      </c>
      <c r="P4781" s="2">
        <v>172.38</v>
      </c>
      <c r="Q4781" s="2">
        <v>101.02</v>
      </c>
      <c r="R4781">
        <v>1</v>
      </c>
      <c r="S4781">
        <v>0</v>
      </c>
      <c r="T4781">
        <v>5</v>
      </c>
      <c r="U4781">
        <v>4</v>
      </c>
    </row>
    <row r="4782" spans="1:21" ht="16.5" x14ac:dyDescent="0.3">
      <c r="A4782" t="s">
        <v>4870</v>
      </c>
      <c r="B4782" s="1">
        <v>45973</v>
      </c>
      <c r="C4782">
        <v>2025</v>
      </c>
      <c r="D4782" t="s">
        <v>1738</v>
      </c>
      <c r="E4782" t="s">
        <v>1959</v>
      </c>
      <c r="F4782" t="s">
        <v>31</v>
      </c>
      <c r="G4782" t="s">
        <v>51</v>
      </c>
      <c r="H4782" t="s">
        <v>32</v>
      </c>
      <c r="I4782" t="s">
        <v>67</v>
      </c>
      <c r="J4782" t="s">
        <v>103</v>
      </c>
      <c r="K4782">
        <v>2</v>
      </c>
      <c r="L4782" s="2">
        <v>83.06</v>
      </c>
      <c r="M4782" s="3">
        <v>0.05</v>
      </c>
      <c r="N4782" t="s">
        <v>29</v>
      </c>
      <c r="O4782" s="2">
        <v>157.81</v>
      </c>
      <c r="P4782" s="2">
        <v>111.69</v>
      </c>
      <c r="Q4782" s="2">
        <v>46.12</v>
      </c>
      <c r="R4782">
        <v>1</v>
      </c>
      <c r="S4782">
        <v>0</v>
      </c>
      <c r="T4782">
        <v>6</v>
      </c>
      <c r="U4782">
        <v>4</v>
      </c>
    </row>
    <row r="4783" spans="1:21" ht="16.5" x14ac:dyDescent="0.3">
      <c r="A4783" t="s">
        <v>4871</v>
      </c>
      <c r="B4783" s="1">
        <v>45973</v>
      </c>
      <c r="C4783">
        <v>2025</v>
      </c>
      <c r="D4783" t="s">
        <v>1738</v>
      </c>
      <c r="E4783" t="s">
        <v>1959</v>
      </c>
      <c r="F4783" t="s">
        <v>45</v>
      </c>
      <c r="G4783" t="s">
        <v>49</v>
      </c>
      <c r="H4783" t="s">
        <v>26</v>
      </c>
      <c r="I4783" t="s">
        <v>36</v>
      </c>
      <c r="J4783" t="s">
        <v>115</v>
      </c>
      <c r="K4783">
        <v>2</v>
      </c>
      <c r="L4783" s="2">
        <v>33.479999999999997</v>
      </c>
      <c r="M4783" s="3">
        <v>0.15</v>
      </c>
      <c r="N4783" t="s">
        <v>34</v>
      </c>
      <c r="O4783" s="2">
        <v>56.92</v>
      </c>
      <c r="P4783" s="2">
        <v>31.23</v>
      </c>
      <c r="Q4783" s="2">
        <v>25.69</v>
      </c>
      <c r="R4783">
        <v>1</v>
      </c>
      <c r="S4783">
        <v>0</v>
      </c>
      <c r="T4783">
        <v>5</v>
      </c>
      <c r="U4783">
        <v>4</v>
      </c>
    </row>
    <row r="4784" spans="1:21" ht="16.5" x14ac:dyDescent="0.3">
      <c r="A4784" t="s">
        <v>4872</v>
      </c>
      <c r="B4784" s="1">
        <v>45973</v>
      </c>
      <c r="C4784">
        <v>2025</v>
      </c>
      <c r="D4784" t="s">
        <v>1738</v>
      </c>
      <c r="E4784" t="s">
        <v>1959</v>
      </c>
      <c r="F4784" t="s">
        <v>31</v>
      </c>
      <c r="G4784" t="s">
        <v>49</v>
      </c>
      <c r="H4784" t="s">
        <v>26</v>
      </c>
      <c r="I4784" t="s">
        <v>70</v>
      </c>
      <c r="J4784" t="s">
        <v>252</v>
      </c>
      <c r="K4784">
        <v>1</v>
      </c>
      <c r="L4784" s="2">
        <v>216.08</v>
      </c>
      <c r="M4784" s="3">
        <v>0.2</v>
      </c>
      <c r="N4784" t="s">
        <v>34</v>
      </c>
      <c r="O4784" s="2">
        <v>172.86</v>
      </c>
      <c r="P4784" s="2">
        <v>170.3</v>
      </c>
      <c r="Q4784" s="2">
        <v>2.56</v>
      </c>
      <c r="R4784">
        <v>1</v>
      </c>
      <c r="S4784">
        <v>1</v>
      </c>
      <c r="T4784">
        <v>5</v>
      </c>
      <c r="U4784">
        <v>3</v>
      </c>
    </row>
    <row r="4785" spans="1:21" ht="16.5" x14ac:dyDescent="0.3">
      <c r="A4785" t="s">
        <v>4873</v>
      </c>
      <c r="B4785" s="1">
        <v>45973</v>
      </c>
      <c r="C4785">
        <v>2025</v>
      </c>
      <c r="D4785" t="s">
        <v>1738</v>
      </c>
      <c r="E4785" t="s">
        <v>1959</v>
      </c>
      <c r="F4785" t="s">
        <v>24</v>
      </c>
      <c r="G4785" t="s">
        <v>51</v>
      </c>
      <c r="H4785" t="s">
        <v>32</v>
      </c>
      <c r="I4785" t="s">
        <v>42</v>
      </c>
      <c r="J4785" t="s">
        <v>43</v>
      </c>
      <c r="K4785">
        <v>1</v>
      </c>
      <c r="L4785" s="2">
        <v>154.66</v>
      </c>
      <c r="M4785" s="3">
        <v>0.05</v>
      </c>
      <c r="N4785" t="s">
        <v>29</v>
      </c>
      <c r="O4785" s="2">
        <v>146.93</v>
      </c>
      <c r="P4785" s="2">
        <v>103.54</v>
      </c>
      <c r="Q4785" s="2">
        <v>43.39</v>
      </c>
      <c r="R4785">
        <v>1</v>
      </c>
      <c r="S4785">
        <v>0</v>
      </c>
      <c r="T4785">
        <v>4</v>
      </c>
      <c r="U4785">
        <v>5</v>
      </c>
    </row>
    <row r="4786" spans="1:21" ht="16.5" x14ac:dyDescent="0.3">
      <c r="A4786" t="s">
        <v>4874</v>
      </c>
      <c r="B4786" s="1">
        <v>45973</v>
      </c>
      <c r="C4786">
        <v>2025</v>
      </c>
      <c r="D4786" t="s">
        <v>1738</v>
      </c>
      <c r="E4786" t="s">
        <v>1959</v>
      </c>
      <c r="F4786" t="s">
        <v>45</v>
      </c>
      <c r="G4786" t="s">
        <v>46</v>
      </c>
      <c r="H4786" t="s">
        <v>26</v>
      </c>
      <c r="I4786" t="s">
        <v>42</v>
      </c>
      <c r="J4786" t="s">
        <v>89</v>
      </c>
      <c r="K4786">
        <v>2</v>
      </c>
      <c r="L4786" s="2">
        <v>68.349999999999994</v>
      </c>
      <c r="M4786" s="3">
        <v>0.15</v>
      </c>
      <c r="N4786" t="s">
        <v>34</v>
      </c>
      <c r="O4786" s="2">
        <v>116.2</v>
      </c>
      <c r="P4786" s="2">
        <v>91.02</v>
      </c>
      <c r="Q4786" s="2">
        <v>25.18</v>
      </c>
      <c r="R4786">
        <v>1</v>
      </c>
      <c r="S4786">
        <v>0</v>
      </c>
      <c r="T4786">
        <v>6</v>
      </c>
      <c r="U4786">
        <v>5</v>
      </c>
    </row>
    <row r="4787" spans="1:21" ht="16.5" x14ac:dyDescent="0.3">
      <c r="A4787" t="s">
        <v>4875</v>
      </c>
      <c r="B4787" s="1">
        <v>45973</v>
      </c>
      <c r="C4787">
        <v>2025</v>
      </c>
      <c r="D4787" t="s">
        <v>1738</v>
      </c>
      <c r="E4787" t="s">
        <v>1959</v>
      </c>
      <c r="F4787" t="s">
        <v>31</v>
      </c>
      <c r="G4787" t="s">
        <v>51</v>
      </c>
      <c r="H4787" t="s">
        <v>32</v>
      </c>
      <c r="I4787" t="s">
        <v>27</v>
      </c>
      <c r="J4787" t="s">
        <v>28</v>
      </c>
      <c r="K4787">
        <v>1</v>
      </c>
      <c r="L4787" s="2">
        <v>138.5</v>
      </c>
      <c r="M4787" s="3">
        <v>0.25</v>
      </c>
      <c r="N4787" t="s">
        <v>62</v>
      </c>
      <c r="O4787" s="2">
        <v>103.88</v>
      </c>
      <c r="P4787" s="2">
        <v>75.56</v>
      </c>
      <c r="Q4787" s="2">
        <v>28.32</v>
      </c>
      <c r="R4787">
        <v>1</v>
      </c>
      <c r="S4787">
        <v>0</v>
      </c>
      <c r="T4787">
        <v>3</v>
      </c>
      <c r="U4787">
        <v>4</v>
      </c>
    </row>
    <row r="4788" spans="1:21" ht="16.5" x14ac:dyDescent="0.3">
      <c r="A4788" t="s">
        <v>4876</v>
      </c>
      <c r="B4788" s="1">
        <v>45973</v>
      </c>
      <c r="C4788">
        <v>2025</v>
      </c>
      <c r="D4788" t="s">
        <v>1738</v>
      </c>
      <c r="E4788" t="s">
        <v>1959</v>
      </c>
      <c r="F4788" t="s">
        <v>31</v>
      </c>
      <c r="G4788" t="s">
        <v>49</v>
      </c>
      <c r="H4788" t="s">
        <v>26</v>
      </c>
      <c r="I4788" t="s">
        <v>27</v>
      </c>
      <c r="J4788" t="s">
        <v>110</v>
      </c>
      <c r="K4788">
        <v>2</v>
      </c>
      <c r="L4788" s="2">
        <v>19.41</v>
      </c>
      <c r="M4788" s="3">
        <v>0</v>
      </c>
      <c r="N4788" t="s">
        <v>38</v>
      </c>
      <c r="O4788" s="2">
        <v>38.82</v>
      </c>
      <c r="P4788" s="2">
        <v>21.22</v>
      </c>
      <c r="Q4788" s="2">
        <v>17.600000000000001</v>
      </c>
      <c r="R4788">
        <v>1</v>
      </c>
      <c r="S4788">
        <v>0</v>
      </c>
      <c r="T4788">
        <v>4</v>
      </c>
      <c r="U4788">
        <v>5</v>
      </c>
    </row>
    <row r="4789" spans="1:21" ht="16.5" x14ac:dyDescent="0.3">
      <c r="A4789" t="s">
        <v>4877</v>
      </c>
      <c r="B4789" s="1">
        <v>45973</v>
      </c>
      <c r="C4789">
        <v>2025</v>
      </c>
      <c r="D4789" t="s">
        <v>1738</v>
      </c>
      <c r="E4789" t="s">
        <v>1959</v>
      </c>
      <c r="F4789" t="s">
        <v>45</v>
      </c>
      <c r="G4789" t="s">
        <v>65</v>
      </c>
      <c r="H4789" t="s">
        <v>26</v>
      </c>
      <c r="I4789" t="s">
        <v>36</v>
      </c>
      <c r="J4789" t="s">
        <v>115</v>
      </c>
      <c r="K4789">
        <v>1</v>
      </c>
      <c r="L4789" s="2">
        <v>33.479999999999997</v>
      </c>
      <c r="M4789" s="3">
        <v>0.05</v>
      </c>
      <c r="N4789" t="s">
        <v>29</v>
      </c>
      <c r="O4789" s="2">
        <v>31.81</v>
      </c>
      <c r="P4789" s="2">
        <v>16.7</v>
      </c>
      <c r="Q4789" s="2">
        <v>15.11</v>
      </c>
      <c r="R4789">
        <v>1</v>
      </c>
      <c r="S4789">
        <v>0</v>
      </c>
      <c r="T4789">
        <v>7</v>
      </c>
      <c r="U4789">
        <v>3</v>
      </c>
    </row>
    <row r="4790" spans="1:21" ht="16.5" x14ac:dyDescent="0.3">
      <c r="A4790" t="s">
        <v>4878</v>
      </c>
      <c r="B4790" s="1">
        <v>45973</v>
      </c>
      <c r="C4790">
        <v>2025</v>
      </c>
      <c r="D4790" t="s">
        <v>1738</v>
      </c>
      <c r="E4790" t="s">
        <v>1959</v>
      </c>
      <c r="F4790" t="s">
        <v>24</v>
      </c>
      <c r="G4790" t="s">
        <v>51</v>
      </c>
      <c r="H4790" t="s">
        <v>26</v>
      </c>
      <c r="I4790" t="s">
        <v>27</v>
      </c>
      <c r="J4790" t="s">
        <v>110</v>
      </c>
      <c r="K4790">
        <v>1</v>
      </c>
      <c r="L4790" s="2">
        <v>19.41</v>
      </c>
      <c r="M4790" s="3">
        <v>0.2</v>
      </c>
      <c r="N4790" t="s">
        <v>34</v>
      </c>
      <c r="O4790" s="2">
        <v>15.53</v>
      </c>
      <c r="P4790" s="2">
        <v>10.96</v>
      </c>
      <c r="Q4790" s="2">
        <v>4.57</v>
      </c>
      <c r="R4790">
        <v>1</v>
      </c>
      <c r="S4790">
        <v>0</v>
      </c>
      <c r="T4790">
        <v>3</v>
      </c>
      <c r="U4790">
        <v>4</v>
      </c>
    </row>
    <row r="4791" spans="1:21" ht="16.5" x14ac:dyDescent="0.3">
      <c r="A4791" t="s">
        <v>4879</v>
      </c>
      <c r="B4791" s="1">
        <v>45973</v>
      </c>
      <c r="C4791">
        <v>2025</v>
      </c>
      <c r="D4791" t="s">
        <v>1738</v>
      </c>
      <c r="E4791" t="s">
        <v>1959</v>
      </c>
      <c r="F4791" t="s">
        <v>31</v>
      </c>
      <c r="G4791" t="s">
        <v>51</v>
      </c>
      <c r="H4791" t="s">
        <v>26</v>
      </c>
      <c r="I4791" t="s">
        <v>42</v>
      </c>
      <c r="J4791" t="s">
        <v>43</v>
      </c>
      <c r="K4791">
        <v>2</v>
      </c>
      <c r="L4791" s="2">
        <v>154.66</v>
      </c>
      <c r="M4791" s="3">
        <v>0.25</v>
      </c>
      <c r="N4791" t="s">
        <v>62</v>
      </c>
      <c r="O4791" s="2">
        <v>231.99</v>
      </c>
      <c r="P4791" s="2">
        <v>204.55</v>
      </c>
      <c r="Q4791" s="2">
        <v>27.44</v>
      </c>
      <c r="R4791">
        <v>1</v>
      </c>
      <c r="S4791">
        <v>0</v>
      </c>
      <c r="T4791">
        <v>4</v>
      </c>
      <c r="U4791">
        <v>4</v>
      </c>
    </row>
    <row r="4792" spans="1:21" ht="16.5" x14ac:dyDescent="0.3">
      <c r="A4792" t="s">
        <v>4880</v>
      </c>
      <c r="B4792" s="1">
        <v>45973</v>
      </c>
      <c r="C4792">
        <v>2025</v>
      </c>
      <c r="D4792" t="s">
        <v>1738</v>
      </c>
      <c r="E4792" t="s">
        <v>1959</v>
      </c>
      <c r="F4792" t="s">
        <v>24</v>
      </c>
      <c r="G4792" t="s">
        <v>51</v>
      </c>
      <c r="H4792" t="s">
        <v>26</v>
      </c>
      <c r="I4792" t="s">
        <v>27</v>
      </c>
      <c r="J4792" t="s">
        <v>28</v>
      </c>
      <c r="K4792">
        <v>4</v>
      </c>
      <c r="L4792" s="2">
        <v>138.5</v>
      </c>
      <c r="M4792" s="3">
        <v>0.25</v>
      </c>
      <c r="N4792" t="s">
        <v>62</v>
      </c>
      <c r="O4792" s="2">
        <v>415.5</v>
      </c>
      <c r="P4792" s="2">
        <v>300.99</v>
      </c>
      <c r="Q4792" s="2">
        <v>114.51</v>
      </c>
      <c r="R4792">
        <v>1</v>
      </c>
      <c r="S4792">
        <v>0</v>
      </c>
      <c r="T4792">
        <v>4</v>
      </c>
      <c r="U4792">
        <v>5</v>
      </c>
    </row>
    <row r="4793" spans="1:21" ht="16.5" x14ac:dyDescent="0.3">
      <c r="A4793" t="s">
        <v>4881</v>
      </c>
      <c r="B4793" s="1">
        <v>45974</v>
      </c>
      <c r="C4793">
        <v>2025</v>
      </c>
      <c r="D4793" t="s">
        <v>1738</v>
      </c>
      <c r="E4793" t="s">
        <v>1959</v>
      </c>
      <c r="F4793" t="s">
        <v>31</v>
      </c>
      <c r="G4793" t="s">
        <v>25</v>
      </c>
      <c r="H4793" t="s">
        <v>32</v>
      </c>
      <c r="I4793" t="s">
        <v>42</v>
      </c>
      <c r="J4793" t="s">
        <v>54</v>
      </c>
      <c r="K4793">
        <v>1</v>
      </c>
      <c r="L4793" s="2">
        <v>148.05000000000001</v>
      </c>
      <c r="M4793" s="3">
        <v>0.3</v>
      </c>
      <c r="N4793" t="s">
        <v>62</v>
      </c>
      <c r="O4793" s="2">
        <v>103.64</v>
      </c>
      <c r="P4793" s="2">
        <v>95.21</v>
      </c>
      <c r="Q4793" s="2">
        <v>8.43</v>
      </c>
      <c r="R4793">
        <v>1</v>
      </c>
      <c r="S4793">
        <v>0</v>
      </c>
      <c r="T4793">
        <v>5</v>
      </c>
      <c r="U4793">
        <v>4</v>
      </c>
    </row>
    <row r="4794" spans="1:21" ht="16.5" x14ac:dyDescent="0.3">
      <c r="A4794" t="s">
        <v>4882</v>
      </c>
      <c r="B4794" s="1">
        <v>45974</v>
      </c>
      <c r="C4794">
        <v>2025</v>
      </c>
      <c r="D4794" t="s">
        <v>1738</v>
      </c>
      <c r="E4794" t="s">
        <v>1959</v>
      </c>
      <c r="F4794" t="s">
        <v>31</v>
      </c>
      <c r="G4794" t="s">
        <v>25</v>
      </c>
      <c r="H4794" t="s">
        <v>32</v>
      </c>
      <c r="I4794" t="s">
        <v>67</v>
      </c>
      <c r="J4794" t="s">
        <v>68</v>
      </c>
      <c r="K4794">
        <v>1</v>
      </c>
      <c r="L4794" s="2">
        <v>74.459999999999994</v>
      </c>
      <c r="M4794" s="3">
        <v>0.05</v>
      </c>
      <c r="N4794" t="s">
        <v>29</v>
      </c>
      <c r="O4794" s="2">
        <v>70.739999999999995</v>
      </c>
      <c r="P4794" s="2">
        <v>49.09</v>
      </c>
      <c r="Q4794" s="2">
        <v>21.65</v>
      </c>
      <c r="R4794">
        <v>1</v>
      </c>
      <c r="S4794">
        <v>0</v>
      </c>
      <c r="T4794">
        <v>5</v>
      </c>
      <c r="U4794">
        <v>5</v>
      </c>
    </row>
    <row r="4795" spans="1:21" ht="16.5" x14ac:dyDescent="0.3">
      <c r="A4795" t="s">
        <v>4883</v>
      </c>
      <c r="B4795" s="1">
        <v>45974</v>
      </c>
      <c r="C4795">
        <v>2025</v>
      </c>
      <c r="D4795" t="s">
        <v>1738</v>
      </c>
      <c r="E4795" t="s">
        <v>1959</v>
      </c>
      <c r="F4795" t="s">
        <v>24</v>
      </c>
      <c r="G4795" t="s">
        <v>51</v>
      </c>
      <c r="H4795" t="s">
        <v>32</v>
      </c>
      <c r="I4795" t="s">
        <v>27</v>
      </c>
      <c r="J4795" t="s">
        <v>110</v>
      </c>
      <c r="K4795">
        <v>1</v>
      </c>
      <c r="L4795" s="2">
        <v>19.41</v>
      </c>
      <c r="M4795" s="3">
        <v>0.15</v>
      </c>
      <c r="N4795" t="s">
        <v>34</v>
      </c>
      <c r="O4795" s="2">
        <v>16.5</v>
      </c>
      <c r="P4795" s="2">
        <v>10.31</v>
      </c>
      <c r="Q4795" s="2">
        <v>6.19</v>
      </c>
      <c r="R4795">
        <v>1</v>
      </c>
      <c r="S4795">
        <v>0</v>
      </c>
      <c r="T4795">
        <v>4</v>
      </c>
      <c r="U4795">
        <v>5</v>
      </c>
    </row>
    <row r="4796" spans="1:21" ht="16.5" x14ac:dyDescent="0.3">
      <c r="A4796" t="s">
        <v>4884</v>
      </c>
      <c r="B4796" s="1">
        <v>45974</v>
      </c>
      <c r="C4796">
        <v>2025</v>
      </c>
      <c r="D4796" t="s">
        <v>1738</v>
      </c>
      <c r="E4796" t="s">
        <v>1959</v>
      </c>
      <c r="F4796" t="s">
        <v>24</v>
      </c>
      <c r="G4796" t="s">
        <v>25</v>
      </c>
      <c r="H4796" t="s">
        <v>26</v>
      </c>
      <c r="I4796" t="s">
        <v>36</v>
      </c>
      <c r="J4796" t="s">
        <v>37</v>
      </c>
      <c r="K4796">
        <v>1</v>
      </c>
      <c r="L4796" s="2">
        <v>33.18</v>
      </c>
      <c r="M4796" s="3">
        <v>0.3</v>
      </c>
      <c r="N4796" t="s">
        <v>62</v>
      </c>
      <c r="O4796" s="2">
        <v>23.23</v>
      </c>
      <c r="P4796" s="2">
        <v>16.03</v>
      </c>
      <c r="Q4796" s="2">
        <v>7.2</v>
      </c>
      <c r="R4796">
        <v>1</v>
      </c>
      <c r="S4796">
        <v>0</v>
      </c>
      <c r="T4796">
        <v>5</v>
      </c>
      <c r="U4796">
        <v>4</v>
      </c>
    </row>
    <row r="4797" spans="1:21" ht="16.5" x14ac:dyDescent="0.3">
      <c r="A4797" t="s">
        <v>4885</v>
      </c>
      <c r="B4797" s="1">
        <v>45974</v>
      </c>
      <c r="C4797">
        <v>2025</v>
      </c>
      <c r="D4797" t="s">
        <v>1738</v>
      </c>
      <c r="E4797" t="s">
        <v>1959</v>
      </c>
      <c r="F4797" t="s">
        <v>24</v>
      </c>
      <c r="G4797" t="s">
        <v>49</v>
      </c>
      <c r="H4797" t="s">
        <v>26</v>
      </c>
      <c r="I4797" t="s">
        <v>84</v>
      </c>
      <c r="J4797" t="s">
        <v>106</v>
      </c>
      <c r="K4797">
        <v>1</v>
      </c>
      <c r="L4797" s="2">
        <v>45.28</v>
      </c>
      <c r="M4797" s="3">
        <v>0</v>
      </c>
      <c r="N4797" t="s">
        <v>38</v>
      </c>
      <c r="O4797" s="2">
        <v>45.28</v>
      </c>
      <c r="P4797" s="2">
        <v>32.42</v>
      </c>
      <c r="Q4797" s="2">
        <v>12.86</v>
      </c>
      <c r="R4797">
        <v>1</v>
      </c>
      <c r="S4797">
        <v>0</v>
      </c>
      <c r="T4797">
        <v>5</v>
      </c>
      <c r="U4797">
        <v>3</v>
      </c>
    </row>
    <row r="4798" spans="1:21" ht="16.5" x14ac:dyDescent="0.3">
      <c r="A4798" t="s">
        <v>4886</v>
      </c>
      <c r="B4798" s="1">
        <v>45974</v>
      </c>
      <c r="C4798">
        <v>2025</v>
      </c>
      <c r="D4798" t="s">
        <v>1738</v>
      </c>
      <c r="E4798" t="s">
        <v>1959</v>
      </c>
      <c r="F4798" t="s">
        <v>45</v>
      </c>
      <c r="G4798" t="s">
        <v>51</v>
      </c>
      <c r="H4798" t="s">
        <v>26</v>
      </c>
      <c r="I4798" t="s">
        <v>67</v>
      </c>
      <c r="J4798" t="s">
        <v>174</v>
      </c>
      <c r="K4798">
        <v>2</v>
      </c>
      <c r="L4798" s="2">
        <v>137.05000000000001</v>
      </c>
      <c r="M4798" s="3">
        <v>0.15</v>
      </c>
      <c r="N4798" t="s">
        <v>34</v>
      </c>
      <c r="O4798" s="2">
        <v>232.98</v>
      </c>
      <c r="P4798" s="2">
        <v>179.41</v>
      </c>
      <c r="Q4798" s="2">
        <v>53.57</v>
      </c>
      <c r="R4798">
        <v>1</v>
      </c>
      <c r="S4798">
        <v>0</v>
      </c>
      <c r="T4798">
        <v>5</v>
      </c>
      <c r="U4798">
        <v>4</v>
      </c>
    </row>
    <row r="4799" spans="1:21" ht="16.5" x14ac:dyDescent="0.3">
      <c r="A4799" t="s">
        <v>4887</v>
      </c>
      <c r="B4799" s="1">
        <v>45974</v>
      </c>
      <c r="C4799">
        <v>2025</v>
      </c>
      <c r="D4799" t="s">
        <v>1738</v>
      </c>
      <c r="E4799" t="s">
        <v>1959</v>
      </c>
      <c r="F4799" t="s">
        <v>24</v>
      </c>
      <c r="G4799" t="s">
        <v>65</v>
      </c>
      <c r="H4799" t="s">
        <v>26</v>
      </c>
      <c r="I4799" t="s">
        <v>70</v>
      </c>
      <c r="J4799" t="s">
        <v>87</v>
      </c>
      <c r="K4799">
        <v>1</v>
      </c>
      <c r="L4799" s="2">
        <v>490.3</v>
      </c>
      <c r="M4799" s="3">
        <v>0.25</v>
      </c>
      <c r="N4799" t="s">
        <v>62</v>
      </c>
      <c r="O4799" s="2">
        <v>367.72</v>
      </c>
      <c r="P4799" s="2">
        <v>373</v>
      </c>
      <c r="Q4799" s="2">
        <v>-5.28</v>
      </c>
      <c r="R4799">
        <v>1</v>
      </c>
      <c r="S4799">
        <v>0</v>
      </c>
      <c r="T4799">
        <v>6</v>
      </c>
      <c r="U4799">
        <v>3</v>
      </c>
    </row>
    <row r="4800" spans="1:21" ht="16.5" x14ac:dyDescent="0.3">
      <c r="A4800" t="s">
        <v>4888</v>
      </c>
      <c r="B4800" s="1">
        <v>45974</v>
      </c>
      <c r="C4800">
        <v>2025</v>
      </c>
      <c r="D4800" t="s">
        <v>1738</v>
      </c>
      <c r="E4800" t="s">
        <v>1959</v>
      </c>
      <c r="F4800" t="s">
        <v>24</v>
      </c>
      <c r="G4800" t="s">
        <v>49</v>
      </c>
      <c r="H4800" t="s">
        <v>32</v>
      </c>
      <c r="I4800" t="s">
        <v>27</v>
      </c>
      <c r="J4800" t="s">
        <v>47</v>
      </c>
      <c r="K4800">
        <v>1</v>
      </c>
      <c r="L4800" s="2">
        <v>33.99</v>
      </c>
      <c r="M4800" s="3">
        <v>0.2</v>
      </c>
      <c r="N4800" t="s">
        <v>34</v>
      </c>
      <c r="O4800" s="2">
        <v>27.19</v>
      </c>
      <c r="P4800" s="2">
        <v>18.88</v>
      </c>
      <c r="Q4800" s="2">
        <v>8.31</v>
      </c>
      <c r="R4800">
        <v>1</v>
      </c>
      <c r="S4800">
        <v>1</v>
      </c>
      <c r="T4800">
        <v>4</v>
      </c>
      <c r="U4800">
        <v>4</v>
      </c>
    </row>
    <row r="4801" spans="1:21" ht="16.5" x14ac:dyDescent="0.3">
      <c r="A4801" t="s">
        <v>4889</v>
      </c>
      <c r="B4801" s="1">
        <v>45974</v>
      </c>
      <c r="C4801">
        <v>2025</v>
      </c>
      <c r="D4801" t="s">
        <v>1738</v>
      </c>
      <c r="E4801" t="s">
        <v>1959</v>
      </c>
      <c r="F4801" t="s">
        <v>31</v>
      </c>
      <c r="G4801" t="s">
        <v>65</v>
      </c>
      <c r="H4801" t="s">
        <v>26</v>
      </c>
      <c r="I4801" t="s">
        <v>70</v>
      </c>
      <c r="J4801" t="s">
        <v>129</v>
      </c>
      <c r="K4801">
        <v>1</v>
      </c>
      <c r="L4801" s="2">
        <v>177.65</v>
      </c>
      <c r="M4801" s="3">
        <v>0.15</v>
      </c>
      <c r="N4801" t="s">
        <v>34</v>
      </c>
      <c r="O4801" s="2">
        <v>151</v>
      </c>
      <c r="P4801" s="2">
        <v>140.5</v>
      </c>
      <c r="Q4801" s="2">
        <v>10.5</v>
      </c>
      <c r="R4801">
        <v>1</v>
      </c>
      <c r="S4801">
        <v>0</v>
      </c>
      <c r="T4801">
        <v>8</v>
      </c>
      <c r="U4801">
        <v>4</v>
      </c>
    </row>
    <row r="4802" spans="1:21" ht="16.5" x14ac:dyDescent="0.3">
      <c r="A4802" t="s">
        <v>4890</v>
      </c>
      <c r="B4802" s="1">
        <v>45974</v>
      </c>
      <c r="C4802">
        <v>2025</v>
      </c>
      <c r="D4802" t="s">
        <v>1738</v>
      </c>
      <c r="E4802" t="s">
        <v>1959</v>
      </c>
      <c r="F4802" t="s">
        <v>31</v>
      </c>
      <c r="G4802" t="s">
        <v>25</v>
      </c>
      <c r="H4802" t="s">
        <v>32</v>
      </c>
      <c r="I4802" t="s">
        <v>36</v>
      </c>
      <c r="J4802" t="s">
        <v>56</v>
      </c>
      <c r="K4802">
        <v>4</v>
      </c>
      <c r="L4802" s="2">
        <v>74.3</v>
      </c>
      <c r="M4802" s="3">
        <v>0.05</v>
      </c>
      <c r="N4802" t="s">
        <v>29</v>
      </c>
      <c r="O4802" s="2">
        <v>282.33999999999997</v>
      </c>
      <c r="P4802" s="2">
        <v>143.69</v>
      </c>
      <c r="Q4802" s="2">
        <v>138.65</v>
      </c>
      <c r="R4802">
        <v>1</v>
      </c>
      <c r="S4802">
        <v>0</v>
      </c>
      <c r="T4802">
        <v>7</v>
      </c>
      <c r="U4802">
        <v>3</v>
      </c>
    </row>
    <row r="4803" spans="1:21" ht="16.5" x14ac:dyDescent="0.3">
      <c r="A4803" t="s">
        <v>4891</v>
      </c>
      <c r="B4803" s="1">
        <v>45974</v>
      </c>
      <c r="C4803">
        <v>2025</v>
      </c>
      <c r="D4803" t="s">
        <v>1738</v>
      </c>
      <c r="E4803" t="s">
        <v>1959</v>
      </c>
      <c r="F4803" t="s">
        <v>24</v>
      </c>
      <c r="G4803" t="s">
        <v>49</v>
      </c>
      <c r="H4803" t="s">
        <v>32</v>
      </c>
      <c r="I4803" t="s">
        <v>36</v>
      </c>
      <c r="J4803" t="s">
        <v>126</v>
      </c>
      <c r="K4803">
        <v>2</v>
      </c>
      <c r="L4803" s="2">
        <v>54.56</v>
      </c>
      <c r="M4803" s="3">
        <v>0.2</v>
      </c>
      <c r="N4803" t="s">
        <v>34</v>
      </c>
      <c r="O4803" s="2">
        <v>87.3</v>
      </c>
      <c r="P4803" s="2">
        <v>49.02</v>
      </c>
      <c r="Q4803" s="2">
        <v>38.28</v>
      </c>
      <c r="R4803">
        <v>1</v>
      </c>
      <c r="S4803">
        <v>0</v>
      </c>
      <c r="T4803">
        <v>6</v>
      </c>
      <c r="U4803">
        <v>3</v>
      </c>
    </row>
    <row r="4804" spans="1:21" ht="16.5" x14ac:dyDescent="0.3">
      <c r="A4804" t="s">
        <v>4892</v>
      </c>
      <c r="B4804" s="1">
        <v>45975</v>
      </c>
      <c r="C4804">
        <v>2025</v>
      </c>
      <c r="D4804" t="s">
        <v>1738</v>
      </c>
      <c r="E4804" t="s">
        <v>1959</v>
      </c>
      <c r="F4804" t="s">
        <v>24</v>
      </c>
      <c r="G4804" t="s">
        <v>46</v>
      </c>
      <c r="H4804" t="s">
        <v>32</v>
      </c>
      <c r="I4804" t="s">
        <v>70</v>
      </c>
      <c r="J4804" t="s">
        <v>162</v>
      </c>
      <c r="K4804">
        <v>1</v>
      </c>
      <c r="L4804" s="2">
        <v>636.09</v>
      </c>
      <c r="M4804" s="3">
        <v>0.3</v>
      </c>
      <c r="N4804" t="s">
        <v>62</v>
      </c>
      <c r="O4804" s="2">
        <v>445.26</v>
      </c>
      <c r="P4804" s="2">
        <v>542.9</v>
      </c>
      <c r="Q4804" s="2">
        <v>-97.64</v>
      </c>
      <c r="R4804">
        <v>1</v>
      </c>
      <c r="S4804">
        <v>0</v>
      </c>
      <c r="T4804">
        <v>6</v>
      </c>
      <c r="U4804">
        <v>4</v>
      </c>
    </row>
    <row r="4805" spans="1:21" ht="16.5" x14ac:dyDescent="0.3">
      <c r="A4805" t="s">
        <v>4893</v>
      </c>
      <c r="B4805" s="1">
        <v>45975</v>
      </c>
      <c r="C4805">
        <v>2025</v>
      </c>
      <c r="D4805" t="s">
        <v>1738</v>
      </c>
      <c r="E4805" t="s">
        <v>1959</v>
      </c>
      <c r="F4805" t="s">
        <v>31</v>
      </c>
      <c r="G4805" t="s">
        <v>51</v>
      </c>
      <c r="H4805" t="s">
        <v>32</v>
      </c>
      <c r="I4805" t="s">
        <v>67</v>
      </c>
      <c r="J4805" t="s">
        <v>68</v>
      </c>
      <c r="K4805">
        <v>2</v>
      </c>
      <c r="L4805" s="2">
        <v>74.459999999999994</v>
      </c>
      <c r="M4805" s="3">
        <v>0.25</v>
      </c>
      <c r="N4805" t="s">
        <v>62</v>
      </c>
      <c r="O4805" s="2">
        <v>111.69</v>
      </c>
      <c r="P4805" s="2">
        <v>97.11</v>
      </c>
      <c r="Q4805" s="2">
        <v>14.58</v>
      </c>
      <c r="R4805">
        <v>1</v>
      </c>
      <c r="S4805">
        <v>0</v>
      </c>
      <c r="T4805">
        <v>4</v>
      </c>
      <c r="U4805">
        <v>5</v>
      </c>
    </row>
    <row r="4806" spans="1:21" ht="16.5" x14ac:dyDescent="0.3">
      <c r="A4806" t="s">
        <v>4894</v>
      </c>
      <c r="B4806" s="1">
        <v>45975</v>
      </c>
      <c r="C4806">
        <v>2025</v>
      </c>
      <c r="D4806" t="s">
        <v>1738</v>
      </c>
      <c r="E4806" t="s">
        <v>1959</v>
      </c>
      <c r="F4806" t="s">
        <v>31</v>
      </c>
      <c r="G4806" t="s">
        <v>51</v>
      </c>
      <c r="H4806" t="s">
        <v>32</v>
      </c>
      <c r="I4806" t="s">
        <v>36</v>
      </c>
      <c r="J4806" t="s">
        <v>126</v>
      </c>
      <c r="K4806">
        <v>2</v>
      </c>
      <c r="L4806" s="2">
        <v>54.56</v>
      </c>
      <c r="M4806" s="3">
        <v>0.15</v>
      </c>
      <c r="N4806" t="s">
        <v>34</v>
      </c>
      <c r="O4806" s="2">
        <v>92.75</v>
      </c>
      <c r="P4806" s="2">
        <v>50.5</v>
      </c>
      <c r="Q4806" s="2">
        <v>42.25</v>
      </c>
      <c r="R4806">
        <v>1</v>
      </c>
      <c r="S4806">
        <v>0</v>
      </c>
      <c r="T4806">
        <v>4</v>
      </c>
      <c r="U4806">
        <v>5</v>
      </c>
    </row>
    <row r="4807" spans="1:21" ht="16.5" x14ac:dyDescent="0.3">
      <c r="A4807" t="s">
        <v>4895</v>
      </c>
      <c r="B4807" s="1">
        <v>45975</v>
      </c>
      <c r="C4807">
        <v>2025</v>
      </c>
      <c r="D4807" t="s">
        <v>1738</v>
      </c>
      <c r="E4807" t="s">
        <v>1959</v>
      </c>
      <c r="F4807" t="s">
        <v>31</v>
      </c>
      <c r="G4807" t="s">
        <v>49</v>
      </c>
      <c r="H4807" t="s">
        <v>26</v>
      </c>
      <c r="I4807" t="s">
        <v>42</v>
      </c>
      <c r="J4807" t="s">
        <v>89</v>
      </c>
      <c r="K4807">
        <v>1</v>
      </c>
      <c r="L4807" s="2">
        <v>68.349999999999994</v>
      </c>
      <c r="M4807" s="3">
        <v>0.25</v>
      </c>
      <c r="N4807" t="s">
        <v>62</v>
      </c>
      <c r="O4807" s="2">
        <v>51.26</v>
      </c>
      <c r="P4807" s="2">
        <v>43.33</v>
      </c>
      <c r="Q4807" s="2">
        <v>7.93</v>
      </c>
      <c r="R4807">
        <v>1</v>
      </c>
      <c r="S4807">
        <v>0</v>
      </c>
      <c r="T4807">
        <v>5</v>
      </c>
      <c r="U4807">
        <v>4</v>
      </c>
    </row>
    <row r="4808" spans="1:21" ht="16.5" x14ac:dyDescent="0.3">
      <c r="A4808" t="s">
        <v>4896</v>
      </c>
      <c r="B4808" s="1">
        <v>45975</v>
      </c>
      <c r="C4808">
        <v>2025</v>
      </c>
      <c r="D4808" t="s">
        <v>1738</v>
      </c>
      <c r="E4808" t="s">
        <v>1959</v>
      </c>
      <c r="F4808" t="s">
        <v>24</v>
      </c>
      <c r="G4808" t="s">
        <v>65</v>
      </c>
      <c r="H4808" t="s">
        <v>32</v>
      </c>
      <c r="I4808" t="s">
        <v>27</v>
      </c>
      <c r="J4808" t="s">
        <v>40</v>
      </c>
      <c r="K4808">
        <v>3</v>
      </c>
      <c r="L4808" s="2">
        <v>104.94</v>
      </c>
      <c r="M4808" s="3">
        <v>0.25</v>
      </c>
      <c r="N4808" t="s">
        <v>62</v>
      </c>
      <c r="O4808" s="2">
        <v>236.12</v>
      </c>
      <c r="P4808" s="2">
        <v>175.96</v>
      </c>
      <c r="Q4808" s="2">
        <v>60.16</v>
      </c>
      <c r="R4808">
        <v>1</v>
      </c>
      <c r="S4808">
        <v>0</v>
      </c>
      <c r="T4808">
        <v>7</v>
      </c>
      <c r="U4808">
        <v>3</v>
      </c>
    </row>
    <row r="4809" spans="1:21" ht="16.5" x14ac:dyDescent="0.3">
      <c r="A4809" t="s">
        <v>4897</v>
      </c>
      <c r="B4809" s="1">
        <v>45975</v>
      </c>
      <c r="C4809">
        <v>2025</v>
      </c>
      <c r="D4809" t="s">
        <v>1738</v>
      </c>
      <c r="E4809" t="s">
        <v>1959</v>
      </c>
      <c r="F4809" t="s">
        <v>31</v>
      </c>
      <c r="G4809" t="s">
        <v>25</v>
      </c>
      <c r="H4809" t="s">
        <v>32</v>
      </c>
      <c r="I4809" t="s">
        <v>70</v>
      </c>
      <c r="J4809" t="s">
        <v>162</v>
      </c>
      <c r="K4809">
        <v>1</v>
      </c>
      <c r="L4809" s="2">
        <v>636.09</v>
      </c>
      <c r="M4809" s="3">
        <v>0.1</v>
      </c>
      <c r="N4809" t="s">
        <v>29</v>
      </c>
      <c r="O4809" s="2">
        <v>572.48</v>
      </c>
      <c r="P4809" s="2">
        <v>518.38</v>
      </c>
      <c r="Q4809" s="2">
        <v>54.1</v>
      </c>
      <c r="R4809">
        <v>1</v>
      </c>
      <c r="S4809">
        <v>0</v>
      </c>
      <c r="T4809">
        <v>6</v>
      </c>
      <c r="U4809">
        <v>3</v>
      </c>
    </row>
    <row r="4810" spans="1:21" ht="16.5" x14ac:dyDescent="0.3">
      <c r="A4810" t="s">
        <v>4898</v>
      </c>
      <c r="B4810" s="1">
        <v>45975</v>
      </c>
      <c r="C4810">
        <v>2025</v>
      </c>
      <c r="D4810" t="s">
        <v>1738</v>
      </c>
      <c r="E4810" t="s">
        <v>1959</v>
      </c>
      <c r="F4810" t="s">
        <v>24</v>
      </c>
      <c r="G4810" t="s">
        <v>25</v>
      </c>
      <c r="H4810" t="s">
        <v>32</v>
      </c>
      <c r="I4810" t="s">
        <v>42</v>
      </c>
      <c r="J4810" t="s">
        <v>58</v>
      </c>
      <c r="K4810">
        <v>1</v>
      </c>
      <c r="L4810" s="2">
        <v>233.81</v>
      </c>
      <c r="M4810" s="3">
        <v>0.15</v>
      </c>
      <c r="N4810" t="s">
        <v>34</v>
      </c>
      <c r="O4810" s="2">
        <v>198.74</v>
      </c>
      <c r="P4810" s="2">
        <v>154.81</v>
      </c>
      <c r="Q4810" s="2">
        <v>43.93</v>
      </c>
      <c r="R4810">
        <v>1</v>
      </c>
      <c r="S4810">
        <v>0</v>
      </c>
      <c r="T4810">
        <v>5</v>
      </c>
      <c r="U4810">
        <v>5</v>
      </c>
    </row>
    <row r="4811" spans="1:21" ht="16.5" x14ac:dyDescent="0.3">
      <c r="A4811" t="s">
        <v>4899</v>
      </c>
      <c r="B4811" s="1">
        <v>45975</v>
      </c>
      <c r="C4811">
        <v>2025</v>
      </c>
      <c r="D4811" t="s">
        <v>1738</v>
      </c>
      <c r="E4811" t="s">
        <v>1959</v>
      </c>
      <c r="F4811" t="s">
        <v>24</v>
      </c>
      <c r="G4811" t="s">
        <v>25</v>
      </c>
      <c r="H4811" t="s">
        <v>26</v>
      </c>
      <c r="I4811" t="s">
        <v>67</v>
      </c>
      <c r="J4811" t="s">
        <v>68</v>
      </c>
      <c r="K4811">
        <v>1</v>
      </c>
      <c r="L4811" s="2">
        <v>74.459999999999994</v>
      </c>
      <c r="M4811" s="3">
        <v>0.25</v>
      </c>
      <c r="N4811" t="s">
        <v>62</v>
      </c>
      <c r="O4811" s="2">
        <v>55.84</v>
      </c>
      <c r="P4811" s="2">
        <v>51.02</v>
      </c>
      <c r="Q4811" s="2">
        <v>4.82</v>
      </c>
      <c r="R4811">
        <v>1</v>
      </c>
      <c r="S4811">
        <v>0</v>
      </c>
      <c r="T4811">
        <v>5</v>
      </c>
      <c r="U4811">
        <v>5</v>
      </c>
    </row>
    <row r="4812" spans="1:21" ht="16.5" x14ac:dyDescent="0.3">
      <c r="A4812" t="s">
        <v>4900</v>
      </c>
      <c r="B4812" s="1">
        <v>45975</v>
      </c>
      <c r="C4812">
        <v>2025</v>
      </c>
      <c r="D4812" t="s">
        <v>1738</v>
      </c>
      <c r="E4812" t="s">
        <v>1959</v>
      </c>
      <c r="F4812" t="s">
        <v>45</v>
      </c>
      <c r="G4812" t="s">
        <v>25</v>
      </c>
      <c r="H4812" t="s">
        <v>32</v>
      </c>
      <c r="I4812" t="s">
        <v>27</v>
      </c>
      <c r="J4812" t="s">
        <v>40</v>
      </c>
      <c r="K4812">
        <v>4</v>
      </c>
      <c r="L4812" s="2">
        <v>104.94</v>
      </c>
      <c r="M4812" s="3">
        <v>0.15</v>
      </c>
      <c r="N4812" t="s">
        <v>34</v>
      </c>
      <c r="O4812" s="2">
        <v>356.8</v>
      </c>
      <c r="P4812" s="2">
        <v>214.68</v>
      </c>
      <c r="Q4812" s="2">
        <v>142.12</v>
      </c>
      <c r="R4812">
        <v>1</v>
      </c>
      <c r="S4812">
        <v>0</v>
      </c>
      <c r="T4812">
        <v>5</v>
      </c>
      <c r="U4812">
        <v>4</v>
      </c>
    </row>
    <row r="4813" spans="1:21" ht="16.5" x14ac:dyDescent="0.3">
      <c r="A4813" t="s">
        <v>4901</v>
      </c>
      <c r="B4813" s="1">
        <v>45975</v>
      </c>
      <c r="C4813">
        <v>2025</v>
      </c>
      <c r="D4813" t="s">
        <v>1738</v>
      </c>
      <c r="E4813" t="s">
        <v>1959</v>
      </c>
      <c r="F4813" t="s">
        <v>31</v>
      </c>
      <c r="G4813" t="s">
        <v>51</v>
      </c>
      <c r="H4813" t="s">
        <v>26</v>
      </c>
      <c r="I4813" t="s">
        <v>70</v>
      </c>
      <c r="J4813" t="s">
        <v>129</v>
      </c>
      <c r="K4813">
        <v>1</v>
      </c>
      <c r="L4813" s="2">
        <v>177.65</v>
      </c>
      <c r="M4813" s="3">
        <v>0.2</v>
      </c>
      <c r="N4813" t="s">
        <v>34</v>
      </c>
      <c r="O4813" s="2">
        <v>142.12</v>
      </c>
      <c r="P4813" s="2">
        <v>143.69999999999999</v>
      </c>
      <c r="Q4813" s="2">
        <v>-1.58</v>
      </c>
      <c r="R4813">
        <v>1</v>
      </c>
      <c r="S4813">
        <v>0</v>
      </c>
      <c r="T4813">
        <v>6</v>
      </c>
      <c r="U4813">
        <v>3</v>
      </c>
    </row>
    <row r="4814" spans="1:21" ht="16.5" x14ac:dyDescent="0.3">
      <c r="A4814" t="s">
        <v>4902</v>
      </c>
      <c r="B4814" s="1">
        <v>45975</v>
      </c>
      <c r="C4814">
        <v>2025</v>
      </c>
      <c r="D4814" t="s">
        <v>1738</v>
      </c>
      <c r="E4814" t="s">
        <v>1959</v>
      </c>
      <c r="F4814" t="s">
        <v>31</v>
      </c>
      <c r="G4814" t="s">
        <v>46</v>
      </c>
      <c r="H4814" t="s">
        <v>26</v>
      </c>
      <c r="I4814" t="s">
        <v>70</v>
      </c>
      <c r="J4814" t="s">
        <v>162</v>
      </c>
      <c r="K4814">
        <v>4</v>
      </c>
      <c r="L4814" s="2">
        <v>636.09</v>
      </c>
      <c r="M4814" s="3">
        <v>0.15</v>
      </c>
      <c r="N4814" t="s">
        <v>34</v>
      </c>
      <c r="O4814" s="2">
        <v>2162.71</v>
      </c>
      <c r="P4814" s="2">
        <v>2087.1999999999998</v>
      </c>
      <c r="Q4814" s="2">
        <v>75.510000000000005</v>
      </c>
      <c r="R4814">
        <v>1</v>
      </c>
      <c r="S4814">
        <v>0</v>
      </c>
      <c r="T4814">
        <v>9</v>
      </c>
      <c r="U4814">
        <v>4</v>
      </c>
    </row>
    <row r="4815" spans="1:21" ht="16.5" x14ac:dyDescent="0.3">
      <c r="A4815" t="s">
        <v>4903</v>
      </c>
      <c r="B4815" s="1">
        <v>45975</v>
      </c>
      <c r="C4815">
        <v>2025</v>
      </c>
      <c r="D4815" t="s">
        <v>1738</v>
      </c>
      <c r="E4815" t="s">
        <v>1959</v>
      </c>
      <c r="F4815" t="s">
        <v>31</v>
      </c>
      <c r="G4815" t="s">
        <v>25</v>
      </c>
      <c r="H4815" t="s">
        <v>32</v>
      </c>
      <c r="I4815" t="s">
        <v>67</v>
      </c>
      <c r="J4815" t="s">
        <v>68</v>
      </c>
      <c r="K4815">
        <v>2</v>
      </c>
      <c r="L4815" s="2">
        <v>74.459999999999994</v>
      </c>
      <c r="M4815" s="3">
        <v>0.2</v>
      </c>
      <c r="N4815" t="s">
        <v>34</v>
      </c>
      <c r="O4815" s="2">
        <v>119.14</v>
      </c>
      <c r="P4815" s="2">
        <v>95.39</v>
      </c>
      <c r="Q4815" s="2">
        <v>23.75</v>
      </c>
      <c r="R4815">
        <v>1</v>
      </c>
      <c r="S4815">
        <v>0</v>
      </c>
      <c r="T4815">
        <v>5</v>
      </c>
      <c r="U4815">
        <v>5</v>
      </c>
    </row>
    <row r="4816" spans="1:21" ht="16.5" x14ac:dyDescent="0.3">
      <c r="A4816" t="s">
        <v>4904</v>
      </c>
      <c r="B4816" s="1">
        <v>45975</v>
      </c>
      <c r="C4816">
        <v>2025</v>
      </c>
      <c r="D4816" t="s">
        <v>1738</v>
      </c>
      <c r="E4816" t="s">
        <v>1959</v>
      </c>
      <c r="F4816" t="s">
        <v>45</v>
      </c>
      <c r="G4816" t="s">
        <v>25</v>
      </c>
      <c r="H4816" t="s">
        <v>32</v>
      </c>
      <c r="I4816" t="s">
        <v>27</v>
      </c>
      <c r="J4816" t="s">
        <v>40</v>
      </c>
      <c r="K4816">
        <v>1</v>
      </c>
      <c r="L4816" s="2">
        <v>104.94</v>
      </c>
      <c r="M4816" s="3">
        <v>0.2</v>
      </c>
      <c r="N4816" t="s">
        <v>34</v>
      </c>
      <c r="O4816" s="2">
        <v>83.95</v>
      </c>
      <c r="P4816" s="2">
        <v>56.23</v>
      </c>
      <c r="Q4816" s="2">
        <v>27.72</v>
      </c>
      <c r="R4816">
        <v>1</v>
      </c>
      <c r="S4816">
        <v>1</v>
      </c>
      <c r="T4816">
        <v>5</v>
      </c>
      <c r="U4816">
        <v>3</v>
      </c>
    </row>
    <row r="4817" spans="1:21" ht="16.5" x14ac:dyDescent="0.3">
      <c r="A4817" t="s">
        <v>4905</v>
      </c>
      <c r="B4817" s="1">
        <v>45975</v>
      </c>
      <c r="C4817">
        <v>2025</v>
      </c>
      <c r="D4817" t="s">
        <v>1738</v>
      </c>
      <c r="E4817" t="s">
        <v>1959</v>
      </c>
      <c r="F4817" t="s">
        <v>31</v>
      </c>
      <c r="G4817" t="s">
        <v>51</v>
      </c>
      <c r="H4817" t="s">
        <v>26</v>
      </c>
      <c r="I4817" t="s">
        <v>70</v>
      </c>
      <c r="J4817" t="s">
        <v>82</v>
      </c>
      <c r="K4817">
        <v>1</v>
      </c>
      <c r="L4817" s="2">
        <v>508.8</v>
      </c>
      <c r="M4817" s="3">
        <v>0.25</v>
      </c>
      <c r="N4817" t="s">
        <v>62</v>
      </c>
      <c r="O4817" s="2">
        <v>381.6</v>
      </c>
      <c r="P4817" s="2">
        <v>415.31</v>
      </c>
      <c r="Q4817" s="2">
        <v>-33.71</v>
      </c>
      <c r="R4817">
        <v>1</v>
      </c>
      <c r="S4817">
        <v>0</v>
      </c>
      <c r="T4817">
        <v>5</v>
      </c>
      <c r="U4817">
        <v>5</v>
      </c>
    </row>
    <row r="4818" spans="1:21" ht="16.5" x14ac:dyDescent="0.3">
      <c r="A4818" t="s">
        <v>4906</v>
      </c>
      <c r="B4818" s="1">
        <v>45975</v>
      </c>
      <c r="C4818">
        <v>2025</v>
      </c>
      <c r="D4818" t="s">
        <v>1738</v>
      </c>
      <c r="E4818" t="s">
        <v>1959</v>
      </c>
      <c r="F4818" t="s">
        <v>24</v>
      </c>
      <c r="G4818" t="s">
        <v>49</v>
      </c>
      <c r="H4818" t="s">
        <v>26</v>
      </c>
      <c r="I4818" t="s">
        <v>42</v>
      </c>
      <c r="J4818" t="s">
        <v>98</v>
      </c>
      <c r="K4818">
        <v>3</v>
      </c>
      <c r="L4818" s="2">
        <v>117.63</v>
      </c>
      <c r="M4818" s="3">
        <v>0.1</v>
      </c>
      <c r="N4818" t="s">
        <v>29</v>
      </c>
      <c r="O4818" s="2">
        <v>317.60000000000002</v>
      </c>
      <c r="P4818" s="2">
        <v>238</v>
      </c>
      <c r="Q4818" s="2">
        <v>79.599999999999994</v>
      </c>
      <c r="R4818">
        <v>1</v>
      </c>
      <c r="S4818">
        <v>0</v>
      </c>
      <c r="T4818">
        <v>5</v>
      </c>
      <c r="U4818">
        <v>4</v>
      </c>
    </row>
    <row r="4819" spans="1:21" ht="16.5" x14ac:dyDescent="0.3">
      <c r="A4819" t="s">
        <v>4907</v>
      </c>
      <c r="B4819" s="1">
        <v>45975</v>
      </c>
      <c r="C4819">
        <v>2025</v>
      </c>
      <c r="D4819" t="s">
        <v>1738</v>
      </c>
      <c r="E4819" t="s">
        <v>1959</v>
      </c>
      <c r="F4819" t="s">
        <v>31</v>
      </c>
      <c r="G4819" t="s">
        <v>65</v>
      </c>
      <c r="H4819" t="s">
        <v>26</v>
      </c>
      <c r="I4819" t="s">
        <v>27</v>
      </c>
      <c r="J4819" t="s">
        <v>33</v>
      </c>
      <c r="K4819">
        <v>1</v>
      </c>
      <c r="L4819" s="2">
        <v>78.510000000000005</v>
      </c>
      <c r="M4819" s="3">
        <v>0.2</v>
      </c>
      <c r="N4819" t="s">
        <v>34</v>
      </c>
      <c r="O4819" s="2">
        <v>62.81</v>
      </c>
      <c r="P4819" s="2">
        <v>41.85</v>
      </c>
      <c r="Q4819" s="2">
        <v>20.96</v>
      </c>
      <c r="R4819">
        <v>1</v>
      </c>
      <c r="S4819">
        <v>0</v>
      </c>
      <c r="T4819">
        <v>8</v>
      </c>
      <c r="U4819">
        <v>4</v>
      </c>
    </row>
    <row r="4820" spans="1:21" ht="16.5" x14ac:dyDescent="0.3">
      <c r="A4820" t="s">
        <v>4908</v>
      </c>
      <c r="B4820" s="1">
        <v>45976</v>
      </c>
      <c r="C4820">
        <v>2025</v>
      </c>
      <c r="D4820" t="s">
        <v>1738</v>
      </c>
      <c r="E4820" t="s">
        <v>1959</v>
      </c>
      <c r="F4820" t="s">
        <v>45</v>
      </c>
      <c r="G4820" t="s">
        <v>25</v>
      </c>
      <c r="H4820" t="s">
        <v>26</v>
      </c>
      <c r="I4820" t="s">
        <v>42</v>
      </c>
      <c r="J4820" t="s">
        <v>43</v>
      </c>
      <c r="K4820">
        <v>2</v>
      </c>
      <c r="L4820" s="2">
        <v>154.66</v>
      </c>
      <c r="M4820" s="3">
        <v>0.1</v>
      </c>
      <c r="N4820" t="s">
        <v>29</v>
      </c>
      <c r="O4820" s="2">
        <v>278.39</v>
      </c>
      <c r="P4820" s="2">
        <v>205.27</v>
      </c>
      <c r="Q4820" s="2">
        <v>73.12</v>
      </c>
      <c r="R4820">
        <v>1</v>
      </c>
      <c r="S4820">
        <v>0</v>
      </c>
      <c r="T4820">
        <v>6</v>
      </c>
      <c r="U4820">
        <v>3</v>
      </c>
    </row>
    <row r="4821" spans="1:21" ht="16.5" x14ac:dyDescent="0.3">
      <c r="A4821" t="s">
        <v>4909</v>
      </c>
      <c r="B4821" s="1">
        <v>45976</v>
      </c>
      <c r="C4821">
        <v>2025</v>
      </c>
      <c r="D4821" t="s">
        <v>1738</v>
      </c>
      <c r="E4821" t="s">
        <v>1959</v>
      </c>
      <c r="F4821" t="s">
        <v>24</v>
      </c>
      <c r="G4821" t="s">
        <v>25</v>
      </c>
      <c r="H4821" t="s">
        <v>32</v>
      </c>
      <c r="I4821" t="s">
        <v>27</v>
      </c>
      <c r="J4821" t="s">
        <v>47</v>
      </c>
      <c r="K4821">
        <v>1</v>
      </c>
      <c r="L4821" s="2">
        <v>33.99</v>
      </c>
      <c r="M4821" s="3">
        <v>0</v>
      </c>
      <c r="N4821" t="s">
        <v>38</v>
      </c>
      <c r="O4821" s="2">
        <v>33.99</v>
      </c>
      <c r="P4821" s="2">
        <v>17.05</v>
      </c>
      <c r="Q4821" s="2">
        <v>16.940000000000001</v>
      </c>
      <c r="R4821">
        <v>1</v>
      </c>
      <c r="S4821">
        <v>0</v>
      </c>
      <c r="T4821">
        <v>5</v>
      </c>
      <c r="U4821">
        <v>4</v>
      </c>
    </row>
    <row r="4822" spans="1:21" ht="16.5" x14ac:dyDescent="0.3">
      <c r="A4822" t="s">
        <v>4910</v>
      </c>
      <c r="B4822" s="1">
        <v>45976</v>
      </c>
      <c r="C4822">
        <v>2025</v>
      </c>
      <c r="D4822" t="s">
        <v>1738</v>
      </c>
      <c r="E4822" t="s">
        <v>1959</v>
      </c>
      <c r="F4822" t="s">
        <v>24</v>
      </c>
      <c r="G4822" t="s">
        <v>46</v>
      </c>
      <c r="H4822" t="s">
        <v>26</v>
      </c>
      <c r="I4822" t="s">
        <v>42</v>
      </c>
      <c r="J4822" t="s">
        <v>89</v>
      </c>
      <c r="K4822">
        <v>2</v>
      </c>
      <c r="L4822" s="2">
        <v>68.349999999999994</v>
      </c>
      <c r="M4822" s="3">
        <v>0.25</v>
      </c>
      <c r="N4822" t="s">
        <v>62</v>
      </c>
      <c r="O4822" s="2">
        <v>102.52</v>
      </c>
      <c r="P4822" s="2">
        <v>89.1</v>
      </c>
      <c r="Q4822" s="2">
        <v>13.42</v>
      </c>
      <c r="R4822">
        <v>1</v>
      </c>
      <c r="S4822">
        <v>0</v>
      </c>
      <c r="T4822">
        <v>7</v>
      </c>
      <c r="U4822">
        <v>4</v>
      </c>
    </row>
    <row r="4823" spans="1:21" ht="16.5" x14ac:dyDescent="0.3">
      <c r="A4823" t="s">
        <v>4911</v>
      </c>
      <c r="B4823" s="1">
        <v>45976</v>
      </c>
      <c r="C4823">
        <v>2025</v>
      </c>
      <c r="D4823" t="s">
        <v>1738</v>
      </c>
      <c r="E4823" t="s">
        <v>1959</v>
      </c>
      <c r="F4823" t="s">
        <v>24</v>
      </c>
      <c r="G4823" t="s">
        <v>51</v>
      </c>
      <c r="H4823" t="s">
        <v>32</v>
      </c>
      <c r="I4823" t="s">
        <v>27</v>
      </c>
      <c r="J4823" t="s">
        <v>60</v>
      </c>
      <c r="K4823">
        <v>1</v>
      </c>
      <c r="L4823" s="2">
        <v>94.85</v>
      </c>
      <c r="M4823" s="3">
        <v>0.1</v>
      </c>
      <c r="N4823" t="s">
        <v>29</v>
      </c>
      <c r="O4823" s="2">
        <v>85.36</v>
      </c>
      <c r="P4823" s="2">
        <v>48.38</v>
      </c>
      <c r="Q4823" s="2">
        <v>36.979999999999997</v>
      </c>
      <c r="R4823">
        <v>1</v>
      </c>
      <c r="S4823">
        <v>0</v>
      </c>
      <c r="T4823">
        <v>3</v>
      </c>
      <c r="U4823">
        <v>5</v>
      </c>
    </row>
    <row r="4824" spans="1:21" ht="16.5" x14ac:dyDescent="0.3">
      <c r="A4824" t="s">
        <v>4912</v>
      </c>
      <c r="B4824" s="1">
        <v>45976</v>
      </c>
      <c r="C4824">
        <v>2025</v>
      </c>
      <c r="D4824" t="s">
        <v>1738</v>
      </c>
      <c r="E4824" t="s">
        <v>1959</v>
      </c>
      <c r="F4824" t="s">
        <v>31</v>
      </c>
      <c r="G4824" t="s">
        <v>49</v>
      </c>
      <c r="H4824" t="s">
        <v>32</v>
      </c>
      <c r="I4824" t="s">
        <v>70</v>
      </c>
      <c r="J4824" t="s">
        <v>87</v>
      </c>
      <c r="K4824">
        <v>1</v>
      </c>
      <c r="L4824" s="2">
        <v>490.3</v>
      </c>
      <c r="M4824" s="3">
        <v>0.15</v>
      </c>
      <c r="N4824" t="s">
        <v>34</v>
      </c>
      <c r="O4824" s="2">
        <v>416.76</v>
      </c>
      <c r="P4824" s="2">
        <v>386.42</v>
      </c>
      <c r="Q4824" s="2">
        <v>30.34</v>
      </c>
      <c r="R4824">
        <v>1</v>
      </c>
      <c r="S4824">
        <v>0</v>
      </c>
      <c r="T4824">
        <v>7</v>
      </c>
      <c r="U4824">
        <v>4</v>
      </c>
    </row>
    <row r="4825" spans="1:21" ht="16.5" x14ac:dyDescent="0.3">
      <c r="A4825" t="s">
        <v>4913</v>
      </c>
      <c r="B4825" s="1">
        <v>45976</v>
      </c>
      <c r="C4825">
        <v>2025</v>
      </c>
      <c r="D4825" t="s">
        <v>1738</v>
      </c>
      <c r="E4825" t="s">
        <v>1959</v>
      </c>
      <c r="F4825" t="s">
        <v>45</v>
      </c>
      <c r="G4825" t="s">
        <v>25</v>
      </c>
      <c r="H4825" t="s">
        <v>32</v>
      </c>
      <c r="I4825" t="s">
        <v>70</v>
      </c>
      <c r="J4825" t="s">
        <v>162</v>
      </c>
      <c r="K4825">
        <v>1</v>
      </c>
      <c r="L4825" s="2">
        <v>636.09</v>
      </c>
      <c r="M4825" s="3">
        <v>0.1</v>
      </c>
      <c r="N4825" t="s">
        <v>29</v>
      </c>
      <c r="O4825" s="2">
        <v>572.48</v>
      </c>
      <c r="P4825" s="2">
        <v>523.82000000000005</v>
      </c>
      <c r="Q4825" s="2">
        <v>48.66</v>
      </c>
      <c r="R4825">
        <v>1</v>
      </c>
      <c r="S4825">
        <v>0</v>
      </c>
      <c r="T4825">
        <v>5</v>
      </c>
      <c r="U4825">
        <v>4</v>
      </c>
    </row>
    <row r="4826" spans="1:21" ht="16.5" x14ac:dyDescent="0.3">
      <c r="A4826" t="s">
        <v>4914</v>
      </c>
      <c r="B4826" s="1">
        <v>45976</v>
      </c>
      <c r="C4826">
        <v>2025</v>
      </c>
      <c r="D4826" t="s">
        <v>1738</v>
      </c>
      <c r="E4826" t="s">
        <v>1959</v>
      </c>
      <c r="F4826" t="s">
        <v>31</v>
      </c>
      <c r="G4826" t="s">
        <v>65</v>
      </c>
      <c r="H4826" t="s">
        <v>26</v>
      </c>
      <c r="I4826" t="s">
        <v>70</v>
      </c>
      <c r="J4826" t="s">
        <v>252</v>
      </c>
      <c r="K4826">
        <v>1</v>
      </c>
      <c r="L4826" s="2">
        <v>216.08</v>
      </c>
      <c r="M4826" s="3">
        <v>0.3</v>
      </c>
      <c r="N4826" t="s">
        <v>62</v>
      </c>
      <c r="O4826" s="2">
        <v>151.26</v>
      </c>
      <c r="P4826" s="2">
        <v>165.59</v>
      </c>
      <c r="Q4826" s="2">
        <v>-14.33</v>
      </c>
      <c r="R4826">
        <v>1</v>
      </c>
      <c r="S4826">
        <v>0</v>
      </c>
      <c r="T4826">
        <v>7</v>
      </c>
      <c r="U4826">
        <v>5</v>
      </c>
    </row>
    <row r="4827" spans="1:21" ht="16.5" x14ac:dyDescent="0.3">
      <c r="A4827" t="s">
        <v>4915</v>
      </c>
      <c r="B4827" s="1">
        <v>45976</v>
      </c>
      <c r="C4827">
        <v>2025</v>
      </c>
      <c r="D4827" t="s">
        <v>1738</v>
      </c>
      <c r="E4827" t="s">
        <v>1959</v>
      </c>
      <c r="F4827" t="s">
        <v>24</v>
      </c>
      <c r="G4827" t="s">
        <v>46</v>
      </c>
      <c r="H4827" t="s">
        <v>32</v>
      </c>
      <c r="I4827" t="s">
        <v>84</v>
      </c>
      <c r="J4827" t="s">
        <v>132</v>
      </c>
      <c r="K4827">
        <v>1</v>
      </c>
      <c r="L4827" s="2">
        <v>48.86</v>
      </c>
      <c r="M4827" s="3">
        <v>0.25</v>
      </c>
      <c r="N4827" t="s">
        <v>62</v>
      </c>
      <c r="O4827" s="2">
        <v>36.64</v>
      </c>
      <c r="P4827" s="2">
        <v>36.51</v>
      </c>
      <c r="Q4827" s="2">
        <v>0.13</v>
      </c>
      <c r="R4827">
        <v>1</v>
      </c>
      <c r="S4827">
        <v>0</v>
      </c>
      <c r="T4827">
        <v>7</v>
      </c>
      <c r="U4827">
        <v>3</v>
      </c>
    </row>
    <row r="4828" spans="1:21" ht="16.5" x14ac:dyDescent="0.3">
      <c r="A4828" t="s">
        <v>4916</v>
      </c>
      <c r="B4828" s="1">
        <v>45976</v>
      </c>
      <c r="C4828">
        <v>2025</v>
      </c>
      <c r="D4828" t="s">
        <v>1738</v>
      </c>
      <c r="E4828" t="s">
        <v>1959</v>
      </c>
      <c r="F4828" t="s">
        <v>45</v>
      </c>
      <c r="G4828" t="s">
        <v>51</v>
      </c>
      <c r="H4828" t="s">
        <v>32</v>
      </c>
      <c r="I4828" t="s">
        <v>36</v>
      </c>
      <c r="J4828" t="s">
        <v>115</v>
      </c>
      <c r="K4828">
        <v>1</v>
      </c>
      <c r="L4828" s="2">
        <v>33.479999999999997</v>
      </c>
      <c r="M4828" s="3">
        <v>0.05</v>
      </c>
      <c r="N4828" t="s">
        <v>29</v>
      </c>
      <c r="O4828" s="2">
        <v>31.81</v>
      </c>
      <c r="P4828" s="2">
        <v>16.63</v>
      </c>
      <c r="Q4828" s="2">
        <v>15.18</v>
      </c>
      <c r="R4828">
        <v>1</v>
      </c>
      <c r="S4828">
        <v>0</v>
      </c>
      <c r="T4828">
        <v>4</v>
      </c>
      <c r="U4828">
        <v>5</v>
      </c>
    </row>
    <row r="4829" spans="1:21" ht="16.5" x14ac:dyDescent="0.3">
      <c r="A4829" t="s">
        <v>4917</v>
      </c>
      <c r="B4829" s="1">
        <v>45976</v>
      </c>
      <c r="C4829">
        <v>2025</v>
      </c>
      <c r="D4829" t="s">
        <v>1738</v>
      </c>
      <c r="E4829" t="s">
        <v>1959</v>
      </c>
      <c r="F4829" t="s">
        <v>24</v>
      </c>
      <c r="G4829" t="s">
        <v>46</v>
      </c>
      <c r="H4829" t="s">
        <v>32</v>
      </c>
      <c r="I4829" t="s">
        <v>42</v>
      </c>
      <c r="J4829" t="s">
        <v>43</v>
      </c>
      <c r="K4829">
        <v>1</v>
      </c>
      <c r="L4829" s="2">
        <v>154.66</v>
      </c>
      <c r="M4829" s="3">
        <v>0.15</v>
      </c>
      <c r="N4829" t="s">
        <v>34</v>
      </c>
      <c r="O4829" s="2">
        <v>131.46</v>
      </c>
      <c r="P4829" s="2">
        <v>102.02</v>
      </c>
      <c r="Q4829" s="2">
        <v>29.44</v>
      </c>
      <c r="R4829">
        <v>1</v>
      </c>
      <c r="S4829">
        <v>0</v>
      </c>
      <c r="T4829">
        <v>10</v>
      </c>
      <c r="U4829">
        <v>3</v>
      </c>
    </row>
    <row r="4830" spans="1:21" ht="16.5" x14ac:dyDescent="0.3">
      <c r="A4830" t="s">
        <v>4918</v>
      </c>
      <c r="B4830" s="1">
        <v>45976</v>
      </c>
      <c r="C4830">
        <v>2025</v>
      </c>
      <c r="D4830" t="s">
        <v>1738</v>
      </c>
      <c r="E4830" t="s">
        <v>1959</v>
      </c>
      <c r="F4830" t="s">
        <v>31</v>
      </c>
      <c r="G4830" t="s">
        <v>49</v>
      </c>
      <c r="H4830" t="s">
        <v>32</v>
      </c>
      <c r="I4830" t="s">
        <v>42</v>
      </c>
      <c r="J4830" t="s">
        <v>54</v>
      </c>
      <c r="K4830">
        <v>1</v>
      </c>
      <c r="L4830" s="2">
        <v>148.05000000000001</v>
      </c>
      <c r="M4830" s="3">
        <v>0.15</v>
      </c>
      <c r="N4830" t="s">
        <v>34</v>
      </c>
      <c r="O4830" s="2">
        <v>125.84</v>
      </c>
      <c r="P4830" s="2">
        <v>101.59</v>
      </c>
      <c r="Q4830" s="2">
        <v>24.25</v>
      </c>
      <c r="R4830">
        <v>1</v>
      </c>
      <c r="S4830">
        <v>0</v>
      </c>
      <c r="T4830">
        <v>4</v>
      </c>
      <c r="U4830">
        <v>4</v>
      </c>
    </row>
    <row r="4831" spans="1:21" ht="16.5" x14ac:dyDescent="0.3">
      <c r="A4831" t="s">
        <v>4919</v>
      </c>
      <c r="B4831" s="1">
        <v>45976</v>
      </c>
      <c r="C4831">
        <v>2025</v>
      </c>
      <c r="D4831" t="s">
        <v>1738</v>
      </c>
      <c r="E4831" t="s">
        <v>1959</v>
      </c>
      <c r="F4831" t="s">
        <v>24</v>
      </c>
      <c r="G4831" t="s">
        <v>25</v>
      </c>
      <c r="H4831" t="s">
        <v>32</v>
      </c>
      <c r="I4831" t="s">
        <v>70</v>
      </c>
      <c r="J4831" t="s">
        <v>71</v>
      </c>
      <c r="K4831">
        <v>1</v>
      </c>
      <c r="L4831" s="2">
        <v>588.41</v>
      </c>
      <c r="M4831" s="3">
        <v>0</v>
      </c>
      <c r="N4831" t="s">
        <v>38</v>
      </c>
      <c r="O4831" s="2">
        <v>588.41</v>
      </c>
      <c r="P4831" s="2">
        <v>509.46</v>
      </c>
      <c r="Q4831" s="2">
        <v>78.95</v>
      </c>
      <c r="R4831">
        <v>1</v>
      </c>
      <c r="S4831">
        <v>0</v>
      </c>
      <c r="T4831">
        <v>6</v>
      </c>
      <c r="U4831">
        <v>3</v>
      </c>
    </row>
    <row r="4832" spans="1:21" ht="16.5" x14ac:dyDescent="0.3">
      <c r="A4832" t="s">
        <v>4920</v>
      </c>
      <c r="B4832" s="1">
        <v>45976</v>
      </c>
      <c r="C4832">
        <v>2025</v>
      </c>
      <c r="D4832" t="s">
        <v>1738</v>
      </c>
      <c r="E4832" t="s">
        <v>1959</v>
      </c>
      <c r="F4832" t="s">
        <v>24</v>
      </c>
      <c r="G4832" t="s">
        <v>65</v>
      </c>
      <c r="H4832" t="s">
        <v>32</v>
      </c>
      <c r="I4832" t="s">
        <v>27</v>
      </c>
      <c r="J4832" t="s">
        <v>47</v>
      </c>
      <c r="K4832">
        <v>1</v>
      </c>
      <c r="L4832" s="2">
        <v>33.99</v>
      </c>
      <c r="M4832" s="3">
        <v>0.25</v>
      </c>
      <c r="N4832" t="s">
        <v>62</v>
      </c>
      <c r="O4832" s="2">
        <v>25.49</v>
      </c>
      <c r="P4832" s="2">
        <v>19.13</v>
      </c>
      <c r="Q4832" s="2">
        <v>6.36</v>
      </c>
      <c r="R4832">
        <v>1</v>
      </c>
      <c r="S4832">
        <v>0</v>
      </c>
      <c r="T4832">
        <v>8</v>
      </c>
      <c r="U4832">
        <v>4</v>
      </c>
    </row>
    <row r="4833" spans="1:21" ht="16.5" x14ac:dyDescent="0.3">
      <c r="A4833" t="s">
        <v>4921</v>
      </c>
      <c r="B4833" s="1">
        <v>45977</v>
      </c>
      <c r="C4833">
        <v>2025</v>
      </c>
      <c r="D4833" t="s">
        <v>1738</v>
      </c>
      <c r="E4833" t="s">
        <v>1959</v>
      </c>
      <c r="F4833" t="s">
        <v>24</v>
      </c>
      <c r="G4833" t="s">
        <v>51</v>
      </c>
      <c r="H4833" t="s">
        <v>32</v>
      </c>
      <c r="I4833" t="s">
        <v>27</v>
      </c>
      <c r="J4833" t="s">
        <v>28</v>
      </c>
      <c r="K4833">
        <v>1</v>
      </c>
      <c r="L4833" s="2">
        <v>138.5</v>
      </c>
      <c r="M4833" s="3">
        <v>0.2</v>
      </c>
      <c r="N4833" t="s">
        <v>34</v>
      </c>
      <c r="O4833" s="2">
        <v>110.8</v>
      </c>
      <c r="P4833" s="2">
        <v>75.03</v>
      </c>
      <c r="Q4833" s="2">
        <v>35.770000000000003</v>
      </c>
      <c r="R4833">
        <v>1</v>
      </c>
      <c r="S4833">
        <v>0</v>
      </c>
      <c r="T4833">
        <v>3</v>
      </c>
      <c r="U4833">
        <v>4</v>
      </c>
    </row>
    <row r="4834" spans="1:21" ht="16.5" x14ac:dyDescent="0.3">
      <c r="A4834" t="s">
        <v>4922</v>
      </c>
      <c r="B4834" s="1">
        <v>45977</v>
      </c>
      <c r="C4834">
        <v>2025</v>
      </c>
      <c r="D4834" t="s">
        <v>1738</v>
      </c>
      <c r="E4834" t="s">
        <v>1959</v>
      </c>
      <c r="F4834" t="s">
        <v>31</v>
      </c>
      <c r="G4834" t="s">
        <v>49</v>
      </c>
      <c r="H4834" t="s">
        <v>26</v>
      </c>
      <c r="I4834" t="s">
        <v>70</v>
      </c>
      <c r="J4834" t="s">
        <v>87</v>
      </c>
      <c r="K4834">
        <v>1</v>
      </c>
      <c r="L4834" s="2">
        <v>490.3</v>
      </c>
      <c r="M4834" s="3">
        <v>0.3</v>
      </c>
      <c r="N4834" t="s">
        <v>62</v>
      </c>
      <c r="O4834" s="2">
        <v>343.21</v>
      </c>
      <c r="P4834" s="2">
        <v>388.54</v>
      </c>
      <c r="Q4834" s="2">
        <v>-45.33</v>
      </c>
      <c r="R4834">
        <v>1</v>
      </c>
      <c r="S4834">
        <v>0</v>
      </c>
      <c r="T4834">
        <v>5</v>
      </c>
      <c r="U4834">
        <v>5</v>
      </c>
    </row>
    <row r="4835" spans="1:21" ht="16.5" x14ac:dyDescent="0.3">
      <c r="A4835" t="s">
        <v>4923</v>
      </c>
      <c r="B4835" s="1">
        <v>45977</v>
      </c>
      <c r="C4835">
        <v>2025</v>
      </c>
      <c r="D4835" t="s">
        <v>1738</v>
      </c>
      <c r="E4835" t="s">
        <v>1959</v>
      </c>
      <c r="F4835" t="s">
        <v>24</v>
      </c>
      <c r="G4835" t="s">
        <v>49</v>
      </c>
      <c r="H4835" t="s">
        <v>26</v>
      </c>
      <c r="I4835" t="s">
        <v>27</v>
      </c>
      <c r="J4835" t="s">
        <v>40</v>
      </c>
      <c r="K4835">
        <v>1</v>
      </c>
      <c r="L4835" s="2">
        <v>104.94</v>
      </c>
      <c r="M4835" s="3">
        <v>0</v>
      </c>
      <c r="N4835" t="s">
        <v>38</v>
      </c>
      <c r="O4835" s="2">
        <v>104.94</v>
      </c>
      <c r="P4835" s="2">
        <v>57.31</v>
      </c>
      <c r="Q4835" s="2">
        <v>47.63</v>
      </c>
      <c r="R4835">
        <v>1</v>
      </c>
      <c r="S4835">
        <v>0</v>
      </c>
      <c r="T4835">
        <v>4</v>
      </c>
      <c r="U4835">
        <v>5</v>
      </c>
    </row>
    <row r="4836" spans="1:21" ht="16.5" x14ac:dyDescent="0.3">
      <c r="A4836" t="s">
        <v>4924</v>
      </c>
      <c r="B4836" s="1">
        <v>45977</v>
      </c>
      <c r="C4836">
        <v>2025</v>
      </c>
      <c r="D4836" t="s">
        <v>1738</v>
      </c>
      <c r="E4836" t="s">
        <v>1959</v>
      </c>
      <c r="F4836" t="s">
        <v>24</v>
      </c>
      <c r="G4836" t="s">
        <v>51</v>
      </c>
      <c r="H4836" t="s">
        <v>26</v>
      </c>
      <c r="I4836" t="s">
        <v>27</v>
      </c>
      <c r="J4836" t="s">
        <v>33</v>
      </c>
      <c r="K4836">
        <v>1</v>
      </c>
      <c r="L4836" s="2">
        <v>78.510000000000005</v>
      </c>
      <c r="M4836" s="3">
        <v>0.05</v>
      </c>
      <c r="N4836" t="s">
        <v>29</v>
      </c>
      <c r="O4836" s="2">
        <v>74.58</v>
      </c>
      <c r="P4836" s="2">
        <v>42.99</v>
      </c>
      <c r="Q4836" s="2">
        <v>31.59</v>
      </c>
      <c r="R4836">
        <v>1</v>
      </c>
      <c r="S4836">
        <v>0</v>
      </c>
      <c r="T4836">
        <v>6</v>
      </c>
      <c r="U4836">
        <v>2</v>
      </c>
    </row>
    <row r="4837" spans="1:21" ht="16.5" x14ac:dyDescent="0.3">
      <c r="A4837" t="s">
        <v>4925</v>
      </c>
      <c r="B4837" s="1">
        <v>45977</v>
      </c>
      <c r="C4837">
        <v>2025</v>
      </c>
      <c r="D4837" t="s">
        <v>1738</v>
      </c>
      <c r="E4837" t="s">
        <v>1959</v>
      </c>
      <c r="F4837" t="s">
        <v>45</v>
      </c>
      <c r="G4837" t="s">
        <v>25</v>
      </c>
      <c r="H4837" t="s">
        <v>32</v>
      </c>
      <c r="I4837" t="s">
        <v>27</v>
      </c>
      <c r="J4837" t="s">
        <v>28</v>
      </c>
      <c r="K4837">
        <v>2</v>
      </c>
      <c r="L4837" s="2">
        <v>138.5</v>
      </c>
      <c r="M4837" s="3">
        <v>0.15</v>
      </c>
      <c r="N4837" t="s">
        <v>34</v>
      </c>
      <c r="O4837" s="2">
        <v>235.45</v>
      </c>
      <c r="P4837" s="2">
        <v>153.88</v>
      </c>
      <c r="Q4837" s="2">
        <v>81.569999999999993</v>
      </c>
      <c r="R4837">
        <v>1</v>
      </c>
      <c r="S4837">
        <v>1</v>
      </c>
      <c r="T4837">
        <v>6</v>
      </c>
      <c r="U4837">
        <v>2</v>
      </c>
    </row>
    <row r="4838" spans="1:21" ht="16.5" x14ac:dyDescent="0.3">
      <c r="A4838" t="s">
        <v>4926</v>
      </c>
      <c r="B4838" s="1">
        <v>45977</v>
      </c>
      <c r="C4838">
        <v>2025</v>
      </c>
      <c r="D4838" t="s">
        <v>1738</v>
      </c>
      <c r="E4838" t="s">
        <v>1959</v>
      </c>
      <c r="F4838" t="s">
        <v>24</v>
      </c>
      <c r="G4838" t="s">
        <v>51</v>
      </c>
      <c r="H4838" t="s">
        <v>26</v>
      </c>
      <c r="I4838" t="s">
        <v>84</v>
      </c>
      <c r="J4838" t="s">
        <v>96</v>
      </c>
      <c r="K4838">
        <v>1</v>
      </c>
      <c r="L4838" s="2">
        <v>10.76</v>
      </c>
      <c r="M4838" s="3">
        <v>0.2</v>
      </c>
      <c r="N4838" t="s">
        <v>34</v>
      </c>
      <c r="O4838" s="2">
        <v>8.61</v>
      </c>
      <c r="P4838" s="2">
        <v>7.56</v>
      </c>
      <c r="Q4838" s="2">
        <v>1.05</v>
      </c>
      <c r="R4838">
        <v>1</v>
      </c>
      <c r="S4838">
        <v>0</v>
      </c>
      <c r="T4838">
        <v>4</v>
      </c>
      <c r="U4838">
        <v>5</v>
      </c>
    </row>
    <row r="4839" spans="1:21" ht="16.5" x14ac:dyDescent="0.3">
      <c r="A4839" t="s">
        <v>4927</v>
      </c>
      <c r="B4839" s="1">
        <v>45977</v>
      </c>
      <c r="C4839">
        <v>2025</v>
      </c>
      <c r="D4839" t="s">
        <v>1738</v>
      </c>
      <c r="E4839" t="s">
        <v>1959</v>
      </c>
      <c r="F4839" t="s">
        <v>24</v>
      </c>
      <c r="G4839" t="s">
        <v>51</v>
      </c>
      <c r="H4839" t="s">
        <v>32</v>
      </c>
      <c r="I4839" t="s">
        <v>70</v>
      </c>
      <c r="J4839" t="s">
        <v>162</v>
      </c>
      <c r="K4839">
        <v>1</v>
      </c>
      <c r="L4839" s="2">
        <v>636.09</v>
      </c>
      <c r="M4839" s="3">
        <v>0.1</v>
      </c>
      <c r="N4839" t="s">
        <v>29</v>
      </c>
      <c r="O4839" s="2">
        <v>572.48</v>
      </c>
      <c r="P4839" s="2">
        <v>513.73</v>
      </c>
      <c r="Q4839" s="2">
        <v>58.75</v>
      </c>
      <c r="R4839">
        <v>1</v>
      </c>
      <c r="S4839">
        <v>0</v>
      </c>
      <c r="T4839">
        <v>6</v>
      </c>
      <c r="U4839">
        <v>2</v>
      </c>
    </row>
    <row r="4840" spans="1:21" ht="16.5" x14ac:dyDescent="0.3">
      <c r="A4840" t="s">
        <v>4928</v>
      </c>
      <c r="B4840" s="1">
        <v>45977</v>
      </c>
      <c r="C4840">
        <v>2025</v>
      </c>
      <c r="D4840" t="s">
        <v>1738</v>
      </c>
      <c r="E4840" t="s">
        <v>1959</v>
      </c>
      <c r="F4840" t="s">
        <v>45</v>
      </c>
      <c r="G4840" t="s">
        <v>49</v>
      </c>
      <c r="H4840" t="s">
        <v>32</v>
      </c>
      <c r="I4840" t="s">
        <v>42</v>
      </c>
      <c r="J4840" t="s">
        <v>58</v>
      </c>
      <c r="K4840">
        <v>1</v>
      </c>
      <c r="L4840" s="2">
        <v>233.81</v>
      </c>
      <c r="M4840" s="3">
        <v>0.2</v>
      </c>
      <c r="N4840" t="s">
        <v>34</v>
      </c>
      <c r="O4840" s="2">
        <v>187.05</v>
      </c>
      <c r="P4840" s="2">
        <v>162.96</v>
      </c>
      <c r="Q4840" s="2">
        <v>24.09</v>
      </c>
      <c r="R4840">
        <v>1</v>
      </c>
      <c r="S4840">
        <v>0</v>
      </c>
      <c r="T4840">
        <v>6</v>
      </c>
      <c r="U4840">
        <v>4</v>
      </c>
    </row>
    <row r="4841" spans="1:21" ht="16.5" x14ac:dyDescent="0.3">
      <c r="A4841" t="s">
        <v>4929</v>
      </c>
      <c r="B4841" s="1">
        <v>45977</v>
      </c>
      <c r="C4841">
        <v>2025</v>
      </c>
      <c r="D4841" t="s">
        <v>1738</v>
      </c>
      <c r="E4841" t="s">
        <v>1959</v>
      </c>
      <c r="F4841" t="s">
        <v>24</v>
      </c>
      <c r="G4841" t="s">
        <v>65</v>
      </c>
      <c r="H4841" t="s">
        <v>26</v>
      </c>
      <c r="I4841" t="s">
        <v>42</v>
      </c>
      <c r="J4841" t="s">
        <v>98</v>
      </c>
      <c r="K4841">
        <v>1</v>
      </c>
      <c r="L4841" s="2">
        <v>117.63</v>
      </c>
      <c r="M4841" s="3">
        <v>0.15</v>
      </c>
      <c r="N4841" t="s">
        <v>34</v>
      </c>
      <c r="O4841" s="2">
        <v>99.99</v>
      </c>
      <c r="P4841" s="2">
        <v>78.05</v>
      </c>
      <c r="Q4841" s="2">
        <v>21.94</v>
      </c>
      <c r="R4841">
        <v>1</v>
      </c>
      <c r="S4841">
        <v>0</v>
      </c>
      <c r="T4841">
        <v>7</v>
      </c>
      <c r="U4841">
        <v>3</v>
      </c>
    </row>
    <row r="4842" spans="1:21" ht="16.5" x14ac:dyDescent="0.3">
      <c r="A4842" t="s">
        <v>4930</v>
      </c>
      <c r="B4842" s="1">
        <v>45977</v>
      </c>
      <c r="C4842">
        <v>2025</v>
      </c>
      <c r="D4842" t="s">
        <v>1738</v>
      </c>
      <c r="E4842" t="s">
        <v>1959</v>
      </c>
      <c r="F4842" t="s">
        <v>31</v>
      </c>
      <c r="G4842" t="s">
        <v>25</v>
      </c>
      <c r="H4842" t="s">
        <v>32</v>
      </c>
      <c r="I4842" t="s">
        <v>67</v>
      </c>
      <c r="J4842" t="s">
        <v>93</v>
      </c>
      <c r="K4842">
        <v>1</v>
      </c>
      <c r="L4842" s="2">
        <v>198.42</v>
      </c>
      <c r="M4842" s="3">
        <v>0.2</v>
      </c>
      <c r="N4842" t="s">
        <v>34</v>
      </c>
      <c r="O4842" s="2">
        <v>158.74</v>
      </c>
      <c r="P4842" s="2">
        <v>130.77000000000001</v>
      </c>
      <c r="Q4842" s="2">
        <v>27.97</v>
      </c>
      <c r="R4842">
        <v>1</v>
      </c>
      <c r="S4842">
        <v>0</v>
      </c>
      <c r="T4842">
        <v>5</v>
      </c>
      <c r="U4842">
        <v>4</v>
      </c>
    </row>
    <row r="4843" spans="1:21" ht="16.5" x14ac:dyDescent="0.3">
      <c r="A4843" t="s">
        <v>4931</v>
      </c>
      <c r="B4843" s="1">
        <v>45977</v>
      </c>
      <c r="C4843">
        <v>2025</v>
      </c>
      <c r="D4843" t="s">
        <v>1738</v>
      </c>
      <c r="E4843" t="s">
        <v>1959</v>
      </c>
      <c r="F4843" t="s">
        <v>45</v>
      </c>
      <c r="G4843" t="s">
        <v>25</v>
      </c>
      <c r="H4843" t="s">
        <v>26</v>
      </c>
      <c r="I4843" t="s">
        <v>84</v>
      </c>
      <c r="J4843" t="s">
        <v>223</v>
      </c>
      <c r="K4843">
        <v>1</v>
      </c>
      <c r="L4843" s="2">
        <v>16.97</v>
      </c>
      <c r="M4843" s="3">
        <v>0.15</v>
      </c>
      <c r="N4843" t="s">
        <v>34</v>
      </c>
      <c r="O4843" s="2">
        <v>14.42</v>
      </c>
      <c r="P4843" s="2">
        <v>11.74</v>
      </c>
      <c r="Q4843" s="2">
        <v>2.68</v>
      </c>
      <c r="R4843">
        <v>1</v>
      </c>
      <c r="S4843">
        <v>0</v>
      </c>
      <c r="T4843">
        <v>4</v>
      </c>
      <c r="U4843">
        <v>5</v>
      </c>
    </row>
    <row r="4844" spans="1:21" ht="16.5" x14ac:dyDescent="0.3">
      <c r="A4844" t="s">
        <v>4932</v>
      </c>
      <c r="B4844" s="1">
        <v>45977</v>
      </c>
      <c r="C4844">
        <v>2025</v>
      </c>
      <c r="D4844" t="s">
        <v>1738</v>
      </c>
      <c r="E4844" t="s">
        <v>1959</v>
      </c>
      <c r="F4844" t="s">
        <v>31</v>
      </c>
      <c r="G4844" t="s">
        <v>51</v>
      </c>
      <c r="H4844" t="s">
        <v>26</v>
      </c>
      <c r="I4844" t="s">
        <v>70</v>
      </c>
      <c r="J4844" t="s">
        <v>129</v>
      </c>
      <c r="K4844">
        <v>4</v>
      </c>
      <c r="L4844" s="2">
        <v>177.65</v>
      </c>
      <c r="M4844" s="3">
        <v>0.25</v>
      </c>
      <c r="N4844" t="s">
        <v>62</v>
      </c>
      <c r="O4844" s="2">
        <v>532.95000000000005</v>
      </c>
      <c r="P4844" s="2">
        <v>570.62</v>
      </c>
      <c r="Q4844" s="2">
        <v>-37.67</v>
      </c>
      <c r="R4844">
        <v>1</v>
      </c>
      <c r="S4844">
        <v>0</v>
      </c>
      <c r="T4844">
        <v>6</v>
      </c>
      <c r="U4844">
        <v>4</v>
      </c>
    </row>
    <row r="4845" spans="1:21" ht="16.5" x14ac:dyDescent="0.3">
      <c r="A4845" t="s">
        <v>4933</v>
      </c>
      <c r="B4845" s="1">
        <v>45977</v>
      </c>
      <c r="C4845">
        <v>2025</v>
      </c>
      <c r="D4845" t="s">
        <v>1738</v>
      </c>
      <c r="E4845" t="s">
        <v>1959</v>
      </c>
      <c r="F4845" t="s">
        <v>31</v>
      </c>
      <c r="G4845" t="s">
        <v>51</v>
      </c>
      <c r="H4845" t="s">
        <v>26</v>
      </c>
      <c r="I4845" t="s">
        <v>42</v>
      </c>
      <c r="J4845" t="s">
        <v>89</v>
      </c>
      <c r="K4845">
        <v>1</v>
      </c>
      <c r="L4845" s="2">
        <v>68.349999999999994</v>
      </c>
      <c r="M4845" s="3">
        <v>0.15</v>
      </c>
      <c r="N4845" t="s">
        <v>34</v>
      </c>
      <c r="O4845" s="2">
        <v>58.1</v>
      </c>
      <c r="P4845" s="2">
        <v>49.45</v>
      </c>
      <c r="Q4845" s="2">
        <v>8.65</v>
      </c>
      <c r="R4845">
        <v>1</v>
      </c>
      <c r="S4845">
        <v>0</v>
      </c>
      <c r="T4845">
        <v>4</v>
      </c>
      <c r="U4845">
        <v>4</v>
      </c>
    </row>
    <row r="4846" spans="1:21" ht="16.5" x14ac:dyDescent="0.3">
      <c r="A4846" t="s">
        <v>4934</v>
      </c>
      <c r="B4846" s="1">
        <v>45978</v>
      </c>
      <c r="C4846">
        <v>2025</v>
      </c>
      <c r="D4846" t="s">
        <v>1738</v>
      </c>
      <c r="E4846" t="s">
        <v>1959</v>
      </c>
      <c r="F4846" t="s">
        <v>24</v>
      </c>
      <c r="G4846" t="s">
        <v>49</v>
      </c>
      <c r="H4846" t="s">
        <v>32</v>
      </c>
      <c r="I4846" t="s">
        <v>27</v>
      </c>
      <c r="J4846" t="s">
        <v>110</v>
      </c>
      <c r="K4846">
        <v>1</v>
      </c>
      <c r="L4846" s="2">
        <v>19.41</v>
      </c>
      <c r="M4846" s="3">
        <v>0.3</v>
      </c>
      <c r="N4846" t="s">
        <v>62</v>
      </c>
      <c r="O4846" s="2">
        <v>13.59</v>
      </c>
      <c r="P4846" s="2">
        <v>10.24</v>
      </c>
      <c r="Q4846" s="2">
        <v>3.35</v>
      </c>
      <c r="R4846">
        <v>1</v>
      </c>
      <c r="S4846">
        <v>0</v>
      </c>
      <c r="T4846">
        <v>5</v>
      </c>
      <c r="U4846">
        <v>3</v>
      </c>
    </row>
    <row r="4847" spans="1:21" ht="16.5" x14ac:dyDescent="0.3">
      <c r="A4847" t="s">
        <v>4935</v>
      </c>
      <c r="B4847" s="1">
        <v>45978</v>
      </c>
      <c r="C4847">
        <v>2025</v>
      </c>
      <c r="D4847" t="s">
        <v>1738</v>
      </c>
      <c r="E4847" t="s">
        <v>1959</v>
      </c>
      <c r="F4847" t="s">
        <v>24</v>
      </c>
      <c r="G4847" t="s">
        <v>49</v>
      </c>
      <c r="H4847" t="s">
        <v>26</v>
      </c>
      <c r="I4847" t="s">
        <v>36</v>
      </c>
      <c r="J4847" t="s">
        <v>56</v>
      </c>
      <c r="K4847">
        <v>1</v>
      </c>
      <c r="L4847" s="2">
        <v>74.3</v>
      </c>
      <c r="M4847" s="3">
        <v>0.3</v>
      </c>
      <c r="N4847" t="s">
        <v>62</v>
      </c>
      <c r="O4847" s="2">
        <v>52.01</v>
      </c>
      <c r="P4847" s="2">
        <v>37.659999999999997</v>
      </c>
      <c r="Q4847" s="2">
        <v>14.35</v>
      </c>
      <c r="R4847">
        <v>1</v>
      </c>
      <c r="S4847">
        <v>0</v>
      </c>
      <c r="T4847">
        <v>4</v>
      </c>
      <c r="U4847">
        <v>5</v>
      </c>
    </row>
    <row r="4848" spans="1:21" ht="16.5" x14ac:dyDescent="0.3">
      <c r="A4848" t="s">
        <v>4936</v>
      </c>
      <c r="B4848" s="1">
        <v>45978</v>
      </c>
      <c r="C4848">
        <v>2025</v>
      </c>
      <c r="D4848" t="s">
        <v>1738</v>
      </c>
      <c r="E4848" t="s">
        <v>1959</v>
      </c>
      <c r="F4848" t="s">
        <v>24</v>
      </c>
      <c r="G4848" t="s">
        <v>25</v>
      </c>
      <c r="H4848" t="s">
        <v>32</v>
      </c>
      <c r="I4848" t="s">
        <v>42</v>
      </c>
      <c r="J4848" t="s">
        <v>58</v>
      </c>
      <c r="K4848">
        <v>1</v>
      </c>
      <c r="L4848" s="2">
        <v>233.81</v>
      </c>
      <c r="M4848" s="3">
        <v>0.05</v>
      </c>
      <c r="N4848" t="s">
        <v>29</v>
      </c>
      <c r="O4848" s="2">
        <v>222.12</v>
      </c>
      <c r="P4848" s="2">
        <v>155.19999999999999</v>
      </c>
      <c r="Q4848" s="2">
        <v>66.92</v>
      </c>
      <c r="R4848">
        <v>1</v>
      </c>
      <c r="S4848">
        <v>0</v>
      </c>
      <c r="T4848">
        <v>5</v>
      </c>
      <c r="U4848">
        <v>4</v>
      </c>
    </row>
    <row r="4849" spans="1:21" ht="16.5" x14ac:dyDescent="0.3">
      <c r="A4849" t="s">
        <v>4937</v>
      </c>
      <c r="B4849" s="1">
        <v>45978</v>
      </c>
      <c r="C4849">
        <v>2025</v>
      </c>
      <c r="D4849" t="s">
        <v>1738</v>
      </c>
      <c r="E4849" t="s">
        <v>1959</v>
      </c>
      <c r="F4849" t="s">
        <v>24</v>
      </c>
      <c r="G4849" t="s">
        <v>65</v>
      </c>
      <c r="H4849" t="s">
        <v>32</v>
      </c>
      <c r="I4849" t="s">
        <v>42</v>
      </c>
      <c r="J4849" t="s">
        <v>58</v>
      </c>
      <c r="K4849">
        <v>3</v>
      </c>
      <c r="L4849" s="2">
        <v>233.81</v>
      </c>
      <c r="M4849" s="3">
        <v>0</v>
      </c>
      <c r="N4849" t="s">
        <v>38</v>
      </c>
      <c r="O4849" s="2">
        <v>701.43</v>
      </c>
      <c r="P4849" s="2">
        <v>473.42</v>
      </c>
      <c r="Q4849" s="2">
        <v>228.01</v>
      </c>
      <c r="R4849">
        <v>1</v>
      </c>
      <c r="S4849">
        <v>0</v>
      </c>
      <c r="T4849">
        <v>7</v>
      </c>
      <c r="U4849">
        <v>3</v>
      </c>
    </row>
    <row r="4850" spans="1:21" ht="16.5" x14ac:dyDescent="0.3">
      <c r="A4850" t="s">
        <v>4938</v>
      </c>
      <c r="B4850" s="1">
        <v>45978</v>
      </c>
      <c r="C4850">
        <v>2025</v>
      </c>
      <c r="D4850" t="s">
        <v>1738</v>
      </c>
      <c r="E4850" t="s">
        <v>1959</v>
      </c>
      <c r="F4850" t="s">
        <v>24</v>
      </c>
      <c r="G4850" t="s">
        <v>49</v>
      </c>
      <c r="H4850" t="s">
        <v>32</v>
      </c>
      <c r="I4850" t="s">
        <v>42</v>
      </c>
      <c r="J4850" t="s">
        <v>54</v>
      </c>
      <c r="K4850">
        <v>1</v>
      </c>
      <c r="L4850" s="2">
        <v>148.05000000000001</v>
      </c>
      <c r="M4850" s="3">
        <v>0.3</v>
      </c>
      <c r="N4850" t="s">
        <v>62</v>
      </c>
      <c r="O4850" s="2">
        <v>103.64</v>
      </c>
      <c r="P4850" s="2">
        <v>97.96</v>
      </c>
      <c r="Q4850" s="2">
        <v>5.68</v>
      </c>
      <c r="R4850">
        <v>1</v>
      </c>
      <c r="S4850">
        <v>0</v>
      </c>
      <c r="T4850">
        <v>4</v>
      </c>
      <c r="U4850">
        <v>5</v>
      </c>
    </row>
    <row r="4851" spans="1:21" ht="16.5" x14ac:dyDescent="0.3">
      <c r="A4851" t="s">
        <v>4939</v>
      </c>
      <c r="B4851" s="1">
        <v>45978</v>
      </c>
      <c r="C4851">
        <v>2025</v>
      </c>
      <c r="D4851" t="s">
        <v>1738</v>
      </c>
      <c r="E4851" t="s">
        <v>1959</v>
      </c>
      <c r="F4851" t="s">
        <v>24</v>
      </c>
      <c r="G4851" t="s">
        <v>65</v>
      </c>
      <c r="H4851" t="s">
        <v>32</v>
      </c>
      <c r="I4851" t="s">
        <v>70</v>
      </c>
      <c r="J4851" t="s">
        <v>82</v>
      </c>
      <c r="K4851">
        <v>1</v>
      </c>
      <c r="L4851" s="2">
        <v>508.8</v>
      </c>
      <c r="M4851" s="3">
        <v>0.1</v>
      </c>
      <c r="N4851" t="s">
        <v>29</v>
      </c>
      <c r="O4851" s="2">
        <v>457.92</v>
      </c>
      <c r="P4851" s="2">
        <v>397.51</v>
      </c>
      <c r="Q4851" s="2">
        <v>60.41</v>
      </c>
      <c r="R4851">
        <v>1</v>
      </c>
      <c r="S4851">
        <v>0</v>
      </c>
      <c r="T4851">
        <v>10</v>
      </c>
      <c r="U4851">
        <v>3</v>
      </c>
    </row>
    <row r="4852" spans="1:21" ht="16.5" x14ac:dyDescent="0.3">
      <c r="A4852" t="s">
        <v>4940</v>
      </c>
      <c r="B4852" s="1">
        <v>45978</v>
      </c>
      <c r="C4852">
        <v>2025</v>
      </c>
      <c r="D4852" t="s">
        <v>1738</v>
      </c>
      <c r="E4852" t="s">
        <v>1959</v>
      </c>
      <c r="F4852" t="s">
        <v>24</v>
      </c>
      <c r="G4852" t="s">
        <v>49</v>
      </c>
      <c r="H4852" t="s">
        <v>32</v>
      </c>
      <c r="I4852" t="s">
        <v>67</v>
      </c>
      <c r="J4852" t="s">
        <v>93</v>
      </c>
      <c r="K4852">
        <v>1</v>
      </c>
      <c r="L4852" s="2">
        <v>198.42</v>
      </c>
      <c r="M4852" s="3">
        <v>0.15</v>
      </c>
      <c r="N4852" t="s">
        <v>34</v>
      </c>
      <c r="O4852" s="2">
        <v>168.66</v>
      </c>
      <c r="P4852" s="2">
        <v>133.1</v>
      </c>
      <c r="Q4852" s="2">
        <v>35.56</v>
      </c>
      <c r="R4852">
        <v>1</v>
      </c>
      <c r="S4852">
        <v>0</v>
      </c>
      <c r="T4852">
        <v>4</v>
      </c>
      <c r="U4852">
        <v>4</v>
      </c>
    </row>
    <row r="4853" spans="1:21" ht="16.5" x14ac:dyDescent="0.3">
      <c r="A4853" t="s">
        <v>4941</v>
      </c>
      <c r="B4853" s="1">
        <v>45978</v>
      </c>
      <c r="C4853">
        <v>2025</v>
      </c>
      <c r="D4853" t="s">
        <v>1738</v>
      </c>
      <c r="E4853" t="s">
        <v>1959</v>
      </c>
      <c r="F4853" t="s">
        <v>24</v>
      </c>
      <c r="G4853" t="s">
        <v>25</v>
      </c>
      <c r="H4853" t="s">
        <v>26</v>
      </c>
      <c r="I4853" t="s">
        <v>67</v>
      </c>
      <c r="J4853" t="s">
        <v>93</v>
      </c>
      <c r="K4853">
        <v>3</v>
      </c>
      <c r="L4853" s="2">
        <v>198.42</v>
      </c>
      <c r="M4853" s="3">
        <v>0.25</v>
      </c>
      <c r="N4853" t="s">
        <v>62</v>
      </c>
      <c r="O4853" s="2">
        <v>446.44</v>
      </c>
      <c r="P4853" s="2">
        <v>392.13</v>
      </c>
      <c r="Q4853" s="2">
        <v>54.31</v>
      </c>
      <c r="R4853">
        <v>1</v>
      </c>
      <c r="S4853">
        <v>0</v>
      </c>
      <c r="T4853">
        <v>5</v>
      </c>
      <c r="U4853">
        <v>5</v>
      </c>
    </row>
    <row r="4854" spans="1:21" ht="16.5" x14ac:dyDescent="0.3">
      <c r="A4854" t="s">
        <v>4942</v>
      </c>
      <c r="B4854" s="1">
        <v>45978</v>
      </c>
      <c r="C4854">
        <v>2025</v>
      </c>
      <c r="D4854" t="s">
        <v>1738</v>
      </c>
      <c r="E4854" t="s">
        <v>1959</v>
      </c>
      <c r="F4854" t="s">
        <v>24</v>
      </c>
      <c r="G4854" t="s">
        <v>65</v>
      </c>
      <c r="H4854" t="s">
        <v>32</v>
      </c>
      <c r="I4854" t="s">
        <v>42</v>
      </c>
      <c r="J4854" t="s">
        <v>76</v>
      </c>
      <c r="K4854">
        <v>3</v>
      </c>
      <c r="L4854" s="2">
        <v>90.75</v>
      </c>
      <c r="M4854" s="3">
        <v>0.1</v>
      </c>
      <c r="N4854" t="s">
        <v>29</v>
      </c>
      <c r="O4854" s="2">
        <v>245.02</v>
      </c>
      <c r="P4854" s="2">
        <v>178.28</v>
      </c>
      <c r="Q4854" s="2">
        <v>66.739999999999995</v>
      </c>
      <c r="R4854">
        <v>1</v>
      </c>
      <c r="S4854">
        <v>0</v>
      </c>
      <c r="T4854">
        <v>6</v>
      </c>
      <c r="U4854">
        <v>3</v>
      </c>
    </row>
    <row r="4855" spans="1:21" ht="16.5" x14ac:dyDescent="0.3">
      <c r="A4855" t="s">
        <v>4943</v>
      </c>
      <c r="B4855" s="1">
        <v>45978</v>
      </c>
      <c r="C4855">
        <v>2025</v>
      </c>
      <c r="D4855" t="s">
        <v>1738</v>
      </c>
      <c r="E4855" t="s">
        <v>1959</v>
      </c>
      <c r="F4855" t="s">
        <v>24</v>
      </c>
      <c r="G4855" t="s">
        <v>49</v>
      </c>
      <c r="H4855" t="s">
        <v>32</v>
      </c>
      <c r="I4855" t="s">
        <v>70</v>
      </c>
      <c r="J4855" t="s">
        <v>82</v>
      </c>
      <c r="K4855">
        <v>3</v>
      </c>
      <c r="L4855" s="2">
        <v>508.8</v>
      </c>
      <c r="M4855" s="3">
        <v>0.2</v>
      </c>
      <c r="N4855" t="s">
        <v>34</v>
      </c>
      <c r="O4855" s="2">
        <v>1221.1199999999999</v>
      </c>
      <c r="P4855" s="2">
        <v>1264</v>
      </c>
      <c r="Q4855" s="2">
        <v>-42.88</v>
      </c>
      <c r="R4855">
        <v>1</v>
      </c>
      <c r="S4855">
        <v>0</v>
      </c>
      <c r="T4855">
        <v>4</v>
      </c>
      <c r="U4855">
        <v>4</v>
      </c>
    </row>
    <row r="4856" spans="1:21" ht="16.5" x14ac:dyDescent="0.3">
      <c r="A4856" t="s">
        <v>4944</v>
      </c>
      <c r="B4856" s="1">
        <v>45978</v>
      </c>
      <c r="C4856">
        <v>2025</v>
      </c>
      <c r="D4856" t="s">
        <v>1738</v>
      </c>
      <c r="E4856" t="s">
        <v>1959</v>
      </c>
      <c r="F4856" t="s">
        <v>45</v>
      </c>
      <c r="G4856" t="s">
        <v>49</v>
      </c>
      <c r="H4856" t="s">
        <v>32</v>
      </c>
      <c r="I4856" t="s">
        <v>84</v>
      </c>
      <c r="J4856" t="s">
        <v>223</v>
      </c>
      <c r="K4856">
        <v>1</v>
      </c>
      <c r="L4856" s="2">
        <v>16.97</v>
      </c>
      <c r="M4856" s="3">
        <v>0.25</v>
      </c>
      <c r="N4856" t="s">
        <v>62</v>
      </c>
      <c r="O4856" s="2">
        <v>12.73</v>
      </c>
      <c r="P4856" s="2">
        <v>12.21</v>
      </c>
      <c r="Q4856" s="2">
        <v>0.52</v>
      </c>
      <c r="R4856">
        <v>1</v>
      </c>
      <c r="S4856">
        <v>0</v>
      </c>
      <c r="T4856">
        <v>5</v>
      </c>
      <c r="U4856">
        <v>4</v>
      </c>
    </row>
    <row r="4857" spans="1:21" ht="16.5" x14ac:dyDescent="0.3">
      <c r="A4857" t="s">
        <v>4945</v>
      </c>
      <c r="B4857" s="1">
        <v>45979</v>
      </c>
      <c r="C4857">
        <v>2025</v>
      </c>
      <c r="D4857" t="s">
        <v>1738</v>
      </c>
      <c r="E4857" t="s">
        <v>1959</v>
      </c>
      <c r="F4857" t="s">
        <v>31</v>
      </c>
      <c r="G4857" t="s">
        <v>49</v>
      </c>
      <c r="H4857" t="s">
        <v>26</v>
      </c>
      <c r="I4857" t="s">
        <v>42</v>
      </c>
      <c r="J4857" t="s">
        <v>58</v>
      </c>
      <c r="K4857">
        <v>1</v>
      </c>
      <c r="L4857" s="2">
        <v>233.81</v>
      </c>
      <c r="M4857" s="3">
        <v>0.25</v>
      </c>
      <c r="N4857" t="s">
        <v>62</v>
      </c>
      <c r="O4857" s="2">
        <v>175.36</v>
      </c>
      <c r="P4857" s="2">
        <v>158.04</v>
      </c>
      <c r="Q4857" s="2">
        <v>17.32</v>
      </c>
      <c r="R4857">
        <v>1</v>
      </c>
      <c r="S4857">
        <v>0</v>
      </c>
      <c r="T4857">
        <v>5</v>
      </c>
      <c r="U4857">
        <v>4</v>
      </c>
    </row>
    <row r="4858" spans="1:21" ht="16.5" x14ac:dyDescent="0.3">
      <c r="A4858" t="s">
        <v>4946</v>
      </c>
      <c r="B4858" s="1">
        <v>45979</v>
      </c>
      <c r="C4858">
        <v>2025</v>
      </c>
      <c r="D4858" t="s">
        <v>1738</v>
      </c>
      <c r="E4858" t="s">
        <v>1959</v>
      </c>
      <c r="F4858" t="s">
        <v>45</v>
      </c>
      <c r="G4858" t="s">
        <v>65</v>
      </c>
      <c r="H4858" t="s">
        <v>32</v>
      </c>
      <c r="I4858" t="s">
        <v>42</v>
      </c>
      <c r="J4858" t="s">
        <v>58</v>
      </c>
      <c r="K4858">
        <v>2</v>
      </c>
      <c r="L4858" s="2">
        <v>233.81</v>
      </c>
      <c r="M4858" s="3">
        <v>0.2</v>
      </c>
      <c r="N4858" t="s">
        <v>34</v>
      </c>
      <c r="O4858" s="2">
        <v>374.1</v>
      </c>
      <c r="P4858" s="2">
        <v>314.02</v>
      </c>
      <c r="Q4858" s="2">
        <v>60.08</v>
      </c>
      <c r="R4858">
        <v>1</v>
      </c>
      <c r="S4858">
        <v>0</v>
      </c>
      <c r="T4858">
        <v>8</v>
      </c>
      <c r="U4858">
        <v>3</v>
      </c>
    </row>
    <row r="4859" spans="1:21" ht="16.5" x14ac:dyDescent="0.3">
      <c r="A4859" t="s">
        <v>4947</v>
      </c>
      <c r="B4859" s="1">
        <v>45979</v>
      </c>
      <c r="C4859">
        <v>2025</v>
      </c>
      <c r="D4859" t="s">
        <v>1738</v>
      </c>
      <c r="E4859" t="s">
        <v>1959</v>
      </c>
      <c r="F4859" t="s">
        <v>24</v>
      </c>
      <c r="G4859" t="s">
        <v>65</v>
      </c>
      <c r="H4859" t="s">
        <v>26</v>
      </c>
      <c r="I4859" t="s">
        <v>42</v>
      </c>
      <c r="J4859" t="s">
        <v>54</v>
      </c>
      <c r="K4859">
        <v>1</v>
      </c>
      <c r="L4859" s="2">
        <v>148.05000000000001</v>
      </c>
      <c r="M4859" s="3">
        <v>0.25</v>
      </c>
      <c r="N4859" t="s">
        <v>62</v>
      </c>
      <c r="O4859" s="2">
        <v>111.04</v>
      </c>
      <c r="P4859" s="2">
        <v>100.18</v>
      </c>
      <c r="Q4859" s="2">
        <v>10.86</v>
      </c>
      <c r="R4859">
        <v>1</v>
      </c>
      <c r="S4859">
        <v>0</v>
      </c>
      <c r="T4859">
        <v>9</v>
      </c>
      <c r="U4859">
        <v>4</v>
      </c>
    </row>
    <row r="4860" spans="1:21" ht="16.5" x14ac:dyDescent="0.3">
      <c r="A4860" t="s">
        <v>4948</v>
      </c>
      <c r="B4860" s="1">
        <v>45979</v>
      </c>
      <c r="C4860">
        <v>2025</v>
      </c>
      <c r="D4860" t="s">
        <v>1738</v>
      </c>
      <c r="E4860" t="s">
        <v>1959</v>
      </c>
      <c r="F4860" t="s">
        <v>31</v>
      </c>
      <c r="G4860" t="s">
        <v>46</v>
      </c>
      <c r="H4860" t="s">
        <v>32</v>
      </c>
      <c r="I4860" t="s">
        <v>70</v>
      </c>
      <c r="J4860" t="s">
        <v>87</v>
      </c>
      <c r="K4860">
        <v>1</v>
      </c>
      <c r="L4860" s="2">
        <v>490.3</v>
      </c>
      <c r="M4860" s="3">
        <v>0.2</v>
      </c>
      <c r="N4860" t="s">
        <v>34</v>
      </c>
      <c r="O4860" s="2">
        <v>392.24</v>
      </c>
      <c r="P4860" s="2">
        <v>382.14</v>
      </c>
      <c r="Q4860" s="2">
        <v>10.1</v>
      </c>
      <c r="R4860">
        <v>1</v>
      </c>
      <c r="S4860">
        <v>0</v>
      </c>
      <c r="T4860">
        <v>7</v>
      </c>
      <c r="U4860">
        <v>4</v>
      </c>
    </row>
    <row r="4861" spans="1:21" ht="16.5" x14ac:dyDescent="0.3">
      <c r="A4861" t="s">
        <v>4949</v>
      </c>
      <c r="B4861" s="1">
        <v>45979</v>
      </c>
      <c r="C4861">
        <v>2025</v>
      </c>
      <c r="D4861" t="s">
        <v>1738</v>
      </c>
      <c r="E4861" t="s">
        <v>1959</v>
      </c>
      <c r="F4861" t="s">
        <v>24</v>
      </c>
      <c r="G4861" t="s">
        <v>51</v>
      </c>
      <c r="H4861" t="s">
        <v>32</v>
      </c>
      <c r="I4861" t="s">
        <v>70</v>
      </c>
      <c r="J4861" t="s">
        <v>129</v>
      </c>
      <c r="K4861">
        <v>1</v>
      </c>
      <c r="L4861" s="2">
        <v>177.65</v>
      </c>
      <c r="M4861" s="3">
        <v>0.2</v>
      </c>
      <c r="N4861" t="s">
        <v>34</v>
      </c>
      <c r="O4861" s="2">
        <v>142.12</v>
      </c>
      <c r="P4861" s="2">
        <v>141.74</v>
      </c>
      <c r="Q4861" s="2">
        <v>0.38</v>
      </c>
      <c r="R4861">
        <v>1</v>
      </c>
      <c r="S4861">
        <v>0</v>
      </c>
      <c r="T4861">
        <v>5</v>
      </c>
      <c r="U4861">
        <v>4</v>
      </c>
    </row>
    <row r="4862" spans="1:21" ht="16.5" x14ac:dyDescent="0.3">
      <c r="A4862" t="s">
        <v>4950</v>
      </c>
      <c r="B4862" s="1">
        <v>45979</v>
      </c>
      <c r="C4862">
        <v>2025</v>
      </c>
      <c r="D4862" t="s">
        <v>1738</v>
      </c>
      <c r="E4862" t="s">
        <v>1959</v>
      </c>
      <c r="F4862" t="s">
        <v>31</v>
      </c>
      <c r="G4862" t="s">
        <v>25</v>
      </c>
      <c r="H4862" t="s">
        <v>26</v>
      </c>
      <c r="I4862" t="s">
        <v>27</v>
      </c>
      <c r="J4862" t="s">
        <v>40</v>
      </c>
      <c r="K4862">
        <v>1</v>
      </c>
      <c r="L4862" s="2">
        <v>104.94</v>
      </c>
      <c r="M4862" s="3">
        <v>0.25</v>
      </c>
      <c r="N4862" t="s">
        <v>62</v>
      </c>
      <c r="O4862" s="2">
        <v>78.7</v>
      </c>
      <c r="P4862" s="2">
        <v>56.29</v>
      </c>
      <c r="Q4862" s="2">
        <v>22.41</v>
      </c>
      <c r="R4862">
        <v>1</v>
      </c>
      <c r="S4862">
        <v>1</v>
      </c>
      <c r="T4862">
        <v>5</v>
      </c>
      <c r="U4862">
        <v>3</v>
      </c>
    </row>
    <row r="4863" spans="1:21" ht="16.5" x14ac:dyDescent="0.3">
      <c r="A4863" t="s">
        <v>4951</v>
      </c>
      <c r="B4863" s="1">
        <v>45979</v>
      </c>
      <c r="C4863">
        <v>2025</v>
      </c>
      <c r="D4863" t="s">
        <v>1738</v>
      </c>
      <c r="E4863" t="s">
        <v>1959</v>
      </c>
      <c r="F4863" t="s">
        <v>45</v>
      </c>
      <c r="G4863" t="s">
        <v>65</v>
      </c>
      <c r="H4863" t="s">
        <v>32</v>
      </c>
      <c r="I4863" t="s">
        <v>70</v>
      </c>
      <c r="J4863" t="s">
        <v>71</v>
      </c>
      <c r="K4863">
        <v>2</v>
      </c>
      <c r="L4863" s="2">
        <v>588.41</v>
      </c>
      <c r="M4863" s="3">
        <v>0.3</v>
      </c>
      <c r="N4863" t="s">
        <v>62</v>
      </c>
      <c r="O4863" s="2">
        <v>823.77</v>
      </c>
      <c r="P4863" s="2">
        <v>993.93</v>
      </c>
      <c r="Q4863" s="2">
        <v>-170.16</v>
      </c>
      <c r="R4863">
        <v>1</v>
      </c>
      <c r="S4863">
        <v>0</v>
      </c>
      <c r="T4863">
        <v>8</v>
      </c>
      <c r="U4863">
        <v>3</v>
      </c>
    </row>
    <row r="4864" spans="1:21" ht="16.5" x14ac:dyDescent="0.3">
      <c r="A4864" t="s">
        <v>4952</v>
      </c>
      <c r="B4864" s="1">
        <v>45979</v>
      </c>
      <c r="C4864">
        <v>2025</v>
      </c>
      <c r="D4864" t="s">
        <v>1738</v>
      </c>
      <c r="E4864" t="s">
        <v>1959</v>
      </c>
      <c r="F4864" t="s">
        <v>31</v>
      </c>
      <c r="G4864" t="s">
        <v>51</v>
      </c>
      <c r="H4864" t="s">
        <v>32</v>
      </c>
      <c r="I4864" t="s">
        <v>27</v>
      </c>
      <c r="J4864" t="s">
        <v>47</v>
      </c>
      <c r="K4864">
        <v>1</v>
      </c>
      <c r="L4864" s="2">
        <v>33.99</v>
      </c>
      <c r="M4864" s="3">
        <v>0</v>
      </c>
      <c r="N4864" t="s">
        <v>38</v>
      </c>
      <c r="O4864" s="2">
        <v>33.99</v>
      </c>
      <c r="P4864" s="2">
        <v>18.91</v>
      </c>
      <c r="Q4864" s="2">
        <v>15.08</v>
      </c>
      <c r="R4864">
        <v>1</v>
      </c>
      <c r="S4864">
        <v>0</v>
      </c>
      <c r="T4864">
        <v>3</v>
      </c>
      <c r="U4864">
        <v>5</v>
      </c>
    </row>
    <row r="4865" spans="1:21" ht="16.5" x14ac:dyDescent="0.3">
      <c r="A4865" t="s">
        <v>4953</v>
      </c>
      <c r="B4865" s="1">
        <v>45979</v>
      </c>
      <c r="C4865">
        <v>2025</v>
      </c>
      <c r="D4865" t="s">
        <v>1738</v>
      </c>
      <c r="E4865" t="s">
        <v>1959</v>
      </c>
      <c r="F4865" t="s">
        <v>24</v>
      </c>
      <c r="G4865" t="s">
        <v>25</v>
      </c>
      <c r="H4865" t="s">
        <v>26</v>
      </c>
      <c r="I4865" t="s">
        <v>70</v>
      </c>
      <c r="J4865" t="s">
        <v>71</v>
      </c>
      <c r="K4865">
        <v>2</v>
      </c>
      <c r="L4865" s="2">
        <v>588.41</v>
      </c>
      <c r="M4865" s="3">
        <v>0.2</v>
      </c>
      <c r="N4865" t="s">
        <v>34</v>
      </c>
      <c r="O4865" s="2">
        <v>941.46</v>
      </c>
      <c r="P4865" s="2">
        <v>923.24</v>
      </c>
      <c r="Q4865" s="2">
        <v>18.22</v>
      </c>
      <c r="R4865">
        <v>1</v>
      </c>
      <c r="S4865">
        <v>0</v>
      </c>
      <c r="T4865">
        <v>4</v>
      </c>
      <c r="U4865">
        <v>5</v>
      </c>
    </row>
    <row r="4866" spans="1:21" ht="16.5" x14ac:dyDescent="0.3">
      <c r="A4866" t="s">
        <v>4954</v>
      </c>
      <c r="B4866" s="1">
        <v>45979</v>
      </c>
      <c r="C4866">
        <v>2025</v>
      </c>
      <c r="D4866" t="s">
        <v>1738</v>
      </c>
      <c r="E4866" t="s">
        <v>1959</v>
      </c>
      <c r="F4866" t="s">
        <v>24</v>
      </c>
      <c r="G4866" t="s">
        <v>51</v>
      </c>
      <c r="H4866" t="s">
        <v>32</v>
      </c>
      <c r="I4866" t="s">
        <v>27</v>
      </c>
      <c r="J4866" t="s">
        <v>110</v>
      </c>
      <c r="K4866">
        <v>2</v>
      </c>
      <c r="L4866" s="2">
        <v>19.41</v>
      </c>
      <c r="M4866" s="3">
        <v>0</v>
      </c>
      <c r="N4866" t="s">
        <v>38</v>
      </c>
      <c r="O4866" s="2">
        <v>38.82</v>
      </c>
      <c r="P4866" s="2">
        <v>19.920000000000002</v>
      </c>
      <c r="Q4866" s="2">
        <v>18.899999999999999</v>
      </c>
      <c r="R4866">
        <v>1</v>
      </c>
      <c r="S4866">
        <v>0</v>
      </c>
      <c r="T4866">
        <v>4</v>
      </c>
      <c r="U4866">
        <v>5</v>
      </c>
    </row>
    <row r="4867" spans="1:21" ht="16.5" x14ac:dyDescent="0.3">
      <c r="A4867" t="s">
        <v>4955</v>
      </c>
      <c r="B4867" s="1">
        <v>45979</v>
      </c>
      <c r="C4867">
        <v>2025</v>
      </c>
      <c r="D4867" t="s">
        <v>1738</v>
      </c>
      <c r="E4867" t="s">
        <v>1959</v>
      </c>
      <c r="F4867" t="s">
        <v>31</v>
      </c>
      <c r="G4867" t="s">
        <v>65</v>
      </c>
      <c r="H4867" t="s">
        <v>26</v>
      </c>
      <c r="I4867" t="s">
        <v>70</v>
      </c>
      <c r="J4867" t="s">
        <v>71</v>
      </c>
      <c r="K4867">
        <v>1</v>
      </c>
      <c r="L4867" s="2">
        <v>588.41</v>
      </c>
      <c r="M4867" s="3">
        <v>0.3</v>
      </c>
      <c r="N4867" t="s">
        <v>62</v>
      </c>
      <c r="O4867" s="2">
        <v>411.89</v>
      </c>
      <c r="P4867" s="2">
        <v>449.43</v>
      </c>
      <c r="Q4867" s="2">
        <v>-37.54</v>
      </c>
      <c r="R4867">
        <v>1</v>
      </c>
      <c r="S4867">
        <v>0</v>
      </c>
      <c r="T4867">
        <v>6</v>
      </c>
      <c r="U4867">
        <v>4</v>
      </c>
    </row>
    <row r="4868" spans="1:21" ht="16.5" x14ac:dyDescent="0.3">
      <c r="A4868" t="s">
        <v>4956</v>
      </c>
      <c r="B4868" s="1">
        <v>45979</v>
      </c>
      <c r="C4868">
        <v>2025</v>
      </c>
      <c r="D4868" t="s">
        <v>1738</v>
      </c>
      <c r="E4868" t="s">
        <v>1959</v>
      </c>
      <c r="F4868" t="s">
        <v>31</v>
      </c>
      <c r="G4868" t="s">
        <v>49</v>
      </c>
      <c r="H4868" t="s">
        <v>32</v>
      </c>
      <c r="I4868" t="s">
        <v>67</v>
      </c>
      <c r="J4868" t="s">
        <v>68</v>
      </c>
      <c r="K4868">
        <v>1</v>
      </c>
      <c r="L4868" s="2">
        <v>74.459999999999994</v>
      </c>
      <c r="M4868" s="3">
        <v>0.25</v>
      </c>
      <c r="N4868" t="s">
        <v>62</v>
      </c>
      <c r="O4868" s="2">
        <v>55.84</v>
      </c>
      <c r="P4868" s="2">
        <v>50.29</v>
      </c>
      <c r="Q4868" s="2">
        <v>5.55</v>
      </c>
      <c r="R4868">
        <v>1</v>
      </c>
      <c r="S4868">
        <v>0</v>
      </c>
      <c r="T4868">
        <v>5</v>
      </c>
      <c r="U4868">
        <v>5</v>
      </c>
    </row>
    <row r="4869" spans="1:21" ht="16.5" x14ac:dyDescent="0.3">
      <c r="A4869" t="s">
        <v>4957</v>
      </c>
      <c r="B4869" s="1">
        <v>45979</v>
      </c>
      <c r="C4869">
        <v>2025</v>
      </c>
      <c r="D4869" t="s">
        <v>1738</v>
      </c>
      <c r="E4869" t="s">
        <v>1959</v>
      </c>
      <c r="F4869" t="s">
        <v>31</v>
      </c>
      <c r="G4869" t="s">
        <v>65</v>
      </c>
      <c r="H4869" t="s">
        <v>26</v>
      </c>
      <c r="I4869" t="s">
        <v>67</v>
      </c>
      <c r="J4869" t="s">
        <v>93</v>
      </c>
      <c r="K4869">
        <v>2</v>
      </c>
      <c r="L4869" s="2">
        <v>198.42</v>
      </c>
      <c r="M4869" s="3">
        <v>0.25</v>
      </c>
      <c r="N4869" t="s">
        <v>62</v>
      </c>
      <c r="O4869" s="2">
        <v>297.63</v>
      </c>
      <c r="P4869" s="2">
        <v>260.3</v>
      </c>
      <c r="Q4869" s="2">
        <v>37.33</v>
      </c>
      <c r="R4869">
        <v>1</v>
      </c>
      <c r="S4869">
        <v>0</v>
      </c>
      <c r="T4869">
        <v>6</v>
      </c>
      <c r="U4869">
        <v>3</v>
      </c>
    </row>
    <row r="4870" spans="1:21" ht="16.5" x14ac:dyDescent="0.3">
      <c r="A4870" t="s">
        <v>4958</v>
      </c>
      <c r="B4870" s="1">
        <v>45979</v>
      </c>
      <c r="C4870">
        <v>2025</v>
      </c>
      <c r="D4870" t="s">
        <v>1738</v>
      </c>
      <c r="E4870" t="s">
        <v>1959</v>
      </c>
      <c r="F4870" t="s">
        <v>31</v>
      </c>
      <c r="G4870" t="s">
        <v>49</v>
      </c>
      <c r="H4870" t="s">
        <v>32</v>
      </c>
      <c r="I4870" t="s">
        <v>27</v>
      </c>
      <c r="J4870" t="s">
        <v>40</v>
      </c>
      <c r="K4870">
        <v>1</v>
      </c>
      <c r="L4870" s="2">
        <v>104.94</v>
      </c>
      <c r="M4870" s="3">
        <v>0.1</v>
      </c>
      <c r="N4870" t="s">
        <v>29</v>
      </c>
      <c r="O4870" s="2">
        <v>94.45</v>
      </c>
      <c r="P4870" s="2">
        <v>56.53</v>
      </c>
      <c r="Q4870" s="2">
        <v>37.92</v>
      </c>
      <c r="R4870">
        <v>1</v>
      </c>
      <c r="S4870">
        <v>0</v>
      </c>
      <c r="T4870">
        <v>5</v>
      </c>
      <c r="U4870">
        <v>4</v>
      </c>
    </row>
    <row r="4871" spans="1:21" ht="16.5" x14ac:dyDescent="0.3">
      <c r="A4871" t="s">
        <v>4959</v>
      </c>
      <c r="B4871" s="1">
        <v>45979</v>
      </c>
      <c r="C4871">
        <v>2025</v>
      </c>
      <c r="D4871" t="s">
        <v>1738</v>
      </c>
      <c r="E4871" t="s">
        <v>1959</v>
      </c>
      <c r="F4871" t="s">
        <v>31</v>
      </c>
      <c r="G4871" t="s">
        <v>25</v>
      </c>
      <c r="H4871" t="s">
        <v>32</v>
      </c>
      <c r="I4871" t="s">
        <v>27</v>
      </c>
      <c r="J4871" t="s">
        <v>40</v>
      </c>
      <c r="K4871">
        <v>1</v>
      </c>
      <c r="L4871" s="2">
        <v>104.94</v>
      </c>
      <c r="M4871" s="3">
        <v>0.1</v>
      </c>
      <c r="N4871" t="s">
        <v>29</v>
      </c>
      <c r="O4871" s="2">
        <v>94.45</v>
      </c>
      <c r="P4871" s="2">
        <v>53.98</v>
      </c>
      <c r="Q4871" s="2">
        <v>40.47</v>
      </c>
      <c r="R4871">
        <v>1</v>
      </c>
      <c r="S4871">
        <v>0</v>
      </c>
      <c r="T4871">
        <v>4</v>
      </c>
      <c r="U4871">
        <v>4</v>
      </c>
    </row>
    <row r="4872" spans="1:21" ht="16.5" x14ac:dyDescent="0.3">
      <c r="A4872" t="s">
        <v>4960</v>
      </c>
      <c r="B4872" s="1">
        <v>45979</v>
      </c>
      <c r="C4872">
        <v>2025</v>
      </c>
      <c r="D4872" t="s">
        <v>1738</v>
      </c>
      <c r="E4872" t="s">
        <v>1959</v>
      </c>
      <c r="F4872" t="s">
        <v>31</v>
      </c>
      <c r="G4872" t="s">
        <v>49</v>
      </c>
      <c r="H4872" t="s">
        <v>26</v>
      </c>
      <c r="I4872" t="s">
        <v>27</v>
      </c>
      <c r="J4872" t="s">
        <v>28</v>
      </c>
      <c r="K4872">
        <v>1</v>
      </c>
      <c r="L4872" s="2">
        <v>138.5</v>
      </c>
      <c r="M4872" s="3">
        <v>0.3</v>
      </c>
      <c r="N4872" t="s">
        <v>62</v>
      </c>
      <c r="O4872" s="2">
        <v>96.95</v>
      </c>
      <c r="P4872" s="2">
        <v>77.16</v>
      </c>
      <c r="Q4872" s="2">
        <v>19.79</v>
      </c>
      <c r="R4872">
        <v>1</v>
      </c>
      <c r="S4872">
        <v>0</v>
      </c>
      <c r="T4872">
        <v>4</v>
      </c>
      <c r="U4872">
        <v>4</v>
      </c>
    </row>
    <row r="4873" spans="1:21" ht="16.5" x14ac:dyDescent="0.3">
      <c r="A4873" t="s">
        <v>4961</v>
      </c>
      <c r="B4873" s="1">
        <v>45979</v>
      </c>
      <c r="C4873">
        <v>2025</v>
      </c>
      <c r="D4873" t="s">
        <v>1738</v>
      </c>
      <c r="E4873" t="s">
        <v>1959</v>
      </c>
      <c r="F4873" t="s">
        <v>45</v>
      </c>
      <c r="G4873" t="s">
        <v>49</v>
      </c>
      <c r="H4873" t="s">
        <v>32</v>
      </c>
      <c r="I4873" t="s">
        <v>36</v>
      </c>
      <c r="J4873" t="s">
        <v>56</v>
      </c>
      <c r="K4873">
        <v>4</v>
      </c>
      <c r="L4873" s="2">
        <v>74.3</v>
      </c>
      <c r="M4873" s="3">
        <v>0</v>
      </c>
      <c r="N4873" t="s">
        <v>38</v>
      </c>
      <c r="O4873" s="2">
        <v>297.2</v>
      </c>
      <c r="P4873" s="2">
        <v>146.04</v>
      </c>
      <c r="Q4873" s="2">
        <v>151.16</v>
      </c>
      <c r="R4873">
        <v>1</v>
      </c>
      <c r="S4873">
        <v>0</v>
      </c>
      <c r="T4873">
        <v>5</v>
      </c>
      <c r="U4873">
        <v>4</v>
      </c>
    </row>
    <row r="4874" spans="1:21" ht="16.5" x14ac:dyDescent="0.3">
      <c r="A4874" t="s">
        <v>4962</v>
      </c>
      <c r="B4874" s="1">
        <v>45980</v>
      </c>
      <c r="C4874">
        <v>2025</v>
      </c>
      <c r="D4874" t="s">
        <v>1738</v>
      </c>
      <c r="E4874" t="s">
        <v>1959</v>
      </c>
      <c r="F4874" t="s">
        <v>24</v>
      </c>
      <c r="G4874" t="s">
        <v>65</v>
      </c>
      <c r="H4874" t="s">
        <v>26</v>
      </c>
      <c r="I4874" t="s">
        <v>42</v>
      </c>
      <c r="J4874" t="s">
        <v>98</v>
      </c>
      <c r="K4874">
        <v>2</v>
      </c>
      <c r="L4874" s="2">
        <v>117.63</v>
      </c>
      <c r="M4874" s="3">
        <v>0.25</v>
      </c>
      <c r="N4874" t="s">
        <v>62</v>
      </c>
      <c r="O4874" s="2">
        <v>176.44</v>
      </c>
      <c r="P4874" s="2">
        <v>152.01</v>
      </c>
      <c r="Q4874" s="2">
        <v>24.43</v>
      </c>
      <c r="R4874">
        <v>1</v>
      </c>
      <c r="S4874">
        <v>0</v>
      </c>
      <c r="T4874">
        <v>8</v>
      </c>
      <c r="U4874">
        <v>4</v>
      </c>
    </row>
    <row r="4875" spans="1:21" ht="16.5" x14ac:dyDescent="0.3">
      <c r="A4875" t="s">
        <v>4963</v>
      </c>
      <c r="B4875" s="1">
        <v>45980</v>
      </c>
      <c r="C4875">
        <v>2025</v>
      </c>
      <c r="D4875" t="s">
        <v>1738</v>
      </c>
      <c r="E4875" t="s">
        <v>1959</v>
      </c>
      <c r="F4875" t="s">
        <v>24</v>
      </c>
      <c r="G4875" t="s">
        <v>51</v>
      </c>
      <c r="H4875" t="s">
        <v>32</v>
      </c>
      <c r="I4875" t="s">
        <v>36</v>
      </c>
      <c r="J4875" t="s">
        <v>126</v>
      </c>
      <c r="K4875">
        <v>1</v>
      </c>
      <c r="L4875" s="2">
        <v>54.56</v>
      </c>
      <c r="M4875" s="3">
        <v>0.1</v>
      </c>
      <c r="N4875" t="s">
        <v>29</v>
      </c>
      <c r="O4875" s="2">
        <v>49.1</v>
      </c>
      <c r="P4875" s="2">
        <v>25.99</v>
      </c>
      <c r="Q4875" s="2">
        <v>23.11</v>
      </c>
      <c r="R4875">
        <v>1</v>
      </c>
      <c r="S4875">
        <v>0</v>
      </c>
      <c r="T4875">
        <v>5</v>
      </c>
      <c r="U4875">
        <v>5</v>
      </c>
    </row>
    <row r="4876" spans="1:21" ht="16.5" x14ac:dyDescent="0.3">
      <c r="A4876" t="s">
        <v>4964</v>
      </c>
      <c r="B4876" s="1">
        <v>45980</v>
      </c>
      <c r="C4876">
        <v>2025</v>
      </c>
      <c r="D4876" t="s">
        <v>1738</v>
      </c>
      <c r="E4876" t="s">
        <v>1959</v>
      </c>
      <c r="F4876" t="s">
        <v>45</v>
      </c>
      <c r="G4876" t="s">
        <v>65</v>
      </c>
      <c r="H4876" t="s">
        <v>26</v>
      </c>
      <c r="I4876" t="s">
        <v>70</v>
      </c>
      <c r="J4876" t="s">
        <v>162</v>
      </c>
      <c r="K4876">
        <v>4</v>
      </c>
      <c r="L4876" s="2">
        <v>636.09</v>
      </c>
      <c r="M4876" s="3">
        <v>0.2</v>
      </c>
      <c r="N4876" t="s">
        <v>34</v>
      </c>
      <c r="O4876" s="2">
        <v>2035.49</v>
      </c>
      <c r="P4876" s="2">
        <v>1916.21</v>
      </c>
      <c r="Q4876" s="2">
        <v>119.28</v>
      </c>
      <c r="R4876">
        <v>1</v>
      </c>
      <c r="S4876">
        <v>0</v>
      </c>
      <c r="T4876">
        <v>6</v>
      </c>
      <c r="U4876">
        <v>3</v>
      </c>
    </row>
    <row r="4877" spans="1:21" ht="16.5" x14ac:dyDescent="0.3">
      <c r="A4877" t="s">
        <v>4965</v>
      </c>
      <c r="B4877" s="1">
        <v>45980</v>
      </c>
      <c r="C4877">
        <v>2025</v>
      </c>
      <c r="D4877" t="s">
        <v>1738</v>
      </c>
      <c r="E4877" t="s">
        <v>1959</v>
      </c>
      <c r="F4877" t="s">
        <v>24</v>
      </c>
      <c r="G4877" t="s">
        <v>51</v>
      </c>
      <c r="H4877" t="s">
        <v>32</v>
      </c>
      <c r="I4877" t="s">
        <v>70</v>
      </c>
      <c r="J4877" t="s">
        <v>252</v>
      </c>
      <c r="K4877">
        <v>2</v>
      </c>
      <c r="L4877" s="2">
        <v>216.08</v>
      </c>
      <c r="M4877" s="3">
        <v>0.25</v>
      </c>
      <c r="N4877" t="s">
        <v>62</v>
      </c>
      <c r="O4877" s="2">
        <v>324.12</v>
      </c>
      <c r="P4877" s="2">
        <v>332.12</v>
      </c>
      <c r="Q4877" s="2">
        <v>-8</v>
      </c>
      <c r="R4877">
        <v>1</v>
      </c>
      <c r="S4877">
        <v>0</v>
      </c>
      <c r="T4877">
        <v>5</v>
      </c>
      <c r="U4877">
        <v>4</v>
      </c>
    </row>
    <row r="4878" spans="1:21" ht="16.5" x14ac:dyDescent="0.3">
      <c r="A4878" t="s">
        <v>4966</v>
      </c>
      <c r="B4878" s="1">
        <v>45980</v>
      </c>
      <c r="C4878">
        <v>2025</v>
      </c>
      <c r="D4878" t="s">
        <v>1738</v>
      </c>
      <c r="E4878" t="s">
        <v>1959</v>
      </c>
      <c r="F4878" t="s">
        <v>24</v>
      </c>
      <c r="G4878" t="s">
        <v>49</v>
      </c>
      <c r="H4878" t="s">
        <v>26</v>
      </c>
      <c r="I4878" t="s">
        <v>70</v>
      </c>
      <c r="J4878" t="s">
        <v>87</v>
      </c>
      <c r="K4878">
        <v>2</v>
      </c>
      <c r="L4878" s="2">
        <v>490.3</v>
      </c>
      <c r="M4878" s="3">
        <v>0.15</v>
      </c>
      <c r="N4878" t="s">
        <v>34</v>
      </c>
      <c r="O4878" s="2">
        <v>833.51</v>
      </c>
      <c r="P4878" s="2">
        <v>787.17</v>
      </c>
      <c r="Q4878" s="2">
        <v>46.34</v>
      </c>
      <c r="R4878">
        <v>1</v>
      </c>
      <c r="S4878">
        <v>0</v>
      </c>
      <c r="T4878">
        <v>6</v>
      </c>
      <c r="U4878">
        <v>3</v>
      </c>
    </row>
    <row r="4879" spans="1:21" ht="16.5" x14ac:dyDescent="0.3">
      <c r="A4879" t="s">
        <v>4967</v>
      </c>
      <c r="B4879" s="1">
        <v>45980</v>
      </c>
      <c r="C4879">
        <v>2025</v>
      </c>
      <c r="D4879" t="s">
        <v>1738</v>
      </c>
      <c r="E4879" t="s">
        <v>1959</v>
      </c>
      <c r="F4879" t="s">
        <v>24</v>
      </c>
      <c r="G4879" t="s">
        <v>46</v>
      </c>
      <c r="H4879" t="s">
        <v>26</v>
      </c>
      <c r="I4879" t="s">
        <v>36</v>
      </c>
      <c r="J4879" t="s">
        <v>37</v>
      </c>
      <c r="K4879">
        <v>1</v>
      </c>
      <c r="L4879" s="2">
        <v>33.18</v>
      </c>
      <c r="M4879" s="3">
        <v>0.2</v>
      </c>
      <c r="N4879" t="s">
        <v>34</v>
      </c>
      <c r="O4879" s="2">
        <v>26.54</v>
      </c>
      <c r="P4879" s="2">
        <v>16</v>
      </c>
      <c r="Q4879" s="2">
        <v>10.54</v>
      </c>
      <c r="R4879">
        <v>1</v>
      </c>
      <c r="S4879">
        <v>0</v>
      </c>
      <c r="T4879">
        <v>6</v>
      </c>
      <c r="U4879">
        <v>4</v>
      </c>
    </row>
    <row r="4880" spans="1:21" ht="16.5" x14ac:dyDescent="0.3">
      <c r="A4880" t="s">
        <v>4968</v>
      </c>
      <c r="B4880" s="1">
        <v>45980</v>
      </c>
      <c r="C4880">
        <v>2025</v>
      </c>
      <c r="D4880" t="s">
        <v>1738</v>
      </c>
      <c r="E4880" t="s">
        <v>1959</v>
      </c>
      <c r="F4880" t="s">
        <v>31</v>
      </c>
      <c r="G4880" t="s">
        <v>65</v>
      </c>
      <c r="H4880" t="s">
        <v>26</v>
      </c>
      <c r="I4880" t="s">
        <v>70</v>
      </c>
      <c r="J4880" t="s">
        <v>129</v>
      </c>
      <c r="K4880">
        <v>2</v>
      </c>
      <c r="L4880" s="2">
        <v>177.65</v>
      </c>
      <c r="M4880" s="3">
        <v>0.05</v>
      </c>
      <c r="N4880" t="s">
        <v>29</v>
      </c>
      <c r="O4880" s="2">
        <v>337.54</v>
      </c>
      <c r="P4880" s="2">
        <v>294.72000000000003</v>
      </c>
      <c r="Q4880" s="2">
        <v>42.82</v>
      </c>
      <c r="R4880">
        <v>1</v>
      </c>
      <c r="S4880">
        <v>0</v>
      </c>
      <c r="T4880">
        <v>8</v>
      </c>
      <c r="U4880">
        <v>3</v>
      </c>
    </row>
    <row r="4881" spans="1:21" ht="16.5" x14ac:dyDescent="0.3">
      <c r="A4881" t="s">
        <v>4969</v>
      </c>
      <c r="B4881" s="1">
        <v>45980</v>
      </c>
      <c r="C4881">
        <v>2025</v>
      </c>
      <c r="D4881" t="s">
        <v>1738</v>
      </c>
      <c r="E4881" t="s">
        <v>1959</v>
      </c>
      <c r="F4881" t="s">
        <v>45</v>
      </c>
      <c r="G4881" t="s">
        <v>46</v>
      </c>
      <c r="H4881" t="s">
        <v>32</v>
      </c>
      <c r="I4881" t="s">
        <v>67</v>
      </c>
      <c r="J4881" t="s">
        <v>78</v>
      </c>
      <c r="K4881">
        <v>1</v>
      </c>
      <c r="L4881" s="2">
        <v>85.42</v>
      </c>
      <c r="M4881" s="3">
        <v>0.1</v>
      </c>
      <c r="N4881" t="s">
        <v>29</v>
      </c>
      <c r="O4881" s="2">
        <v>76.88</v>
      </c>
      <c r="P4881" s="2">
        <v>56.9</v>
      </c>
      <c r="Q4881" s="2">
        <v>19.98</v>
      </c>
      <c r="R4881">
        <v>1</v>
      </c>
      <c r="S4881">
        <v>0</v>
      </c>
      <c r="T4881">
        <v>7</v>
      </c>
      <c r="U4881">
        <v>3</v>
      </c>
    </row>
    <row r="4882" spans="1:21" ht="16.5" x14ac:dyDescent="0.3">
      <c r="A4882" t="s">
        <v>4970</v>
      </c>
      <c r="B4882" s="1">
        <v>45980</v>
      </c>
      <c r="C4882">
        <v>2025</v>
      </c>
      <c r="D4882" t="s">
        <v>1738</v>
      </c>
      <c r="E4882" t="s">
        <v>1959</v>
      </c>
      <c r="F4882" t="s">
        <v>24</v>
      </c>
      <c r="G4882" t="s">
        <v>46</v>
      </c>
      <c r="H4882" t="s">
        <v>32</v>
      </c>
      <c r="I4882" t="s">
        <v>84</v>
      </c>
      <c r="J4882" t="s">
        <v>106</v>
      </c>
      <c r="K4882">
        <v>3</v>
      </c>
      <c r="L4882" s="2">
        <v>45.28</v>
      </c>
      <c r="M4882" s="3">
        <v>0.25</v>
      </c>
      <c r="N4882" t="s">
        <v>62</v>
      </c>
      <c r="O4882" s="2">
        <v>101.88</v>
      </c>
      <c r="P4882" s="2">
        <v>107.55</v>
      </c>
      <c r="Q4882" s="2">
        <v>-5.67</v>
      </c>
      <c r="R4882">
        <v>1</v>
      </c>
      <c r="S4882">
        <v>0</v>
      </c>
      <c r="T4882">
        <v>7</v>
      </c>
      <c r="U4882">
        <v>4</v>
      </c>
    </row>
    <row r="4883" spans="1:21" ht="16.5" x14ac:dyDescent="0.3">
      <c r="A4883" t="s">
        <v>4971</v>
      </c>
      <c r="B4883" s="1">
        <v>45980</v>
      </c>
      <c r="C4883">
        <v>2025</v>
      </c>
      <c r="D4883" t="s">
        <v>1738</v>
      </c>
      <c r="E4883" t="s">
        <v>1959</v>
      </c>
      <c r="F4883" t="s">
        <v>24</v>
      </c>
      <c r="G4883" t="s">
        <v>51</v>
      </c>
      <c r="H4883" t="s">
        <v>26</v>
      </c>
      <c r="I4883" t="s">
        <v>36</v>
      </c>
      <c r="J4883" t="s">
        <v>52</v>
      </c>
      <c r="K4883">
        <v>1</v>
      </c>
      <c r="L4883" s="2">
        <v>92.54</v>
      </c>
      <c r="M4883" s="3">
        <v>0.15</v>
      </c>
      <c r="N4883" t="s">
        <v>34</v>
      </c>
      <c r="O4883" s="2">
        <v>78.66</v>
      </c>
      <c r="P4883" s="2">
        <v>45.46</v>
      </c>
      <c r="Q4883" s="2">
        <v>33.200000000000003</v>
      </c>
      <c r="R4883">
        <v>1</v>
      </c>
      <c r="S4883">
        <v>0</v>
      </c>
      <c r="T4883">
        <v>4</v>
      </c>
      <c r="U4883">
        <v>5</v>
      </c>
    </row>
    <row r="4884" spans="1:21" ht="16.5" x14ac:dyDescent="0.3">
      <c r="A4884" t="s">
        <v>4972</v>
      </c>
      <c r="B4884" s="1">
        <v>45980</v>
      </c>
      <c r="C4884">
        <v>2025</v>
      </c>
      <c r="D4884" t="s">
        <v>1738</v>
      </c>
      <c r="E4884" t="s">
        <v>1959</v>
      </c>
      <c r="F4884" t="s">
        <v>24</v>
      </c>
      <c r="G4884" t="s">
        <v>51</v>
      </c>
      <c r="H4884" t="s">
        <v>32</v>
      </c>
      <c r="I4884" t="s">
        <v>42</v>
      </c>
      <c r="J4884" t="s">
        <v>76</v>
      </c>
      <c r="K4884">
        <v>1</v>
      </c>
      <c r="L4884" s="2">
        <v>90.75</v>
      </c>
      <c r="M4884" s="3">
        <v>0.2</v>
      </c>
      <c r="N4884" t="s">
        <v>34</v>
      </c>
      <c r="O4884" s="2">
        <v>72.599999999999994</v>
      </c>
      <c r="P4884" s="2">
        <v>60.02</v>
      </c>
      <c r="Q4884" s="2">
        <v>12.58</v>
      </c>
      <c r="R4884">
        <v>1</v>
      </c>
      <c r="S4884">
        <v>0</v>
      </c>
      <c r="T4884">
        <v>3</v>
      </c>
      <c r="U4884">
        <v>5</v>
      </c>
    </row>
    <row r="4885" spans="1:21" ht="16.5" x14ac:dyDescent="0.3">
      <c r="A4885" t="s">
        <v>4973</v>
      </c>
      <c r="B4885" s="1">
        <v>45980</v>
      </c>
      <c r="C4885">
        <v>2025</v>
      </c>
      <c r="D4885" t="s">
        <v>1738</v>
      </c>
      <c r="E4885" t="s">
        <v>1959</v>
      </c>
      <c r="F4885" t="s">
        <v>24</v>
      </c>
      <c r="G4885" t="s">
        <v>51</v>
      </c>
      <c r="H4885" t="s">
        <v>26</v>
      </c>
      <c r="I4885" t="s">
        <v>27</v>
      </c>
      <c r="J4885" t="s">
        <v>47</v>
      </c>
      <c r="K4885">
        <v>1</v>
      </c>
      <c r="L4885" s="2">
        <v>33.99</v>
      </c>
      <c r="M4885" s="3">
        <v>0.15</v>
      </c>
      <c r="N4885" t="s">
        <v>34</v>
      </c>
      <c r="O4885" s="2">
        <v>28.89</v>
      </c>
      <c r="P4885" s="2">
        <v>18.170000000000002</v>
      </c>
      <c r="Q4885" s="2">
        <v>10.72</v>
      </c>
      <c r="R4885">
        <v>1</v>
      </c>
      <c r="S4885">
        <v>0</v>
      </c>
      <c r="T4885">
        <v>4</v>
      </c>
      <c r="U4885">
        <v>4</v>
      </c>
    </row>
    <row r="4886" spans="1:21" ht="16.5" x14ac:dyDescent="0.3">
      <c r="A4886" t="s">
        <v>4974</v>
      </c>
      <c r="B4886" s="1">
        <v>45980</v>
      </c>
      <c r="C4886">
        <v>2025</v>
      </c>
      <c r="D4886" t="s">
        <v>1738</v>
      </c>
      <c r="E4886" t="s">
        <v>1959</v>
      </c>
      <c r="F4886" t="s">
        <v>31</v>
      </c>
      <c r="G4886" t="s">
        <v>49</v>
      </c>
      <c r="H4886" t="s">
        <v>26</v>
      </c>
      <c r="I4886" t="s">
        <v>36</v>
      </c>
      <c r="J4886" t="s">
        <v>115</v>
      </c>
      <c r="K4886">
        <v>2</v>
      </c>
      <c r="L4886" s="2">
        <v>33.479999999999997</v>
      </c>
      <c r="M4886" s="3">
        <v>0.15</v>
      </c>
      <c r="N4886" t="s">
        <v>34</v>
      </c>
      <c r="O4886" s="2">
        <v>56.92</v>
      </c>
      <c r="P4886" s="2">
        <v>32.18</v>
      </c>
      <c r="Q4886" s="2">
        <v>24.74</v>
      </c>
      <c r="R4886">
        <v>1</v>
      </c>
      <c r="S4886">
        <v>0</v>
      </c>
      <c r="T4886">
        <v>4</v>
      </c>
      <c r="U4886">
        <v>3</v>
      </c>
    </row>
    <row r="4887" spans="1:21" ht="16.5" x14ac:dyDescent="0.3">
      <c r="A4887" t="s">
        <v>4975</v>
      </c>
      <c r="B4887" s="1">
        <v>45980</v>
      </c>
      <c r="C4887">
        <v>2025</v>
      </c>
      <c r="D4887" t="s">
        <v>1738</v>
      </c>
      <c r="E4887" t="s">
        <v>1959</v>
      </c>
      <c r="F4887" t="s">
        <v>31</v>
      </c>
      <c r="G4887" t="s">
        <v>65</v>
      </c>
      <c r="H4887" t="s">
        <v>26</v>
      </c>
      <c r="I4887" t="s">
        <v>27</v>
      </c>
      <c r="J4887" t="s">
        <v>110</v>
      </c>
      <c r="K4887">
        <v>3</v>
      </c>
      <c r="L4887" s="2">
        <v>19.41</v>
      </c>
      <c r="M4887" s="3">
        <v>0.15</v>
      </c>
      <c r="N4887" t="s">
        <v>34</v>
      </c>
      <c r="O4887" s="2">
        <v>49.5</v>
      </c>
      <c r="P4887" s="2">
        <v>30.93</v>
      </c>
      <c r="Q4887" s="2">
        <v>18.57</v>
      </c>
      <c r="R4887">
        <v>1</v>
      </c>
      <c r="S4887">
        <v>0</v>
      </c>
      <c r="T4887">
        <v>8</v>
      </c>
      <c r="U4887">
        <v>5</v>
      </c>
    </row>
    <row r="4888" spans="1:21" ht="16.5" x14ac:dyDescent="0.3">
      <c r="A4888" t="s">
        <v>4976</v>
      </c>
      <c r="B4888" s="1">
        <v>45980</v>
      </c>
      <c r="C4888">
        <v>2025</v>
      </c>
      <c r="D4888" t="s">
        <v>1738</v>
      </c>
      <c r="E4888" t="s">
        <v>1959</v>
      </c>
      <c r="F4888" t="s">
        <v>31</v>
      </c>
      <c r="G4888" t="s">
        <v>51</v>
      </c>
      <c r="H4888" t="s">
        <v>32</v>
      </c>
      <c r="I4888" t="s">
        <v>36</v>
      </c>
      <c r="J4888" t="s">
        <v>115</v>
      </c>
      <c r="K4888">
        <v>2</v>
      </c>
      <c r="L4888" s="2">
        <v>33.479999999999997</v>
      </c>
      <c r="M4888" s="3">
        <v>0.1</v>
      </c>
      <c r="N4888" t="s">
        <v>29</v>
      </c>
      <c r="O4888" s="2">
        <v>60.26</v>
      </c>
      <c r="P4888" s="2">
        <v>32.380000000000003</v>
      </c>
      <c r="Q4888" s="2">
        <v>27.88</v>
      </c>
      <c r="R4888">
        <v>1</v>
      </c>
      <c r="S4888">
        <v>0</v>
      </c>
      <c r="T4888">
        <v>3</v>
      </c>
      <c r="U4888">
        <v>4</v>
      </c>
    </row>
    <row r="4889" spans="1:21" ht="16.5" x14ac:dyDescent="0.3">
      <c r="A4889" t="s">
        <v>4977</v>
      </c>
      <c r="B4889" s="1">
        <v>45981</v>
      </c>
      <c r="C4889">
        <v>2025</v>
      </c>
      <c r="D4889" t="s">
        <v>1738</v>
      </c>
      <c r="E4889" t="s">
        <v>1959</v>
      </c>
      <c r="F4889" t="s">
        <v>45</v>
      </c>
      <c r="G4889" t="s">
        <v>49</v>
      </c>
      <c r="H4889" t="s">
        <v>26</v>
      </c>
      <c r="I4889" t="s">
        <v>70</v>
      </c>
      <c r="J4889" t="s">
        <v>129</v>
      </c>
      <c r="K4889">
        <v>2</v>
      </c>
      <c r="L4889" s="2">
        <v>177.65</v>
      </c>
      <c r="M4889" s="3">
        <v>0.25</v>
      </c>
      <c r="N4889" t="s">
        <v>62</v>
      </c>
      <c r="O4889" s="2">
        <v>266.48</v>
      </c>
      <c r="P4889" s="2">
        <v>302.7</v>
      </c>
      <c r="Q4889" s="2">
        <v>-36.22</v>
      </c>
      <c r="R4889">
        <v>1</v>
      </c>
      <c r="S4889">
        <v>0</v>
      </c>
      <c r="T4889">
        <v>5</v>
      </c>
      <c r="U4889">
        <v>5</v>
      </c>
    </row>
    <row r="4890" spans="1:21" ht="16.5" x14ac:dyDescent="0.3">
      <c r="A4890" t="s">
        <v>4978</v>
      </c>
      <c r="B4890" s="1">
        <v>45981</v>
      </c>
      <c r="C4890">
        <v>2025</v>
      </c>
      <c r="D4890" t="s">
        <v>1738</v>
      </c>
      <c r="E4890" t="s">
        <v>1959</v>
      </c>
      <c r="F4890" t="s">
        <v>31</v>
      </c>
      <c r="G4890" t="s">
        <v>49</v>
      </c>
      <c r="H4890" t="s">
        <v>32</v>
      </c>
      <c r="I4890" t="s">
        <v>84</v>
      </c>
      <c r="J4890" t="s">
        <v>85</v>
      </c>
      <c r="K4890">
        <v>1</v>
      </c>
      <c r="L4890" s="2">
        <v>57.92</v>
      </c>
      <c r="M4890" s="3">
        <v>0.25</v>
      </c>
      <c r="N4890" t="s">
        <v>62</v>
      </c>
      <c r="O4890" s="2">
        <v>43.44</v>
      </c>
      <c r="P4890" s="2">
        <v>41.26</v>
      </c>
      <c r="Q4890" s="2">
        <v>2.1800000000000002</v>
      </c>
      <c r="R4890">
        <v>1</v>
      </c>
      <c r="S4890">
        <v>1</v>
      </c>
      <c r="T4890">
        <v>4</v>
      </c>
      <c r="U4890">
        <v>3</v>
      </c>
    </row>
    <row r="4891" spans="1:21" ht="16.5" x14ac:dyDescent="0.3">
      <c r="A4891" t="s">
        <v>4979</v>
      </c>
      <c r="B4891" s="1">
        <v>45981</v>
      </c>
      <c r="C4891">
        <v>2025</v>
      </c>
      <c r="D4891" t="s">
        <v>1738</v>
      </c>
      <c r="E4891" t="s">
        <v>1959</v>
      </c>
      <c r="F4891" t="s">
        <v>31</v>
      </c>
      <c r="G4891" t="s">
        <v>25</v>
      </c>
      <c r="H4891" t="s">
        <v>32</v>
      </c>
      <c r="I4891" t="s">
        <v>84</v>
      </c>
      <c r="J4891" t="s">
        <v>96</v>
      </c>
      <c r="K4891">
        <v>2</v>
      </c>
      <c r="L4891" s="2">
        <v>10.76</v>
      </c>
      <c r="M4891" s="3">
        <v>0.25</v>
      </c>
      <c r="N4891" t="s">
        <v>62</v>
      </c>
      <c r="O4891" s="2">
        <v>16.14</v>
      </c>
      <c r="P4891" s="2">
        <v>15.4</v>
      </c>
      <c r="Q4891" s="2">
        <v>0.74</v>
      </c>
      <c r="R4891">
        <v>1</v>
      </c>
      <c r="S4891">
        <v>0</v>
      </c>
      <c r="T4891">
        <v>4</v>
      </c>
      <c r="U4891">
        <v>5</v>
      </c>
    </row>
    <row r="4892" spans="1:21" ht="16.5" x14ac:dyDescent="0.3">
      <c r="A4892" t="s">
        <v>4980</v>
      </c>
      <c r="B4892" s="1">
        <v>45981</v>
      </c>
      <c r="C4892">
        <v>2025</v>
      </c>
      <c r="D4892" t="s">
        <v>1738</v>
      </c>
      <c r="E4892" t="s">
        <v>1959</v>
      </c>
      <c r="F4892" t="s">
        <v>31</v>
      </c>
      <c r="G4892" t="s">
        <v>25</v>
      </c>
      <c r="H4892" t="s">
        <v>32</v>
      </c>
      <c r="I4892" t="s">
        <v>27</v>
      </c>
      <c r="J4892" t="s">
        <v>40</v>
      </c>
      <c r="K4892">
        <v>1</v>
      </c>
      <c r="L4892" s="2">
        <v>104.94</v>
      </c>
      <c r="M4892" s="3">
        <v>0.2</v>
      </c>
      <c r="N4892" t="s">
        <v>34</v>
      </c>
      <c r="O4892" s="2">
        <v>83.95</v>
      </c>
      <c r="P4892" s="2">
        <v>55.34</v>
      </c>
      <c r="Q4892" s="2">
        <v>28.61</v>
      </c>
      <c r="R4892">
        <v>1</v>
      </c>
      <c r="S4892">
        <v>0</v>
      </c>
      <c r="T4892">
        <v>5</v>
      </c>
      <c r="U4892">
        <v>3</v>
      </c>
    </row>
    <row r="4893" spans="1:21" ht="16.5" x14ac:dyDescent="0.3">
      <c r="A4893" t="s">
        <v>4981</v>
      </c>
      <c r="B4893" s="1">
        <v>45981</v>
      </c>
      <c r="C4893">
        <v>2025</v>
      </c>
      <c r="D4893" t="s">
        <v>1738</v>
      </c>
      <c r="E4893" t="s">
        <v>1959</v>
      </c>
      <c r="F4893" t="s">
        <v>31</v>
      </c>
      <c r="G4893" t="s">
        <v>51</v>
      </c>
      <c r="H4893" t="s">
        <v>32</v>
      </c>
      <c r="I4893" t="s">
        <v>70</v>
      </c>
      <c r="J4893" t="s">
        <v>252</v>
      </c>
      <c r="K4893">
        <v>2</v>
      </c>
      <c r="L4893" s="2">
        <v>216.08</v>
      </c>
      <c r="M4893" s="3">
        <v>0.2</v>
      </c>
      <c r="N4893" t="s">
        <v>34</v>
      </c>
      <c r="O4893" s="2">
        <v>345.73</v>
      </c>
      <c r="P4893" s="2">
        <v>332.19</v>
      </c>
      <c r="Q4893" s="2">
        <v>13.54</v>
      </c>
      <c r="R4893">
        <v>1</v>
      </c>
      <c r="S4893">
        <v>0</v>
      </c>
      <c r="T4893">
        <v>4</v>
      </c>
      <c r="U4893">
        <v>3</v>
      </c>
    </row>
    <row r="4894" spans="1:21" ht="16.5" x14ac:dyDescent="0.3">
      <c r="A4894" t="s">
        <v>4982</v>
      </c>
      <c r="B4894" s="1">
        <v>45981</v>
      </c>
      <c r="C4894">
        <v>2025</v>
      </c>
      <c r="D4894" t="s">
        <v>1738</v>
      </c>
      <c r="E4894" t="s">
        <v>1959</v>
      </c>
      <c r="F4894" t="s">
        <v>24</v>
      </c>
      <c r="G4894" t="s">
        <v>49</v>
      </c>
      <c r="H4894" t="s">
        <v>26</v>
      </c>
      <c r="I4894" t="s">
        <v>36</v>
      </c>
      <c r="J4894" t="s">
        <v>52</v>
      </c>
      <c r="K4894">
        <v>2</v>
      </c>
      <c r="L4894" s="2">
        <v>92.54</v>
      </c>
      <c r="M4894" s="3">
        <v>0.1</v>
      </c>
      <c r="N4894" t="s">
        <v>29</v>
      </c>
      <c r="O4894" s="2">
        <v>166.57</v>
      </c>
      <c r="P4894" s="2">
        <v>87.7</v>
      </c>
      <c r="Q4894" s="2">
        <v>78.87</v>
      </c>
      <c r="R4894">
        <v>1</v>
      </c>
      <c r="S4894">
        <v>0</v>
      </c>
      <c r="T4894">
        <v>5</v>
      </c>
      <c r="U4894">
        <v>5</v>
      </c>
    </row>
    <row r="4895" spans="1:21" ht="16.5" x14ac:dyDescent="0.3">
      <c r="A4895" t="s">
        <v>4983</v>
      </c>
      <c r="B4895" s="1">
        <v>45981</v>
      </c>
      <c r="C4895">
        <v>2025</v>
      </c>
      <c r="D4895" t="s">
        <v>1738</v>
      </c>
      <c r="E4895" t="s">
        <v>1959</v>
      </c>
      <c r="F4895" t="s">
        <v>45</v>
      </c>
      <c r="G4895" t="s">
        <v>49</v>
      </c>
      <c r="H4895" t="s">
        <v>26</v>
      </c>
      <c r="I4895" t="s">
        <v>67</v>
      </c>
      <c r="J4895" t="s">
        <v>103</v>
      </c>
      <c r="K4895">
        <v>2</v>
      </c>
      <c r="L4895" s="2">
        <v>83.06</v>
      </c>
      <c r="M4895" s="3">
        <v>0.3</v>
      </c>
      <c r="N4895" t="s">
        <v>62</v>
      </c>
      <c r="O4895" s="2">
        <v>116.28</v>
      </c>
      <c r="P4895" s="2">
        <v>113.11</v>
      </c>
      <c r="Q4895" s="2">
        <v>3.17</v>
      </c>
      <c r="R4895">
        <v>1</v>
      </c>
      <c r="S4895">
        <v>0</v>
      </c>
      <c r="T4895">
        <v>6</v>
      </c>
      <c r="U4895">
        <v>5</v>
      </c>
    </row>
    <row r="4896" spans="1:21" ht="16.5" x14ac:dyDescent="0.3">
      <c r="A4896" t="s">
        <v>4984</v>
      </c>
      <c r="B4896" s="1">
        <v>45981</v>
      </c>
      <c r="C4896">
        <v>2025</v>
      </c>
      <c r="D4896" t="s">
        <v>1738</v>
      </c>
      <c r="E4896" t="s">
        <v>1959</v>
      </c>
      <c r="F4896" t="s">
        <v>31</v>
      </c>
      <c r="G4896" t="s">
        <v>25</v>
      </c>
      <c r="H4896" t="s">
        <v>32</v>
      </c>
      <c r="I4896" t="s">
        <v>27</v>
      </c>
      <c r="J4896" t="s">
        <v>47</v>
      </c>
      <c r="K4896">
        <v>2</v>
      </c>
      <c r="L4896" s="2">
        <v>33.99</v>
      </c>
      <c r="M4896" s="3">
        <v>0.1</v>
      </c>
      <c r="N4896" t="s">
        <v>29</v>
      </c>
      <c r="O4896" s="2">
        <v>61.18</v>
      </c>
      <c r="P4896" s="2">
        <v>35.76</v>
      </c>
      <c r="Q4896" s="2">
        <v>25.42</v>
      </c>
      <c r="R4896">
        <v>1</v>
      </c>
      <c r="S4896">
        <v>0</v>
      </c>
      <c r="T4896">
        <v>5</v>
      </c>
      <c r="U4896">
        <v>4</v>
      </c>
    </row>
    <row r="4897" spans="1:21" ht="16.5" x14ac:dyDescent="0.3">
      <c r="A4897" t="s">
        <v>4985</v>
      </c>
      <c r="B4897" s="1">
        <v>45981</v>
      </c>
      <c r="C4897">
        <v>2025</v>
      </c>
      <c r="D4897" t="s">
        <v>1738</v>
      </c>
      <c r="E4897" t="s">
        <v>1959</v>
      </c>
      <c r="F4897" t="s">
        <v>24</v>
      </c>
      <c r="G4897" t="s">
        <v>25</v>
      </c>
      <c r="H4897" t="s">
        <v>32</v>
      </c>
      <c r="I4897" t="s">
        <v>84</v>
      </c>
      <c r="J4897" t="s">
        <v>85</v>
      </c>
      <c r="K4897">
        <v>2</v>
      </c>
      <c r="L4897" s="2">
        <v>57.92</v>
      </c>
      <c r="M4897" s="3">
        <v>0.15</v>
      </c>
      <c r="N4897" t="s">
        <v>34</v>
      </c>
      <c r="O4897" s="2">
        <v>98.46</v>
      </c>
      <c r="P4897" s="2">
        <v>82.89</v>
      </c>
      <c r="Q4897" s="2">
        <v>15.57</v>
      </c>
      <c r="R4897">
        <v>1</v>
      </c>
      <c r="S4897">
        <v>0</v>
      </c>
      <c r="T4897">
        <v>7</v>
      </c>
      <c r="U4897">
        <v>4</v>
      </c>
    </row>
    <row r="4898" spans="1:21" ht="16.5" x14ac:dyDescent="0.3">
      <c r="A4898" t="s">
        <v>4986</v>
      </c>
      <c r="B4898" s="1">
        <v>45981</v>
      </c>
      <c r="C4898">
        <v>2025</v>
      </c>
      <c r="D4898" t="s">
        <v>1738</v>
      </c>
      <c r="E4898" t="s">
        <v>1959</v>
      </c>
      <c r="F4898" t="s">
        <v>31</v>
      </c>
      <c r="G4898" t="s">
        <v>46</v>
      </c>
      <c r="H4898" t="s">
        <v>26</v>
      </c>
      <c r="I4898" t="s">
        <v>70</v>
      </c>
      <c r="J4898" t="s">
        <v>82</v>
      </c>
      <c r="K4898">
        <v>1</v>
      </c>
      <c r="L4898" s="2">
        <v>508.8</v>
      </c>
      <c r="M4898" s="3">
        <v>0.25</v>
      </c>
      <c r="N4898" t="s">
        <v>62</v>
      </c>
      <c r="O4898" s="2">
        <v>381.6</v>
      </c>
      <c r="P4898" s="2">
        <v>391.16</v>
      </c>
      <c r="Q4898" s="2">
        <v>-9.56</v>
      </c>
      <c r="R4898">
        <v>1</v>
      </c>
      <c r="S4898">
        <v>1</v>
      </c>
      <c r="T4898">
        <v>7</v>
      </c>
      <c r="U4898">
        <v>2</v>
      </c>
    </row>
    <row r="4899" spans="1:21" ht="16.5" x14ac:dyDescent="0.3">
      <c r="A4899" t="s">
        <v>4987</v>
      </c>
      <c r="B4899" s="1">
        <v>45981</v>
      </c>
      <c r="C4899">
        <v>2025</v>
      </c>
      <c r="D4899" t="s">
        <v>1738</v>
      </c>
      <c r="E4899" t="s">
        <v>1959</v>
      </c>
      <c r="F4899" t="s">
        <v>24</v>
      </c>
      <c r="G4899" t="s">
        <v>46</v>
      </c>
      <c r="H4899" t="s">
        <v>32</v>
      </c>
      <c r="I4899" t="s">
        <v>42</v>
      </c>
      <c r="J4899" t="s">
        <v>98</v>
      </c>
      <c r="K4899">
        <v>2</v>
      </c>
      <c r="L4899" s="2">
        <v>117.63</v>
      </c>
      <c r="M4899" s="3">
        <v>0.2</v>
      </c>
      <c r="N4899" t="s">
        <v>34</v>
      </c>
      <c r="O4899" s="2">
        <v>188.21</v>
      </c>
      <c r="P4899" s="2">
        <v>149.88</v>
      </c>
      <c r="Q4899" s="2">
        <v>38.33</v>
      </c>
      <c r="R4899">
        <v>1</v>
      </c>
      <c r="S4899">
        <v>0</v>
      </c>
      <c r="T4899">
        <v>6</v>
      </c>
      <c r="U4899">
        <v>4</v>
      </c>
    </row>
    <row r="4900" spans="1:21" ht="16.5" x14ac:dyDescent="0.3">
      <c r="A4900" t="s">
        <v>4988</v>
      </c>
      <c r="B4900" s="1">
        <v>45981</v>
      </c>
      <c r="C4900">
        <v>2025</v>
      </c>
      <c r="D4900" t="s">
        <v>1738</v>
      </c>
      <c r="E4900" t="s">
        <v>1959</v>
      </c>
      <c r="F4900" t="s">
        <v>45</v>
      </c>
      <c r="G4900" t="s">
        <v>51</v>
      </c>
      <c r="H4900" t="s">
        <v>26</v>
      </c>
      <c r="I4900" t="s">
        <v>42</v>
      </c>
      <c r="J4900" t="s">
        <v>98</v>
      </c>
      <c r="K4900">
        <v>2</v>
      </c>
      <c r="L4900" s="2">
        <v>117.63</v>
      </c>
      <c r="M4900" s="3">
        <v>0.05</v>
      </c>
      <c r="N4900" t="s">
        <v>29</v>
      </c>
      <c r="O4900" s="2">
        <v>223.5</v>
      </c>
      <c r="P4900" s="2">
        <v>159.94999999999999</v>
      </c>
      <c r="Q4900" s="2">
        <v>63.55</v>
      </c>
      <c r="R4900">
        <v>1</v>
      </c>
      <c r="S4900">
        <v>0</v>
      </c>
      <c r="T4900">
        <v>4</v>
      </c>
      <c r="U4900">
        <v>4</v>
      </c>
    </row>
    <row r="4901" spans="1:21" ht="16.5" x14ac:dyDescent="0.3">
      <c r="A4901" t="s">
        <v>4989</v>
      </c>
      <c r="B4901" s="1">
        <v>45981</v>
      </c>
      <c r="C4901">
        <v>2025</v>
      </c>
      <c r="D4901" t="s">
        <v>1738</v>
      </c>
      <c r="E4901" t="s">
        <v>1959</v>
      </c>
      <c r="F4901" t="s">
        <v>45</v>
      </c>
      <c r="G4901" t="s">
        <v>25</v>
      </c>
      <c r="H4901" t="s">
        <v>32</v>
      </c>
      <c r="I4901" t="s">
        <v>36</v>
      </c>
      <c r="J4901" t="s">
        <v>52</v>
      </c>
      <c r="K4901">
        <v>2</v>
      </c>
      <c r="L4901" s="2">
        <v>92.54</v>
      </c>
      <c r="M4901" s="3">
        <v>0.15</v>
      </c>
      <c r="N4901" t="s">
        <v>34</v>
      </c>
      <c r="O4901" s="2">
        <v>157.32</v>
      </c>
      <c r="P4901" s="2">
        <v>85.05</v>
      </c>
      <c r="Q4901" s="2">
        <v>72.27</v>
      </c>
      <c r="R4901">
        <v>1</v>
      </c>
      <c r="S4901">
        <v>0</v>
      </c>
      <c r="T4901">
        <v>7</v>
      </c>
      <c r="U4901">
        <v>4</v>
      </c>
    </row>
    <row r="4902" spans="1:21" ht="16.5" x14ac:dyDescent="0.3">
      <c r="A4902" t="s">
        <v>4990</v>
      </c>
      <c r="B4902" s="1">
        <v>45981</v>
      </c>
      <c r="C4902">
        <v>2025</v>
      </c>
      <c r="D4902" t="s">
        <v>1738</v>
      </c>
      <c r="E4902" t="s">
        <v>1959</v>
      </c>
      <c r="F4902" t="s">
        <v>31</v>
      </c>
      <c r="G4902" t="s">
        <v>46</v>
      </c>
      <c r="H4902" t="s">
        <v>26</v>
      </c>
      <c r="I4902" t="s">
        <v>42</v>
      </c>
      <c r="J4902" t="s">
        <v>54</v>
      </c>
      <c r="K4902">
        <v>1</v>
      </c>
      <c r="L4902" s="2">
        <v>148.05000000000001</v>
      </c>
      <c r="M4902" s="3">
        <v>0.3</v>
      </c>
      <c r="N4902" t="s">
        <v>62</v>
      </c>
      <c r="O4902" s="2">
        <v>103.64</v>
      </c>
      <c r="P4902" s="2">
        <v>103.25</v>
      </c>
      <c r="Q4902" s="2">
        <v>0.39</v>
      </c>
      <c r="R4902">
        <v>1</v>
      </c>
      <c r="S4902">
        <v>0</v>
      </c>
      <c r="T4902">
        <v>6</v>
      </c>
      <c r="U4902">
        <v>4</v>
      </c>
    </row>
    <row r="4903" spans="1:21" ht="16.5" x14ac:dyDescent="0.3">
      <c r="A4903" t="s">
        <v>4991</v>
      </c>
      <c r="B4903" s="1">
        <v>45981</v>
      </c>
      <c r="C4903">
        <v>2025</v>
      </c>
      <c r="D4903" t="s">
        <v>1738</v>
      </c>
      <c r="E4903" t="s">
        <v>1959</v>
      </c>
      <c r="F4903" t="s">
        <v>31</v>
      </c>
      <c r="G4903" t="s">
        <v>25</v>
      </c>
      <c r="H4903" t="s">
        <v>32</v>
      </c>
      <c r="I4903" t="s">
        <v>84</v>
      </c>
      <c r="J4903" t="s">
        <v>96</v>
      </c>
      <c r="K4903">
        <v>1</v>
      </c>
      <c r="L4903" s="2">
        <v>10.76</v>
      </c>
      <c r="M4903" s="3">
        <v>0.2</v>
      </c>
      <c r="N4903" t="s">
        <v>34</v>
      </c>
      <c r="O4903" s="2">
        <v>8.61</v>
      </c>
      <c r="P4903" s="2">
        <v>7.91</v>
      </c>
      <c r="Q4903" s="2">
        <v>0.7</v>
      </c>
      <c r="R4903">
        <v>1</v>
      </c>
      <c r="S4903">
        <v>1</v>
      </c>
      <c r="T4903">
        <v>5</v>
      </c>
      <c r="U4903">
        <v>3</v>
      </c>
    </row>
    <row r="4904" spans="1:21" ht="16.5" x14ac:dyDescent="0.3">
      <c r="A4904" t="s">
        <v>4992</v>
      </c>
      <c r="B4904" s="1">
        <v>45982</v>
      </c>
      <c r="C4904">
        <v>2025</v>
      </c>
      <c r="D4904" t="s">
        <v>1738</v>
      </c>
      <c r="E4904" t="s">
        <v>1959</v>
      </c>
      <c r="F4904" t="s">
        <v>24</v>
      </c>
      <c r="G4904" t="s">
        <v>51</v>
      </c>
      <c r="H4904" t="s">
        <v>26</v>
      </c>
      <c r="I4904" t="s">
        <v>27</v>
      </c>
      <c r="J4904" t="s">
        <v>28</v>
      </c>
      <c r="K4904">
        <v>1</v>
      </c>
      <c r="L4904" s="2">
        <v>138.5</v>
      </c>
      <c r="M4904" s="3">
        <v>0.25</v>
      </c>
      <c r="N4904" t="s">
        <v>62</v>
      </c>
      <c r="O4904" s="2">
        <v>103.88</v>
      </c>
      <c r="P4904" s="2">
        <v>76.36</v>
      </c>
      <c r="Q4904" s="2">
        <v>27.52</v>
      </c>
      <c r="R4904">
        <v>1</v>
      </c>
      <c r="S4904">
        <v>0</v>
      </c>
      <c r="T4904">
        <v>4</v>
      </c>
      <c r="U4904">
        <v>5</v>
      </c>
    </row>
    <row r="4905" spans="1:21" ht="16.5" x14ac:dyDescent="0.3">
      <c r="A4905" t="s">
        <v>4993</v>
      </c>
      <c r="B4905" s="1">
        <v>45982</v>
      </c>
      <c r="C4905">
        <v>2025</v>
      </c>
      <c r="D4905" t="s">
        <v>1738</v>
      </c>
      <c r="E4905" t="s">
        <v>1959</v>
      </c>
      <c r="F4905" t="s">
        <v>24</v>
      </c>
      <c r="G4905" t="s">
        <v>46</v>
      </c>
      <c r="H4905" t="s">
        <v>26</v>
      </c>
      <c r="I4905" t="s">
        <v>67</v>
      </c>
      <c r="J4905" t="s">
        <v>78</v>
      </c>
      <c r="K4905">
        <v>1</v>
      </c>
      <c r="L4905" s="2">
        <v>85.42</v>
      </c>
      <c r="M4905" s="3">
        <v>0.15</v>
      </c>
      <c r="N4905" t="s">
        <v>34</v>
      </c>
      <c r="O4905" s="2">
        <v>72.61</v>
      </c>
      <c r="P4905" s="2">
        <v>55.1</v>
      </c>
      <c r="Q4905" s="2">
        <v>17.510000000000002</v>
      </c>
      <c r="R4905">
        <v>1</v>
      </c>
      <c r="S4905">
        <v>0</v>
      </c>
      <c r="T4905">
        <v>8</v>
      </c>
      <c r="U4905">
        <v>4</v>
      </c>
    </row>
    <row r="4906" spans="1:21" ht="16.5" x14ac:dyDescent="0.3">
      <c r="A4906" t="s">
        <v>4994</v>
      </c>
      <c r="B4906" s="1">
        <v>45982</v>
      </c>
      <c r="C4906">
        <v>2025</v>
      </c>
      <c r="D4906" t="s">
        <v>1738</v>
      </c>
      <c r="E4906" t="s">
        <v>1959</v>
      </c>
      <c r="F4906" t="s">
        <v>31</v>
      </c>
      <c r="G4906" t="s">
        <v>49</v>
      </c>
      <c r="H4906" t="s">
        <v>26</v>
      </c>
      <c r="I4906" t="s">
        <v>67</v>
      </c>
      <c r="J4906" t="s">
        <v>174</v>
      </c>
      <c r="K4906">
        <v>1</v>
      </c>
      <c r="L4906" s="2">
        <v>137.05000000000001</v>
      </c>
      <c r="M4906" s="3">
        <v>0.1</v>
      </c>
      <c r="N4906" t="s">
        <v>29</v>
      </c>
      <c r="O4906" s="2">
        <v>123.35</v>
      </c>
      <c r="P4906" s="2">
        <v>95.09</v>
      </c>
      <c r="Q4906" s="2">
        <v>28.26</v>
      </c>
      <c r="R4906">
        <v>1</v>
      </c>
      <c r="S4906">
        <v>0</v>
      </c>
      <c r="T4906">
        <v>4</v>
      </c>
      <c r="U4906">
        <v>4</v>
      </c>
    </row>
    <row r="4907" spans="1:21" ht="16.5" x14ac:dyDescent="0.3">
      <c r="A4907" t="s">
        <v>4995</v>
      </c>
      <c r="B4907" s="1">
        <v>45982</v>
      </c>
      <c r="C4907">
        <v>2025</v>
      </c>
      <c r="D4907" t="s">
        <v>1738</v>
      </c>
      <c r="E4907" t="s">
        <v>1959</v>
      </c>
      <c r="F4907" t="s">
        <v>45</v>
      </c>
      <c r="G4907" t="s">
        <v>51</v>
      </c>
      <c r="H4907" t="s">
        <v>26</v>
      </c>
      <c r="I4907" t="s">
        <v>27</v>
      </c>
      <c r="J4907" t="s">
        <v>60</v>
      </c>
      <c r="K4907">
        <v>2</v>
      </c>
      <c r="L4907" s="2">
        <v>94.85</v>
      </c>
      <c r="M4907" s="3">
        <v>0.05</v>
      </c>
      <c r="N4907" t="s">
        <v>29</v>
      </c>
      <c r="O4907" s="2">
        <v>180.21</v>
      </c>
      <c r="P4907" s="2">
        <v>104.02</v>
      </c>
      <c r="Q4907" s="2">
        <v>76.19</v>
      </c>
      <c r="R4907">
        <v>1</v>
      </c>
      <c r="S4907">
        <v>0</v>
      </c>
      <c r="T4907">
        <v>5</v>
      </c>
      <c r="U4907">
        <v>4</v>
      </c>
    </row>
    <row r="4908" spans="1:21" ht="16.5" x14ac:dyDescent="0.3">
      <c r="A4908" t="s">
        <v>4996</v>
      </c>
      <c r="B4908" s="1">
        <v>45982</v>
      </c>
      <c r="C4908">
        <v>2025</v>
      </c>
      <c r="D4908" t="s">
        <v>1738</v>
      </c>
      <c r="E4908" t="s">
        <v>1959</v>
      </c>
      <c r="F4908" t="s">
        <v>24</v>
      </c>
      <c r="G4908" t="s">
        <v>51</v>
      </c>
      <c r="H4908" t="s">
        <v>32</v>
      </c>
      <c r="I4908" t="s">
        <v>70</v>
      </c>
      <c r="J4908" t="s">
        <v>129</v>
      </c>
      <c r="K4908">
        <v>1</v>
      </c>
      <c r="L4908" s="2">
        <v>177.65</v>
      </c>
      <c r="M4908" s="3">
        <v>0.1</v>
      </c>
      <c r="N4908" t="s">
        <v>29</v>
      </c>
      <c r="O4908" s="2">
        <v>159.88999999999999</v>
      </c>
      <c r="P4908" s="2">
        <v>141.77000000000001</v>
      </c>
      <c r="Q4908" s="2">
        <v>18.12</v>
      </c>
      <c r="R4908">
        <v>1</v>
      </c>
      <c r="S4908">
        <v>0</v>
      </c>
      <c r="T4908">
        <v>4</v>
      </c>
      <c r="U4908">
        <v>5</v>
      </c>
    </row>
    <row r="4909" spans="1:21" ht="16.5" x14ac:dyDescent="0.3">
      <c r="A4909" t="s">
        <v>4997</v>
      </c>
      <c r="B4909" s="1">
        <v>45982</v>
      </c>
      <c r="C4909">
        <v>2025</v>
      </c>
      <c r="D4909" t="s">
        <v>1738</v>
      </c>
      <c r="E4909" t="s">
        <v>1959</v>
      </c>
      <c r="F4909" t="s">
        <v>31</v>
      </c>
      <c r="G4909" t="s">
        <v>51</v>
      </c>
      <c r="H4909" t="s">
        <v>32</v>
      </c>
      <c r="I4909" t="s">
        <v>70</v>
      </c>
      <c r="J4909" t="s">
        <v>71</v>
      </c>
      <c r="K4909">
        <v>2</v>
      </c>
      <c r="L4909" s="2">
        <v>588.41</v>
      </c>
      <c r="M4909" s="3">
        <v>0.2</v>
      </c>
      <c r="N4909" t="s">
        <v>34</v>
      </c>
      <c r="O4909" s="2">
        <v>941.46</v>
      </c>
      <c r="P4909" s="2">
        <v>950.65</v>
      </c>
      <c r="Q4909" s="2">
        <v>-9.19</v>
      </c>
      <c r="R4909">
        <v>1</v>
      </c>
      <c r="S4909">
        <v>0</v>
      </c>
      <c r="T4909">
        <v>5</v>
      </c>
      <c r="U4909">
        <v>4</v>
      </c>
    </row>
    <row r="4910" spans="1:21" ht="16.5" x14ac:dyDescent="0.3">
      <c r="A4910" t="s">
        <v>4998</v>
      </c>
      <c r="B4910" s="1">
        <v>45982</v>
      </c>
      <c r="C4910">
        <v>2025</v>
      </c>
      <c r="D4910" t="s">
        <v>1738</v>
      </c>
      <c r="E4910" t="s">
        <v>1959</v>
      </c>
      <c r="F4910" t="s">
        <v>31</v>
      </c>
      <c r="G4910" t="s">
        <v>51</v>
      </c>
      <c r="H4910" t="s">
        <v>26</v>
      </c>
      <c r="I4910" t="s">
        <v>67</v>
      </c>
      <c r="J4910" t="s">
        <v>68</v>
      </c>
      <c r="K4910">
        <v>1</v>
      </c>
      <c r="L4910" s="2">
        <v>74.459999999999994</v>
      </c>
      <c r="M4910" s="3">
        <v>0.05</v>
      </c>
      <c r="N4910" t="s">
        <v>29</v>
      </c>
      <c r="O4910" s="2">
        <v>70.739999999999995</v>
      </c>
      <c r="P4910" s="2">
        <v>48.84</v>
      </c>
      <c r="Q4910" s="2">
        <v>21.9</v>
      </c>
      <c r="R4910">
        <v>1</v>
      </c>
      <c r="S4910">
        <v>0</v>
      </c>
      <c r="T4910">
        <v>4</v>
      </c>
      <c r="U4910">
        <v>5</v>
      </c>
    </row>
    <row r="4911" spans="1:21" ht="16.5" x14ac:dyDescent="0.3">
      <c r="A4911" t="s">
        <v>4999</v>
      </c>
      <c r="B4911" s="1">
        <v>45982</v>
      </c>
      <c r="C4911">
        <v>2025</v>
      </c>
      <c r="D4911" t="s">
        <v>1738</v>
      </c>
      <c r="E4911" t="s">
        <v>1959</v>
      </c>
      <c r="F4911" t="s">
        <v>31</v>
      </c>
      <c r="G4911" t="s">
        <v>25</v>
      </c>
      <c r="H4911" t="s">
        <v>26</v>
      </c>
      <c r="I4911" t="s">
        <v>42</v>
      </c>
      <c r="J4911" t="s">
        <v>54</v>
      </c>
      <c r="K4911">
        <v>2</v>
      </c>
      <c r="L4911" s="2">
        <v>148.05000000000001</v>
      </c>
      <c r="M4911" s="3">
        <v>0.3</v>
      </c>
      <c r="N4911" t="s">
        <v>62</v>
      </c>
      <c r="O4911" s="2">
        <v>207.27</v>
      </c>
      <c r="P4911" s="2">
        <v>201.37</v>
      </c>
      <c r="Q4911" s="2">
        <v>5.9</v>
      </c>
      <c r="R4911">
        <v>1</v>
      </c>
      <c r="S4911">
        <v>0</v>
      </c>
      <c r="T4911">
        <v>6</v>
      </c>
      <c r="U4911">
        <v>4</v>
      </c>
    </row>
    <row r="4912" spans="1:21" ht="16.5" x14ac:dyDescent="0.3">
      <c r="A4912" t="s">
        <v>5000</v>
      </c>
      <c r="B4912" s="1">
        <v>45982</v>
      </c>
      <c r="C4912">
        <v>2025</v>
      </c>
      <c r="D4912" t="s">
        <v>1738</v>
      </c>
      <c r="E4912" t="s">
        <v>1959</v>
      </c>
      <c r="F4912" t="s">
        <v>24</v>
      </c>
      <c r="G4912" t="s">
        <v>51</v>
      </c>
      <c r="H4912" t="s">
        <v>26</v>
      </c>
      <c r="I4912" t="s">
        <v>27</v>
      </c>
      <c r="J4912" t="s">
        <v>40</v>
      </c>
      <c r="K4912">
        <v>1</v>
      </c>
      <c r="L4912" s="2">
        <v>104.94</v>
      </c>
      <c r="M4912" s="3">
        <v>0.1</v>
      </c>
      <c r="N4912" t="s">
        <v>29</v>
      </c>
      <c r="O4912" s="2">
        <v>94.45</v>
      </c>
      <c r="P4912" s="2">
        <v>53.84</v>
      </c>
      <c r="Q4912" s="2">
        <v>40.61</v>
      </c>
      <c r="R4912">
        <v>1</v>
      </c>
      <c r="S4912">
        <v>0</v>
      </c>
      <c r="T4912">
        <v>4</v>
      </c>
      <c r="U4912">
        <v>4</v>
      </c>
    </row>
    <row r="4913" spans="1:21" ht="16.5" x14ac:dyDescent="0.3">
      <c r="A4913" t="s">
        <v>5001</v>
      </c>
      <c r="B4913" s="1">
        <v>45982</v>
      </c>
      <c r="C4913">
        <v>2025</v>
      </c>
      <c r="D4913" t="s">
        <v>1738</v>
      </c>
      <c r="E4913" t="s">
        <v>1959</v>
      </c>
      <c r="F4913" t="s">
        <v>24</v>
      </c>
      <c r="G4913" t="s">
        <v>25</v>
      </c>
      <c r="H4913" t="s">
        <v>26</v>
      </c>
      <c r="I4913" t="s">
        <v>42</v>
      </c>
      <c r="J4913" t="s">
        <v>89</v>
      </c>
      <c r="K4913">
        <v>1</v>
      </c>
      <c r="L4913" s="2">
        <v>68.349999999999994</v>
      </c>
      <c r="M4913" s="3">
        <v>0.25</v>
      </c>
      <c r="N4913" t="s">
        <v>62</v>
      </c>
      <c r="O4913" s="2">
        <v>51.26</v>
      </c>
      <c r="P4913" s="2">
        <v>47.22</v>
      </c>
      <c r="Q4913" s="2">
        <v>4.04</v>
      </c>
      <c r="R4913">
        <v>1</v>
      </c>
      <c r="S4913">
        <v>0</v>
      </c>
      <c r="T4913">
        <v>4</v>
      </c>
      <c r="U4913">
        <v>4</v>
      </c>
    </row>
    <row r="4914" spans="1:21" ht="16.5" x14ac:dyDescent="0.3">
      <c r="A4914" t="s">
        <v>5002</v>
      </c>
      <c r="B4914" s="1">
        <v>45982</v>
      </c>
      <c r="C4914">
        <v>2025</v>
      </c>
      <c r="D4914" t="s">
        <v>1738</v>
      </c>
      <c r="E4914" t="s">
        <v>1959</v>
      </c>
      <c r="F4914" t="s">
        <v>31</v>
      </c>
      <c r="G4914" t="s">
        <v>51</v>
      </c>
      <c r="H4914" t="s">
        <v>26</v>
      </c>
      <c r="I4914" t="s">
        <v>36</v>
      </c>
      <c r="J4914" t="s">
        <v>126</v>
      </c>
      <c r="K4914">
        <v>1</v>
      </c>
      <c r="L4914" s="2">
        <v>54.56</v>
      </c>
      <c r="M4914" s="3">
        <v>0.1</v>
      </c>
      <c r="N4914" t="s">
        <v>29</v>
      </c>
      <c r="O4914" s="2">
        <v>49.1</v>
      </c>
      <c r="P4914" s="2">
        <v>25.67</v>
      </c>
      <c r="Q4914" s="2">
        <v>23.43</v>
      </c>
      <c r="R4914">
        <v>1</v>
      </c>
      <c r="S4914">
        <v>0</v>
      </c>
      <c r="T4914">
        <v>4</v>
      </c>
      <c r="U4914">
        <v>4</v>
      </c>
    </row>
    <row r="4915" spans="1:21" ht="16.5" x14ac:dyDescent="0.3">
      <c r="A4915" t="s">
        <v>5003</v>
      </c>
      <c r="B4915" s="1">
        <v>45982</v>
      </c>
      <c r="C4915">
        <v>2025</v>
      </c>
      <c r="D4915" t="s">
        <v>1738</v>
      </c>
      <c r="E4915" t="s">
        <v>1959</v>
      </c>
      <c r="F4915" t="s">
        <v>24</v>
      </c>
      <c r="G4915" t="s">
        <v>51</v>
      </c>
      <c r="H4915" t="s">
        <v>32</v>
      </c>
      <c r="I4915" t="s">
        <v>84</v>
      </c>
      <c r="J4915" t="s">
        <v>106</v>
      </c>
      <c r="K4915">
        <v>1</v>
      </c>
      <c r="L4915" s="2">
        <v>45.28</v>
      </c>
      <c r="M4915" s="3">
        <v>0.2</v>
      </c>
      <c r="N4915" t="s">
        <v>34</v>
      </c>
      <c r="O4915" s="2">
        <v>36.22</v>
      </c>
      <c r="P4915" s="2">
        <v>33.51</v>
      </c>
      <c r="Q4915" s="2">
        <v>2.71</v>
      </c>
      <c r="R4915">
        <v>1</v>
      </c>
      <c r="S4915">
        <v>0</v>
      </c>
      <c r="T4915">
        <v>4</v>
      </c>
      <c r="U4915">
        <v>5</v>
      </c>
    </row>
    <row r="4916" spans="1:21" ht="16.5" x14ac:dyDescent="0.3">
      <c r="A4916" t="s">
        <v>5004</v>
      </c>
      <c r="B4916" s="1">
        <v>45982</v>
      </c>
      <c r="C4916">
        <v>2025</v>
      </c>
      <c r="D4916" t="s">
        <v>1738</v>
      </c>
      <c r="E4916" t="s">
        <v>1959</v>
      </c>
      <c r="F4916" t="s">
        <v>24</v>
      </c>
      <c r="G4916" t="s">
        <v>46</v>
      </c>
      <c r="H4916" t="s">
        <v>32</v>
      </c>
      <c r="I4916" t="s">
        <v>84</v>
      </c>
      <c r="J4916" t="s">
        <v>96</v>
      </c>
      <c r="K4916">
        <v>1</v>
      </c>
      <c r="L4916" s="2">
        <v>10.76</v>
      </c>
      <c r="M4916" s="3">
        <v>0.15</v>
      </c>
      <c r="N4916" t="s">
        <v>34</v>
      </c>
      <c r="O4916" s="2">
        <v>9.15</v>
      </c>
      <c r="P4916" s="2">
        <v>7.56</v>
      </c>
      <c r="Q4916" s="2">
        <v>1.59</v>
      </c>
      <c r="R4916">
        <v>1</v>
      </c>
      <c r="S4916">
        <v>0</v>
      </c>
      <c r="T4916">
        <v>8</v>
      </c>
      <c r="U4916">
        <v>4</v>
      </c>
    </row>
    <row r="4917" spans="1:21" ht="16.5" x14ac:dyDescent="0.3">
      <c r="A4917" t="s">
        <v>5005</v>
      </c>
      <c r="B4917" s="1">
        <v>45982</v>
      </c>
      <c r="C4917">
        <v>2025</v>
      </c>
      <c r="D4917" t="s">
        <v>1738</v>
      </c>
      <c r="E4917" t="s">
        <v>1959</v>
      </c>
      <c r="F4917" t="s">
        <v>31</v>
      </c>
      <c r="G4917" t="s">
        <v>49</v>
      </c>
      <c r="H4917" t="s">
        <v>32</v>
      </c>
      <c r="I4917" t="s">
        <v>67</v>
      </c>
      <c r="J4917" t="s">
        <v>93</v>
      </c>
      <c r="K4917">
        <v>2</v>
      </c>
      <c r="L4917" s="2">
        <v>198.42</v>
      </c>
      <c r="M4917" s="3">
        <v>0.25</v>
      </c>
      <c r="N4917" t="s">
        <v>62</v>
      </c>
      <c r="O4917" s="2">
        <v>297.63</v>
      </c>
      <c r="P4917" s="2">
        <v>250.69</v>
      </c>
      <c r="Q4917" s="2">
        <v>46.94</v>
      </c>
      <c r="R4917">
        <v>1</v>
      </c>
      <c r="S4917">
        <v>0</v>
      </c>
      <c r="T4917">
        <v>5</v>
      </c>
      <c r="U4917">
        <v>4</v>
      </c>
    </row>
    <row r="4918" spans="1:21" ht="16.5" x14ac:dyDescent="0.3">
      <c r="A4918" t="s">
        <v>5006</v>
      </c>
      <c r="B4918" s="1">
        <v>45983</v>
      </c>
      <c r="C4918">
        <v>2025</v>
      </c>
      <c r="D4918" t="s">
        <v>1738</v>
      </c>
      <c r="E4918" t="s">
        <v>1959</v>
      </c>
      <c r="F4918" t="s">
        <v>31</v>
      </c>
      <c r="G4918" t="s">
        <v>51</v>
      </c>
      <c r="H4918" t="s">
        <v>32</v>
      </c>
      <c r="I4918" t="s">
        <v>70</v>
      </c>
      <c r="J4918" t="s">
        <v>162</v>
      </c>
      <c r="K4918">
        <v>1</v>
      </c>
      <c r="L4918" s="2">
        <v>636.09</v>
      </c>
      <c r="M4918" s="3">
        <v>0.05</v>
      </c>
      <c r="N4918" t="s">
        <v>29</v>
      </c>
      <c r="O4918" s="2">
        <v>604.29</v>
      </c>
      <c r="P4918" s="2">
        <v>525.9</v>
      </c>
      <c r="Q4918" s="2">
        <v>78.39</v>
      </c>
      <c r="R4918">
        <v>1</v>
      </c>
      <c r="S4918">
        <v>0</v>
      </c>
      <c r="T4918">
        <v>3</v>
      </c>
      <c r="U4918">
        <v>4</v>
      </c>
    </row>
    <row r="4919" spans="1:21" ht="16.5" x14ac:dyDescent="0.3">
      <c r="A4919" t="s">
        <v>5007</v>
      </c>
      <c r="B4919" s="1">
        <v>45983</v>
      </c>
      <c r="C4919">
        <v>2025</v>
      </c>
      <c r="D4919" t="s">
        <v>1738</v>
      </c>
      <c r="E4919" t="s">
        <v>1959</v>
      </c>
      <c r="F4919" t="s">
        <v>24</v>
      </c>
      <c r="G4919" t="s">
        <v>65</v>
      </c>
      <c r="H4919" t="s">
        <v>32</v>
      </c>
      <c r="I4919" t="s">
        <v>84</v>
      </c>
      <c r="J4919" t="s">
        <v>85</v>
      </c>
      <c r="K4919">
        <v>4</v>
      </c>
      <c r="L4919" s="2">
        <v>57.92</v>
      </c>
      <c r="M4919" s="3">
        <v>0.25</v>
      </c>
      <c r="N4919" t="s">
        <v>62</v>
      </c>
      <c r="O4919" s="2">
        <v>173.76</v>
      </c>
      <c r="P4919" s="2">
        <v>169.18</v>
      </c>
      <c r="Q4919" s="2">
        <v>4.58</v>
      </c>
      <c r="R4919">
        <v>1</v>
      </c>
      <c r="S4919">
        <v>0</v>
      </c>
      <c r="T4919">
        <v>7</v>
      </c>
      <c r="U4919">
        <v>4</v>
      </c>
    </row>
    <row r="4920" spans="1:21" ht="16.5" x14ac:dyDescent="0.3">
      <c r="A4920" t="s">
        <v>5008</v>
      </c>
      <c r="B4920" s="1">
        <v>45983</v>
      </c>
      <c r="C4920">
        <v>2025</v>
      </c>
      <c r="D4920" t="s">
        <v>1738</v>
      </c>
      <c r="E4920" t="s">
        <v>1959</v>
      </c>
      <c r="F4920" t="s">
        <v>24</v>
      </c>
      <c r="G4920" t="s">
        <v>51</v>
      </c>
      <c r="H4920" t="s">
        <v>32</v>
      </c>
      <c r="I4920" t="s">
        <v>67</v>
      </c>
      <c r="J4920" t="s">
        <v>174</v>
      </c>
      <c r="K4920">
        <v>2</v>
      </c>
      <c r="L4920" s="2">
        <v>137.05000000000001</v>
      </c>
      <c r="M4920" s="3">
        <v>0.3</v>
      </c>
      <c r="N4920" t="s">
        <v>62</v>
      </c>
      <c r="O4920" s="2">
        <v>191.87</v>
      </c>
      <c r="P4920" s="2">
        <v>175.38</v>
      </c>
      <c r="Q4920" s="2">
        <v>16.489999999999998</v>
      </c>
      <c r="R4920">
        <v>1</v>
      </c>
      <c r="S4920">
        <v>0</v>
      </c>
      <c r="T4920">
        <v>5</v>
      </c>
      <c r="U4920">
        <v>4</v>
      </c>
    </row>
    <row r="4921" spans="1:21" ht="16.5" x14ac:dyDescent="0.3">
      <c r="A4921" t="s">
        <v>5009</v>
      </c>
      <c r="B4921" s="1">
        <v>45983</v>
      </c>
      <c r="C4921">
        <v>2025</v>
      </c>
      <c r="D4921" t="s">
        <v>1738</v>
      </c>
      <c r="E4921" t="s">
        <v>1959</v>
      </c>
      <c r="F4921" t="s">
        <v>24</v>
      </c>
      <c r="G4921" t="s">
        <v>25</v>
      </c>
      <c r="H4921" t="s">
        <v>26</v>
      </c>
      <c r="I4921" t="s">
        <v>27</v>
      </c>
      <c r="J4921" t="s">
        <v>40</v>
      </c>
      <c r="K4921">
        <v>2</v>
      </c>
      <c r="L4921" s="2">
        <v>104.94</v>
      </c>
      <c r="M4921" s="3">
        <v>0.3</v>
      </c>
      <c r="N4921" t="s">
        <v>62</v>
      </c>
      <c r="O4921" s="2">
        <v>146.91999999999999</v>
      </c>
      <c r="P4921" s="2">
        <v>115.14</v>
      </c>
      <c r="Q4921" s="2">
        <v>31.78</v>
      </c>
      <c r="R4921">
        <v>1</v>
      </c>
      <c r="S4921">
        <v>1</v>
      </c>
      <c r="T4921">
        <v>4</v>
      </c>
      <c r="U4921">
        <v>3</v>
      </c>
    </row>
    <row r="4922" spans="1:21" ht="16.5" x14ac:dyDescent="0.3">
      <c r="A4922" t="s">
        <v>5010</v>
      </c>
      <c r="B4922" s="1">
        <v>45983</v>
      </c>
      <c r="C4922">
        <v>2025</v>
      </c>
      <c r="D4922" t="s">
        <v>1738</v>
      </c>
      <c r="E4922" t="s">
        <v>1959</v>
      </c>
      <c r="F4922" t="s">
        <v>45</v>
      </c>
      <c r="G4922" t="s">
        <v>25</v>
      </c>
      <c r="H4922" t="s">
        <v>32</v>
      </c>
      <c r="I4922" t="s">
        <v>27</v>
      </c>
      <c r="J4922" t="s">
        <v>28</v>
      </c>
      <c r="K4922">
        <v>1</v>
      </c>
      <c r="L4922" s="2">
        <v>138.5</v>
      </c>
      <c r="M4922" s="3">
        <v>0.25</v>
      </c>
      <c r="N4922" t="s">
        <v>62</v>
      </c>
      <c r="O4922" s="2">
        <v>103.88</v>
      </c>
      <c r="P4922" s="2">
        <v>75.150000000000006</v>
      </c>
      <c r="Q4922" s="2">
        <v>28.73</v>
      </c>
      <c r="R4922">
        <v>1</v>
      </c>
      <c r="S4922">
        <v>0</v>
      </c>
      <c r="T4922">
        <v>6</v>
      </c>
      <c r="U4922">
        <v>3</v>
      </c>
    </row>
    <row r="4923" spans="1:21" ht="16.5" x14ac:dyDescent="0.3">
      <c r="A4923" t="s">
        <v>5011</v>
      </c>
      <c r="B4923" s="1">
        <v>45983</v>
      </c>
      <c r="C4923">
        <v>2025</v>
      </c>
      <c r="D4923" t="s">
        <v>1738</v>
      </c>
      <c r="E4923" t="s">
        <v>1959</v>
      </c>
      <c r="F4923" t="s">
        <v>24</v>
      </c>
      <c r="G4923" t="s">
        <v>51</v>
      </c>
      <c r="H4923" t="s">
        <v>26</v>
      </c>
      <c r="I4923" t="s">
        <v>42</v>
      </c>
      <c r="J4923" t="s">
        <v>89</v>
      </c>
      <c r="K4923">
        <v>1</v>
      </c>
      <c r="L4923" s="2">
        <v>68.349999999999994</v>
      </c>
      <c r="M4923" s="3">
        <v>0.3</v>
      </c>
      <c r="N4923" t="s">
        <v>62</v>
      </c>
      <c r="O4923" s="2">
        <v>47.84</v>
      </c>
      <c r="P4923" s="2">
        <v>42.3</v>
      </c>
      <c r="Q4923" s="2">
        <v>5.54</v>
      </c>
      <c r="R4923">
        <v>1</v>
      </c>
      <c r="S4923">
        <v>0</v>
      </c>
      <c r="T4923">
        <v>5</v>
      </c>
      <c r="U4923">
        <v>4</v>
      </c>
    </row>
    <row r="4924" spans="1:21" ht="16.5" x14ac:dyDescent="0.3">
      <c r="A4924" t="s">
        <v>5012</v>
      </c>
      <c r="B4924" s="1">
        <v>45983</v>
      </c>
      <c r="C4924">
        <v>2025</v>
      </c>
      <c r="D4924" t="s">
        <v>1738</v>
      </c>
      <c r="E4924" t="s">
        <v>1959</v>
      </c>
      <c r="F4924" t="s">
        <v>45</v>
      </c>
      <c r="G4924" t="s">
        <v>65</v>
      </c>
      <c r="H4924" t="s">
        <v>32</v>
      </c>
      <c r="I4924" t="s">
        <v>42</v>
      </c>
      <c r="J4924" t="s">
        <v>98</v>
      </c>
      <c r="K4924">
        <v>1</v>
      </c>
      <c r="L4924" s="2">
        <v>117.63</v>
      </c>
      <c r="M4924" s="3">
        <v>0</v>
      </c>
      <c r="N4924" t="s">
        <v>38</v>
      </c>
      <c r="O4924" s="2">
        <v>117.63</v>
      </c>
      <c r="P4924" s="2">
        <v>74</v>
      </c>
      <c r="Q4924" s="2">
        <v>43.63</v>
      </c>
      <c r="R4924">
        <v>1</v>
      </c>
      <c r="S4924">
        <v>0</v>
      </c>
      <c r="T4924">
        <v>6</v>
      </c>
      <c r="U4924">
        <v>2</v>
      </c>
    </row>
    <row r="4925" spans="1:21" ht="16.5" x14ac:dyDescent="0.3">
      <c r="A4925" t="s">
        <v>5013</v>
      </c>
      <c r="B4925" s="1">
        <v>45983</v>
      </c>
      <c r="C4925">
        <v>2025</v>
      </c>
      <c r="D4925" t="s">
        <v>1738</v>
      </c>
      <c r="E4925" t="s">
        <v>1959</v>
      </c>
      <c r="F4925" t="s">
        <v>45</v>
      </c>
      <c r="G4925" t="s">
        <v>49</v>
      </c>
      <c r="H4925" t="s">
        <v>32</v>
      </c>
      <c r="I4925" t="s">
        <v>84</v>
      </c>
      <c r="J4925" t="s">
        <v>106</v>
      </c>
      <c r="K4925">
        <v>1</v>
      </c>
      <c r="L4925" s="2">
        <v>45.28</v>
      </c>
      <c r="M4925" s="3">
        <v>0.3</v>
      </c>
      <c r="N4925" t="s">
        <v>62</v>
      </c>
      <c r="O4925" s="2">
        <v>31.7</v>
      </c>
      <c r="P4925" s="2">
        <v>31.68</v>
      </c>
      <c r="Q4925" s="2">
        <v>0.02</v>
      </c>
      <c r="R4925">
        <v>1</v>
      </c>
      <c r="S4925">
        <v>0</v>
      </c>
      <c r="T4925">
        <v>4</v>
      </c>
      <c r="U4925">
        <v>5</v>
      </c>
    </row>
    <row r="4926" spans="1:21" ht="16.5" x14ac:dyDescent="0.3">
      <c r="A4926" t="s">
        <v>5014</v>
      </c>
      <c r="B4926" s="1">
        <v>45983</v>
      </c>
      <c r="C4926">
        <v>2025</v>
      </c>
      <c r="D4926" t="s">
        <v>1738</v>
      </c>
      <c r="E4926" t="s">
        <v>1959</v>
      </c>
      <c r="F4926" t="s">
        <v>45</v>
      </c>
      <c r="G4926" t="s">
        <v>25</v>
      </c>
      <c r="H4926" t="s">
        <v>32</v>
      </c>
      <c r="I4926" t="s">
        <v>27</v>
      </c>
      <c r="J4926" t="s">
        <v>47</v>
      </c>
      <c r="K4926">
        <v>1</v>
      </c>
      <c r="L4926" s="2">
        <v>33.99</v>
      </c>
      <c r="M4926" s="3">
        <v>0.25</v>
      </c>
      <c r="N4926" t="s">
        <v>62</v>
      </c>
      <c r="O4926" s="2">
        <v>25.49</v>
      </c>
      <c r="P4926" s="2">
        <v>18.38</v>
      </c>
      <c r="Q4926" s="2">
        <v>7.11</v>
      </c>
      <c r="R4926">
        <v>1</v>
      </c>
      <c r="S4926">
        <v>0</v>
      </c>
      <c r="T4926">
        <v>5</v>
      </c>
      <c r="U4926">
        <v>5</v>
      </c>
    </row>
    <row r="4927" spans="1:21" ht="16.5" x14ac:dyDescent="0.3">
      <c r="A4927" t="s">
        <v>5015</v>
      </c>
      <c r="B4927" s="1">
        <v>45983</v>
      </c>
      <c r="C4927">
        <v>2025</v>
      </c>
      <c r="D4927" t="s">
        <v>1738</v>
      </c>
      <c r="E4927" t="s">
        <v>1959</v>
      </c>
      <c r="F4927" t="s">
        <v>24</v>
      </c>
      <c r="G4927" t="s">
        <v>49</v>
      </c>
      <c r="H4927" t="s">
        <v>32</v>
      </c>
      <c r="I4927" t="s">
        <v>70</v>
      </c>
      <c r="J4927" t="s">
        <v>162</v>
      </c>
      <c r="K4927">
        <v>3</v>
      </c>
      <c r="L4927" s="2">
        <v>636.09</v>
      </c>
      <c r="M4927" s="3">
        <v>0.15</v>
      </c>
      <c r="N4927" t="s">
        <v>34</v>
      </c>
      <c r="O4927" s="2">
        <v>1622.03</v>
      </c>
      <c r="P4927" s="2">
        <v>1571.82</v>
      </c>
      <c r="Q4927" s="2">
        <v>50.21</v>
      </c>
      <c r="R4927">
        <v>1</v>
      </c>
      <c r="S4927">
        <v>0</v>
      </c>
      <c r="T4927">
        <v>9</v>
      </c>
      <c r="U4927">
        <v>3</v>
      </c>
    </row>
    <row r="4928" spans="1:21" ht="16.5" x14ac:dyDescent="0.3">
      <c r="A4928" t="s">
        <v>5016</v>
      </c>
      <c r="B4928" s="1">
        <v>45983</v>
      </c>
      <c r="C4928">
        <v>2025</v>
      </c>
      <c r="D4928" t="s">
        <v>1738</v>
      </c>
      <c r="E4928" t="s">
        <v>1959</v>
      </c>
      <c r="F4928" t="s">
        <v>31</v>
      </c>
      <c r="G4928" t="s">
        <v>51</v>
      </c>
      <c r="H4928" t="s">
        <v>32</v>
      </c>
      <c r="I4928" t="s">
        <v>36</v>
      </c>
      <c r="J4928" t="s">
        <v>126</v>
      </c>
      <c r="K4928">
        <v>3</v>
      </c>
      <c r="L4928" s="2">
        <v>54.56</v>
      </c>
      <c r="M4928" s="3">
        <v>0.3</v>
      </c>
      <c r="N4928" t="s">
        <v>62</v>
      </c>
      <c r="O4928" s="2">
        <v>114.58</v>
      </c>
      <c r="P4928" s="2">
        <v>80</v>
      </c>
      <c r="Q4928" s="2">
        <v>34.58</v>
      </c>
      <c r="R4928">
        <v>1</v>
      </c>
      <c r="S4928">
        <v>0</v>
      </c>
      <c r="T4928">
        <v>4</v>
      </c>
      <c r="U4928">
        <v>4</v>
      </c>
    </row>
    <row r="4929" spans="1:21" ht="16.5" x14ac:dyDescent="0.3">
      <c r="A4929" t="s">
        <v>5017</v>
      </c>
      <c r="B4929" s="1">
        <v>45983</v>
      </c>
      <c r="C4929">
        <v>2025</v>
      </c>
      <c r="D4929" t="s">
        <v>1738</v>
      </c>
      <c r="E4929" t="s">
        <v>1959</v>
      </c>
      <c r="F4929" t="s">
        <v>31</v>
      </c>
      <c r="G4929" t="s">
        <v>46</v>
      </c>
      <c r="H4929" t="s">
        <v>32</v>
      </c>
      <c r="I4929" t="s">
        <v>84</v>
      </c>
      <c r="J4929" t="s">
        <v>223</v>
      </c>
      <c r="K4929">
        <v>1</v>
      </c>
      <c r="L4929" s="2">
        <v>16.97</v>
      </c>
      <c r="M4929" s="3">
        <v>0.15</v>
      </c>
      <c r="N4929" t="s">
        <v>34</v>
      </c>
      <c r="O4929" s="2">
        <v>14.42</v>
      </c>
      <c r="P4929" s="2">
        <v>12.19</v>
      </c>
      <c r="Q4929" s="2">
        <v>2.23</v>
      </c>
      <c r="R4929">
        <v>1</v>
      </c>
      <c r="S4929">
        <v>0</v>
      </c>
      <c r="T4929">
        <v>6</v>
      </c>
      <c r="U4929">
        <v>4</v>
      </c>
    </row>
    <row r="4930" spans="1:21" ht="16.5" x14ac:dyDescent="0.3">
      <c r="A4930" t="s">
        <v>5018</v>
      </c>
      <c r="B4930" s="1">
        <v>45983</v>
      </c>
      <c r="C4930">
        <v>2025</v>
      </c>
      <c r="D4930" t="s">
        <v>1738</v>
      </c>
      <c r="E4930" t="s">
        <v>1959</v>
      </c>
      <c r="F4930" t="s">
        <v>24</v>
      </c>
      <c r="G4930" t="s">
        <v>49</v>
      </c>
      <c r="H4930" t="s">
        <v>26</v>
      </c>
      <c r="I4930" t="s">
        <v>42</v>
      </c>
      <c r="J4930" t="s">
        <v>76</v>
      </c>
      <c r="K4930">
        <v>3</v>
      </c>
      <c r="L4930" s="2">
        <v>90.75</v>
      </c>
      <c r="M4930" s="3">
        <v>0.15</v>
      </c>
      <c r="N4930" t="s">
        <v>34</v>
      </c>
      <c r="O4930" s="2">
        <v>231.41</v>
      </c>
      <c r="P4930" s="2">
        <v>174.13</v>
      </c>
      <c r="Q4930" s="2">
        <v>57.28</v>
      </c>
      <c r="R4930">
        <v>1</v>
      </c>
      <c r="S4930">
        <v>0</v>
      </c>
      <c r="T4930">
        <v>6</v>
      </c>
      <c r="U4930">
        <v>4</v>
      </c>
    </row>
    <row r="4931" spans="1:21" ht="16.5" x14ac:dyDescent="0.3">
      <c r="A4931" t="s">
        <v>5019</v>
      </c>
      <c r="B4931" s="1">
        <v>45983</v>
      </c>
      <c r="C4931">
        <v>2025</v>
      </c>
      <c r="D4931" t="s">
        <v>1738</v>
      </c>
      <c r="E4931" t="s">
        <v>1959</v>
      </c>
      <c r="F4931" t="s">
        <v>31</v>
      </c>
      <c r="G4931" t="s">
        <v>51</v>
      </c>
      <c r="H4931" t="s">
        <v>26</v>
      </c>
      <c r="I4931" t="s">
        <v>42</v>
      </c>
      <c r="J4931" t="s">
        <v>98</v>
      </c>
      <c r="K4931">
        <v>1</v>
      </c>
      <c r="L4931" s="2">
        <v>117.63</v>
      </c>
      <c r="M4931" s="3">
        <v>0</v>
      </c>
      <c r="N4931" t="s">
        <v>38</v>
      </c>
      <c r="O4931" s="2">
        <v>117.63</v>
      </c>
      <c r="P4931" s="2">
        <v>79.28</v>
      </c>
      <c r="Q4931" s="2">
        <v>38.35</v>
      </c>
      <c r="R4931">
        <v>1</v>
      </c>
      <c r="S4931">
        <v>0</v>
      </c>
      <c r="T4931">
        <v>3</v>
      </c>
      <c r="U4931">
        <v>4</v>
      </c>
    </row>
    <row r="4932" spans="1:21" ht="16.5" x14ac:dyDescent="0.3">
      <c r="A4932" t="s">
        <v>5020</v>
      </c>
      <c r="B4932" s="1">
        <v>45983</v>
      </c>
      <c r="C4932">
        <v>2025</v>
      </c>
      <c r="D4932" t="s">
        <v>1738</v>
      </c>
      <c r="E4932" t="s">
        <v>1959</v>
      </c>
      <c r="F4932" t="s">
        <v>31</v>
      </c>
      <c r="G4932" t="s">
        <v>51</v>
      </c>
      <c r="H4932" t="s">
        <v>26</v>
      </c>
      <c r="I4932" t="s">
        <v>70</v>
      </c>
      <c r="J4932" t="s">
        <v>162</v>
      </c>
      <c r="K4932">
        <v>1</v>
      </c>
      <c r="L4932" s="2">
        <v>636.09</v>
      </c>
      <c r="M4932" s="3">
        <v>0.15</v>
      </c>
      <c r="N4932" t="s">
        <v>34</v>
      </c>
      <c r="O4932" s="2">
        <v>540.67999999999995</v>
      </c>
      <c r="P4932" s="2">
        <v>500.46</v>
      </c>
      <c r="Q4932" s="2">
        <v>40.22</v>
      </c>
      <c r="R4932">
        <v>1</v>
      </c>
      <c r="S4932">
        <v>0</v>
      </c>
      <c r="T4932">
        <v>4</v>
      </c>
      <c r="U4932">
        <v>5</v>
      </c>
    </row>
    <row r="4933" spans="1:21" ht="16.5" x14ac:dyDescent="0.3">
      <c r="A4933" t="s">
        <v>5021</v>
      </c>
      <c r="B4933" s="1">
        <v>45983</v>
      </c>
      <c r="C4933">
        <v>2025</v>
      </c>
      <c r="D4933" t="s">
        <v>1738</v>
      </c>
      <c r="E4933" t="s">
        <v>1959</v>
      </c>
      <c r="F4933" t="s">
        <v>24</v>
      </c>
      <c r="G4933" t="s">
        <v>51</v>
      </c>
      <c r="H4933" t="s">
        <v>26</v>
      </c>
      <c r="I4933" t="s">
        <v>42</v>
      </c>
      <c r="J4933" t="s">
        <v>76</v>
      </c>
      <c r="K4933">
        <v>2</v>
      </c>
      <c r="L4933" s="2">
        <v>90.75</v>
      </c>
      <c r="M4933" s="3">
        <v>0.2</v>
      </c>
      <c r="N4933" t="s">
        <v>34</v>
      </c>
      <c r="O4933" s="2">
        <v>145.19999999999999</v>
      </c>
      <c r="P4933" s="2">
        <v>112.25</v>
      </c>
      <c r="Q4933" s="2">
        <v>32.950000000000003</v>
      </c>
      <c r="R4933">
        <v>1</v>
      </c>
      <c r="S4933">
        <v>0</v>
      </c>
      <c r="T4933">
        <v>6</v>
      </c>
      <c r="U4933">
        <v>3</v>
      </c>
    </row>
    <row r="4934" spans="1:21" ht="16.5" x14ac:dyDescent="0.3">
      <c r="A4934" t="s">
        <v>5022</v>
      </c>
      <c r="B4934" s="1">
        <v>45983</v>
      </c>
      <c r="C4934">
        <v>2025</v>
      </c>
      <c r="D4934" t="s">
        <v>1738</v>
      </c>
      <c r="E4934" t="s">
        <v>1959</v>
      </c>
      <c r="F4934" t="s">
        <v>24</v>
      </c>
      <c r="G4934" t="s">
        <v>25</v>
      </c>
      <c r="H4934" t="s">
        <v>32</v>
      </c>
      <c r="I4934" t="s">
        <v>36</v>
      </c>
      <c r="J4934" t="s">
        <v>115</v>
      </c>
      <c r="K4934">
        <v>1</v>
      </c>
      <c r="L4934" s="2">
        <v>33.479999999999997</v>
      </c>
      <c r="M4934" s="3">
        <v>0.1</v>
      </c>
      <c r="N4934" t="s">
        <v>29</v>
      </c>
      <c r="O4934" s="2">
        <v>30.13</v>
      </c>
      <c r="P4934" s="2">
        <v>15.68</v>
      </c>
      <c r="Q4934" s="2">
        <v>14.45</v>
      </c>
      <c r="R4934">
        <v>1</v>
      </c>
      <c r="S4934">
        <v>0</v>
      </c>
      <c r="T4934">
        <v>4</v>
      </c>
      <c r="U4934">
        <v>4</v>
      </c>
    </row>
    <row r="4935" spans="1:21" ht="16.5" x14ac:dyDescent="0.3">
      <c r="A4935" t="s">
        <v>5023</v>
      </c>
      <c r="B4935" s="1">
        <v>45983</v>
      </c>
      <c r="C4935">
        <v>2025</v>
      </c>
      <c r="D4935" t="s">
        <v>1738</v>
      </c>
      <c r="E4935" t="s">
        <v>1959</v>
      </c>
      <c r="F4935" t="s">
        <v>31</v>
      </c>
      <c r="G4935" t="s">
        <v>25</v>
      </c>
      <c r="H4935" t="s">
        <v>32</v>
      </c>
      <c r="I4935" t="s">
        <v>36</v>
      </c>
      <c r="J4935" t="s">
        <v>115</v>
      </c>
      <c r="K4935">
        <v>1</v>
      </c>
      <c r="L4935" s="2">
        <v>33.479999999999997</v>
      </c>
      <c r="M4935" s="3">
        <v>0</v>
      </c>
      <c r="N4935" t="s">
        <v>38</v>
      </c>
      <c r="O4935" s="2">
        <v>33.479999999999997</v>
      </c>
      <c r="P4935" s="2">
        <v>16.5</v>
      </c>
      <c r="Q4935" s="2">
        <v>16.98</v>
      </c>
      <c r="R4935">
        <v>1</v>
      </c>
      <c r="S4935">
        <v>0</v>
      </c>
      <c r="T4935">
        <v>7</v>
      </c>
      <c r="U4935">
        <v>3</v>
      </c>
    </row>
    <row r="4936" spans="1:21" ht="16.5" x14ac:dyDescent="0.3">
      <c r="A4936" t="s">
        <v>5024</v>
      </c>
      <c r="B4936" s="1">
        <v>45984</v>
      </c>
      <c r="C4936">
        <v>2025</v>
      </c>
      <c r="D4936" t="s">
        <v>1738</v>
      </c>
      <c r="E4936" t="s">
        <v>1959</v>
      </c>
      <c r="F4936" t="s">
        <v>31</v>
      </c>
      <c r="G4936" t="s">
        <v>49</v>
      </c>
      <c r="H4936" t="s">
        <v>26</v>
      </c>
      <c r="I4936" t="s">
        <v>27</v>
      </c>
      <c r="J4936" t="s">
        <v>28</v>
      </c>
      <c r="K4936">
        <v>1</v>
      </c>
      <c r="L4936" s="2">
        <v>138.5</v>
      </c>
      <c r="M4936" s="3">
        <v>0.2</v>
      </c>
      <c r="N4936" t="s">
        <v>34</v>
      </c>
      <c r="O4936" s="2">
        <v>110.8</v>
      </c>
      <c r="P4936" s="2">
        <v>76.44</v>
      </c>
      <c r="Q4936" s="2">
        <v>34.36</v>
      </c>
      <c r="R4936">
        <v>1</v>
      </c>
      <c r="S4936">
        <v>0</v>
      </c>
      <c r="T4936">
        <v>4</v>
      </c>
      <c r="U4936">
        <v>5</v>
      </c>
    </row>
    <row r="4937" spans="1:21" ht="16.5" x14ac:dyDescent="0.3">
      <c r="A4937" t="s">
        <v>5025</v>
      </c>
      <c r="B4937" s="1">
        <v>45984</v>
      </c>
      <c r="C4937">
        <v>2025</v>
      </c>
      <c r="D4937" t="s">
        <v>1738</v>
      </c>
      <c r="E4937" t="s">
        <v>1959</v>
      </c>
      <c r="F4937" t="s">
        <v>24</v>
      </c>
      <c r="G4937" t="s">
        <v>25</v>
      </c>
      <c r="H4937" t="s">
        <v>32</v>
      </c>
      <c r="I4937" t="s">
        <v>27</v>
      </c>
      <c r="J4937" t="s">
        <v>60</v>
      </c>
      <c r="K4937">
        <v>1</v>
      </c>
      <c r="L4937" s="2">
        <v>94.85</v>
      </c>
      <c r="M4937" s="3">
        <v>0.2</v>
      </c>
      <c r="N4937" t="s">
        <v>34</v>
      </c>
      <c r="O4937" s="2">
        <v>75.88</v>
      </c>
      <c r="P4937" s="2">
        <v>53.22</v>
      </c>
      <c r="Q4937" s="2">
        <v>22.66</v>
      </c>
      <c r="R4937">
        <v>1</v>
      </c>
      <c r="S4937">
        <v>1</v>
      </c>
      <c r="T4937">
        <v>5</v>
      </c>
      <c r="U4937">
        <v>3</v>
      </c>
    </row>
    <row r="4938" spans="1:21" ht="16.5" x14ac:dyDescent="0.3">
      <c r="A4938" t="s">
        <v>5026</v>
      </c>
      <c r="B4938" s="1">
        <v>45984</v>
      </c>
      <c r="C4938">
        <v>2025</v>
      </c>
      <c r="D4938" t="s">
        <v>1738</v>
      </c>
      <c r="E4938" t="s">
        <v>1959</v>
      </c>
      <c r="F4938" t="s">
        <v>31</v>
      </c>
      <c r="G4938" t="s">
        <v>25</v>
      </c>
      <c r="H4938" t="s">
        <v>26</v>
      </c>
      <c r="I4938" t="s">
        <v>27</v>
      </c>
      <c r="J4938" t="s">
        <v>33</v>
      </c>
      <c r="K4938">
        <v>2</v>
      </c>
      <c r="L4938" s="2">
        <v>78.510000000000005</v>
      </c>
      <c r="M4938" s="3">
        <v>0.05</v>
      </c>
      <c r="N4938" t="s">
        <v>29</v>
      </c>
      <c r="O4938" s="2">
        <v>149.16999999999999</v>
      </c>
      <c r="P4938" s="2">
        <v>89.71</v>
      </c>
      <c r="Q4938" s="2">
        <v>59.46</v>
      </c>
      <c r="R4938">
        <v>1</v>
      </c>
      <c r="S4938">
        <v>0</v>
      </c>
      <c r="T4938">
        <v>5</v>
      </c>
      <c r="U4938">
        <v>5</v>
      </c>
    </row>
    <row r="4939" spans="1:21" ht="16.5" x14ac:dyDescent="0.3">
      <c r="A4939" t="s">
        <v>5027</v>
      </c>
      <c r="B4939" s="1">
        <v>45984</v>
      </c>
      <c r="C4939">
        <v>2025</v>
      </c>
      <c r="D4939" t="s">
        <v>1738</v>
      </c>
      <c r="E4939" t="s">
        <v>1959</v>
      </c>
      <c r="F4939" t="s">
        <v>45</v>
      </c>
      <c r="G4939" t="s">
        <v>51</v>
      </c>
      <c r="H4939" t="s">
        <v>32</v>
      </c>
      <c r="I4939" t="s">
        <v>36</v>
      </c>
      <c r="J4939" t="s">
        <v>126</v>
      </c>
      <c r="K4939">
        <v>1</v>
      </c>
      <c r="L4939" s="2">
        <v>54.56</v>
      </c>
      <c r="M4939" s="3">
        <v>0.05</v>
      </c>
      <c r="N4939" t="s">
        <v>29</v>
      </c>
      <c r="O4939" s="2">
        <v>51.83</v>
      </c>
      <c r="P4939" s="2">
        <v>24.36</v>
      </c>
      <c r="Q4939" s="2">
        <v>27.47</v>
      </c>
      <c r="R4939">
        <v>1</v>
      </c>
      <c r="S4939">
        <v>0</v>
      </c>
      <c r="T4939">
        <v>4</v>
      </c>
      <c r="U4939">
        <v>4</v>
      </c>
    </row>
    <row r="4940" spans="1:21" ht="16.5" x14ac:dyDescent="0.3">
      <c r="A4940" t="s">
        <v>5028</v>
      </c>
      <c r="B4940" s="1">
        <v>45984</v>
      </c>
      <c r="C4940">
        <v>2025</v>
      </c>
      <c r="D4940" t="s">
        <v>1738</v>
      </c>
      <c r="E4940" t="s">
        <v>1959</v>
      </c>
      <c r="F4940" t="s">
        <v>31</v>
      </c>
      <c r="G4940" t="s">
        <v>51</v>
      </c>
      <c r="H4940" t="s">
        <v>32</v>
      </c>
      <c r="I4940" t="s">
        <v>67</v>
      </c>
      <c r="J4940" t="s">
        <v>93</v>
      </c>
      <c r="K4940">
        <v>4</v>
      </c>
      <c r="L4940" s="2">
        <v>198.42</v>
      </c>
      <c r="M4940" s="3">
        <v>0</v>
      </c>
      <c r="N4940" t="s">
        <v>38</v>
      </c>
      <c r="O4940" s="2">
        <v>793.68</v>
      </c>
      <c r="P4940" s="2">
        <v>525.73</v>
      </c>
      <c r="Q4940" s="2">
        <v>267.95</v>
      </c>
      <c r="R4940">
        <v>1</v>
      </c>
      <c r="S4940">
        <v>0</v>
      </c>
      <c r="T4940">
        <v>4</v>
      </c>
      <c r="U4940">
        <v>4</v>
      </c>
    </row>
    <row r="4941" spans="1:21" ht="16.5" x14ac:dyDescent="0.3">
      <c r="A4941" t="s">
        <v>5029</v>
      </c>
      <c r="B4941" s="1">
        <v>45984</v>
      </c>
      <c r="C4941">
        <v>2025</v>
      </c>
      <c r="D4941" t="s">
        <v>1738</v>
      </c>
      <c r="E4941" t="s">
        <v>1959</v>
      </c>
      <c r="F4941" t="s">
        <v>24</v>
      </c>
      <c r="G4941" t="s">
        <v>51</v>
      </c>
      <c r="H4941" t="s">
        <v>32</v>
      </c>
      <c r="I4941" t="s">
        <v>42</v>
      </c>
      <c r="J4941" t="s">
        <v>98</v>
      </c>
      <c r="K4941">
        <v>1</v>
      </c>
      <c r="L4941" s="2">
        <v>117.63</v>
      </c>
      <c r="M4941" s="3">
        <v>0.15</v>
      </c>
      <c r="N4941" t="s">
        <v>34</v>
      </c>
      <c r="O4941" s="2">
        <v>99.99</v>
      </c>
      <c r="P4941" s="2">
        <v>80.92</v>
      </c>
      <c r="Q4941" s="2">
        <v>19.07</v>
      </c>
      <c r="R4941">
        <v>1</v>
      </c>
      <c r="S4941">
        <v>0</v>
      </c>
      <c r="T4941">
        <v>4</v>
      </c>
      <c r="U4941">
        <v>5</v>
      </c>
    </row>
    <row r="4942" spans="1:21" ht="16.5" x14ac:dyDescent="0.3">
      <c r="A4942" t="s">
        <v>5030</v>
      </c>
      <c r="B4942" s="1">
        <v>45984</v>
      </c>
      <c r="C4942">
        <v>2025</v>
      </c>
      <c r="D4942" t="s">
        <v>1738</v>
      </c>
      <c r="E4942" t="s">
        <v>1959</v>
      </c>
      <c r="F4942" t="s">
        <v>45</v>
      </c>
      <c r="G4942" t="s">
        <v>49</v>
      </c>
      <c r="H4942" t="s">
        <v>32</v>
      </c>
      <c r="I4942" t="s">
        <v>27</v>
      </c>
      <c r="J4942" t="s">
        <v>33</v>
      </c>
      <c r="K4942">
        <v>1</v>
      </c>
      <c r="L4942" s="2">
        <v>78.510000000000005</v>
      </c>
      <c r="M4942" s="3">
        <v>0.3</v>
      </c>
      <c r="N4942" t="s">
        <v>62</v>
      </c>
      <c r="O4942" s="2">
        <v>54.96</v>
      </c>
      <c r="P4942" s="2">
        <v>43.41</v>
      </c>
      <c r="Q4942" s="2">
        <v>11.55</v>
      </c>
      <c r="R4942">
        <v>1</v>
      </c>
      <c r="S4942">
        <v>1</v>
      </c>
      <c r="T4942">
        <v>5</v>
      </c>
      <c r="U4942">
        <v>4</v>
      </c>
    </row>
    <row r="4943" spans="1:21" ht="16.5" x14ac:dyDescent="0.3">
      <c r="A4943" t="s">
        <v>5031</v>
      </c>
      <c r="B4943" s="1">
        <v>45984</v>
      </c>
      <c r="C4943">
        <v>2025</v>
      </c>
      <c r="D4943" t="s">
        <v>1738</v>
      </c>
      <c r="E4943" t="s">
        <v>1959</v>
      </c>
      <c r="F4943" t="s">
        <v>31</v>
      </c>
      <c r="G4943" t="s">
        <v>49</v>
      </c>
      <c r="H4943" t="s">
        <v>32</v>
      </c>
      <c r="I4943" t="s">
        <v>84</v>
      </c>
      <c r="J4943" t="s">
        <v>223</v>
      </c>
      <c r="K4943">
        <v>2</v>
      </c>
      <c r="L4943" s="2">
        <v>16.97</v>
      </c>
      <c r="M4943" s="3">
        <v>0.1</v>
      </c>
      <c r="N4943" t="s">
        <v>29</v>
      </c>
      <c r="O4943" s="2">
        <v>30.55</v>
      </c>
      <c r="P4943" s="2">
        <v>23.79</v>
      </c>
      <c r="Q4943" s="2">
        <v>6.76</v>
      </c>
      <c r="R4943">
        <v>1</v>
      </c>
      <c r="S4943">
        <v>0</v>
      </c>
      <c r="T4943">
        <v>8</v>
      </c>
      <c r="U4943">
        <v>4</v>
      </c>
    </row>
    <row r="4944" spans="1:21" ht="16.5" x14ac:dyDescent="0.3">
      <c r="A4944" t="s">
        <v>5032</v>
      </c>
      <c r="B4944" s="1">
        <v>45984</v>
      </c>
      <c r="C4944">
        <v>2025</v>
      </c>
      <c r="D4944" t="s">
        <v>1738</v>
      </c>
      <c r="E4944" t="s">
        <v>1959</v>
      </c>
      <c r="F4944" t="s">
        <v>31</v>
      </c>
      <c r="G4944" t="s">
        <v>65</v>
      </c>
      <c r="H4944" t="s">
        <v>32</v>
      </c>
      <c r="I4944" t="s">
        <v>70</v>
      </c>
      <c r="J4944" t="s">
        <v>71</v>
      </c>
      <c r="K4944">
        <v>1</v>
      </c>
      <c r="L4944" s="2">
        <v>588.41</v>
      </c>
      <c r="M4944" s="3">
        <v>0.3</v>
      </c>
      <c r="N4944" t="s">
        <v>62</v>
      </c>
      <c r="O4944" s="2">
        <v>411.89</v>
      </c>
      <c r="P4944" s="2">
        <v>458.07</v>
      </c>
      <c r="Q4944" s="2">
        <v>-46.18</v>
      </c>
      <c r="R4944">
        <v>1</v>
      </c>
      <c r="S4944">
        <v>0</v>
      </c>
      <c r="T4944">
        <v>9</v>
      </c>
      <c r="U4944">
        <v>4</v>
      </c>
    </row>
    <row r="4945" spans="1:21" ht="16.5" x14ac:dyDescent="0.3">
      <c r="A4945" t="s">
        <v>5033</v>
      </c>
      <c r="B4945" s="1">
        <v>45984</v>
      </c>
      <c r="C4945">
        <v>2025</v>
      </c>
      <c r="D4945" t="s">
        <v>1738</v>
      </c>
      <c r="E4945" t="s">
        <v>1959</v>
      </c>
      <c r="F4945" t="s">
        <v>24</v>
      </c>
      <c r="G4945" t="s">
        <v>51</v>
      </c>
      <c r="H4945" t="s">
        <v>32</v>
      </c>
      <c r="I4945" t="s">
        <v>84</v>
      </c>
      <c r="J4945" t="s">
        <v>96</v>
      </c>
      <c r="K4945">
        <v>1</v>
      </c>
      <c r="L4945" s="2">
        <v>10.76</v>
      </c>
      <c r="M4945" s="3">
        <v>0.15</v>
      </c>
      <c r="N4945" t="s">
        <v>34</v>
      </c>
      <c r="O4945" s="2">
        <v>9.15</v>
      </c>
      <c r="P4945" s="2">
        <v>8.18</v>
      </c>
      <c r="Q4945" s="2">
        <v>0.97</v>
      </c>
      <c r="R4945">
        <v>1</v>
      </c>
      <c r="S4945">
        <v>0</v>
      </c>
      <c r="T4945">
        <v>3</v>
      </c>
      <c r="U4945">
        <v>5</v>
      </c>
    </row>
    <row r="4946" spans="1:21" ht="16.5" x14ac:dyDescent="0.3">
      <c r="A4946" t="s">
        <v>5034</v>
      </c>
      <c r="B4946" s="1">
        <v>45984</v>
      </c>
      <c r="C4946">
        <v>2025</v>
      </c>
      <c r="D4946" t="s">
        <v>1738</v>
      </c>
      <c r="E4946" t="s">
        <v>1959</v>
      </c>
      <c r="F4946" t="s">
        <v>31</v>
      </c>
      <c r="G4946" t="s">
        <v>25</v>
      </c>
      <c r="H4946" t="s">
        <v>26</v>
      </c>
      <c r="I4946" t="s">
        <v>27</v>
      </c>
      <c r="J4946" t="s">
        <v>33</v>
      </c>
      <c r="K4946">
        <v>1</v>
      </c>
      <c r="L4946" s="2">
        <v>78.510000000000005</v>
      </c>
      <c r="M4946" s="3">
        <v>0.15</v>
      </c>
      <c r="N4946" t="s">
        <v>34</v>
      </c>
      <c r="O4946" s="2">
        <v>66.73</v>
      </c>
      <c r="P4946" s="2">
        <v>43.07</v>
      </c>
      <c r="Q4946" s="2">
        <v>23.66</v>
      </c>
      <c r="R4946">
        <v>1</v>
      </c>
      <c r="S4946">
        <v>0</v>
      </c>
      <c r="T4946">
        <v>5</v>
      </c>
      <c r="U4946">
        <v>4</v>
      </c>
    </row>
    <row r="4947" spans="1:21" ht="16.5" x14ac:dyDescent="0.3">
      <c r="A4947" t="s">
        <v>5035</v>
      </c>
      <c r="B4947" s="1">
        <v>45984</v>
      </c>
      <c r="C4947">
        <v>2025</v>
      </c>
      <c r="D4947" t="s">
        <v>1738</v>
      </c>
      <c r="E4947" t="s">
        <v>1959</v>
      </c>
      <c r="F4947" t="s">
        <v>31</v>
      </c>
      <c r="G4947" t="s">
        <v>51</v>
      </c>
      <c r="H4947" t="s">
        <v>26</v>
      </c>
      <c r="I4947" t="s">
        <v>36</v>
      </c>
      <c r="J4947" t="s">
        <v>126</v>
      </c>
      <c r="K4947">
        <v>4</v>
      </c>
      <c r="L4947" s="2">
        <v>54.56</v>
      </c>
      <c r="M4947" s="3">
        <v>0.05</v>
      </c>
      <c r="N4947" t="s">
        <v>29</v>
      </c>
      <c r="O4947" s="2">
        <v>207.33</v>
      </c>
      <c r="P4947" s="2">
        <v>106.36</v>
      </c>
      <c r="Q4947" s="2">
        <v>100.97</v>
      </c>
      <c r="R4947">
        <v>1</v>
      </c>
      <c r="S4947">
        <v>0</v>
      </c>
      <c r="T4947">
        <v>3</v>
      </c>
      <c r="U4947">
        <v>5</v>
      </c>
    </row>
    <row r="4948" spans="1:21" ht="16.5" x14ac:dyDescent="0.3">
      <c r="A4948" t="s">
        <v>5036</v>
      </c>
      <c r="B4948" s="1">
        <v>45984</v>
      </c>
      <c r="C4948">
        <v>2025</v>
      </c>
      <c r="D4948" t="s">
        <v>1738</v>
      </c>
      <c r="E4948" t="s">
        <v>1959</v>
      </c>
      <c r="F4948" t="s">
        <v>24</v>
      </c>
      <c r="G4948" t="s">
        <v>51</v>
      </c>
      <c r="H4948" t="s">
        <v>26</v>
      </c>
      <c r="I4948" t="s">
        <v>70</v>
      </c>
      <c r="J4948" t="s">
        <v>252</v>
      </c>
      <c r="K4948">
        <v>1</v>
      </c>
      <c r="L4948" s="2">
        <v>216.08</v>
      </c>
      <c r="M4948" s="3">
        <v>0.25</v>
      </c>
      <c r="N4948" t="s">
        <v>62</v>
      </c>
      <c r="O4948" s="2">
        <v>162.06</v>
      </c>
      <c r="P4948" s="2">
        <v>180.17</v>
      </c>
      <c r="Q4948" s="2">
        <v>-18.11</v>
      </c>
      <c r="R4948">
        <v>1</v>
      </c>
      <c r="S4948">
        <v>0</v>
      </c>
      <c r="T4948">
        <v>3</v>
      </c>
      <c r="U4948">
        <v>5</v>
      </c>
    </row>
    <row r="4949" spans="1:21" ht="16.5" x14ac:dyDescent="0.3">
      <c r="A4949" t="s">
        <v>5037</v>
      </c>
      <c r="B4949" s="1">
        <v>45984</v>
      </c>
      <c r="C4949">
        <v>2025</v>
      </c>
      <c r="D4949" t="s">
        <v>1738</v>
      </c>
      <c r="E4949" t="s">
        <v>1959</v>
      </c>
      <c r="F4949" t="s">
        <v>24</v>
      </c>
      <c r="G4949" t="s">
        <v>25</v>
      </c>
      <c r="H4949" t="s">
        <v>32</v>
      </c>
      <c r="I4949" t="s">
        <v>42</v>
      </c>
      <c r="J4949" t="s">
        <v>89</v>
      </c>
      <c r="K4949">
        <v>1</v>
      </c>
      <c r="L4949" s="2">
        <v>68.349999999999994</v>
      </c>
      <c r="M4949" s="3">
        <v>0.2</v>
      </c>
      <c r="N4949" t="s">
        <v>34</v>
      </c>
      <c r="O4949" s="2">
        <v>54.68</v>
      </c>
      <c r="P4949" s="2">
        <v>45.68</v>
      </c>
      <c r="Q4949" s="2">
        <v>9</v>
      </c>
      <c r="R4949">
        <v>1</v>
      </c>
      <c r="S4949">
        <v>0</v>
      </c>
      <c r="T4949">
        <v>5</v>
      </c>
      <c r="U4949">
        <v>5</v>
      </c>
    </row>
    <row r="4950" spans="1:21" ht="16.5" x14ac:dyDescent="0.3">
      <c r="A4950" t="s">
        <v>5038</v>
      </c>
      <c r="B4950" s="1">
        <v>45984</v>
      </c>
      <c r="C4950">
        <v>2025</v>
      </c>
      <c r="D4950" t="s">
        <v>1738</v>
      </c>
      <c r="E4950" t="s">
        <v>1959</v>
      </c>
      <c r="F4950" t="s">
        <v>24</v>
      </c>
      <c r="G4950" t="s">
        <v>25</v>
      </c>
      <c r="H4950" t="s">
        <v>32</v>
      </c>
      <c r="I4950" t="s">
        <v>70</v>
      </c>
      <c r="J4950" t="s">
        <v>129</v>
      </c>
      <c r="K4950">
        <v>1</v>
      </c>
      <c r="L4950" s="2">
        <v>177.65</v>
      </c>
      <c r="M4950" s="3">
        <v>0.2</v>
      </c>
      <c r="N4950" t="s">
        <v>34</v>
      </c>
      <c r="O4950" s="2">
        <v>142.12</v>
      </c>
      <c r="P4950" s="2">
        <v>146.85</v>
      </c>
      <c r="Q4950" s="2">
        <v>-4.7300000000000004</v>
      </c>
      <c r="R4950">
        <v>1</v>
      </c>
      <c r="S4950">
        <v>0</v>
      </c>
      <c r="T4950">
        <v>7</v>
      </c>
      <c r="U4950">
        <v>4</v>
      </c>
    </row>
    <row r="4951" spans="1:21" ht="16.5" x14ac:dyDescent="0.3">
      <c r="A4951" t="s">
        <v>5039</v>
      </c>
      <c r="B4951" s="1">
        <v>45984</v>
      </c>
      <c r="C4951">
        <v>2025</v>
      </c>
      <c r="D4951" t="s">
        <v>1738</v>
      </c>
      <c r="E4951" t="s">
        <v>1959</v>
      </c>
      <c r="F4951" t="s">
        <v>24</v>
      </c>
      <c r="G4951" t="s">
        <v>51</v>
      </c>
      <c r="H4951" t="s">
        <v>26</v>
      </c>
      <c r="I4951" t="s">
        <v>67</v>
      </c>
      <c r="J4951" t="s">
        <v>68</v>
      </c>
      <c r="K4951">
        <v>1</v>
      </c>
      <c r="L4951" s="2">
        <v>74.459999999999994</v>
      </c>
      <c r="M4951" s="3">
        <v>0.3</v>
      </c>
      <c r="N4951" t="s">
        <v>62</v>
      </c>
      <c r="O4951" s="2">
        <v>52.12</v>
      </c>
      <c r="P4951" s="2">
        <v>49.95</v>
      </c>
      <c r="Q4951" s="2">
        <v>2.17</v>
      </c>
      <c r="R4951">
        <v>1</v>
      </c>
      <c r="S4951">
        <v>0</v>
      </c>
      <c r="T4951">
        <v>4</v>
      </c>
      <c r="U4951">
        <v>4</v>
      </c>
    </row>
    <row r="4952" spans="1:21" ht="16.5" x14ac:dyDescent="0.3">
      <c r="A4952" t="s">
        <v>5040</v>
      </c>
      <c r="B4952" s="1">
        <v>45984</v>
      </c>
      <c r="C4952">
        <v>2025</v>
      </c>
      <c r="D4952" t="s">
        <v>1738</v>
      </c>
      <c r="E4952" t="s">
        <v>1959</v>
      </c>
      <c r="F4952" t="s">
        <v>24</v>
      </c>
      <c r="G4952" t="s">
        <v>49</v>
      </c>
      <c r="H4952" t="s">
        <v>32</v>
      </c>
      <c r="I4952" t="s">
        <v>42</v>
      </c>
      <c r="J4952" t="s">
        <v>54</v>
      </c>
      <c r="K4952">
        <v>1</v>
      </c>
      <c r="L4952" s="2">
        <v>148.05000000000001</v>
      </c>
      <c r="M4952" s="3">
        <v>0.1</v>
      </c>
      <c r="N4952" t="s">
        <v>29</v>
      </c>
      <c r="O4952" s="2">
        <v>133.24</v>
      </c>
      <c r="P4952" s="2">
        <v>102.73</v>
      </c>
      <c r="Q4952" s="2">
        <v>30.51</v>
      </c>
      <c r="R4952">
        <v>1</v>
      </c>
      <c r="S4952">
        <v>0</v>
      </c>
      <c r="T4952">
        <v>6</v>
      </c>
      <c r="U4952">
        <v>3</v>
      </c>
    </row>
    <row r="4953" spans="1:21" ht="16.5" x14ac:dyDescent="0.3">
      <c r="A4953" t="s">
        <v>5041</v>
      </c>
      <c r="B4953" s="1">
        <v>45984</v>
      </c>
      <c r="C4953">
        <v>2025</v>
      </c>
      <c r="D4953" t="s">
        <v>1738</v>
      </c>
      <c r="E4953" t="s">
        <v>1959</v>
      </c>
      <c r="F4953" t="s">
        <v>24</v>
      </c>
      <c r="G4953" t="s">
        <v>51</v>
      </c>
      <c r="H4953" t="s">
        <v>26</v>
      </c>
      <c r="I4953" t="s">
        <v>70</v>
      </c>
      <c r="J4953" t="s">
        <v>252</v>
      </c>
      <c r="K4953">
        <v>1</v>
      </c>
      <c r="L4953" s="2">
        <v>216.08</v>
      </c>
      <c r="M4953" s="3">
        <v>0</v>
      </c>
      <c r="N4953" t="s">
        <v>38</v>
      </c>
      <c r="O4953" s="2">
        <v>216.08</v>
      </c>
      <c r="P4953" s="2">
        <v>167.59</v>
      </c>
      <c r="Q4953" s="2">
        <v>48.49</v>
      </c>
      <c r="R4953">
        <v>1</v>
      </c>
      <c r="S4953">
        <v>0</v>
      </c>
      <c r="T4953">
        <v>4</v>
      </c>
      <c r="U4953">
        <v>4</v>
      </c>
    </row>
    <row r="4954" spans="1:21" ht="16.5" x14ac:dyDescent="0.3">
      <c r="A4954" t="s">
        <v>5042</v>
      </c>
      <c r="B4954" s="1">
        <v>45984</v>
      </c>
      <c r="C4954">
        <v>2025</v>
      </c>
      <c r="D4954" t="s">
        <v>1738</v>
      </c>
      <c r="E4954" t="s">
        <v>1959</v>
      </c>
      <c r="F4954" t="s">
        <v>31</v>
      </c>
      <c r="G4954" t="s">
        <v>65</v>
      </c>
      <c r="H4954" t="s">
        <v>26</v>
      </c>
      <c r="I4954" t="s">
        <v>67</v>
      </c>
      <c r="J4954" t="s">
        <v>78</v>
      </c>
      <c r="K4954">
        <v>1</v>
      </c>
      <c r="L4954" s="2">
        <v>85.42</v>
      </c>
      <c r="M4954" s="3">
        <v>0</v>
      </c>
      <c r="N4954" t="s">
        <v>38</v>
      </c>
      <c r="O4954" s="2">
        <v>85.42</v>
      </c>
      <c r="P4954" s="2">
        <v>57.17</v>
      </c>
      <c r="Q4954" s="2">
        <v>28.25</v>
      </c>
      <c r="R4954">
        <v>1</v>
      </c>
      <c r="S4954">
        <v>0</v>
      </c>
      <c r="T4954">
        <v>7</v>
      </c>
      <c r="U4954">
        <v>4</v>
      </c>
    </row>
    <row r="4955" spans="1:21" ht="16.5" x14ac:dyDescent="0.3">
      <c r="A4955" t="s">
        <v>5043</v>
      </c>
      <c r="B4955" s="1">
        <v>45984</v>
      </c>
      <c r="C4955">
        <v>2025</v>
      </c>
      <c r="D4955" t="s">
        <v>1738</v>
      </c>
      <c r="E4955" t="s">
        <v>1959</v>
      </c>
      <c r="F4955" t="s">
        <v>45</v>
      </c>
      <c r="G4955" t="s">
        <v>51</v>
      </c>
      <c r="H4955" t="s">
        <v>26</v>
      </c>
      <c r="I4955" t="s">
        <v>70</v>
      </c>
      <c r="J4955" t="s">
        <v>252</v>
      </c>
      <c r="K4955">
        <v>1</v>
      </c>
      <c r="L4955" s="2">
        <v>216.08</v>
      </c>
      <c r="M4955" s="3">
        <v>0.1</v>
      </c>
      <c r="N4955" t="s">
        <v>29</v>
      </c>
      <c r="O4955" s="2">
        <v>194.47</v>
      </c>
      <c r="P4955" s="2">
        <v>172.46</v>
      </c>
      <c r="Q4955" s="2">
        <v>22.01</v>
      </c>
      <c r="R4955">
        <v>1</v>
      </c>
      <c r="S4955">
        <v>1</v>
      </c>
      <c r="T4955">
        <v>3</v>
      </c>
      <c r="U4955">
        <v>3</v>
      </c>
    </row>
    <row r="4956" spans="1:21" ht="16.5" x14ac:dyDescent="0.3">
      <c r="A4956" t="s">
        <v>5044</v>
      </c>
      <c r="B4956" s="1">
        <v>45984</v>
      </c>
      <c r="C4956">
        <v>2025</v>
      </c>
      <c r="D4956" t="s">
        <v>1738</v>
      </c>
      <c r="E4956" t="s">
        <v>1959</v>
      </c>
      <c r="F4956" t="s">
        <v>24</v>
      </c>
      <c r="G4956" t="s">
        <v>46</v>
      </c>
      <c r="H4956" t="s">
        <v>32</v>
      </c>
      <c r="I4956" t="s">
        <v>36</v>
      </c>
      <c r="J4956" t="s">
        <v>56</v>
      </c>
      <c r="K4956">
        <v>1</v>
      </c>
      <c r="L4956" s="2">
        <v>74.3</v>
      </c>
      <c r="M4956" s="3">
        <v>0.15</v>
      </c>
      <c r="N4956" t="s">
        <v>34</v>
      </c>
      <c r="O4956" s="2">
        <v>63.15</v>
      </c>
      <c r="P4956" s="2">
        <v>35.950000000000003</v>
      </c>
      <c r="Q4956" s="2">
        <v>27.2</v>
      </c>
      <c r="R4956">
        <v>1</v>
      </c>
      <c r="S4956">
        <v>0</v>
      </c>
      <c r="T4956">
        <v>6</v>
      </c>
      <c r="U4956">
        <v>4</v>
      </c>
    </row>
    <row r="4957" spans="1:21" ht="16.5" x14ac:dyDescent="0.3">
      <c r="A4957" t="s">
        <v>5045</v>
      </c>
      <c r="B4957" s="1">
        <v>45984</v>
      </c>
      <c r="C4957">
        <v>2025</v>
      </c>
      <c r="D4957" t="s">
        <v>1738</v>
      </c>
      <c r="E4957" t="s">
        <v>1959</v>
      </c>
      <c r="F4957" t="s">
        <v>45</v>
      </c>
      <c r="G4957" t="s">
        <v>51</v>
      </c>
      <c r="H4957" t="s">
        <v>32</v>
      </c>
      <c r="I4957" t="s">
        <v>84</v>
      </c>
      <c r="J4957" t="s">
        <v>85</v>
      </c>
      <c r="K4957">
        <v>3</v>
      </c>
      <c r="L4957" s="2">
        <v>57.92</v>
      </c>
      <c r="M4957" s="3">
        <v>0.3</v>
      </c>
      <c r="N4957" t="s">
        <v>62</v>
      </c>
      <c r="O4957" s="2">
        <v>121.63</v>
      </c>
      <c r="P4957" s="2">
        <v>121.39</v>
      </c>
      <c r="Q4957" s="2">
        <v>0.24</v>
      </c>
      <c r="R4957">
        <v>1</v>
      </c>
      <c r="S4957">
        <v>0</v>
      </c>
      <c r="T4957">
        <v>5</v>
      </c>
      <c r="U4957">
        <v>5</v>
      </c>
    </row>
    <row r="4958" spans="1:21" ht="16.5" x14ac:dyDescent="0.3">
      <c r="A4958" t="s">
        <v>5046</v>
      </c>
      <c r="B4958" s="1">
        <v>45985</v>
      </c>
      <c r="C4958">
        <v>2025</v>
      </c>
      <c r="D4958" t="s">
        <v>1738</v>
      </c>
      <c r="E4958" t="s">
        <v>1959</v>
      </c>
      <c r="F4958" t="s">
        <v>31</v>
      </c>
      <c r="G4958" t="s">
        <v>49</v>
      </c>
      <c r="H4958" t="s">
        <v>32</v>
      </c>
      <c r="I4958" t="s">
        <v>84</v>
      </c>
      <c r="J4958" t="s">
        <v>96</v>
      </c>
      <c r="K4958">
        <v>3</v>
      </c>
      <c r="L4958" s="2">
        <v>10.76</v>
      </c>
      <c r="M4958" s="3">
        <v>0.3</v>
      </c>
      <c r="N4958" t="s">
        <v>62</v>
      </c>
      <c r="O4958" s="2">
        <v>22.6</v>
      </c>
      <c r="P4958" s="2">
        <v>24.05</v>
      </c>
      <c r="Q4958" s="2">
        <v>-1.45</v>
      </c>
      <c r="R4958">
        <v>1</v>
      </c>
      <c r="S4958">
        <v>1</v>
      </c>
      <c r="T4958">
        <v>5</v>
      </c>
      <c r="U4958">
        <v>2</v>
      </c>
    </row>
    <row r="4959" spans="1:21" ht="16.5" x14ac:dyDescent="0.3">
      <c r="A4959" t="s">
        <v>5047</v>
      </c>
      <c r="B4959" s="1">
        <v>45985</v>
      </c>
      <c r="C4959">
        <v>2025</v>
      </c>
      <c r="D4959" t="s">
        <v>1738</v>
      </c>
      <c r="E4959" t="s">
        <v>1959</v>
      </c>
      <c r="F4959" t="s">
        <v>24</v>
      </c>
      <c r="G4959" t="s">
        <v>49</v>
      </c>
      <c r="H4959" t="s">
        <v>26</v>
      </c>
      <c r="I4959" t="s">
        <v>42</v>
      </c>
      <c r="J4959" t="s">
        <v>76</v>
      </c>
      <c r="K4959">
        <v>1</v>
      </c>
      <c r="L4959" s="2">
        <v>90.75</v>
      </c>
      <c r="M4959" s="3">
        <v>0.15</v>
      </c>
      <c r="N4959" t="s">
        <v>34</v>
      </c>
      <c r="O4959" s="2">
        <v>77.14</v>
      </c>
      <c r="P4959" s="2">
        <v>61.33</v>
      </c>
      <c r="Q4959" s="2">
        <v>15.81</v>
      </c>
      <c r="R4959">
        <v>1</v>
      </c>
      <c r="S4959">
        <v>0</v>
      </c>
      <c r="T4959">
        <v>4</v>
      </c>
      <c r="U4959">
        <v>5</v>
      </c>
    </row>
    <row r="4960" spans="1:21" ht="16.5" x14ac:dyDescent="0.3">
      <c r="A4960" t="s">
        <v>5048</v>
      </c>
      <c r="B4960" s="1">
        <v>45985</v>
      </c>
      <c r="C4960">
        <v>2025</v>
      </c>
      <c r="D4960" t="s">
        <v>1738</v>
      </c>
      <c r="E4960" t="s">
        <v>1959</v>
      </c>
      <c r="F4960" t="s">
        <v>31</v>
      </c>
      <c r="G4960" t="s">
        <v>25</v>
      </c>
      <c r="H4960" t="s">
        <v>32</v>
      </c>
      <c r="I4960" t="s">
        <v>42</v>
      </c>
      <c r="J4960" t="s">
        <v>89</v>
      </c>
      <c r="K4960">
        <v>4</v>
      </c>
      <c r="L4960" s="2">
        <v>68.349999999999994</v>
      </c>
      <c r="M4960" s="3">
        <v>0.25</v>
      </c>
      <c r="N4960" t="s">
        <v>62</v>
      </c>
      <c r="O4960" s="2">
        <v>205.05</v>
      </c>
      <c r="P4960" s="2">
        <v>179.72</v>
      </c>
      <c r="Q4960" s="2">
        <v>25.33</v>
      </c>
      <c r="R4960">
        <v>1</v>
      </c>
      <c r="S4960">
        <v>0</v>
      </c>
      <c r="T4960">
        <v>5</v>
      </c>
      <c r="U4960">
        <v>4</v>
      </c>
    </row>
    <row r="4961" spans="1:21" ht="16.5" x14ac:dyDescent="0.3">
      <c r="A4961" t="s">
        <v>5049</v>
      </c>
      <c r="B4961" s="1">
        <v>45985</v>
      </c>
      <c r="C4961">
        <v>2025</v>
      </c>
      <c r="D4961" t="s">
        <v>1738</v>
      </c>
      <c r="E4961" t="s">
        <v>1959</v>
      </c>
      <c r="F4961" t="s">
        <v>45</v>
      </c>
      <c r="G4961" t="s">
        <v>51</v>
      </c>
      <c r="H4961" t="s">
        <v>32</v>
      </c>
      <c r="I4961" t="s">
        <v>27</v>
      </c>
      <c r="J4961" t="s">
        <v>60</v>
      </c>
      <c r="K4961">
        <v>3</v>
      </c>
      <c r="L4961" s="2">
        <v>94.85</v>
      </c>
      <c r="M4961" s="3">
        <v>0.2</v>
      </c>
      <c r="N4961" t="s">
        <v>34</v>
      </c>
      <c r="O4961" s="2">
        <v>227.64</v>
      </c>
      <c r="P4961" s="2">
        <v>162.52000000000001</v>
      </c>
      <c r="Q4961" s="2">
        <v>65.12</v>
      </c>
      <c r="R4961">
        <v>1</v>
      </c>
      <c r="S4961">
        <v>0</v>
      </c>
      <c r="T4961">
        <v>4</v>
      </c>
      <c r="U4961">
        <v>4</v>
      </c>
    </row>
    <row r="4962" spans="1:21" ht="16.5" x14ac:dyDescent="0.3">
      <c r="A4962" t="s">
        <v>5050</v>
      </c>
      <c r="B4962" s="1">
        <v>45985</v>
      </c>
      <c r="C4962">
        <v>2025</v>
      </c>
      <c r="D4962" t="s">
        <v>1738</v>
      </c>
      <c r="E4962" t="s">
        <v>1959</v>
      </c>
      <c r="F4962" t="s">
        <v>24</v>
      </c>
      <c r="G4962" t="s">
        <v>49</v>
      </c>
      <c r="H4962" t="s">
        <v>26</v>
      </c>
      <c r="I4962" t="s">
        <v>84</v>
      </c>
      <c r="J4962" t="s">
        <v>132</v>
      </c>
      <c r="K4962">
        <v>1</v>
      </c>
      <c r="L4962" s="2">
        <v>48.86</v>
      </c>
      <c r="M4962" s="3">
        <v>0.15</v>
      </c>
      <c r="N4962" t="s">
        <v>34</v>
      </c>
      <c r="O4962" s="2">
        <v>41.53</v>
      </c>
      <c r="P4962" s="2">
        <v>32.94</v>
      </c>
      <c r="Q4962" s="2">
        <v>8.59</v>
      </c>
      <c r="R4962">
        <v>1</v>
      </c>
      <c r="S4962">
        <v>0</v>
      </c>
      <c r="T4962">
        <v>5</v>
      </c>
      <c r="U4962">
        <v>5</v>
      </c>
    </row>
    <row r="4963" spans="1:21" ht="16.5" x14ac:dyDescent="0.3">
      <c r="A4963" t="s">
        <v>5051</v>
      </c>
      <c r="B4963" s="1">
        <v>45985</v>
      </c>
      <c r="C4963">
        <v>2025</v>
      </c>
      <c r="D4963" t="s">
        <v>1738</v>
      </c>
      <c r="E4963" t="s">
        <v>1959</v>
      </c>
      <c r="F4963" t="s">
        <v>31</v>
      </c>
      <c r="G4963" t="s">
        <v>49</v>
      </c>
      <c r="H4963" t="s">
        <v>32</v>
      </c>
      <c r="I4963" t="s">
        <v>67</v>
      </c>
      <c r="J4963" t="s">
        <v>174</v>
      </c>
      <c r="K4963">
        <v>1</v>
      </c>
      <c r="L4963" s="2">
        <v>137.05000000000001</v>
      </c>
      <c r="M4963" s="3">
        <v>0</v>
      </c>
      <c r="N4963" t="s">
        <v>38</v>
      </c>
      <c r="O4963" s="2">
        <v>137.05000000000001</v>
      </c>
      <c r="P4963" s="2">
        <v>91.29</v>
      </c>
      <c r="Q4963" s="2">
        <v>45.76</v>
      </c>
      <c r="R4963">
        <v>1</v>
      </c>
      <c r="S4963">
        <v>0</v>
      </c>
      <c r="T4963">
        <v>5</v>
      </c>
      <c r="U4963">
        <v>5</v>
      </c>
    </row>
    <row r="4964" spans="1:21" ht="16.5" x14ac:dyDescent="0.3">
      <c r="A4964" t="s">
        <v>5052</v>
      </c>
      <c r="B4964" s="1">
        <v>45985</v>
      </c>
      <c r="C4964">
        <v>2025</v>
      </c>
      <c r="D4964" t="s">
        <v>1738</v>
      </c>
      <c r="E4964" t="s">
        <v>1959</v>
      </c>
      <c r="F4964" t="s">
        <v>31</v>
      </c>
      <c r="G4964" t="s">
        <v>25</v>
      </c>
      <c r="H4964" t="s">
        <v>26</v>
      </c>
      <c r="I4964" t="s">
        <v>70</v>
      </c>
      <c r="J4964" t="s">
        <v>162</v>
      </c>
      <c r="K4964">
        <v>1</v>
      </c>
      <c r="L4964" s="2">
        <v>636.09</v>
      </c>
      <c r="M4964" s="3">
        <v>0</v>
      </c>
      <c r="N4964" t="s">
        <v>38</v>
      </c>
      <c r="O4964" s="2">
        <v>636.09</v>
      </c>
      <c r="P4964" s="2">
        <v>511.94</v>
      </c>
      <c r="Q4964" s="2">
        <v>124.15</v>
      </c>
      <c r="R4964">
        <v>1</v>
      </c>
      <c r="S4964">
        <v>0</v>
      </c>
      <c r="T4964">
        <v>5</v>
      </c>
      <c r="U4964">
        <v>5</v>
      </c>
    </row>
    <row r="4965" spans="1:21" ht="16.5" x14ac:dyDescent="0.3">
      <c r="A4965" t="s">
        <v>5053</v>
      </c>
      <c r="B4965" s="1">
        <v>45985</v>
      </c>
      <c r="C4965">
        <v>2025</v>
      </c>
      <c r="D4965" t="s">
        <v>1738</v>
      </c>
      <c r="E4965" t="s">
        <v>1959</v>
      </c>
      <c r="F4965" t="s">
        <v>31</v>
      </c>
      <c r="G4965" t="s">
        <v>51</v>
      </c>
      <c r="H4965" t="s">
        <v>26</v>
      </c>
      <c r="I4965" t="s">
        <v>67</v>
      </c>
      <c r="J4965" t="s">
        <v>68</v>
      </c>
      <c r="K4965">
        <v>1</v>
      </c>
      <c r="L4965" s="2">
        <v>74.459999999999994</v>
      </c>
      <c r="M4965" s="3">
        <v>0.25</v>
      </c>
      <c r="N4965" t="s">
        <v>62</v>
      </c>
      <c r="O4965" s="2">
        <v>55.84</v>
      </c>
      <c r="P4965" s="2">
        <v>50.11</v>
      </c>
      <c r="Q4965" s="2">
        <v>5.73</v>
      </c>
      <c r="R4965">
        <v>1</v>
      </c>
      <c r="S4965">
        <v>0</v>
      </c>
      <c r="T4965">
        <v>6</v>
      </c>
      <c r="U4965">
        <v>3</v>
      </c>
    </row>
    <row r="4966" spans="1:21" ht="16.5" x14ac:dyDescent="0.3">
      <c r="A4966" t="s">
        <v>5054</v>
      </c>
      <c r="B4966" s="1">
        <v>45985</v>
      </c>
      <c r="C4966">
        <v>2025</v>
      </c>
      <c r="D4966" t="s">
        <v>1738</v>
      </c>
      <c r="E4966" t="s">
        <v>1959</v>
      </c>
      <c r="F4966" t="s">
        <v>31</v>
      </c>
      <c r="G4966" t="s">
        <v>46</v>
      </c>
      <c r="H4966" t="s">
        <v>32</v>
      </c>
      <c r="I4966" t="s">
        <v>27</v>
      </c>
      <c r="J4966" t="s">
        <v>33</v>
      </c>
      <c r="K4966">
        <v>2</v>
      </c>
      <c r="L4966" s="2">
        <v>78.510000000000005</v>
      </c>
      <c r="M4966" s="3">
        <v>0.3</v>
      </c>
      <c r="N4966" t="s">
        <v>62</v>
      </c>
      <c r="O4966" s="2">
        <v>109.91</v>
      </c>
      <c r="P4966" s="2">
        <v>83.86</v>
      </c>
      <c r="Q4966" s="2">
        <v>26.05</v>
      </c>
      <c r="R4966">
        <v>1</v>
      </c>
      <c r="S4966">
        <v>0</v>
      </c>
      <c r="T4966">
        <v>7</v>
      </c>
      <c r="U4966">
        <v>5</v>
      </c>
    </row>
    <row r="4967" spans="1:21" ht="16.5" x14ac:dyDescent="0.3">
      <c r="A4967" t="s">
        <v>5055</v>
      </c>
      <c r="B4967" s="1">
        <v>45985</v>
      </c>
      <c r="C4967">
        <v>2025</v>
      </c>
      <c r="D4967" t="s">
        <v>1738</v>
      </c>
      <c r="E4967" t="s">
        <v>1959</v>
      </c>
      <c r="F4967" t="s">
        <v>31</v>
      </c>
      <c r="G4967" t="s">
        <v>49</v>
      </c>
      <c r="H4967" t="s">
        <v>32</v>
      </c>
      <c r="I4967" t="s">
        <v>42</v>
      </c>
      <c r="J4967" t="s">
        <v>89</v>
      </c>
      <c r="K4967">
        <v>1</v>
      </c>
      <c r="L4967" s="2">
        <v>68.349999999999994</v>
      </c>
      <c r="M4967" s="3">
        <v>0.25</v>
      </c>
      <c r="N4967" t="s">
        <v>62</v>
      </c>
      <c r="O4967" s="2">
        <v>51.26</v>
      </c>
      <c r="P4967" s="2">
        <v>45.77</v>
      </c>
      <c r="Q4967" s="2">
        <v>5.49</v>
      </c>
      <c r="R4967">
        <v>1</v>
      </c>
      <c r="S4967">
        <v>0</v>
      </c>
      <c r="T4967">
        <v>7</v>
      </c>
      <c r="U4967">
        <v>4</v>
      </c>
    </row>
    <row r="4968" spans="1:21" ht="16.5" x14ac:dyDescent="0.3">
      <c r="A4968" t="s">
        <v>5056</v>
      </c>
      <c r="B4968" s="1">
        <v>45985</v>
      </c>
      <c r="C4968">
        <v>2025</v>
      </c>
      <c r="D4968" t="s">
        <v>1738</v>
      </c>
      <c r="E4968" t="s">
        <v>1959</v>
      </c>
      <c r="F4968" t="s">
        <v>31</v>
      </c>
      <c r="G4968" t="s">
        <v>46</v>
      </c>
      <c r="H4968" t="s">
        <v>32</v>
      </c>
      <c r="I4968" t="s">
        <v>42</v>
      </c>
      <c r="J4968" t="s">
        <v>98</v>
      </c>
      <c r="K4968">
        <v>1</v>
      </c>
      <c r="L4968" s="2">
        <v>117.63</v>
      </c>
      <c r="M4968" s="3">
        <v>0</v>
      </c>
      <c r="N4968" t="s">
        <v>38</v>
      </c>
      <c r="O4968" s="2">
        <v>117.63</v>
      </c>
      <c r="P4968" s="2">
        <v>78.489999999999995</v>
      </c>
      <c r="Q4968" s="2">
        <v>39.14</v>
      </c>
      <c r="R4968">
        <v>1</v>
      </c>
      <c r="S4968">
        <v>0</v>
      </c>
      <c r="T4968">
        <v>6</v>
      </c>
      <c r="U4968">
        <v>3</v>
      </c>
    </row>
    <row r="4969" spans="1:21" ht="16.5" x14ac:dyDescent="0.3">
      <c r="A4969" t="s">
        <v>5057</v>
      </c>
      <c r="B4969" s="1">
        <v>45985</v>
      </c>
      <c r="C4969">
        <v>2025</v>
      </c>
      <c r="D4969" t="s">
        <v>1738</v>
      </c>
      <c r="E4969" t="s">
        <v>1959</v>
      </c>
      <c r="F4969" t="s">
        <v>31</v>
      </c>
      <c r="G4969" t="s">
        <v>49</v>
      </c>
      <c r="H4969" t="s">
        <v>26</v>
      </c>
      <c r="I4969" t="s">
        <v>70</v>
      </c>
      <c r="J4969" t="s">
        <v>129</v>
      </c>
      <c r="K4969">
        <v>1</v>
      </c>
      <c r="L4969" s="2">
        <v>177.65</v>
      </c>
      <c r="M4969" s="3">
        <v>0.3</v>
      </c>
      <c r="N4969" t="s">
        <v>62</v>
      </c>
      <c r="O4969" s="2">
        <v>124.35</v>
      </c>
      <c r="P4969" s="2">
        <v>143.1</v>
      </c>
      <c r="Q4969" s="2">
        <v>-18.75</v>
      </c>
      <c r="R4969">
        <v>1</v>
      </c>
      <c r="S4969">
        <v>0</v>
      </c>
      <c r="T4969">
        <v>4</v>
      </c>
      <c r="U4969">
        <v>4</v>
      </c>
    </row>
    <row r="4970" spans="1:21" ht="16.5" x14ac:dyDescent="0.3">
      <c r="A4970" t="s">
        <v>5058</v>
      </c>
      <c r="B4970" s="1">
        <v>45985</v>
      </c>
      <c r="C4970">
        <v>2025</v>
      </c>
      <c r="D4970" t="s">
        <v>1738</v>
      </c>
      <c r="E4970" t="s">
        <v>1959</v>
      </c>
      <c r="F4970" t="s">
        <v>31</v>
      </c>
      <c r="G4970" t="s">
        <v>51</v>
      </c>
      <c r="H4970" t="s">
        <v>32</v>
      </c>
      <c r="I4970" t="s">
        <v>70</v>
      </c>
      <c r="J4970" t="s">
        <v>87</v>
      </c>
      <c r="K4970">
        <v>1</v>
      </c>
      <c r="L4970" s="2">
        <v>490.3</v>
      </c>
      <c r="M4970" s="3">
        <v>0.3</v>
      </c>
      <c r="N4970" t="s">
        <v>62</v>
      </c>
      <c r="O4970" s="2">
        <v>343.21</v>
      </c>
      <c r="P4970" s="2">
        <v>373.99</v>
      </c>
      <c r="Q4970" s="2">
        <v>-30.78</v>
      </c>
      <c r="R4970">
        <v>1</v>
      </c>
      <c r="S4970">
        <v>0</v>
      </c>
      <c r="T4970">
        <v>4</v>
      </c>
      <c r="U4970">
        <v>5</v>
      </c>
    </row>
    <row r="4971" spans="1:21" ht="16.5" x14ac:dyDescent="0.3">
      <c r="A4971" t="s">
        <v>5059</v>
      </c>
      <c r="B4971" s="1">
        <v>45985</v>
      </c>
      <c r="C4971">
        <v>2025</v>
      </c>
      <c r="D4971" t="s">
        <v>1738</v>
      </c>
      <c r="E4971" t="s">
        <v>1959</v>
      </c>
      <c r="F4971" t="s">
        <v>45</v>
      </c>
      <c r="G4971" t="s">
        <v>25</v>
      </c>
      <c r="H4971" t="s">
        <v>32</v>
      </c>
      <c r="I4971" t="s">
        <v>27</v>
      </c>
      <c r="J4971" t="s">
        <v>47</v>
      </c>
      <c r="K4971">
        <v>1</v>
      </c>
      <c r="L4971" s="2">
        <v>33.99</v>
      </c>
      <c r="M4971" s="3">
        <v>0.15</v>
      </c>
      <c r="N4971" t="s">
        <v>34</v>
      </c>
      <c r="O4971" s="2">
        <v>28.89</v>
      </c>
      <c r="P4971" s="2">
        <v>18.13</v>
      </c>
      <c r="Q4971" s="2">
        <v>10.76</v>
      </c>
      <c r="R4971">
        <v>1</v>
      </c>
      <c r="S4971">
        <v>0</v>
      </c>
      <c r="T4971">
        <v>6</v>
      </c>
      <c r="U4971">
        <v>4</v>
      </c>
    </row>
    <row r="4972" spans="1:21" ht="16.5" x14ac:dyDescent="0.3">
      <c r="A4972" t="s">
        <v>5060</v>
      </c>
      <c r="B4972" s="1">
        <v>45985</v>
      </c>
      <c r="C4972">
        <v>2025</v>
      </c>
      <c r="D4972" t="s">
        <v>1738</v>
      </c>
      <c r="E4972" t="s">
        <v>1959</v>
      </c>
      <c r="F4972" t="s">
        <v>31</v>
      </c>
      <c r="G4972" t="s">
        <v>51</v>
      </c>
      <c r="H4972" t="s">
        <v>32</v>
      </c>
      <c r="I4972" t="s">
        <v>36</v>
      </c>
      <c r="J4972" t="s">
        <v>126</v>
      </c>
      <c r="K4972">
        <v>1</v>
      </c>
      <c r="L4972" s="2">
        <v>54.56</v>
      </c>
      <c r="M4972" s="3">
        <v>0.15</v>
      </c>
      <c r="N4972" t="s">
        <v>34</v>
      </c>
      <c r="O4972" s="2">
        <v>46.38</v>
      </c>
      <c r="P4972" s="2">
        <v>25.21</v>
      </c>
      <c r="Q4972" s="2">
        <v>21.17</v>
      </c>
      <c r="R4972">
        <v>1</v>
      </c>
      <c r="S4972">
        <v>0</v>
      </c>
      <c r="T4972">
        <v>3</v>
      </c>
      <c r="U4972">
        <v>5</v>
      </c>
    </row>
    <row r="4973" spans="1:21" ht="16.5" x14ac:dyDescent="0.3">
      <c r="A4973" t="s">
        <v>5061</v>
      </c>
      <c r="B4973" s="1">
        <v>45985</v>
      </c>
      <c r="C4973">
        <v>2025</v>
      </c>
      <c r="D4973" t="s">
        <v>1738</v>
      </c>
      <c r="E4973" t="s">
        <v>1959</v>
      </c>
      <c r="F4973" t="s">
        <v>31</v>
      </c>
      <c r="G4973" t="s">
        <v>49</v>
      </c>
      <c r="H4973" t="s">
        <v>32</v>
      </c>
      <c r="I4973" t="s">
        <v>36</v>
      </c>
      <c r="J4973" t="s">
        <v>115</v>
      </c>
      <c r="K4973">
        <v>3</v>
      </c>
      <c r="L4973" s="2">
        <v>33.479999999999997</v>
      </c>
      <c r="M4973" s="3">
        <v>0.2</v>
      </c>
      <c r="N4973" t="s">
        <v>34</v>
      </c>
      <c r="O4973" s="2">
        <v>80.349999999999994</v>
      </c>
      <c r="P4973" s="2">
        <v>49.17</v>
      </c>
      <c r="Q4973" s="2">
        <v>31.18</v>
      </c>
      <c r="R4973">
        <v>1</v>
      </c>
      <c r="S4973">
        <v>0</v>
      </c>
      <c r="T4973">
        <v>5</v>
      </c>
      <c r="U4973">
        <v>4</v>
      </c>
    </row>
    <row r="4974" spans="1:21" ht="16.5" x14ac:dyDescent="0.3">
      <c r="A4974" t="s">
        <v>5062</v>
      </c>
      <c r="B4974" s="1">
        <v>45986</v>
      </c>
      <c r="C4974">
        <v>2025</v>
      </c>
      <c r="D4974" t="s">
        <v>1738</v>
      </c>
      <c r="E4974" t="s">
        <v>1959</v>
      </c>
      <c r="F4974" t="s">
        <v>31</v>
      </c>
      <c r="G4974" t="s">
        <v>51</v>
      </c>
      <c r="H4974" t="s">
        <v>32</v>
      </c>
      <c r="I4974" t="s">
        <v>67</v>
      </c>
      <c r="J4974" t="s">
        <v>174</v>
      </c>
      <c r="K4974">
        <v>1</v>
      </c>
      <c r="L4974" s="2">
        <v>137.05000000000001</v>
      </c>
      <c r="M4974" s="3">
        <v>0.3</v>
      </c>
      <c r="N4974" t="s">
        <v>62</v>
      </c>
      <c r="O4974" s="2">
        <v>95.94</v>
      </c>
      <c r="P4974" s="2">
        <v>90.26</v>
      </c>
      <c r="Q4974" s="2">
        <v>5.68</v>
      </c>
      <c r="R4974">
        <v>1</v>
      </c>
      <c r="S4974">
        <v>0</v>
      </c>
      <c r="T4974">
        <v>3</v>
      </c>
      <c r="U4974">
        <v>4</v>
      </c>
    </row>
    <row r="4975" spans="1:21" ht="16.5" x14ac:dyDescent="0.3">
      <c r="A4975" t="s">
        <v>5063</v>
      </c>
      <c r="B4975" s="1">
        <v>45986</v>
      </c>
      <c r="C4975">
        <v>2025</v>
      </c>
      <c r="D4975" t="s">
        <v>1738</v>
      </c>
      <c r="E4975" t="s">
        <v>1959</v>
      </c>
      <c r="F4975" t="s">
        <v>31</v>
      </c>
      <c r="G4975" t="s">
        <v>25</v>
      </c>
      <c r="H4975" t="s">
        <v>32</v>
      </c>
      <c r="I4975" t="s">
        <v>70</v>
      </c>
      <c r="J4975" t="s">
        <v>82</v>
      </c>
      <c r="K4975">
        <v>1</v>
      </c>
      <c r="L4975" s="2">
        <v>508.8</v>
      </c>
      <c r="M4975" s="3">
        <v>0.15</v>
      </c>
      <c r="N4975" t="s">
        <v>34</v>
      </c>
      <c r="O4975" s="2">
        <v>432.48</v>
      </c>
      <c r="P4975" s="2">
        <v>409.91</v>
      </c>
      <c r="Q4975" s="2">
        <v>22.57</v>
      </c>
      <c r="R4975">
        <v>1</v>
      </c>
      <c r="S4975">
        <v>0</v>
      </c>
      <c r="T4975">
        <v>5</v>
      </c>
      <c r="U4975">
        <v>4</v>
      </c>
    </row>
    <row r="4976" spans="1:21" ht="16.5" x14ac:dyDescent="0.3">
      <c r="A4976" t="s">
        <v>5064</v>
      </c>
      <c r="B4976" s="1">
        <v>45986</v>
      </c>
      <c r="C4976">
        <v>2025</v>
      </c>
      <c r="D4976" t="s">
        <v>1738</v>
      </c>
      <c r="E4976" t="s">
        <v>1959</v>
      </c>
      <c r="F4976" t="s">
        <v>31</v>
      </c>
      <c r="G4976" t="s">
        <v>25</v>
      </c>
      <c r="H4976" t="s">
        <v>32</v>
      </c>
      <c r="I4976" t="s">
        <v>84</v>
      </c>
      <c r="J4976" t="s">
        <v>132</v>
      </c>
      <c r="K4976">
        <v>1</v>
      </c>
      <c r="L4976" s="2">
        <v>48.86</v>
      </c>
      <c r="M4976" s="3">
        <v>0.2</v>
      </c>
      <c r="N4976" t="s">
        <v>34</v>
      </c>
      <c r="O4976" s="2">
        <v>39.090000000000003</v>
      </c>
      <c r="P4976" s="2">
        <v>34.869999999999997</v>
      </c>
      <c r="Q4976" s="2">
        <v>4.22</v>
      </c>
      <c r="R4976">
        <v>1</v>
      </c>
      <c r="S4976">
        <v>0</v>
      </c>
      <c r="T4976">
        <v>5</v>
      </c>
      <c r="U4976">
        <v>5</v>
      </c>
    </row>
    <row r="4977" spans="1:21" ht="16.5" x14ac:dyDescent="0.3">
      <c r="A4977" t="s">
        <v>5065</v>
      </c>
      <c r="B4977" s="1">
        <v>45986</v>
      </c>
      <c r="C4977">
        <v>2025</v>
      </c>
      <c r="D4977" t="s">
        <v>1738</v>
      </c>
      <c r="E4977" t="s">
        <v>1959</v>
      </c>
      <c r="F4977" t="s">
        <v>24</v>
      </c>
      <c r="G4977" t="s">
        <v>51</v>
      </c>
      <c r="H4977" t="s">
        <v>32</v>
      </c>
      <c r="I4977" t="s">
        <v>67</v>
      </c>
      <c r="J4977" t="s">
        <v>68</v>
      </c>
      <c r="K4977">
        <v>1</v>
      </c>
      <c r="L4977" s="2">
        <v>74.459999999999994</v>
      </c>
      <c r="M4977" s="3">
        <v>0.25</v>
      </c>
      <c r="N4977" t="s">
        <v>62</v>
      </c>
      <c r="O4977" s="2">
        <v>55.84</v>
      </c>
      <c r="P4977" s="2">
        <v>49.32</v>
      </c>
      <c r="Q4977" s="2">
        <v>6.52</v>
      </c>
      <c r="R4977">
        <v>1</v>
      </c>
      <c r="S4977">
        <v>0</v>
      </c>
      <c r="T4977">
        <v>4</v>
      </c>
      <c r="U4977">
        <v>4</v>
      </c>
    </row>
    <row r="4978" spans="1:21" ht="16.5" x14ac:dyDescent="0.3">
      <c r="A4978" t="s">
        <v>5066</v>
      </c>
      <c r="B4978" s="1">
        <v>45986</v>
      </c>
      <c r="C4978">
        <v>2025</v>
      </c>
      <c r="D4978" t="s">
        <v>1738</v>
      </c>
      <c r="E4978" t="s">
        <v>1959</v>
      </c>
      <c r="F4978" t="s">
        <v>31</v>
      </c>
      <c r="G4978" t="s">
        <v>51</v>
      </c>
      <c r="H4978" t="s">
        <v>32</v>
      </c>
      <c r="I4978" t="s">
        <v>84</v>
      </c>
      <c r="J4978" t="s">
        <v>85</v>
      </c>
      <c r="K4978">
        <v>1</v>
      </c>
      <c r="L4978" s="2">
        <v>57.92</v>
      </c>
      <c r="M4978" s="3">
        <v>0.15</v>
      </c>
      <c r="N4978" t="s">
        <v>34</v>
      </c>
      <c r="O4978" s="2">
        <v>49.23</v>
      </c>
      <c r="P4978" s="2">
        <v>41.39</v>
      </c>
      <c r="Q4978" s="2">
        <v>7.84</v>
      </c>
      <c r="R4978">
        <v>1</v>
      </c>
      <c r="S4978">
        <v>0</v>
      </c>
      <c r="T4978">
        <v>5</v>
      </c>
      <c r="U4978">
        <v>3</v>
      </c>
    </row>
    <row r="4979" spans="1:21" ht="16.5" x14ac:dyDescent="0.3">
      <c r="A4979" t="s">
        <v>5067</v>
      </c>
      <c r="B4979" s="1">
        <v>45986</v>
      </c>
      <c r="C4979">
        <v>2025</v>
      </c>
      <c r="D4979" t="s">
        <v>1738</v>
      </c>
      <c r="E4979" t="s">
        <v>1959</v>
      </c>
      <c r="F4979" t="s">
        <v>24</v>
      </c>
      <c r="G4979" t="s">
        <v>51</v>
      </c>
      <c r="H4979" t="s">
        <v>32</v>
      </c>
      <c r="I4979" t="s">
        <v>27</v>
      </c>
      <c r="J4979" t="s">
        <v>40</v>
      </c>
      <c r="K4979">
        <v>3</v>
      </c>
      <c r="L4979" s="2">
        <v>104.94</v>
      </c>
      <c r="M4979" s="3">
        <v>0.25</v>
      </c>
      <c r="N4979" t="s">
        <v>62</v>
      </c>
      <c r="O4979" s="2">
        <v>236.12</v>
      </c>
      <c r="P4979" s="2">
        <v>177.24</v>
      </c>
      <c r="Q4979" s="2">
        <v>58.88</v>
      </c>
      <c r="R4979">
        <v>1</v>
      </c>
      <c r="S4979">
        <v>0</v>
      </c>
      <c r="T4979">
        <v>3</v>
      </c>
      <c r="U4979">
        <v>5</v>
      </c>
    </row>
    <row r="4980" spans="1:21" ht="16.5" x14ac:dyDescent="0.3">
      <c r="A4980" t="s">
        <v>5068</v>
      </c>
      <c r="B4980" s="1">
        <v>45986</v>
      </c>
      <c r="C4980">
        <v>2025</v>
      </c>
      <c r="D4980" t="s">
        <v>1738</v>
      </c>
      <c r="E4980" t="s">
        <v>1959</v>
      </c>
      <c r="F4980" t="s">
        <v>31</v>
      </c>
      <c r="G4980" t="s">
        <v>51</v>
      </c>
      <c r="H4980" t="s">
        <v>32</v>
      </c>
      <c r="I4980" t="s">
        <v>42</v>
      </c>
      <c r="J4980" t="s">
        <v>54</v>
      </c>
      <c r="K4980">
        <v>2</v>
      </c>
      <c r="L4980" s="2">
        <v>148.05000000000001</v>
      </c>
      <c r="M4980" s="3">
        <v>0.1</v>
      </c>
      <c r="N4980" t="s">
        <v>29</v>
      </c>
      <c r="O4980" s="2">
        <v>266.49</v>
      </c>
      <c r="P4980" s="2">
        <v>191.5</v>
      </c>
      <c r="Q4980" s="2">
        <v>74.989999999999995</v>
      </c>
      <c r="R4980">
        <v>1</v>
      </c>
      <c r="S4980">
        <v>0</v>
      </c>
      <c r="T4980">
        <v>5</v>
      </c>
      <c r="U4980">
        <v>4</v>
      </c>
    </row>
    <row r="4981" spans="1:21" ht="16.5" x14ac:dyDescent="0.3">
      <c r="A4981" t="s">
        <v>5069</v>
      </c>
      <c r="B4981" s="1">
        <v>45986</v>
      </c>
      <c r="C4981">
        <v>2025</v>
      </c>
      <c r="D4981" t="s">
        <v>1738</v>
      </c>
      <c r="E4981" t="s">
        <v>1959</v>
      </c>
      <c r="F4981" t="s">
        <v>45</v>
      </c>
      <c r="G4981" t="s">
        <v>65</v>
      </c>
      <c r="H4981" t="s">
        <v>32</v>
      </c>
      <c r="I4981" t="s">
        <v>42</v>
      </c>
      <c r="J4981" t="s">
        <v>43</v>
      </c>
      <c r="K4981">
        <v>1</v>
      </c>
      <c r="L4981" s="2">
        <v>154.66</v>
      </c>
      <c r="M4981" s="3">
        <v>0.15</v>
      </c>
      <c r="N4981" t="s">
        <v>34</v>
      </c>
      <c r="O4981" s="2">
        <v>131.46</v>
      </c>
      <c r="P4981" s="2">
        <v>102.22</v>
      </c>
      <c r="Q4981" s="2">
        <v>29.24</v>
      </c>
      <c r="R4981">
        <v>1</v>
      </c>
      <c r="S4981">
        <v>0</v>
      </c>
      <c r="T4981">
        <v>6</v>
      </c>
      <c r="U4981">
        <v>4</v>
      </c>
    </row>
    <row r="4982" spans="1:21" ht="16.5" x14ac:dyDescent="0.3">
      <c r="A4982" t="s">
        <v>5070</v>
      </c>
      <c r="B4982" s="1">
        <v>45986</v>
      </c>
      <c r="C4982">
        <v>2025</v>
      </c>
      <c r="D4982" t="s">
        <v>1738</v>
      </c>
      <c r="E4982" t="s">
        <v>1959</v>
      </c>
      <c r="F4982" t="s">
        <v>45</v>
      </c>
      <c r="G4982" t="s">
        <v>49</v>
      </c>
      <c r="H4982" t="s">
        <v>26</v>
      </c>
      <c r="I4982" t="s">
        <v>42</v>
      </c>
      <c r="J4982" t="s">
        <v>43</v>
      </c>
      <c r="K4982">
        <v>2</v>
      </c>
      <c r="L4982" s="2">
        <v>154.66</v>
      </c>
      <c r="M4982" s="3">
        <v>0.1</v>
      </c>
      <c r="N4982" t="s">
        <v>29</v>
      </c>
      <c r="O4982" s="2">
        <v>278.39</v>
      </c>
      <c r="P4982" s="2">
        <v>188.72</v>
      </c>
      <c r="Q4982" s="2">
        <v>89.67</v>
      </c>
      <c r="R4982">
        <v>1</v>
      </c>
      <c r="S4982">
        <v>0</v>
      </c>
      <c r="T4982">
        <v>5</v>
      </c>
      <c r="U4982">
        <v>4</v>
      </c>
    </row>
    <row r="4983" spans="1:21" ht="16.5" x14ac:dyDescent="0.3">
      <c r="A4983" t="s">
        <v>5071</v>
      </c>
      <c r="B4983" s="1">
        <v>45986</v>
      </c>
      <c r="C4983">
        <v>2025</v>
      </c>
      <c r="D4983" t="s">
        <v>1738</v>
      </c>
      <c r="E4983" t="s">
        <v>1959</v>
      </c>
      <c r="F4983" t="s">
        <v>31</v>
      </c>
      <c r="G4983" t="s">
        <v>51</v>
      </c>
      <c r="H4983" t="s">
        <v>26</v>
      </c>
      <c r="I4983" t="s">
        <v>84</v>
      </c>
      <c r="J4983" t="s">
        <v>96</v>
      </c>
      <c r="K4983">
        <v>3</v>
      </c>
      <c r="L4983" s="2">
        <v>10.76</v>
      </c>
      <c r="M4983" s="3">
        <v>0.1</v>
      </c>
      <c r="N4983" t="s">
        <v>29</v>
      </c>
      <c r="O4983" s="2">
        <v>29.05</v>
      </c>
      <c r="P4983" s="2">
        <v>22.89</v>
      </c>
      <c r="Q4983" s="2">
        <v>6.16</v>
      </c>
      <c r="R4983">
        <v>1</v>
      </c>
      <c r="S4983">
        <v>0</v>
      </c>
      <c r="T4983">
        <v>4</v>
      </c>
      <c r="U4983">
        <v>4</v>
      </c>
    </row>
    <row r="4984" spans="1:21" ht="16.5" x14ac:dyDescent="0.3">
      <c r="A4984" t="s">
        <v>5072</v>
      </c>
      <c r="B4984" s="1">
        <v>45986</v>
      </c>
      <c r="C4984">
        <v>2025</v>
      </c>
      <c r="D4984" t="s">
        <v>1738</v>
      </c>
      <c r="E4984" t="s">
        <v>1959</v>
      </c>
      <c r="F4984" t="s">
        <v>24</v>
      </c>
      <c r="G4984" t="s">
        <v>49</v>
      </c>
      <c r="H4984" t="s">
        <v>26</v>
      </c>
      <c r="I4984" t="s">
        <v>36</v>
      </c>
      <c r="J4984" t="s">
        <v>37</v>
      </c>
      <c r="K4984">
        <v>1</v>
      </c>
      <c r="L4984" s="2">
        <v>33.18</v>
      </c>
      <c r="M4984" s="3">
        <v>0.15</v>
      </c>
      <c r="N4984" t="s">
        <v>34</v>
      </c>
      <c r="O4984" s="2">
        <v>28.2</v>
      </c>
      <c r="P4984" s="2">
        <v>15.93</v>
      </c>
      <c r="Q4984" s="2">
        <v>12.27</v>
      </c>
      <c r="R4984">
        <v>1</v>
      </c>
      <c r="S4984">
        <v>0</v>
      </c>
      <c r="T4984">
        <v>4</v>
      </c>
      <c r="U4984">
        <v>5</v>
      </c>
    </row>
    <row r="4985" spans="1:21" ht="16.5" x14ac:dyDescent="0.3">
      <c r="A4985" t="s">
        <v>5073</v>
      </c>
      <c r="B4985" s="1">
        <v>45986</v>
      </c>
      <c r="C4985">
        <v>2025</v>
      </c>
      <c r="D4985" t="s">
        <v>1738</v>
      </c>
      <c r="E4985" t="s">
        <v>1959</v>
      </c>
      <c r="F4985" t="s">
        <v>24</v>
      </c>
      <c r="G4985" t="s">
        <v>65</v>
      </c>
      <c r="H4985" t="s">
        <v>32</v>
      </c>
      <c r="I4985" t="s">
        <v>27</v>
      </c>
      <c r="J4985" t="s">
        <v>40</v>
      </c>
      <c r="K4985">
        <v>1</v>
      </c>
      <c r="L4985" s="2">
        <v>104.94</v>
      </c>
      <c r="M4985" s="3">
        <v>0</v>
      </c>
      <c r="N4985" t="s">
        <v>38</v>
      </c>
      <c r="O4985" s="2">
        <v>104.94</v>
      </c>
      <c r="P4985" s="2">
        <v>55.06</v>
      </c>
      <c r="Q4985" s="2">
        <v>49.88</v>
      </c>
      <c r="R4985">
        <v>1</v>
      </c>
      <c r="S4985">
        <v>0</v>
      </c>
      <c r="T4985">
        <v>7</v>
      </c>
      <c r="U4985">
        <v>4</v>
      </c>
    </row>
    <row r="4986" spans="1:21" ht="16.5" x14ac:dyDescent="0.3">
      <c r="A4986" t="s">
        <v>5074</v>
      </c>
      <c r="B4986" s="1">
        <v>45986</v>
      </c>
      <c r="C4986">
        <v>2025</v>
      </c>
      <c r="D4986" t="s">
        <v>1738</v>
      </c>
      <c r="E4986" t="s">
        <v>1959</v>
      </c>
      <c r="F4986" t="s">
        <v>45</v>
      </c>
      <c r="G4986" t="s">
        <v>51</v>
      </c>
      <c r="H4986" t="s">
        <v>32</v>
      </c>
      <c r="I4986" t="s">
        <v>67</v>
      </c>
      <c r="J4986" t="s">
        <v>78</v>
      </c>
      <c r="K4986">
        <v>1</v>
      </c>
      <c r="L4986" s="2">
        <v>85.42</v>
      </c>
      <c r="M4986" s="3">
        <v>0.3</v>
      </c>
      <c r="N4986" t="s">
        <v>62</v>
      </c>
      <c r="O4986" s="2">
        <v>59.79</v>
      </c>
      <c r="P4986" s="2">
        <v>59.02</v>
      </c>
      <c r="Q4986" s="2">
        <v>0.77</v>
      </c>
      <c r="R4986">
        <v>1</v>
      </c>
      <c r="S4986">
        <v>0</v>
      </c>
      <c r="T4986">
        <v>5</v>
      </c>
      <c r="U4986">
        <v>5</v>
      </c>
    </row>
    <row r="4987" spans="1:21" ht="16.5" x14ac:dyDescent="0.3">
      <c r="A4987" t="s">
        <v>5075</v>
      </c>
      <c r="B4987" s="1">
        <v>45986</v>
      </c>
      <c r="C4987">
        <v>2025</v>
      </c>
      <c r="D4987" t="s">
        <v>1738</v>
      </c>
      <c r="E4987" t="s">
        <v>1959</v>
      </c>
      <c r="F4987" t="s">
        <v>24</v>
      </c>
      <c r="G4987" t="s">
        <v>51</v>
      </c>
      <c r="H4987" t="s">
        <v>32</v>
      </c>
      <c r="I4987" t="s">
        <v>70</v>
      </c>
      <c r="J4987" t="s">
        <v>162</v>
      </c>
      <c r="K4987">
        <v>1</v>
      </c>
      <c r="L4987" s="2">
        <v>636.09</v>
      </c>
      <c r="M4987" s="3">
        <v>0.15</v>
      </c>
      <c r="N4987" t="s">
        <v>34</v>
      </c>
      <c r="O4987" s="2">
        <v>540.67999999999995</v>
      </c>
      <c r="P4987" s="2">
        <v>511.98</v>
      </c>
      <c r="Q4987" s="2">
        <v>28.7</v>
      </c>
      <c r="R4987">
        <v>1</v>
      </c>
      <c r="S4987">
        <v>0</v>
      </c>
      <c r="T4987">
        <v>4</v>
      </c>
      <c r="U4987">
        <v>5</v>
      </c>
    </row>
    <row r="4988" spans="1:21" ht="16.5" x14ac:dyDescent="0.3">
      <c r="A4988" t="s">
        <v>5076</v>
      </c>
      <c r="B4988" s="1">
        <v>45986</v>
      </c>
      <c r="C4988">
        <v>2025</v>
      </c>
      <c r="D4988" t="s">
        <v>1738</v>
      </c>
      <c r="E4988" t="s">
        <v>1959</v>
      </c>
      <c r="F4988" t="s">
        <v>31</v>
      </c>
      <c r="G4988" t="s">
        <v>49</v>
      </c>
      <c r="H4988" t="s">
        <v>26</v>
      </c>
      <c r="I4988" t="s">
        <v>70</v>
      </c>
      <c r="J4988" t="s">
        <v>87</v>
      </c>
      <c r="K4988">
        <v>1</v>
      </c>
      <c r="L4988" s="2">
        <v>490.3</v>
      </c>
      <c r="M4988" s="3">
        <v>0.05</v>
      </c>
      <c r="N4988" t="s">
        <v>29</v>
      </c>
      <c r="O4988" s="2">
        <v>465.78</v>
      </c>
      <c r="P4988" s="2">
        <v>400.05</v>
      </c>
      <c r="Q4988" s="2">
        <v>65.73</v>
      </c>
      <c r="R4988">
        <v>1</v>
      </c>
      <c r="S4988">
        <v>0</v>
      </c>
      <c r="T4988">
        <v>4</v>
      </c>
      <c r="U4988">
        <v>4</v>
      </c>
    </row>
    <row r="4989" spans="1:21" ht="16.5" x14ac:dyDescent="0.3">
      <c r="A4989" t="s">
        <v>5077</v>
      </c>
      <c r="B4989" s="1">
        <v>45987</v>
      </c>
      <c r="C4989">
        <v>2025</v>
      </c>
      <c r="D4989" t="s">
        <v>1738</v>
      </c>
      <c r="E4989" t="s">
        <v>1959</v>
      </c>
      <c r="F4989" t="s">
        <v>31</v>
      </c>
      <c r="G4989" t="s">
        <v>51</v>
      </c>
      <c r="H4989" t="s">
        <v>26</v>
      </c>
      <c r="I4989" t="s">
        <v>70</v>
      </c>
      <c r="J4989" t="s">
        <v>252</v>
      </c>
      <c r="K4989">
        <v>4</v>
      </c>
      <c r="L4989" s="2">
        <v>216.08</v>
      </c>
      <c r="M4989" s="3">
        <v>0.2</v>
      </c>
      <c r="N4989" t="s">
        <v>34</v>
      </c>
      <c r="O4989" s="2">
        <v>691.46</v>
      </c>
      <c r="P4989" s="2">
        <v>708.5</v>
      </c>
      <c r="Q4989" s="2">
        <v>-17.04</v>
      </c>
      <c r="R4989">
        <v>1</v>
      </c>
      <c r="S4989">
        <v>0</v>
      </c>
      <c r="T4989">
        <v>6</v>
      </c>
      <c r="U4989">
        <v>3</v>
      </c>
    </row>
    <row r="4990" spans="1:21" ht="16.5" x14ac:dyDescent="0.3">
      <c r="A4990" t="s">
        <v>5078</v>
      </c>
      <c r="B4990" s="1">
        <v>45987</v>
      </c>
      <c r="C4990">
        <v>2025</v>
      </c>
      <c r="D4990" t="s">
        <v>1738</v>
      </c>
      <c r="E4990" t="s">
        <v>1959</v>
      </c>
      <c r="F4990" t="s">
        <v>24</v>
      </c>
      <c r="G4990" t="s">
        <v>49</v>
      </c>
      <c r="H4990" t="s">
        <v>32</v>
      </c>
      <c r="I4990" t="s">
        <v>36</v>
      </c>
      <c r="J4990" t="s">
        <v>37</v>
      </c>
      <c r="K4990">
        <v>1</v>
      </c>
      <c r="L4990" s="2">
        <v>33.18</v>
      </c>
      <c r="M4990" s="3">
        <v>0.15</v>
      </c>
      <c r="N4990" t="s">
        <v>34</v>
      </c>
      <c r="O4990" s="2">
        <v>28.2</v>
      </c>
      <c r="P4990" s="2">
        <v>16.420000000000002</v>
      </c>
      <c r="Q4990" s="2">
        <v>11.78</v>
      </c>
      <c r="R4990">
        <v>1</v>
      </c>
      <c r="S4990">
        <v>0</v>
      </c>
      <c r="T4990">
        <v>4</v>
      </c>
      <c r="U4990">
        <v>5</v>
      </c>
    </row>
    <row r="4991" spans="1:21" ht="16.5" x14ac:dyDescent="0.3">
      <c r="A4991" t="s">
        <v>5079</v>
      </c>
      <c r="B4991" s="1">
        <v>45987</v>
      </c>
      <c r="C4991">
        <v>2025</v>
      </c>
      <c r="D4991" t="s">
        <v>1738</v>
      </c>
      <c r="E4991" t="s">
        <v>1959</v>
      </c>
      <c r="F4991" t="s">
        <v>24</v>
      </c>
      <c r="G4991" t="s">
        <v>51</v>
      </c>
      <c r="H4991" t="s">
        <v>26</v>
      </c>
      <c r="I4991" t="s">
        <v>70</v>
      </c>
      <c r="J4991" t="s">
        <v>252</v>
      </c>
      <c r="K4991">
        <v>2</v>
      </c>
      <c r="L4991" s="2">
        <v>216.08</v>
      </c>
      <c r="M4991" s="3">
        <v>0.3</v>
      </c>
      <c r="N4991" t="s">
        <v>62</v>
      </c>
      <c r="O4991" s="2">
        <v>302.51</v>
      </c>
      <c r="P4991" s="2">
        <v>354.76</v>
      </c>
      <c r="Q4991" s="2">
        <v>-52.25</v>
      </c>
      <c r="R4991">
        <v>1</v>
      </c>
      <c r="S4991">
        <v>0</v>
      </c>
      <c r="T4991">
        <v>4</v>
      </c>
      <c r="U4991">
        <v>4</v>
      </c>
    </row>
    <row r="4992" spans="1:21" ht="16.5" x14ac:dyDescent="0.3">
      <c r="A4992" t="s">
        <v>5080</v>
      </c>
      <c r="B4992" s="1">
        <v>45987</v>
      </c>
      <c r="C4992">
        <v>2025</v>
      </c>
      <c r="D4992" t="s">
        <v>1738</v>
      </c>
      <c r="E4992" t="s">
        <v>1959</v>
      </c>
      <c r="F4992" t="s">
        <v>31</v>
      </c>
      <c r="G4992" t="s">
        <v>65</v>
      </c>
      <c r="H4992" t="s">
        <v>32</v>
      </c>
      <c r="I4992" t="s">
        <v>36</v>
      </c>
      <c r="J4992" t="s">
        <v>115</v>
      </c>
      <c r="K4992">
        <v>1</v>
      </c>
      <c r="L4992" s="2">
        <v>33.479999999999997</v>
      </c>
      <c r="M4992" s="3">
        <v>0.2</v>
      </c>
      <c r="N4992" t="s">
        <v>34</v>
      </c>
      <c r="O4992" s="2">
        <v>26.78</v>
      </c>
      <c r="P4992" s="2">
        <v>16.309999999999999</v>
      </c>
      <c r="Q4992" s="2">
        <v>10.47</v>
      </c>
      <c r="R4992">
        <v>1</v>
      </c>
      <c r="S4992">
        <v>0</v>
      </c>
      <c r="T4992">
        <v>7</v>
      </c>
      <c r="U4992">
        <v>3</v>
      </c>
    </row>
    <row r="4993" spans="1:21" ht="16.5" x14ac:dyDescent="0.3">
      <c r="A4993" t="s">
        <v>5081</v>
      </c>
      <c r="B4993" s="1">
        <v>45987</v>
      </c>
      <c r="C4993">
        <v>2025</v>
      </c>
      <c r="D4993" t="s">
        <v>1738</v>
      </c>
      <c r="E4993" t="s">
        <v>1959</v>
      </c>
      <c r="F4993" t="s">
        <v>31</v>
      </c>
      <c r="G4993" t="s">
        <v>65</v>
      </c>
      <c r="H4993" t="s">
        <v>26</v>
      </c>
      <c r="I4993" t="s">
        <v>67</v>
      </c>
      <c r="J4993" t="s">
        <v>93</v>
      </c>
      <c r="K4993">
        <v>1</v>
      </c>
      <c r="L4993" s="2">
        <v>198.42</v>
      </c>
      <c r="M4993" s="3">
        <v>0.2</v>
      </c>
      <c r="N4993" t="s">
        <v>34</v>
      </c>
      <c r="O4993" s="2">
        <v>158.74</v>
      </c>
      <c r="P4993" s="2">
        <v>129.53</v>
      </c>
      <c r="Q4993" s="2">
        <v>29.21</v>
      </c>
      <c r="R4993">
        <v>1</v>
      </c>
      <c r="S4993">
        <v>0</v>
      </c>
      <c r="T4993">
        <v>8</v>
      </c>
      <c r="U4993">
        <v>4</v>
      </c>
    </row>
    <row r="4994" spans="1:21" ht="16.5" x14ac:dyDescent="0.3">
      <c r="A4994" t="s">
        <v>5082</v>
      </c>
      <c r="B4994" s="1">
        <v>45987</v>
      </c>
      <c r="C4994">
        <v>2025</v>
      </c>
      <c r="D4994" t="s">
        <v>1738</v>
      </c>
      <c r="E4994" t="s">
        <v>1959</v>
      </c>
      <c r="F4994" t="s">
        <v>31</v>
      </c>
      <c r="G4994" t="s">
        <v>51</v>
      </c>
      <c r="H4994" t="s">
        <v>32</v>
      </c>
      <c r="I4994" t="s">
        <v>27</v>
      </c>
      <c r="J4994" t="s">
        <v>33</v>
      </c>
      <c r="K4994">
        <v>1</v>
      </c>
      <c r="L4994" s="2">
        <v>78.510000000000005</v>
      </c>
      <c r="M4994" s="3">
        <v>0.3</v>
      </c>
      <c r="N4994" t="s">
        <v>62</v>
      </c>
      <c r="O4994" s="2">
        <v>54.96</v>
      </c>
      <c r="P4994" s="2">
        <v>43.33</v>
      </c>
      <c r="Q4994" s="2">
        <v>11.63</v>
      </c>
      <c r="R4994">
        <v>1</v>
      </c>
      <c r="S4994">
        <v>1</v>
      </c>
      <c r="T4994">
        <v>4</v>
      </c>
      <c r="U4994">
        <v>3</v>
      </c>
    </row>
    <row r="4995" spans="1:21" ht="16.5" x14ac:dyDescent="0.3">
      <c r="A4995" t="s">
        <v>5083</v>
      </c>
      <c r="B4995" s="1">
        <v>45987</v>
      </c>
      <c r="C4995">
        <v>2025</v>
      </c>
      <c r="D4995" t="s">
        <v>1738</v>
      </c>
      <c r="E4995" t="s">
        <v>1959</v>
      </c>
      <c r="F4995" t="s">
        <v>45</v>
      </c>
      <c r="G4995" t="s">
        <v>49</v>
      </c>
      <c r="H4995" t="s">
        <v>26</v>
      </c>
      <c r="I4995" t="s">
        <v>27</v>
      </c>
      <c r="J4995" t="s">
        <v>60</v>
      </c>
      <c r="K4995">
        <v>2</v>
      </c>
      <c r="L4995" s="2">
        <v>94.85</v>
      </c>
      <c r="M4995" s="3">
        <v>0.05</v>
      </c>
      <c r="N4995" t="s">
        <v>29</v>
      </c>
      <c r="O4995" s="2">
        <v>180.21</v>
      </c>
      <c r="P4995" s="2">
        <v>105.69</v>
      </c>
      <c r="Q4995" s="2">
        <v>74.52</v>
      </c>
      <c r="R4995">
        <v>1</v>
      </c>
      <c r="S4995">
        <v>0</v>
      </c>
      <c r="T4995">
        <v>6</v>
      </c>
      <c r="U4995">
        <v>4</v>
      </c>
    </row>
    <row r="4996" spans="1:21" ht="16.5" x14ac:dyDescent="0.3">
      <c r="A4996" t="s">
        <v>5084</v>
      </c>
      <c r="B4996" s="1">
        <v>45987</v>
      </c>
      <c r="C4996">
        <v>2025</v>
      </c>
      <c r="D4996" t="s">
        <v>1738</v>
      </c>
      <c r="E4996" t="s">
        <v>1959</v>
      </c>
      <c r="F4996" t="s">
        <v>31</v>
      </c>
      <c r="G4996" t="s">
        <v>25</v>
      </c>
      <c r="H4996" t="s">
        <v>26</v>
      </c>
      <c r="I4996" t="s">
        <v>67</v>
      </c>
      <c r="J4996" t="s">
        <v>174</v>
      </c>
      <c r="K4996">
        <v>4</v>
      </c>
      <c r="L4996" s="2">
        <v>137.05000000000001</v>
      </c>
      <c r="M4996" s="3">
        <v>0.1</v>
      </c>
      <c r="N4996" t="s">
        <v>29</v>
      </c>
      <c r="O4996" s="2">
        <v>493.38</v>
      </c>
      <c r="P4996" s="2">
        <v>381.04</v>
      </c>
      <c r="Q4996" s="2">
        <v>112.34</v>
      </c>
      <c r="R4996">
        <v>1</v>
      </c>
      <c r="S4996">
        <v>0</v>
      </c>
      <c r="T4996">
        <v>6</v>
      </c>
      <c r="U4996">
        <v>3</v>
      </c>
    </row>
    <row r="4997" spans="1:21" ht="16.5" x14ac:dyDescent="0.3">
      <c r="A4997" t="s">
        <v>5085</v>
      </c>
      <c r="B4997" s="1">
        <v>45987</v>
      </c>
      <c r="C4997">
        <v>2025</v>
      </c>
      <c r="D4997" t="s">
        <v>1738</v>
      </c>
      <c r="E4997" t="s">
        <v>1959</v>
      </c>
      <c r="F4997" t="s">
        <v>45</v>
      </c>
      <c r="G4997" t="s">
        <v>49</v>
      </c>
      <c r="H4997" t="s">
        <v>32</v>
      </c>
      <c r="I4997" t="s">
        <v>27</v>
      </c>
      <c r="J4997" t="s">
        <v>110</v>
      </c>
      <c r="K4997">
        <v>4</v>
      </c>
      <c r="L4997" s="2">
        <v>19.41</v>
      </c>
      <c r="M4997" s="3">
        <v>0.1</v>
      </c>
      <c r="N4997" t="s">
        <v>29</v>
      </c>
      <c r="O4997" s="2">
        <v>69.88</v>
      </c>
      <c r="P4997" s="2">
        <v>41.06</v>
      </c>
      <c r="Q4997" s="2">
        <v>28.82</v>
      </c>
      <c r="R4997">
        <v>1</v>
      </c>
      <c r="S4997">
        <v>1</v>
      </c>
      <c r="T4997">
        <v>4</v>
      </c>
      <c r="U4997">
        <v>4</v>
      </c>
    </row>
    <row r="4998" spans="1:21" ht="16.5" x14ac:dyDescent="0.3">
      <c r="A4998" t="s">
        <v>5086</v>
      </c>
      <c r="B4998" s="1">
        <v>45987</v>
      </c>
      <c r="C4998">
        <v>2025</v>
      </c>
      <c r="D4998" t="s">
        <v>1738</v>
      </c>
      <c r="E4998" t="s">
        <v>1959</v>
      </c>
      <c r="F4998" t="s">
        <v>31</v>
      </c>
      <c r="G4998" t="s">
        <v>51</v>
      </c>
      <c r="H4998" t="s">
        <v>26</v>
      </c>
      <c r="I4998" t="s">
        <v>27</v>
      </c>
      <c r="J4998" t="s">
        <v>110</v>
      </c>
      <c r="K4998">
        <v>1</v>
      </c>
      <c r="L4998" s="2">
        <v>19.41</v>
      </c>
      <c r="M4998" s="3">
        <v>0.3</v>
      </c>
      <c r="N4998" t="s">
        <v>62</v>
      </c>
      <c r="O4998" s="2">
        <v>13.59</v>
      </c>
      <c r="P4998" s="2">
        <v>10.69</v>
      </c>
      <c r="Q4998" s="2">
        <v>2.9</v>
      </c>
      <c r="R4998">
        <v>1</v>
      </c>
      <c r="S4998">
        <v>0</v>
      </c>
      <c r="T4998">
        <v>4</v>
      </c>
      <c r="U4998">
        <v>5</v>
      </c>
    </row>
    <row r="4999" spans="1:21" ht="16.5" x14ac:dyDescent="0.3">
      <c r="A4999" t="s">
        <v>5087</v>
      </c>
      <c r="B4999" s="1">
        <v>45987</v>
      </c>
      <c r="C4999">
        <v>2025</v>
      </c>
      <c r="D4999" t="s">
        <v>1738</v>
      </c>
      <c r="E4999" t="s">
        <v>1959</v>
      </c>
      <c r="F4999" t="s">
        <v>45</v>
      </c>
      <c r="G4999" t="s">
        <v>51</v>
      </c>
      <c r="H4999" t="s">
        <v>32</v>
      </c>
      <c r="I4999" t="s">
        <v>27</v>
      </c>
      <c r="J4999" t="s">
        <v>28</v>
      </c>
      <c r="K4999">
        <v>1</v>
      </c>
      <c r="L4999" s="2">
        <v>138.5</v>
      </c>
      <c r="M4999" s="3">
        <v>0.15</v>
      </c>
      <c r="N4999" t="s">
        <v>34</v>
      </c>
      <c r="O4999" s="2">
        <v>117.72</v>
      </c>
      <c r="P4999" s="2">
        <v>73.09</v>
      </c>
      <c r="Q4999" s="2">
        <v>44.63</v>
      </c>
      <c r="R4999">
        <v>1</v>
      </c>
      <c r="S4999">
        <v>0</v>
      </c>
      <c r="T4999">
        <v>3</v>
      </c>
      <c r="U4999">
        <v>3</v>
      </c>
    </row>
    <row r="5000" spans="1:21" ht="16.5" x14ac:dyDescent="0.3">
      <c r="A5000" t="s">
        <v>5088</v>
      </c>
      <c r="B5000" s="1">
        <v>45987</v>
      </c>
      <c r="C5000">
        <v>2025</v>
      </c>
      <c r="D5000" t="s">
        <v>1738</v>
      </c>
      <c r="E5000" t="s">
        <v>1959</v>
      </c>
      <c r="F5000" t="s">
        <v>45</v>
      </c>
      <c r="G5000" t="s">
        <v>49</v>
      </c>
      <c r="H5000" t="s">
        <v>32</v>
      </c>
      <c r="I5000" t="s">
        <v>67</v>
      </c>
      <c r="J5000" t="s">
        <v>174</v>
      </c>
      <c r="K5000">
        <v>1</v>
      </c>
      <c r="L5000" s="2">
        <v>137.05000000000001</v>
      </c>
      <c r="M5000" s="3">
        <v>0.3</v>
      </c>
      <c r="N5000" t="s">
        <v>62</v>
      </c>
      <c r="O5000" s="2">
        <v>95.94</v>
      </c>
      <c r="P5000" s="2">
        <v>85.51</v>
      </c>
      <c r="Q5000" s="2">
        <v>10.43</v>
      </c>
      <c r="R5000">
        <v>1</v>
      </c>
      <c r="S5000">
        <v>0</v>
      </c>
      <c r="T5000">
        <v>4</v>
      </c>
      <c r="U5000">
        <v>3</v>
      </c>
    </row>
    <row r="5001" spans="1:21" ht="16.5" x14ac:dyDescent="0.3">
      <c r="A5001" t="s">
        <v>5089</v>
      </c>
      <c r="B5001" s="1">
        <v>45987</v>
      </c>
      <c r="C5001">
        <v>2025</v>
      </c>
      <c r="D5001" t="s">
        <v>1738</v>
      </c>
      <c r="E5001" t="s">
        <v>1959</v>
      </c>
      <c r="F5001" t="s">
        <v>24</v>
      </c>
      <c r="G5001" t="s">
        <v>49</v>
      </c>
      <c r="H5001" t="s">
        <v>32</v>
      </c>
      <c r="I5001" t="s">
        <v>70</v>
      </c>
      <c r="J5001" t="s">
        <v>82</v>
      </c>
      <c r="K5001">
        <v>2</v>
      </c>
      <c r="L5001" s="2">
        <v>508.8</v>
      </c>
      <c r="M5001" s="3">
        <v>0.25</v>
      </c>
      <c r="N5001" t="s">
        <v>62</v>
      </c>
      <c r="O5001" s="2">
        <v>763.2</v>
      </c>
      <c r="P5001" s="2">
        <v>804.74</v>
      </c>
      <c r="Q5001" s="2">
        <v>-41.54</v>
      </c>
      <c r="R5001">
        <v>1</v>
      </c>
      <c r="S5001">
        <v>0</v>
      </c>
      <c r="T5001">
        <v>4</v>
      </c>
      <c r="U5001">
        <v>5</v>
      </c>
    </row>
    <row r="5002" spans="1:21" ht="16.5" x14ac:dyDescent="0.3">
      <c r="A5002" t="s">
        <v>5090</v>
      </c>
      <c r="B5002" s="1">
        <v>45988</v>
      </c>
      <c r="C5002">
        <v>2025</v>
      </c>
      <c r="D5002" t="s">
        <v>1738</v>
      </c>
      <c r="E5002" t="s">
        <v>1959</v>
      </c>
      <c r="F5002" t="s">
        <v>31</v>
      </c>
      <c r="G5002" t="s">
        <v>51</v>
      </c>
      <c r="H5002" t="s">
        <v>26</v>
      </c>
      <c r="I5002" t="s">
        <v>27</v>
      </c>
      <c r="J5002" t="s">
        <v>28</v>
      </c>
      <c r="K5002">
        <v>1</v>
      </c>
      <c r="L5002" s="2">
        <v>138.5</v>
      </c>
      <c r="M5002" s="3">
        <v>0.25</v>
      </c>
      <c r="N5002" t="s">
        <v>62</v>
      </c>
      <c r="O5002" s="2">
        <v>103.88</v>
      </c>
      <c r="P5002" s="2">
        <v>75</v>
      </c>
      <c r="Q5002" s="2">
        <v>28.88</v>
      </c>
      <c r="R5002">
        <v>1</v>
      </c>
      <c r="S5002">
        <v>0</v>
      </c>
      <c r="T5002">
        <v>5</v>
      </c>
      <c r="U5002">
        <v>4</v>
      </c>
    </row>
    <row r="5003" spans="1:21" ht="16.5" x14ac:dyDescent="0.3">
      <c r="A5003" t="s">
        <v>5091</v>
      </c>
      <c r="B5003" s="1">
        <v>45988</v>
      </c>
      <c r="C5003">
        <v>2025</v>
      </c>
      <c r="D5003" t="s">
        <v>1738</v>
      </c>
      <c r="E5003" t="s">
        <v>1959</v>
      </c>
      <c r="F5003" t="s">
        <v>31</v>
      </c>
      <c r="G5003" t="s">
        <v>25</v>
      </c>
      <c r="H5003" t="s">
        <v>32</v>
      </c>
      <c r="I5003" t="s">
        <v>27</v>
      </c>
      <c r="J5003" t="s">
        <v>28</v>
      </c>
      <c r="K5003">
        <v>1</v>
      </c>
      <c r="L5003" s="2">
        <v>138.5</v>
      </c>
      <c r="M5003" s="3">
        <v>0.25</v>
      </c>
      <c r="N5003" t="s">
        <v>62</v>
      </c>
      <c r="O5003" s="2">
        <v>103.88</v>
      </c>
      <c r="P5003" s="2">
        <v>74.930000000000007</v>
      </c>
      <c r="Q5003" s="2">
        <v>28.95</v>
      </c>
      <c r="R5003">
        <v>1</v>
      </c>
      <c r="S5003">
        <v>0</v>
      </c>
      <c r="T5003">
        <v>6</v>
      </c>
      <c r="U5003">
        <v>5</v>
      </c>
    </row>
    <row r="5004" spans="1:21" ht="16.5" x14ac:dyDescent="0.3">
      <c r="A5004" t="s">
        <v>5092</v>
      </c>
      <c r="B5004" s="1">
        <v>45988</v>
      </c>
      <c r="C5004">
        <v>2025</v>
      </c>
      <c r="D5004" t="s">
        <v>1738</v>
      </c>
      <c r="E5004" t="s">
        <v>1959</v>
      </c>
      <c r="F5004" t="s">
        <v>31</v>
      </c>
      <c r="G5004" t="s">
        <v>51</v>
      </c>
      <c r="H5004" t="s">
        <v>26</v>
      </c>
      <c r="I5004" t="s">
        <v>70</v>
      </c>
      <c r="J5004" t="s">
        <v>71</v>
      </c>
      <c r="K5004">
        <v>1</v>
      </c>
      <c r="L5004" s="2">
        <v>588.41</v>
      </c>
      <c r="M5004" s="3">
        <v>0.1</v>
      </c>
      <c r="N5004" t="s">
        <v>29</v>
      </c>
      <c r="O5004" s="2">
        <v>529.57000000000005</v>
      </c>
      <c r="P5004" s="2">
        <v>472.23</v>
      </c>
      <c r="Q5004" s="2">
        <v>57.34</v>
      </c>
      <c r="R5004">
        <v>1</v>
      </c>
      <c r="S5004">
        <v>0</v>
      </c>
      <c r="T5004">
        <v>5</v>
      </c>
      <c r="U5004">
        <v>5</v>
      </c>
    </row>
    <row r="5005" spans="1:21" ht="16.5" x14ac:dyDescent="0.3">
      <c r="A5005" t="s">
        <v>5093</v>
      </c>
      <c r="B5005" s="1">
        <v>45988</v>
      </c>
      <c r="C5005">
        <v>2025</v>
      </c>
      <c r="D5005" t="s">
        <v>1738</v>
      </c>
      <c r="E5005" t="s">
        <v>1959</v>
      </c>
      <c r="F5005" t="s">
        <v>24</v>
      </c>
      <c r="G5005" t="s">
        <v>25</v>
      </c>
      <c r="H5005" t="s">
        <v>32</v>
      </c>
      <c r="I5005" t="s">
        <v>67</v>
      </c>
      <c r="J5005" t="s">
        <v>78</v>
      </c>
      <c r="K5005">
        <v>1</v>
      </c>
      <c r="L5005" s="2">
        <v>85.42</v>
      </c>
      <c r="M5005" s="3">
        <v>0.2</v>
      </c>
      <c r="N5005" t="s">
        <v>34</v>
      </c>
      <c r="O5005" s="2">
        <v>68.34</v>
      </c>
      <c r="P5005" s="2">
        <v>54.74</v>
      </c>
      <c r="Q5005" s="2">
        <v>13.6</v>
      </c>
      <c r="R5005">
        <v>1</v>
      </c>
      <c r="S5005">
        <v>0</v>
      </c>
      <c r="T5005">
        <v>5</v>
      </c>
      <c r="U5005">
        <v>4</v>
      </c>
    </row>
    <row r="5006" spans="1:21" ht="16.5" x14ac:dyDescent="0.3">
      <c r="A5006" t="s">
        <v>5094</v>
      </c>
      <c r="B5006" s="1">
        <v>45988</v>
      </c>
      <c r="C5006">
        <v>2025</v>
      </c>
      <c r="D5006" t="s">
        <v>1738</v>
      </c>
      <c r="E5006" t="s">
        <v>1959</v>
      </c>
      <c r="F5006" t="s">
        <v>24</v>
      </c>
      <c r="G5006" t="s">
        <v>51</v>
      </c>
      <c r="H5006" t="s">
        <v>26</v>
      </c>
      <c r="I5006" t="s">
        <v>84</v>
      </c>
      <c r="J5006" t="s">
        <v>223</v>
      </c>
      <c r="K5006">
        <v>1</v>
      </c>
      <c r="L5006" s="2">
        <v>16.97</v>
      </c>
      <c r="M5006" s="3">
        <v>0.05</v>
      </c>
      <c r="N5006" t="s">
        <v>29</v>
      </c>
      <c r="O5006" s="2">
        <v>16.12</v>
      </c>
      <c r="P5006" s="2">
        <v>12.14</v>
      </c>
      <c r="Q5006" s="2">
        <v>3.98</v>
      </c>
      <c r="R5006">
        <v>1</v>
      </c>
      <c r="S5006">
        <v>0</v>
      </c>
      <c r="T5006">
        <v>4</v>
      </c>
      <c r="U5006">
        <v>4</v>
      </c>
    </row>
    <row r="5007" spans="1:21" ht="16.5" x14ac:dyDescent="0.3">
      <c r="A5007" t="s">
        <v>5095</v>
      </c>
      <c r="B5007" s="1">
        <v>45988</v>
      </c>
      <c r="C5007">
        <v>2025</v>
      </c>
      <c r="D5007" t="s">
        <v>1738</v>
      </c>
      <c r="E5007" t="s">
        <v>1959</v>
      </c>
      <c r="F5007" t="s">
        <v>24</v>
      </c>
      <c r="G5007" t="s">
        <v>51</v>
      </c>
      <c r="H5007" t="s">
        <v>32</v>
      </c>
      <c r="I5007" t="s">
        <v>70</v>
      </c>
      <c r="J5007" t="s">
        <v>71</v>
      </c>
      <c r="K5007">
        <v>1</v>
      </c>
      <c r="L5007" s="2">
        <v>588.41</v>
      </c>
      <c r="M5007" s="3">
        <v>0.25</v>
      </c>
      <c r="N5007" t="s">
        <v>62</v>
      </c>
      <c r="O5007" s="2">
        <v>441.31</v>
      </c>
      <c r="P5007" s="2">
        <v>481.42</v>
      </c>
      <c r="Q5007" s="2">
        <v>-40.11</v>
      </c>
      <c r="R5007">
        <v>1</v>
      </c>
      <c r="S5007">
        <v>1</v>
      </c>
      <c r="T5007">
        <v>5</v>
      </c>
      <c r="U5007">
        <v>3</v>
      </c>
    </row>
    <row r="5008" spans="1:21" ht="16.5" x14ac:dyDescent="0.3">
      <c r="A5008" t="s">
        <v>5096</v>
      </c>
      <c r="B5008" s="1">
        <v>45988</v>
      </c>
      <c r="C5008">
        <v>2025</v>
      </c>
      <c r="D5008" t="s">
        <v>1738</v>
      </c>
      <c r="E5008" t="s">
        <v>1959</v>
      </c>
      <c r="F5008" t="s">
        <v>31</v>
      </c>
      <c r="G5008" t="s">
        <v>49</v>
      </c>
      <c r="H5008" t="s">
        <v>32</v>
      </c>
      <c r="I5008" t="s">
        <v>84</v>
      </c>
      <c r="J5008" t="s">
        <v>85</v>
      </c>
      <c r="K5008">
        <v>1</v>
      </c>
      <c r="L5008" s="2">
        <v>57.92</v>
      </c>
      <c r="M5008" s="3">
        <v>0.15</v>
      </c>
      <c r="N5008" t="s">
        <v>34</v>
      </c>
      <c r="O5008" s="2">
        <v>49.23</v>
      </c>
      <c r="P5008" s="2">
        <v>41.5</v>
      </c>
      <c r="Q5008" s="2">
        <v>7.73</v>
      </c>
      <c r="R5008">
        <v>1</v>
      </c>
      <c r="S5008">
        <v>0</v>
      </c>
      <c r="T5008">
        <v>5</v>
      </c>
      <c r="U5008">
        <v>4</v>
      </c>
    </row>
    <row r="5009" spans="1:21" ht="16.5" x14ac:dyDescent="0.3">
      <c r="A5009" t="s">
        <v>5097</v>
      </c>
      <c r="B5009" s="1">
        <v>45988</v>
      </c>
      <c r="C5009">
        <v>2025</v>
      </c>
      <c r="D5009" t="s">
        <v>1738</v>
      </c>
      <c r="E5009" t="s">
        <v>1959</v>
      </c>
      <c r="F5009" t="s">
        <v>24</v>
      </c>
      <c r="G5009" t="s">
        <v>51</v>
      </c>
      <c r="H5009" t="s">
        <v>26</v>
      </c>
      <c r="I5009" t="s">
        <v>27</v>
      </c>
      <c r="J5009" t="s">
        <v>60</v>
      </c>
      <c r="K5009">
        <v>2</v>
      </c>
      <c r="L5009" s="2">
        <v>94.85</v>
      </c>
      <c r="M5009" s="3">
        <v>0.25</v>
      </c>
      <c r="N5009" t="s">
        <v>62</v>
      </c>
      <c r="O5009" s="2">
        <v>142.27000000000001</v>
      </c>
      <c r="P5009" s="2">
        <v>102.47</v>
      </c>
      <c r="Q5009" s="2">
        <v>39.799999999999997</v>
      </c>
      <c r="R5009">
        <v>1</v>
      </c>
      <c r="S5009">
        <v>0</v>
      </c>
      <c r="T5009">
        <v>4</v>
      </c>
      <c r="U5009">
        <v>4</v>
      </c>
    </row>
    <row r="5010" spans="1:21" ht="16.5" x14ac:dyDescent="0.3">
      <c r="A5010" t="s">
        <v>5098</v>
      </c>
      <c r="B5010" s="1">
        <v>45988</v>
      </c>
      <c r="C5010">
        <v>2025</v>
      </c>
      <c r="D5010" t="s">
        <v>1738</v>
      </c>
      <c r="E5010" t="s">
        <v>1959</v>
      </c>
      <c r="F5010" t="s">
        <v>31</v>
      </c>
      <c r="G5010" t="s">
        <v>51</v>
      </c>
      <c r="H5010" t="s">
        <v>26</v>
      </c>
      <c r="I5010" t="s">
        <v>67</v>
      </c>
      <c r="J5010" t="s">
        <v>93</v>
      </c>
      <c r="K5010">
        <v>2</v>
      </c>
      <c r="L5010" s="2">
        <v>198.42</v>
      </c>
      <c r="M5010" s="3">
        <v>0.25</v>
      </c>
      <c r="N5010" t="s">
        <v>62</v>
      </c>
      <c r="O5010" s="2">
        <v>297.63</v>
      </c>
      <c r="P5010" s="2">
        <v>262.22000000000003</v>
      </c>
      <c r="Q5010" s="2">
        <v>35.409999999999997</v>
      </c>
      <c r="R5010">
        <v>1</v>
      </c>
      <c r="S5010">
        <v>0</v>
      </c>
      <c r="T5010">
        <v>3</v>
      </c>
      <c r="U5010">
        <v>4</v>
      </c>
    </row>
    <row r="5011" spans="1:21" ht="16.5" x14ac:dyDescent="0.3">
      <c r="A5011" t="s">
        <v>5099</v>
      </c>
      <c r="B5011" s="1">
        <v>45988</v>
      </c>
      <c r="C5011">
        <v>2025</v>
      </c>
      <c r="D5011" t="s">
        <v>1738</v>
      </c>
      <c r="E5011" t="s">
        <v>1959</v>
      </c>
      <c r="F5011" t="s">
        <v>45</v>
      </c>
      <c r="G5011" t="s">
        <v>25</v>
      </c>
      <c r="H5011" t="s">
        <v>26</v>
      </c>
      <c r="I5011" t="s">
        <v>70</v>
      </c>
      <c r="J5011" t="s">
        <v>71</v>
      </c>
      <c r="K5011">
        <v>2</v>
      </c>
      <c r="L5011" s="2">
        <v>588.41</v>
      </c>
      <c r="M5011" s="3">
        <v>0.2</v>
      </c>
      <c r="N5011" t="s">
        <v>34</v>
      </c>
      <c r="O5011" s="2">
        <v>941.46</v>
      </c>
      <c r="P5011" s="2">
        <v>967.37</v>
      </c>
      <c r="Q5011" s="2">
        <v>-25.91</v>
      </c>
      <c r="R5011">
        <v>1</v>
      </c>
      <c r="S5011">
        <v>0</v>
      </c>
      <c r="T5011">
        <v>5</v>
      </c>
      <c r="U5011">
        <v>5</v>
      </c>
    </row>
    <row r="5012" spans="1:21" ht="16.5" x14ac:dyDescent="0.3">
      <c r="A5012" t="s">
        <v>5100</v>
      </c>
      <c r="B5012" s="1">
        <v>45989</v>
      </c>
      <c r="C5012">
        <v>2025</v>
      </c>
      <c r="D5012" t="s">
        <v>1738</v>
      </c>
      <c r="E5012" t="s">
        <v>1959</v>
      </c>
      <c r="F5012" t="s">
        <v>24</v>
      </c>
      <c r="G5012" t="s">
        <v>25</v>
      </c>
      <c r="H5012" t="s">
        <v>26</v>
      </c>
      <c r="I5012" t="s">
        <v>42</v>
      </c>
      <c r="J5012" t="s">
        <v>54</v>
      </c>
      <c r="K5012">
        <v>1</v>
      </c>
      <c r="L5012" s="2">
        <v>148.05000000000001</v>
      </c>
      <c r="M5012" s="3">
        <v>0.05</v>
      </c>
      <c r="N5012" t="s">
        <v>29</v>
      </c>
      <c r="O5012" s="2">
        <v>140.65</v>
      </c>
      <c r="P5012" s="2">
        <v>97.67</v>
      </c>
      <c r="Q5012" s="2">
        <v>42.98</v>
      </c>
      <c r="R5012">
        <v>1</v>
      </c>
      <c r="S5012">
        <v>0</v>
      </c>
      <c r="T5012">
        <v>4</v>
      </c>
      <c r="U5012">
        <v>5</v>
      </c>
    </row>
    <row r="5013" spans="1:21" ht="16.5" x14ac:dyDescent="0.3">
      <c r="A5013" t="s">
        <v>5101</v>
      </c>
      <c r="B5013" s="1">
        <v>45989</v>
      </c>
      <c r="C5013">
        <v>2025</v>
      </c>
      <c r="D5013" t="s">
        <v>1738</v>
      </c>
      <c r="E5013" t="s">
        <v>1959</v>
      </c>
      <c r="F5013" t="s">
        <v>31</v>
      </c>
      <c r="G5013" t="s">
        <v>65</v>
      </c>
      <c r="H5013" t="s">
        <v>32</v>
      </c>
      <c r="I5013" t="s">
        <v>67</v>
      </c>
      <c r="J5013" t="s">
        <v>103</v>
      </c>
      <c r="K5013">
        <v>1</v>
      </c>
      <c r="L5013" s="2">
        <v>83.06</v>
      </c>
      <c r="M5013" s="3">
        <v>0.3</v>
      </c>
      <c r="N5013" t="s">
        <v>62</v>
      </c>
      <c r="O5013" s="2">
        <v>58.14</v>
      </c>
      <c r="P5013" s="2">
        <v>52.9</v>
      </c>
      <c r="Q5013" s="2">
        <v>5.24</v>
      </c>
      <c r="R5013">
        <v>1</v>
      </c>
      <c r="S5013">
        <v>0</v>
      </c>
      <c r="T5013">
        <v>7</v>
      </c>
      <c r="U5013">
        <v>3</v>
      </c>
    </row>
    <row r="5014" spans="1:21" ht="16.5" x14ac:dyDescent="0.3">
      <c r="A5014" t="s">
        <v>5102</v>
      </c>
      <c r="B5014" s="1">
        <v>45989</v>
      </c>
      <c r="C5014">
        <v>2025</v>
      </c>
      <c r="D5014" t="s">
        <v>1738</v>
      </c>
      <c r="E5014" t="s">
        <v>1959</v>
      </c>
      <c r="F5014" t="s">
        <v>31</v>
      </c>
      <c r="G5014" t="s">
        <v>25</v>
      </c>
      <c r="H5014" t="s">
        <v>32</v>
      </c>
      <c r="I5014" t="s">
        <v>27</v>
      </c>
      <c r="J5014" t="s">
        <v>33</v>
      </c>
      <c r="K5014">
        <v>1</v>
      </c>
      <c r="L5014" s="2">
        <v>78.510000000000005</v>
      </c>
      <c r="M5014" s="3">
        <v>0.15</v>
      </c>
      <c r="N5014" t="s">
        <v>34</v>
      </c>
      <c r="O5014" s="2">
        <v>66.73</v>
      </c>
      <c r="P5014" s="2">
        <v>42.99</v>
      </c>
      <c r="Q5014" s="2">
        <v>23.74</v>
      </c>
      <c r="R5014">
        <v>1</v>
      </c>
      <c r="S5014">
        <v>1</v>
      </c>
      <c r="T5014">
        <v>4</v>
      </c>
      <c r="U5014">
        <v>3</v>
      </c>
    </row>
    <row r="5015" spans="1:21" ht="16.5" x14ac:dyDescent="0.3">
      <c r="A5015" t="s">
        <v>5103</v>
      </c>
      <c r="B5015" s="1">
        <v>45989</v>
      </c>
      <c r="C5015">
        <v>2025</v>
      </c>
      <c r="D5015" t="s">
        <v>1738</v>
      </c>
      <c r="E5015" t="s">
        <v>1959</v>
      </c>
      <c r="F5015" t="s">
        <v>45</v>
      </c>
      <c r="G5015" t="s">
        <v>49</v>
      </c>
      <c r="H5015" t="s">
        <v>26</v>
      </c>
      <c r="I5015" t="s">
        <v>70</v>
      </c>
      <c r="J5015" t="s">
        <v>71</v>
      </c>
      <c r="K5015">
        <v>1</v>
      </c>
      <c r="L5015" s="2">
        <v>588.41</v>
      </c>
      <c r="M5015" s="3">
        <v>0.05</v>
      </c>
      <c r="N5015" t="s">
        <v>29</v>
      </c>
      <c r="O5015" s="2">
        <v>558.99</v>
      </c>
      <c r="P5015" s="2">
        <v>481.61</v>
      </c>
      <c r="Q5015" s="2">
        <v>77.38</v>
      </c>
      <c r="R5015">
        <v>1</v>
      </c>
      <c r="S5015">
        <v>0</v>
      </c>
      <c r="T5015">
        <v>4</v>
      </c>
      <c r="U5015">
        <v>4</v>
      </c>
    </row>
    <row r="5016" spans="1:21" ht="16.5" x14ac:dyDescent="0.3">
      <c r="A5016" t="s">
        <v>5104</v>
      </c>
      <c r="B5016" s="1">
        <v>45989</v>
      </c>
      <c r="C5016">
        <v>2025</v>
      </c>
      <c r="D5016" t="s">
        <v>1738</v>
      </c>
      <c r="E5016" t="s">
        <v>1959</v>
      </c>
      <c r="F5016" t="s">
        <v>45</v>
      </c>
      <c r="G5016" t="s">
        <v>25</v>
      </c>
      <c r="H5016" t="s">
        <v>26</v>
      </c>
      <c r="I5016" t="s">
        <v>36</v>
      </c>
      <c r="J5016" t="s">
        <v>52</v>
      </c>
      <c r="K5016">
        <v>2</v>
      </c>
      <c r="L5016" s="2">
        <v>92.54</v>
      </c>
      <c r="M5016" s="3">
        <v>0.05</v>
      </c>
      <c r="N5016" t="s">
        <v>29</v>
      </c>
      <c r="O5016" s="2">
        <v>175.83</v>
      </c>
      <c r="P5016" s="2">
        <v>90.93</v>
      </c>
      <c r="Q5016" s="2">
        <v>84.9</v>
      </c>
      <c r="R5016">
        <v>1</v>
      </c>
      <c r="S5016">
        <v>0</v>
      </c>
      <c r="T5016">
        <v>5</v>
      </c>
      <c r="U5016">
        <v>5</v>
      </c>
    </row>
    <row r="5017" spans="1:21" ht="16.5" x14ac:dyDescent="0.3">
      <c r="A5017" t="s">
        <v>5105</v>
      </c>
      <c r="B5017" s="1">
        <v>45989</v>
      </c>
      <c r="C5017">
        <v>2025</v>
      </c>
      <c r="D5017" t="s">
        <v>1738</v>
      </c>
      <c r="E5017" t="s">
        <v>1959</v>
      </c>
      <c r="F5017" t="s">
        <v>24</v>
      </c>
      <c r="G5017" t="s">
        <v>51</v>
      </c>
      <c r="H5017" t="s">
        <v>32</v>
      </c>
      <c r="I5017" t="s">
        <v>27</v>
      </c>
      <c r="J5017" t="s">
        <v>28</v>
      </c>
      <c r="K5017">
        <v>1</v>
      </c>
      <c r="L5017" s="2">
        <v>138.5</v>
      </c>
      <c r="M5017" s="3">
        <v>0.25</v>
      </c>
      <c r="N5017" t="s">
        <v>62</v>
      </c>
      <c r="O5017" s="2">
        <v>103.88</v>
      </c>
      <c r="P5017" s="2">
        <v>76.099999999999994</v>
      </c>
      <c r="Q5017" s="2">
        <v>27.78</v>
      </c>
      <c r="R5017">
        <v>1</v>
      </c>
      <c r="S5017">
        <v>0</v>
      </c>
      <c r="T5017">
        <v>4</v>
      </c>
      <c r="U5017">
        <v>5</v>
      </c>
    </row>
    <row r="5018" spans="1:21" ht="16.5" x14ac:dyDescent="0.3">
      <c r="A5018" t="s">
        <v>5106</v>
      </c>
      <c r="B5018" s="1">
        <v>45989</v>
      </c>
      <c r="C5018">
        <v>2025</v>
      </c>
      <c r="D5018" t="s">
        <v>1738</v>
      </c>
      <c r="E5018" t="s">
        <v>1959</v>
      </c>
      <c r="F5018" t="s">
        <v>31</v>
      </c>
      <c r="G5018" t="s">
        <v>49</v>
      </c>
      <c r="H5018" t="s">
        <v>32</v>
      </c>
      <c r="I5018" t="s">
        <v>70</v>
      </c>
      <c r="J5018" t="s">
        <v>162</v>
      </c>
      <c r="K5018">
        <v>2</v>
      </c>
      <c r="L5018" s="2">
        <v>636.09</v>
      </c>
      <c r="M5018" s="3">
        <v>0.05</v>
      </c>
      <c r="N5018" t="s">
        <v>29</v>
      </c>
      <c r="O5018" s="2">
        <v>1208.57</v>
      </c>
      <c r="P5018" s="2">
        <v>1040.3399999999999</v>
      </c>
      <c r="Q5018" s="2">
        <v>168.23</v>
      </c>
      <c r="R5018">
        <v>1</v>
      </c>
      <c r="S5018">
        <v>0</v>
      </c>
      <c r="T5018">
        <v>7</v>
      </c>
      <c r="U5018">
        <v>4</v>
      </c>
    </row>
    <row r="5019" spans="1:21" ht="16.5" x14ac:dyDescent="0.3">
      <c r="A5019" t="s">
        <v>5107</v>
      </c>
      <c r="B5019" s="1">
        <v>45989</v>
      </c>
      <c r="C5019">
        <v>2025</v>
      </c>
      <c r="D5019" t="s">
        <v>1738</v>
      </c>
      <c r="E5019" t="s">
        <v>1959</v>
      </c>
      <c r="F5019" t="s">
        <v>45</v>
      </c>
      <c r="G5019" t="s">
        <v>46</v>
      </c>
      <c r="H5019" t="s">
        <v>32</v>
      </c>
      <c r="I5019" t="s">
        <v>42</v>
      </c>
      <c r="J5019" t="s">
        <v>98</v>
      </c>
      <c r="K5019">
        <v>1</v>
      </c>
      <c r="L5019" s="2">
        <v>117.63</v>
      </c>
      <c r="M5019" s="3">
        <v>0.1</v>
      </c>
      <c r="N5019" t="s">
        <v>29</v>
      </c>
      <c r="O5019" s="2">
        <v>105.87</v>
      </c>
      <c r="P5019" s="2">
        <v>78.77</v>
      </c>
      <c r="Q5019" s="2">
        <v>27.1</v>
      </c>
      <c r="R5019">
        <v>1</v>
      </c>
      <c r="S5019">
        <v>0</v>
      </c>
      <c r="T5019">
        <v>7</v>
      </c>
      <c r="U5019">
        <v>3</v>
      </c>
    </row>
    <row r="5020" spans="1:21" ht="16.5" x14ac:dyDescent="0.3">
      <c r="A5020" t="s">
        <v>5108</v>
      </c>
      <c r="B5020" s="1">
        <v>45989</v>
      </c>
      <c r="C5020">
        <v>2025</v>
      </c>
      <c r="D5020" t="s">
        <v>1738</v>
      </c>
      <c r="E5020" t="s">
        <v>1959</v>
      </c>
      <c r="F5020" t="s">
        <v>24</v>
      </c>
      <c r="G5020" t="s">
        <v>51</v>
      </c>
      <c r="H5020" t="s">
        <v>32</v>
      </c>
      <c r="I5020" t="s">
        <v>84</v>
      </c>
      <c r="J5020" t="s">
        <v>132</v>
      </c>
      <c r="K5020">
        <v>2</v>
      </c>
      <c r="L5020" s="2">
        <v>48.86</v>
      </c>
      <c r="M5020" s="3">
        <v>0</v>
      </c>
      <c r="N5020" t="s">
        <v>38</v>
      </c>
      <c r="O5020" s="2">
        <v>97.72</v>
      </c>
      <c r="P5020" s="2">
        <v>66.86</v>
      </c>
      <c r="Q5020" s="2">
        <v>30.86</v>
      </c>
      <c r="R5020">
        <v>1</v>
      </c>
      <c r="S5020">
        <v>1</v>
      </c>
      <c r="T5020">
        <v>4</v>
      </c>
      <c r="U5020">
        <v>3</v>
      </c>
    </row>
    <row r="5021" spans="1:21" ht="16.5" x14ac:dyDescent="0.3">
      <c r="A5021" t="s">
        <v>5109</v>
      </c>
      <c r="B5021" s="1">
        <v>45989</v>
      </c>
      <c r="C5021">
        <v>2025</v>
      </c>
      <c r="D5021" t="s">
        <v>1738</v>
      </c>
      <c r="E5021" t="s">
        <v>1959</v>
      </c>
      <c r="F5021" t="s">
        <v>24</v>
      </c>
      <c r="G5021" t="s">
        <v>46</v>
      </c>
      <c r="H5021" t="s">
        <v>32</v>
      </c>
      <c r="I5021" t="s">
        <v>42</v>
      </c>
      <c r="J5021" t="s">
        <v>58</v>
      </c>
      <c r="K5021">
        <v>1</v>
      </c>
      <c r="L5021" s="2">
        <v>233.81</v>
      </c>
      <c r="M5021" s="3">
        <v>0.3</v>
      </c>
      <c r="N5021" t="s">
        <v>62</v>
      </c>
      <c r="O5021" s="2">
        <v>163.66999999999999</v>
      </c>
      <c r="P5021" s="2">
        <v>147.22</v>
      </c>
      <c r="Q5021" s="2">
        <v>16.45</v>
      </c>
      <c r="R5021">
        <v>1</v>
      </c>
      <c r="S5021">
        <v>0</v>
      </c>
      <c r="T5021">
        <v>8</v>
      </c>
      <c r="U5021">
        <v>4</v>
      </c>
    </row>
    <row r="5022" spans="1:21" ht="16.5" x14ac:dyDescent="0.3">
      <c r="A5022" t="s">
        <v>5110</v>
      </c>
      <c r="B5022" s="1">
        <v>45989</v>
      </c>
      <c r="C5022">
        <v>2025</v>
      </c>
      <c r="D5022" t="s">
        <v>1738</v>
      </c>
      <c r="E5022" t="s">
        <v>1959</v>
      </c>
      <c r="F5022" t="s">
        <v>24</v>
      </c>
      <c r="G5022" t="s">
        <v>46</v>
      </c>
      <c r="H5022" t="s">
        <v>32</v>
      </c>
      <c r="I5022" t="s">
        <v>27</v>
      </c>
      <c r="J5022" t="s">
        <v>40</v>
      </c>
      <c r="K5022">
        <v>1</v>
      </c>
      <c r="L5022" s="2">
        <v>104.94</v>
      </c>
      <c r="M5022" s="3">
        <v>0.15</v>
      </c>
      <c r="N5022" t="s">
        <v>34</v>
      </c>
      <c r="O5022" s="2">
        <v>89.2</v>
      </c>
      <c r="P5022" s="2">
        <v>59.66</v>
      </c>
      <c r="Q5022" s="2">
        <v>29.54</v>
      </c>
      <c r="R5022">
        <v>1</v>
      </c>
      <c r="S5022">
        <v>1</v>
      </c>
      <c r="T5022">
        <v>6</v>
      </c>
      <c r="U5022">
        <v>1</v>
      </c>
    </row>
    <row r="5023" spans="1:21" ht="16.5" x14ac:dyDescent="0.3">
      <c r="A5023" t="s">
        <v>5111</v>
      </c>
      <c r="B5023" s="1">
        <v>45989</v>
      </c>
      <c r="C5023">
        <v>2025</v>
      </c>
      <c r="D5023" t="s">
        <v>1738</v>
      </c>
      <c r="E5023" t="s">
        <v>1959</v>
      </c>
      <c r="F5023" t="s">
        <v>24</v>
      </c>
      <c r="G5023" t="s">
        <v>65</v>
      </c>
      <c r="H5023" t="s">
        <v>26</v>
      </c>
      <c r="I5023" t="s">
        <v>27</v>
      </c>
      <c r="J5023" t="s">
        <v>33</v>
      </c>
      <c r="K5023">
        <v>1</v>
      </c>
      <c r="L5023" s="2">
        <v>78.510000000000005</v>
      </c>
      <c r="M5023" s="3">
        <v>0.15</v>
      </c>
      <c r="N5023" t="s">
        <v>34</v>
      </c>
      <c r="O5023" s="2">
        <v>66.73</v>
      </c>
      <c r="P5023" s="2">
        <v>41.4</v>
      </c>
      <c r="Q5023" s="2">
        <v>25.33</v>
      </c>
      <c r="R5023">
        <v>1</v>
      </c>
      <c r="S5023">
        <v>0</v>
      </c>
      <c r="T5023">
        <v>6</v>
      </c>
      <c r="U5023">
        <v>4</v>
      </c>
    </row>
    <row r="5024" spans="1:21" ht="16.5" x14ac:dyDescent="0.3">
      <c r="A5024" t="s">
        <v>5112</v>
      </c>
      <c r="B5024" s="1">
        <v>45989</v>
      </c>
      <c r="C5024">
        <v>2025</v>
      </c>
      <c r="D5024" t="s">
        <v>1738</v>
      </c>
      <c r="E5024" t="s">
        <v>1959</v>
      </c>
      <c r="F5024" t="s">
        <v>31</v>
      </c>
      <c r="G5024" t="s">
        <v>25</v>
      </c>
      <c r="H5024" t="s">
        <v>32</v>
      </c>
      <c r="I5024" t="s">
        <v>42</v>
      </c>
      <c r="J5024" t="s">
        <v>54</v>
      </c>
      <c r="K5024">
        <v>2</v>
      </c>
      <c r="L5024" s="2">
        <v>148.05000000000001</v>
      </c>
      <c r="M5024" s="3">
        <v>0.2</v>
      </c>
      <c r="N5024" t="s">
        <v>34</v>
      </c>
      <c r="O5024" s="2">
        <v>236.88</v>
      </c>
      <c r="P5024" s="2">
        <v>194.47</v>
      </c>
      <c r="Q5024" s="2">
        <v>42.41</v>
      </c>
      <c r="R5024">
        <v>1</v>
      </c>
      <c r="S5024">
        <v>0</v>
      </c>
      <c r="T5024">
        <v>5</v>
      </c>
      <c r="U5024">
        <v>5</v>
      </c>
    </row>
    <row r="5025" spans="1:21" ht="16.5" x14ac:dyDescent="0.3">
      <c r="A5025" t="s">
        <v>5113</v>
      </c>
      <c r="B5025" s="1">
        <v>45990</v>
      </c>
      <c r="C5025">
        <v>2025</v>
      </c>
      <c r="D5025" t="s">
        <v>1738</v>
      </c>
      <c r="E5025" t="s">
        <v>1959</v>
      </c>
      <c r="F5025" t="s">
        <v>24</v>
      </c>
      <c r="G5025" t="s">
        <v>65</v>
      </c>
      <c r="H5025" t="s">
        <v>26</v>
      </c>
      <c r="I5025" t="s">
        <v>70</v>
      </c>
      <c r="J5025" t="s">
        <v>129</v>
      </c>
      <c r="K5025">
        <v>2</v>
      </c>
      <c r="L5025" s="2">
        <v>177.65</v>
      </c>
      <c r="M5025" s="3">
        <v>0.1</v>
      </c>
      <c r="N5025" t="s">
        <v>29</v>
      </c>
      <c r="O5025" s="2">
        <v>319.77</v>
      </c>
      <c r="P5025" s="2">
        <v>289.81</v>
      </c>
      <c r="Q5025" s="2">
        <v>29.96</v>
      </c>
      <c r="R5025">
        <v>1</v>
      </c>
      <c r="S5025">
        <v>0</v>
      </c>
      <c r="T5025">
        <v>7</v>
      </c>
      <c r="U5025">
        <v>3</v>
      </c>
    </row>
    <row r="5026" spans="1:21" ht="16.5" x14ac:dyDescent="0.3">
      <c r="A5026" t="s">
        <v>5114</v>
      </c>
      <c r="B5026" s="1">
        <v>45990</v>
      </c>
      <c r="C5026">
        <v>2025</v>
      </c>
      <c r="D5026" t="s">
        <v>1738</v>
      </c>
      <c r="E5026" t="s">
        <v>1959</v>
      </c>
      <c r="F5026" t="s">
        <v>24</v>
      </c>
      <c r="G5026" t="s">
        <v>25</v>
      </c>
      <c r="H5026" t="s">
        <v>32</v>
      </c>
      <c r="I5026" t="s">
        <v>67</v>
      </c>
      <c r="J5026" t="s">
        <v>78</v>
      </c>
      <c r="K5026">
        <v>1</v>
      </c>
      <c r="L5026" s="2">
        <v>85.42</v>
      </c>
      <c r="M5026" s="3">
        <v>0.25</v>
      </c>
      <c r="N5026" t="s">
        <v>62</v>
      </c>
      <c r="O5026" s="2">
        <v>64.06</v>
      </c>
      <c r="P5026" s="2">
        <v>58.26</v>
      </c>
      <c r="Q5026" s="2">
        <v>5.8</v>
      </c>
      <c r="R5026">
        <v>1</v>
      </c>
      <c r="S5026">
        <v>0</v>
      </c>
      <c r="T5026">
        <v>6</v>
      </c>
      <c r="U5026">
        <v>3</v>
      </c>
    </row>
    <row r="5027" spans="1:21" ht="16.5" x14ac:dyDescent="0.3">
      <c r="A5027" t="s">
        <v>5115</v>
      </c>
      <c r="B5027" s="1">
        <v>45990</v>
      </c>
      <c r="C5027">
        <v>2025</v>
      </c>
      <c r="D5027" t="s">
        <v>1738</v>
      </c>
      <c r="E5027" t="s">
        <v>1959</v>
      </c>
      <c r="F5027" t="s">
        <v>31</v>
      </c>
      <c r="G5027" t="s">
        <v>25</v>
      </c>
      <c r="H5027" t="s">
        <v>26</v>
      </c>
      <c r="I5027" t="s">
        <v>27</v>
      </c>
      <c r="J5027" t="s">
        <v>60</v>
      </c>
      <c r="K5027">
        <v>1</v>
      </c>
      <c r="L5027" s="2">
        <v>94.85</v>
      </c>
      <c r="M5027" s="3">
        <v>0.25</v>
      </c>
      <c r="N5027" t="s">
        <v>62</v>
      </c>
      <c r="O5027" s="2">
        <v>71.14</v>
      </c>
      <c r="P5027" s="2">
        <v>53.32</v>
      </c>
      <c r="Q5027" s="2">
        <v>17.82</v>
      </c>
      <c r="R5027">
        <v>1</v>
      </c>
      <c r="S5027">
        <v>1</v>
      </c>
      <c r="T5027">
        <v>5</v>
      </c>
      <c r="U5027">
        <v>3</v>
      </c>
    </row>
    <row r="5028" spans="1:21" ht="16.5" x14ac:dyDescent="0.3">
      <c r="A5028" t="s">
        <v>5116</v>
      </c>
      <c r="B5028" s="1">
        <v>45990</v>
      </c>
      <c r="C5028">
        <v>2025</v>
      </c>
      <c r="D5028" t="s">
        <v>1738</v>
      </c>
      <c r="E5028" t="s">
        <v>1959</v>
      </c>
      <c r="F5028" t="s">
        <v>24</v>
      </c>
      <c r="G5028" t="s">
        <v>49</v>
      </c>
      <c r="H5028" t="s">
        <v>26</v>
      </c>
      <c r="I5028" t="s">
        <v>36</v>
      </c>
      <c r="J5028" t="s">
        <v>115</v>
      </c>
      <c r="K5028">
        <v>1</v>
      </c>
      <c r="L5028" s="2">
        <v>33.479999999999997</v>
      </c>
      <c r="M5028" s="3">
        <v>0.1</v>
      </c>
      <c r="N5028" t="s">
        <v>29</v>
      </c>
      <c r="O5028" s="2">
        <v>30.13</v>
      </c>
      <c r="P5028" s="2">
        <v>16.13</v>
      </c>
      <c r="Q5028" s="2">
        <v>14</v>
      </c>
      <c r="R5028">
        <v>1</v>
      </c>
      <c r="S5028">
        <v>0</v>
      </c>
      <c r="T5028">
        <v>6</v>
      </c>
      <c r="U5028">
        <v>4</v>
      </c>
    </row>
    <row r="5029" spans="1:21" ht="16.5" x14ac:dyDescent="0.3">
      <c r="A5029" t="s">
        <v>5117</v>
      </c>
      <c r="B5029" s="1">
        <v>45990</v>
      </c>
      <c r="C5029">
        <v>2025</v>
      </c>
      <c r="D5029" t="s">
        <v>1738</v>
      </c>
      <c r="E5029" t="s">
        <v>1959</v>
      </c>
      <c r="F5029" t="s">
        <v>31</v>
      </c>
      <c r="G5029" t="s">
        <v>25</v>
      </c>
      <c r="H5029" t="s">
        <v>26</v>
      </c>
      <c r="I5029" t="s">
        <v>67</v>
      </c>
      <c r="J5029" t="s">
        <v>93</v>
      </c>
      <c r="K5029">
        <v>1</v>
      </c>
      <c r="L5029" s="2">
        <v>198.42</v>
      </c>
      <c r="M5029" s="3">
        <v>0.1</v>
      </c>
      <c r="N5029" t="s">
        <v>29</v>
      </c>
      <c r="O5029" s="2">
        <v>178.58</v>
      </c>
      <c r="P5029" s="2">
        <v>131.5</v>
      </c>
      <c r="Q5029" s="2">
        <v>47.08</v>
      </c>
      <c r="R5029">
        <v>1</v>
      </c>
      <c r="S5029">
        <v>0</v>
      </c>
      <c r="T5029">
        <v>7</v>
      </c>
      <c r="U5029">
        <v>4</v>
      </c>
    </row>
    <row r="5030" spans="1:21" ht="16.5" x14ac:dyDescent="0.3">
      <c r="A5030" t="s">
        <v>5118</v>
      </c>
      <c r="B5030" s="1">
        <v>45990</v>
      </c>
      <c r="C5030">
        <v>2025</v>
      </c>
      <c r="D5030" t="s">
        <v>1738</v>
      </c>
      <c r="E5030" t="s">
        <v>1959</v>
      </c>
      <c r="F5030" t="s">
        <v>31</v>
      </c>
      <c r="G5030" t="s">
        <v>25</v>
      </c>
      <c r="H5030" t="s">
        <v>26</v>
      </c>
      <c r="I5030" t="s">
        <v>70</v>
      </c>
      <c r="J5030" t="s">
        <v>252</v>
      </c>
      <c r="K5030">
        <v>1</v>
      </c>
      <c r="L5030" s="2">
        <v>216.08</v>
      </c>
      <c r="M5030" s="3">
        <v>0.2</v>
      </c>
      <c r="N5030" t="s">
        <v>34</v>
      </c>
      <c r="O5030" s="2">
        <v>172.86</v>
      </c>
      <c r="P5030" s="2">
        <v>169.44</v>
      </c>
      <c r="Q5030" s="2">
        <v>3.42</v>
      </c>
      <c r="R5030">
        <v>1</v>
      </c>
      <c r="S5030">
        <v>0</v>
      </c>
      <c r="T5030">
        <v>5</v>
      </c>
      <c r="U5030">
        <v>5</v>
      </c>
    </row>
    <row r="5031" spans="1:21" ht="16.5" x14ac:dyDescent="0.3">
      <c r="A5031" t="s">
        <v>5119</v>
      </c>
      <c r="B5031" s="1">
        <v>45990</v>
      </c>
      <c r="C5031">
        <v>2025</v>
      </c>
      <c r="D5031" t="s">
        <v>1738</v>
      </c>
      <c r="E5031" t="s">
        <v>1959</v>
      </c>
      <c r="F5031" t="s">
        <v>24</v>
      </c>
      <c r="G5031" t="s">
        <v>25</v>
      </c>
      <c r="H5031" t="s">
        <v>32</v>
      </c>
      <c r="I5031" t="s">
        <v>42</v>
      </c>
      <c r="J5031" t="s">
        <v>58</v>
      </c>
      <c r="K5031">
        <v>3</v>
      </c>
      <c r="L5031" s="2">
        <v>233.81</v>
      </c>
      <c r="M5031" s="3">
        <v>0.05</v>
      </c>
      <c r="N5031" t="s">
        <v>29</v>
      </c>
      <c r="O5031" s="2">
        <v>666.36</v>
      </c>
      <c r="P5031" s="2">
        <v>447.54</v>
      </c>
      <c r="Q5031" s="2">
        <v>218.82</v>
      </c>
      <c r="R5031">
        <v>1</v>
      </c>
      <c r="S5031">
        <v>1</v>
      </c>
      <c r="T5031">
        <v>4</v>
      </c>
      <c r="U5031">
        <v>3</v>
      </c>
    </row>
    <row r="5032" spans="1:21" ht="16.5" x14ac:dyDescent="0.3">
      <c r="A5032" t="s">
        <v>5120</v>
      </c>
      <c r="B5032" s="1">
        <v>45990</v>
      </c>
      <c r="C5032">
        <v>2025</v>
      </c>
      <c r="D5032" t="s">
        <v>1738</v>
      </c>
      <c r="E5032" t="s">
        <v>1959</v>
      </c>
      <c r="F5032" t="s">
        <v>45</v>
      </c>
      <c r="G5032" t="s">
        <v>49</v>
      </c>
      <c r="H5032" t="s">
        <v>32</v>
      </c>
      <c r="I5032" t="s">
        <v>67</v>
      </c>
      <c r="J5032" t="s">
        <v>174</v>
      </c>
      <c r="K5032">
        <v>1</v>
      </c>
      <c r="L5032" s="2">
        <v>137.05000000000001</v>
      </c>
      <c r="M5032" s="3">
        <v>0.2</v>
      </c>
      <c r="N5032" t="s">
        <v>34</v>
      </c>
      <c r="O5032" s="2">
        <v>109.64</v>
      </c>
      <c r="P5032" s="2">
        <v>97.08</v>
      </c>
      <c r="Q5032" s="2">
        <v>12.56</v>
      </c>
      <c r="R5032">
        <v>1</v>
      </c>
      <c r="S5032">
        <v>0</v>
      </c>
      <c r="T5032">
        <v>5</v>
      </c>
      <c r="U5032">
        <v>3</v>
      </c>
    </row>
    <row r="5033" spans="1:21" ht="16.5" x14ac:dyDescent="0.3">
      <c r="A5033" t="s">
        <v>5121</v>
      </c>
      <c r="B5033" s="1">
        <v>45990</v>
      </c>
      <c r="C5033">
        <v>2025</v>
      </c>
      <c r="D5033" t="s">
        <v>1738</v>
      </c>
      <c r="E5033" t="s">
        <v>1959</v>
      </c>
      <c r="F5033" t="s">
        <v>24</v>
      </c>
      <c r="G5033" t="s">
        <v>25</v>
      </c>
      <c r="H5033" t="s">
        <v>32</v>
      </c>
      <c r="I5033" t="s">
        <v>67</v>
      </c>
      <c r="J5033" t="s">
        <v>103</v>
      </c>
      <c r="K5033">
        <v>2</v>
      </c>
      <c r="L5033" s="2">
        <v>83.06</v>
      </c>
      <c r="M5033" s="3">
        <v>0.3</v>
      </c>
      <c r="N5033" t="s">
        <v>62</v>
      </c>
      <c r="O5033" s="2">
        <v>116.28</v>
      </c>
      <c r="P5033" s="2">
        <v>107.54</v>
      </c>
      <c r="Q5033" s="2">
        <v>8.74</v>
      </c>
      <c r="R5033">
        <v>1</v>
      </c>
      <c r="S5033">
        <v>0</v>
      </c>
      <c r="T5033">
        <v>5</v>
      </c>
      <c r="U5033">
        <v>3</v>
      </c>
    </row>
    <row r="5034" spans="1:21" ht="16.5" x14ac:dyDescent="0.3">
      <c r="A5034" t="s">
        <v>5122</v>
      </c>
      <c r="B5034" s="1">
        <v>45990</v>
      </c>
      <c r="C5034">
        <v>2025</v>
      </c>
      <c r="D5034" t="s">
        <v>1738</v>
      </c>
      <c r="E5034" t="s">
        <v>1959</v>
      </c>
      <c r="F5034" t="s">
        <v>31</v>
      </c>
      <c r="G5034" t="s">
        <v>46</v>
      </c>
      <c r="H5034" t="s">
        <v>32</v>
      </c>
      <c r="I5034" t="s">
        <v>36</v>
      </c>
      <c r="J5034" t="s">
        <v>37</v>
      </c>
      <c r="K5034">
        <v>2</v>
      </c>
      <c r="L5034" s="2">
        <v>33.18</v>
      </c>
      <c r="M5034" s="3">
        <v>0.2</v>
      </c>
      <c r="N5034" t="s">
        <v>34</v>
      </c>
      <c r="O5034" s="2">
        <v>53.09</v>
      </c>
      <c r="P5034" s="2">
        <v>32.659999999999997</v>
      </c>
      <c r="Q5034" s="2">
        <v>20.43</v>
      </c>
      <c r="R5034">
        <v>1</v>
      </c>
      <c r="S5034">
        <v>0</v>
      </c>
      <c r="T5034">
        <v>6</v>
      </c>
      <c r="U5034">
        <v>4</v>
      </c>
    </row>
    <row r="5035" spans="1:21" ht="16.5" x14ac:dyDescent="0.3">
      <c r="A5035" t="s">
        <v>5123</v>
      </c>
      <c r="B5035" s="1">
        <v>45990</v>
      </c>
      <c r="C5035">
        <v>2025</v>
      </c>
      <c r="D5035" t="s">
        <v>1738</v>
      </c>
      <c r="E5035" t="s">
        <v>1959</v>
      </c>
      <c r="F5035" t="s">
        <v>45</v>
      </c>
      <c r="G5035" t="s">
        <v>25</v>
      </c>
      <c r="H5035" t="s">
        <v>26</v>
      </c>
      <c r="I5035" t="s">
        <v>36</v>
      </c>
      <c r="J5035" t="s">
        <v>37</v>
      </c>
      <c r="K5035">
        <v>1</v>
      </c>
      <c r="L5035" s="2">
        <v>33.18</v>
      </c>
      <c r="M5035" s="3">
        <v>0.1</v>
      </c>
      <c r="N5035" t="s">
        <v>29</v>
      </c>
      <c r="O5035" s="2">
        <v>29.86</v>
      </c>
      <c r="P5035" s="2">
        <v>16.61</v>
      </c>
      <c r="Q5035" s="2">
        <v>13.25</v>
      </c>
      <c r="R5035">
        <v>1</v>
      </c>
      <c r="S5035">
        <v>0</v>
      </c>
      <c r="T5035">
        <v>5</v>
      </c>
      <c r="U5035">
        <v>5</v>
      </c>
    </row>
    <row r="5036" spans="1:21" ht="16.5" x14ac:dyDescent="0.3">
      <c r="A5036" t="s">
        <v>5124</v>
      </c>
      <c r="B5036" s="1">
        <v>45990</v>
      </c>
      <c r="C5036">
        <v>2025</v>
      </c>
      <c r="D5036" t="s">
        <v>1738</v>
      </c>
      <c r="E5036" t="s">
        <v>1959</v>
      </c>
      <c r="F5036" t="s">
        <v>31</v>
      </c>
      <c r="G5036" t="s">
        <v>25</v>
      </c>
      <c r="H5036" t="s">
        <v>32</v>
      </c>
      <c r="I5036" t="s">
        <v>70</v>
      </c>
      <c r="J5036" t="s">
        <v>129</v>
      </c>
      <c r="K5036">
        <v>1</v>
      </c>
      <c r="L5036" s="2">
        <v>177.65</v>
      </c>
      <c r="M5036" s="3">
        <v>0.05</v>
      </c>
      <c r="N5036" t="s">
        <v>29</v>
      </c>
      <c r="O5036" s="2">
        <v>168.77</v>
      </c>
      <c r="P5036" s="2">
        <v>146.38</v>
      </c>
      <c r="Q5036" s="2">
        <v>22.39</v>
      </c>
      <c r="R5036">
        <v>1</v>
      </c>
      <c r="S5036">
        <v>0</v>
      </c>
      <c r="T5036">
        <v>5</v>
      </c>
      <c r="U5036">
        <v>5</v>
      </c>
    </row>
    <row r="5037" spans="1:21" ht="16.5" x14ac:dyDescent="0.3">
      <c r="A5037" t="s">
        <v>5125</v>
      </c>
      <c r="B5037" s="1">
        <v>45990</v>
      </c>
      <c r="C5037">
        <v>2025</v>
      </c>
      <c r="D5037" t="s">
        <v>1738</v>
      </c>
      <c r="E5037" t="s">
        <v>1959</v>
      </c>
      <c r="F5037" t="s">
        <v>31</v>
      </c>
      <c r="G5037" t="s">
        <v>49</v>
      </c>
      <c r="H5037" t="s">
        <v>26</v>
      </c>
      <c r="I5037" t="s">
        <v>36</v>
      </c>
      <c r="J5037" t="s">
        <v>126</v>
      </c>
      <c r="K5037">
        <v>1</v>
      </c>
      <c r="L5037" s="2">
        <v>54.56</v>
      </c>
      <c r="M5037" s="3">
        <v>0.2</v>
      </c>
      <c r="N5037" t="s">
        <v>34</v>
      </c>
      <c r="O5037" s="2">
        <v>43.65</v>
      </c>
      <c r="P5037" s="2">
        <v>26.98</v>
      </c>
      <c r="Q5037" s="2">
        <v>16.670000000000002</v>
      </c>
      <c r="R5037">
        <v>1</v>
      </c>
      <c r="S5037">
        <v>0</v>
      </c>
      <c r="T5037">
        <v>5</v>
      </c>
      <c r="U5037">
        <v>5</v>
      </c>
    </row>
    <row r="5038" spans="1:21" ht="16.5" x14ac:dyDescent="0.3">
      <c r="A5038" t="s">
        <v>5126</v>
      </c>
      <c r="B5038" s="1">
        <v>45990</v>
      </c>
      <c r="C5038">
        <v>2025</v>
      </c>
      <c r="D5038" t="s">
        <v>1738</v>
      </c>
      <c r="E5038" t="s">
        <v>1959</v>
      </c>
      <c r="F5038" t="s">
        <v>24</v>
      </c>
      <c r="G5038" t="s">
        <v>51</v>
      </c>
      <c r="H5038" t="s">
        <v>32</v>
      </c>
      <c r="I5038" t="s">
        <v>70</v>
      </c>
      <c r="J5038" t="s">
        <v>71</v>
      </c>
      <c r="K5038">
        <v>2</v>
      </c>
      <c r="L5038" s="2">
        <v>588.41</v>
      </c>
      <c r="M5038" s="3">
        <v>0.25</v>
      </c>
      <c r="N5038" t="s">
        <v>62</v>
      </c>
      <c r="O5038" s="2">
        <v>882.62</v>
      </c>
      <c r="P5038" s="2">
        <v>927</v>
      </c>
      <c r="Q5038" s="2">
        <v>-44.38</v>
      </c>
      <c r="R5038">
        <v>1</v>
      </c>
      <c r="S5038">
        <v>0</v>
      </c>
      <c r="T5038">
        <v>4</v>
      </c>
      <c r="U5038">
        <v>5</v>
      </c>
    </row>
    <row r="5039" spans="1:21" ht="16.5" x14ac:dyDescent="0.3">
      <c r="A5039" t="s">
        <v>5127</v>
      </c>
      <c r="B5039" s="1">
        <v>45990</v>
      </c>
      <c r="C5039">
        <v>2025</v>
      </c>
      <c r="D5039" t="s">
        <v>1738</v>
      </c>
      <c r="E5039" t="s">
        <v>1959</v>
      </c>
      <c r="F5039" t="s">
        <v>45</v>
      </c>
      <c r="G5039" t="s">
        <v>65</v>
      </c>
      <c r="H5039" t="s">
        <v>32</v>
      </c>
      <c r="I5039" t="s">
        <v>84</v>
      </c>
      <c r="J5039" t="s">
        <v>223</v>
      </c>
      <c r="K5039">
        <v>1</v>
      </c>
      <c r="L5039" s="2">
        <v>16.97</v>
      </c>
      <c r="M5039" s="3">
        <v>0.2</v>
      </c>
      <c r="N5039" t="s">
        <v>34</v>
      </c>
      <c r="O5039" s="2">
        <v>13.58</v>
      </c>
      <c r="P5039" s="2">
        <v>12</v>
      </c>
      <c r="Q5039" s="2">
        <v>1.58</v>
      </c>
      <c r="R5039">
        <v>1</v>
      </c>
      <c r="S5039">
        <v>0</v>
      </c>
      <c r="T5039">
        <v>8</v>
      </c>
      <c r="U5039">
        <v>4</v>
      </c>
    </row>
    <row r="5040" spans="1:21" ht="16.5" x14ac:dyDescent="0.3">
      <c r="A5040" t="s">
        <v>5128</v>
      </c>
      <c r="B5040" s="1">
        <v>45990</v>
      </c>
      <c r="C5040">
        <v>2025</v>
      </c>
      <c r="D5040" t="s">
        <v>1738</v>
      </c>
      <c r="E5040" t="s">
        <v>1959</v>
      </c>
      <c r="F5040" t="s">
        <v>24</v>
      </c>
      <c r="G5040" t="s">
        <v>25</v>
      </c>
      <c r="H5040" t="s">
        <v>26</v>
      </c>
      <c r="I5040" t="s">
        <v>42</v>
      </c>
      <c r="J5040" t="s">
        <v>43</v>
      </c>
      <c r="K5040">
        <v>1</v>
      </c>
      <c r="L5040" s="2">
        <v>154.66</v>
      </c>
      <c r="M5040" s="3">
        <v>0.1</v>
      </c>
      <c r="N5040" t="s">
        <v>29</v>
      </c>
      <c r="O5040" s="2">
        <v>139.19</v>
      </c>
      <c r="P5040" s="2">
        <v>102.64</v>
      </c>
      <c r="Q5040" s="2">
        <v>36.549999999999997</v>
      </c>
      <c r="R5040">
        <v>1</v>
      </c>
      <c r="S5040">
        <v>0</v>
      </c>
      <c r="T5040">
        <v>6</v>
      </c>
      <c r="U5040">
        <v>4</v>
      </c>
    </row>
    <row r="5041" spans="1:21" ht="16.5" x14ac:dyDescent="0.3">
      <c r="A5041" t="s">
        <v>5129</v>
      </c>
      <c r="B5041" s="1">
        <v>45990</v>
      </c>
      <c r="C5041">
        <v>2025</v>
      </c>
      <c r="D5041" t="s">
        <v>1738</v>
      </c>
      <c r="E5041" t="s">
        <v>1959</v>
      </c>
      <c r="F5041" t="s">
        <v>31</v>
      </c>
      <c r="G5041" t="s">
        <v>25</v>
      </c>
      <c r="H5041" t="s">
        <v>26</v>
      </c>
      <c r="I5041" t="s">
        <v>36</v>
      </c>
      <c r="J5041" t="s">
        <v>37</v>
      </c>
      <c r="K5041">
        <v>2</v>
      </c>
      <c r="L5041" s="2">
        <v>33.18</v>
      </c>
      <c r="M5041" s="3">
        <v>0.25</v>
      </c>
      <c r="N5041" t="s">
        <v>62</v>
      </c>
      <c r="O5041" s="2">
        <v>49.77</v>
      </c>
      <c r="P5041" s="2">
        <v>31.26</v>
      </c>
      <c r="Q5041" s="2">
        <v>18.510000000000002</v>
      </c>
      <c r="R5041">
        <v>1</v>
      </c>
      <c r="S5041">
        <v>0</v>
      </c>
      <c r="T5041">
        <v>4</v>
      </c>
      <c r="U5041">
        <v>5</v>
      </c>
    </row>
    <row r="5042" spans="1:21" ht="16.5" x14ac:dyDescent="0.3">
      <c r="A5042" t="s">
        <v>5130</v>
      </c>
      <c r="B5042" s="1">
        <v>45990</v>
      </c>
      <c r="C5042">
        <v>2025</v>
      </c>
      <c r="D5042" t="s">
        <v>1738</v>
      </c>
      <c r="E5042" t="s">
        <v>1959</v>
      </c>
      <c r="F5042" t="s">
        <v>31</v>
      </c>
      <c r="G5042" t="s">
        <v>49</v>
      </c>
      <c r="H5042" t="s">
        <v>26</v>
      </c>
      <c r="I5042" t="s">
        <v>42</v>
      </c>
      <c r="J5042" t="s">
        <v>98</v>
      </c>
      <c r="K5042">
        <v>1</v>
      </c>
      <c r="L5042" s="2">
        <v>117.63</v>
      </c>
      <c r="M5042" s="3">
        <v>0.15</v>
      </c>
      <c r="N5042" t="s">
        <v>34</v>
      </c>
      <c r="O5042" s="2">
        <v>99.99</v>
      </c>
      <c r="P5042" s="2">
        <v>78.5</v>
      </c>
      <c r="Q5042" s="2">
        <v>21.49</v>
      </c>
      <c r="R5042">
        <v>1</v>
      </c>
      <c r="S5042">
        <v>0</v>
      </c>
      <c r="T5042">
        <v>4</v>
      </c>
      <c r="U5042">
        <v>5</v>
      </c>
    </row>
    <row r="5043" spans="1:21" ht="16.5" x14ac:dyDescent="0.3">
      <c r="A5043" t="s">
        <v>5131</v>
      </c>
      <c r="B5043" s="1">
        <v>45991</v>
      </c>
      <c r="C5043">
        <v>2025</v>
      </c>
      <c r="D5043" t="s">
        <v>1738</v>
      </c>
      <c r="E5043" t="s">
        <v>1959</v>
      </c>
      <c r="F5043" t="s">
        <v>45</v>
      </c>
      <c r="G5043" t="s">
        <v>65</v>
      </c>
      <c r="H5043" t="s">
        <v>26</v>
      </c>
      <c r="I5043" t="s">
        <v>84</v>
      </c>
      <c r="J5043" t="s">
        <v>106</v>
      </c>
      <c r="K5043">
        <v>1</v>
      </c>
      <c r="L5043" s="2">
        <v>45.28</v>
      </c>
      <c r="M5043" s="3">
        <v>0.2</v>
      </c>
      <c r="N5043" t="s">
        <v>34</v>
      </c>
      <c r="O5043" s="2">
        <v>36.22</v>
      </c>
      <c r="P5043" s="2">
        <v>31.06</v>
      </c>
      <c r="Q5043" s="2">
        <v>5.16</v>
      </c>
      <c r="R5043">
        <v>1</v>
      </c>
      <c r="S5043">
        <v>0</v>
      </c>
      <c r="T5043">
        <v>6</v>
      </c>
      <c r="U5043">
        <v>4</v>
      </c>
    </row>
    <row r="5044" spans="1:21" ht="16.5" x14ac:dyDescent="0.3">
      <c r="A5044" t="s">
        <v>5132</v>
      </c>
      <c r="B5044" s="1">
        <v>45991</v>
      </c>
      <c r="C5044">
        <v>2025</v>
      </c>
      <c r="D5044" t="s">
        <v>1738</v>
      </c>
      <c r="E5044" t="s">
        <v>1959</v>
      </c>
      <c r="F5044" t="s">
        <v>24</v>
      </c>
      <c r="G5044" t="s">
        <v>25</v>
      </c>
      <c r="H5044" t="s">
        <v>26</v>
      </c>
      <c r="I5044" t="s">
        <v>27</v>
      </c>
      <c r="J5044" t="s">
        <v>60</v>
      </c>
      <c r="K5044">
        <v>1</v>
      </c>
      <c r="L5044" s="2">
        <v>94.85</v>
      </c>
      <c r="M5044" s="3">
        <v>0.15</v>
      </c>
      <c r="N5044" t="s">
        <v>34</v>
      </c>
      <c r="O5044" s="2">
        <v>80.62</v>
      </c>
      <c r="P5044" s="2">
        <v>48.92</v>
      </c>
      <c r="Q5044" s="2">
        <v>31.7</v>
      </c>
      <c r="R5044">
        <v>1</v>
      </c>
      <c r="S5044">
        <v>0</v>
      </c>
      <c r="T5044">
        <v>4</v>
      </c>
      <c r="U5044">
        <v>4</v>
      </c>
    </row>
    <row r="5045" spans="1:21" ht="16.5" x14ac:dyDescent="0.3">
      <c r="A5045" t="s">
        <v>5133</v>
      </c>
      <c r="B5045" s="1">
        <v>45991</v>
      </c>
      <c r="C5045">
        <v>2025</v>
      </c>
      <c r="D5045" t="s">
        <v>1738</v>
      </c>
      <c r="E5045" t="s">
        <v>1959</v>
      </c>
      <c r="F5045" t="s">
        <v>31</v>
      </c>
      <c r="G5045" t="s">
        <v>51</v>
      </c>
      <c r="H5045" t="s">
        <v>26</v>
      </c>
      <c r="I5045" t="s">
        <v>27</v>
      </c>
      <c r="J5045" t="s">
        <v>40</v>
      </c>
      <c r="K5045">
        <v>1</v>
      </c>
      <c r="L5045" s="2">
        <v>104.94</v>
      </c>
      <c r="M5045" s="3">
        <v>0.25</v>
      </c>
      <c r="N5045" t="s">
        <v>62</v>
      </c>
      <c r="O5045" s="2">
        <v>78.7</v>
      </c>
      <c r="P5045" s="2">
        <v>54.42</v>
      </c>
      <c r="Q5045" s="2">
        <v>24.28</v>
      </c>
      <c r="R5045">
        <v>1</v>
      </c>
      <c r="S5045">
        <v>0</v>
      </c>
      <c r="T5045">
        <v>6</v>
      </c>
      <c r="U5045">
        <v>4</v>
      </c>
    </row>
    <row r="5046" spans="1:21" ht="16.5" x14ac:dyDescent="0.3">
      <c r="A5046" t="s">
        <v>5134</v>
      </c>
      <c r="B5046" s="1">
        <v>45991</v>
      </c>
      <c r="C5046">
        <v>2025</v>
      </c>
      <c r="D5046" t="s">
        <v>1738</v>
      </c>
      <c r="E5046" t="s">
        <v>1959</v>
      </c>
      <c r="F5046" t="s">
        <v>31</v>
      </c>
      <c r="G5046" t="s">
        <v>51</v>
      </c>
      <c r="H5046" t="s">
        <v>32</v>
      </c>
      <c r="I5046" t="s">
        <v>42</v>
      </c>
      <c r="J5046" t="s">
        <v>98</v>
      </c>
      <c r="K5046">
        <v>2</v>
      </c>
      <c r="L5046" s="2">
        <v>117.63</v>
      </c>
      <c r="M5046" s="3">
        <v>0.3</v>
      </c>
      <c r="N5046" t="s">
        <v>62</v>
      </c>
      <c r="O5046" s="2">
        <v>164.68</v>
      </c>
      <c r="P5046" s="2">
        <v>161.25</v>
      </c>
      <c r="Q5046" s="2">
        <v>3.43</v>
      </c>
      <c r="R5046">
        <v>1</v>
      </c>
      <c r="S5046">
        <v>0</v>
      </c>
      <c r="T5046">
        <v>4</v>
      </c>
      <c r="U5046">
        <v>5</v>
      </c>
    </row>
    <row r="5047" spans="1:21" ht="16.5" x14ac:dyDescent="0.3">
      <c r="A5047" t="s">
        <v>5135</v>
      </c>
      <c r="B5047" s="1">
        <v>45991</v>
      </c>
      <c r="C5047">
        <v>2025</v>
      </c>
      <c r="D5047" t="s">
        <v>1738</v>
      </c>
      <c r="E5047" t="s">
        <v>1959</v>
      </c>
      <c r="F5047" t="s">
        <v>31</v>
      </c>
      <c r="G5047" t="s">
        <v>51</v>
      </c>
      <c r="H5047" t="s">
        <v>26</v>
      </c>
      <c r="I5047" t="s">
        <v>42</v>
      </c>
      <c r="J5047" t="s">
        <v>43</v>
      </c>
      <c r="K5047">
        <v>1</v>
      </c>
      <c r="L5047" s="2">
        <v>154.66</v>
      </c>
      <c r="M5047" s="3">
        <v>0.3</v>
      </c>
      <c r="N5047" t="s">
        <v>62</v>
      </c>
      <c r="O5047" s="2">
        <v>108.26</v>
      </c>
      <c r="P5047" s="2">
        <v>105.45</v>
      </c>
      <c r="Q5047" s="2">
        <v>2.81</v>
      </c>
      <c r="R5047">
        <v>1</v>
      </c>
      <c r="S5047">
        <v>0</v>
      </c>
      <c r="T5047">
        <v>5</v>
      </c>
      <c r="U5047">
        <v>3</v>
      </c>
    </row>
    <row r="5048" spans="1:21" ht="16.5" x14ac:dyDescent="0.3">
      <c r="A5048" t="s">
        <v>5136</v>
      </c>
      <c r="B5048" s="1">
        <v>45991</v>
      </c>
      <c r="C5048">
        <v>2025</v>
      </c>
      <c r="D5048" t="s">
        <v>1738</v>
      </c>
      <c r="E5048" t="s">
        <v>1959</v>
      </c>
      <c r="F5048" t="s">
        <v>24</v>
      </c>
      <c r="G5048" t="s">
        <v>65</v>
      </c>
      <c r="H5048" t="s">
        <v>32</v>
      </c>
      <c r="I5048" t="s">
        <v>84</v>
      </c>
      <c r="J5048" t="s">
        <v>132</v>
      </c>
      <c r="K5048">
        <v>1</v>
      </c>
      <c r="L5048" s="2">
        <v>48.86</v>
      </c>
      <c r="M5048" s="3">
        <v>0.25</v>
      </c>
      <c r="N5048" t="s">
        <v>62</v>
      </c>
      <c r="O5048" s="2">
        <v>36.64</v>
      </c>
      <c r="P5048" s="2">
        <v>35.69</v>
      </c>
      <c r="Q5048" s="2">
        <v>0.95</v>
      </c>
      <c r="R5048">
        <v>1</v>
      </c>
      <c r="S5048">
        <v>0</v>
      </c>
      <c r="T5048">
        <v>8</v>
      </c>
      <c r="U5048">
        <v>3</v>
      </c>
    </row>
    <row r="5049" spans="1:21" ht="16.5" x14ac:dyDescent="0.3">
      <c r="A5049" t="s">
        <v>5137</v>
      </c>
      <c r="B5049" s="1">
        <v>45991</v>
      </c>
      <c r="C5049">
        <v>2025</v>
      </c>
      <c r="D5049" t="s">
        <v>1738</v>
      </c>
      <c r="E5049" t="s">
        <v>1959</v>
      </c>
      <c r="F5049" t="s">
        <v>45</v>
      </c>
      <c r="G5049" t="s">
        <v>51</v>
      </c>
      <c r="H5049" t="s">
        <v>32</v>
      </c>
      <c r="I5049" t="s">
        <v>27</v>
      </c>
      <c r="J5049" t="s">
        <v>47</v>
      </c>
      <c r="K5049">
        <v>2</v>
      </c>
      <c r="L5049" s="2">
        <v>33.99</v>
      </c>
      <c r="M5049" s="3">
        <v>0.2</v>
      </c>
      <c r="N5049" t="s">
        <v>34</v>
      </c>
      <c r="O5049" s="2">
        <v>54.38</v>
      </c>
      <c r="P5049" s="2">
        <v>36.880000000000003</v>
      </c>
      <c r="Q5049" s="2">
        <v>17.5</v>
      </c>
      <c r="R5049">
        <v>1</v>
      </c>
      <c r="S5049">
        <v>0</v>
      </c>
      <c r="T5049">
        <v>5</v>
      </c>
      <c r="U5049">
        <v>5</v>
      </c>
    </row>
    <row r="5050" spans="1:21" ht="16.5" x14ac:dyDescent="0.3">
      <c r="A5050" t="s">
        <v>5138</v>
      </c>
      <c r="B5050" s="1">
        <v>45991</v>
      </c>
      <c r="C5050">
        <v>2025</v>
      </c>
      <c r="D5050" t="s">
        <v>1738</v>
      </c>
      <c r="E5050" t="s">
        <v>1959</v>
      </c>
      <c r="F5050" t="s">
        <v>45</v>
      </c>
      <c r="G5050" t="s">
        <v>51</v>
      </c>
      <c r="H5050" t="s">
        <v>32</v>
      </c>
      <c r="I5050" t="s">
        <v>67</v>
      </c>
      <c r="J5050" t="s">
        <v>103</v>
      </c>
      <c r="K5050">
        <v>2</v>
      </c>
      <c r="L5050" s="2">
        <v>83.06</v>
      </c>
      <c r="M5050" s="3">
        <v>0.2</v>
      </c>
      <c r="N5050" t="s">
        <v>34</v>
      </c>
      <c r="O5050" s="2">
        <v>132.9</v>
      </c>
      <c r="P5050" s="2">
        <v>115.15</v>
      </c>
      <c r="Q5050" s="2">
        <v>17.75</v>
      </c>
      <c r="R5050">
        <v>1</v>
      </c>
      <c r="S5050">
        <v>0</v>
      </c>
      <c r="T5050">
        <v>4</v>
      </c>
      <c r="U5050">
        <v>4</v>
      </c>
    </row>
    <row r="5051" spans="1:21" ht="16.5" x14ac:dyDescent="0.3">
      <c r="A5051" t="s">
        <v>5139</v>
      </c>
      <c r="B5051" s="1">
        <v>45992</v>
      </c>
      <c r="C5051">
        <v>2025</v>
      </c>
      <c r="D5051" t="s">
        <v>1738</v>
      </c>
      <c r="E5051" t="s">
        <v>2310</v>
      </c>
      <c r="F5051" t="s">
        <v>31</v>
      </c>
      <c r="G5051" t="s">
        <v>51</v>
      </c>
      <c r="H5051" t="s">
        <v>26</v>
      </c>
      <c r="I5051" t="s">
        <v>36</v>
      </c>
      <c r="J5051" t="s">
        <v>115</v>
      </c>
      <c r="K5051">
        <v>1</v>
      </c>
      <c r="L5051" s="2">
        <v>33.479999999999997</v>
      </c>
      <c r="M5051" s="3">
        <v>0.15</v>
      </c>
      <c r="N5051" t="s">
        <v>34</v>
      </c>
      <c r="O5051" s="2">
        <v>28.46</v>
      </c>
      <c r="P5051" s="2">
        <v>15.46</v>
      </c>
      <c r="Q5051" s="2">
        <v>13</v>
      </c>
      <c r="R5051">
        <v>1</v>
      </c>
      <c r="S5051">
        <v>0</v>
      </c>
      <c r="T5051">
        <v>4</v>
      </c>
      <c r="U5051">
        <v>5</v>
      </c>
    </row>
    <row r="5052" spans="1:21" ht="16.5" x14ac:dyDescent="0.3">
      <c r="A5052" t="s">
        <v>5140</v>
      </c>
      <c r="B5052" s="1">
        <v>45992</v>
      </c>
      <c r="C5052">
        <v>2025</v>
      </c>
      <c r="D5052" t="s">
        <v>1738</v>
      </c>
      <c r="E5052" t="s">
        <v>2310</v>
      </c>
      <c r="F5052" t="s">
        <v>24</v>
      </c>
      <c r="G5052" t="s">
        <v>25</v>
      </c>
      <c r="H5052" t="s">
        <v>32</v>
      </c>
      <c r="I5052" t="s">
        <v>36</v>
      </c>
      <c r="J5052" t="s">
        <v>56</v>
      </c>
      <c r="K5052">
        <v>2</v>
      </c>
      <c r="L5052" s="2">
        <v>74.3</v>
      </c>
      <c r="M5052" s="3">
        <v>0.25</v>
      </c>
      <c r="N5052" t="s">
        <v>62</v>
      </c>
      <c r="O5052" s="2">
        <v>111.45</v>
      </c>
      <c r="P5052" s="2">
        <v>71.2</v>
      </c>
      <c r="Q5052" s="2">
        <v>40.25</v>
      </c>
      <c r="R5052">
        <v>1</v>
      </c>
      <c r="S5052">
        <v>0</v>
      </c>
      <c r="T5052">
        <v>5</v>
      </c>
      <c r="U5052">
        <v>4</v>
      </c>
    </row>
    <row r="5053" spans="1:21" ht="16.5" x14ac:dyDescent="0.3">
      <c r="A5053" t="s">
        <v>5141</v>
      </c>
      <c r="B5053" s="1">
        <v>45992</v>
      </c>
      <c r="C5053">
        <v>2025</v>
      </c>
      <c r="D5053" t="s">
        <v>1738</v>
      </c>
      <c r="E5053" t="s">
        <v>2310</v>
      </c>
      <c r="F5053" t="s">
        <v>24</v>
      </c>
      <c r="G5053" t="s">
        <v>51</v>
      </c>
      <c r="H5053" t="s">
        <v>26</v>
      </c>
      <c r="I5053" t="s">
        <v>70</v>
      </c>
      <c r="J5053" t="s">
        <v>252</v>
      </c>
      <c r="K5053">
        <v>1</v>
      </c>
      <c r="L5053" s="2">
        <v>216.08</v>
      </c>
      <c r="M5053" s="3">
        <v>0.3</v>
      </c>
      <c r="N5053" t="s">
        <v>62</v>
      </c>
      <c r="O5053" s="2">
        <v>151.26</v>
      </c>
      <c r="P5053" s="2">
        <v>168.88</v>
      </c>
      <c r="Q5053" s="2">
        <v>-17.62</v>
      </c>
      <c r="R5053">
        <v>1</v>
      </c>
      <c r="S5053">
        <v>0</v>
      </c>
      <c r="T5053">
        <v>3</v>
      </c>
      <c r="U5053">
        <v>4</v>
      </c>
    </row>
    <row r="5054" spans="1:21" ht="16.5" x14ac:dyDescent="0.3">
      <c r="A5054" t="s">
        <v>5142</v>
      </c>
      <c r="B5054" s="1">
        <v>45992</v>
      </c>
      <c r="C5054">
        <v>2025</v>
      </c>
      <c r="D5054" t="s">
        <v>1738</v>
      </c>
      <c r="E5054" t="s">
        <v>2310</v>
      </c>
      <c r="F5054" t="s">
        <v>31</v>
      </c>
      <c r="G5054" t="s">
        <v>51</v>
      </c>
      <c r="H5054" t="s">
        <v>32</v>
      </c>
      <c r="I5054" t="s">
        <v>70</v>
      </c>
      <c r="J5054" t="s">
        <v>129</v>
      </c>
      <c r="K5054">
        <v>1</v>
      </c>
      <c r="L5054" s="2">
        <v>177.65</v>
      </c>
      <c r="M5054" s="3">
        <v>0</v>
      </c>
      <c r="N5054" t="s">
        <v>38</v>
      </c>
      <c r="O5054" s="2">
        <v>177.65</v>
      </c>
      <c r="P5054" s="2">
        <v>143.03</v>
      </c>
      <c r="Q5054" s="2">
        <v>34.619999999999997</v>
      </c>
      <c r="R5054">
        <v>1</v>
      </c>
      <c r="S5054">
        <v>0</v>
      </c>
      <c r="T5054">
        <v>4</v>
      </c>
      <c r="U5054">
        <v>4</v>
      </c>
    </row>
    <row r="5055" spans="1:21" ht="16.5" x14ac:dyDescent="0.3">
      <c r="A5055" t="s">
        <v>5143</v>
      </c>
      <c r="B5055" s="1">
        <v>45992</v>
      </c>
      <c r="C5055">
        <v>2025</v>
      </c>
      <c r="D5055" t="s">
        <v>1738</v>
      </c>
      <c r="E5055" t="s">
        <v>2310</v>
      </c>
      <c r="F5055" t="s">
        <v>31</v>
      </c>
      <c r="G5055" t="s">
        <v>25</v>
      </c>
      <c r="H5055" t="s">
        <v>26</v>
      </c>
      <c r="I5055" t="s">
        <v>36</v>
      </c>
      <c r="J5055" t="s">
        <v>115</v>
      </c>
      <c r="K5055">
        <v>1</v>
      </c>
      <c r="L5055" s="2">
        <v>33.479999999999997</v>
      </c>
      <c r="M5055" s="3">
        <v>0.05</v>
      </c>
      <c r="N5055" t="s">
        <v>29</v>
      </c>
      <c r="O5055" s="2">
        <v>31.81</v>
      </c>
      <c r="P5055" s="2">
        <v>15.79</v>
      </c>
      <c r="Q5055" s="2">
        <v>16.02</v>
      </c>
      <c r="R5055">
        <v>1</v>
      </c>
      <c r="S5055">
        <v>0</v>
      </c>
      <c r="T5055">
        <v>5</v>
      </c>
      <c r="U5055">
        <v>4</v>
      </c>
    </row>
    <row r="5056" spans="1:21" ht="16.5" x14ac:dyDescent="0.3">
      <c r="A5056" t="s">
        <v>5144</v>
      </c>
      <c r="B5056" s="1">
        <v>45992</v>
      </c>
      <c r="C5056">
        <v>2025</v>
      </c>
      <c r="D5056" t="s">
        <v>1738</v>
      </c>
      <c r="E5056" t="s">
        <v>2310</v>
      </c>
      <c r="F5056" t="s">
        <v>45</v>
      </c>
      <c r="G5056" t="s">
        <v>46</v>
      </c>
      <c r="H5056" t="s">
        <v>26</v>
      </c>
      <c r="I5056" t="s">
        <v>70</v>
      </c>
      <c r="J5056" t="s">
        <v>82</v>
      </c>
      <c r="K5056">
        <v>2</v>
      </c>
      <c r="L5056" s="2">
        <v>508.8</v>
      </c>
      <c r="M5056" s="3">
        <v>0.05</v>
      </c>
      <c r="N5056" t="s">
        <v>29</v>
      </c>
      <c r="O5056" s="2">
        <v>966.72</v>
      </c>
      <c r="P5056" s="2">
        <v>810.26</v>
      </c>
      <c r="Q5056" s="2">
        <v>156.46</v>
      </c>
      <c r="R5056">
        <v>1</v>
      </c>
      <c r="S5056">
        <v>0</v>
      </c>
      <c r="T5056">
        <v>7</v>
      </c>
      <c r="U5056">
        <v>3</v>
      </c>
    </row>
    <row r="5057" spans="1:21" ht="16.5" x14ac:dyDescent="0.3">
      <c r="A5057" t="s">
        <v>5145</v>
      </c>
      <c r="B5057" s="1">
        <v>45992</v>
      </c>
      <c r="C5057">
        <v>2025</v>
      </c>
      <c r="D5057" t="s">
        <v>1738</v>
      </c>
      <c r="E5057" t="s">
        <v>2310</v>
      </c>
      <c r="F5057" t="s">
        <v>24</v>
      </c>
      <c r="G5057" t="s">
        <v>25</v>
      </c>
      <c r="H5057" t="s">
        <v>26</v>
      </c>
      <c r="I5057" t="s">
        <v>70</v>
      </c>
      <c r="J5057" t="s">
        <v>162</v>
      </c>
      <c r="K5057">
        <v>3</v>
      </c>
      <c r="L5057" s="2">
        <v>636.09</v>
      </c>
      <c r="M5057" s="3">
        <v>0.15</v>
      </c>
      <c r="N5057" t="s">
        <v>34</v>
      </c>
      <c r="O5057" s="2">
        <v>1622.03</v>
      </c>
      <c r="P5057" s="2">
        <v>1502.53</v>
      </c>
      <c r="Q5057" s="2">
        <v>119.5</v>
      </c>
      <c r="R5057">
        <v>1</v>
      </c>
      <c r="S5057">
        <v>0</v>
      </c>
      <c r="T5057">
        <v>4</v>
      </c>
      <c r="U5057">
        <v>5</v>
      </c>
    </row>
    <row r="5058" spans="1:21" ht="16.5" x14ac:dyDescent="0.3">
      <c r="A5058" t="s">
        <v>5146</v>
      </c>
      <c r="B5058" s="1">
        <v>45992</v>
      </c>
      <c r="C5058">
        <v>2025</v>
      </c>
      <c r="D5058" t="s">
        <v>1738</v>
      </c>
      <c r="E5058" t="s">
        <v>2310</v>
      </c>
      <c r="F5058" t="s">
        <v>45</v>
      </c>
      <c r="G5058" t="s">
        <v>51</v>
      </c>
      <c r="H5058" t="s">
        <v>32</v>
      </c>
      <c r="I5058" t="s">
        <v>36</v>
      </c>
      <c r="J5058" t="s">
        <v>126</v>
      </c>
      <c r="K5058">
        <v>1</v>
      </c>
      <c r="L5058" s="2">
        <v>54.56</v>
      </c>
      <c r="M5058" s="3">
        <v>0.25</v>
      </c>
      <c r="N5058" t="s">
        <v>62</v>
      </c>
      <c r="O5058" s="2">
        <v>40.92</v>
      </c>
      <c r="P5058" s="2">
        <v>26.37</v>
      </c>
      <c r="Q5058" s="2">
        <v>14.55</v>
      </c>
      <c r="R5058">
        <v>1</v>
      </c>
      <c r="S5058">
        <v>0</v>
      </c>
      <c r="T5058">
        <v>3</v>
      </c>
      <c r="U5058">
        <v>5</v>
      </c>
    </row>
    <row r="5059" spans="1:21" ht="16.5" x14ac:dyDescent="0.3">
      <c r="A5059" t="s">
        <v>5147</v>
      </c>
      <c r="B5059" s="1">
        <v>45992</v>
      </c>
      <c r="C5059">
        <v>2025</v>
      </c>
      <c r="D5059" t="s">
        <v>1738</v>
      </c>
      <c r="E5059" t="s">
        <v>2310</v>
      </c>
      <c r="F5059" t="s">
        <v>24</v>
      </c>
      <c r="G5059" t="s">
        <v>49</v>
      </c>
      <c r="H5059" t="s">
        <v>32</v>
      </c>
      <c r="I5059" t="s">
        <v>27</v>
      </c>
      <c r="J5059" t="s">
        <v>47</v>
      </c>
      <c r="K5059">
        <v>1</v>
      </c>
      <c r="L5059" s="2">
        <v>33.99</v>
      </c>
      <c r="M5059" s="3">
        <v>0.3</v>
      </c>
      <c r="N5059" t="s">
        <v>62</v>
      </c>
      <c r="O5059" s="2">
        <v>23.79</v>
      </c>
      <c r="P5059" s="2">
        <v>17.3</v>
      </c>
      <c r="Q5059" s="2">
        <v>6.49</v>
      </c>
      <c r="R5059">
        <v>1</v>
      </c>
      <c r="S5059">
        <v>0</v>
      </c>
      <c r="T5059">
        <v>5</v>
      </c>
      <c r="U5059">
        <v>3</v>
      </c>
    </row>
    <row r="5060" spans="1:21" ht="16.5" x14ac:dyDescent="0.3">
      <c r="A5060" t="s">
        <v>5148</v>
      </c>
      <c r="B5060" s="1">
        <v>45992</v>
      </c>
      <c r="C5060">
        <v>2025</v>
      </c>
      <c r="D5060" t="s">
        <v>1738</v>
      </c>
      <c r="E5060" t="s">
        <v>2310</v>
      </c>
      <c r="F5060" t="s">
        <v>31</v>
      </c>
      <c r="G5060" t="s">
        <v>49</v>
      </c>
      <c r="H5060" t="s">
        <v>32</v>
      </c>
      <c r="I5060" t="s">
        <v>70</v>
      </c>
      <c r="J5060" t="s">
        <v>87</v>
      </c>
      <c r="K5060">
        <v>3</v>
      </c>
      <c r="L5060" s="2">
        <v>490.3</v>
      </c>
      <c r="M5060" s="3">
        <v>0.3</v>
      </c>
      <c r="N5060" t="s">
        <v>62</v>
      </c>
      <c r="O5060" s="2">
        <v>1029.6300000000001</v>
      </c>
      <c r="P5060" s="2">
        <v>1181.42</v>
      </c>
      <c r="Q5060" s="2">
        <v>-151.79</v>
      </c>
      <c r="R5060">
        <v>1</v>
      </c>
      <c r="S5060">
        <v>0</v>
      </c>
      <c r="T5060">
        <v>6</v>
      </c>
      <c r="U5060">
        <v>4</v>
      </c>
    </row>
    <row r="5061" spans="1:21" ht="16.5" x14ac:dyDescent="0.3">
      <c r="A5061" t="s">
        <v>5149</v>
      </c>
      <c r="B5061" s="1">
        <v>45992</v>
      </c>
      <c r="C5061">
        <v>2025</v>
      </c>
      <c r="D5061" t="s">
        <v>1738</v>
      </c>
      <c r="E5061" t="s">
        <v>2310</v>
      </c>
      <c r="F5061" t="s">
        <v>45</v>
      </c>
      <c r="G5061" t="s">
        <v>46</v>
      </c>
      <c r="H5061" t="s">
        <v>32</v>
      </c>
      <c r="I5061" t="s">
        <v>27</v>
      </c>
      <c r="J5061" t="s">
        <v>47</v>
      </c>
      <c r="K5061">
        <v>1</v>
      </c>
      <c r="L5061" s="2">
        <v>33.99</v>
      </c>
      <c r="M5061" s="3">
        <v>0.15</v>
      </c>
      <c r="N5061" t="s">
        <v>34</v>
      </c>
      <c r="O5061" s="2">
        <v>28.89</v>
      </c>
      <c r="P5061" s="2">
        <v>16.72</v>
      </c>
      <c r="Q5061" s="2">
        <v>12.17</v>
      </c>
      <c r="R5061">
        <v>1</v>
      </c>
      <c r="S5061">
        <v>0</v>
      </c>
      <c r="T5061">
        <v>6</v>
      </c>
      <c r="U5061">
        <v>3</v>
      </c>
    </row>
    <row r="5062" spans="1:21" ht="16.5" x14ac:dyDescent="0.3">
      <c r="A5062" t="s">
        <v>5150</v>
      </c>
      <c r="B5062" s="1">
        <v>45992</v>
      </c>
      <c r="C5062">
        <v>2025</v>
      </c>
      <c r="D5062" t="s">
        <v>1738</v>
      </c>
      <c r="E5062" t="s">
        <v>2310</v>
      </c>
      <c r="F5062" t="s">
        <v>31</v>
      </c>
      <c r="G5062" t="s">
        <v>51</v>
      </c>
      <c r="H5062" t="s">
        <v>32</v>
      </c>
      <c r="I5062" t="s">
        <v>70</v>
      </c>
      <c r="J5062" t="s">
        <v>71</v>
      </c>
      <c r="K5062">
        <v>1</v>
      </c>
      <c r="L5062" s="2">
        <v>588.41</v>
      </c>
      <c r="M5062" s="3">
        <v>0.25</v>
      </c>
      <c r="N5062" t="s">
        <v>62</v>
      </c>
      <c r="O5062" s="2">
        <v>441.31</v>
      </c>
      <c r="P5062" s="2">
        <v>461.54</v>
      </c>
      <c r="Q5062" s="2">
        <v>-20.23</v>
      </c>
      <c r="R5062">
        <v>1</v>
      </c>
      <c r="S5062">
        <v>0</v>
      </c>
      <c r="T5062">
        <v>3</v>
      </c>
      <c r="U5062">
        <v>5</v>
      </c>
    </row>
    <row r="5063" spans="1:21" ht="16.5" x14ac:dyDescent="0.3">
      <c r="A5063" t="s">
        <v>5151</v>
      </c>
      <c r="B5063" s="1">
        <v>45992</v>
      </c>
      <c r="C5063">
        <v>2025</v>
      </c>
      <c r="D5063" t="s">
        <v>1738</v>
      </c>
      <c r="E5063" t="s">
        <v>2310</v>
      </c>
      <c r="F5063" t="s">
        <v>24</v>
      </c>
      <c r="G5063" t="s">
        <v>25</v>
      </c>
      <c r="H5063" t="s">
        <v>26</v>
      </c>
      <c r="I5063" t="s">
        <v>70</v>
      </c>
      <c r="J5063" t="s">
        <v>129</v>
      </c>
      <c r="K5063">
        <v>4</v>
      </c>
      <c r="L5063" s="2">
        <v>177.65</v>
      </c>
      <c r="M5063" s="3">
        <v>0.3</v>
      </c>
      <c r="N5063" t="s">
        <v>62</v>
      </c>
      <c r="O5063" s="2">
        <v>497.42</v>
      </c>
      <c r="P5063" s="2">
        <v>560.17999999999995</v>
      </c>
      <c r="Q5063" s="2">
        <v>-62.76</v>
      </c>
      <c r="R5063">
        <v>1</v>
      </c>
      <c r="S5063">
        <v>1</v>
      </c>
      <c r="T5063">
        <v>4</v>
      </c>
      <c r="U5063">
        <v>3</v>
      </c>
    </row>
    <row r="5064" spans="1:21" ht="16.5" x14ac:dyDescent="0.3">
      <c r="A5064" t="s">
        <v>5152</v>
      </c>
      <c r="B5064" s="1">
        <v>45992</v>
      </c>
      <c r="C5064">
        <v>2025</v>
      </c>
      <c r="D5064" t="s">
        <v>1738</v>
      </c>
      <c r="E5064" t="s">
        <v>2310</v>
      </c>
      <c r="F5064" t="s">
        <v>31</v>
      </c>
      <c r="G5064" t="s">
        <v>49</v>
      </c>
      <c r="H5064" t="s">
        <v>26</v>
      </c>
      <c r="I5064" t="s">
        <v>27</v>
      </c>
      <c r="J5064" t="s">
        <v>28</v>
      </c>
      <c r="K5064">
        <v>1</v>
      </c>
      <c r="L5064" s="2">
        <v>138.5</v>
      </c>
      <c r="M5064" s="3">
        <v>0.15</v>
      </c>
      <c r="N5064" t="s">
        <v>34</v>
      </c>
      <c r="O5064" s="2">
        <v>117.72</v>
      </c>
      <c r="P5064" s="2">
        <v>71.959999999999994</v>
      </c>
      <c r="Q5064" s="2">
        <v>45.76</v>
      </c>
      <c r="R5064">
        <v>1</v>
      </c>
      <c r="S5064">
        <v>1</v>
      </c>
      <c r="T5064">
        <v>6</v>
      </c>
      <c r="U5064">
        <v>3</v>
      </c>
    </row>
    <row r="5065" spans="1:21" ht="16.5" x14ac:dyDescent="0.3">
      <c r="A5065" t="s">
        <v>5153</v>
      </c>
      <c r="B5065" s="1">
        <v>45992</v>
      </c>
      <c r="C5065">
        <v>2025</v>
      </c>
      <c r="D5065" t="s">
        <v>1738</v>
      </c>
      <c r="E5065" t="s">
        <v>2310</v>
      </c>
      <c r="F5065" t="s">
        <v>31</v>
      </c>
      <c r="G5065" t="s">
        <v>49</v>
      </c>
      <c r="H5065" t="s">
        <v>26</v>
      </c>
      <c r="I5065" t="s">
        <v>36</v>
      </c>
      <c r="J5065" t="s">
        <v>52</v>
      </c>
      <c r="K5065">
        <v>1</v>
      </c>
      <c r="L5065" s="2">
        <v>92.54</v>
      </c>
      <c r="M5065" s="3">
        <v>0.05</v>
      </c>
      <c r="N5065" t="s">
        <v>29</v>
      </c>
      <c r="O5065" s="2">
        <v>87.91</v>
      </c>
      <c r="P5065" s="2">
        <v>45.02</v>
      </c>
      <c r="Q5065" s="2">
        <v>42.89</v>
      </c>
      <c r="R5065">
        <v>1</v>
      </c>
      <c r="S5065">
        <v>0</v>
      </c>
      <c r="T5065">
        <v>4</v>
      </c>
      <c r="U5065">
        <v>4</v>
      </c>
    </row>
    <row r="5066" spans="1:21" ht="16.5" x14ac:dyDescent="0.3">
      <c r="A5066" t="s">
        <v>5154</v>
      </c>
      <c r="B5066" s="1">
        <v>45993</v>
      </c>
      <c r="C5066">
        <v>2025</v>
      </c>
      <c r="D5066" t="s">
        <v>1738</v>
      </c>
      <c r="E5066" t="s">
        <v>2310</v>
      </c>
      <c r="F5066" t="s">
        <v>31</v>
      </c>
      <c r="G5066" t="s">
        <v>25</v>
      </c>
      <c r="H5066" t="s">
        <v>32</v>
      </c>
      <c r="I5066" t="s">
        <v>36</v>
      </c>
      <c r="J5066" t="s">
        <v>56</v>
      </c>
      <c r="K5066">
        <v>1</v>
      </c>
      <c r="L5066" s="2">
        <v>74.3</v>
      </c>
      <c r="M5066" s="3">
        <v>0.15</v>
      </c>
      <c r="N5066" t="s">
        <v>34</v>
      </c>
      <c r="O5066" s="2">
        <v>63.15</v>
      </c>
      <c r="P5066" s="2">
        <v>33.549999999999997</v>
      </c>
      <c r="Q5066" s="2">
        <v>29.6</v>
      </c>
      <c r="R5066">
        <v>1</v>
      </c>
      <c r="S5066">
        <v>0</v>
      </c>
      <c r="T5066">
        <v>5</v>
      </c>
      <c r="U5066">
        <v>4</v>
      </c>
    </row>
    <row r="5067" spans="1:21" ht="16.5" x14ac:dyDescent="0.3">
      <c r="A5067" t="s">
        <v>5155</v>
      </c>
      <c r="B5067" s="1">
        <v>45993</v>
      </c>
      <c r="C5067">
        <v>2025</v>
      </c>
      <c r="D5067" t="s">
        <v>1738</v>
      </c>
      <c r="E5067" t="s">
        <v>2310</v>
      </c>
      <c r="F5067" t="s">
        <v>31</v>
      </c>
      <c r="G5067" t="s">
        <v>25</v>
      </c>
      <c r="H5067" t="s">
        <v>26</v>
      </c>
      <c r="I5067" t="s">
        <v>70</v>
      </c>
      <c r="J5067" t="s">
        <v>129</v>
      </c>
      <c r="K5067">
        <v>3</v>
      </c>
      <c r="L5067" s="2">
        <v>177.65</v>
      </c>
      <c r="M5067" s="3">
        <v>0.15</v>
      </c>
      <c r="N5067" t="s">
        <v>34</v>
      </c>
      <c r="O5067" s="2">
        <v>453.01</v>
      </c>
      <c r="P5067" s="2">
        <v>406.54</v>
      </c>
      <c r="Q5067" s="2">
        <v>46.47</v>
      </c>
      <c r="R5067">
        <v>1</v>
      </c>
      <c r="S5067">
        <v>0</v>
      </c>
      <c r="T5067">
        <v>6</v>
      </c>
      <c r="U5067">
        <v>4</v>
      </c>
    </row>
    <row r="5068" spans="1:21" ht="16.5" x14ac:dyDescent="0.3">
      <c r="A5068" t="s">
        <v>5156</v>
      </c>
      <c r="B5068" s="1">
        <v>45993</v>
      </c>
      <c r="C5068">
        <v>2025</v>
      </c>
      <c r="D5068" t="s">
        <v>1738</v>
      </c>
      <c r="E5068" t="s">
        <v>2310</v>
      </c>
      <c r="F5068" t="s">
        <v>31</v>
      </c>
      <c r="G5068" t="s">
        <v>46</v>
      </c>
      <c r="H5068" t="s">
        <v>32</v>
      </c>
      <c r="I5068" t="s">
        <v>67</v>
      </c>
      <c r="J5068" t="s">
        <v>103</v>
      </c>
      <c r="K5068">
        <v>1</v>
      </c>
      <c r="L5068" s="2">
        <v>83.06</v>
      </c>
      <c r="M5068" s="3">
        <v>0.3</v>
      </c>
      <c r="N5068" t="s">
        <v>62</v>
      </c>
      <c r="O5068" s="2">
        <v>58.14</v>
      </c>
      <c r="P5068" s="2">
        <v>54.22</v>
      </c>
      <c r="Q5068" s="2">
        <v>3.92</v>
      </c>
      <c r="R5068">
        <v>1</v>
      </c>
      <c r="S5068">
        <v>0</v>
      </c>
      <c r="T5068">
        <v>7</v>
      </c>
      <c r="U5068">
        <v>5</v>
      </c>
    </row>
    <row r="5069" spans="1:21" ht="16.5" x14ac:dyDescent="0.3">
      <c r="A5069" t="s">
        <v>5157</v>
      </c>
      <c r="B5069" s="1">
        <v>45993</v>
      </c>
      <c r="C5069">
        <v>2025</v>
      </c>
      <c r="D5069" t="s">
        <v>1738</v>
      </c>
      <c r="E5069" t="s">
        <v>2310</v>
      </c>
      <c r="F5069" t="s">
        <v>24</v>
      </c>
      <c r="G5069" t="s">
        <v>25</v>
      </c>
      <c r="H5069" t="s">
        <v>26</v>
      </c>
      <c r="I5069" t="s">
        <v>70</v>
      </c>
      <c r="J5069" t="s">
        <v>129</v>
      </c>
      <c r="K5069">
        <v>1</v>
      </c>
      <c r="L5069" s="2">
        <v>177.65</v>
      </c>
      <c r="M5069" s="3">
        <v>0.2</v>
      </c>
      <c r="N5069" t="s">
        <v>34</v>
      </c>
      <c r="O5069" s="2">
        <v>142.12</v>
      </c>
      <c r="P5069" s="2">
        <v>137.65</v>
      </c>
      <c r="Q5069" s="2">
        <v>4.47</v>
      </c>
      <c r="R5069">
        <v>1</v>
      </c>
      <c r="S5069">
        <v>0</v>
      </c>
      <c r="T5069">
        <v>6</v>
      </c>
      <c r="U5069">
        <v>3</v>
      </c>
    </row>
    <row r="5070" spans="1:21" ht="16.5" x14ac:dyDescent="0.3">
      <c r="A5070" t="s">
        <v>5158</v>
      </c>
      <c r="B5070" s="1">
        <v>45993</v>
      </c>
      <c r="C5070">
        <v>2025</v>
      </c>
      <c r="D5070" t="s">
        <v>1738</v>
      </c>
      <c r="E5070" t="s">
        <v>2310</v>
      </c>
      <c r="F5070" t="s">
        <v>24</v>
      </c>
      <c r="G5070" t="s">
        <v>25</v>
      </c>
      <c r="H5070" t="s">
        <v>32</v>
      </c>
      <c r="I5070" t="s">
        <v>67</v>
      </c>
      <c r="J5070" t="s">
        <v>68</v>
      </c>
      <c r="K5070">
        <v>2</v>
      </c>
      <c r="L5070" s="2">
        <v>74.459999999999994</v>
      </c>
      <c r="M5070" s="3">
        <v>0.1</v>
      </c>
      <c r="N5070" t="s">
        <v>29</v>
      </c>
      <c r="O5070" s="2">
        <v>134.03</v>
      </c>
      <c r="P5070" s="2">
        <v>96.89</v>
      </c>
      <c r="Q5070" s="2">
        <v>37.14</v>
      </c>
      <c r="R5070">
        <v>1</v>
      </c>
      <c r="S5070">
        <v>0</v>
      </c>
      <c r="T5070">
        <v>4</v>
      </c>
      <c r="U5070">
        <v>5</v>
      </c>
    </row>
    <row r="5071" spans="1:21" ht="16.5" x14ac:dyDescent="0.3">
      <c r="A5071" t="s">
        <v>5159</v>
      </c>
      <c r="B5071" s="1">
        <v>45993</v>
      </c>
      <c r="C5071">
        <v>2025</v>
      </c>
      <c r="D5071" t="s">
        <v>1738</v>
      </c>
      <c r="E5071" t="s">
        <v>2310</v>
      </c>
      <c r="F5071" t="s">
        <v>31</v>
      </c>
      <c r="G5071" t="s">
        <v>25</v>
      </c>
      <c r="H5071" t="s">
        <v>32</v>
      </c>
      <c r="I5071" t="s">
        <v>27</v>
      </c>
      <c r="J5071" t="s">
        <v>47</v>
      </c>
      <c r="K5071">
        <v>1</v>
      </c>
      <c r="L5071" s="2">
        <v>33.99</v>
      </c>
      <c r="M5071" s="3">
        <v>0.25</v>
      </c>
      <c r="N5071" t="s">
        <v>62</v>
      </c>
      <c r="O5071" s="2">
        <v>25.49</v>
      </c>
      <c r="P5071" s="2">
        <v>17.89</v>
      </c>
      <c r="Q5071" s="2">
        <v>7.6</v>
      </c>
      <c r="R5071">
        <v>1</v>
      </c>
      <c r="S5071">
        <v>0</v>
      </c>
      <c r="T5071">
        <v>4</v>
      </c>
      <c r="U5071">
        <v>5</v>
      </c>
    </row>
    <row r="5072" spans="1:21" ht="16.5" x14ac:dyDescent="0.3">
      <c r="A5072" t="s">
        <v>5160</v>
      </c>
      <c r="B5072" s="1">
        <v>45993</v>
      </c>
      <c r="C5072">
        <v>2025</v>
      </c>
      <c r="D5072" t="s">
        <v>1738</v>
      </c>
      <c r="E5072" t="s">
        <v>2310</v>
      </c>
      <c r="F5072" t="s">
        <v>45</v>
      </c>
      <c r="G5072" t="s">
        <v>49</v>
      </c>
      <c r="H5072" t="s">
        <v>26</v>
      </c>
      <c r="I5072" t="s">
        <v>27</v>
      </c>
      <c r="J5072" t="s">
        <v>40</v>
      </c>
      <c r="K5072">
        <v>1</v>
      </c>
      <c r="L5072" s="2">
        <v>104.94</v>
      </c>
      <c r="M5072" s="3">
        <v>0.15</v>
      </c>
      <c r="N5072" t="s">
        <v>34</v>
      </c>
      <c r="O5072" s="2">
        <v>89.2</v>
      </c>
      <c r="P5072" s="2">
        <v>55.37</v>
      </c>
      <c r="Q5072" s="2">
        <v>33.83</v>
      </c>
      <c r="R5072">
        <v>1</v>
      </c>
      <c r="S5072">
        <v>0</v>
      </c>
      <c r="T5072">
        <v>6</v>
      </c>
      <c r="U5072">
        <v>3</v>
      </c>
    </row>
    <row r="5073" spans="1:21" ht="16.5" x14ac:dyDescent="0.3">
      <c r="A5073" t="s">
        <v>5161</v>
      </c>
      <c r="B5073" s="1">
        <v>45993</v>
      </c>
      <c r="C5073">
        <v>2025</v>
      </c>
      <c r="D5073" t="s">
        <v>1738</v>
      </c>
      <c r="E5073" t="s">
        <v>2310</v>
      </c>
      <c r="F5073" t="s">
        <v>45</v>
      </c>
      <c r="G5073" t="s">
        <v>25</v>
      </c>
      <c r="H5073" t="s">
        <v>32</v>
      </c>
      <c r="I5073" t="s">
        <v>70</v>
      </c>
      <c r="J5073" t="s">
        <v>82</v>
      </c>
      <c r="K5073">
        <v>1</v>
      </c>
      <c r="L5073" s="2">
        <v>508.8</v>
      </c>
      <c r="M5073" s="3">
        <v>0.25</v>
      </c>
      <c r="N5073" t="s">
        <v>62</v>
      </c>
      <c r="O5073" s="2">
        <v>381.6</v>
      </c>
      <c r="P5073" s="2">
        <v>388.27</v>
      </c>
      <c r="Q5073" s="2">
        <v>-6.67</v>
      </c>
      <c r="R5073">
        <v>1</v>
      </c>
      <c r="S5073">
        <v>0</v>
      </c>
      <c r="T5073">
        <v>6</v>
      </c>
      <c r="U5073">
        <v>4</v>
      </c>
    </row>
    <row r="5074" spans="1:21" ht="16.5" x14ac:dyDescent="0.3">
      <c r="A5074" t="s">
        <v>5162</v>
      </c>
      <c r="B5074" s="1">
        <v>45994</v>
      </c>
      <c r="C5074">
        <v>2025</v>
      </c>
      <c r="D5074" t="s">
        <v>1738</v>
      </c>
      <c r="E5074" t="s">
        <v>2310</v>
      </c>
      <c r="F5074" t="s">
        <v>24</v>
      </c>
      <c r="G5074" t="s">
        <v>46</v>
      </c>
      <c r="H5074" t="s">
        <v>26</v>
      </c>
      <c r="I5074" t="s">
        <v>70</v>
      </c>
      <c r="J5074" t="s">
        <v>82</v>
      </c>
      <c r="K5074">
        <v>1</v>
      </c>
      <c r="L5074" s="2">
        <v>508.8</v>
      </c>
      <c r="M5074" s="3">
        <v>0.2</v>
      </c>
      <c r="N5074" t="s">
        <v>34</v>
      </c>
      <c r="O5074" s="2">
        <v>407.04</v>
      </c>
      <c r="P5074" s="2">
        <v>423.83</v>
      </c>
      <c r="Q5074" s="2">
        <v>-16.79</v>
      </c>
      <c r="R5074">
        <v>1</v>
      </c>
      <c r="S5074">
        <v>0</v>
      </c>
      <c r="T5074">
        <v>8</v>
      </c>
      <c r="U5074">
        <v>4</v>
      </c>
    </row>
    <row r="5075" spans="1:21" ht="16.5" x14ac:dyDescent="0.3">
      <c r="A5075" t="s">
        <v>5163</v>
      </c>
      <c r="B5075" s="1">
        <v>45994</v>
      </c>
      <c r="C5075">
        <v>2025</v>
      </c>
      <c r="D5075" t="s">
        <v>1738</v>
      </c>
      <c r="E5075" t="s">
        <v>2310</v>
      </c>
      <c r="F5075" t="s">
        <v>31</v>
      </c>
      <c r="G5075" t="s">
        <v>51</v>
      </c>
      <c r="H5075" t="s">
        <v>26</v>
      </c>
      <c r="I5075" t="s">
        <v>27</v>
      </c>
      <c r="J5075" t="s">
        <v>40</v>
      </c>
      <c r="K5075">
        <v>4</v>
      </c>
      <c r="L5075" s="2">
        <v>104.94</v>
      </c>
      <c r="M5075" s="3">
        <v>0</v>
      </c>
      <c r="N5075" t="s">
        <v>38</v>
      </c>
      <c r="O5075" s="2">
        <v>419.76</v>
      </c>
      <c r="P5075" s="2">
        <v>228.96</v>
      </c>
      <c r="Q5075" s="2">
        <v>190.8</v>
      </c>
      <c r="R5075">
        <v>1</v>
      </c>
      <c r="S5075">
        <v>0</v>
      </c>
      <c r="T5075">
        <v>4</v>
      </c>
      <c r="U5075">
        <v>5</v>
      </c>
    </row>
    <row r="5076" spans="1:21" ht="16.5" x14ac:dyDescent="0.3">
      <c r="A5076" t="s">
        <v>5164</v>
      </c>
      <c r="B5076" s="1">
        <v>45994</v>
      </c>
      <c r="C5076">
        <v>2025</v>
      </c>
      <c r="D5076" t="s">
        <v>1738</v>
      </c>
      <c r="E5076" t="s">
        <v>2310</v>
      </c>
      <c r="F5076" t="s">
        <v>24</v>
      </c>
      <c r="G5076" t="s">
        <v>25</v>
      </c>
      <c r="H5076" t="s">
        <v>26</v>
      </c>
      <c r="I5076" t="s">
        <v>84</v>
      </c>
      <c r="J5076" t="s">
        <v>106</v>
      </c>
      <c r="K5076">
        <v>2</v>
      </c>
      <c r="L5076" s="2">
        <v>45.28</v>
      </c>
      <c r="M5076" s="3">
        <v>0.15</v>
      </c>
      <c r="N5076" t="s">
        <v>34</v>
      </c>
      <c r="O5076" s="2">
        <v>76.98</v>
      </c>
      <c r="P5076" s="2">
        <v>64.739999999999995</v>
      </c>
      <c r="Q5076" s="2">
        <v>12.24</v>
      </c>
      <c r="R5076">
        <v>1</v>
      </c>
      <c r="S5076">
        <v>0</v>
      </c>
      <c r="T5076">
        <v>5</v>
      </c>
      <c r="U5076">
        <v>3</v>
      </c>
    </row>
    <row r="5077" spans="1:21" ht="16.5" x14ac:dyDescent="0.3">
      <c r="A5077" t="s">
        <v>5165</v>
      </c>
      <c r="B5077" s="1">
        <v>45994</v>
      </c>
      <c r="C5077">
        <v>2025</v>
      </c>
      <c r="D5077" t="s">
        <v>1738</v>
      </c>
      <c r="E5077" t="s">
        <v>2310</v>
      </c>
      <c r="F5077" t="s">
        <v>45</v>
      </c>
      <c r="G5077" t="s">
        <v>49</v>
      </c>
      <c r="H5077" t="s">
        <v>32</v>
      </c>
      <c r="I5077" t="s">
        <v>36</v>
      </c>
      <c r="J5077" t="s">
        <v>52</v>
      </c>
      <c r="K5077">
        <v>3</v>
      </c>
      <c r="L5077" s="2">
        <v>92.54</v>
      </c>
      <c r="M5077" s="3">
        <v>0.05</v>
      </c>
      <c r="N5077" t="s">
        <v>29</v>
      </c>
      <c r="O5077" s="2">
        <v>263.74</v>
      </c>
      <c r="P5077" s="2">
        <v>133.78</v>
      </c>
      <c r="Q5077" s="2">
        <v>129.96</v>
      </c>
      <c r="R5077">
        <v>1</v>
      </c>
      <c r="S5077">
        <v>1</v>
      </c>
      <c r="T5077">
        <v>5</v>
      </c>
      <c r="U5077">
        <v>4</v>
      </c>
    </row>
    <row r="5078" spans="1:21" ht="16.5" x14ac:dyDescent="0.3">
      <c r="A5078" t="s">
        <v>5166</v>
      </c>
      <c r="B5078" s="1">
        <v>45994</v>
      </c>
      <c r="C5078">
        <v>2025</v>
      </c>
      <c r="D5078" t="s">
        <v>1738</v>
      </c>
      <c r="E5078" t="s">
        <v>2310</v>
      </c>
      <c r="F5078" t="s">
        <v>31</v>
      </c>
      <c r="G5078" t="s">
        <v>25</v>
      </c>
      <c r="H5078" t="s">
        <v>32</v>
      </c>
      <c r="I5078" t="s">
        <v>42</v>
      </c>
      <c r="J5078" t="s">
        <v>43</v>
      </c>
      <c r="K5078">
        <v>3</v>
      </c>
      <c r="L5078" s="2">
        <v>154.66</v>
      </c>
      <c r="M5078" s="3">
        <v>0.15</v>
      </c>
      <c r="N5078" t="s">
        <v>34</v>
      </c>
      <c r="O5078" s="2">
        <v>394.38</v>
      </c>
      <c r="P5078" s="2">
        <v>317.38</v>
      </c>
      <c r="Q5078" s="2">
        <v>77</v>
      </c>
      <c r="R5078">
        <v>1</v>
      </c>
      <c r="S5078">
        <v>1</v>
      </c>
      <c r="T5078">
        <v>5</v>
      </c>
      <c r="U5078">
        <v>4</v>
      </c>
    </row>
    <row r="5079" spans="1:21" ht="16.5" x14ac:dyDescent="0.3">
      <c r="A5079" t="s">
        <v>5167</v>
      </c>
      <c r="B5079" s="1">
        <v>45994</v>
      </c>
      <c r="C5079">
        <v>2025</v>
      </c>
      <c r="D5079" t="s">
        <v>1738</v>
      </c>
      <c r="E5079" t="s">
        <v>2310</v>
      </c>
      <c r="F5079" t="s">
        <v>24</v>
      </c>
      <c r="G5079" t="s">
        <v>49</v>
      </c>
      <c r="H5079" t="s">
        <v>26</v>
      </c>
      <c r="I5079" t="s">
        <v>70</v>
      </c>
      <c r="J5079" t="s">
        <v>87</v>
      </c>
      <c r="K5079">
        <v>1</v>
      </c>
      <c r="L5079" s="2">
        <v>490.3</v>
      </c>
      <c r="M5079" s="3">
        <v>0.1</v>
      </c>
      <c r="N5079" t="s">
        <v>29</v>
      </c>
      <c r="O5079" s="2">
        <v>441.27</v>
      </c>
      <c r="P5079" s="2">
        <v>402.89</v>
      </c>
      <c r="Q5079" s="2">
        <v>38.380000000000003</v>
      </c>
      <c r="R5079">
        <v>1</v>
      </c>
      <c r="S5079">
        <v>0</v>
      </c>
      <c r="T5079">
        <v>5</v>
      </c>
      <c r="U5079">
        <v>4</v>
      </c>
    </row>
    <row r="5080" spans="1:21" ht="16.5" x14ac:dyDescent="0.3">
      <c r="A5080" t="s">
        <v>5168</v>
      </c>
      <c r="B5080" s="1">
        <v>45994</v>
      </c>
      <c r="C5080">
        <v>2025</v>
      </c>
      <c r="D5080" t="s">
        <v>1738</v>
      </c>
      <c r="E5080" t="s">
        <v>2310</v>
      </c>
      <c r="F5080" t="s">
        <v>31</v>
      </c>
      <c r="G5080" t="s">
        <v>51</v>
      </c>
      <c r="H5080" t="s">
        <v>32</v>
      </c>
      <c r="I5080" t="s">
        <v>70</v>
      </c>
      <c r="J5080" t="s">
        <v>87</v>
      </c>
      <c r="K5080">
        <v>1</v>
      </c>
      <c r="L5080" s="2">
        <v>490.3</v>
      </c>
      <c r="M5080" s="3">
        <v>0.25</v>
      </c>
      <c r="N5080" t="s">
        <v>62</v>
      </c>
      <c r="O5080" s="2">
        <v>367.72</v>
      </c>
      <c r="P5080" s="2">
        <v>377.85</v>
      </c>
      <c r="Q5080" s="2">
        <v>-10.130000000000001</v>
      </c>
      <c r="R5080">
        <v>1</v>
      </c>
      <c r="S5080">
        <v>0</v>
      </c>
      <c r="T5080">
        <v>3</v>
      </c>
      <c r="U5080">
        <v>4</v>
      </c>
    </row>
    <row r="5081" spans="1:21" ht="16.5" x14ac:dyDescent="0.3">
      <c r="A5081" t="s">
        <v>5169</v>
      </c>
      <c r="B5081" s="1">
        <v>45994</v>
      </c>
      <c r="C5081">
        <v>2025</v>
      </c>
      <c r="D5081" t="s">
        <v>1738</v>
      </c>
      <c r="E5081" t="s">
        <v>2310</v>
      </c>
      <c r="F5081" t="s">
        <v>24</v>
      </c>
      <c r="G5081" t="s">
        <v>25</v>
      </c>
      <c r="H5081" t="s">
        <v>32</v>
      </c>
      <c r="I5081" t="s">
        <v>42</v>
      </c>
      <c r="J5081" t="s">
        <v>98</v>
      </c>
      <c r="K5081">
        <v>3</v>
      </c>
      <c r="L5081" s="2">
        <v>117.63</v>
      </c>
      <c r="M5081" s="3">
        <v>0.15</v>
      </c>
      <c r="N5081" t="s">
        <v>34</v>
      </c>
      <c r="O5081" s="2">
        <v>299.95999999999998</v>
      </c>
      <c r="P5081" s="2">
        <v>233.11</v>
      </c>
      <c r="Q5081" s="2">
        <v>66.849999999999994</v>
      </c>
      <c r="R5081">
        <v>1</v>
      </c>
      <c r="S5081">
        <v>0</v>
      </c>
      <c r="T5081">
        <v>4</v>
      </c>
      <c r="U5081">
        <v>4</v>
      </c>
    </row>
    <row r="5082" spans="1:21" ht="16.5" x14ac:dyDescent="0.3">
      <c r="A5082" t="s">
        <v>5170</v>
      </c>
      <c r="B5082" s="1">
        <v>45994</v>
      </c>
      <c r="C5082">
        <v>2025</v>
      </c>
      <c r="D5082" t="s">
        <v>1738</v>
      </c>
      <c r="E5082" t="s">
        <v>2310</v>
      </c>
      <c r="F5082" t="s">
        <v>45</v>
      </c>
      <c r="G5082" t="s">
        <v>65</v>
      </c>
      <c r="H5082" t="s">
        <v>32</v>
      </c>
      <c r="I5082" t="s">
        <v>84</v>
      </c>
      <c r="J5082" t="s">
        <v>106</v>
      </c>
      <c r="K5082">
        <v>1</v>
      </c>
      <c r="L5082" s="2">
        <v>45.28</v>
      </c>
      <c r="M5082" s="3">
        <v>0.1</v>
      </c>
      <c r="N5082" t="s">
        <v>29</v>
      </c>
      <c r="O5082" s="2">
        <v>40.75</v>
      </c>
      <c r="P5082" s="2">
        <v>31.77</v>
      </c>
      <c r="Q5082" s="2">
        <v>8.98</v>
      </c>
      <c r="R5082">
        <v>1</v>
      </c>
      <c r="S5082">
        <v>0</v>
      </c>
      <c r="T5082">
        <v>6</v>
      </c>
      <c r="U5082">
        <v>2</v>
      </c>
    </row>
    <row r="5083" spans="1:21" ht="16.5" x14ac:dyDescent="0.3">
      <c r="A5083" t="s">
        <v>5171</v>
      </c>
      <c r="B5083" s="1">
        <v>45994</v>
      </c>
      <c r="C5083">
        <v>2025</v>
      </c>
      <c r="D5083" t="s">
        <v>1738</v>
      </c>
      <c r="E5083" t="s">
        <v>2310</v>
      </c>
      <c r="F5083" t="s">
        <v>45</v>
      </c>
      <c r="G5083" t="s">
        <v>25</v>
      </c>
      <c r="H5083" t="s">
        <v>32</v>
      </c>
      <c r="I5083" t="s">
        <v>36</v>
      </c>
      <c r="J5083" t="s">
        <v>115</v>
      </c>
      <c r="K5083">
        <v>1</v>
      </c>
      <c r="L5083" s="2">
        <v>33.479999999999997</v>
      </c>
      <c r="M5083" s="3">
        <v>0.1</v>
      </c>
      <c r="N5083" t="s">
        <v>29</v>
      </c>
      <c r="O5083" s="2">
        <v>30.13</v>
      </c>
      <c r="P5083" s="2">
        <v>15.71</v>
      </c>
      <c r="Q5083" s="2">
        <v>14.42</v>
      </c>
      <c r="R5083">
        <v>1</v>
      </c>
      <c r="S5083">
        <v>0</v>
      </c>
      <c r="T5083">
        <v>4</v>
      </c>
      <c r="U5083">
        <v>4</v>
      </c>
    </row>
    <row r="5084" spans="1:21" ht="16.5" x14ac:dyDescent="0.3">
      <c r="A5084" t="s">
        <v>5172</v>
      </c>
      <c r="B5084" s="1">
        <v>45995</v>
      </c>
      <c r="C5084">
        <v>2025</v>
      </c>
      <c r="D5084" t="s">
        <v>1738</v>
      </c>
      <c r="E5084" t="s">
        <v>2310</v>
      </c>
      <c r="F5084" t="s">
        <v>24</v>
      </c>
      <c r="G5084" t="s">
        <v>25</v>
      </c>
      <c r="H5084" t="s">
        <v>32</v>
      </c>
      <c r="I5084" t="s">
        <v>70</v>
      </c>
      <c r="J5084" t="s">
        <v>129</v>
      </c>
      <c r="K5084">
        <v>1</v>
      </c>
      <c r="L5084" s="2">
        <v>177.65</v>
      </c>
      <c r="M5084" s="3">
        <v>0.15</v>
      </c>
      <c r="N5084" t="s">
        <v>34</v>
      </c>
      <c r="O5084" s="2">
        <v>151</v>
      </c>
      <c r="P5084" s="2">
        <v>142.88999999999999</v>
      </c>
      <c r="Q5084" s="2">
        <v>8.11</v>
      </c>
      <c r="R5084">
        <v>1</v>
      </c>
      <c r="S5084">
        <v>0</v>
      </c>
      <c r="T5084">
        <v>5</v>
      </c>
      <c r="U5084">
        <v>4</v>
      </c>
    </row>
    <row r="5085" spans="1:21" ht="16.5" x14ac:dyDescent="0.3">
      <c r="A5085" t="s">
        <v>5173</v>
      </c>
      <c r="B5085" s="1">
        <v>45995</v>
      </c>
      <c r="C5085">
        <v>2025</v>
      </c>
      <c r="D5085" t="s">
        <v>1738</v>
      </c>
      <c r="E5085" t="s">
        <v>2310</v>
      </c>
      <c r="F5085" t="s">
        <v>24</v>
      </c>
      <c r="G5085" t="s">
        <v>51</v>
      </c>
      <c r="H5085" t="s">
        <v>32</v>
      </c>
      <c r="I5085" t="s">
        <v>70</v>
      </c>
      <c r="J5085" t="s">
        <v>82</v>
      </c>
      <c r="K5085">
        <v>2</v>
      </c>
      <c r="L5085" s="2">
        <v>508.8</v>
      </c>
      <c r="M5085" s="3">
        <v>0.15</v>
      </c>
      <c r="N5085" t="s">
        <v>34</v>
      </c>
      <c r="O5085" s="2">
        <v>864.96</v>
      </c>
      <c r="P5085" s="2">
        <v>853.72</v>
      </c>
      <c r="Q5085" s="2">
        <v>11.24</v>
      </c>
      <c r="R5085">
        <v>1</v>
      </c>
      <c r="S5085">
        <v>0</v>
      </c>
      <c r="T5085">
        <v>5</v>
      </c>
      <c r="U5085">
        <v>5</v>
      </c>
    </row>
    <row r="5086" spans="1:21" ht="16.5" x14ac:dyDescent="0.3">
      <c r="A5086" t="s">
        <v>5174</v>
      </c>
      <c r="B5086" s="1">
        <v>45995</v>
      </c>
      <c r="C5086">
        <v>2025</v>
      </c>
      <c r="D5086" t="s">
        <v>1738</v>
      </c>
      <c r="E5086" t="s">
        <v>2310</v>
      </c>
      <c r="F5086" t="s">
        <v>31</v>
      </c>
      <c r="G5086" t="s">
        <v>65</v>
      </c>
      <c r="H5086" t="s">
        <v>32</v>
      </c>
      <c r="I5086" t="s">
        <v>70</v>
      </c>
      <c r="J5086" t="s">
        <v>252</v>
      </c>
      <c r="K5086">
        <v>1</v>
      </c>
      <c r="L5086" s="2">
        <v>216.08</v>
      </c>
      <c r="M5086" s="3">
        <v>0.25</v>
      </c>
      <c r="N5086" t="s">
        <v>62</v>
      </c>
      <c r="O5086" s="2">
        <v>162.06</v>
      </c>
      <c r="P5086" s="2">
        <v>165.8</v>
      </c>
      <c r="Q5086" s="2">
        <v>-3.74</v>
      </c>
      <c r="R5086">
        <v>1</v>
      </c>
      <c r="S5086">
        <v>0</v>
      </c>
      <c r="T5086">
        <v>8</v>
      </c>
      <c r="U5086">
        <v>3</v>
      </c>
    </row>
    <row r="5087" spans="1:21" ht="16.5" x14ac:dyDescent="0.3">
      <c r="A5087" t="s">
        <v>5175</v>
      </c>
      <c r="B5087" s="1">
        <v>45995</v>
      </c>
      <c r="C5087">
        <v>2025</v>
      </c>
      <c r="D5087" t="s">
        <v>1738</v>
      </c>
      <c r="E5087" t="s">
        <v>2310</v>
      </c>
      <c r="F5087" t="s">
        <v>45</v>
      </c>
      <c r="G5087" t="s">
        <v>25</v>
      </c>
      <c r="H5087" t="s">
        <v>26</v>
      </c>
      <c r="I5087" t="s">
        <v>67</v>
      </c>
      <c r="J5087" t="s">
        <v>78</v>
      </c>
      <c r="K5087">
        <v>1</v>
      </c>
      <c r="L5087" s="2">
        <v>85.42</v>
      </c>
      <c r="M5087" s="3">
        <v>0.25</v>
      </c>
      <c r="N5087" t="s">
        <v>62</v>
      </c>
      <c r="O5087" s="2">
        <v>64.06</v>
      </c>
      <c r="P5087" s="2">
        <v>56.11</v>
      </c>
      <c r="Q5087" s="2">
        <v>7.95</v>
      </c>
      <c r="R5087">
        <v>1</v>
      </c>
      <c r="S5087">
        <v>0</v>
      </c>
      <c r="T5087">
        <v>5</v>
      </c>
      <c r="U5087">
        <v>5</v>
      </c>
    </row>
    <row r="5088" spans="1:21" ht="16.5" x14ac:dyDescent="0.3">
      <c r="A5088" t="s">
        <v>5176</v>
      </c>
      <c r="B5088" s="1">
        <v>45995</v>
      </c>
      <c r="C5088">
        <v>2025</v>
      </c>
      <c r="D5088" t="s">
        <v>1738</v>
      </c>
      <c r="E5088" t="s">
        <v>2310</v>
      </c>
      <c r="F5088" t="s">
        <v>24</v>
      </c>
      <c r="G5088" t="s">
        <v>51</v>
      </c>
      <c r="H5088" t="s">
        <v>32</v>
      </c>
      <c r="I5088" t="s">
        <v>27</v>
      </c>
      <c r="J5088" t="s">
        <v>110</v>
      </c>
      <c r="K5088">
        <v>2</v>
      </c>
      <c r="L5088" s="2">
        <v>19.41</v>
      </c>
      <c r="M5088" s="3">
        <v>0.25</v>
      </c>
      <c r="N5088" t="s">
        <v>62</v>
      </c>
      <c r="O5088" s="2">
        <v>29.12</v>
      </c>
      <c r="P5088" s="2">
        <v>20.63</v>
      </c>
      <c r="Q5088" s="2">
        <v>8.49</v>
      </c>
      <c r="R5088">
        <v>1</v>
      </c>
      <c r="S5088">
        <v>0</v>
      </c>
      <c r="T5088">
        <v>4</v>
      </c>
      <c r="U5088">
        <v>4</v>
      </c>
    </row>
    <row r="5089" spans="1:21" ht="16.5" x14ac:dyDescent="0.3">
      <c r="A5089" t="s">
        <v>5177</v>
      </c>
      <c r="B5089" s="1">
        <v>45995</v>
      </c>
      <c r="C5089">
        <v>2025</v>
      </c>
      <c r="D5089" t="s">
        <v>1738</v>
      </c>
      <c r="E5089" t="s">
        <v>2310</v>
      </c>
      <c r="F5089" t="s">
        <v>24</v>
      </c>
      <c r="G5089" t="s">
        <v>46</v>
      </c>
      <c r="H5089" t="s">
        <v>26</v>
      </c>
      <c r="I5089" t="s">
        <v>27</v>
      </c>
      <c r="J5089" t="s">
        <v>47</v>
      </c>
      <c r="K5089">
        <v>1</v>
      </c>
      <c r="L5089" s="2">
        <v>33.99</v>
      </c>
      <c r="M5089" s="3">
        <v>0.1</v>
      </c>
      <c r="N5089" t="s">
        <v>29</v>
      </c>
      <c r="O5089" s="2">
        <v>30.59</v>
      </c>
      <c r="P5089" s="2">
        <v>19.239999999999998</v>
      </c>
      <c r="Q5089" s="2">
        <v>11.35</v>
      </c>
      <c r="R5089">
        <v>1</v>
      </c>
      <c r="S5089">
        <v>0</v>
      </c>
      <c r="T5089">
        <v>6</v>
      </c>
      <c r="U5089">
        <v>4</v>
      </c>
    </row>
    <row r="5090" spans="1:21" ht="16.5" x14ac:dyDescent="0.3">
      <c r="A5090" t="s">
        <v>5178</v>
      </c>
      <c r="B5090" s="1">
        <v>45995</v>
      </c>
      <c r="C5090">
        <v>2025</v>
      </c>
      <c r="D5090" t="s">
        <v>1738</v>
      </c>
      <c r="E5090" t="s">
        <v>2310</v>
      </c>
      <c r="F5090" t="s">
        <v>31</v>
      </c>
      <c r="G5090" t="s">
        <v>25</v>
      </c>
      <c r="H5090" t="s">
        <v>26</v>
      </c>
      <c r="I5090" t="s">
        <v>27</v>
      </c>
      <c r="J5090" t="s">
        <v>40</v>
      </c>
      <c r="K5090">
        <v>1</v>
      </c>
      <c r="L5090" s="2">
        <v>104.94</v>
      </c>
      <c r="M5090" s="3">
        <v>0.25</v>
      </c>
      <c r="N5090" t="s">
        <v>62</v>
      </c>
      <c r="O5090" s="2">
        <v>78.7</v>
      </c>
      <c r="P5090" s="2">
        <v>58.59</v>
      </c>
      <c r="Q5090" s="2">
        <v>20.11</v>
      </c>
      <c r="R5090">
        <v>1</v>
      </c>
      <c r="S5090">
        <v>0</v>
      </c>
      <c r="T5090">
        <v>4</v>
      </c>
      <c r="U5090">
        <v>4</v>
      </c>
    </row>
    <row r="5091" spans="1:21" ht="16.5" x14ac:dyDescent="0.3">
      <c r="A5091" t="s">
        <v>5179</v>
      </c>
      <c r="B5091" s="1">
        <v>45995</v>
      </c>
      <c r="C5091">
        <v>2025</v>
      </c>
      <c r="D5091" t="s">
        <v>1738</v>
      </c>
      <c r="E5091" t="s">
        <v>2310</v>
      </c>
      <c r="F5091" t="s">
        <v>31</v>
      </c>
      <c r="G5091" t="s">
        <v>25</v>
      </c>
      <c r="H5091" t="s">
        <v>32</v>
      </c>
      <c r="I5091" t="s">
        <v>84</v>
      </c>
      <c r="J5091" t="s">
        <v>85</v>
      </c>
      <c r="K5091">
        <v>1</v>
      </c>
      <c r="L5091" s="2">
        <v>57.92</v>
      </c>
      <c r="M5091" s="3">
        <v>0</v>
      </c>
      <c r="N5091" t="s">
        <v>38</v>
      </c>
      <c r="O5091" s="2">
        <v>57.92</v>
      </c>
      <c r="P5091" s="2">
        <v>41.08</v>
      </c>
      <c r="Q5091" s="2">
        <v>16.84</v>
      </c>
      <c r="R5091">
        <v>1</v>
      </c>
      <c r="S5091">
        <v>0</v>
      </c>
      <c r="T5091">
        <v>7</v>
      </c>
      <c r="U5091">
        <v>3</v>
      </c>
    </row>
    <row r="5092" spans="1:21" ht="16.5" x14ac:dyDescent="0.3">
      <c r="A5092" t="s">
        <v>5180</v>
      </c>
      <c r="B5092" s="1">
        <v>45995</v>
      </c>
      <c r="C5092">
        <v>2025</v>
      </c>
      <c r="D5092" t="s">
        <v>1738</v>
      </c>
      <c r="E5092" t="s">
        <v>2310</v>
      </c>
      <c r="F5092" t="s">
        <v>31</v>
      </c>
      <c r="G5092" t="s">
        <v>25</v>
      </c>
      <c r="H5092" t="s">
        <v>26</v>
      </c>
      <c r="I5092" t="s">
        <v>42</v>
      </c>
      <c r="J5092" t="s">
        <v>76</v>
      </c>
      <c r="K5092">
        <v>1</v>
      </c>
      <c r="L5092" s="2">
        <v>90.75</v>
      </c>
      <c r="M5092" s="3">
        <v>0.25</v>
      </c>
      <c r="N5092" t="s">
        <v>62</v>
      </c>
      <c r="O5092" s="2">
        <v>68.06</v>
      </c>
      <c r="P5092" s="2">
        <v>62.63</v>
      </c>
      <c r="Q5092" s="2">
        <v>5.43</v>
      </c>
      <c r="R5092">
        <v>1</v>
      </c>
      <c r="S5092">
        <v>0</v>
      </c>
      <c r="T5092">
        <v>4</v>
      </c>
      <c r="U5092">
        <v>5</v>
      </c>
    </row>
    <row r="5093" spans="1:21" ht="16.5" x14ac:dyDescent="0.3">
      <c r="A5093" t="s">
        <v>5181</v>
      </c>
      <c r="B5093" s="1">
        <v>45996</v>
      </c>
      <c r="C5093">
        <v>2025</v>
      </c>
      <c r="D5093" t="s">
        <v>1738</v>
      </c>
      <c r="E5093" t="s">
        <v>2310</v>
      </c>
      <c r="F5093" t="s">
        <v>31</v>
      </c>
      <c r="G5093" t="s">
        <v>51</v>
      </c>
      <c r="H5093" t="s">
        <v>26</v>
      </c>
      <c r="I5093" t="s">
        <v>42</v>
      </c>
      <c r="J5093" t="s">
        <v>98</v>
      </c>
      <c r="K5093">
        <v>1</v>
      </c>
      <c r="L5093" s="2">
        <v>117.63</v>
      </c>
      <c r="M5093" s="3">
        <v>0.2</v>
      </c>
      <c r="N5093" t="s">
        <v>34</v>
      </c>
      <c r="O5093" s="2">
        <v>94.1</v>
      </c>
      <c r="P5093" s="2">
        <v>75.599999999999994</v>
      </c>
      <c r="Q5093" s="2">
        <v>18.5</v>
      </c>
      <c r="R5093">
        <v>1</v>
      </c>
      <c r="S5093">
        <v>0</v>
      </c>
      <c r="T5093">
        <v>4</v>
      </c>
      <c r="U5093">
        <v>4</v>
      </c>
    </row>
    <row r="5094" spans="1:21" ht="16.5" x14ac:dyDescent="0.3">
      <c r="A5094" t="s">
        <v>5182</v>
      </c>
      <c r="B5094" s="1">
        <v>45996</v>
      </c>
      <c r="C5094">
        <v>2025</v>
      </c>
      <c r="D5094" t="s">
        <v>1738</v>
      </c>
      <c r="E5094" t="s">
        <v>2310</v>
      </c>
      <c r="F5094" t="s">
        <v>31</v>
      </c>
      <c r="G5094" t="s">
        <v>51</v>
      </c>
      <c r="H5094" t="s">
        <v>26</v>
      </c>
      <c r="I5094" t="s">
        <v>42</v>
      </c>
      <c r="J5094" t="s">
        <v>54</v>
      </c>
      <c r="K5094">
        <v>4</v>
      </c>
      <c r="L5094" s="2">
        <v>148.05000000000001</v>
      </c>
      <c r="M5094" s="3">
        <v>0.2</v>
      </c>
      <c r="N5094" t="s">
        <v>34</v>
      </c>
      <c r="O5094" s="2">
        <v>473.76</v>
      </c>
      <c r="P5094" s="2">
        <v>400.2</v>
      </c>
      <c r="Q5094" s="2">
        <v>73.56</v>
      </c>
      <c r="R5094">
        <v>1</v>
      </c>
      <c r="S5094">
        <v>0</v>
      </c>
      <c r="T5094">
        <v>3</v>
      </c>
      <c r="U5094">
        <v>5</v>
      </c>
    </row>
    <row r="5095" spans="1:21" ht="16.5" x14ac:dyDescent="0.3">
      <c r="A5095" t="s">
        <v>5183</v>
      </c>
      <c r="B5095" s="1">
        <v>45996</v>
      </c>
      <c r="C5095">
        <v>2025</v>
      </c>
      <c r="D5095" t="s">
        <v>1738</v>
      </c>
      <c r="E5095" t="s">
        <v>2310</v>
      </c>
      <c r="F5095" t="s">
        <v>24</v>
      </c>
      <c r="G5095" t="s">
        <v>49</v>
      </c>
      <c r="H5095" t="s">
        <v>32</v>
      </c>
      <c r="I5095" t="s">
        <v>70</v>
      </c>
      <c r="J5095" t="s">
        <v>129</v>
      </c>
      <c r="K5095">
        <v>2</v>
      </c>
      <c r="L5095" s="2">
        <v>177.65</v>
      </c>
      <c r="M5095" s="3">
        <v>0.15</v>
      </c>
      <c r="N5095" t="s">
        <v>34</v>
      </c>
      <c r="O5095" s="2">
        <v>302</v>
      </c>
      <c r="P5095" s="2">
        <v>277.58999999999997</v>
      </c>
      <c r="Q5095" s="2">
        <v>24.41</v>
      </c>
      <c r="R5095">
        <v>1</v>
      </c>
      <c r="S5095">
        <v>1</v>
      </c>
      <c r="T5095">
        <v>4</v>
      </c>
      <c r="U5095">
        <v>2</v>
      </c>
    </row>
    <row r="5096" spans="1:21" ht="16.5" x14ac:dyDescent="0.3">
      <c r="A5096" t="s">
        <v>5184</v>
      </c>
      <c r="B5096" s="1">
        <v>45996</v>
      </c>
      <c r="C5096">
        <v>2025</v>
      </c>
      <c r="D5096" t="s">
        <v>1738</v>
      </c>
      <c r="E5096" t="s">
        <v>2310</v>
      </c>
      <c r="F5096" t="s">
        <v>31</v>
      </c>
      <c r="G5096" t="s">
        <v>46</v>
      </c>
      <c r="H5096" t="s">
        <v>32</v>
      </c>
      <c r="I5096" t="s">
        <v>42</v>
      </c>
      <c r="J5096" t="s">
        <v>76</v>
      </c>
      <c r="K5096">
        <v>2</v>
      </c>
      <c r="L5096" s="2">
        <v>90.75</v>
      </c>
      <c r="M5096" s="3">
        <v>0.15</v>
      </c>
      <c r="N5096" t="s">
        <v>34</v>
      </c>
      <c r="O5096" s="2">
        <v>154.28</v>
      </c>
      <c r="P5096" s="2">
        <v>121.22</v>
      </c>
      <c r="Q5096" s="2">
        <v>33.06</v>
      </c>
      <c r="R5096">
        <v>1</v>
      </c>
      <c r="S5096">
        <v>0</v>
      </c>
      <c r="T5096">
        <v>7</v>
      </c>
      <c r="U5096">
        <v>3</v>
      </c>
    </row>
    <row r="5097" spans="1:21" ht="16.5" x14ac:dyDescent="0.3">
      <c r="A5097" t="s">
        <v>5185</v>
      </c>
      <c r="B5097" s="1">
        <v>45996</v>
      </c>
      <c r="C5097">
        <v>2025</v>
      </c>
      <c r="D5097" t="s">
        <v>1738</v>
      </c>
      <c r="E5097" t="s">
        <v>2310</v>
      </c>
      <c r="F5097" t="s">
        <v>31</v>
      </c>
      <c r="G5097" t="s">
        <v>49</v>
      </c>
      <c r="H5097" t="s">
        <v>32</v>
      </c>
      <c r="I5097" t="s">
        <v>70</v>
      </c>
      <c r="J5097" t="s">
        <v>82</v>
      </c>
      <c r="K5097">
        <v>2</v>
      </c>
      <c r="L5097" s="2">
        <v>508.8</v>
      </c>
      <c r="M5097" s="3">
        <v>0.3</v>
      </c>
      <c r="N5097" t="s">
        <v>62</v>
      </c>
      <c r="O5097" s="2">
        <v>712.32</v>
      </c>
      <c r="P5097" s="2">
        <v>860.32</v>
      </c>
      <c r="Q5097" s="2">
        <v>-148</v>
      </c>
      <c r="R5097">
        <v>1</v>
      </c>
      <c r="S5097">
        <v>0</v>
      </c>
      <c r="T5097">
        <v>4</v>
      </c>
      <c r="U5097">
        <v>4</v>
      </c>
    </row>
    <row r="5098" spans="1:21" ht="16.5" x14ac:dyDescent="0.3">
      <c r="A5098" t="s">
        <v>5186</v>
      </c>
      <c r="B5098" s="1">
        <v>45996</v>
      </c>
      <c r="C5098">
        <v>2025</v>
      </c>
      <c r="D5098" t="s">
        <v>1738</v>
      </c>
      <c r="E5098" t="s">
        <v>2310</v>
      </c>
      <c r="F5098" t="s">
        <v>24</v>
      </c>
      <c r="G5098" t="s">
        <v>25</v>
      </c>
      <c r="H5098" t="s">
        <v>32</v>
      </c>
      <c r="I5098" t="s">
        <v>70</v>
      </c>
      <c r="J5098" t="s">
        <v>162</v>
      </c>
      <c r="K5098">
        <v>1</v>
      </c>
      <c r="L5098" s="2">
        <v>636.09</v>
      </c>
      <c r="M5098" s="3">
        <v>0.2</v>
      </c>
      <c r="N5098" t="s">
        <v>34</v>
      </c>
      <c r="O5098" s="2">
        <v>508.87</v>
      </c>
      <c r="P5098" s="2">
        <v>534.87</v>
      </c>
      <c r="Q5098" s="2">
        <v>-26</v>
      </c>
      <c r="R5098">
        <v>1</v>
      </c>
      <c r="S5098">
        <v>0</v>
      </c>
      <c r="T5098">
        <v>4</v>
      </c>
      <c r="U5098">
        <v>5</v>
      </c>
    </row>
    <row r="5099" spans="1:21" ht="16.5" x14ac:dyDescent="0.3">
      <c r="A5099" t="s">
        <v>5187</v>
      </c>
      <c r="B5099" s="1">
        <v>45996</v>
      </c>
      <c r="C5099">
        <v>2025</v>
      </c>
      <c r="D5099" t="s">
        <v>1738</v>
      </c>
      <c r="E5099" t="s">
        <v>2310</v>
      </c>
      <c r="F5099" t="s">
        <v>31</v>
      </c>
      <c r="G5099" t="s">
        <v>49</v>
      </c>
      <c r="H5099" t="s">
        <v>32</v>
      </c>
      <c r="I5099" t="s">
        <v>27</v>
      </c>
      <c r="J5099" t="s">
        <v>110</v>
      </c>
      <c r="K5099">
        <v>2</v>
      </c>
      <c r="L5099" s="2">
        <v>19.41</v>
      </c>
      <c r="M5099" s="3">
        <v>0</v>
      </c>
      <c r="N5099" t="s">
        <v>38</v>
      </c>
      <c r="O5099" s="2">
        <v>38.82</v>
      </c>
      <c r="P5099" s="2">
        <v>20.96</v>
      </c>
      <c r="Q5099" s="2">
        <v>17.86</v>
      </c>
      <c r="R5099">
        <v>1</v>
      </c>
      <c r="S5099">
        <v>1</v>
      </c>
      <c r="T5099">
        <v>5</v>
      </c>
      <c r="U5099">
        <v>3</v>
      </c>
    </row>
    <row r="5100" spans="1:21" ht="16.5" x14ac:dyDescent="0.3">
      <c r="A5100" t="s">
        <v>5188</v>
      </c>
      <c r="B5100" s="1">
        <v>45996</v>
      </c>
      <c r="C5100">
        <v>2025</v>
      </c>
      <c r="D5100" t="s">
        <v>1738</v>
      </c>
      <c r="E5100" t="s">
        <v>2310</v>
      </c>
      <c r="F5100" t="s">
        <v>24</v>
      </c>
      <c r="G5100" t="s">
        <v>25</v>
      </c>
      <c r="H5100" t="s">
        <v>26</v>
      </c>
      <c r="I5100" t="s">
        <v>27</v>
      </c>
      <c r="J5100" t="s">
        <v>40</v>
      </c>
      <c r="K5100">
        <v>2</v>
      </c>
      <c r="L5100" s="2">
        <v>104.94</v>
      </c>
      <c r="M5100" s="3">
        <v>0.05</v>
      </c>
      <c r="N5100" t="s">
        <v>29</v>
      </c>
      <c r="O5100" s="2">
        <v>199.39</v>
      </c>
      <c r="P5100" s="2">
        <v>110.03</v>
      </c>
      <c r="Q5100" s="2">
        <v>89.36</v>
      </c>
      <c r="R5100">
        <v>1</v>
      </c>
      <c r="S5100">
        <v>0</v>
      </c>
      <c r="T5100">
        <v>7</v>
      </c>
      <c r="U5100">
        <v>4</v>
      </c>
    </row>
    <row r="5101" spans="1:21" ht="16.5" x14ac:dyDescent="0.3">
      <c r="A5101" t="s">
        <v>5189</v>
      </c>
      <c r="B5101" s="1">
        <v>45996</v>
      </c>
      <c r="C5101">
        <v>2025</v>
      </c>
      <c r="D5101" t="s">
        <v>1738</v>
      </c>
      <c r="E5101" t="s">
        <v>2310</v>
      </c>
      <c r="F5101" t="s">
        <v>45</v>
      </c>
      <c r="G5101" t="s">
        <v>25</v>
      </c>
      <c r="H5101" t="s">
        <v>26</v>
      </c>
      <c r="I5101" t="s">
        <v>70</v>
      </c>
      <c r="J5101" t="s">
        <v>82</v>
      </c>
      <c r="K5101">
        <v>1</v>
      </c>
      <c r="L5101" s="2">
        <v>508.8</v>
      </c>
      <c r="M5101" s="3">
        <v>0.1</v>
      </c>
      <c r="N5101" t="s">
        <v>29</v>
      </c>
      <c r="O5101" s="2">
        <v>457.92</v>
      </c>
      <c r="P5101" s="2">
        <v>389.58</v>
      </c>
      <c r="Q5101" s="2">
        <v>68.34</v>
      </c>
      <c r="R5101">
        <v>1</v>
      </c>
      <c r="S5101">
        <v>0</v>
      </c>
      <c r="T5101">
        <v>6</v>
      </c>
      <c r="U5101">
        <v>2</v>
      </c>
    </row>
    <row r="5102" spans="1:21" ht="16.5" x14ac:dyDescent="0.3">
      <c r="A5102" t="s">
        <v>5190</v>
      </c>
      <c r="B5102" s="1">
        <v>45996</v>
      </c>
      <c r="C5102">
        <v>2025</v>
      </c>
      <c r="D5102" t="s">
        <v>1738</v>
      </c>
      <c r="E5102" t="s">
        <v>2310</v>
      </c>
      <c r="F5102" t="s">
        <v>31</v>
      </c>
      <c r="G5102" t="s">
        <v>25</v>
      </c>
      <c r="H5102" t="s">
        <v>32</v>
      </c>
      <c r="I5102" t="s">
        <v>27</v>
      </c>
      <c r="J5102" t="s">
        <v>33</v>
      </c>
      <c r="K5102">
        <v>1</v>
      </c>
      <c r="L5102" s="2">
        <v>78.510000000000005</v>
      </c>
      <c r="M5102" s="3">
        <v>0.1</v>
      </c>
      <c r="N5102" t="s">
        <v>29</v>
      </c>
      <c r="O5102" s="2">
        <v>70.66</v>
      </c>
      <c r="P5102" s="2">
        <v>41.76</v>
      </c>
      <c r="Q5102" s="2">
        <v>28.9</v>
      </c>
      <c r="R5102">
        <v>1</v>
      </c>
      <c r="S5102">
        <v>0</v>
      </c>
      <c r="T5102">
        <v>4</v>
      </c>
      <c r="U5102">
        <v>4</v>
      </c>
    </row>
    <row r="5103" spans="1:21" ht="16.5" x14ac:dyDescent="0.3">
      <c r="A5103" t="s">
        <v>5191</v>
      </c>
      <c r="B5103" s="1">
        <v>45996</v>
      </c>
      <c r="C5103">
        <v>2025</v>
      </c>
      <c r="D5103" t="s">
        <v>1738</v>
      </c>
      <c r="E5103" t="s">
        <v>2310</v>
      </c>
      <c r="F5103" t="s">
        <v>45</v>
      </c>
      <c r="G5103" t="s">
        <v>25</v>
      </c>
      <c r="H5103" t="s">
        <v>32</v>
      </c>
      <c r="I5103" t="s">
        <v>42</v>
      </c>
      <c r="J5103" t="s">
        <v>89</v>
      </c>
      <c r="K5103">
        <v>2</v>
      </c>
      <c r="L5103" s="2">
        <v>68.349999999999994</v>
      </c>
      <c r="M5103" s="3">
        <v>0</v>
      </c>
      <c r="N5103" t="s">
        <v>38</v>
      </c>
      <c r="O5103" s="2">
        <v>136.69999999999999</v>
      </c>
      <c r="P5103" s="2">
        <v>91.23</v>
      </c>
      <c r="Q5103" s="2">
        <v>45.47</v>
      </c>
      <c r="R5103">
        <v>1</v>
      </c>
      <c r="S5103">
        <v>0</v>
      </c>
      <c r="T5103">
        <v>4</v>
      </c>
      <c r="U5103">
        <v>4</v>
      </c>
    </row>
    <row r="5104" spans="1:21" ht="16.5" x14ac:dyDescent="0.3">
      <c r="A5104" t="s">
        <v>5192</v>
      </c>
      <c r="B5104" s="1">
        <v>45996</v>
      </c>
      <c r="C5104">
        <v>2025</v>
      </c>
      <c r="D5104" t="s">
        <v>1738</v>
      </c>
      <c r="E5104" t="s">
        <v>2310</v>
      </c>
      <c r="F5104" t="s">
        <v>45</v>
      </c>
      <c r="G5104" t="s">
        <v>25</v>
      </c>
      <c r="H5104" t="s">
        <v>26</v>
      </c>
      <c r="I5104" t="s">
        <v>84</v>
      </c>
      <c r="J5104" t="s">
        <v>132</v>
      </c>
      <c r="K5104">
        <v>1</v>
      </c>
      <c r="L5104" s="2">
        <v>48.86</v>
      </c>
      <c r="M5104" s="3">
        <v>0.05</v>
      </c>
      <c r="N5104" t="s">
        <v>29</v>
      </c>
      <c r="O5104" s="2">
        <v>46.42</v>
      </c>
      <c r="P5104" s="2">
        <v>35.39</v>
      </c>
      <c r="Q5104" s="2">
        <v>11.03</v>
      </c>
      <c r="R5104">
        <v>1</v>
      </c>
      <c r="S5104">
        <v>0</v>
      </c>
      <c r="T5104">
        <v>4</v>
      </c>
      <c r="U5104">
        <v>5</v>
      </c>
    </row>
    <row r="5105" spans="1:21" ht="16.5" x14ac:dyDescent="0.3">
      <c r="A5105" t="s">
        <v>5193</v>
      </c>
      <c r="B5105" s="1">
        <v>45996</v>
      </c>
      <c r="C5105">
        <v>2025</v>
      </c>
      <c r="D5105" t="s">
        <v>1738</v>
      </c>
      <c r="E5105" t="s">
        <v>2310</v>
      </c>
      <c r="F5105" t="s">
        <v>31</v>
      </c>
      <c r="G5105" t="s">
        <v>65</v>
      </c>
      <c r="H5105" t="s">
        <v>26</v>
      </c>
      <c r="I5105" t="s">
        <v>27</v>
      </c>
      <c r="J5105" t="s">
        <v>28</v>
      </c>
      <c r="K5105">
        <v>3</v>
      </c>
      <c r="L5105" s="2">
        <v>138.5</v>
      </c>
      <c r="M5105" s="3">
        <v>0.1</v>
      </c>
      <c r="N5105" t="s">
        <v>29</v>
      </c>
      <c r="O5105" s="2">
        <v>373.95</v>
      </c>
      <c r="P5105" s="2">
        <v>209.77</v>
      </c>
      <c r="Q5105" s="2">
        <v>164.18</v>
      </c>
      <c r="R5105">
        <v>1</v>
      </c>
      <c r="S5105">
        <v>0</v>
      </c>
      <c r="T5105">
        <v>6</v>
      </c>
      <c r="U5105">
        <v>3</v>
      </c>
    </row>
    <row r="5106" spans="1:21" ht="16.5" x14ac:dyDescent="0.3">
      <c r="A5106" t="s">
        <v>5194</v>
      </c>
      <c r="B5106" s="1">
        <v>45997</v>
      </c>
      <c r="C5106">
        <v>2025</v>
      </c>
      <c r="D5106" t="s">
        <v>1738</v>
      </c>
      <c r="E5106" t="s">
        <v>2310</v>
      </c>
      <c r="F5106" t="s">
        <v>45</v>
      </c>
      <c r="G5106" t="s">
        <v>51</v>
      </c>
      <c r="H5106" t="s">
        <v>26</v>
      </c>
      <c r="I5106" t="s">
        <v>70</v>
      </c>
      <c r="J5106" t="s">
        <v>82</v>
      </c>
      <c r="K5106">
        <v>1</v>
      </c>
      <c r="L5106" s="2">
        <v>508.8</v>
      </c>
      <c r="M5106" s="3">
        <v>0.25</v>
      </c>
      <c r="N5106" t="s">
        <v>62</v>
      </c>
      <c r="O5106" s="2">
        <v>381.6</v>
      </c>
      <c r="P5106" s="2">
        <v>401.92</v>
      </c>
      <c r="Q5106" s="2">
        <v>-20.32</v>
      </c>
      <c r="R5106">
        <v>1</v>
      </c>
      <c r="S5106">
        <v>0</v>
      </c>
      <c r="T5106">
        <v>5</v>
      </c>
      <c r="U5106">
        <v>5</v>
      </c>
    </row>
    <row r="5107" spans="1:21" ht="16.5" x14ac:dyDescent="0.3">
      <c r="A5107" t="s">
        <v>5195</v>
      </c>
      <c r="B5107" s="1">
        <v>45997</v>
      </c>
      <c r="C5107">
        <v>2025</v>
      </c>
      <c r="D5107" t="s">
        <v>1738</v>
      </c>
      <c r="E5107" t="s">
        <v>2310</v>
      </c>
      <c r="F5107" t="s">
        <v>31</v>
      </c>
      <c r="G5107" t="s">
        <v>51</v>
      </c>
      <c r="H5107" t="s">
        <v>32</v>
      </c>
      <c r="I5107" t="s">
        <v>70</v>
      </c>
      <c r="J5107" t="s">
        <v>87</v>
      </c>
      <c r="K5107">
        <v>3</v>
      </c>
      <c r="L5107" s="2">
        <v>490.3</v>
      </c>
      <c r="M5107" s="3">
        <v>0.05</v>
      </c>
      <c r="N5107" t="s">
        <v>29</v>
      </c>
      <c r="O5107" s="2">
        <v>1397.36</v>
      </c>
      <c r="P5107" s="2">
        <v>1125.3699999999999</v>
      </c>
      <c r="Q5107" s="2">
        <v>271.99</v>
      </c>
      <c r="R5107">
        <v>1</v>
      </c>
      <c r="S5107">
        <v>0</v>
      </c>
      <c r="T5107">
        <v>3</v>
      </c>
      <c r="U5107">
        <v>4</v>
      </c>
    </row>
    <row r="5108" spans="1:21" ht="16.5" x14ac:dyDescent="0.3">
      <c r="A5108" t="s">
        <v>5196</v>
      </c>
      <c r="B5108" s="1">
        <v>45997</v>
      </c>
      <c r="C5108">
        <v>2025</v>
      </c>
      <c r="D5108" t="s">
        <v>1738</v>
      </c>
      <c r="E5108" t="s">
        <v>2310</v>
      </c>
      <c r="F5108" t="s">
        <v>31</v>
      </c>
      <c r="G5108" t="s">
        <v>46</v>
      </c>
      <c r="H5108" t="s">
        <v>26</v>
      </c>
      <c r="I5108" t="s">
        <v>84</v>
      </c>
      <c r="J5108" t="s">
        <v>96</v>
      </c>
      <c r="K5108">
        <v>1</v>
      </c>
      <c r="L5108" s="2">
        <v>10.76</v>
      </c>
      <c r="M5108" s="3">
        <v>0.15</v>
      </c>
      <c r="N5108" t="s">
        <v>34</v>
      </c>
      <c r="O5108" s="2">
        <v>9.15</v>
      </c>
      <c r="P5108" s="2">
        <v>7.9</v>
      </c>
      <c r="Q5108" s="2">
        <v>1.25</v>
      </c>
      <c r="R5108">
        <v>1</v>
      </c>
      <c r="S5108">
        <v>0</v>
      </c>
      <c r="T5108">
        <v>6</v>
      </c>
      <c r="U5108">
        <v>3</v>
      </c>
    </row>
    <row r="5109" spans="1:21" ht="16.5" x14ac:dyDescent="0.3">
      <c r="A5109" t="s">
        <v>5197</v>
      </c>
      <c r="B5109" s="1">
        <v>45997</v>
      </c>
      <c r="C5109">
        <v>2025</v>
      </c>
      <c r="D5109" t="s">
        <v>1738</v>
      </c>
      <c r="E5109" t="s">
        <v>2310</v>
      </c>
      <c r="F5109" t="s">
        <v>31</v>
      </c>
      <c r="G5109" t="s">
        <v>25</v>
      </c>
      <c r="H5109" t="s">
        <v>32</v>
      </c>
      <c r="I5109" t="s">
        <v>42</v>
      </c>
      <c r="J5109" t="s">
        <v>89</v>
      </c>
      <c r="K5109">
        <v>3</v>
      </c>
      <c r="L5109" s="2">
        <v>68.349999999999994</v>
      </c>
      <c r="M5109" s="3">
        <v>0</v>
      </c>
      <c r="N5109" t="s">
        <v>38</v>
      </c>
      <c r="O5109" s="2">
        <v>205.05</v>
      </c>
      <c r="P5109" s="2">
        <v>137.68</v>
      </c>
      <c r="Q5109" s="2">
        <v>67.37</v>
      </c>
      <c r="R5109">
        <v>1</v>
      </c>
      <c r="S5109">
        <v>0</v>
      </c>
      <c r="T5109">
        <v>5</v>
      </c>
      <c r="U5109">
        <v>4</v>
      </c>
    </row>
    <row r="5110" spans="1:21" ht="16.5" x14ac:dyDescent="0.3">
      <c r="A5110" t="s">
        <v>5198</v>
      </c>
      <c r="B5110" s="1">
        <v>45997</v>
      </c>
      <c r="C5110">
        <v>2025</v>
      </c>
      <c r="D5110" t="s">
        <v>1738</v>
      </c>
      <c r="E5110" t="s">
        <v>2310</v>
      </c>
      <c r="F5110" t="s">
        <v>24</v>
      </c>
      <c r="G5110" t="s">
        <v>65</v>
      </c>
      <c r="H5110" t="s">
        <v>32</v>
      </c>
      <c r="I5110" t="s">
        <v>84</v>
      </c>
      <c r="J5110" t="s">
        <v>223</v>
      </c>
      <c r="K5110">
        <v>1</v>
      </c>
      <c r="L5110" s="2">
        <v>16.97</v>
      </c>
      <c r="M5110" s="3">
        <v>0.15</v>
      </c>
      <c r="N5110" t="s">
        <v>34</v>
      </c>
      <c r="O5110" s="2">
        <v>14.42</v>
      </c>
      <c r="P5110" s="2">
        <v>12.12</v>
      </c>
      <c r="Q5110" s="2">
        <v>2.2999999999999998</v>
      </c>
      <c r="R5110">
        <v>1</v>
      </c>
      <c r="S5110">
        <v>0</v>
      </c>
      <c r="T5110">
        <v>6</v>
      </c>
      <c r="U5110">
        <v>4</v>
      </c>
    </row>
    <row r="5111" spans="1:21" ht="16.5" x14ac:dyDescent="0.3">
      <c r="A5111" t="s">
        <v>5199</v>
      </c>
      <c r="B5111" s="1">
        <v>45997</v>
      </c>
      <c r="C5111">
        <v>2025</v>
      </c>
      <c r="D5111" t="s">
        <v>1738</v>
      </c>
      <c r="E5111" t="s">
        <v>2310</v>
      </c>
      <c r="F5111" t="s">
        <v>24</v>
      </c>
      <c r="G5111" t="s">
        <v>51</v>
      </c>
      <c r="H5111" t="s">
        <v>26</v>
      </c>
      <c r="I5111" t="s">
        <v>27</v>
      </c>
      <c r="J5111" t="s">
        <v>40</v>
      </c>
      <c r="K5111">
        <v>1</v>
      </c>
      <c r="L5111" s="2">
        <v>104.94</v>
      </c>
      <c r="M5111" s="3">
        <v>0.25</v>
      </c>
      <c r="N5111" t="s">
        <v>62</v>
      </c>
      <c r="O5111" s="2">
        <v>78.7</v>
      </c>
      <c r="P5111" s="2">
        <v>56.94</v>
      </c>
      <c r="Q5111" s="2">
        <v>21.76</v>
      </c>
      <c r="R5111">
        <v>1</v>
      </c>
      <c r="S5111">
        <v>0</v>
      </c>
      <c r="T5111">
        <v>3</v>
      </c>
      <c r="U5111">
        <v>5</v>
      </c>
    </row>
    <row r="5112" spans="1:21" ht="16.5" x14ac:dyDescent="0.3">
      <c r="A5112" t="s">
        <v>5200</v>
      </c>
      <c r="B5112" s="1">
        <v>45997</v>
      </c>
      <c r="C5112">
        <v>2025</v>
      </c>
      <c r="D5112" t="s">
        <v>1738</v>
      </c>
      <c r="E5112" t="s">
        <v>2310</v>
      </c>
      <c r="F5112" t="s">
        <v>24</v>
      </c>
      <c r="G5112" t="s">
        <v>51</v>
      </c>
      <c r="H5112" t="s">
        <v>32</v>
      </c>
      <c r="I5112" t="s">
        <v>84</v>
      </c>
      <c r="J5112" t="s">
        <v>85</v>
      </c>
      <c r="K5112">
        <v>1</v>
      </c>
      <c r="L5112" s="2">
        <v>57.92</v>
      </c>
      <c r="M5112" s="3">
        <v>0.15</v>
      </c>
      <c r="N5112" t="s">
        <v>34</v>
      </c>
      <c r="O5112" s="2">
        <v>49.23</v>
      </c>
      <c r="P5112" s="2">
        <v>41.16</v>
      </c>
      <c r="Q5112" s="2">
        <v>8.07</v>
      </c>
      <c r="R5112">
        <v>1</v>
      </c>
      <c r="S5112">
        <v>0</v>
      </c>
      <c r="T5112">
        <v>3</v>
      </c>
      <c r="U5112">
        <v>4</v>
      </c>
    </row>
    <row r="5113" spans="1:21" ht="16.5" x14ac:dyDescent="0.3">
      <c r="A5113" t="s">
        <v>5201</v>
      </c>
      <c r="B5113" s="1">
        <v>45997</v>
      </c>
      <c r="C5113">
        <v>2025</v>
      </c>
      <c r="D5113" t="s">
        <v>1738</v>
      </c>
      <c r="E5113" t="s">
        <v>2310</v>
      </c>
      <c r="F5113" t="s">
        <v>31</v>
      </c>
      <c r="G5113" t="s">
        <v>51</v>
      </c>
      <c r="H5113" t="s">
        <v>26</v>
      </c>
      <c r="I5113" t="s">
        <v>42</v>
      </c>
      <c r="J5113" t="s">
        <v>43</v>
      </c>
      <c r="K5113">
        <v>1</v>
      </c>
      <c r="L5113" s="2">
        <v>154.66</v>
      </c>
      <c r="M5113" s="3">
        <v>0.3</v>
      </c>
      <c r="N5113" t="s">
        <v>62</v>
      </c>
      <c r="O5113" s="2">
        <v>108.26</v>
      </c>
      <c r="P5113" s="2">
        <v>99.66</v>
      </c>
      <c r="Q5113" s="2">
        <v>8.6</v>
      </c>
      <c r="R5113">
        <v>1</v>
      </c>
      <c r="S5113">
        <v>0</v>
      </c>
      <c r="T5113">
        <v>3</v>
      </c>
      <c r="U5113">
        <v>4</v>
      </c>
    </row>
    <row r="5114" spans="1:21" ht="16.5" x14ac:dyDescent="0.3">
      <c r="A5114" t="s">
        <v>5202</v>
      </c>
      <c r="B5114" s="1">
        <v>45997</v>
      </c>
      <c r="C5114">
        <v>2025</v>
      </c>
      <c r="D5114" t="s">
        <v>1738</v>
      </c>
      <c r="E5114" t="s">
        <v>2310</v>
      </c>
      <c r="F5114" t="s">
        <v>31</v>
      </c>
      <c r="G5114" t="s">
        <v>51</v>
      </c>
      <c r="H5114" t="s">
        <v>26</v>
      </c>
      <c r="I5114" t="s">
        <v>84</v>
      </c>
      <c r="J5114" t="s">
        <v>96</v>
      </c>
      <c r="K5114">
        <v>1</v>
      </c>
      <c r="L5114" s="2">
        <v>10.76</v>
      </c>
      <c r="M5114" s="3">
        <v>0.05</v>
      </c>
      <c r="N5114" t="s">
        <v>29</v>
      </c>
      <c r="O5114" s="2">
        <v>10.220000000000001</v>
      </c>
      <c r="P5114" s="2">
        <v>8.0299999999999994</v>
      </c>
      <c r="Q5114" s="2">
        <v>2.19</v>
      </c>
      <c r="R5114">
        <v>1</v>
      </c>
      <c r="S5114">
        <v>0</v>
      </c>
      <c r="T5114">
        <v>4</v>
      </c>
      <c r="U5114">
        <v>5</v>
      </c>
    </row>
    <row r="5115" spans="1:21" ht="16.5" x14ac:dyDescent="0.3">
      <c r="A5115" t="s">
        <v>5203</v>
      </c>
      <c r="B5115" s="1">
        <v>45997</v>
      </c>
      <c r="C5115">
        <v>2025</v>
      </c>
      <c r="D5115" t="s">
        <v>1738</v>
      </c>
      <c r="E5115" t="s">
        <v>2310</v>
      </c>
      <c r="F5115" t="s">
        <v>31</v>
      </c>
      <c r="G5115" t="s">
        <v>46</v>
      </c>
      <c r="H5115" t="s">
        <v>26</v>
      </c>
      <c r="I5115" t="s">
        <v>42</v>
      </c>
      <c r="J5115" t="s">
        <v>76</v>
      </c>
      <c r="K5115">
        <v>2</v>
      </c>
      <c r="L5115" s="2">
        <v>90.75</v>
      </c>
      <c r="M5115" s="3">
        <v>0.1</v>
      </c>
      <c r="N5115" t="s">
        <v>29</v>
      </c>
      <c r="O5115" s="2">
        <v>163.35</v>
      </c>
      <c r="P5115" s="2">
        <v>119.33</v>
      </c>
      <c r="Q5115" s="2">
        <v>44.02</v>
      </c>
      <c r="R5115">
        <v>1</v>
      </c>
      <c r="S5115">
        <v>0</v>
      </c>
      <c r="T5115">
        <v>7</v>
      </c>
      <c r="U5115">
        <v>3</v>
      </c>
    </row>
    <row r="5116" spans="1:21" ht="16.5" x14ac:dyDescent="0.3">
      <c r="A5116" t="s">
        <v>5204</v>
      </c>
      <c r="B5116" s="1">
        <v>45997</v>
      </c>
      <c r="C5116">
        <v>2025</v>
      </c>
      <c r="D5116" t="s">
        <v>1738</v>
      </c>
      <c r="E5116" t="s">
        <v>2310</v>
      </c>
      <c r="F5116" t="s">
        <v>31</v>
      </c>
      <c r="G5116" t="s">
        <v>49</v>
      </c>
      <c r="H5116" t="s">
        <v>26</v>
      </c>
      <c r="I5116" t="s">
        <v>42</v>
      </c>
      <c r="J5116" t="s">
        <v>58</v>
      </c>
      <c r="K5116">
        <v>4</v>
      </c>
      <c r="L5116" s="2">
        <v>233.81</v>
      </c>
      <c r="M5116" s="3">
        <v>0.1</v>
      </c>
      <c r="N5116" t="s">
        <v>29</v>
      </c>
      <c r="O5116" s="2">
        <v>841.72</v>
      </c>
      <c r="P5116" s="2">
        <v>580.04</v>
      </c>
      <c r="Q5116" s="2">
        <v>261.68</v>
      </c>
      <c r="R5116">
        <v>1</v>
      </c>
      <c r="S5116">
        <v>0</v>
      </c>
      <c r="T5116">
        <v>4</v>
      </c>
      <c r="U5116">
        <v>5</v>
      </c>
    </row>
    <row r="5117" spans="1:21" ht="16.5" x14ac:dyDescent="0.3">
      <c r="A5117" t="s">
        <v>5205</v>
      </c>
      <c r="B5117" s="1">
        <v>45997</v>
      </c>
      <c r="C5117">
        <v>2025</v>
      </c>
      <c r="D5117" t="s">
        <v>1738</v>
      </c>
      <c r="E5117" t="s">
        <v>2310</v>
      </c>
      <c r="F5117" t="s">
        <v>45</v>
      </c>
      <c r="G5117" t="s">
        <v>49</v>
      </c>
      <c r="H5117" t="s">
        <v>26</v>
      </c>
      <c r="I5117" t="s">
        <v>27</v>
      </c>
      <c r="J5117" t="s">
        <v>110</v>
      </c>
      <c r="K5117">
        <v>1</v>
      </c>
      <c r="L5117" s="2">
        <v>19.41</v>
      </c>
      <c r="M5117" s="3">
        <v>0.15</v>
      </c>
      <c r="N5117" t="s">
        <v>34</v>
      </c>
      <c r="O5117" s="2">
        <v>16.5</v>
      </c>
      <c r="P5117" s="2">
        <v>10.95</v>
      </c>
      <c r="Q5117" s="2">
        <v>5.55</v>
      </c>
      <c r="R5117">
        <v>1</v>
      </c>
      <c r="S5117">
        <v>0</v>
      </c>
      <c r="T5117">
        <v>4</v>
      </c>
      <c r="U5117">
        <v>5</v>
      </c>
    </row>
    <row r="5118" spans="1:21" ht="16.5" x14ac:dyDescent="0.3">
      <c r="A5118" t="s">
        <v>5206</v>
      </c>
      <c r="B5118" s="1">
        <v>45997</v>
      </c>
      <c r="C5118">
        <v>2025</v>
      </c>
      <c r="D5118" t="s">
        <v>1738</v>
      </c>
      <c r="E5118" t="s">
        <v>2310</v>
      </c>
      <c r="F5118" t="s">
        <v>31</v>
      </c>
      <c r="G5118" t="s">
        <v>49</v>
      </c>
      <c r="H5118" t="s">
        <v>26</v>
      </c>
      <c r="I5118" t="s">
        <v>36</v>
      </c>
      <c r="J5118" t="s">
        <v>126</v>
      </c>
      <c r="K5118">
        <v>4</v>
      </c>
      <c r="L5118" s="2">
        <v>54.56</v>
      </c>
      <c r="M5118" s="3">
        <v>0.2</v>
      </c>
      <c r="N5118" t="s">
        <v>34</v>
      </c>
      <c r="O5118" s="2">
        <v>174.59</v>
      </c>
      <c r="P5118" s="2">
        <v>110.68</v>
      </c>
      <c r="Q5118" s="2">
        <v>63.91</v>
      </c>
      <c r="R5118">
        <v>1</v>
      </c>
      <c r="S5118">
        <v>0</v>
      </c>
      <c r="T5118">
        <v>4</v>
      </c>
      <c r="U5118">
        <v>5</v>
      </c>
    </row>
    <row r="5119" spans="1:21" ht="16.5" x14ac:dyDescent="0.3">
      <c r="A5119" t="s">
        <v>5207</v>
      </c>
      <c r="B5119" s="1">
        <v>45998</v>
      </c>
      <c r="C5119">
        <v>2025</v>
      </c>
      <c r="D5119" t="s">
        <v>1738</v>
      </c>
      <c r="E5119" t="s">
        <v>2310</v>
      </c>
      <c r="F5119" t="s">
        <v>45</v>
      </c>
      <c r="G5119" t="s">
        <v>51</v>
      </c>
      <c r="H5119" t="s">
        <v>26</v>
      </c>
      <c r="I5119" t="s">
        <v>70</v>
      </c>
      <c r="J5119" t="s">
        <v>71</v>
      </c>
      <c r="K5119">
        <v>1</v>
      </c>
      <c r="L5119" s="2">
        <v>588.41</v>
      </c>
      <c r="M5119" s="3">
        <v>0.2</v>
      </c>
      <c r="N5119" t="s">
        <v>34</v>
      </c>
      <c r="O5119" s="2">
        <v>470.73</v>
      </c>
      <c r="P5119" s="2">
        <v>452.17</v>
      </c>
      <c r="Q5119" s="2">
        <v>18.559999999999999</v>
      </c>
      <c r="R5119">
        <v>1</v>
      </c>
      <c r="S5119">
        <v>0</v>
      </c>
      <c r="T5119">
        <v>3</v>
      </c>
      <c r="U5119">
        <v>4</v>
      </c>
    </row>
    <row r="5120" spans="1:21" ht="16.5" x14ac:dyDescent="0.3">
      <c r="A5120" t="s">
        <v>5208</v>
      </c>
      <c r="B5120" s="1">
        <v>45998</v>
      </c>
      <c r="C5120">
        <v>2025</v>
      </c>
      <c r="D5120" t="s">
        <v>1738</v>
      </c>
      <c r="E5120" t="s">
        <v>2310</v>
      </c>
      <c r="F5120" t="s">
        <v>45</v>
      </c>
      <c r="G5120" t="s">
        <v>46</v>
      </c>
      <c r="H5120" t="s">
        <v>32</v>
      </c>
      <c r="I5120" t="s">
        <v>70</v>
      </c>
      <c r="J5120" t="s">
        <v>252</v>
      </c>
      <c r="K5120">
        <v>1</v>
      </c>
      <c r="L5120" s="2">
        <v>216.08</v>
      </c>
      <c r="M5120" s="3">
        <v>0.15</v>
      </c>
      <c r="N5120" t="s">
        <v>34</v>
      </c>
      <c r="O5120" s="2">
        <v>183.67</v>
      </c>
      <c r="P5120" s="2">
        <v>177.88</v>
      </c>
      <c r="Q5120" s="2">
        <v>5.79</v>
      </c>
      <c r="R5120">
        <v>1</v>
      </c>
      <c r="S5120">
        <v>0</v>
      </c>
      <c r="T5120">
        <v>7</v>
      </c>
      <c r="U5120">
        <v>3</v>
      </c>
    </row>
    <row r="5121" spans="1:21" ht="16.5" x14ac:dyDescent="0.3">
      <c r="A5121" t="s">
        <v>5209</v>
      </c>
      <c r="B5121" s="1">
        <v>45998</v>
      </c>
      <c r="C5121">
        <v>2025</v>
      </c>
      <c r="D5121" t="s">
        <v>1738</v>
      </c>
      <c r="E5121" t="s">
        <v>2310</v>
      </c>
      <c r="F5121" t="s">
        <v>24</v>
      </c>
      <c r="G5121" t="s">
        <v>51</v>
      </c>
      <c r="H5121" t="s">
        <v>26</v>
      </c>
      <c r="I5121" t="s">
        <v>67</v>
      </c>
      <c r="J5121" t="s">
        <v>78</v>
      </c>
      <c r="K5121">
        <v>1</v>
      </c>
      <c r="L5121" s="2">
        <v>85.42</v>
      </c>
      <c r="M5121" s="3">
        <v>0.25</v>
      </c>
      <c r="N5121" t="s">
        <v>62</v>
      </c>
      <c r="O5121" s="2">
        <v>64.06</v>
      </c>
      <c r="P5121" s="2">
        <v>55.72</v>
      </c>
      <c r="Q5121" s="2">
        <v>8.34</v>
      </c>
      <c r="R5121">
        <v>1</v>
      </c>
      <c r="S5121">
        <v>0</v>
      </c>
      <c r="T5121">
        <v>6</v>
      </c>
      <c r="U5121">
        <v>3</v>
      </c>
    </row>
    <row r="5122" spans="1:21" ht="16.5" x14ac:dyDescent="0.3">
      <c r="A5122" t="s">
        <v>5210</v>
      </c>
      <c r="B5122" s="1">
        <v>45998</v>
      </c>
      <c r="C5122">
        <v>2025</v>
      </c>
      <c r="D5122" t="s">
        <v>1738</v>
      </c>
      <c r="E5122" t="s">
        <v>2310</v>
      </c>
      <c r="F5122" t="s">
        <v>45</v>
      </c>
      <c r="G5122" t="s">
        <v>49</v>
      </c>
      <c r="H5122" t="s">
        <v>26</v>
      </c>
      <c r="I5122" t="s">
        <v>27</v>
      </c>
      <c r="J5122" t="s">
        <v>110</v>
      </c>
      <c r="K5122">
        <v>1</v>
      </c>
      <c r="L5122" s="2">
        <v>19.41</v>
      </c>
      <c r="M5122" s="3">
        <v>0.3</v>
      </c>
      <c r="N5122" t="s">
        <v>62</v>
      </c>
      <c r="O5122" s="2">
        <v>13.59</v>
      </c>
      <c r="P5122" s="2">
        <v>10.78</v>
      </c>
      <c r="Q5122" s="2">
        <v>2.81</v>
      </c>
      <c r="R5122">
        <v>1</v>
      </c>
      <c r="S5122">
        <v>0</v>
      </c>
      <c r="T5122">
        <v>5</v>
      </c>
      <c r="U5122">
        <v>5</v>
      </c>
    </row>
    <row r="5123" spans="1:21" ht="16.5" x14ac:dyDescent="0.3">
      <c r="A5123" t="s">
        <v>5211</v>
      </c>
      <c r="B5123" s="1">
        <v>45998</v>
      </c>
      <c r="C5123">
        <v>2025</v>
      </c>
      <c r="D5123" t="s">
        <v>1738</v>
      </c>
      <c r="E5123" t="s">
        <v>2310</v>
      </c>
      <c r="F5123" t="s">
        <v>31</v>
      </c>
      <c r="G5123" t="s">
        <v>46</v>
      </c>
      <c r="H5123" t="s">
        <v>26</v>
      </c>
      <c r="I5123" t="s">
        <v>27</v>
      </c>
      <c r="J5123" t="s">
        <v>110</v>
      </c>
      <c r="K5123">
        <v>1</v>
      </c>
      <c r="L5123" s="2">
        <v>19.41</v>
      </c>
      <c r="M5123" s="3">
        <v>0.2</v>
      </c>
      <c r="N5123" t="s">
        <v>34</v>
      </c>
      <c r="O5123" s="2">
        <v>15.53</v>
      </c>
      <c r="P5123" s="2">
        <v>10.9</v>
      </c>
      <c r="Q5123" s="2">
        <v>4.63</v>
      </c>
      <c r="R5123">
        <v>1</v>
      </c>
      <c r="S5123">
        <v>0</v>
      </c>
      <c r="T5123">
        <v>7</v>
      </c>
      <c r="U5123">
        <v>3</v>
      </c>
    </row>
    <row r="5124" spans="1:21" ht="16.5" x14ac:dyDescent="0.3">
      <c r="A5124" t="s">
        <v>5212</v>
      </c>
      <c r="B5124" s="1">
        <v>45998</v>
      </c>
      <c r="C5124">
        <v>2025</v>
      </c>
      <c r="D5124" t="s">
        <v>1738</v>
      </c>
      <c r="E5124" t="s">
        <v>2310</v>
      </c>
      <c r="F5124" t="s">
        <v>31</v>
      </c>
      <c r="G5124" t="s">
        <v>51</v>
      </c>
      <c r="H5124" t="s">
        <v>26</v>
      </c>
      <c r="I5124" t="s">
        <v>70</v>
      </c>
      <c r="J5124" t="s">
        <v>129</v>
      </c>
      <c r="K5124">
        <v>1</v>
      </c>
      <c r="L5124" s="2">
        <v>177.65</v>
      </c>
      <c r="M5124" s="3">
        <v>0.2</v>
      </c>
      <c r="N5124" t="s">
        <v>34</v>
      </c>
      <c r="O5124" s="2">
        <v>142.12</v>
      </c>
      <c r="P5124" s="2">
        <v>139.54</v>
      </c>
      <c r="Q5124" s="2">
        <v>2.58</v>
      </c>
      <c r="R5124">
        <v>1</v>
      </c>
      <c r="S5124">
        <v>0</v>
      </c>
      <c r="T5124">
        <v>4</v>
      </c>
      <c r="U5124">
        <v>4</v>
      </c>
    </row>
    <row r="5125" spans="1:21" ht="16.5" x14ac:dyDescent="0.3">
      <c r="A5125" t="s">
        <v>5213</v>
      </c>
      <c r="B5125" s="1">
        <v>45998</v>
      </c>
      <c r="C5125">
        <v>2025</v>
      </c>
      <c r="D5125" t="s">
        <v>1738</v>
      </c>
      <c r="E5125" t="s">
        <v>2310</v>
      </c>
      <c r="F5125" t="s">
        <v>31</v>
      </c>
      <c r="G5125" t="s">
        <v>25</v>
      </c>
      <c r="H5125" t="s">
        <v>32</v>
      </c>
      <c r="I5125" t="s">
        <v>42</v>
      </c>
      <c r="J5125" t="s">
        <v>76</v>
      </c>
      <c r="K5125">
        <v>4</v>
      </c>
      <c r="L5125" s="2">
        <v>90.75</v>
      </c>
      <c r="M5125" s="3">
        <v>0.25</v>
      </c>
      <c r="N5125" t="s">
        <v>62</v>
      </c>
      <c r="O5125" s="2">
        <v>272.25</v>
      </c>
      <c r="P5125" s="2">
        <v>246.31</v>
      </c>
      <c r="Q5125" s="2">
        <v>25.94</v>
      </c>
      <c r="R5125">
        <v>1</v>
      </c>
      <c r="S5125">
        <v>0</v>
      </c>
      <c r="T5125">
        <v>4</v>
      </c>
      <c r="U5125">
        <v>4</v>
      </c>
    </row>
    <row r="5126" spans="1:21" ht="16.5" x14ac:dyDescent="0.3">
      <c r="A5126" t="s">
        <v>5214</v>
      </c>
      <c r="B5126" s="1">
        <v>45998</v>
      </c>
      <c r="C5126">
        <v>2025</v>
      </c>
      <c r="D5126" t="s">
        <v>1738</v>
      </c>
      <c r="E5126" t="s">
        <v>2310</v>
      </c>
      <c r="F5126" t="s">
        <v>31</v>
      </c>
      <c r="G5126" t="s">
        <v>49</v>
      </c>
      <c r="H5126" t="s">
        <v>26</v>
      </c>
      <c r="I5126" t="s">
        <v>36</v>
      </c>
      <c r="J5126" t="s">
        <v>115</v>
      </c>
      <c r="K5126">
        <v>1</v>
      </c>
      <c r="L5126" s="2">
        <v>33.479999999999997</v>
      </c>
      <c r="M5126" s="3">
        <v>0.25</v>
      </c>
      <c r="N5126" t="s">
        <v>62</v>
      </c>
      <c r="O5126" s="2">
        <v>25.11</v>
      </c>
      <c r="P5126" s="2">
        <v>15.73</v>
      </c>
      <c r="Q5126" s="2">
        <v>9.3800000000000008</v>
      </c>
      <c r="R5126">
        <v>1</v>
      </c>
      <c r="S5126">
        <v>0</v>
      </c>
      <c r="T5126">
        <v>5</v>
      </c>
      <c r="U5126">
        <v>4</v>
      </c>
    </row>
    <row r="5127" spans="1:21" ht="16.5" x14ac:dyDescent="0.3">
      <c r="A5127" t="s">
        <v>5215</v>
      </c>
      <c r="B5127" s="1">
        <v>45998</v>
      </c>
      <c r="C5127">
        <v>2025</v>
      </c>
      <c r="D5127" t="s">
        <v>1738</v>
      </c>
      <c r="E5127" t="s">
        <v>2310</v>
      </c>
      <c r="F5127" t="s">
        <v>24</v>
      </c>
      <c r="G5127" t="s">
        <v>25</v>
      </c>
      <c r="H5127" t="s">
        <v>26</v>
      </c>
      <c r="I5127" t="s">
        <v>36</v>
      </c>
      <c r="J5127" t="s">
        <v>56</v>
      </c>
      <c r="K5127">
        <v>1</v>
      </c>
      <c r="L5127" s="2">
        <v>74.3</v>
      </c>
      <c r="M5127" s="3">
        <v>0.2</v>
      </c>
      <c r="N5127" t="s">
        <v>34</v>
      </c>
      <c r="O5127" s="2">
        <v>59.44</v>
      </c>
      <c r="P5127" s="2">
        <v>38.08</v>
      </c>
      <c r="Q5127" s="2">
        <v>21.36</v>
      </c>
      <c r="R5127">
        <v>1</v>
      </c>
      <c r="S5127">
        <v>0</v>
      </c>
      <c r="T5127">
        <v>5</v>
      </c>
      <c r="U5127">
        <v>4</v>
      </c>
    </row>
    <row r="5128" spans="1:21" ht="16.5" x14ac:dyDescent="0.3">
      <c r="A5128" t="s">
        <v>5216</v>
      </c>
      <c r="B5128" s="1">
        <v>45998</v>
      </c>
      <c r="C5128">
        <v>2025</v>
      </c>
      <c r="D5128" t="s">
        <v>1738</v>
      </c>
      <c r="E5128" t="s">
        <v>2310</v>
      </c>
      <c r="F5128" t="s">
        <v>31</v>
      </c>
      <c r="G5128" t="s">
        <v>49</v>
      </c>
      <c r="H5128" t="s">
        <v>32</v>
      </c>
      <c r="I5128" t="s">
        <v>70</v>
      </c>
      <c r="J5128" t="s">
        <v>252</v>
      </c>
      <c r="K5128">
        <v>1</v>
      </c>
      <c r="L5128" s="2">
        <v>216.08</v>
      </c>
      <c r="M5128" s="3">
        <v>0.1</v>
      </c>
      <c r="N5128" t="s">
        <v>29</v>
      </c>
      <c r="O5128" s="2">
        <v>194.47</v>
      </c>
      <c r="P5128" s="2">
        <v>172.29</v>
      </c>
      <c r="Q5128" s="2">
        <v>22.18</v>
      </c>
      <c r="R5128">
        <v>1</v>
      </c>
      <c r="S5128">
        <v>0</v>
      </c>
      <c r="T5128">
        <v>6</v>
      </c>
      <c r="U5128">
        <v>4</v>
      </c>
    </row>
    <row r="5129" spans="1:21" ht="16.5" x14ac:dyDescent="0.3">
      <c r="A5129" t="s">
        <v>5217</v>
      </c>
      <c r="B5129" s="1">
        <v>45998</v>
      </c>
      <c r="C5129">
        <v>2025</v>
      </c>
      <c r="D5129" t="s">
        <v>1738</v>
      </c>
      <c r="E5129" t="s">
        <v>2310</v>
      </c>
      <c r="F5129" t="s">
        <v>24</v>
      </c>
      <c r="G5129" t="s">
        <v>49</v>
      </c>
      <c r="H5129" t="s">
        <v>32</v>
      </c>
      <c r="I5129" t="s">
        <v>67</v>
      </c>
      <c r="J5129" t="s">
        <v>78</v>
      </c>
      <c r="K5129">
        <v>3</v>
      </c>
      <c r="L5129" s="2">
        <v>85.42</v>
      </c>
      <c r="M5129" s="3">
        <v>0.25</v>
      </c>
      <c r="N5129" t="s">
        <v>62</v>
      </c>
      <c r="O5129" s="2">
        <v>192.2</v>
      </c>
      <c r="P5129" s="2">
        <v>164.36</v>
      </c>
      <c r="Q5129" s="2">
        <v>27.84</v>
      </c>
      <c r="R5129">
        <v>1</v>
      </c>
      <c r="S5129">
        <v>0</v>
      </c>
      <c r="T5129">
        <v>5</v>
      </c>
      <c r="U5129">
        <v>4</v>
      </c>
    </row>
    <row r="5130" spans="1:21" ht="16.5" x14ac:dyDescent="0.3">
      <c r="A5130" t="s">
        <v>5218</v>
      </c>
      <c r="B5130" s="1">
        <v>45998</v>
      </c>
      <c r="C5130">
        <v>2025</v>
      </c>
      <c r="D5130" t="s">
        <v>1738</v>
      </c>
      <c r="E5130" t="s">
        <v>2310</v>
      </c>
      <c r="F5130" t="s">
        <v>24</v>
      </c>
      <c r="G5130" t="s">
        <v>25</v>
      </c>
      <c r="H5130" t="s">
        <v>26</v>
      </c>
      <c r="I5130" t="s">
        <v>27</v>
      </c>
      <c r="J5130" t="s">
        <v>60</v>
      </c>
      <c r="K5130">
        <v>1</v>
      </c>
      <c r="L5130" s="2">
        <v>94.85</v>
      </c>
      <c r="M5130" s="3">
        <v>0.1</v>
      </c>
      <c r="N5130" t="s">
        <v>29</v>
      </c>
      <c r="O5130" s="2">
        <v>85.36</v>
      </c>
      <c r="P5130" s="2">
        <v>51.45</v>
      </c>
      <c r="Q5130" s="2">
        <v>33.909999999999997</v>
      </c>
      <c r="R5130">
        <v>1</v>
      </c>
      <c r="S5130">
        <v>0</v>
      </c>
      <c r="T5130">
        <v>6</v>
      </c>
      <c r="U5130">
        <v>4</v>
      </c>
    </row>
    <row r="5131" spans="1:21" ht="16.5" x14ac:dyDescent="0.3">
      <c r="A5131" t="s">
        <v>5219</v>
      </c>
      <c r="B5131" s="1">
        <v>45998</v>
      </c>
      <c r="C5131">
        <v>2025</v>
      </c>
      <c r="D5131" t="s">
        <v>1738</v>
      </c>
      <c r="E5131" t="s">
        <v>2310</v>
      </c>
      <c r="F5131" t="s">
        <v>31</v>
      </c>
      <c r="G5131" t="s">
        <v>25</v>
      </c>
      <c r="H5131" t="s">
        <v>32</v>
      </c>
      <c r="I5131" t="s">
        <v>36</v>
      </c>
      <c r="J5131" t="s">
        <v>37</v>
      </c>
      <c r="K5131">
        <v>2</v>
      </c>
      <c r="L5131" s="2">
        <v>33.18</v>
      </c>
      <c r="M5131" s="3">
        <v>0.05</v>
      </c>
      <c r="N5131" t="s">
        <v>29</v>
      </c>
      <c r="O5131" s="2">
        <v>63.04</v>
      </c>
      <c r="P5131" s="2">
        <v>32</v>
      </c>
      <c r="Q5131" s="2">
        <v>31.04</v>
      </c>
      <c r="R5131">
        <v>1</v>
      </c>
      <c r="S5131">
        <v>0</v>
      </c>
      <c r="T5131">
        <v>5</v>
      </c>
      <c r="U5131">
        <v>4</v>
      </c>
    </row>
    <row r="5132" spans="1:21" ht="16.5" x14ac:dyDescent="0.3">
      <c r="A5132" t="s">
        <v>5220</v>
      </c>
      <c r="B5132" s="1">
        <v>45998</v>
      </c>
      <c r="C5132">
        <v>2025</v>
      </c>
      <c r="D5132" t="s">
        <v>1738</v>
      </c>
      <c r="E5132" t="s">
        <v>2310</v>
      </c>
      <c r="F5132" t="s">
        <v>31</v>
      </c>
      <c r="G5132" t="s">
        <v>49</v>
      </c>
      <c r="H5132" t="s">
        <v>26</v>
      </c>
      <c r="I5132" t="s">
        <v>36</v>
      </c>
      <c r="J5132" t="s">
        <v>126</v>
      </c>
      <c r="K5132">
        <v>2</v>
      </c>
      <c r="L5132" s="2">
        <v>54.56</v>
      </c>
      <c r="M5132" s="3">
        <v>0.05</v>
      </c>
      <c r="N5132" t="s">
        <v>29</v>
      </c>
      <c r="O5132" s="2">
        <v>103.66</v>
      </c>
      <c r="P5132" s="2">
        <v>51.93</v>
      </c>
      <c r="Q5132" s="2">
        <v>51.73</v>
      </c>
      <c r="R5132">
        <v>1</v>
      </c>
      <c r="S5132">
        <v>0</v>
      </c>
      <c r="T5132">
        <v>5</v>
      </c>
      <c r="U5132">
        <v>4</v>
      </c>
    </row>
    <row r="5133" spans="1:21" ht="16.5" x14ac:dyDescent="0.3">
      <c r="A5133" t="s">
        <v>5221</v>
      </c>
      <c r="B5133" s="1">
        <v>45998</v>
      </c>
      <c r="C5133">
        <v>2025</v>
      </c>
      <c r="D5133" t="s">
        <v>1738</v>
      </c>
      <c r="E5133" t="s">
        <v>2310</v>
      </c>
      <c r="F5133" t="s">
        <v>24</v>
      </c>
      <c r="G5133" t="s">
        <v>49</v>
      </c>
      <c r="H5133" t="s">
        <v>32</v>
      </c>
      <c r="I5133" t="s">
        <v>27</v>
      </c>
      <c r="J5133" t="s">
        <v>40</v>
      </c>
      <c r="K5133">
        <v>1</v>
      </c>
      <c r="L5133" s="2">
        <v>104.94</v>
      </c>
      <c r="M5133" s="3">
        <v>0.25</v>
      </c>
      <c r="N5133" t="s">
        <v>62</v>
      </c>
      <c r="O5133" s="2">
        <v>78.7</v>
      </c>
      <c r="P5133" s="2">
        <v>53.02</v>
      </c>
      <c r="Q5133" s="2">
        <v>25.68</v>
      </c>
      <c r="R5133">
        <v>1</v>
      </c>
      <c r="S5133">
        <v>0</v>
      </c>
      <c r="T5133">
        <v>5</v>
      </c>
      <c r="U5133">
        <v>3</v>
      </c>
    </row>
    <row r="5134" spans="1:21" ht="16.5" x14ac:dyDescent="0.3">
      <c r="A5134" t="s">
        <v>5222</v>
      </c>
      <c r="B5134" s="1">
        <v>45998</v>
      </c>
      <c r="C5134">
        <v>2025</v>
      </c>
      <c r="D5134" t="s">
        <v>1738</v>
      </c>
      <c r="E5134" t="s">
        <v>2310</v>
      </c>
      <c r="F5134" t="s">
        <v>31</v>
      </c>
      <c r="G5134" t="s">
        <v>49</v>
      </c>
      <c r="H5134" t="s">
        <v>32</v>
      </c>
      <c r="I5134" t="s">
        <v>70</v>
      </c>
      <c r="J5134" t="s">
        <v>162</v>
      </c>
      <c r="K5134">
        <v>3</v>
      </c>
      <c r="L5134" s="2">
        <v>636.09</v>
      </c>
      <c r="M5134" s="3">
        <v>0.2</v>
      </c>
      <c r="N5134" t="s">
        <v>34</v>
      </c>
      <c r="O5134" s="2">
        <v>1526.62</v>
      </c>
      <c r="P5134" s="2">
        <v>1596.99</v>
      </c>
      <c r="Q5134" s="2">
        <v>-70.37</v>
      </c>
      <c r="R5134">
        <v>1</v>
      </c>
      <c r="S5134">
        <v>0</v>
      </c>
      <c r="T5134">
        <v>6</v>
      </c>
      <c r="U5134">
        <v>3</v>
      </c>
    </row>
    <row r="5135" spans="1:21" ht="16.5" x14ac:dyDescent="0.3">
      <c r="A5135" t="s">
        <v>5223</v>
      </c>
      <c r="B5135" s="1">
        <v>45998</v>
      </c>
      <c r="C5135">
        <v>2025</v>
      </c>
      <c r="D5135" t="s">
        <v>1738</v>
      </c>
      <c r="E5135" t="s">
        <v>2310</v>
      </c>
      <c r="F5135" t="s">
        <v>31</v>
      </c>
      <c r="G5135" t="s">
        <v>51</v>
      </c>
      <c r="H5135" t="s">
        <v>32</v>
      </c>
      <c r="I5135" t="s">
        <v>67</v>
      </c>
      <c r="J5135" t="s">
        <v>174</v>
      </c>
      <c r="K5135">
        <v>2</v>
      </c>
      <c r="L5135" s="2">
        <v>137.05000000000001</v>
      </c>
      <c r="M5135" s="3">
        <v>0.15</v>
      </c>
      <c r="N5135" t="s">
        <v>34</v>
      </c>
      <c r="O5135" s="2">
        <v>232.98</v>
      </c>
      <c r="P5135" s="2">
        <v>182.15</v>
      </c>
      <c r="Q5135" s="2">
        <v>50.83</v>
      </c>
      <c r="R5135">
        <v>1</v>
      </c>
      <c r="S5135">
        <v>0</v>
      </c>
      <c r="T5135">
        <v>3</v>
      </c>
      <c r="U5135">
        <v>4</v>
      </c>
    </row>
    <row r="5136" spans="1:21" ht="16.5" x14ac:dyDescent="0.3">
      <c r="A5136" t="s">
        <v>5224</v>
      </c>
      <c r="B5136" s="1">
        <v>45998</v>
      </c>
      <c r="C5136">
        <v>2025</v>
      </c>
      <c r="D5136" t="s">
        <v>1738</v>
      </c>
      <c r="E5136" t="s">
        <v>2310</v>
      </c>
      <c r="F5136" t="s">
        <v>45</v>
      </c>
      <c r="G5136" t="s">
        <v>25</v>
      </c>
      <c r="H5136" t="s">
        <v>26</v>
      </c>
      <c r="I5136" t="s">
        <v>70</v>
      </c>
      <c r="J5136" t="s">
        <v>129</v>
      </c>
      <c r="K5136">
        <v>1</v>
      </c>
      <c r="L5136" s="2">
        <v>177.65</v>
      </c>
      <c r="M5136" s="3">
        <v>0.15</v>
      </c>
      <c r="N5136" t="s">
        <v>34</v>
      </c>
      <c r="O5136" s="2">
        <v>151</v>
      </c>
      <c r="P5136" s="2">
        <v>132.18</v>
      </c>
      <c r="Q5136" s="2">
        <v>18.82</v>
      </c>
      <c r="R5136">
        <v>1</v>
      </c>
      <c r="S5136">
        <v>0</v>
      </c>
      <c r="T5136">
        <v>4</v>
      </c>
      <c r="U5136">
        <v>4</v>
      </c>
    </row>
    <row r="5137" spans="1:21" ht="16.5" x14ac:dyDescent="0.3">
      <c r="A5137" t="s">
        <v>5225</v>
      </c>
      <c r="B5137" s="1">
        <v>45999</v>
      </c>
      <c r="C5137">
        <v>2025</v>
      </c>
      <c r="D5137" t="s">
        <v>1738</v>
      </c>
      <c r="E5137" t="s">
        <v>2310</v>
      </c>
      <c r="F5137" t="s">
        <v>45</v>
      </c>
      <c r="G5137" t="s">
        <v>25</v>
      </c>
      <c r="H5137" t="s">
        <v>26</v>
      </c>
      <c r="I5137" t="s">
        <v>70</v>
      </c>
      <c r="J5137" t="s">
        <v>82</v>
      </c>
      <c r="K5137">
        <v>1</v>
      </c>
      <c r="L5137" s="2">
        <v>508.8</v>
      </c>
      <c r="M5137" s="3">
        <v>0.3</v>
      </c>
      <c r="N5137" t="s">
        <v>62</v>
      </c>
      <c r="O5137" s="2">
        <v>356.16</v>
      </c>
      <c r="P5137" s="2">
        <v>409.04</v>
      </c>
      <c r="Q5137" s="2">
        <v>-52.88</v>
      </c>
      <c r="R5137">
        <v>1</v>
      </c>
      <c r="S5137">
        <v>0</v>
      </c>
      <c r="T5137">
        <v>5</v>
      </c>
      <c r="U5137">
        <v>5</v>
      </c>
    </row>
    <row r="5138" spans="1:21" ht="16.5" x14ac:dyDescent="0.3">
      <c r="A5138" t="s">
        <v>5226</v>
      </c>
      <c r="B5138" s="1">
        <v>45999</v>
      </c>
      <c r="C5138">
        <v>2025</v>
      </c>
      <c r="D5138" t="s">
        <v>1738</v>
      </c>
      <c r="E5138" t="s">
        <v>2310</v>
      </c>
      <c r="F5138" t="s">
        <v>45</v>
      </c>
      <c r="G5138" t="s">
        <v>25</v>
      </c>
      <c r="H5138" t="s">
        <v>32</v>
      </c>
      <c r="I5138" t="s">
        <v>70</v>
      </c>
      <c r="J5138" t="s">
        <v>71</v>
      </c>
      <c r="K5138">
        <v>1</v>
      </c>
      <c r="L5138" s="2">
        <v>588.41</v>
      </c>
      <c r="M5138" s="3">
        <v>0.05</v>
      </c>
      <c r="N5138" t="s">
        <v>29</v>
      </c>
      <c r="O5138" s="2">
        <v>558.99</v>
      </c>
      <c r="P5138" s="2">
        <v>481.05</v>
      </c>
      <c r="Q5138" s="2">
        <v>77.94</v>
      </c>
      <c r="R5138">
        <v>1</v>
      </c>
      <c r="S5138">
        <v>0</v>
      </c>
      <c r="T5138">
        <v>4</v>
      </c>
      <c r="U5138">
        <v>4</v>
      </c>
    </row>
    <row r="5139" spans="1:21" ht="16.5" x14ac:dyDescent="0.3">
      <c r="A5139" t="s">
        <v>5227</v>
      </c>
      <c r="B5139" s="1">
        <v>45999</v>
      </c>
      <c r="C5139">
        <v>2025</v>
      </c>
      <c r="D5139" t="s">
        <v>1738</v>
      </c>
      <c r="E5139" t="s">
        <v>2310</v>
      </c>
      <c r="F5139" t="s">
        <v>24</v>
      </c>
      <c r="G5139" t="s">
        <v>46</v>
      </c>
      <c r="H5139" t="s">
        <v>32</v>
      </c>
      <c r="I5139" t="s">
        <v>70</v>
      </c>
      <c r="J5139" t="s">
        <v>129</v>
      </c>
      <c r="K5139">
        <v>1</v>
      </c>
      <c r="L5139" s="2">
        <v>177.65</v>
      </c>
      <c r="M5139" s="3">
        <v>0.1</v>
      </c>
      <c r="N5139" t="s">
        <v>29</v>
      </c>
      <c r="O5139" s="2">
        <v>159.88999999999999</v>
      </c>
      <c r="P5139" s="2">
        <v>146.24</v>
      </c>
      <c r="Q5139" s="2">
        <v>13.65</v>
      </c>
      <c r="R5139">
        <v>1</v>
      </c>
      <c r="S5139">
        <v>0</v>
      </c>
      <c r="T5139">
        <v>8</v>
      </c>
      <c r="U5139">
        <v>4</v>
      </c>
    </row>
    <row r="5140" spans="1:21" ht="16.5" x14ac:dyDescent="0.3">
      <c r="A5140" t="s">
        <v>5228</v>
      </c>
      <c r="B5140" s="1">
        <v>46000</v>
      </c>
      <c r="C5140">
        <v>2025</v>
      </c>
      <c r="D5140" t="s">
        <v>1738</v>
      </c>
      <c r="E5140" t="s">
        <v>2310</v>
      </c>
      <c r="F5140" t="s">
        <v>24</v>
      </c>
      <c r="G5140" t="s">
        <v>51</v>
      </c>
      <c r="H5140" t="s">
        <v>32</v>
      </c>
      <c r="I5140" t="s">
        <v>27</v>
      </c>
      <c r="J5140" t="s">
        <v>33</v>
      </c>
      <c r="K5140">
        <v>1</v>
      </c>
      <c r="L5140" s="2">
        <v>78.510000000000005</v>
      </c>
      <c r="M5140" s="3">
        <v>0.2</v>
      </c>
      <c r="N5140" t="s">
        <v>34</v>
      </c>
      <c r="O5140" s="2">
        <v>62.81</v>
      </c>
      <c r="P5140" s="2">
        <v>42.52</v>
      </c>
      <c r="Q5140" s="2">
        <v>20.29</v>
      </c>
      <c r="R5140">
        <v>1</v>
      </c>
      <c r="S5140">
        <v>0</v>
      </c>
      <c r="T5140">
        <v>4</v>
      </c>
      <c r="U5140">
        <v>5</v>
      </c>
    </row>
    <row r="5141" spans="1:21" ht="16.5" x14ac:dyDescent="0.3">
      <c r="A5141" t="s">
        <v>5229</v>
      </c>
      <c r="B5141" s="1">
        <v>46000</v>
      </c>
      <c r="C5141">
        <v>2025</v>
      </c>
      <c r="D5141" t="s">
        <v>1738</v>
      </c>
      <c r="E5141" t="s">
        <v>2310</v>
      </c>
      <c r="F5141" t="s">
        <v>24</v>
      </c>
      <c r="G5141" t="s">
        <v>51</v>
      </c>
      <c r="H5141" t="s">
        <v>26</v>
      </c>
      <c r="I5141" t="s">
        <v>67</v>
      </c>
      <c r="J5141" t="s">
        <v>93</v>
      </c>
      <c r="K5141">
        <v>1</v>
      </c>
      <c r="L5141" s="2">
        <v>198.42</v>
      </c>
      <c r="M5141" s="3">
        <v>0.25</v>
      </c>
      <c r="N5141" t="s">
        <v>62</v>
      </c>
      <c r="O5141" s="2">
        <v>148.82</v>
      </c>
      <c r="P5141" s="2">
        <v>136.31</v>
      </c>
      <c r="Q5141" s="2">
        <v>12.51</v>
      </c>
      <c r="R5141">
        <v>1</v>
      </c>
      <c r="S5141">
        <v>0</v>
      </c>
      <c r="T5141">
        <v>4</v>
      </c>
      <c r="U5141">
        <v>5</v>
      </c>
    </row>
    <row r="5142" spans="1:21" ht="16.5" x14ac:dyDescent="0.3">
      <c r="A5142" t="s">
        <v>5230</v>
      </c>
      <c r="B5142" s="1">
        <v>46000</v>
      </c>
      <c r="C5142">
        <v>2025</v>
      </c>
      <c r="D5142" t="s">
        <v>1738</v>
      </c>
      <c r="E5142" t="s">
        <v>2310</v>
      </c>
      <c r="F5142" t="s">
        <v>45</v>
      </c>
      <c r="G5142" t="s">
        <v>65</v>
      </c>
      <c r="H5142" t="s">
        <v>32</v>
      </c>
      <c r="I5142" t="s">
        <v>67</v>
      </c>
      <c r="J5142" t="s">
        <v>93</v>
      </c>
      <c r="K5142">
        <v>2</v>
      </c>
      <c r="L5142" s="2">
        <v>198.42</v>
      </c>
      <c r="M5142" s="3">
        <v>0.25</v>
      </c>
      <c r="N5142" t="s">
        <v>62</v>
      </c>
      <c r="O5142" s="2">
        <v>297.63</v>
      </c>
      <c r="P5142" s="2">
        <v>261.22000000000003</v>
      </c>
      <c r="Q5142" s="2">
        <v>36.409999999999997</v>
      </c>
      <c r="R5142">
        <v>1</v>
      </c>
      <c r="S5142">
        <v>0</v>
      </c>
      <c r="T5142">
        <v>6</v>
      </c>
      <c r="U5142">
        <v>4</v>
      </c>
    </row>
    <row r="5143" spans="1:21" ht="16.5" x14ac:dyDescent="0.3">
      <c r="A5143" t="s">
        <v>5231</v>
      </c>
      <c r="B5143" s="1">
        <v>46000</v>
      </c>
      <c r="C5143">
        <v>2025</v>
      </c>
      <c r="D5143" t="s">
        <v>1738</v>
      </c>
      <c r="E5143" t="s">
        <v>2310</v>
      </c>
      <c r="F5143" t="s">
        <v>24</v>
      </c>
      <c r="G5143" t="s">
        <v>51</v>
      </c>
      <c r="H5143" t="s">
        <v>26</v>
      </c>
      <c r="I5143" t="s">
        <v>42</v>
      </c>
      <c r="J5143" t="s">
        <v>98</v>
      </c>
      <c r="K5143">
        <v>1</v>
      </c>
      <c r="L5143" s="2">
        <v>117.63</v>
      </c>
      <c r="M5143" s="3">
        <v>0.25</v>
      </c>
      <c r="N5143" t="s">
        <v>62</v>
      </c>
      <c r="O5143" s="2">
        <v>88.22</v>
      </c>
      <c r="P5143" s="2">
        <v>76.150000000000006</v>
      </c>
      <c r="Q5143" s="2">
        <v>12.07</v>
      </c>
      <c r="R5143">
        <v>1</v>
      </c>
      <c r="S5143">
        <v>0</v>
      </c>
      <c r="T5143">
        <v>7</v>
      </c>
      <c r="U5143">
        <v>4</v>
      </c>
    </row>
    <row r="5144" spans="1:21" ht="16.5" x14ac:dyDescent="0.3">
      <c r="A5144" t="s">
        <v>5232</v>
      </c>
      <c r="B5144" s="1">
        <v>46000</v>
      </c>
      <c r="C5144">
        <v>2025</v>
      </c>
      <c r="D5144" t="s">
        <v>1738</v>
      </c>
      <c r="E5144" t="s">
        <v>2310</v>
      </c>
      <c r="F5144" t="s">
        <v>31</v>
      </c>
      <c r="G5144" t="s">
        <v>49</v>
      </c>
      <c r="H5144" t="s">
        <v>26</v>
      </c>
      <c r="I5144" t="s">
        <v>27</v>
      </c>
      <c r="J5144" t="s">
        <v>33</v>
      </c>
      <c r="K5144">
        <v>1</v>
      </c>
      <c r="L5144" s="2">
        <v>78.510000000000005</v>
      </c>
      <c r="M5144" s="3">
        <v>0.05</v>
      </c>
      <c r="N5144" t="s">
        <v>29</v>
      </c>
      <c r="O5144" s="2">
        <v>74.58</v>
      </c>
      <c r="P5144" s="2">
        <v>41.47</v>
      </c>
      <c r="Q5144" s="2">
        <v>33.11</v>
      </c>
      <c r="R5144">
        <v>1</v>
      </c>
      <c r="S5144">
        <v>0</v>
      </c>
      <c r="T5144">
        <v>5</v>
      </c>
      <c r="U5144">
        <v>5</v>
      </c>
    </row>
    <row r="5145" spans="1:21" ht="16.5" x14ac:dyDescent="0.3">
      <c r="A5145" t="s">
        <v>5233</v>
      </c>
      <c r="B5145" s="1">
        <v>46000</v>
      </c>
      <c r="C5145">
        <v>2025</v>
      </c>
      <c r="D5145" t="s">
        <v>1738</v>
      </c>
      <c r="E5145" t="s">
        <v>2310</v>
      </c>
      <c r="F5145" t="s">
        <v>31</v>
      </c>
      <c r="G5145" t="s">
        <v>25</v>
      </c>
      <c r="H5145" t="s">
        <v>26</v>
      </c>
      <c r="I5145" t="s">
        <v>67</v>
      </c>
      <c r="J5145" t="s">
        <v>93</v>
      </c>
      <c r="K5145">
        <v>1</v>
      </c>
      <c r="L5145" s="2">
        <v>198.42</v>
      </c>
      <c r="M5145" s="3">
        <v>0.15</v>
      </c>
      <c r="N5145" t="s">
        <v>34</v>
      </c>
      <c r="O5145" s="2">
        <v>168.66</v>
      </c>
      <c r="P5145" s="2">
        <v>127.19</v>
      </c>
      <c r="Q5145" s="2">
        <v>41.47</v>
      </c>
      <c r="R5145">
        <v>1</v>
      </c>
      <c r="S5145">
        <v>0</v>
      </c>
      <c r="T5145">
        <v>6</v>
      </c>
      <c r="U5145">
        <v>3</v>
      </c>
    </row>
    <row r="5146" spans="1:21" ht="16.5" x14ac:dyDescent="0.3">
      <c r="A5146" t="s">
        <v>5234</v>
      </c>
      <c r="B5146" s="1">
        <v>46000</v>
      </c>
      <c r="C5146">
        <v>2025</v>
      </c>
      <c r="D5146" t="s">
        <v>1738</v>
      </c>
      <c r="E5146" t="s">
        <v>2310</v>
      </c>
      <c r="F5146" t="s">
        <v>24</v>
      </c>
      <c r="G5146" t="s">
        <v>51</v>
      </c>
      <c r="H5146" t="s">
        <v>26</v>
      </c>
      <c r="I5146" t="s">
        <v>42</v>
      </c>
      <c r="J5146" t="s">
        <v>58</v>
      </c>
      <c r="K5146">
        <v>2</v>
      </c>
      <c r="L5146" s="2">
        <v>233.81</v>
      </c>
      <c r="M5146" s="3">
        <v>0.2</v>
      </c>
      <c r="N5146" t="s">
        <v>34</v>
      </c>
      <c r="O5146" s="2">
        <v>374.1</v>
      </c>
      <c r="P5146" s="2">
        <v>317.58999999999997</v>
      </c>
      <c r="Q5146" s="2">
        <v>56.51</v>
      </c>
      <c r="R5146">
        <v>1</v>
      </c>
      <c r="S5146">
        <v>1</v>
      </c>
      <c r="T5146">
        <v>3</v>
      </c>
      <c r="U5146">
        <v>2</v>
      </c>
    </row>
    <row r="5147" spans="1:21" ht="16.5" x14ac:dyDescent="0.3">
      <c r="A5147" t="s">
        <v>5235</v>
      </c>
      <c r="B5147" s="1">
        <v>46000</v>
      </c>
      <c r="C5147">
        <v>2025</v>
      </c>
      <c r="D5147" t="s">
        <v>1738</v>
      </c>
      <c r="E5147" t="s">
        <v>2310</v>
      </c>
      <c r="F5147" t="s">
        <v>24</v>
      </c>
      <c r="G5147" t="s">
        <v>65</v>
      </c>
      <c r="H5147" t="s">
        <v>32</v>
      </c>
      <c r="I5147" t="s">
        <v>27</v>
      </c>
      <c r="J5147" t="s">
        <v>33</v>
      </c>
      <c r="K5147">
        <v>2</v>
      </c>
      <c r="L5147" s="2">
        <v>78.510000000000005</v>
      </c>
      <c r="M5147" s="3">
        <v>0.25</v>
      </c>
      <c r="N5147" t="s">
        <v>62</v>
      </c>
      <c r="O5147" s="2">
        <v>117.77</v>
      </c>
      <c r="P5147" s="2">
        <v>89.77</v>
      </c>
      <c r="Q5147" s="2">
        <v>28</v>
      </c>
      <c r="R5147">
        <v>1</v>
      </c>
      <c r="S5147">
        <v>0</v>
      </c>
      <c r="T5147">
        <v>7</v>
      </c>
      <c r="U5147">
        <v>4</v>
      </c>
    </row>
    <row r="5148" spans="1:21" ht="16.5" x14ac:dyDescent="0.3">
      <c r="A5148" t="s">
        <v>5236</v>
      </c>
      <c r="B5148" s="1">
        <v>46000</v>
      </c>
      <c r="C5148">
        <v>2025</v>
      </c>
      <c r="D5148" t="s">
        <v>1738</v>
      </c>
      <c r="E5148" t="s">
        <v>2310</v>
      </c>
      <c r="F5148" t="s">
        <v>31</v>
      </c>
      <c r="G5148" t="s">
        <v>49</v>
      </c>
      <c r="H5148" t="s">
        <v>32</v>
      </c>
      <c r="I5148" t="s">
        <v>84</v>
      </c>
      <c r="J5148" t="s">
        <v>96</v>
      </c>
      <c r="K5148">
        <v>1</v>
      </c>
      <c r="L5148" s="2">
        <v>10.76</v>
      </c>
      <c r="M5148" s="3">
        <v>0.15</v>
      </c>
      <c r="N5148" t="s">
        <v>34</v>
      </c>
      <c r="O5148" s="2">
        <v>9.15</v>
      </c>
      <c r="P5148" s="2">
        <v>7.84</v>
      </c>
      <c r="Q5148" s="2">
        <v>1.31</v>
      </c>
      <c r="R5148">
        <v>1</v>
      </c>
      <c r="S5148">
        <v>0</v>
      </c>
      <c r="T5148">
        <v>8</v>
      </c>
      <c r="U5148">
        <v>3</v>
      </c>
    </row>
    <row r="5149" spans="1:21" ht="16.5" x14ac:dyDescent="0.3">
      <c r="A5149" t="s">
        <v>5237</v>
      </c>
      <c r="B5149" s="1">
        <v>46000</v>
      </c>
      <c r="C5149">
        <v>2025</v>
      </c>
      <c r="D5149" t="s">
        <v>1738</v>
      </c>
      <c r="E5149" t="s">
        <v>2310</v>
      </c>
      <c r="F5149" t="s">
        <v>31</v>
      </c>
      <c r="G5149" t="s">
        <v>65</v>
      </c>
      <c r="H5149" t="s">
        <v>32</v>
      </c>
      <c r="I5149" t="s">
        <v>70</v>
      </c>
      <c r="J5149" t="s">
        <v>82</v>
      </c>
      <c r="K5149">
        <v>2</v>
      </c>
      <c r="L5149" s="2">
        <v>508.8</v>
      </c>
      <c r="M5149" s="3">
        <v>0.2</v>
      </c>
      <c r="N5149" t="s">
        <v>34</v>
      </c>
      <c r="O5149" s="2">
        <v>814.08</v>
      </c>
      <c r="P5149" s="2">
        <v>830.29</v>
      </c>
      <c r="Q5149" s="2">
        <v>-16.21</v>
      </c>
      <c r="R5149">
        <v>1</v>
      </c>
      <c r="S5149">
        <v>0</v>
      </c>
      <c r="T5149">
        <v>7</v>
      </c>
      <c r="U5149">
        <v>3</v>
      </c>
    </row>
    <row r="5150" spans="1:21" ht="16.5" x14ac:dyDescent="0.3">
      <c r="A5150" t="s">
        <v>5238</v>
      </c>
      <c r="B5150" s="1">
        <v>46000</v>
      </c>
      <c r="C5150">
        <v>2025</v>
      </c>
      <c r="D5150" t="s">
        <v>1738</v>
      </c>
      <c r="E5150" t="s">
        <v>2310</v>
      </c>
      <c r="F5150" t="s">
        <v>24</v>
      </c>
      <c r="G5150" t="s">
        <v>25</v>
      </c>
      <c r="H5150" t="s">
        <v>32</v>
      </c>
      <c r="I5150" t="s">
        <v>27</v>
      </c>
      <c r="J5150" t="s">
        <v>110</v>
      </c>
      <c r="K5150">
        <v>2</v>
      </c>
      <c r="L5150" s="2">
        <v>19.41</v>
      </c>
      <c r="M5150" s="3">
        <v>0</v>
      </c>
      <c r="N5150" t="s">
        <v>38</v>
      </c>
      <c r="O5150" s="2">
        <v>38.82</v>
      </c>
      <c r="P5150" s="2">
        <v>21.61</v>
      </c>
      <c r="Q5150" s="2">
        <v>17.21</v>
      </c>
      <c r="R5150">
        <v>1</v>
      </c>
      <c r="S5150">
        <v>0</v>
      </c>
      <c r="T5150">
        <v>4</v>
      </c>
      <c r="U5150">
        <v>5</v>
      </c>
    </row>
    <row r="5151" spans="1:21" ht="16.5" x14ac:dyDescent="0.3">
      <c r="A5151" t="s">
        <v>5239</v>
      </c>
      <c r="B5151" s="1">
        <v>46000</v>
      </c>
      <c r="C5151">
        <v>2025</v>
      </c>
      <c r="D5151" t="s">
        <v>1738</v>
      </c>
      <c r="E5151" t="s">
        <v>2310</v>
      </c>
      <c r="F5151" t="s">
        <v>31</v>
      </c>
      <c r="G5151" t="s">
        <v>46</v>
      </c>
      <c r="H5151" t="s">
        <v>26</v>
      </c>
      <c r="I5151" t="s">
        <v>70</v>
      </c>
      <c r="J5151" t="s">
        <v>162</v>
      </c>
      <c r="K5151">
        <v>1</v>
      </c>
      <c r="L5151" s="2">
        <v>636.09</v>
      </c>
      <c r="M5151" s="3">
        <v>0.2</v>
      </c>
      <c r="N5151" t="s">
        <v>34</v>
      </c>
      <c r="O5151" s="2">
        <v>508.87</v>
      </c>
      <c r="P5151" s="2">
        <v>503.19</v>
      </c>
      <c r="Q5151" s="2">
        <v>5.68</v>
      </c>
      <c r="R5151">
        <v>1</v>
      </c>
      <c r="S5151">
        <v>0</v>
      </c>
      <c r="T5151">
        <v>6</v>
      </c>
      <c r="U5151">
        <v>4</v>
      </c>
    </row>
    <row r="5152" spans="1:21" ht="16.5" x14ac:dyDescent="0.3">
      <c r="A5152" t="s">
        <v>5240</v>
      </c>
      <c r="B5152" s="1">
        <v>46001</v>
      </c>
      <c r="C5152">
        <v>2025</v>
      </c>
      <c r="D5152" t="s">
        <v>1738</v>
      </c>
      <c r="E5152" t="s">
        <v>2310</v>
      </c>
      <c r="F5152" t="s">
        <v>45</v>
      </c>
      <c r="G5152" t="s">
        <v>51</v>
      </c>
      <c r="H5152" t="s">
        <v>26</v>
      </c>
      <c r="I5152" t="s">
        <v>42</v>
      </c>
      <c r="J5152" t="s">
        <v>43</v>
      </c>
      <c r="K5152">
        <v>1</v>
      </c>
      <c r="L5152" s="2">
        <v>154.66</v>
      </c>
      <c r="M5152" s="3">
        <v>0.1</v>
      </c>
      <c r="N5152" t="s">
        <v>29</v>
      </c>
      <c r="O5152" s="2">
        <v>139.19</v>
      </c>
      <c r="P5152" s="2">
        <v>106.47</v>
      </c>
      <c r="Q5152" s="2">
        <v>32.72</v>
      </c>
      <c r="R5152">
        <v>1</v>
      </c>
      <c r="S5152">
        <v>1</v>
      </c>
      <c r="T5152">
        <v>3</v>
      </c>
      <c r="U5152">
        <v>3</v>
      </c>
    </row>
    <row r="5153" spans="1:21" ht="16.5" x14ac:dyDescent="0.3">
      <c r="A5153" t="s">
        <v>5241</v>
      </c>
      <c r="B5153" s="1">
        <v>46001</v>
      </c>
      <c r="C5153">
        <v>2025</v>
      </c>
      <c r="D5153" t="s">
        <v>1738</v>
      </c>
      <c r="E5153" t="s">
        <v>2310</v>
      </c>
      <c r="F5153" t="s">
        <v>31</v>
      </c>
      <c r="G5153" t="s">
        <v>65</v>
      </c>
      <c r="H5153" t="s">
        <v>32</v>
      </c>
      <c r="I5153" t="s">
        <v>67</v>
      </c>
      <c r="J5153" t="s">
        <v>174</v>
      </c>
      <c r="K5153">
        <v>1</v>
      </c>
      <c r="L5153" s="2">
        <v>137.05000000000001</v>
      </c>
      <c r="M5153" s="3">
        <v>0.25</v>
      </c>
      <c r="N5153" t="s">
        <v>62</v>
      </c>
      <c r="O5153" s="2">
        <v>102.79</v>
      </c>
      <c r="P5153" s="2">
        <v>92.93</v>
      </c>
      <c r="Q5153" s="2">
        <v>9.86</v>
      </c>
      <c r="R5153">
        <v>1</v>
      </c>
      <c r="S5153">
        <v>0</v>
      </c>
      <c r="T5153">
        <v>9</v>
      </c>
      <c r="U5153">
        <v>3</v>
      </c>
    </row>
    <row r="5154" spans="1:21" ht="16.5" x14ac:dyDescent="0.3">
      <c r="A5154" t="s">
        <v>5242</v>
      </c>
      <c r="B5154" s="1">
        <v>46001</v>
      </c>
      <c r="C5154">
        <v>2025</v>
      </c>
      <c r="D5154" t="s">
        <v>1738</v>
      </c>
      <c r="E5154" t="s">
        <v>2310</v>
      </c>
      <c r="F5154" t="s">
        <v>31</v>
      </c>
      <c r="G5154" t="s">
        <v>49</v>
      </c>
      <c r="H5154" t="s">
        <v>32</v>
      </c>
      <c r="I5154" t="s">
        <v>84</v>
      </c>
      <c r="J5154" t="s">
        <v>85</v>
      </c>
      <c r="K5154">
        <v>1</v>
      </c>
      <c r="L5154" s="2">
        <v>57.92</v>
      </c>
      <c r="M5154" s="3">
        <v>0.15</v>
      </c>
      <c r="N5154" t="s">
        <v>34</v>
      </c>
      <c r="O5154" s="2">
        <v>49.23</v>
      </c>
      <c r="P5154" s="2">
        <v>42.55</v>
      </c>
      <c r="Q5154" s="2">
        <v>6.68</v>
      </c>
      <c r="R5154">
        <v>1</v>
      </c>
      <c r="S5154">
        <v>0</v>
      </c>
      <c r="T5154">
        <v>5</v>
      </c>
      <c r="U5154">
        <v>5</v>
      </c>
    </row>
    <row r="5155" spans="1:21" ht="16.5" x14ac:dyDescent="0.3">
      <c r="A5155" t="s">
        <v>5243</v>
      </c>
      <c r="B5155" s="1">
        <v>46001</v>
      </c>
      <c r="C5155">
        <v>2025</v>
      </c>
      <c r="D5155" t="s">
        <v>1738</v>
      </c>
      <c r="E5155" t="s">
        <v>2310</v>
      </c>
      <c r="F5155" t="s">
        <v>24</v>
      </c>
      <c r="G5155" t="s">
        <v>51</v>
      </c>
      <c r="H5155" t="s">
        <v>32</v>
      </c>
      <c r="I5155" t="s">
        <v>70</v>
      </c>
      <c r="J5155" t="s">
        <v>87</v>
      </c>
      <c r="K5155">
        <v>3</v>
      </c>
      <c r="L5155" s="2">
        <v>490.3</v>
      </c>
      <c r="M5155" s="3">
        <v>0.05</v>
      </c>
      <c r="N5155" t="s">
        <v>29</v>
      </c>
      <c r="O5155" s="2">
        <v>1397.36</v>
      </c>
      <c r="P5155" s="2">
        <v>1159.42</v>
      </c>
      <c r="Q5155" s="2">
        <v>237.94</v>
      </c>
      <c r="R5155">
        <v>1</v>
      </c>
      <c r="S5155">
        <v>0</v>
      </c>
      <c r="T5155">
        <v>3</v>
      </c>
      <c r="U5155">
        <v>4</v>
      </c>
    </row>
    <row r="5156" spans="1:21" ht="16.5" x14ac:dyDescent="0.3">
      <c r="A5156" t="s">
        <v>5244</v>
      </c>
      <c r="B5156" s="1">
        <v>46001</v>
      </c>
      <c r="C5156">
        <v>2025</v>
      </c>
      <c r="D5156" t="s">
        <v>1738</v>
      </c>
      <c r="E5156" t="s">
        <v>2310</v>
      </c>
      <c r="F5156" t="s">
        <v>24</v>
      </c>
      <c r="G5156" t="s">
        <v>25</v>
      </c>
      <c r="H5156" t="s">
        <v>32</v>
      </c>
      <c r="I5156" t="s">
        <v>42</v>
      </c>
      <c r="J5156" t="s">
        <v>54</v>
      </c>
      <c r="K5156">
        <v>1</v>
      </c>
      <c r="L5156" s="2">
        <v>148.05000000000001</v>
      </c>
      <c r="M5156" s="3">
        <v>0.3</v>
      </c>
      <c r="N5156" t="s">
        <v>62</v>
      </c>
      <c r="O5156" s="2">
        <v>103.64</v>
      </c>
      <c r="P5156" s="2">
        <v>98.09</v>
      </c>
      <c r="Q5156" s="2">
        <v>5.55</v>
      </c>
      <c r="R5156">
        <v>1</v>
      </c>
      <c r="S5156">
        <v>0</v>
      </c>
      <c r="T5156">
        <v>6</v>
      </c>
      <c r="U5156">
        <v>4</v>
      </c>
    </row>
    <row r="5157" spans="1:21" ht="16.5" x14ac:dyDescent="0.3">
      <c r="A5157" t="s">
        <v>5245</v>
      </c>
      <c r="B5157" s="1">
        <v>46001</v>
      </c>
      <c r="C5157">
        <v>2025</v>
      </c>
      <c r="D5157" t="s">
        <v>1738</v>
      </c>
      <c r="E5157" t="s">
        <v>2310</v>
      </c>
      <c r="F5157" t="s">
        <v>45</v>
      </c>
      <c r="G5157" t="s">
        <v>51</v>
      </c>
      <c r="H5157" t="s">
        <v>32</v>
      </c>
      <c r="I5157" t="s">
        <v>84</v>
      </c>
      <c r="J5157" t="s">
        <v>85</v>
      </c>
      <c r="K5157">
        <v>1</v>
      </c>
      <c r="L5157" s="2">
        <v>57.92</v>
      </c>
      <c r="M5157" s="3">
        <v>0</v>
      </c>
      <c r="N5157" t="s">
        <v>38</v>
      </c>
      <c r="O5157" s="2">
        <v>57.92</v>
      </c>
      <c r="P5157" s="2">
        <v>40.85</v>
      </c>
      <c r="Q5157" s="2">
        <v>17.07</v>
      </c>
      <c r="R5157">
        <v>1</v>
      </c>
      <c r="S5157">
        <v>0</v>
      </c>
      <c r="T5157">
        <v>3</v>
      </c>
      <c r="U5157">
        <v>5</v>
      </c>
    </row>
    <row r="5158" spans="1:21" ht="16.5" x14ac:dyDescent="0.3">
      <c r="A5158" t="s">
        <v>5246</v>
      </c>
      <c r="B5158" s="1">
        <v>46001</v>
      </c>
      <c r="C5158">
        <v>2025</v>
      </c>
      <c r="D5158" t="s">
        <v>1738</v>
      </c>
      <c r="E5158" t="s">
        <v>2310</v>
      </c>
      <c r="F5158" t="s">
        <v>45</v>
      </c>
      <c r="G5158" t="s">
        <v>65</v>
      </c>
      <c r="H5158" t="s">
        <v>32</v>
      </c>
      <c r="I5158" t="s">
        <v>42</v>
      </c>
      <c r="J5158" t="s">
        <v>98</v>
      </c>
      <c r="K5158">
        <v>1</v>
      </c>
      <c r="L5158" s="2">
        <v>117.63</v>
      </c>
      <c r="M5158" s="3">
        <v>0.1</v>
      </c>
      <c r="N5158" t="s">
        <v>29</v>
      </c>
      <c r="O5158" s="2">
        <v>105.87</v>
      </c>
      <c r="P5158" s="2">
        <v>78.760000000000005</v>
      </c>
      <c r="Q5158" s="2">
        <v>27.11</v>
      </c>
      <c r="R5158">
        <v>1</v>
      </c>
      <c r="S5158">
        <v>0</v>
      </c>
      <c r="T5158">
        <v>6</v>
      </c>
      <c r="U5158">
        <v>5</v>
      </c>
    </row>
    <row r="5159" spans="1:21" ht="16.5" x14ac:dyDescent="0.3">
      <c r="A5159" t="s">
        <v>5247</v>
      </c>
      <c r="B5159" s="1">
        <v>46001</v>
      </c>
      <c r="C5159">
        <v>2025</v>
      </c>
      <c r="D5159" t="s">
        <v>1738</v>
      </c>
      <c r="E5159" t="s">
        <v>2310</v>
      </c>
      <c r="F5159" t="s">
        <v>24</v>
      </c>
      <c r="G5159" t="s">
        <v>51</v>
      </c>
      <c r="H5159" t="s">
        <v>26</v>
      </c>
      <c r="I5159" t="s">
        <v>84</v>
      </c>
      <c r="J5159" t="s">
        <v>85</v>
      </c>
      <c r="K5159">
        <v>2</v>
      </c>
      <c r="L5159" s="2">
        <v>57.92</v>
      </c>
      <c r="M5159" s="3">
        <v>0.15</v>
      </c>
      <c r="N5159" t="s">
        <v>34</v>
      </c>
      <c r="O5159" s="2">
        <v>98.46</v>
      </c>
      <c r="P5159" s="2">
        <v>79.17</v>
      </c>
      <c r="Q5159" s="2">
        <v>19.29</v>
      </c>
      <c r="R5159">
        <v>1</v>
      </c>
      <c r="S5159">
        <v>1</v>
      </c>
      <c r="T5159">
        <v>4</v>
      </c>
      <c r="U5159">
        <v>3</v>
      </c>
    </row>
    <row r="5160" spans="1:21" ht="16.5" x14ac:dyDescent="0.3">
      <c r="A5160" t="s">
        <v>5248</v>
      </c>
      <c r="B5160" s="1">
        <v>46001</v>
      </c>
      <c r="C5160">
        <v>2025</v>
      </c>
      <c r="D5160" t="s">
        <v>1738</v>
      </c>
      <c r="E5160" t="s">
        <v>2310</v>
      </c>
      <c r="F5160" t="s">
        <v>45</v>
      </c>
      <c r="G5160" t="s">
        <v>49</v>
      </c>
      <c r="H5160" t="s">
        <v>32</v>
      </c>
      <c r="I5160" t="s">
        <v>42</v>
      </c>
      <c r="J5160" t="s">
        <v>89</v>
      </c>
      <c r="K5160">
        <v>1</v>
      </c>
      <c r="L5160" s="2">
        <v>68.349999999999994</v>
      </c>
      <c r="M5160" s="3">
        <v>0.2</v>
      </c>
      <c r="N5160" t="s">
        <v>34</v>
      </c>
      <c r="O5160" s="2">
        <v>54.68</v>
      </c>
      <c r="P5160" s="2">
        <v>45.87</v>
      </c>
      <c r="Q5160" s="2">
        <v>8.81</v>
      </c>
      <c r="R5160">
        <v>1</v>
      </c>
      <c r="S5160">
        <v>0</v>
      </c>
      <c r="T5160">
        <v>6</v>
      </c>
      <c r="U5160">
        <v>3</v>
      </c>
    </row>
    <row r="5161" spans="1:21" ht="16.5" x14ac:dyDescent="0.3">
      <c r="A5161" t="s">
        <v>5249</v>
      </c>
      <c r="B5161" s="1">
        <v>46001</v>
      </c>
      <c r="C5161">
        <v>2025</v>
      </c>
      <c r="D5161" t="s">
        <v>1738</v>
      </c>
      <c r="E5161" t="s">
        <v>2310</v>
      </c>
      <c r="F5161" t="s">
        <v>24</v>
      </c>
      <c r="G5161" t="s">
        <v>46</v>
      </c>
      <c r="H5161" t="s">
        <v>32</v>
      </c>
      <c r="I5161" t="s">
        <v>36</v>
      </c>
      <c r="J5161" t="s">
        <v>52</v>
      </c>
      <c r="K5161">
        <v>2</v>
      </c>
      <c r="L5161" s="2">
        <v>92.54</v>
      </c>
      <c r="M5161" s="3">
        <v>0.15</v>
      </c>
      <c r="N5161" t="s">
        <v>34</v>
      </c>
      <c r="O5161" s="2">
        <v>157.32</v>
      </c>
      <c r="P5161" s="2">
        <v>88.44</v>
      </c>
      <c r="Q5161" s="2">
        <v>68.88</v>
      </c>
      <c r="R5161">
        <v>1</v>
      </c>
      <c r="S5161">
        <v>0</v>
      </c>
      <c r="T5161">
        <v>7</v>
      </c>
      <c r="U5161">
        <v>4</v>
      </c>
    </row>
    <row r="5162" spans="1:21" ht="16.5" x14ac:dyDescent="0.3">
      <c r="A5162" t="s">
        <v>5250</v>
      </c>
      <c r="B5162" s="1">
        <v>46001</v>
      </c>
      <c r="C5162">
        <v>2025</v>
      </c>
      <c r="D5162" t="s">
        <v>1738</v>
      </c>
      <c r="E5162" t="s">
        <v>2310</v>
      </c>
      <c r="F5162" t="s">
        <v>24</v>
      </c>
      <c r="G5162" t="s">
        <v>65</v>
      </c>
      <c r="H5162" t="s">
        <v>32</v>
      </c>
      <c r="I5162" t="s">
        <v>84</v>
      </c>
      <c r="J5162" t="s">
        <v>132</v>
      </c>
      <c r="K5162">
        <v>1</v>
      </c>
      <c r="L5162" s="2">
        <v>48.86</v>
      </c>
      <c r="M5162" s="3">
        <v>0</v>
      </c>
      <c r="N5162" t="s">
        <v>38</v>
      </c>
      <c r="O5162" s="2">
        <v>48.86</v>
      </c>
      <c r="P5162" s="2">
        <v>35.409999999999997</v>
      </c>
      <c r="Q5162" s="2">
        <v>13.45</v>
      </c>
      <c r="R5162">
        <v>1</v>
      </c>
      <c r="S5162">
        <v>0</v>
      </c>
      <c r="T5162">
        <v>6</v>
      </c>
      <c r="U5162">
        <v>3</v>
      </c>
    </row>
    <row r="5163" spans="1:21" ht="16.5" x14ac:dyDescent="0.3">
      <c r="A5163" t="s">
        <v>5251</v>
      </c>
      <c r="B5163" s="1">
        <v>46001</v>
      </c>
      <c r="C5163">
        <v>2025</v>
      </c>
      <c r="D5163" t="s">
        <v>1738</v>
      </c>
      <c r="E5163" t="s">
        <v>2310</v>
      </c>
      <c r="F5163" t="s">
        <v>45</v>
      </c>
      <c r="G5163" t="s">
        <v>51</v>
      </c>
      <c r="H5163" t="s">
        <v>26</v>
      </c>
      <c r="I5163" t="s">
        <v>70</v>
      </c>
      <c r="J5163" t="s">
        <v>82</v>
      </c>
      <c r="K5163">
        <v>1</v>
      </c>
      <c r="L5163" s="2">
        <v>508.8</v>
      </c>
      <c r="M5163" s="3">
        <v>0.2</v>
      </c>
      <c r="N5163" t="s">
        <v>34</v>
      </c>
      <c r="O5163" s="2">
        <v>407.04</v>
      </c>
      <c r="P5163" s="2">
        <v>404.83</v>
      </c>
      <c r="Q5163" s="2">
        <v>2.21</v>
      </c>
      <c r="R5163">
        <v>1</v>
      </c>
      <c r="S5163">
        <v>0</v>
      </c>
      <c r="T5163">
        <v>3</v>
      </c>
      <c r="U5163">
        <v>4</v>
      </c>
    </row>
    <row r="5164" spans="1:21" ht="16.5" x14ac:dyDescent="0.3">
      <c r="A5164" t="s">
        <v>5252</v>
      </c>
      <c r="B5164" s="1">
        <v>46001</v>
      </c>
      <c r="C5164">
        <v>2025</v>
      </c>
      <c r="D5164" t="s">
        <v>1738</v>
      </c>
      <c r="E5164" t="s">
        <v>2310</v>
      </c>
      <c r="F5164" t="s">
        <v>31</v>
      </c>
      <c r="G5164" t="s">
        <v>65</v>
      </c>
      <c r="H5164" t="s">
        <v>26</v>
      </c>
      <c r="I5164" t="s">
        <v>27</v>
      </c>
      <c r="J5164" t="s">
        <v>33</v>
      </c>
      <c r="K5164">
        <v>1</v>
      </c>
      <c r="L5164" s="2">
        <v>78.510000000000005</v>
      </c>
      <c r="M5164" s="3">
        <v>0.1</v>
      </c>
      <c r="N5164" t="s">
        <v>29</v>
      </c>
      <c r="O5164" s="2">
        <v>70.66</v>
      </c>
      <c r="P5164" s="2">
        <v>43.11</v>
      </c>
      <c r="Q5164" s="2">
        <v>27.55</v>
      </c>
      <c r="R5164">
        <v>1</v>
      </c>
      <c r="S5164">
        <v>1</v>
      </c>
      <c r="T5164">
        <v>8</v>
      </c>
      <c r="U5164">
        <v>2</v>
      </c>
    </row>
    <row r="5165" spans="1:21" ht="16.5" x14ac:dyDescent="0.3">
      <c r="A5165" t="s">
        <v>5253</v>
      </c>
      <c r="B5165" s="1">
        <v>46002</v>
      </c>
      <c r="C5165">
        <v>2025</v>
      </c>
      <c r="D5165" t="s">
        <v>1738</v>
      </c>
      <c r="E5165" t="s">
        <v>2310</v>
      </c>
      <c r="F5165" t="s">
        <v>31</v>
      </c>
      <c r="G5165" t="s">
        <v>51</v>
      </c>
      <c r="H5165" t="s">
        <v>32</v>
      </c>
      <c r="I5165" t="s">
        <v>70</v>
      </c>
      <c r="J5165" t="s">
        <v>162</v>
      </c>
      <c r="K5165">
        <v>1</v>
      </c>
      <c r="L5165" s="2">
        <v>636.09</v>
      </c>
      <c r="M5165" s="3">
        <v>0.25</v>
      </c>
      <c r="N5165" t="s">
        <v>62</v>
      </c>
      <c r="O5165" s="2">
        <v>477.07</v>
      </c>
      <c r="P5165" s="2">
        <v>501.24</v>
      </c>
      <c r="Q5165" s="2">
        <v>-24.17</v>
      </c>
      <c r="R5165">
        <v>1</v>
      </c>
      <c r="S5165">
        <v>0</v>
      </c>
      <c r="T5165">
        <v>3</v>
      </c>
      <c r="U5165">
        <v>4</v>
      </c>
    </row>
    <row r="5166" spans="1:21" ht="16.5" x14ac:dyDescent="0.3">
      <c r="A5166" t="s">
        <v>5254</v>
      </c>
      <c r="B5166" s="1">
        <v>46002</v>
      </c>
      <c r="C5166">
        <v>2025</v>
      </c>
      <c r="D5166" t="s">
        <v>1738</v>
      </c>
      <c r="E5166" t="s">
        <v>2310</v>
      </c>
      <c r="F5166" t="s">
        <v>31</v>
      </c>
      <c r="G5166" t="s">
        <v>49</v>
      </c>
      <c r="H5166" t="s">
        <v>32</v>
      </c>
      <c r="I5166" t="s">
        <v>70</v>
      </c>
      <c r="J5166" t="s">
        <v>82</v>
      </c>
      <c r="K5166">
        <v>1</v>
      </c>
      <c r="L5166" s="2">
        <v>508.8</v>
      </c>
      <c r="M5166" s="3">
        <v>0.05</v>
      </c>
      <c r="N5166" t="s">
        <v>29</v>
      </c>
      <c r="O5166" s="2">
        <v>483.36</v>
      </c>
      <c r="P5166" s="2">
        <v>403.35</v>
      </c>
      <c r="Q5166" s="2">
        <v>80.010000000000005</v>
      </c>
      <c r="R5166">
        <v>1</v>
      </c>
      <c r="S5166">
        <v>0</v>
      </c>
      <c r="T5166">
        <v>5</v>
      </c>
      <c r="U5166">
        <v>4</v>
      </c>
    </row>
    <row r="5167" spans="1:21" ht="16.5" x14ac:dyDescent="0.3">
      <c r="A5167" t="s">
        <v>5255</v>
      </c>
      <c r="B5167" s="1">
        <v>46002</v>
      </c>
      <c r="C5167">
        <v>2025</v>
      </c>
      <c r="D5167" t="s">
        <v>1738</v>
      </c>
      <c r="E5167" t="s">
        <v>2310</v>
      </c>
      <c r="F5167" t="s">
        <v>24</v>
      </c>
      <c r="G5167" t="s">
        <v>65</v>
      </c>
      <c r="H5167" t="s">
        <v>26</v>
      </c>
      <c r="I5167" t="s">
        <v>70</v>
      </c>
      <c r="J5167" t="s">
        <v>129</v>
      </c>
      <c r="K5167">
        <v>3</v>
      </c>
      <c r="L5167" s="2">
        <v>177.65</v>
      </c>
      <c r="M5167" s="3">
        <v>0.2</v>
      </c>
      <c r="N5167" t="s">
        <v>34</v>
      </c>
      <c r="O5167" s="2">
        <v>426.36</v>
      </c>
      <c r="P5167" s="2">
        <v>436.14</v>
      </c>
      <c r="Q5167" s="2">
        <v>-9.7799999999999994</v>
      </c>
      <c r="R5167">
        <v>1</v>
      </c>
      <c r="S5167">
        <v>0</v>
      </c>
      <c r="T5167">
        <v>7</v>
      </c>
      <c r="U5167">
        <v>3</v>
      </c>
    </row>
    <row r="5168" spans="1:21" ht="16.5" x14ac:dyDescent="0.3">
      <c r="A5168" t="s">
        <v>5256</v>
      </c>
      <c r="B5168" s="1">
        <v>46002</v>
      </c>
      <c r="C5168">
        <v>2025</v>
      </c>
      <c r="D5168" t="s">
        <v>1738</v>
      </c>
      <c r="E5168" t="s">
        <v>2310</v>
      </c>
      <c r="F5168" t="s">
        <v>24</v>
      </c>
      <c r="G5168" t="s">
        <v>49</v>
      </c>
      <c r="H5168" t="s">
        <v>32</v>
      </c>
      <c r="I5168" t="s">
        <v>70</v>
      </c>
      <c r="J5168" t="s">
        <v>129</v>
      </c>
      <c r="K5168">
        <v>2</v>
      </c>
      <c r="L5168" s="2">
        <v>177.65</v>
      </c>
      <c r="M5168" s="3">
        <v>0</v>
      </c>
      <c r="N5168" t="s">
        <v>38</v>
      </c>
      <c r="O5168" s="2">
        <v>355.3</v>
      </c>
      <c r="P5168" s="2">
        <v>272.8</v>
      </c>
      <c r="Q5168" s="2">
        <v>82.5</v>
      </c>
      <c r="R5168">
        <v>1</v>
      </c>
      <c r="S5168">
        <v>0</v>
      </c>
      <c r="T5168">
        <v>4</v>
      </c>
      <c r="U5168">
        <v>5</v>
      </c>
    </row>
    <row r="5169" spans="1:21" ht="16.5" x14ac:dyDescent="0.3">
      <c r="A5169" t="s">
        <v>5257</v>
      </c>
      <c r="B5169" s="1">
        <v>46002</v>
      </c>
      <c r="C5169">
        <v>2025</v>
      </c>
      <c r="D5169" t="s">
        <v>1738</v>
      </c>
      <c r="E5169" t="s">
        <v>2310</v>
      </c>
      <c r="F5169" t="s">
        <v>45</v>
      </c>
      <c r="G5169" t="s">
        <v>51</v>
      </c>
      <c r="H5169" t="s">
        <v>32</v>
      </c>
      <c r="I5169" t="s">
        <v>70</v>
      </c>
      <c r="J5169" t="s">
        <v>252</v>
      </c>
      <c r="K5169">
        <v>2</v>
      </c>
      <c r="L5169" s="2">
        <v>216.08</v>
      </c>
      <c r="M5169" s="3">
        <v>0.2</v>
      </c>
      <c r="N5169" t="s">
        <v>34</v>
      </c>
      <c r="O5169" s="2">
        <v>345.73</v>
      </c>
      <c r="P5169" s="2">
        <v>346.58</v>
      </c>
      <c r="Q5169" s="2">
        <v>-0.85</v>
      </c>
      <c r="R5169">
        <v>1</v>
      </c>
      <c r="S5169">
        <v>0</v>
      </c>
      <c r="T5169">
        <v>3</v>
      </c>
      <c r="U5169">
        <v>4</v>
      </c>
    </row>
    <row r="5170" spans="1:21" ht="16.5" x14ac:dyDescent="0.3">
      <c r="A5170" t="s">
        <v>5258</v>
      </c>
      <c r="B5170" s="1">
        <v>46002</v>
      </c>
      <c r="C5170">
        <v>2025</v>
      </c>
      <c r="D5170" t="s">
        <v>1738</v>
      </c>
      <c r="E5170" t="s">
        <v>2310</v>
      </c>
      <c r="F5170" t="s">
        <v>24</v>
      </c>
      <c r="G5170" t="s">
        <v>25</v>
      </c>
      <c r="H5170" t="s">
        <v>32</v>
      </c>
      <c r="I5170" t="s">
        <v>36</v>
      </c>
      <c r="J5170" t="s">
        <v>56</v>
      </c>
      <c r="K5170">
        <v>2</v>
      </c>
      <c r="L5170" s="2">
        <v>74.3</v>
      </c>
      <c r="M5170" s="3">
        <v>0.2</v>
      </c>
      <c r="N5170" t="s">
        <v>34</v>
      </c>
      <c r="O5170" s="2">
        <v>118.88</v>
      </c>
      <c r="P5170" s="2">
        <v>68.459999999999994</v>
      </c>
      <c r="Q5170" s="2">
        <v>50.42</v>
      </c>
      <c r="R5170">
        <v>1</v>
      </c>
      <c r="S5170">
        <v>0</v>
      </c>
      <c r="T5170">
        <v>5</v>
      </c>
      <c r="U5170">
        <v>5</v>
      </c>
    </row>
    <row r="5171" spans="1:21" ht="16.5" x14ac:dyDescent="0.3">
      <c r="A5171" t="s">
        <v>5259</v>
      </c>
      <c r="B5171" s="1">
        <v>46002</v>
      </c>
      <c r="C5171">
        <v>2025</v>
      </c>
      <c r="D5171" t="s">
        <v>1738</v>
      </c>
      <c r="E5171" t="s">
        <v>2310</v>
      </c>
      <c r="F5171" t="s">
        <v>31</v>
      </c>
      <c r="G5171" t="s">
        <v>51</v>
      </c>
      <c r="H5171" t="s">
        <v>32</v>
      </c>
      <c r="I5171" t="s">
        <v>70</v>
      </c>
      <c r="J5171" t="s">
        <v>162</v>
      </c>
      <c r="K5171">
        <v>1</v>
      </c>
      <c r="L5171" s="2">
        <v>636.09</v>
      </c>
      <c r="M5171" s="3">
        <v>0.1</v>
      </c>
      <c r="N5171" t="s">
        <v>29</v>
      </c>
      <c r="O5171" s="2">
        <v>572.48</v>
      </c>
      <c r="P5171" s="2">
        <v>485.85</v>
      </c>
      <c r="Q5171" s="2">
        <v>86.63</v>
      </c>
      <c r="R5171">
        <v>1</v>
      </c>
      <c r="S5171">
        <v>0</v>
      </c>
      <c r="T5171">
        <v>4</v>
      </c>
      <c r="U5171">
        <v>4</v>
      </c>
    </row>
    <row r="5172" spans="1:21" ht="16.5" x14ac:dyDescent="0.3">
      <c r="A5172" t="s">
        <v>5260</v>
      </c>
      <c r="B5172" s="1">
        <v>46002</v>
      </c>
      <c r="C5172">
        <v>2025</v>
      </c>
      <c r="D5172" t="s">
        <v>1738</v>
      </c>
      <c r="E5172" t="s">
        <v>2310</v>
      </c>
      <c r="F5172" t="s">
        <v>31</v>
      </c>
      <c r="G5172" t="s">
        <v>51</v>
      </c>
      <c r="H5172" t="s">
        <v>32</v>
      </c>
      <c r="I5172" t="s">
        <v>42</v>
      </c>
      <c r="J5172" t="s">
        <v>98</v>
      </c>
      <c r="K5172">
        <v>1</v>
      </c>
      <c r="L5172" s="2">
        <v>117.63</v>
      </c>
      <c r="M5172" s="3">
        <v>0.25</v>
      </c>
      <c r="N5172" t="s">
        <v>62</v>
      </c>
      <c r="O5172" s="2">
        <v>88.22</v>
      </c>
      <c r="P5172" s="2">
        <v>73.05</v>
      </c>
      <c r="Q5172" s="2">
        <v>15.17</v>
      </c>
      <c r="R5172">
        <v>1</v>
      </c>
      <c r="S5172">
        <v>0</v>
      </c>
      <c r="T5172">
        <v>4</v>
      </c>
      <c r="U5172">
        <v>3</v>
      </c>
    </row>
    <row r="5173" spans="1:21" ht="16.5" x14ac:dyDescent="0.3">
      <c r="A5173" t="s">
        <v>5261</v>
      </c>
      <c r="B5173" s="1">
        <v>46002</v>
      </c>
      <c r="C5173">
        <v>2025</v>
      </c>
      <c r="D5173" t="s">
        <v>1738</v>
      </c>
      <c r="E5173" t="s">
        <v>2310</v>
      </c>
      <c r="F5173" t="s">
        <v>31</v>
      </c>
      <c r="G5173" t="s">
        <v>51</v>
      </c>
      <c r="H5173" t="s">
        <v>32</v>
      </c>
      <c r="I5173" t="s">
        <v>36</v>
      </c>
      <c r="J5173" t="s">
        <v>37</v>
      </c>
      <c r="K5173">
        <v>2</v>
      </c>
      <c r="L5173" s="2">
        <v>33.18</v>
      </c>
      <c r="M5173" s="3">
        <v>0.15</v>
      </c>
      <c r="N5173" t="s">
        <v>34</v>
      </c>
      <c r="O5173" s="2">
        <v>56.41</v>
      </c>
      <c r="P5173" s="2">
        <v>32.14</v>
      </c>
      <c r="Q5173" s="2">
        <v>24.27</v>
      </c>
      <c r="R5173">
        <v>1</v>
      </c>
      <c r="S5173">
        <v>0</v>
      </c>
      <c r="T5173">
        <v>3</v>
      </c>
      <c r="U5173">
        <v>5</v>
      </c>
    </row>
    <row r="5174" spans="1:21" ht="16.5" x14ac:dyDescent="0.3">
      <c r="A5174" t="s">
        <v>5262</v>
      </c>
      <c r="B5174" s="1">
        <v>46002</v>
      </c>
      <c r="C5174">
        <v>2025</v>
      </c>
      <c r="D5174" t="s">
        <v>1738</v>
      </c>
      <c r="E5174" t="s">
        <v>2310</v>
      </c>
      <c r="F5174" t="s">
        <v>24</v>
      </c>
      <c r="G5174" t="s">
        <v>46</v>
      </c>
      <c r="H5174" t="s">
        <v>26</v>
      </c>
      <c r="I5174" t="s">
        <v>84</v>
      </c>
      <c r="J5174" t="s">
        <v>106</v>
      </c>
      <c r="K5174">
        <v>3</v>
      </c>
      <c r="L5174" s="2">
        <v>45.28</v>
      </c>
      <c r="M5174" s="3">
        <v>0.3</v>
      </c>
      <c r="N5174" t="s">
        <v>62</v>
      </c>
      <c r="O5174" s="2">
        <v>95.09</v>
      </c>
      <c r="P5174" s="2">
        <v>96.03</v>
      </c>
      <c r="Q5174" s="2">
        <v>-0.94</v>
      </c>
      <c r="R5174">
        <v>1</v>
      </c>
      <c r="S5174">
        <v>0</v>
      </c>
      <c r="T5174">
        <v>10</v>
      </c>
      <c r="U5174">
        <v>4</v>
      </c>
    </row>
    <row r="5175" spans="1:21" ht="16.5" x14ac:dyDescent="0.3">
      <c r="A5175" t="s">
        <v>5263</v>
      </c>
      <c r="B5175" s="1">
        <v>46003</v>
      </c>
      <c r="C5175">
        <v>2025</v>
      </c>
      <c r="D5175" t="s">
        <v>1738</v>
      </c>
      <c r="E5175" t="s">
        <v>2310</v>
      </c>
      <c r="F5175" t="s">
        <v>31</v>
      </c>
      <c r="G5175" t="s">
        <v>49</v>
      </c>
      <c r="H5175" t="s">
        <v>26</v>
      </c>
      <c r="I5175" t="s">
        <v>42</v>
      </c>
      <c r="J5175" t="s">
        <v>98</v>
      </c>
      <c r="K5175">
        <v>1</v>
      </c>
      <c r="L5175" s="2">
        <v>117.63</v>
      </c>
      <c r="M5175" s="3">
        <v>0.2</v>
      </c>
      <c r="N5175" t="s">
        <v>34</v>
      </c>
      <c r="O5175" s="2">
        <v>94.1</v>
      </c>
      <c r="P5175" s="2">
        <v>77.92</v>
      </c>
      <c r="Q5175" s="2">
        <v>16.18</v>
      </c>
      <c r="R5175">
        <v>1</v>
      </c>
      <c r="S5175">
        <v>0</v>
      </c>
      <c r="T5175">
        <v>4</v>
      </c>
      <c r="U5175">
        <v>4</v>
      </c>
    </row>
    <row r="5176" spans="1:21" ht="16.5" x14ac:dyDescent="0.3">
      <c r="A5176" t="s">
        <v>5264</v>
      </c>
      <c r="B5176" s="1">
        <v>46003</v>
      </c>
      <c r="C5176">
        <v>2025</v>
      </c>
      <c r="D5176" t="s">
        <v>1738</v>
      </c>
      <c r="E5176" t="s">
        <v>2310</v>
      </c>
      <c r="F5176" t="s">
        <v>31</v>
      </c>
      <c r="G5176" t="s">
        <v>25</v>
      </c>
      <c r="H5176" t="s">
        <v>32</v>
      </c>
      <c r="I5176" t="s">
        <v>27</v>
      </c>
      <c r="J5176" t="s">
        <v>47</v>
      </c>
      <c r="K5176">
        <v>2</v>
      </c>
      <c r="L5176" s="2">
        <v>33.99</v>
      </c>
      <c r="M5176" s="3">
        <v>0</v>
      </c>
      <c r="N5176" t="s">
        <v>38</v>
      </c>
      <c r="O5176" s="2">
        <v>67.98</v>
      </c>
      <c r="P5176" s="2">
        <v>37.700000000000003</v>
      </c>
      <c r="Q5176" s="2">
        <v>30.28</v>
      </c>
      <c r="R5176">
        <v>1</v>
      </c>
      <c r="S5176">
        <v>0</v>
      </c>
      <c r="T5176">
        <v>5</v>
      </c>
      <c r="U5176">
        <v>4</v>
      </c>
    </row>
    <row r="5177" spans="1:21" ht="16.5" x14ac:dyDescent="0.3">
      <c r="A5177" t="s">
        <v>5265</v>
      </c>
      <c r="B5177" s="1">
        <v>46003</v>
      </c>
      <c r="C5177">
        <v>2025</v>
      </c>
      <c r="D5177" t="s">
        <v>1738</v>
      </c>
      <c r="E5177" t="s">
        <v>2310</v>
      </c>
      <c r="F5177" t="s">
        <v>31</v>
      </c>
      <c r="G5177" t="s">
        <v>25</v>
      </c>
      <c r="H5177" t="s">
        <v>26</v>
      </c>
      <c r="I5177" t="s">
        <v>67</v>
      </c>
      <c r="J5177" t="s">
        <v>93</v>
      </c>
      <c r="K5177">
        <v>1</v>
      </c>
      <c r="L5177" s="2">
        <v>198.42</v>
      </c>
      <c r="M5177" s="3">
        <v>0.05</v>
      </c>
      <c r="N5177" t="s">
        <v>29</v>
      </c>
      <c r="O5177" s="2">
        <v>188.5</v>
      </c>
      <c r="P5177" s="2">
        <v>139.85</v>
      </c>
      <c r="Q5177" s="2">
        <v>48.65</v>
      </c>
      <c r="R5177">
        <v>1</v>
      </c>
      <c r="S5177">
        <v>0</v>
      </c>
      <c r="T5177">
        <v>6</v>
      </c>
      <c r="U5177">
        <v>3</v>
      </c>
    </row>
    <row r="5178" spans="1:21" ht="16.5" x14ac:dyDescent="0.3">
      <c r="A5178" t="s">
        <v>5266</v>
      </c>
      <c r="B5178" s="1">
        <v>46003</v>
      </c>
      <c r="C5178">
        <v>2025</v>
      </c>
      <c r="D5178" t="s">
        <v>1738</v>
      </c>
      <c r="E5178" t="s">
        <v>2310</v>
      </c>
      <c r="F5178" t="s">
        <v>24</v>
      </c>
      <c r="G5178" t="s">
        <v>25</v>
      </c>
      <c r="H5178" t="s">
        <v>32</v>
      </c>
      <c r="I5178" t="s">
        <v>36</v>
      </c>
      <c r="J5178" t="s">
        <v>52</v>
      </c>
      <c r="K5178">
        <v>1</v>
      </c>
      <c r="L5178" s="2">
        <v>92.54</v>
      </c>
      <c r="M5178" s="3">
        <v>0.05</v>
      </c>
      <c r="N5178" t="s">
        <v>29</v>
      </c>
      <c r="O5178" s="2">
        <v>87.91</v>
      </c>
      <c r="P5178" s="2">
        <v>44.73</v>
      </c>
      <c r="Q5178" s="2">
        <v>43.18</v>
      </c>
      <c r="R5178">
        <v>1</v>
      </c>
      <c r="S5178">
        <v>0</v>
      </c>
      <c r="T5178">
        <v>4</v>
      </c>
      <c r="U5178">
        <v>4</v>
      </c>
    </row>
    <row r="5179" spans="1:21" ht="16.5" x14ac:dyDescent="0.3">
      <c r="A5179" t="s">
        <v>5267</v>
      </c>
      <c r="B5179" s="1">
        <v>46003</v>
      </c>
      <c r="C5179">
        <v>2025</v>
      </c>
      <c r="D5179" t="s">
        <v>1738</v>
      </c>
      <c r="E5179" t="s">
        <v>2310</v>
      </c>
      <c r="F5179" t="s">
        <v>45</v>
      </c>
      <c r="G5179" t="s">
        <v>49</v>
      </c>
      <c r="H5179" t="s">
        <v>32</v>
      </c>
      <c r="I5179" t="s">
        <v>42</v>
      </c>
      <c r="J5179" t="s">
        <v>76</v>
      </c>
      <c r="K5179">
        <v>1</v>
      </c>
      <c r="L5179" s="2">
        <v>90.75</v>
      </c>
      <c r="M5179" s="3">
        <v>0.2</v>
      </c>
      <c r="N5179" t="s">
        <v>34</v>
      </c>
      <c r="O5179" s="2">
        <v>72.599999999999994</v>
      </c>
      <c r="P5179" s="2">
        <v>60.37</v>
      </c>
      <c r="Q5179" s="2">
        <v>12.23</v>
      </c>
      <c r="R5179">
        <v>1</v>
      </c>
      <c r="S5179">
        <v>0</v>
      </c>
      <c r="T5179">
        <v>7</v>
      </c>
      <c r="U5179">
        <v>4</v>
      </c>
    </row>
    <row r="5180" spans="1:21" ht="16.5" x14ac:dyDescent="0.3">
      <c r="A5180" t="s">
        <v>5268</v>
      </c>
      <c r="B5180" s="1">
        <v>46003</v>
      </c>
      <c r="C5180">
        <v>2025</v>
      </c>
      <c r="D5180" t="s">
        <v>1738</v>
      </c>
      <c r="E5180" t="s">
        <v>2310</v>
      </c>
      <c r="F5180" t="s">
        <v>31</v>
      </c>
      <c r="G5180" t="s">
        <v>25</v>
      </c>
      <c r="H5180" t="s">
        <v>32</v>
      </c>
      <c r="I5180" t="s">
        <v>67</v>
      </c>
      <c r="J5180" t="s">
        <v>93</v>
      </c>
      <c r="K5180">
        <v>2</v>
      </c>
      <c r="L5180" s="2">
        <v>198.42</v>
      </c>
      <c r="M5180" s="3">
        <v>0.2</v>
      </c>
      <c r="N5180" t="s">
        <v>34</v>
      </c>
      <c r="O5180" s="2">
        <v>317.47000000000003</v>
      </c>
      <c r="P5180" s="2">
        <v>271.07</v>
      </c>
      <c r="Q5180" s="2">
        <v>46.4</v>
      </c>
      <c r="R5180">
        <v>1</v>
      </c>
      <c r="S5180">
        <v>0</v>
      </c>
      <c r="T5180">
        <v>4</v>
      </c>
      <c r="U5180">
        <v>4</v>
      </c>
    </row>
    <row r="5181" spans="1:21" ht="16.5" x14ac:dyDescent="0.3">
      <c r="A5181" t="s">
        <v>5269</v>
      </c>
      <c r="B5181" s="1">
        <v>46003</v>
      </c>
      <c r="C5181">
        <v>2025</v>
      </c>
      <c r="D5181" t="s">
        <v>1738</v>
      </c>
      <c r="E5181" t="s">
        <v>2310</v>
      </c>
      <c r="F5181" t="s">
        <v>24</v>
      </c>
      <c r="G5181" t="s">
        <v>51</v>
      </c>
      <c r="H5181" t="s">
        <v>32</v>
      </c>
      <c r="I5181" t="s">
        <v>70</v>
      </c>
      <c r="J5181" t="s">
        <v>129</v>
      </c>
      <c r="K5181">
        <v>2</v>
      </c>
      <c r="L5181" s="2">
        <v>177.65</v>
      </c>
      <c r="M5181" s="3">
        <v>0.2</v>
      </c>
      <c r="N5181" t="s">
        <v>34</v>
      </c>
      <c r="O5181" s="2">
        <v>284.24</v>
      </c>
      <c r="P5181" s="2">
        <v>271.02999999999997</v>
      </c>
      <c r="Q5181" s="2">
        <v>13.21</v>
      </c>
      <c r="R5181">
        <v>1</v>
      </c>
      <c r="S5181">
        <v>0</v>
      </c>
      <c r="T5181">
        <v>4</v>
      </c>
      <c r="U5181">
        <v>4</v>
      </c>
    </row>
    <row r="5182" spans="1:21" ht="16.5" x14ac:dyDescent="0.3">
      <c r="A5182" t="s">
        <v>5270</v>
      </c>
      <c r="B5182" s="1">
        <v>46003</v>
      </c>
      <c r="C5182">
        <v>2025</v>
      </c>
      <c r="D5182" t="s">
        <v>1738</v>
      </c>
      <c r="E5182" t="s">
        <v>2310</v>
      </c>
      <c r="F5182" t="s">
        <v>31</v>
      </c>
      <c r="G5182" t="s">
        <v>25</v>
      </c>
      <c r="H5182" t="s">
        <v>32</v>
      </c>
      <c r="I5182" t="s">
        <v>42</v>
      </c>
      <c r="J5182" t="s">
        <v>76</v>
      </c>
      <c r="K5182">
        <v>1</v>
      </c>
      <c r="L5182" s="2">
        <v>90.75</v>
      </c>
      <c r="M5182" s="3">
        <v>0</v>
      </c>
      <c r="N5182" t="s">
        <v>38</v>
      </c>
      <c r="O5182" s="2">
        <v>90.75</v>
      </c>
      <c r="P5182" s="2">
        <v>62.35</v>
      </c>
      <c r="Q5182" s="2">
        <v>28.4</v>
      </c>
      <c r="R5182">
        <v>1</v>
      </c>
      <c r="S5182">
        <v>0</v>
      </c>
      <c r="T5182">
        <v>4</v>
      </c>
      <c r="U5182">
        <v>4</v>
      </c>
    </row>
    <row r="5183" spans="1:21" ht="16.5" x14ac:dyDescent="0.3">
      <c r="A5183" t="s">
        <v>5271</v>
      </c>
      <c r="B5183" s="1">
        <v>46003</v>
      </c>
      <c r="C5183">
        <v>2025</v>
      </c>
      <c r="D5183" t="s">
        <v>1738</v>
      </c>
      <c r="E5183" t="s">
        <v>2310</v>
      </c>
      <c r="F5183" t="s">
        <v>45</v>
      </c>
      <c r="G5183" t="s">
        <v>51</v>
      </c>
      <c r="H5183" t="s">
        <v>32</v>
      </c>
      <c r="I5183" t="s">
        <v>70</v>
      </c>
      <c r="J5183" t="s">
        <v>82</v>
      </c>
      <c r="K5183">
        <v>1</v>
      </c>
      <c r="L5183" s="2">
        <v>508.8</v>
      </c>
      <c r="M5183" s="3">
        <v>0.1</v>
      </c>
      <c r="N5183" t="s">
        <v>29</v>
      </c>
      <c r="O5183" s="2">
        <v>457.92</v>
      </c>
      <c r="P5183" s="2">
        <v>413.6</v>
      </c>
      <c r="Q5183" s="2">
        <v>44.32</v>
      </c>
      <c r="R5183">
        <v>1</v>
      </c>
      <c r="S5183">
        <v>0</v>
      </c>
      <c r="T5183">
        <v>5</v>
      </c>
      <c r="U5183">
        <v>4</v>
      </c>
    </row>
    <row r="5184" spans="1:21" ht="16.5" x14ac:dyDescent="0.3">
      <c r="A5184" t="s">
        <v>5272</v>
      </c>
      <c r="B5184" s="1">
        <v>46003</v>
      </c>
      <c r="C5184">
        <v>2025</v>
      </c>
      <c r="D5184" t="s">
        <v>1738</v>
      </c>
      <c r="E5184" t="s">
        <v>2310</v>
      </c>
      <c r="F5184" t="s">
        <v>45</v>
      </c>
      <c r="G5184" t="s">
        <v>49</v>
      </c>
      <c r="H5184" t="s">
        <v>32</v>
      </c>
      <c r="I5184" t="s">
        <v>42</v>
      </c>
      <c r="J5184" t="s">
        <v>58</v>
      </c>
      <c r="K5184">
        <v>1</v>
      </c>
      <c r="L5184" s="2">
        <v>233.81</v>
      </c>
      <c r="M5184" s="3">
        <v>0.1</v>
      </c>
      <c r="N5184" t="s">
        <v>29</v>
      </c>
      <c r="O5184" s="2">
        <v>210.43</v>
      </c>
      <c r="P5184" s="2">
        <v>159.84</v>
      </c>
      <c r="Q5184" s="2">
        <v>50.59</v>
      </c>
      <c r="R5184">
        <v>1</v>
      </c>
      <c r="S5184">
        <v>0</v>
      </c>
      <c r="T5184">
        <v>5</v>
      </c>
      <c r="U5184">
        <v>4</v>
      </c>
    </row>
    <row r="5185" spans="1:21" ht="16.5" x14ac:dyDescent="0.3">
      <c r="A5185" t="s">
        <v>5273</v>
      </c>
      <c r="B5185" s="1">
        <v>46003</v>
      </c>
      <c r="C5185">
        <v>2025</v>
      </c>
      <c r="D5185" t="s">
        <v>1738</v>
      </c>
      <c r="E5185" t="s">
        <v>2310</v>
      </c>
      <c r="F5185" t="s">
        <v>45</v>
      </c>
      <c r="G5185" t="s">
        <v>51</v>
      </c>
      <c r="H5185" t="s">
        <v>26</v>
      </c>
      <c r="I5185" t="s">
        <v>27</v>
      </c>
      <c r="J5185" t="s">
        <v>110</v>
      </c>
      <c r="K5185">
        <v>1</v>
      </c>
      <c r="L5185" s="2">
        <v>19.41</v>
      </c>
      <c r="M5185" s="3">
        <v>0.2</v>
      </c>
      <c r="N5185" t="s">
        <v>34</v>
      </c>
      <c r="O5185" s="2">
        <v>15.53</v>
      </c>
      <c r="P5185" s="2">
        <v>11.08</v>
      </c>
      <c r="Q5185" s="2">
        <v>4.45</v>
      </c>
      <c r="R5185">
        <v>1</v>
      </c>
      <c r="S5185">
        <v>0</v>
      </c>
      <c r="T5185">
        <v>5</v>
      </c>
      <c r="U5185">
        <v>3</v>
      </c>
    </row>
    <row r="5186" spans="1:21" ht="16.5" x14ac:dyDescent="0.3">
      <c r="A5186" t="s">
        <v>5274</v>
      </c>
      <c r="B5186" s="1">
        <v>46003</v>
      </c>
      <c r="C5186">
        <v>2025</v>
      </c>
      <c r="D5186" t="s">
        <v>1738</v>
      </c>
      <c r="E5186" t="s">
        <v>2310</v>
      </c>
      <c r="F5186" t="s">
        <v>24</v>
      </c>
      <c r="G5186" t="s">
        <v>49</v>
      </c>
      <c r="H5186" t="s">
        <v>32</v>
      </c>
      <c r="I5186" t="s">
        <v>42</v>
      </c>
      <c r="J5186" t="s">
        <v>98</v>
      </c>
      <c r="K5186">
        <v>1</v>
      </c>
      <c r="L5186" s="2">
        <v>117.63</v>
      </c>
      <c r="M5186" s="3">
        <v>0.1</v>
      </c>
      <c r="N5186" t="s">
        <v>29</v>
      </c>
      <c r="O5186" s="2">
        <v>105.87</v>
      </c>
      <c r="P5186" s="2">
        <v>79.349999999999994</v>
      </c>
      <c r="Q5186" s="2">
        <v>26.52</v>
      </c>
      <c r="R5186">
        <v>1</v>
      </c>
      <c r="S5186">
        <v>0</v>
      </c>
      <c r="T5186">
        <v>4</v>
      </c>
      <c r="U5186">
        <v>4</v>
      </c>
    </row>
    <row r="5187" spans="1:21" ht="16.5" x14ac:dyDescent="0.3">
      <c r="A5187" t="s">
        <v>5275</v>
      </c>
      <c r="B5187" s="1">
        <v>46004</v>
      </c>
      <c r="C5187">
        <v>2025</v>
      </c>
      <c r="D5187" t="s">
        <v>1738</v>
      </c>
      <c r="E5187" t="s">
        <v>2310</v>
      </c>
      <c r="F5187" t="s">
        <v>45</v>
      </c>
      <c r="G5187" t="s">
        <v>51</v>
      </c>
      <c r="H5187" t="s">
        <v>32</v>
      </c>
      <c r="I5187" t="s">
        <v>67</v>
      </c>
      <c r="J5187" t="s">
        <v>78</v>
      </c>
      <c r="K5187">
        <v>1</v>
      </c>
      <c r="L5187" s="2">
        <v>85.42</v>
      </c>
      <c r="M5187" s="3">
        <v>0.2</v>
      </c>
      <c r="N5187" t="s">
        <v>34</v>
      </c>
      <c r="O5187" s="2">
        <v>68.34</v>
      </c>
      <c r="P5187" s="2">
        <v>56.43</v>
      </c>
      <c r="Q5187" s="2">
        <v>11.91</v>
      </c>
      <c r="R5187">
        <v>1</v>
      </c>
      <c r="S5187">
        <v>0</v>
      </c>
      <c r="T5187">
        <v>6</v>
      </c>
      <c r="U5187">
        <v>3</v>
      </c>
    </row>
    <row r="5188" spans="1:21" ht="16.5" x14ac:dyDescent="0.3">
      <c r="A5188" t="s">
        <v>5276</v>
      </c>
      <c r="B5188" s="1">
        <v>46004</v>
      </c>
      <c r="C5188">
        <v>2025</v>
      </c>
      <c r="D5188" t="s">
        <v>1738</v>
      </c>
      <c r="E5188" t="s">
        <v>2310</v>
      </c>
      <c r="F5188" t="s">
        <v>45</v>
      </c>
      <c r="G5188" t="s">
        <v>51</v>
      </c>
      <c r="H5188" t="s">
        <v>32</v>
      </c>
      <c r="I5188" t="s">
        <v>27</v>
      </c>
      <c r="J5188" t="s">
        <v>47</v>
      </c>
      <c r="K5188">
        <v>2</v>
      </c>
      <c r="L5188" s="2">
        <v>33.99</v>
      </c>
      <c r="M5188" s="3">
        <v>0.1</v>
      </c>
      <c r="N5188" t="s">
        <v>29</v>
      </c>
      <c r="O5188" s="2">
        <v>61.18</v>
      </c>
      <c r="P5188" s="2">
        <v>38</v>
      </c>
      <c r="Q5188" s="2">
        <v>23.18</v>
      </c>
      <c r="R5188">
        <v>1</v>
      </c>
      <c r="S5188">
        <v>0</v>
      </c>
      <c r="T5188">
        <v>3</v>
      </c>
      <c r="U5188">
        <v>4</v>
      </c>
    </row>
    <row r="5189" spans="1:21" ht="16.5" x14ac:dyDescent="0.3">
      <c r="A5189" t="s">
        <v>5277</v>
      </c>
      <c r="B5189" s="1">
        <v>46004</v>
      </c>
      <c r="C5189">
        <v>2025</v>
      </c>
      <c r="D5189" t="s">
        <v>1738</v>
      </c>
      <c r="E5189" t="s">
        <v>2310</v>
      </c>
      <c r="F5189" t="s">
        <v>45</v>
      </c>
      <c r="G5189" t="s">
        <v>25</v>
      </c>
      <c r="H5189" t="s">
        <v>32</v>
      </c>
      <c r="I5189" t="s">
        <v>27</v>
      </c>
      <c r="J5189" t="s">
        <v>110</v>
      </c>
      <c r="K5189">
        <v>2</v>
      </c>
      <c r="L5189" s="2">
        <v>19.41</v>
      </c>
      <c r="M5189" s="3">
        <v>0.25</v>
      </c>
      <c r="N5189" t="s">
        <v>62</v>
      </c>
      <c r="O5189" s="2">
        <v>29.12</v>
      </c>
      <c r="P5189" s="2">
        <v>20.85</v>
      </c>
      <c r="Q5189" s="2">
        <v>8.27</v>
      </c>
      <c r="R5189">
        <v>1</v>
      </c>
      <c r="S5189">
        <v>0</v>
      </c>
      <c r="T5189">
        <v>7</v>
      </c>
      <c r="U5189">
        <v>3</v>
      </c>
    </row>
    <row r="5190" spans="1:21" ht="16.5" x14ac:dyDescent="0.3">
      <c r="A5190" t="s">
        <v>5278</v>
      </c>
      <c r="B5190" s="1">
        <v>46004</v>
      </c>
      <c r="C5190">
        <v>2025</v>
      </c>
      <c r="D5190" t="s">
        <v>1738</v>
      </c>
      <c r="E5190" t="s">
        <v>2310</v>
      </c>
      <c r="F5190" t="s">
        <v>31</v>
      </c>
      <c r="G5190" t="s">
        <v>51</v>
      </c>
      <c r="H5190" t="s">
        <v>32</v>
      </c>
      <c r="I5190" t="s">
        <v>70</v>
      </c>
      <c r="J5190" t="s">
        <v>71</v>
      </c>
      <c r="K5190">
        <v>1</v>
      </c>
      <c r="L5190" s="2">
        <v>588.41</v>
      </c>
      <c r="M5190" s="3">
        <v>0.3</v>
      </c>
      <c r="N5190" t="s">
        <v>62</v>
      </c>
      <c r="O5190" s="2">
        <v>411.89</v>
      </c>
      <c r="P5190" s="2">
        <v>450.85</v>
      </c>
      <c r="Q5190" s="2">
        <v>-38.96</v>
      </c>
      <c r="R5190">
        <v>1</v>
      </c>
      <c r="S5190">
        <v>0</v>
      </c>
      <c r="T5190">
        <v>6</v>
      </c>
      <c r="U5190">
        <v>4</v>
      </c>
    </row>
    <row r="5191" spans="1:21" ht="16.5" x14ac:dyDescent="0.3">
      <c r="A5191" t="s">
        <v>5279</v>
      </c>
      <c r="B5191" s="1">
        <v>46004</v>
      </c>
      <c r="C5191">
        <v>2025</v>
      </c>
      <c r="D5191" t="s">
        <v>1738</v>
      </c>
      <c r="E5191" t="s">
        <v>2310</v>
      </c>
      <c r="F5191" t="s">
        <v>31</v>
      </c>
      <c r="G5191" t="s">
        <v>25</v>
      </c>
      <c r="H5191" t="s">
        <v>32</v>
      </c>
      <c r="I5191" t="s">
        <v>27</v>
      </c>
      <c r="J5191" t="s">
        <v>60</v>
      </c>
      <c r="K5191">
        <v>1</v>
      </c>
      <c r="L5191" s="2">
        <v>94.85</v>
      </c>
      <c r="M5191" s="3">
        <v>0.2</v>
      </c>
      <c r="N5191" t="s">
        <v>34</v>
      </c>
      <c r="O5191" s="2">
        <v>75.88</v>
      </c>
      <c r="P5191" s="2">
        <v>51.9</v>
      </c>
      <c r="Q5191" s="2">
        <v>23.98</v>
      </c>
      <c r="R5191">
        <v>1</v>
      </c>
      <c r="S5191">
        <v>0</v>
      </c>
      <c r="T5191">
        <v>4</v>
      </c>
      <c r="U5191">
        <v>5</v>
      </c>
    </row>
    <row r="5192" spans="1:21" ht="16.5" x14ac:dyDescent="0.3">
      <c r="A5192" t="s">
        <v>5280</v>
      </c>
      <c r="B5192" s="1">
        <v>46004</v>
      </c>
      <c r="C5192">
        <v>2025</v>
      </c>
      <c r="D5192" t="s">
        <v>1738</v>
      </c>
      <c r="E5192" t="s">
        <v>2310</v>
      </c>
      <c r="F5192" t="s">
        <v>24</v>
      </c>
      <c r="G5192" t="s">
        <v>49</v>
      </c>
      <c r="H5192" t="s">
        <v>32</v>
      </c>
      <c r="I5192" t="s">
        <v>42</v>
      </c>
      <c r="J5192" t="s">
        <v>76</v>
      </c>
      <c r="K5192">
        <v>1</v>
      </c>
      <c r="L5192" s="2">
        <v>90.75</v>
      </c>
      <c r="M5192" s="3">
        <v>0.2</v>
      </c>
      <c r="N5192" t="s">
        <v>34</v>
      </c>
      <c r="O5192" s="2">
        <v>72.599999999999994</v>
      </c>
      <c r="P5192" s="2">
        <v>57.41</v>
      </c>
      <c r="Q5192" s="2">
        <v>15.19</v>
      </c>
      <c r="R5192">
        <v>1</v>
      </c>
      <c r="S5192">
        <v>0</v>
      </c>
      <c r="T5192">
        <v>4</v>
      </c>
      <c r="U5192">
        <v>5</v>
      </c>
    </row>
    <row r="5193" spans="1:21" ht="16.5" x14ac:dyDescent="0.3">
      <c r="A5193" t="s">
        <v>5281</v>
      </c>
      <c r="B5193" s="1">
        <v>46004</v>
      </c>
      <c r="C5193">
        <v>2025</v>
      </c>
      <c r="D5193" t="s">
        <v>1738</v>
      </c>
      <c r="E5193" t="s">
        <v>2310</v>
      </c>
      <c r="F5193" t="s">
        <v>24</v>
      </c>
      <c r="G5193" t="s">
        <v>51</v>
      </c>
      <c r="H5193" t="s">
        <v>26</v>
      </c>
      <c r="I5193" t="s">
        <v>84</v>
      </c>
      <c r="J5193" t="s">
        <v>96</v>
      </c>
      <c r="K5193">
        <v>1</v>
      </c>
      <c r="L5193" s="2">
        <v>10.76</v>
      </c>
      <c r="M5193" s="3">
        <v>0.25</v>
      </c>
      <c r="N5193" t="s">
        <v>62</v>
      </c>
      <c r="O5193" s="2">
        <v>8.07</v>
      </c>
      <c r="P5193" s="2">
        <v>7.85</v>
      </c>
      <c r="Q5193" s="2">
        <v>0.22</v>
      </c>
      <c r="R5193">
        <v>1</v>
      </c>
      <c r="S5193">
        <v>0</v>
      </c>
      <c r="T5193">
        <v>4</v>
      </c>
      <c r="U5193">
        <v>4</v>
      </c>
    </row>
    <row r="5194" spans="1:21" ht="16.5" x14ac:dyDescent="0.3">
      <c r="A5194" t="s">
        <v>5282</v>
      </c>
      <c r="B5194" s="1">
        <v>46004</v>
      </c>
      <c r="C5194">
        <v>2025</v>
      </c>
      <c r="D5194" t="s">
        <v>1738</v>
      </c>
      <c r="E5194" t="s">
        <v>2310</v>
      </c>
      <c r="F5194" t="s">
        <v>24</v>
      </c>
      <c r="G5194" t="s">
        <v>25</v>
      </c>
      <c r="H5194" t="s">
        <v>26</v>
      </c>
      <c r="I5194" t="s">
        <v>70</v>
      </c>
      <c r="J5194" t="s">
        <v>129</v>
      </c>
      <c r="K5194">
        <v>3</v>
      </c>
      <c r="L5194" s="2">
        <v>177.65</v>
      </c>
      <c r="M5194" s="3">
        <v>0.3</v>
      </c>
      <c r="N5194" t="s">
        <v>62</v>
      </c>
      <c r="O5194" s="2">
        <v>373.06</v>
      </c>
      <c r="P5194" s="2">
        <v>429.89</v>
      </c>
      <c r="Q5194" s="2">
        <v>-56.83</v>
      </c>
      <c r="R5194">
        <v>1</v>
      </c>
      <c r="S5194">
        <v>0</v>
      </c>
      <c r="T5194">
        <v>5</v>
      </c>
      <c r="U5194">
        <v>5</v>
      </c>
    </row>
    <row r="5195" spans="1:21" ht="16.5" x14ac:dyDescent="0.3">
      <c r="A5195" t="s">
        <v>5283</v>
      </c>
      <c r="B5195" s="1">
        <v>46004</v>
      </c>
      <c r="C5195">
        <v>2025</v>
      </c>
      <c r="D5195" t="s">
        <v>1738</v>
      </c>
      <c r="E5195" t="s">
        <v>2310</v>
      </c>
      <c r="F5195" t="s">
        <v>31</v>
      </c>
      <c r="G5195" t="s">
        <v>51</v>
      </c>
      <c r="H5195" t="s">
        <v>32</v>
      </c>
      <c r="I5195" t="s">
        <v>84</v>
      </c>
      <c r="J5195" t="s">
        <v>96</v>
      </c>
      <c r="K5195">
        <v>1</v>
      </c>
      <c r="L5195" s="2">
        <v>10.76</v>
      </c>
      <c r="M5195" s="3">
        <v>0.15</v>
      </c>
      <c r="N5195" t="s">
        <v>34</v>
      </c>
      <c r="O5195" s="2">
        <v>9.15</v>
      </c>
      <c r="P5195" s="2">
        <v>7.91</v>
      </c>
      <c r="Q5195" s="2">
        <v>1.24</v>
      </c>
      <c r="R5195">
        <v>1</v>
      </c>
      <c r="S5195">
        <v>0</v>
      </c>
      <c r="T5195">
        <v>3</v>
      </c>
      <c r="U5195">
        <v>5</v>
      </c>
    </row>
    <row r="5196" spans="1:21" ht="16.5" x14ac:dyDescent="0.3">
      <c r="A5196" t="s">
        <v>5284</v>
      </c>
      <c r="B5196" s="1">
        <v>46004</v>
      </c>
      <c r="C5196">
        <v>2025</v>
      </c>
      <c r="D5196" t="s">
        <v>1738</v>
      </c>
      <c r="E5196" t="s">
        <v>2310</v>
      </c>
      <c r="F5196" t="s">
        <v>24</v>
      </c>
      <c r="G5196" t="s">
        <v>49</v>
      </c>
      <c r="H5196" t="s">
        <v>32</v>
      </c>
      <c r="I5196" t="s">
        <v>70</v>
      </c>
      <c r="J5196" t="s">
        <v>82</v>
      </c>
      <c r="K5196">
        <v>1</v>
      </c>
      <c r="L5196" s="2">
        <v>508.8</v>
      </c>
      <c r="M5196" s="3">
        <v>0.2</v>
      </c>
      <c r="N5196" t="s">
        <v>34</v>
      </c>
      <c r="O5196" s="2">
        <v>407.04</v>
      </c>
      <c r="P5196" s="2">
        <v>408.84</v>
      </c>
      <c r="Q5196" s="2">
        <v>-1.8</v>
      </c>
      <c r="R5196">
        <v>1</v>
      </c>
      <c r="S5196">
        <v>0</v>
      </c>
      <c r="T5196">
        <v>6</v>
      </c>
      <c r="U5196">
        <v>4</v>
      </c>
    </row>
    <row r="5197" spans="1:21" ht="16.5" x14ac:dyDescent="0.3">
      <c r="A5197" t="s">
        <v>5285</v>
      </c>
      <c r="B5197" s="1">
        <v>46004</v>
      </c>
      <c r="C5197">
        <v>2025</v>
      </c>
      <c r="D5197" t="s">
        <v>1738</v>
      </c>
      <c r="E5197" t="s">
        <v>2310</v>
      </c>
      <c r="F5197" t="s">
        <v>24</v>
      </c>
      <c r="G5197" t="s">
        <v>25</v>
      </c>
      <c r="H5197" t="s">
        <v>32</v>
      </c>
      <c r="I5197" t="s">
        <v>27</v>
      </c>
      <c r="J5197" t="s">
        <v>40</v>
      </c>
      <c r="K5197">
        <v>2</v>
      </c>
      <c r="L5197" s="2">
        <v>104.94</v>
      </c>
      <c r="M5197" s="3">
        <v>0.25</v>
      </c>
      <c r="N5197" t="s">
        <v>62</v>
      </c>
      <c r="O5197" s="2">
        <v>157.41</v>
      </c>
      <c r="P5197" s="2">
        <v>113.96</v>
      </c>
      <c r="Q5197" s="2">
        <v>43.45</v>
      </c>
      <c r="R5197">
        <v>1</v>
      </c>
      <c r="S5197">
        <v>0</v>
      </c>
      <c r="T5197">
        <v>6</v>
      </c>
      <c r="U5197">
        <v>3</v>
      </c>
    </row>
    <row r="5198" spans="1:21" ht="16.5" x14ac:dyDescent="0.3">
      <c r="A5198" t="s">
        <v>5286</v>
      </c>
      <c r="B5198" s="1">
        <v>46005</v>
      </c>
      <c r="C5198">
        <v>2025</v>
      </c>
      <c r="D5198" t="s">
        <v>1738</v>
      </c>
      <c r="E5198" t="s">
        <v>2310</v>
      </c>
      <c r="F5198" t="s">
        <v>24</v>
      </c>
      <c r="G5198" t="s">
        <v>65</v>
      </c>
      <c r="H5198" t="s">
        <v>32</v>
      </c>
      <c r="I5198" t="s">
        <v>42</v>
      </c>
      <c r="J5198" t="s">
        <v>76</v>
      </c>
      <c r="K5198">
        <v>2</v>
      </c>
      <c r="L5198" s="2">
        <v>90.75</v>
      </c>
      <c r="M5198" s="3">
        <v>0.3</v>
      </c>
      <c r="N5198" t="s">
        <v>62</v>
      </c>
      <c r="O5198" s="2">
        <v>127.05</v>
      </c>
      <c r="P5198" s="2">
        <v>125.1</v>
      </c>
      <c r="Q5198" s="2">
        <v>1.95</v>
      </c>
      <c r="R5198">
        <v>1</v>
      </c>
      <c r="S5198">
        <v>0</v>
      </c>
      <c r="T5198">
        <v>8</v>
      </c>
      <c r="U5198">
        <v>3</v>
      </c>
    </row>
    <row r="5199" spans="1:21" ht="16.5" x14ac:dyDescent="0.3">
      <c r="A5199" t="s">
        <v>5287</v>
      </c>
      <c r="B5199" s="1">
        <v>46005</v>
      </c>
      <c r="C5199">
        <v>2025</v>
      </c>
      <c r="D5199" t="s">
        <v>1738</v>
      </c>
      <c r="E5199" t="s">
        <v>2310</v>
      </c>
      <c r="F5199" t="s">
        <v>31</v>
      </c>
      <c r="G5199" t="s">
        <v>51</v>
      </c>
      <c r="H5199" t="s">
        <v>26</v>
      </c>
      <c r="I5199" t="s">
        <v>70</v>
      </c>
      <c r="J5199" t="s">
        <v>252</v>
      </c>
      <c r="K5199">
        <v>2</v>
      </c>
      <c r="L5199" s="2">
        <v>216.08</v>
      </c>
      <c r="M5199" s="3">
        <v>0.25</v>
      </c>
      <c r="N5199" t="s">
        <v>62</v>
      </c>
      <c r="O5199" s="2">
        <v>324.12</v>
      </c>
      <c r="P5199" s="2">
        <v>347.79</v>
      </c>
      <c r="Q5199" s="2">
        <v>-23.67</v>
      </c>
      <c r="R5199">
        <v>1</v>
      </c>
      <c r="S5199">
        <v>0</v>
      </c>
      <c r="T5199">
        <v>3</v>
      </c>
      <c r="U5199">
        <v>4</v>
      </c>
    </row>
    <row r="5200" spans="1:21" ht="16.5" x14ac:dyDescent="0.3">
      <c r="A5200" t="s">
        <v>5288</v>
      </c>
      <c r="B5200" s="1">
        <v>46005</v>
      </c>
      <c r="C5200">
        <v>2025</v>
      </c>
      <c r="D5200" t="s">
        <v>1738</v>
      </c>
      <c r="E5200" t="s">
        <v>2310</v>
      </c>
      <c r="F5200" t="s">
        <v>31</v>
      </c>
      <c r="G5200" t="s">
        <v>49</v>
      </c>
      <c r="H5200" t="s">
        <v>26</v>
      </c>
      <c r="I5200" t="s">
        <v>67</v>
      </c>
      <c r="J5200" t="s">
        <v>78</v>
      </c>
      <c r="K5200">
        <v>2</v>
      </c>
      <c r="L5200" s="2">
        <v>85.42</v>
      </c>
      <c r="M5200" s="3">
        <v>0.2</v>
      </c>
      <c r="N5200" t="s">
        <v>34</v>
      </c>
      <c r="O5200" s="2">
        <v>136.66999999999999</v>
      </c>
      <c r="P5200" s="2">
        <v>114.86</v>
      </c>
      <c r="Q5200" s="2">
        <v>21.81</v>
      </c>
      <c r="R5200">
        <v>1</v>
      </c>
      <c r="S5200">
        <v>0</v>
      </c>
      <c r="T5200">
        <v>4</v>
      </c>
      <c r="U5200">
        <v>5</v>
      </c>
    </row>
    <row r="5201" spans="1:21" ht="16.5" x14ac:dyDescent="0.3">
      <c r="A5201" t="s">
        <v>5289</v>
      </c>
      <c r="B5201" s="1">
        <v>46005</v>
      </c>
      <c r="C5201">
        <v>2025</v>
      </c>
      <c r="D5201" t="s">
        <v>1738</v>
      </c>
      <c r="E5201" t="s">
        <v>2310</v>
      </c>
      <c r="F5201" t="s">
        <v>24</v>
      </c>
      <c r="G5201" t="s">
        <v>51</v>
      </c>
      <c r="H5201" t="s">
        <v>26</v>
      </c>
      <c r="I5201" t="s">
        <v>42</v>
      </c>
      <c r="J5201" t="s">
        <v>43</v>
      </c>
      <c r="K5201">
        <v>1</v>
      </c>
      <c r="L5201" s="2">
        <v>154.66</v>
      </c>
      <c r="M5201" s="3">
        <v>0</v>
      </c>
      <c r="N5201" t="s">
        <v>38</v>
      </c>
      <c r="O5201" s="2">
        <v>154.66</v>
      </c>
      <c r="P5201" s="2">
        <v>102.46</v>
      </c>
      <c r="Q5201" s="2">
        <v>52.2</v>
      </c>
      <c r="R5201">
        <v>1</v>
      </c>
      <c r="S5201">
        <v>0</v>
      </c>
      <c r="T5201">
        <v>4</v>
      </c>
      <c r="U5201">
        <v>4</v>
      </c>
    </row>
    <row r="5202" spans="1:21" ht="16.5" x14ac:dyDescent="0.3">
      <c r="A5202" t="s">
        <v>5290</v>
      </c>
      <c r="B5202" s="1">
        <v>46005</v>
      </c>
      <c r="C5202">
        <v>2025</v>
      </c>
      <c r="D5202" t="s">
        <v>1738</v>
      </c>
      <c r="E5202" t="s">
        <v>2310</v>
      </c>
      <c r="F5202" t="s">
        <v>31</v>
      </c>
      <c r="G5202" t="s">
        <v>51</v>
      </c>
      <c r="H5202" t="s">
        <v>26</v>
      </c>
      <c r="I5202" t="s">
        <v>27</v>
      </c>
      <c r="J5202" t="s">
        <v>28</v>
      </c>
      <c r="K5202">
        <v>1</v>
      </c>
      <c r="L5202" s="2">
        <v>138.5</v>
      </c>
      <c r="M5202" s="3">
        <v>0.15</v>
      </c>
      <c r="N5202" t="s">
        <v>34</v>
      </c>
      <c r="O5202" s="2">
        <v>117.72</v>
      </c>
      <c r="P5202" s="2">
        <v>76.930000000000007</v>
      </c>
      <c r="Q5202" s="2">
        <v>40.79</v>
      </c>
      <c r="R5202">
        <v>1</v>
      </c>
      <c r="S5202">
        <v>0</v>
      </c>
      <c r="T5202">
        <v>4</v>
      </c>
      <c r="U5202">
        <v>3</v>
      </c>
    </row>
    <row r="5203" spans="1:21" ht="16.5" x14ac:dyDescent="0.3">
      <c r="A5203" t="s">
        <v>5291</v>
      </c>
      <c r="B5203" s="1">
        <v>46005</v>
      </c>
      <c r="C5203">
        <v>2025</v>
      </c>
      <c r="D5203" t="s">
        <v>1738</v>
      </c>
      <c r="E5203" t="s">
        <v>2310</v>
      </c>
      <c r="F5203" t="s">
        <v>45</v>
      </c>
      <c r="G5203" t="s">
        <v>49</v>
      </c>
      <c r="H5203" t="s">
        <v>26</v>
      </c>
      <c r="I5203" t="s">
        <v>84</v>
      </c>
      <c r="J5203" t="s">
        <v>106</v>
      </c>
      <c r="K5203">
        <v>2</v>
      </c>
      <c r="L5203" s="2">
        <v>45.28</v>
      </c>
      <c r="M5203" s="3">
        <v>0.15</v>
      </c>
      <c r="N5203" t="s">
        <v>34</v>
      </c>
      <c r="O5203" s="2">
        <v>76.98</v>
      </c>
      <c r="P5203" s="2">
        <v>66.69</v>
      </c>
      <c r="Q5203" s="2">
        <v>10.29</v>
      </c>
      <c r="R5203">
        <v>1</v>
      </c>
      <c r="S5203">
        <v>0</v>
      </c>
      <c r="T5203">
        <v>5</v>
      </c>
      <c r="U5203">
        <v>5</v>
      </c>
    </row>
    <row r="5204" spans="1:21" ht="16.5" x14ac:dyDescent="0.3">
      <c r="A5204" t="s">
        <v>5292</v>
      </c>
      <c r="B5204" s="1">
        <v>46005</v>
      </c>
      <c r="C5204">
        <v>2025</v>
      </c>
      <c r="D5204" t="s">
        <v>1738</v>
      </c>
      <c r="E5204" t="s">
        <v>2310</v>
      </c>
      <c r="F5204" t="s">
        <v>45</v>
      </c>
      <c r="G5204" t="s">
        <v>25</v>
      </c>
      <c r="H5204" t="s">
        <v>32</v>
      </c>
      <c r="I5204" t="s">
        <v>42</v>
      </c>
      <c r="J5204" t="s">
        <v>43</v>
      </c>
      <c r="K5204">
        <v>1</v>
      </c>
      <c r="L5204" s="2">
        <v>154.66</v>
      </c>
      <c r="M5204" s="3">
        <v>0.2</v>
      </c>
      <c r="N5204" t="s">
        <v>34</v>
      </c>
      <c r="O5204" s="2">
        <v>123.73</v>
      </c>
      <c r="P5204" s="2">
        <v>105.86</v>
      </c>
      <c r="Q5204" s="2">
        <v>17.87</v>
      </c>
      <c r="R5204">
        <v>1</v>
      </c>
      <c r="S5204">
        <v>0</v>
      </c>
      <c r="T5204">
        <v>4</v>
      </c>
      <c r="U5204">
        <v>5</v>
      </c>
    </row>
    <row r="5205" spans="1:21" ht="16.5" x14ac:dyDescent="0.3">
      <c r="A5205" t="s">
        <v>5293</v>
      </c>
      <c r="B5205" s="1">
        <v>46005</v>
      </c>
      <c r="C5205">
        <v>2025</v>
      </c>
      <c r="D5205" t="s">
        <v>1738</v>
      </c>
      <c r="E5205" t="s">
        <v>2310</v>
      </c>
      <c r="F5205" t="s">
        <v>31</v>
      </c>
      <c r="G5205" t="s">
        <v>51</v>
      </c>
      <c r="H5205" t="s">
        <v>26</v>
      </c>
      <c r="I5205" t="s">
        <v>67</v>
      </c>
      <c r="J5205" t="s">
        <v>103</v>
      </c>
      <c r="K5205">
        <v>1</v>
      </c>
      <c r="L5205" s="2">
        <v>83.06</v>
      </c>
      <c r="M5205" s="3">
        <v>0.05</v>
      </c>
      <c r="N5205" t="s">
        <v>29</v>
      </c>
      <c r="O5205" s="2">
        <v>78.91</v>
      </c>
      <c r="P5205" s="2">
        <v>54.32</v>
      </c>
      <c r="Q5205" s="2">
        <v>24.59</v>
      </c>
      <c r="R5205">
        <v>1</v>
      </c>
      <c r="S5205">
        <v>0</v>
      </c>
      <c r="T5205">
        <v>3</v>
      </c>
      <c r="U5205">
        <v>5</v>
      </c>
    </row>
    <row r="5206" spans="1:21" ht="16.5" x14ac:dyDescent="0.3">
      <c r="A5206" t="s">
        <v>5294</v>
      </c>
      <c r="B5206" s="1">
        <v>46005</v>
      </c>
      <c r="C5206">
        <v>2025</v>
      </c>
      <c r="D5206" t="s">
        <v>1738</v>
      </c>
      <c r="E5206" t="s">
        <v>2310</v>
      </c>
      <c r="F5206" t="s">
        <v>31</v>
      </c>
      <c r="G5206" t="s">
        <v>51</v>
      </c>
      <c r="H5206" t="s">
        <v>32</v>
      </c>
      <c r="I5206" t="s">
        <v>70</v>
      </c>
      <c r="J5206" t="s">
        <v>71</v>
      </c>
      <c r="K5206">
        <v>1</v>
      </c>
      <c r="L5206" s="2">
        <v>588.41</v>
      </c>
      <c r="M5206" s="3">
        <v>0.1</v>
      </c>
      <c r="N5206" t="s">
        <v>29</v>
      </c>
      <c r="O5206" s="2">
        <v>529.57000000000005</v>
      </c>
      <c r="P5206" s="2">
        <v>467.88</v>
      </c>
      <c r="Q5206" s="2">
        <v>61.69</v>
      </c>
      <c r="R5206">
        <v>1</v>
      </c>
      <c r="S5206">
        <v>0</v>
      </c>
      <c r="T5206">
        <v>3</v>
      </c>
      <c r="U5206">
        <v>5</v>
      </c>
    </row>
    <row r="5207" spans="1:21" ht="16.5" x14ac:dyDescent="0.3">
      <c r="A5207" t="s">
        <v>5295</v>
      </c>
      <c r="B5207" s="1">
        <v>46005</v>
      </c>
      <c r="C5207">
        <v>2025</v>
      </c>
      <c r="D5207" t="s">
        <v>1738</v>
      </c>
      <c r="E5207" t="s">
        <v>2310</v>
      </c>
      <c r="F5207" t="s">
        <v>45</v>
      </c>
      <c r="G5207" t="s">
        <v>49</v>
      </c>
      <c r="H5207" t="s">
        <v>32</v>
      </c>
      <c r="I5207" t="s">
        <v>36</v>
      </c>
      <c r="J5207" t="s">
        <v>37</v>
      </c>
      <c r="K5207">
        <v>1</v>
      </c>
      <c r="L5207" s="2">
        <v>33.18</v>
      </c>
      <c r="M5207" s="3">
        <v>0</v>
      </c>
      <c r="N5207" t="s">
        <v>38</v>
      </c>
      <c r="O5207" s="2">
        <v>33.18</v>
      </c>
      <c r="P5207" s="2">
        <v>15.92</v>
      </c>
      <c r="Q5207" s="2">
        <v>17.260000000000002</v>
      </c>
      <c r="R5207">
        <v>1</v>
      </c>
      <c r="S5207">
        <v>0</v>
      </c>
      <c r="T5207">
        <v>7</v>
      </c>
      <c r="U5207">
        <v>4</v>
      </c>
    </row>
    <row r="5208" spans="1:21" ht="16.5" x14ac:dyDescent="0.3">
      <c r="A5208" t="s">
        <v>5296</v>
      </c>
      <c r="B5208" s="1">
        <v>46005</v>
      </c>
      <c r="C5208">
        <v>2025</v>
      </c>
      <c r="D5208" t="s">
        <v>1738</v>
      </c>
      <c r="E5208" t="s">
        <v>2310</v>
      </c>
      <c r="F5208" t="s">
        <v>24</v>
      </c>
      <c r="G5208" t="s">
        <v>46</v>
      </c>
      <c r="H5208" t="s">
        <v>26</v>
      </c>
      <c r="I5208" t="s">
        <v>42</v>
      </c>
      <c r="J5208" t="s">
        <v>76</v>
      </c>
      <c r="K5208">
        <v>1</v>
      </c>
      <c r="L5208" s="2">
        <v>90.75</v>
      </c>
      <c r="M5208" s="3">
        <v>0.05</v>
      </c>
      <c r="N5208" t="s">
        <v>29</v>
      </c>
      <c r="O5208" s="2">
        <v>86.21</v>
      </c>
      <c r="P5208" s="2">
        <v>64.09</v>
      </c>
      <c r="Q5208" s="2">
        <v>22.12</v>
      </c>
      <c r="R5208">
        <v>1</v>
      </c>
      <c r="S5208">
        <v>0</v>
      </c>
      <c r="T5208">
        <v>7</v>
      </c>
      <c r="U5208">
        <v>3</v>
      </c>
    </row>
    <row r="5209" spans="1:21" ht="16.5" x14ac:dyDescent="0.3">
      <c r="A5209" t="s">
        <v>5297</v>
      </c>
      <c r="B5209" s="1">
        <v>46006</v>
      </c>
      <c r="C5209">
        <v>2025</v>
      </c>
      <c r="D5209" t="s">
        <v>1738</v>
      </c>
      <c r="E5209" t="s">
        <v>2310</v>
      </c>
      <c r="F5209" t="s">
        <v>24</v>
      </c>
      <c r="G5209" t="s">
        <v>25</v>
      </c>
      <c r="H5209" t="s">
        <v>32</v>
      </c>
      <c r="I5209" t="s">
        <v>27</v>
      </c>
      <c r="J5209" t="s">
        <v>28</v>
      </c>
      <c r="K5209">
        <v>1</v>
      </c>
      <c r="L5209" s="2">
        <v>138.5</v>
      </c>
      <c r="M5209" s="3">
        <v>0.2</v>
      </c>
      <c r="N5209" t="s">
        <v>34</v>
      </c>
      <c r="O5209" s="2">
        <v>110.8</v>
      </c>
      <c r="P5209" s="2">
        <v>75.55</v>
      </c>
      <c r="Q5209" s="2">
        <v>35.25</v>
      </c>
      <c r="R5209">
        <v>1</v>
      </c>
      <c r="S5209">
        <v>1</v>
      </c>
      <c r="T5209">
        <v>4</v>
      </c>
      <c r="U5209">
        <v>3</v>
      </c>
    </row>
    <row r="5210" spans="1:21" ht="16.5" x14ac:dyDescent="0.3">
      <c r="A5210" t="s">
        <v>5298</v>
      </c>
      <c r="B5210" s="1">
        <v>46006</v>
      </c>
      <c r="C5210">
        <v>2025</v>
      </c>
      <c r="D5210" t="s">
        <v>1738</v>
      </c>
      <c r="E5210" t="s">
        <v>2310</v>
      </c>
      <c r="F5210" t="s">
        <v>31</v>
      </c>
      <c r="G5210" t="s">
        <v>51</v>
      </c>
      <c r="H5210" t="s">
        <v>26</v>
      </c>
      <c r="I5210" t="s">
        <v>84</v>
      </c>
      <c r="J5210" t="s">
        <v>85</v>
      </c>
      <c r="K5210">
        <v>1</v>
      </c>
      <c r="L5210" s="2">
        <v>57.92</v>
      </c>
      <c r="M5210" s="3">
        <v>0.15</v>
      </c>
      <c r="N5210" t="s">
        <v>34</v>
      </c>
      <c r="O5210" s="2">
        <v>49.23</v>
      </c>
      <c r="P5210" s="2">
        <v>40.549999999999997</v>
      </c>
      <c r="Q5210" s="2">
        <v>8.68</v>
      </c>
      <c r="R5210">
        <v>1</v>
      </c>
      <c r="S5210">
        <v>0</v>
      </c>
      <c r="T5210">
        <v>5</v>
      </c>
      <c r="U5210">
        <v>4</v>
      </c>
    </row>
    <row r="5211" spans="1:21" ht="16.5" x14ac:dyDescent="0.3">
      <c r="A5211" t="s">
        <v>5299</v>
      </c>
      <c r="B5211" s="1">
        <v>46006</v>
      </c>
      <c r="C5211">
        <v>2025</v>
      </c>
      <c r="D5211" t="s">
        <v>1738</v>
      </c>
      <c r="E5211" t="s">
        <v>2310</v>
      </c>
      <c r="F5211" t="s">
        <v>24</v>
      </c>
      <c r="G5211" t="s">
        <v>65</v>
      </c>
      <c r="H5211" t="s">
        <v>32</v>
      </c>
      <c r="I5211" t="s">
        <v>67</v>
      </c>
      <c r="J5211" t="s">
        <v>93</v>
      </c>
      <c r="K5211">
        <v>1</v>
      </c>
      <c r="L5211" s="2">
        <v>198.42</v>
      </c>
      <c r="M5211" s="3">
        <v>0.3</v>
      </c>
      <c r="N5211" t="s">
        <v>62</v>
      </c>
      <c r="O5211" s="2">
        <v>138.88999999999999</v>
      </c>
      <c r="P5211" s="2">
        <v>127.95</v>
      </c>
      <c r="Q5211" s="2">
        <v>10.94</v>
      </c>
      <c r="R5211">
        <v>1</v>
      </c>
      <c r="S5211">
        <v>0</v>
      </c>
      <c r="T5211">
        <v>8</v>
      </c>
      <c r="U5211">
        <v>4</v>
      </c>
    </row>
    <row r="5212" spans="1:21" ht="16.5" x14ac:dyDescent="0.3">
      <c r="A5212" t="s">
        <v>5300</v>
      </c>
      <c r="B5212" s="1">
        <v>46006</v>
      </c>
      <c r="C5212">
        <v>2025</v>
      </c>
      <c r="D5212" t="s">
        <v>1738</v>
      </c>
      <c r="E5212" t="s">
        <v>2310</v>
      </c>
      <c r="F5212" t="s">
        <v>24</v>
      </c>
      <c r="G5212" t="s">
        <v>25</v>
      </c>
      <c r="H5212" t="s">
        <v>32</v>
      </c>
      <c r="I5212" t="s">
        <v>70</v>
      </c>
      <c r="J5212" t="s">
        <v>129</v>
      </c>
      <c r="K5212">
        <v>2</v>
      </c>
      <c r="L5212" s="2">
        <v>177.65</v>
      </c>
      <c r="M5212" s="3">
        <v>0.2</v>
      </c>
      <c r="N5212" t="s">
        <v>34</v>
      </c>
      <c r="O5212" s="2">
        <v>284.24</v>
      </c>
      <c r="P5212" s="2">
        <v>273.43</v>
      </c>
      <c r="Q5212" s="2">
        <v>10.81</v>
      </c>
      <c r="R5212">
        <v>1</v>
      </c>
      <c r="S5212">
        <v>0</v>
      </c>
      <c r="T5212">
        <v>6</v>
      </c>
      <c r="U5212">
        <v>3</v>
      </c>
    </row>
    <row r="5213" spans="1:21" ht="16.5" x14ac:dyDescent="0.3">
      <c r="A5213" t="s">
        <v>5301</v>
      </c>
      <c r="B5213" s="1">
        <v>46006</v>
      </c>
      <c r="C5213">
        <v>2025</v>
      </c>
      <c r="D5213" t="s">
        <v>1738</v>
      </c>
      <c r="E5213" t="s">
        <v>2310</v>
      </c>
      <c r="F5213" t="s">
        <v>31</v>
      </c>
      <c r="G5213" t="s">
        <v>46</v>
      </c>
      <c r="H5213" t="s">
        <v>26</v>
      </c>
      <c r="I5213" t="s">
        <v>42</v>
      </c>
      <c r="J5213" t="s">
        <v>58</v>
      </c>
      <c r="K5213">
        <v>3</v>
      </c>
      <c r="L5213" s="2">
        <v>233.81</v>
      </c>
      <c r="M5213" s="3">
        <v>0.05</v>
      </c>
      <c r="N5213" t="s">
        <v>29</v>
      </c>
      <c r="O5213" s="2">
        <v>666.36</v>
      </c>
      <c r="P5213" s="2">
        <v>467.56</v>
      </c>
      <c r="Q5213" s="2">
        <v>198.8</v>
      </c>
      <c r="R5213">
        <v>1</v>
      </c>
      <c r="S5213">
        <v>0</v>
      </c>
      <c r="T5213">
        <v>7</v>
      </c>
      <c r="U5213">
        <v>3</v>
      </c>
    </row>
    <row r="5214" spans="1:21" ht="16.5" x14ac:dyDescent="0.3">
      <c r="A5214" t="s">
        <v>5302</v>
      </c>
      <c r="B5214" s="1">
        <v>46006</v>
      </c>
      <c r="C5214">
        <v>2025</v>
      </c>
      <c r="D5214" t="s">
        <v>1738</v>
      </c>
      <c r="E5214" t="s">
        <v>2310</v>
      </c>
      <c r="F5214" t="s">
        <v>24</v>
      </c>
      <c r="G5214" t="s">
        <v>51</v>
      </c>
      <c r="H5214" t="s">
        <v>32</v>
      </c>
      <c r="I5214" t="s">
        <v>36</v>
      </c>
      <c r="J5214" t="s">
        <v>126</v>
      </c>
      <c r="K5214">
        <v>2</v>
      </c>
      <c r="L5214" s="2">
        <v>54.56</v>
      </c>
      <c r="M5214" s="3">
        <v>0.05</v>
      </c>
      <c r="N5214" t="s">
        <v>29</v>
      </c>
      <c r="O5214" s="2">
        <v>103.66</v>
      </c>
      <c r="P5214" s="2">
        <v>50.44</v>
      </c>
      <c r="Q5214" s="2">
        <v>53.22</v>
      </c>
      <c r="R5214">
        <v>1</v>
      </c>
      <c r="S5214">
        <v>0</v>
      </c>
      <c r="T5214">
        <v>3</v>
      </c>
      <c r="U5214">
        <v>5</v>
      </c>
    </row>
    <row r="5215" spans="1:21" ht="16.5" x14ac:dyDescent="0.3">
      <c r="A5215" t="s">
        <v>5303</v>
      </c>
      <c r="B5215" s="1">
        <v>46006</v>
      </c>
      <c r="C5215">
        <v>2025</v>
      </c>
      <c r="D5215" t="s">
        <v>1738</v>
      </c>
      <c r="E5215" t="s">
        <v>2310</v>
      </c>
      <c r="F5215" t="s">
        <v>31</v>
      </c>
      <c r="G5215" t="s">
        <v>49</v>
      </c>
      <c r="H5215" t="s">
        <v>26</v>
      </c>
      <c r="I5215" t="s">
        <v>27</v>
      </c>
      <c r="J5215" t="s">
        <v>28</v>
      </c>
      <c r="K5215">
        <v>1</v>
      </c>
      <c r="L5215" s="2">
        <v>138.5</v>
      </c>
      <c r="M5215" s="3">
        <v>0.1</v>
      </c>
      <c r="N5215" t="s">
        <v>29</v>
      </c>
      <c r="O5215" s="2">
        <v>124.65</v>
      </c>
      <c r="P5215" s="2">
        <v>77.849999999999994</v>
      </c>
      <c r="Q5215" s="2">
        <v>46.8</v>
      </c>
      <c r="R5215">
        <v>1</v>
      </c>
      <c r="S5215">
        <v>0</v>
      </c>
      <c r="T5215">
        <v>4</v>
      </c>
      <c r="U5215">
        <v>4</v>
      </c>
    </row>
    <row r="5216" spans="1:21" ht="16.5" x14ac:dyDescent="0.3">
      <c r="A5216" t="s">
        <v>5304</v>
      </c>
      <c r="B5216" s="1">
        <v>46006</v>
      </c>
      <c r="C5216">
        <v>2025</v>
      </c>
      <c r="D5216" t="s">
        <v>1738</v>
      </c>
      <c r="E5216" t="s">
        <v>2310</v>
      </c>
      <c r="F5216" t="s">
        <v>24</v>
      </c>
      <c r="G5216" t="s">
        <v>51</v>
      </c>
      <c r="H5216" t="s">
        <v>26</v>
      </c>
      <c r="I5216" t="s">
        <v>42</v>
      </c>
      <c r="J5216" t="s">
        <v>98</v>
      </c>
      <c r="K5216">
        <v>1</v>
      </c>
      <c r="L5216" s="2">
        <v>117.63</v>
      </c>
      <c r="M5216" s="3">
        <v>0.1</v>
      </c>
      <c r="N5216" t="s">
        <v>29</v>
      </c>
      <c r="O5216" s="2">
        <v>105.87</v>
      </c>
      <c r="P5216" s="2">
        <v>75.94</v>
      </c>
      <c r="Q5216" s="2">
        <v>29.93</v>
      </c>
      <c r="R5216">
        <v>1</v>
      </c>
      <c r="S5216">
        <v>0</v>
      </c>
      <c r="T5216">
        <v>6</v>
      </c>
      <c r="U5216">
        <v>4</v>
      </c>
    </row>
    <row r="5217" spans="1:21" ht="16.5" x14ac:dyDescent="0.3">
      <c r="A5217" t="s">
        <v>5305</v>
      </c>
      <c r="B5217" s="1">
        <v>46007</v>
      </c>
      <c r="C5217">
        <v>2025</v>
      </c>
      <c r="D5217" t="s">
        <v>1738</v>
      </c>
      <c r="E5217" t="s">
        <v>2310</v>
      </c>
      <c r="F5217" t="s">
        <v>31</v>
      </c>
      <c r="G5217" t="s">
        <v>46</v>
      </c>
      <c r="H5217" t="s">
        <v>32</v>
      </c>
      <c r="I5217" t="s">
        <v>27</v>
      </c>
      <c r="J5217" t="s">
        <v>60</v>
      </c>
      <c r="K5217">
        <v>1</v>
      </c>
      <c r="L5217" s="2">
        <v>94.85</v>
      </c>
      <c r="M5217" s="3">
        <v>0.2</v>
      </c>
      <c r="N5217" t="s">
        <v>34</v>
      </c>
      <c r="O5217" s="2">
        <v>75.88</v>
      </c>
      <c r="P5217" s="2">
        <v>49.99</v>
      </c>
      <c r="Q5217" s="2">
        <v>25.89</v>
      </c>
      <c r="R5217">
        <v>1</v>
      </c>
      <c r="S5217">
        <v>1</v>
      </c>
      <c r="T5217">
        <v>6</v>
      </c>
      <c r="U5217">
        <v>2</v>
      </c>
    </row>
    <row r="5218" spans="1:21" ht="16.5" x14ac:dyDescent="0.3">
      <c r="A5218" t="s">
        <v>5306</v>
      </c>
      <c r="B5218" s="1">
        <v>46007</v>
      </c>
      <c r="C5218">
        <v>2025</v>
      </c>
      <c r="D5218" t="s">
        <v>1738</v>
      </c>
      <c r="E5218" t="s">
        <v>2310</v>
      </c>
      <c r="F5218" t="s">
        <v>24</v>
      </c>
      <c r="G5218" t="s">
        <v>25</v>
      </c>
      <c r="H5218" t="s">
        <v>26</v>
      </c>
      <c r="I5218" t="s">
        <v>84</v>
      </c>
      <c r="J5218" t="s">
        <v>85</v>
      </c>
      <c r="K5218">
        <v>1</v>
      </c>
      <c r="L5218" s="2">
        <v>57.92</v>
      </c>
      <c r="M5218" s="3">
        <v>0</v>
      </c>
      <c r="N5218" t="s">
        <v>38</v>
      </c>
      <c r="O5218" s="2">
        <v>57.92</v>
      </c>
      <c r="P5218" s="2">
        <v>39.31</v>
      </c>
      <c r="Q5218" s="2">
        <v>18.61</v>
      </c>
      <c r="R5218">
        <v>1</v>
      </c>
      <c r="S5218">
        <v>0</v>
      </c>
      <c r="T5218">
        <v>6</v>
      </c>
      <c r="U5218">
        <v>4</v>
      </c>
    </row>
    <row r="5219" spans="1:21" ht="16.5" x14ac:dyDescent="0.3">
      <c r="A5219" t="s">
        <v>5307</v>
      </c>
      <c r="B5219" s="1">
        <v>46007</v>
      </c>
      <c r="C5219">
        <v>2025</v>
      </c>
      <c r="D5219" t="s">
        <v>1738</v>
      </c>
      <c r="E5219" t="s">
        <v>2310</v>
      </c>
      <c r="F5219" t="s">
        <v>31</v>
      </c>
      <c r="G5219" t="s">
        <v>25</v>
      </c>
      <c r="H5219" t="s">
        <v>32</v>
      </c>
      <c r="I5219" t="s">
        <v>84</v>
      </c>
      <c r="J5219" t="s">
        <v>85</v>
      </c>
      <c r="K5219">
        <v>2</v>
      </c>
      <c r="L5219" s="2">
        <v>57.92</v>
      </c>
      <c r="M5219" s="3">
        <v>0.2</v>
      </c>
      <c r="N5219" t="s">
        <v>34</v>
      </c>
      <c r="O5219" s="2">
        <v>92.67</v>
      </c>
      <c r="P5219" s="2">
        <v>81.67</v>
      </c>
      <c r="Q5219" s="2">
        <v>11</v>
      </c>
      <c r="R5219">
        <v>1</v>
      </c>
      <c r="S5219">
        <v>0</v>
      </c>
      <c r="T5219">
        <v>4</v>
      </c>
      <c r="U5219">
        <v>5</v>
      </c>
    </row>
    <row r="5220" spans="1:21" ht="16.5" x14ac:dyDescent="0.3">
      <c r="A5220" t="s">
        <v>5308</v>
      </c>
      <c r="B5220" s="1">
        <v>46007</v>
      </c>
      <c r="C5220">
        <v>2025</v>
      </c>
      <c r="D5220" t="s">
        <v>1738</v>
      </c>
      <c r="E5220" t="s">
        <v>2310</v>
      </c>
      <c r="F5220" t="s">
        <v>31</v>
      </c>
      <c r="G5220" t="s">
        <v>25</v>
      </c>
      <c r="H5220" t="s">
        <v>26</v>
      </c>
      <c r="I5220" t="s">
        <v>27</v>
      </c>
      <c r="J5220" t="s">
        <v>40</v>
      </c>
      <c r="K5220">
        <v>1</v>
      </c>
      <c r="L5220" s="2">
        <v>104.94</v>
      </c>
      <c r="M5220" s="3">
        <v>0.25</v>
      </c>
      <c r="N5220" t="s">
        <v>62</v>
      </c>
      <c r="O5220" s="2">
        <v>78.7</v>
      </c>
      <c r="P5220" s="2">
        <v>57.99</v>
      </c>
      <c r="Q5220" s="2">
        <v>20.71</v>
      </c>
      <c r="R5220">
        <v>1</v>
      </c>
      <c r="S5220">
        <v>0</v>
      </c>
      <c r="T5220">
        <v>5</v>
      </c>
      <c r="U5220">
        <v>5</v>
      </c>
    </row>
    <row r="5221" spans="1:21" ht="16.5" x14ac:dyDescent="0.3">
      <c r="A5221" t="s">
        <v>5309</v>
      </c>
      <c r="B5221" s="1">
        <v>46007</v>
      </c>
      <c r="C5221">
        <v>2025</v>
      </c>
      <c r="D5221" t="s">
        <v>1738</v>
      </c>
      <c r="E5221" t="s">
        <v>2310</v>
      </c>
      <c r="F5221" t="s">
        <v>24</v>
      </c>
      <c r="G5221" t="s">
        <v>49</v>
      </c>
      <c r="H5221" t="s">
        <v>32</v>
      </c>
      <c r="I5221" t="s">
        <v>27</v>
      </c>
      <c r="J5221" t="s">
        <v>28</v>
      </c>
      <c r="K5221">
        <v>2</v>
      </c>
      <c r="L5221" s="2">
        <v>138.5</v>
      </c>
      <c r="M5221" s="3">
        <v>0.1</v>
      </c>
      <c r="N5221" t="s">
        <v>29</v>
      </c>
      <c r="O5221" s="2">
        <v>249.3</v>
      </c>
      <c r="P5221" s="2">
        <v>149.04</v>
      </c>
      <c r="Q5221" s="2">
        <v>100.26</v>
      </c>
      <c r="R5221">
        <v>1</v>
      </c>
      <c r="S5221">
        <v>1</v>
      </c>
      <c r="T5221">
        <v>5</v>
      </c>
      <c r="U5221">
        <v>3</v>
      </c>
    </row>
    <row r="5222" spans="1:21" ht="16.5" x14ac:dyDescent="0.3">
      <c r="A5222" t="s">
        <v>5310</v>
      </c>
      <c r="B5222" s="1">
        <v>46007</v>
      </c>
      <c r="C5222">
        <v>2025</v>
      </c>
      <c r="D5222" t="s">
        <v>1738</v>
      </c>
      <c r="E5222" t="s">
        <v>2310</v>
      </c>
      <c r="F5222" t="s">
        <v>45</v>
      </c>
      <c r="G5222" t="s">
        <v>25</v>
      </c>
      <c r="H5222" t="s">
        <v>32</v>
      </c>
      <c r="I5222" t="s">
        <v>27</v>
      </c>
      <c r="J5222" t="s">
        <v>28</v>
      </c>
      <c r="K5222">
        <v>1</v>
      </c>
      <c r="L5222" s="2">
        <v>138.5</v>
      </c>
      <c r="M5222" s="3">
        <v>0.05</v>
      </c>
      <c r="N5222" t="s">
        <v>29</v>
      </c>
      <c r="O5222" s="2">
        <v>131.57</v>
      </c>
      <c r="P5222" s="2">
        <v>74.09</v>
      </c>
      <c r="Q5222" s="2">
        <v>57.48</v>
      </c>
      <c r="R5222">
        <v>1</v>
      </c>
      <c r="S5222">
        <v>1</v>
      </c>
      <c r="T5222">
        <v>4</v>
      </c>
      <c r="U5222">
        <v>4</v>
      </c>
    </row>
    <row r="5223" spans="1:21" ht="16.5" x14ac:dyDescent="0.3">
      <c r="A5223" t="s">
        <v>5311</v>
      </c>
      <c r="B5223" s="1">
        <v>46007</v>
      </c>
      <c r="C5223">
        <v>2025</v>
      </c>
      <c r="D5223" t="s">
        <v>1738</v>
      </c>
      <c r="E5223" t="s">
        <v>2310</v>
      </c>
      <c r="F5223" t="s">
        <v>31</v>
      </c>
      <c r="G5223" t="s">
        <v>49</v>
      </c>
      <c r="H5223" t="s">
        <v>32</v>
      </c>
      <c r="I5223" t="s">
        <v>70</v>
      </c>
      <c r="J5223" t="s">
        <v>162</v>
      </c>
      <c r="K5223">
        <v>3</v>
      </c>
      <c r="L5223" s="2">
        <v>636.09</v>
      </c>
      <c r="M5223" s="3">
        <v>0.3</v>
      </c>
      <c r="N5223" t="s">
        <v>62</v>
      </c>
      <c r="O5223" s="2">
        <v>1335.79</v>
      </c>
      <c r="P5223" s="2">
        <v>1574.93</v>
      </c>
      <c r="Q5223" s="2">
        <v>-239.14</v>
      </c>
      <c r="R5223">
        <v>1</v>
      </c>
      <c r="S5223">
        <v>0</v>
      </c>
      <c r="T5223">
        <v>5</v>
      </c>
      <c r="U5223">
        <v>4</v>
      </c>
    </row>
    <row r="5224" spans="1:21" ht="16.5" x14ac:dyDescent="0.3">
      <c r="A5224" t="s">
        <v>5312</v>
      </c>
      <c r="B5224" s="1">
        <v>46007</v>
      </c>
      <c r="C5224">
        <v>2025</v>
      </c>
      <c r="D5224" t="s">
        <v>1738</v>
      </c>
      <c r="E5224" t="s">
        <v>2310</v>
      </c>
      <c r="F5224" t="s">
        <v>31</v>
      </c>
      <c r="G5224" t="s">
        <v>65</v>
      </c>
      <c r="H5224" t="s">
        <v>32</v>
      </c>
      <c r="I5224" t="s">
        <v>84</v>
      </c>
      <c r="J5224" t="s">
        <v>85</v>
      </c>
      <c r="K5224">
        <v>2</v>
      </c>
      <c r="L5224" s="2">
        <v>57.92</v>
      </c>
      <c r="M5224" s="3">
        <v>0.25</v>
      </c>
      <c r="N5224" t="s">
        <v>62</v>
      </c>
      <c r="O5224" s="2">
        <v>86.88</v>
      </c>
      <c r="P5224" s="2">
        <v>83.35</v>
      </c>
      <c r="Q5224" s="2">
        <v>3.53</v>
      </c>
      <c r="R5224">
        <v>1</v>
      </c>
      <c r="S5224">
        <v>0</v>
      </c>
      <c r="T5224">
        <v>7</v>
      </c>
      <c r="U5224">
        <v>3</v>
      </c>
    </row>
    <row r="5225" spans="1:21" ht="16.5" x14ac:dyDescent="0.3">
      <c r="A5225" t="s">
        <v>5313</v>
      </c>
      <c r="B5225" s="1">
        <v>46007</v>
      </c>
      <c r="C5225">
        <v>2025</v>
      </c>
      <c r="D5225" t="s">
        <v>1738</v>
      </c>
      <c r="E5225" t="s">
        <v>2310</v>
      </c>
      <c r="F5225" t="s">
        <v>24</v>
      </c>
      <c r="G5225" t="s">
        <v>51</v>
      </c>
      <c r="H5225" t="s">
        <v>32</v>
      </c>
      <c r="I5225" t="s">
        <v>84</v>
      </c>
      <c r="J5225" t="s">
        <v>85</v>
      </c>
      <c r="K5225">
        <v>1</v>
      </c>
      <c r="L5225" s="2">
        <v>57.92</v>
      </c>
      <c r="M5225" s="3">
        <v>0</v>
      </c>
      <c r="N5225" t="s">
        <v>38</v>
      </c>
      <c r="O5225" s="2">
        <v>57.92</v>
      </c>
      <c r="P5225" s="2">
        <v>40.78</v>
      </c>
      <c r="Q5225" s="2">
        <v>17.14</v>
      </c>
      <c r="R5225">
        <v>1</v>
      </c>
      <c r="S5225">
        <v>0</v>
      </c>
      <c r="T5225">
        <v>3</v>
      </c>
      <c r="U5225">
        <v>4</v>
      </c>
    </row>
    <row r="5226" spans="1:21" ht="16.5" x14ac:dyDescent="0.3">
      <c r="A5226" t="s">
        <v>5314</v>
      </c>
      <c r="B5226" s="1">
        <v>46007</v>
      </c>
      <c r="C5226">
        <v>2025</v>
      </c>
      <c r="D5226" t="s">
        <v>1738</v>
      </c>
      <c r="E5226" t="s">
        <v>2310</v>
      </c>
      <c r="F5226" t="s">
        <v>31</v>
      </c>
      <c r="G5226" t="s">
        <v>25</v>
      </c>
      <c r="H5226" t="s">
        <v>26</v>
      </c>
      <c r="I5226" t="s">
        <v>27</v>
      </c>
      <c r="J5226" t="s">
        <v>47</v>
      </c>
      <c r="K5226">
        <v>1</v>
      </c>
      <c r="L5226" s="2">
        <v>33.99</v>
      </c>
      <c r="M5226" s="3">
        <v>0</v>
      </c>
      <c r="N5226" t="s">
        <v>38</v>
      </c>
      <c r="O5226" s="2">
        <v>33.99</v>
      </c>
      <c r="P5226" s="2">
        <v>18.079999999999998</v>
      </c>
      <c r="Q5226" s="2">
        <v>15.91</v>
      </c>
      <c r="R5226">
        <v>1</v>
      </c>
      <c r="S5226">
        <v>0</v>
      </c>
      <c r="T5226">
        <v>4</v>
      </c>
      <c r="U5226">
        <v>5</v>
      </c>
    </row>
    <row r="5227" spans="1:21" ht="16.5" x14ac:dyDescent="0.3">
      <c r="A5227" t="s">
        <v>5315</v>
      </c>
      <c r="B5227" s="1">
        <v>46007</v>
      </c>
      <c r="C5227">
        <v>2025</v>
      </c>
      <c r="D5227" t="s">
        <v>1738</v>
      </c>
      <c r="E5227" t="s">
        <v>2310</v>
      </c>
      <c r="F5227" t="s">
        <v>31</v>
      </c>
      <c r="G5227" t="s">
        <v>49</v>
      </c>
      <c r="H5227" t="s">
        <v>26</v>
      </c>
      <c r="I5227" t="s">
        <v>36</v>
      </c>
      <c r="J5227" t="s">
        <v>115</v>
      </c>
      <c r="K5227">
        <v>3</v>
      </c>
      <c r="L5227" s="2">
        <v>33.479999999999997</v>
      </c>
      <c r="M5227" s="3">
        <v>0.25</v>
      </c>
      <c r="N5227" t="s">
        <v>62</v>
      </c>
      <c r="O5227" s="2">
        <v>75.33</v>
      </c>
      <c r="P5227" s="2">
        <v>47.77</v>
      </c>
      <c r="Q5227" s="2">
        <v>27.56</v>
      </c>
      <c r="R5227">
        <v>1</v>
      </c>
      <c r="S5227">
        <v>0</v>
      </c>
      <c r="T5227">
        <v>4</v>
      </c>
      <c r="U5227">
        <v>4</v>
      </c>
    </row>
    <row r="5228" spans="1:21" ht="16.5" x14ac:dyDescent="0.3">
      <c r="A5228" t="s">
        <v>5316</v>
      </c>
      <c r="B5228" s="1">
        <v>46007</v>
      </c>
      <c r="C5228">
        <v>2025</v>
      </c>
      <c r="D5228" t="s">
        <v>1738</v>
      </c>
      <c r="E5228" t="s">
        <v>2310</v>
      </c>
      <c r="F5228" t="s">
        <v>24</v>
      </c>
      <c r="G5228" t="s">
        <v>51</v>
      </c>
      <c r="H5228" t="s">
        <v>26</v>
      </c>
      <c r="I5228" t="s">
        <v>27</v>
      </c>
      <c r="J5228" t="s">
        <v>28</v>
      </c>
      <c r="K5228">
        <v>1</v>
      </c>
      <c r="L5228" s="2">
        <v>138.5</v>
      </c>
      <c r="M5228" s="3">
        <v>0.25</v>
      </c>
      <c r="N5228" t="s">
        <v>62</v>
      </c>
      <c r="O5228" s="2">
        <v>103.88</v>
      </c>
      <c r="P5228" s="2">
        <v>72.25</v>
      </c>
      <c r="Q5228" s="2">
        <v>31.63</v>
      </c>
      <c r="R5228">
        <v>1</v>
      </c>
      <c r="S5228">
        <v>0</v>
      </c>
      <c r="T5228">
        <v>4</v>
      </c>
      <c r="U5228">
        <v>5</v>
      </c>
    </row>
    <row r="5229" spans="1:21" ht="16.5" x14ac:dyDescent="0.3">
      <c r="A5229" t="s">
        <v>5317</v>
      </c>
      <c r="B5229" s="1">
        <v>46007</v>
      </c>
      <c r="C5229">
        <v>2025</v>
      </c>
      <c r="D5229" t="s">
        <v>1738</v>
      </c>
      <c r="E5229" t="s">
        <v>2310</v>
      </c>
      <c r="F5229" t="s">
        <v>45</v>
      </c>
      <c r="G5229" t="s">
        <v>51</v>
      </c>
      <c r="H5229" t="s">
        <v>32</v>
      </c>
      <c r="I5229" t="s">
        <v>27</v>
      </c>
      <c r="J5229" t="s">
        <v>47</v>
      </c>
      <c r="K5229">
        <v>1</v>
      </c>
      <c r="L5229" s="2">
        <v>33.99</v>
      </c>
      <c r="M5229" s="3">
        <v>0.05</v>
      </c>
      <c r="N5229" t="s">
        <v>29</v>
      </c>
      <c r="O5229" s="2">
        <v>32.29</v>
      </c>
      <c r="P5229" s="2">
        <v>18.38</v>
      </c>
      <c r="Q5229" s="2">
        <v>13.91</v>
      </c>
      <c r="R5229">
        <v>1</v>
      </c>
      <c r="S5229">
        <v>0</v>
      </c>
      <c r="T5229">
        <v>4</v>
      </c>
      <c r="U5229">
        <v>4</v>
      </c>
    </row>
    <row r="5230" spans="1:21" ht="16.5" x14ac:dyDescent="0.3">
      <c r="A5230" t="s">
        <v>5318</v>
      </c>
      <c r="B5230" s="1">
        <v>46008</v>
      </c>
      <c r="C5230">
        <v>2025</v>
      </c>
      <c r="D5230" t="s">
        <v>1738</v>
      </c>
      <c r="E5230" t="s">
        <v>2310</v>
      </c>
      <c r="F5230" t="s">
        <v>31</v>
      </c>
      <c r="G5230" t="s">
        <v>46</v>
      </c>
      <c r="H5230" t="s">
        <v>26</v>
      </c>
      <c r="I5230" t="s">
        <v>70</v>
      </c>
      <c r="J5230" t="s">
        <v>87</v>
      </c>
      <c r="K5230">
        <v>1</v>
      </c>
      <c r="L5230" s="2">
        <v>490.3</v>
      </c>
      <c r="M5230" s="3">
        <v>0.25</v>
      </c>
      <c r="N5230" t="s">
        <v>62</v>
      </c>
      <c r="O5230" s="2">
        <v>367.72</v>
      </c>
      <c r="P5230" s="2">
        <v>387.76</v>
      </c>
      <c r="Q5230" s="2">
        <v>-20.04</v>
      </c>
      <c r="R5230">
        <v>1</v>
      </c>
      <c r="S5230">
        <v>1</v>
      </c>
      <c r="T5230">
        <v>6</v>
      </c>
      <c r="U5230">
        <v>3</v>
      </c>
    </row>
    <row r="5231" spans="1:21" ht="16.5" x14ac:dyDescent="0.3">
      <c r="A5231" t="s">
        <v>5319</v>
      </c>
      <c r="B5231" s="1">
        <v>46008</v>
      </c>
      <c r="C5231">
        <v>2025</v>
      </c>
      <c r="D5231" t="s">
        <v>1738</v>
      </c>
      <c r="E5231" t="s">
        <v>2310</v>
      </c>
      <c r="F5231" t="s">
        <v>31</v>
      </c>
      <c r="G5231" t="s">
        <v>25</v>
      </c>
      <c r="H5231" t="s">
        <v>26</v>
      </c>
      <c r="I5231" t="s">
        <v>42</v>
      </c>
      <c r="J5231" t="s">
        <v>58</v>
      </c>
      <c r="K5231">
        <v>1</v>
      </c>
      <c r="L5231" s="2">
        <v>233.81</v>
      </c>
      <c r="M5231" s="3">
        <v>0.3</v>
      </c>
      <c r="N5231" t="s">
        <v>62</v>
      </c>
      <c r="O5231" s="2">
        <v>163.66999999999999</v>
      </c>
      <c r="P5231" s="2">
        <v>163.69</v>
      </c>
      <c r="Q5231" s="2">
        <v>-0.02</v>
      </c>
      <c r="R5231">
        <v>1</v>
      </c>
      <c r="S5231">
        <v>0</v>
      </c>
      <c r="T5231">
        <v>5</v>
      </c>
      <c r="U5231">
        <v>4</v>
      </c>
    </row>
    <row r="5232" spans="1:21" ht="16.5" x14ac:dyDescent="0.3">
      <c r="A5232" t="s">
        <v>5320</v>
      </c>
      <c r="B5232" s="1">
        <v>46008</v>
      </c>
      <c r="C5232">
        <v>2025</v>
      </c>
      <c r="D5232" t="s">
        <v>1738</v>
      </c>
      <c r="E5232" t="s">
        <v>2310</v>
      </c>
      <c r="F5232" t="s">
        <v>31</v>
      </c>
      <c r="G5232" t="s">
        <v>49</v>
      </c>
      <c r="H5232" t="s">
        <v>26</v>
      </c>
      <c r="I5232" t="s">
        <v>67</v>
      </c>
      <c r="J5232" t="s">
        <v>78</v>
      </c>
      <c r="K5232">
        <v>1</v>
      </c>
      <c r="L5232" s="2">
        <v>85.42</v>
      </c>
      <c r="M5232" s="3">
        <v>0.05</v>
      </c>
      <c r="N5232" t="s">
        <v>29</v>
      </c>
      <c r="O5232" s="2">
        <v>81.150000000000006</v>
      </c>
      <c r="P5232" s="2">
        <v>57.58</v>
      </c>
      <c r="Q5232" s="2">
        <v>23.57</v>
      </c>
      <c r="R5232">
        <v>1</v>
      </c>
      <c r="S5232">
        <v>0</v>
      </c>
      <c r="T5232">
        <v>6</v>
      </c>
      <c r="U5232">
        <v>4</v>
      </c>
    </row>
    <row r="5233" spans="1:21" ht="16.5" x14ac:dyDescent="0.3">
      <c r="A5233" t="s">
        <v>5321</v>
      </c>
      <c r="B5233" s="1">
        <v>46008</v>
      </c>
      <c r="C5233">
        <v>2025</v>
      </c>
      <c r="D5233" t="s">
        <v>1738</v>
      </c>
      <c r="E5233" t="s">
        <v>2310</v>
      </c>
      <c r="F5233" t="s">
        <v>45</v>
      </c>
      <c r="G5233" t="s">
        <v>51</v>
      </c>
      <c r="H5233" t="s">
        <v>26</v>
      </c>
      <c r="I5233" t="s">
        <v>84</v>
      </c>
      <c r="J5233" t="s">
        <v>85</v>
      </c>
      <c r="K5233">
        <v>2</v>
      </c>
      <c r="L5233" s="2">
        <v>57.92</v>
      </c>
      <c r="M5233" s="3">
        <v>0.2</v>
      </c>
      <c r="N5233" t="s">
        <v>34</v>
      </c>
      <c r="O5233" s="2">
        <v>92.67</v>
      </c>
      <c r="P5233" s="2">
        <v>85.13</v>
      </c>
      <c r="Q5233" s="2">
        <v>7.54</v>
      </c>
      <c r="R5233">
        <v>1</v>
      </c>
      <c r="S5233">
        <v>0</v>
      </c>
      <c r="T5233">
        <v>6</v>
      </c>
      <c r="U5233">
        <v>4</v>
      </c>
    </row>
    <row r="5234" spans="1:21" ht="16.5" x14ac:dyDescent="0.3">
      <c r="A5234" t="s">
        <v>5322</v>
      </c>
      <c r="B5234" s="1">
        <v>46008</v>
      </c>
      <c r="C5234">
        <v>2025</v>
      </c>
      <c r="D5234" t="s">
        <v>1738</v>
      </c>
      <c r="E5234" t="s">
        <v>2310</v>
      </c>
      <c r="F5234" t="s">
        <v>31</v>
      </c>
      <c r="G5234" t="s">
        <v>49</v>
      </c>
      <c r="H5234" t="s">
        <v>26</v>
      </c>
      <c r="I5234" t="s">
        <v>36</v>
      </c>
      <c r="J5234" t="s">
        <v>115</v>
      </c>
      <c r="K5234">
        <v>1</v>
      </c>
      <c r="L5234" s="2">
        <v>33.479999999999997</v>
      </c>
      <c r="M5234" s="3">
        <v>0.1</v>
      </c>
      <c r="N5234" t="s">
        <v>29</v>
      </c>
      <c r="O5234" s="2">
        <v>30.13</v>
      </c>
      <c r="P5234" s="2">
        <v>15.7</v>
      </c>
      <c r="Q5234" s="2">
        <v>14.43</v>
      </c>
      <c r="R5234">
        <v>1</v>
      </c>
      <c r="S5234">
        <v>0</v>
      </c>
      <c r="T5234">
        <v>4</v>
      </c>
      <c r="U5234">
        <v>4</v>
      </c>
    </row>
    <row r="5235" spans="1:21" ht="16.5" x14ac:dyDescent="0.3">
      <c r="A5235" t="s">
        <v>5323</v>
      </c>
      <c r="B5235" s="1">
        <v>46008</v>
      </c>
      <c r="C5235">
        <v>2025</v>
      </c>
      <c r="D5235" t="s">
        <v>1738</v>
      </c>
      <c r="E5235" t="s">
        <v>2310</v>
      </c>
      <c r="F5235" t="s">
        <v>31</v>
      </c>
      <c r="G5235" t="s">
        <v>49</v>
      </c>
      <c r="H5235" t="s">
        <v>32</v>
      </c>
      <c r="I5235" t="s">
        <v>70</v>
      </c>
      <c r="J5235" t="s">
        <v>162</v>
      </c>
      <c r="K5235">
        <v>2</v>
      </c>
      <c r="L5235" s="2">
        <v>636.09</v>
      </c>
      <c r="M5235" s="3">
        <v>0.25</v>
      </c>
      <c r="N5235" t="s">
        <v>62</v>
      </c>
      <c r="O5235" s="2">
        <v>954.14</v>
      </c>
      <c r="P5235" s="2">
        <v>1037.8599999999999</v>
      </c>
      <c r="Q5235" s="2">
        <v>-83.72</v>
      </c>
      <c r="R5235">
        <v>1</v>
      </c>
      <c r="S5235">
        <v>0</v>
      </c>
      <c r="T5235">
        <v>4</v>
      </c>
      <c r="U5235">
        <v>4</v>
      </c>
    </row>
    <row r="5236" spans="1:21" ht="16.5" x14ac:dyDescent="0.3">
      <c r="A5236" t="s">
        <v>5324</v>
      </c>
      <c r="B5236" s="1">
        <v>46008</v>
      </c>
      <c r="C5236">
        <v>2025</v>
      </c>
      <c r="D5236" t="s">
        <v>1738</v>
      </c>
      <c r="E5236" t="s">
        <v>2310</v>
      </c>
      <c r="F5236" t="s">
        <v>24</v>
      </c>
      <c r="G5236" t="s">
        <v>25</v>
      </c>
      <c r="H5236" t="s">
        <v>26</v>
      </c>
      <c r="I5236" t="s">
        <v>70</v>
      </c>
      <c r="J5236" t="s">
        <v>252</v>
      </c>
      <c r="K5236">
        <v>2</v>
      </c>
      <c r="L5236" s="2">
        <v>216.08</v>
      </c>
      <c r="M5236" s="3">
        <v>0.2</v>
      </c>
      <c r="N5236" t="s">
        <v>34</v>
      </c>
      <c r="O5236" s="2">
        <v>345.73</v>
      </c>
      <c r="P5236" s="2">
        <v>335.96</v>
      </c>
      <c r="Q5236" s="2">
        <v>9.77</v>
      </c>
      <c r="R5236">
        <v>1</v>
      </c>
      <c r="S5236">
        <v>0</v>
      </c>
      <c r="T5236">
        <v>5</v>
      </c>
      <c r="U5236">
        <v>4</v>
      </c>
    </row>
    <row r="5237" spans="1:21" ht="16.5" x14ac:dyDescent="0.3">
      <c r="A5237" t="s">
        <v>5325</v>
      </c>
      <c r="B5237" s="1">
        <v>46008</v>
      </c>
      <c r="C5237">
        <v>2025</v>
      </c>
      <c r="D5237" t="s">
        <v>1738</v>
      </c>
      <c r="E5237" t="s">
        <v>2310</v>
      </c>
      <c r="F5237" t="s">
        <v>31</v>
      </c>
      <c r="G5237" t="s">
        <v>46</v>
      </c>
      <c r="H5237" t="s">
        <v>32</v>
      </c>
      <c r="I5237" t="s">
        <v>27</v>
      </c>
      <c r="J5237" t="s">
        <v>60</v>
      </c>
      <c r="K5237">
        <v>3</v>
      </c>
      <c r="L5237" s="2">
        <v>94.85</v>
      </c>
      <c r="M5237" s="3">
        <v>0.05</v>
      </c>
      <c r="N5237" t="s">
        <v>29</v>
      </c>
      <c r="O5237" s="2">
        <v>270.32</v>
      </c>
      <c r="P5237" s="2">
        <v>149.28</v>
      </c>
      <c r="Q5237" s="2">
        <v>121.04</v>
      </c>
      <c r="R5237">
        <v>1</v>
      </c>
      <c r="S5237">
        <v>0</v>
      </c>
      <c r="T5237">
        <v>7</v>
      </c>
      <c r="U5237">
        <v>3</v>
      </c>
    </row>
    <row r="5238" spans="1:21" ht="16.5" x14ac:dyDescent="0.3">
      <c r="A5238" t="s">
        <v>5326</v>
      </c>
      <c r="B5238" s="1">
        <v>46008</v>
      </c>
      <c r="C5238">
        <v>2025</v>
      </c>
      <c r="D5238" t="s">
        <v>1738</v>
      </c>
      <c r="E5238" t="s">
        <v>2310</v>
      </c>
      <c r="F5238" t="s">
        <v>45</v>
      </c>
      <c r="G5238" t="s">
        <v>65</v>
      </c>
      <c r="H5238" t="s">
        <v>32</v>
      </c>
      <c r="I5238" t="s">
        <v>27</v>
      </c>
      <c r="J5238" t="s">
        <v>47</v>
      </c>
      <c r="K5238">
        <v>1</v>
      </c>
      <c r="L5238" s="2">
        <v>33.99</v>
      </c>
      <c r="M5238" s="3">
        <v>0.25</v>
      </c>
      <c r="N5238" t="s">
        <v>62</v>
      </c>
      <c r="O5238" s="2">
        <v>25.49</v>
      </c>
      <c r="P5238" s="2">
        <v>18.68</v>
      </c>
      <c r="Q5238" s="2">
        <v>6.81</v>
      </c>
      <c r="R5238">
        <v>1</v>
      </c>
      <c r="S5238">
        <v>0</v>
      </c>
      <c r="T5238">
        <v>7</v>
      </c>
      <c r="U5238">
        <v>3</v>
      </c>
    </row>
    <row r="5239" spans="1:21" ht="16.5" x14ac:dyDescent="0.3">
      <c r="A5239" t="s">
        <v>5327</v>
      </c>
      <c r="B5239" s="1">
        <v>46008</v>
      </c>
      <c r="C5239">
        <v>2025</v>
      </c>
      <c r="D5239" t="s">
        <v>1738</v>
      </c>
      <c r="E5239" t="s">
        <v>2310</v>
      </c>
      <c r="F5239" t="s">
        <v>45</v>
      </c>
      <c r="G5239" t="s">
        <v>49</v>
      </c>
      <c r="H5239" t="s">
        <v>26</v>
      </c>
      <c r="I5239" t="s">
        <v>36</v>
      </c>
      <c r="J5239" t="s">
        <v>126</v>
      </c>
      <c r="K5239">
        <v>4</v>
      </c>
      <c r="L5239" s="2">
        <v>54.56</v>
      </c>
      <c r="M5239" s="3">
        <v>0.25</v>
      </c>
      <c r="N5239" t="s">
        <v>62</v>
      </c>
      <c r="O5239" s="2">
        <v>163.68</v>
      </c>
      <c r="P5239" s="2">
        <v>109.91</v>
      </c>
      <c r="Q5239" s="2">
        <v>53.77</v>
      </c>
      <c r="R5239">
        <v>1</v>
      </c>
      <c r="S5239">
        <v>0</v>
      </c>
      <c r="T5239">
        <v>5</v>
      </c>
      <c r="U5239">
        <v>4</v>
      </c>
    </row>
    <row r="5240" spans="1:21" ht="16.5" x14ac:dyDescent="0.3">
      <c r="A5240" t="s">
        <v>5328</v>
      </c>
      <c r="B5240" s="1">
        <v>46008</v>
      </c>
      <c r="C5240">
        <v>2025</v>
      </c>
      <c r="D5240" t="s">
        <v>1738</v>
      </c>
      <c r="E5240" t="s">
        <v>2310</v>
      </c>
      <c r="F5240" t="s">
        <v>45</v>
      </c>
      <c r="G5240" t="s">
        <v>51</v>
      </c>
      <c r="H5240" t="s">
        <v>26</v>
      </c>
      <c r="I5240" t="s">
        <v>70</v>
      </c>
      <c r="J5240" t="s">
        <v>87</v>
      </c>
      <c r="K5240">
        <v>1</v>
      </c>
      <c r="L5240" s="2">
        <v>490.3</v>
      </c>
      <c r="M5240" s="3">
        <v>0.3</v>
      </c>
      <c r="N5240" t="s">
        <v>62</v>
      </c>
      <c r="O5240" s="2">
        <v>343.21</v>
      </c>
      <c r="P5240" s="2">
        <v>384.79</v>
      </c>
      <c r="Q5240" s="2">
        <v>-41.58</v>
      </c>
      <c r="R5240">
        <v>1</v>
      </c>
      <c r="S5240">
        <v>0</v>
      </c>
      <c r="T5240">
        <v>3</v>
      </c>
      <c r="U5240">
        <v>4</v>
      </c>
    </row>
    <row r="5241" spans="1:21" ht="16.5" x14ac:dyDescent="0.3">
      <c r="A5241" t="s">
        <v>5329</v>
      </c>
      <c r="B5241" s="1">
        <v>46009</v>
      </c>
      <c r="C5241">
        <v>2025</v>
      </c>
      <c r="D5241" t="s">
        <v>1738</v>
      </c>
      <c r="E5241" t="s">
        <v>2310</v>
      </c>
      <c r="F5241" t="s">
        <v>31</v>
      </c>
      <c r="G5241" t="s">
        <v>65</v>
      </c>
      <c r="H5241" t="s">
        <v>32</v>
      </c>
      <c r="I5241" t="s">
        <v>27</v>
      </c>
      <c r="J5241" t="s">
        <v>60</v>
      </c>
      <c r="K5241">
        <v>1</v>
      </c>
      <c r="L5241" s="2">
        <v>94.85</v>
      </c>
      <c r="M5241" s="3">
        <v>0.2</v>
      </c>
      <c r="N5241" t="s">
        <v>34</v>
      </c>
      <c r="O5241" s="2">
        <v>75.88</v>
      </c>
      <c r="P5241" s="2">
        <v>49.76</v>
      </c>
      <c r="Q5241" s="2">
        <v>26.12</v>
      </c>
      <c r="R5241">
        <v>1</v>
      </c>
      <c r="S5241">
        <v>0</v>
      </c>
      <c r="T5241">
        <v>6</v>
      </c>
      <c r="U5241">
        <v>3</v>
      </c>
    </row>
    <row r="5242" spans="1:21" ht="16.5" x14ac:dyDescent="0.3">
      <c r="A5242" t="s">
        <v>5330</v>
      </c>
      <c r="B5242" s="1">
        <v>46009</v>
      </c>
      <c r="C5242">
        <v>2025</v>
      </c>
      <c r="D5242" t="s">
        <v>1738</v>
      </c>
      <c r="E5242" t="s">
        <v>2310</v>
      </c>
      <c r="F5242" t="s">
        <v>24</v>
      </c>
      <c r="G5242" t="s">
        <v>51</v>
      </c>
      <c r="H5242" t="s">
        <v>32</v>
      </c>
      <c r="I5242" t="s">
        <v>42</v>
      </c>
      <c r="J5242" t="s">
        <v>58</v>
      </c>
      <c r="K5242">
        <v>3</v>
      </c>
      <c r="L5242" s="2">
        <v>233.81</v>
      </c>
      <c r="M5242" s="3">
        <v>0.25</v>
      </c>
      <c r="N5242" t="s">
        <v>62</v>
      </c>
      <c r="O5242" s="2">
        <v>526.07000000000005</v>
      </c>
      <c r="P5242" s="2">
        <v>488.1</v>
      </c>
      <c r="Q5242" s="2">
        <v>37.97</v>
      </c>
      <c r="R5242">
        <v>1</v>
      </c>
      <c r="S5242">
        <v>0</v>
      </c>
      <c r="T5242">
        <v>5</v>
      </c>
      <c r="U5242">
        <v>5</v>
      </c>
    </row>
    <row r="5243" spans="1:21" ht="16.5" x14ac:dyDescent="0.3">
      <c r="A5243" t="s">
        <v>5331</v>
      </c>
      <c r="B5243" s="1">
        <v>46009</v>
      </c>
      <c r="C5243">
        <v>2025</v>
      </c>
      <c r="D5243" t="s">
        <v>1738</v>
      </c>
      <c r="E5243" t="s">
        <v>2310</v>
      </c>
      <c r="F5243" t="s">
        <v>24</v>
      </c>
      <c r="G5243" t="s">
        <v>49</v>
      </c>
      <c r="H5243" t="s">
        <v>32</v>
      </c>
      <c r="I5243" t="s">
        <v>27</v>
      </c>
      <c r="J5243" t="s">
        <v>28</v>
      </c>
      <c r="K5243">
        <v>2</v>
      </c>
      <c r="L5243" s="2">
        <v>138.5</v>
      </c>
      <c r="M5243" s="3">
        <v>0.15</v>
      </c>
      <c r="N5243" t="s">
        <v>34</v>
      </c>
      <c r="O5243" s="2">
        <v>235.45</v>
      </c>
      <c r="P5243" s="2">
        <v>150.69999999999999</v>
      </c>
      <c r="Q5243" s="2">
        <v>84.75</v>
      </c>
      <c r="R5243">
        <v>1</v>
      </c>
      <c r="S5243">
        <v>0</v>
      </c>
      <c r="T5243">
        <v>6</v>
      </c>
      <c r="U5243">
        <v>3</v>
      </c>
    </row>
    <row r="5244" spans="1:21" ht="16.5" x14ac:dyDescent="0.3">
      <c r="A5244" t="s">
        <v>5332</v>
      </c>
      <c r="B5244" s="1">
        <v>46009</v>
      </c>
      <c r="C5244">
        <v>2025</v>
      </c>
      <c r="D5244" t="s">
        <v>1738</v>
      </c>
      <c r="E5244" t="s">
        <v>2310</v>
      </c>
      <c r="F5244" t="s">
        <v>31</v>
      </c>
      <c r="G5244" t="s">
        <v>51</v>
      </c>
      <c r="H5244" t="s">
        <v>26</v>
      </c>
      <c r="I5244" t="s">
        <v>36</v>
      </c>
      <c r="J5244" t="s">
        <v>56</v>
      </c>
      <c r="K5244">
        <v>1</v>
      </c>
      <c r="L5244" s="2">
        <v>74.3</v>
      </c>
      <c r="M5244" s="3">
        <v>0.05</v>
      </c>
      <c r="N5244" t="s">
        <v>29</v>
      </c>
      <c r="O5244" s="2">
        <v>70.58</v>
      </c>
      <c r="P5244" s="2">
        <v>35.450000000000003</v>
      </c>
      <c r="Q5244" s="2">
        <v>35.130000000000003</v>
      </c>
      <c r="R5244">
        <v>1</v>
      </c>
      <c r="S5244">
        <v>0</v>
      </c>
      <c r="T5244">
        <v>4</v>
      </c>
      <c r="U5244">
        <v>4</v>
      </c>
    </row>
    <row r="5245" spans="1:21" ht="16.5" x14ac:dyDescent="0.3">
      <c r="A5245" t="s">
        <v>5333</v>
      </c>
      <c r="B5245" s="1">
        <v>46009</v>
      </c>
      <c r="C5245">
        <v>2025</v>
      </c>
      <c r="D5245" t="s">
        <v>1738</v>
      </c>
      <c r="E5245" t="s">
        <v>2310</v>
      </c>
      <c r="F5245" t="s">
        <v>31</v>
      </c>
      <c r="G5245" t="s">
        <v>49</v>
      </c>
      <c r="H5245" t="s">
        <v>32</v>
      </c>
      <c r="I5245" t="s">
        <v>42</v>
      </c>
      <c r="J5245" t="s">
        <v>58</v>
      </c>
      <c r="K5245">
        <v>4</v>
      </c>
      <c r="L5245" s="2">
        <v>233.81</v>
      </c>
      <c r="M5245" s="3">
        <v>0</v>
      </c>
      <c r="N5245" t="s">
        <v>38</v>
      </c>
      <c r="O5245" s="2">
        <v>935.24</v>
      </c>
      <c r="P5245" s="2">
        <v>638.03</v>
      </c>
      <c r="Q5245" s="2">
        <v>297.20999999999998</v>
      </c>
      <c r="R5245">
        <v>1</v>
      </c>
      <c r="S5245">
        <v>0</v>
      </c>
      <c r="T5245">
        <v>4</v>
      </c>
      <c r="U5245">
        <v>4</v>
      </c>
    </row>
    <row r="5246" spans="1:21" ht="16.5" x14ac:dyDescent="0.3">
      <c r="A5246" t="s">
        <v>5334</v>
      </c>
      <c r="B5246" s="1">
        <v>46009</v>
      </c>
      <c r="C5246">
        <v>2025</v>
      </c>
      <c r="D5246" t="s">
        <v>1738</v>
      </c>
      <c r="E5246" t="s">
        <v>2310</v>
      </c>
      <c r="F5246" t="s">
        <v>24</v>
      </c>
      <c r="G5246" t="s">
        <v>49</v>
      </c>
      <c r="H5246" t="s">
        <v>26</v>
      </c>
      <c r="I5246" t="s">
        <v>27</v>
      </c>
      <c r="J5246" t="s">
        <v>47</v>
      </c>
      <c r="K5246">
        <v>3</v>
      </c>
      <c r="L5246" s="2">
        <v>33.99</v>
      </c>
      <c r="M5246" s="3">
        <v>0.3</v>
      </c>
      <c r="N5246" t="s">
        <v>62</v>
      </c>
      <c r="O5246" s="2">
        <v>71.38</v>
      </c>
      <c r="P5246" s="2">
        <v>55.76</v>
      </c>
      <c r="Q5246" s="2">
        <v>15.62</v>
      </c>
      <c r="R5246">
        <v>1</v>
      </c>
      <c r="S5246">
        <v>0</v>
      </c>
      <c r="T5246">
        <v>7</v>
      </c>
      <c r="U5246">
        <v>4</v>
      </c>
    </row>
    <row r="5247" spans="1:21" ht="16.5" x14ac:dyDescent="0.3">
      <c r="A5247" t="s">
        <v>5335</v>
      </c>
      <c r="B5247" s="1">
        <v>46009</v>
      </c>
      <c r="C5247">
        <v>2025</v>
      </c>
      <c r="D5247" t="s">
        <v>1738</v>
      </c>
      <c r="E5247" t="s">
        <v>2310</v>
      </c>
      <c r="F5247" t="s">
        <v>24</v>
      </c>
      <c r="G5247" t="s">
        <v>49</v>
      </c>
      <c r="H5247" t="s">
        <v>32</v>
      </c>
      <c r="I5247" t="s">
        <v>36</v>
      </c>
      <c r="J5247" t="s">
        <v>126</v>
      </c>
      <c r="K5247">
        <v>1</v>
      </c>
      <c r="L5247" s="2">
        <v>54.56</v>
      </c>
      <c r="M5247" s="3">
        <v>0.05</v>
      </c>
      <c r="N5247" t="s">
        <v>29</v>
      </c>
      <c r="O5247" s="2">
        <v>51.83</v>
      </c>
      <c r="P5247" s="2">
        <v>27.67</v>
      </c>
      <c r="Q5247" s="2">
        <v>24.16</v>
      </c>
      <c r="R5247">
        <v>1</v>
      </c>
      <c r="S5247">
        <v>0</v>
      </c>
      <c r="T5247">
        <v>4</v>
      </c>
      <c r="U5247">
        <v>4</v>
      </c>
    </row>
    <row r="5248" spans="1:21" ht="16.5" x14ac:dyDescent="0.3">
      <c r="A5248" t="s">
        <v>5336</v>
      </c>
      <c r="B5248" s="1">
        <v>46009</v>
      </c>
      <c r="C5248">
        <v>2025</v>
      </c>
      <c r="D5248" t="s">
        <v>1738</v>
      </c>
      <c r="E5248" t="s">
        <v>2310</v>
      </c>
      <c r="F5248" t="s">
        <v>45</v>
      </c>
      <c r="G5248" t="s">
        <v>46</v>
      </c>
      <c r="H5248" t="s">
        <v>32</v>
      </c>
      <c r="I5248" t="s">
        <v>42</v>
      </c>
      <c r="J5248" t="s">
        <v>43</v>
      </c>
      <c r="K5248">
        <v>3</v>
      </c>
      <c r="L5248" s="2">
        <v>154.66</v>
      </c>
      <c r="M5248" s="3">
        <v>0.2</v>
      </c>
      <c r="N5248" t="s">
        <v>34</v>
      </c>
      <c r="O5248" s="2">
        <v>371.18</v>
      </c>
      <c r="P5248" s="2">
        <v>303.48</v>
      </c>
      <c r="Q5248" s="2">
        <v>67.7</v>
      </c>
      <c r="R5248">
        <v>1</v>
      </c>
      <c r="S5248">
        <v>0</v>
      </c>
      <c r="T5248">
        <v>6</v>
      </c>
      <c r="U5248">
        <v>3</v>
      </c>
    </row>
    <row r="5249" spans="1:21" ht="16.5" x14ac:dyDescent="0.3">
      <c r="A5249" t="s">
        <v>5337</v>
      </c>
      <c r="B5249" s="1">
        <v>46009</v>
      </c>
      <c r="C5249">
        <v>2025</v>
      </c>
      <c r="D5249" t="s">
        <v>1738</v>
      </c>
      <c r="E5249" t="s">
        <v>2310</v>
      </c>
      <c r="F5249" t="s">
        <v>45</v>
      </c>
      <c r="G5249" t="s">
        <v>49</v>
      </c>
      <c r="H5249" t="s">
        <v>26</v>
      </c>
      <c r="I5249" t="s">
        <v>67</v>
      </c>
      <c r="J5249" t="s">
        <v>103</v>
      </c>
      <c r="K5249">
        <v>1</v>
      </c>
      <c r="L5249" s="2">
        <v>83.06</v>
      </c>
      <c r="M5249" s="3">
        <v>0.2</v>
      </c>
      <c r="N5249" t="s">
        <v>34</v>
      </c>
      <c r="O5249" s="2">
        <v>66.45</v>
      </c>
      <c r="P5249" s="2">
        <v>53.9</v>
      </c>
      <c r="Q5249" s="2">
        <v>12.55</v>
      </c>
      <c r="R5249">
        <v>1</v>
      </c>
      <c r="S5249">
        <v>0</v>
      </c>
      <c r="T5249">
        <v>5</v>
      </c>
      <c r="U5249">
        <v>5</v>
      </c>
    </row>
    <row r="5250" spans="1:21" ht="16.5" x14ac:dyDescent="0.3">
      <c r="A5250" t="s">
        <v>5338</v>
      </c>
      <c r="B5250" s="1">
        <v>46009</v>
      </c>
      <c r="C5250">
        <v>2025</v>
      </c>
      <c r="D5250" t="s">
        <v>1738</v>
      </c>
      <c r="E5250" t="s">
        <v>2310</v>
      </c>
      <c r="F5250" t="s">
        <v>24</v>
      </c>
      <c r="G5250" t="s">
        <v>49</v>
      </c>
      <c r="H5250" t="s">
        <v>26</v>
      </c>
      <c r="I5250" t="s">
        <v>27</v>
      </c>
      <c r="J5250" t="s">
        <v>47</v>
      </c>
      <c r="K5250">
        <v>3</v>
      </c>
      <c r="L5250" s="2">
        <v>33.99</v>
      </c>
      <c r="M5250" s="3">
        <v>0.2</v>
      </c>
      <c r="N5250" t="s">
        <v>34</v>
      </c>
      <c r="O5250" s="2">
        <v>81.58</v>
      </c>
      <c r="P5250" s="2">
        <v>55.04</v>
      </c>
      <c r="Q5250" s="2">
        <v>26.54</v>
      </c>
      <c r="R5250">
        <v>1</v>
      </c>
      <c r="S5250">
        <v>0</v>
      </c>
      <c r="T5250">
        <v>5</v>
      </c>
      <c r="U5250">
        <v>4</v>
      </c>
    </row>
    <row r="5251" spans="1:21" ht="16.5" x14ac:dyDescent="0.3">
      <c r="A5251" t="s">
        <v>5339</v>
      </c>
      <c r="B5251" s="1">
        <v>46009</v>
      </c>
      <c r="C5251">
        <v>2025</v>
      </c>
      <c r="D5251" t="s">
        <v>1738</v>
      </c>
      <c r="E5251" t="s">
        <v>2310</v>
      </c>
      <c r="F5251" t="s">
        <v>31</v>
      </c>
      <c r="G5251" t="s">
        <v>65</v>
      </c>
      <c r="H5251" t="s">
        <v>32</v>
      </c>
      <c r="I5251" t="s">
        <v>36</v>
      </c>
      <c r="J5251" t="s">
        <v>52</v>
      </c>
      <c r="K5251">
        <v>1</v>
      </c>
      <c r="L5251" s="2">
        <v>92.54</v>
      </c>
      <c r="M5251" s="3">
        <v>0.05</v>
      </c>
      <c r="N5251" t="s">
        <v>29</v>
      </c>
      <c r="O5251" s="2">
        <v>87.91</v>
      </c>
      <c r="P5251" s="2">
        <v>43.44</v>
      </c>
      <c r="Q5251" s="2">
        <v>44.47</v>
      </c>
      <c r="R5251">
        <v>1</v>
      </c>
      <c r="S5251">
        <v>0</v>
      </c>
      <c r="T5251">
        <v>6</v>
      </c>
      <c r="U5251">
        <v>3</v>
      </c>
    </row>
    <row r="5252" spans="1:21" ht="16.5" x14ac:dyDescent="0.3">
      <c r="A5252" t="s">
        <v>5340</v>
      </c>
      <c r="B5252" s="1">
        <v>46010</v>
      </c>
      <c r="C5252">
        <v>2025</v>
      </c>
      <c r="D5252" t="s">
        <v>1738</v>
      </c>
      <c r="E5252" t="s">
        <v>2310</v>
      </c>
      <c r="F5252" t="s">
        <v>31</v>
      </c>
      <c r="G5252" t="s">
        <v>46</v>
      </c>
      <c r="H5252" t="s">
        <v>26</v>
      </c>
      <c r="I5252" t="s">
        <v>67</v>
      </c>
      <c r="J5252" t="s">
        <v>68</v>
      </c>
      <c r="K5252">
        <v>4</v>
      </c>
      <c r="L5252" s="2">
        <v>74.459999999999994</v>
      </c>
      <c r="M5252" s="3">
        <v>0.15</v>
      </c>
      <c r="N5252" t="s">
        <v>34</v>
      </c>
      <c r="O5252" s="2">
        <v>253.16</v>
      </c>
      <c r="P5252" s="2">
        <v>209.81</v>
      </c>
      <c r="Q5252" s="2">
        <v>43.35</v>
      </c>
      <c r="R5252">
        <v>1</v>
      </c>
      <c r="S5252">
        <v>0</v>
      </c>
      <c r="T5252">
        <v>7</v>
      </c>
      <c r="U5252">
        <v>4</v>
      </c>
    </row>
    <row r="5253" spans="1:21" ht="16.5" x14ac:dyDescent="0.3">
      <c r="A5253" t="s">
        <v>5341</v>
      </c>
      <c r="B5253" s="1">
        <v>46010</v>
      </c>
      <c r="C5253">
        <v>2025</v>
      </c>
      <c r="D5253" t="s">
        <v>1738</v>
      </c>
      <c r="E5253" t="s">
        <v>2310</v>
      </c>
      <c r="F5253" t="s">
        <v>31</v>
      </c>
      <c r="G5253" t="s">
        <v>51</v>
      </c>
      <c r="H5253" t="s">
        <v>32</v>
      </c>
      <c r="I5253" t="s">
        <v>27</v>
      </c>
      <c r="J5253" t="s">
        <v>33</v>
      </c>
      <c r="K5253">
        <v>1</v>
      </c>
      <c r="L5253" s="2">
        <v>78.510000000000005</v>
      </c>
      <c r="M5253" s="3">
        <v>0.2</v>
      </c>
      <c r="N5253" t="s">
        <v>34</v>
      </c>
      <c r="O5253" s="2">
        <v>62.81</v>
      </c>
      <c r="P5253" s="2">
        <v>42.75</v>
      </c>
      <c r="Q5253" s="2">
        <v>20.059999999999999</v>
      </c>
      <c r="R5253">
        <v>1</v>
      </c>
      <c r="S5253">
        <v>0</v>
      </c>
      <c r="T5253">
        <v>3</v>
      </c>
      <c r="U5253">
        <v>4</v>
      </c>
    </row>
    <row r="5254" spans="1:21" ht="16.5" x14ac:dyDescent="0.3">
      <c r="A5254" t="s">
        <v>5342</v>
      </c>
      <c r="B5254" s="1">
        <v>46010</v>
      </c>
      <c r="C5254">
        <v>2025</v>
      </c>
      <c r="D5254" t="s">
        <v>1738</v>
      </c>
      <c r="E5254" t="s">
        <v>2310</v>
      </c>
      <c r="F5254" t="s">
        <v>45</v>
      </c>
      <c r="G5254" t="s">
        <v>49</v>
      </c>
      <c r="H5254" t="s">
        <v>26</v>
      </c>
      <c r="I5254" t="s">
        <v>67</v>
      </c>
      <c r="J5254" t="s">
        <v>103</v>
      </c>
      <c r="K5254">
        <v>1</v>
      </c>
      <c r="L5254" s="2">
        <v>83.06</v>
      </c>
      <c r="M5254" s="3">
        <v>0.2</v>
      </c>
      <c r="N5254" t="s">
        <v>34</v>
      </c>
      <c r="O5254" s="2">
        <v>66.45</v>
      </c>
      <c r="P5254" s="2">
        <v>55.54</v>
      </c>
      <c r="Q5254" s="2">
        <v>10.91</v>
      </c>
      <c r="R5254">
        <v>1</v>
      </c>
      <c r="S5254">
        <v>0</v>
      </c>
      <c r="T5254">
        <v>5</v>
      </c>
      <c r="U5254">
        <v>4</v>
      </c>
    </row>
    <row r="5255" spans="1:21" ht="16.5" x14ac:dyDescent="0.3">
      <c r="A5255" t="s">
        <v>5343</v>
      </c>
      <c r="B5255" s="1">
        <v>46010</v>
      </c>
      <c r="C5255">
        <v>2025</v>
      </c>
      <c r="D5255" t="s">
        <v>1738</v>
      </c>
      <c r="E5255" t="s">
        <v>2310</v>
      </c>
      <c r="F5255" t="s">
        <v>45</v>
      </c>
      <c r="G5255" t="s">
        <v>51</v>
      </c>
      <c r="H5255" t="s">
        <v>26</v>
      </c>
      <c r="I5255" t="s">
        <v>70</v>
      </c>
      <c r="J5255" t="s">
        <v>252</v>
      </c>
      <c r="K5255">
        <v>1</v>
      </c>
      <c r="L5255" s="2">
        <v>216.08</v>
      </c>
      <c r="M5255" s="3">
        <v>0.15</v>
      </c>
      <c r="N5255" t="s">
        <v>34</v>
      </c>
      <c r="O5255" s="2">
        <v>183.67</v>
      </c>
      <c r="P5255" s="2">
        <v>165.83</v>
      </c>
      <c r="Q5255" s="2">
        <v>17.84</v>
      </c>
      <c r="R5255">
        <v>1</v>
      </c>
      <c r="S5255">
        <v>0</v>
      </c>
      <c r="T5255">
        <v>3</v>
      </c>
      <c r="U5255">
        <v>5</v>
      </c>
    </row>
    <row r="5256" spans="1:21" ht="16.5" x14ac:dyDescent="0.3">
      <c r="A5256" t="s">
        <v>5344</v>
      </c>
      <c r="B5256" s="1">
        <v>46010</v>
      </c>
      <c r="C5256">
        <v>2025</v>
      </c>
      <c r="D5256" t="s">
        <v>1738</v>
      </c>
      <c r="E5256" t="s">
        <v>2310</v>
      </c>
      <c r="F5256" t="s">
        <v>24</v>
      </c>
      <c r="G5256" t="s">
        <v>49</v>
      </c>
      <c r="H5256" t="s">
        <v>32</v>
      </c>
      <c r="I5256" t="s">
        <v>67</v>
      </c>
      <c r="J5256" t="s">
        <v>78</v>
      </c>
      <c r="K5256">
        <v>2</v>
      </c>
      <c r="L5256" s="2">
        <v>85.42</v>
      </c>
      <c r="M5256" s="3">
        <v>0.25</v>
      </c>
      <c r="N5256" t="s">
        <v>62</v>
      </c>
      <c r="O5256" s="2">
        <v>128.13</v>
      </c>
      <c r="P5256" s="2">
        <v>110.92</v>
      </c>
      <c r="Q5256" s="2">
        <v>17.21</v>
      </c>
      <c r="R5256">
        <v>1</v>
      </c>
      <c r="S5256">
        <v>1</v>
      </c>
      <c r="T5256">
        <v>4</v>
      </c>
      <c r="U5256">
        <v>3</v>
      </c>
    </row>
    <row r="5257" spans="1:21" ht="16.5" x14ac:dyDescent="0.3">
      <c r="A5257" t="s">
        <v>5345</v>
      </c>
      <c r="B5257" s="1">
        <v>46010</v>
      </c>
      <c r="C5257">
        <v>2025</v>
      </c>
      <c r="D5257" t="s">
        <v>1738</v>
      </c>
      <c r="E5257" t="s">
        <v>2310</v>
      </c>
      <c r="F5257" t="s">
        <v>31</v>
      </c>
      <c r="G5257" t="s">
        <v>25</v>
      </c>
      <c r="H5257" t="s">
        <v>32</v>
      </c>
      <c r="I5257" t="s">
        <v>36</v>
      </c>
      <c r="J5257" t="s">
        <v>115</v>
      </c>
      <c r="K5257">
        <v>1</v>
      </c>
      <c r="L5257" s="2">
        <v>33.479999999999997</v>
      </c>
      <c r="M5257" s="3">
        <v>0.05</v>
      </c>
      <c r="N5257" t="s">
        <v>29</v>
      </c>
      <c r="O5257" s="2">
        <v>31.81</v>
      </c>
      <c r="P5257" s="2">
        <v>16.559999999999999</v>
      </c>
      <c r="Q5257" s="2">
        <v>15.25</v>
      </c>
      <c r="R5257">
        <v>1</v>
      </c>
      <c r="S5257">
        <v>0</v>
      </c>
      <c r="T5257">
        <v>5</v>
      </c>
      <c r="U5257">
        <v>5</v>
      </c>
    </row>
    <row r="5258" spans="1:21" ht="16.5" x14ac:dyDescent="0.3">
      <c r="A5258" t="s">
        <v>5346</v>
      </c>
      <c r="B5258" s="1">
        <v>46010</v>
      </c>
      <c r="C5258">
        <v>2025</v>
      </c>
      <c r="D5258" t="s">
        <v>1738</v>
      </c>
      <c r="E5258" t="s">
        <v>2310</v>
      </c>
      <c r="F5258" t="s">
        <v>31</v>
      </c>
      <c r="G5258" t="s">
        <v>49</v>
      </c>
      <c r="H5258" t="s">
        <v>32</v>
      </c>
      <c r="I5258" t="s">
        <v>70</v>
      </c>
      <c r="J5258" t="s">
        <v>162</v>
      </c>
      <c r="K5258">
        <v>1</v>
      </c>
      <c r="L5258" s="2">
        <v>636.09</v>
      </c>
      <c r="M5258" s="3">
        <v>0.15</v>
      </c>
      <c r="N5258" t="s">
        <v>34</v>
      </c>
      <c r="O5258" s="2">
        <v>540.67999999999995</v>
      </c>
      <c r="P5258" s="2">
        <v>520.84</v>
      </c>
      <c r="Q5258" s="2">
        <v>19.84</v>
      </c>
      <c r="R5258">
        <v>1</v>
      </c>
      <c r="S5258">
        <v>0</v>
      </c>
      <c r="T5258">
        <v>4</v>
      </c>
      <c r="U5258">
        <v>4</v>
      </c>
    </row>
    <row r="5259" spans="1:21" ht="16.5" x14ac:dyDescent="0.3">
      <c r="A5259" t="s">
        <v>5347</v>
      </c>
      <c r="B5259" s="1">
        <v>46010</v>
      </c>
      <c r="C5259">
        <v>2025</v>
      </c>
      <c r="D5259" t="s">
        <v>1738</v>
      </c>
      <c r="E5259" t="s">
        <v>2310</v>
      </c>
      <c r="F5259" t="s">
        <v>24</v>
      </c>
      <c r="G5259" t="s">
        <v>51</v>
      </c>
      <c r="H5259" t="s">
        <v>26</v>
      </c>
      <c r="I5259" t="s">
        <v>27</v>
      </c>
      <c r="J5259" t="s">
        <v>40</v>
      </c>
      <c r="K5259">
        <v>1</v>
      </c>
      <c r="L5259" s="2">
        <v>104.94</v>
      </c>
      <c r="M5259" s="3">
        <v>0.2</v>
      </c>
      <c r="N5259" t="s">
        <v>34</v>
      </c>
      <c r="O5259" s="2">
        <v>83.95</v>
      </c>
      <c r="P5259" s="2">
        <v>57.6</v>
      </c>
      <c r="Q5259" s="2">
        <v>26.35</v>
      </c>
      <c r="R5259">
        <v>1</v>
      </c>
      <c r="S5259">
        <v>0</v>
      </c>
      <c r="T5259">
        <v>5</v>
      </c>
      <c r="U5259">
        <v>5</v>
      </c>
    </row>
    <row r="5260" spans="1:21" ht="16.5" x14ac:dyDescent="0.3">
      <c r="A5260" t="s">
        <v>5348</v>
      </c>
      <c r="B5260" s="1">
        <v>46010</v>
      </c>
      <c r="C5260">
        <v>2025</v>
      </c>
      <c r="D5260" t="s">
        <v>1738</v>
      </c>
      <c r="E5260" t="s">
        <v>2310</v>
      </c>
      <c r="F5260" t="s">
        <v>24</v>
      </c>
      <c r="G5260" t="s">
        <v>46</v>
      </c>
      <c r="H5260" t="s">
        <v>32</v>
      </c>
      <c r="I5260" t="s">
        <v>70</v>
      </c>
      <c r="J5260" t="s">
        <v>87</v>
      </c>
      <c r="K5260">
        <v>1</v>
      </c>
      <c r="L5260" s="2">
        <v>490.3</v>
      </c>
      <c r="M5260" s="3">
        <v>0.05</v>
      </c>
      <c r="N5260" t="s">
        <v>29</v>
      </c>
      <c r="O5260" s="2">
        <v>465.78</v>
      </c>
      <c r="P5260" s="2">
        <v>386.89</v>
      </c>
      <c r="Q5260" s="2">
        <v>78.89</v>
      </c>
      <c r="R5260">
        <v>1</v>
      </c>
      <c r="S5260">
        <v>0</v>
      </c>
      <c r="T5260">
        <v>7</v>
      </c>
      <c r="U5260">
        <v>2</v>
      </c>
    </row>
    <row r="5261" spans="1:21" ht="16.5" x14ac:dyDescent="0.3">
      <c r="A5261" t="s">
        <v>5349</v>
      </c>
      <c r="B5261" s="1">
        <v>46010</v>
      </c>
      <c r="C5261">
        <v>2025</v>
      </c>
      <c r="D5261" t="s">
        <v>1738</v>
      </c>
      <c r="E5261" t="s">
        <v>2310</v>
      </c>
      <c r="F5261" t="s">
        <v>31</v>
      </c>
      <c r="G5261" t="s">
        <v>65</v>
      </c>
      <c r="H5261" t="s">
        <v>32</v>
      </c>
      <c r="I5261" t="s">
        <v>42</v>
      </c>
      <c r="J5261" t="s">
        <v>58</v>
      </c>
      <c r="K5261">
        <v>3</v>
      </c>
      <c r="L5261" s="2">
        <v>233.81</v>
      </c>
      <c r="M5261" s="3">
        <v>0.05</v>
      </c>
      <c r="N5261" t="s">
        <v>29</v>
      </c>
      <c r="O5261" s="2">
        <v>666.36</v>
      </c>
      <c r="P5261" s="2">
        <v>472.72</v>
      </c>
      <c r="Q5261" s="2">
        <v>193.64</v>
      </c>
      <c r="R5261">
        <v>1</v>
      </c>
      <c r="S5261">
        <v>0</v>
      </c>
      <c r="T5261">
        <v>6</v>
      </c>
      <c r="U5261">
        <v>3</v>
      </c>
    </row>
    <row r="5262" spans="1:21" ht="16.5" x14ac:dyDescent="0.3">
      <c r="A5262" t="s">
        <v>5350</v>
      </c>
      <c r="B5262" s="1">
        <v>46011</v>
      </c>
      <c r="C5262">
        <v>2025</v>
      </c>
      <c r="D5262" t="s">
        <v>1738</v>
      </c>
      <c r="E5262" t="s">
        <v>2310</v>
      </c>
      <c r="F5262" t="s">
        <v>24</v>
      </c>
      <c r="G5262" t="s">
        <v>49</v>
      </c>
      <c r="H5262" t="s">
        <v>32</v>
      </c>
      <c r="I5262" t="s">
        <v>70</v>
      </c>
      <c r="J5262" t="s">
        <v>71</v>
      </c>
      <c r="K5262">
        <v>1</v>
      </c>
      <c r="L5262" s="2">
        <v>588.41</v>
      </c>
      <c r="M5262" s="3">
        <v>0.15</v>
      </c>
      <c r="N5262" t="s">
        <v>34</v>
      </c>
      <c r="O5262" s="2">
        <v>500.15</v>
      </c>
      <c r="P5262" s="2">
        <v>475.87</v>
      </c>
      <c r="Q5262" s="2">
        <v>24.28</v>
      </c>
      <c r="R5262">
        <v>1</v>
      </c>
      <c r="S5262">
        <v>0</v>
      </c>
      <c r="T5262">
        <v>4</v>
      </c>
      <c r="U5262">
        <v>4</v>
      </c>
    </row>
    <row r="5263" spans="1:21" ht="16.5" x14ac:dyDescent="0.3">
      <c r="A5263" t="s">
        <v>5351</v>
      </c>
      <c r="B5263" s="1">
        <v>46011</v>
      </c>
      <c r="C5263">
        <v>2025</v>
      </c>
      <c r="D5263" t="s">
        <v>1738</v>
      </c>
      <c r="E5263" t="s">
        <v>2310</v>
      </c>
      <c r="F5263" t="s">
        <v>31</v>
      </c>
      <c r="G5263" t="s">
        <v>49</v>
      </c>
      <c r="H5263" t="s">
        <v>32</v>
      </c>
      <c r="I5263" t="s">
        <v>42</v>
      </c>
      <c r="J5263" t="s">
        <v>58</v>
      </c>
      <c r="K5263">
        <v>1</v>
      </c>
      <c r="L5263" s="2">
        <v>233.81</v>
      </c>
      <c r="M5263" s="3">
        <v>0.2</v>
      </c>
      <c r="N5263" t="s">
        <v>34</v>
      </c>
      <c r="O5263" s="2">
        <v>187.05</v>
      </c>
      <c r="P5263" s="2">
        <v>149.55000000000001</v>
      </c>
      <c r="Q5263" s="2">
        <v>37.5</v>
      </c>
      <c r="R5263">
        <v>1</v>
      </c>
      <c r="S5263">
        <v>0</v>
      </c>
      <c r="T5263">
        <v>4</v>
      </c>
      <c r="U5263">
        <v>5</v>
      </c>
    </row>
    <row r="5264" spans="1:21" ht="16.5" x14ac:dyDescent="0.3">
      <c r="A5264" t="s">
        <v>5352</v>
      </c>
      <c r="B5264" s="1">
        <v>46011</v>
      </c>
      <c r="C5264">
        <v>2025</v>
      </c>
      <c r="D5264" t="s">
        <v>1738</v>
      </c>
      <c r="E5264" t="s">
        <v>2310</v>
      </c>
      <c r="F5264" t="s">
        <v>31</v>
      </c>
      <c r="G5264" t="s">
        <v>25</v>
      </c>
      <c r="H5264" t="s">
        <v>32</v>
      </c>
      <c r="I5264" t="s">
        <v>27</v>
      </c>
      <c r="J5264" t="s">
        <v>110</v>
      </c>
      <c r="K5264">
        <v>1</v>
      </c>
      <c r="L5264" s="2">
        <v>19.41</v>
      </c>
      <c r="M5264" s="3">
        <v>0.25</v>
      </c>
      <c r="N5264" t="s">
        <v>62</v>
      </c>
      <c r="O5264" s="2">
        <v>14.56</v>
      </c>
      <c r="P5264" s="2">
        <v>10.52</v>
      </c>
      <c r="Q5264" s="2">
        <v>4.04</v>
      </c>
      <c r="R5264">
        <v>1</v>
      </c>
      <c r="S5264">
        <v>0</v>
      </c>
      <c r="T5264">
        <v>6</v>
      </c>
      <c r="U5264">
        <v>4</v>
      </c>
    </row>
    <row r="5265" spans="1:21" ht="16.5" x14ac:dyDescent="0.3">
      <c r="A5265" t="s">
        <v>5353</v>
      </c>
      <c r="B5265" s="1">
        <v>46011</v>
      </c>
      <c r="C5265">
        <v>2025</v>
      </c>
      <c r="D5265" t="s">
        <v>1738</v>
      </c>
      <c r="E5265" t="s">
        <v>2310</v>
      </c>
      <c r="F5265" t="s">
        <v>31</v>
      </c>
      <c r="G5265" t="s">
        <v>51</v>
      </c>
      <c r="H5265" t="s">
        <v>32</v>
      </c>
      <c r="I5265" t="s">
        <v>36</v>
      </c>
      <c r="J5265" t="s">
        <v>52</v>
      </c>
      <c r="K5265">
        <v>3</v>
      </c>
      <c r="L5265" s="2">
        <v>92.54</v>
      </c>
      <c r="M5265" s="3">
        <v>0.25</v>
      </c>
      <c r="N5265" t="s">
        <v>62</v>
      </c>
      <c r="O5265" s="2">
        <v>208.22</v>
      </c>
      <c r="P5265" s="2">
        <v>130.91999999999999</v>
      </c>
      <c r="Q5265" s="2">
        <v>77.3</v>
      </c>
      <c r="R5265">
        <v>1</v>
      </c>
      <c r="S5265">
        <v>0</v>
      </c>
      <c r="T5265">
        <v>3</v>
      </c>
      <c r="U5265">
        <v>5</v>
      </c>
    </row>
    <row r="5266" spans="1:21" ht="16.5" x14ac:dyDescent="0.3">
      <c r="A5266" t="s">
        <v>5354</v>
      </c>
      <c r="B5266" s="1">
        <v>46011</v>
      </c>
      <c r="C5266">
        <v>2025</v>
      </c>
      <c r="D5266" t="s">
        <v>1738</v>
      </c>
      <c r="E5266" t="s">
        <v>2310</v>
      </c>
      <c r="F5266" t="s">
        <v>31</v>
      </c>
      <c r="G5266" t="s">
        <v>25</v>
      </c>
      <c r="H5266" t="s">
        <v>26</v>
      </c>
      <c r="I5266" t="s">
        <v>84</v>
      </c>
      <c r="J5266" t="s">
        <v>132</v>
      </c>
      <c r="K5266">
        <v>4</v>
      </c>
      <c r="L5266" s="2">
        <v>48.86</v>
      </c>
      <c r="M5266" s="3">
        <v>0</v>
      </c>
      <c r="N5266" t="s">
        <v>38</v>
      </c>
      <c r="O5266" s="2">
        <v>195.44</v>
      </c>
      <c r="P5266" s="2">
        <v>134.13999999999999</v>
      </c>
      <c r="Q5266" s="2">
        <v>61.3</v>
      </c>
      <c r="R5266">
        <v>1</v>
      </c>
      <c r="S5266">
        <v>0</v>
      </c>
      <c r="T5266">
        <v>4</v>
      </c>
      <c r="U5266">
        <v>5</v>
      </c>
    </row>
    <row r="5267" spans="1:21" ht="16.5" x14ac:dyDescent="0.3">
      <c r="A5267" t="s">
        <v>5355</v>
      </c>
      <c r="B5267" s="1">
        <v>46011</v>
      </c>
      <c r="C5267">
        <v>2025</v>
      </c>
      <c r="D5267" t="s">
        <v>1738</v>
      </c>
      <c r="E5267" t="s">
        <v>2310</v>
      </c>
      <c r="F5267" t="s">
        <v>31</v>
      </c>
      <c r="G5267" t="s">
        <v>25</v>
      </c>
      <c r="H5267" t="s">
        <v>26</v>
      </c>
      <c r="I5267" t="s">
        <v>70</v>
      </c>
      <c r="J5267" t="s">
        <v>82</v>
      </c>
      <c r="K5267">
        <v>1</v>
      </c>
      <c r="L5267" s="2">
        <v>508.8</v>
      </c>
      <c r="M5267" s="3">
        <v>0.3</v>
      </c>
      <c r="N5267" t="s">
        <v>62</v>
      </c>
      <c r="O5267" s="2">
        <v>356.16</v>
      </c>
      <c r="P5267" s="2">
        <v>420.88</v>
      </c>
      <c r="Q5267" s="2">
        <v>-64.72</v>
      </c>
      <c r="R5267">
        <v>1</v>
      </c>
      <c r="S5267">
        <v>0</v>
      </c>
      <c r="T5267">
        <v>4</v>
      </c>
      <c r="U5267">
        <v>5</v>
      </c>
    </row>
    <row r="5268" spans="1:21" ht="16.5" x14ac:dyDescent="0.3">
      <c r="A5268" t="s">
        <v>5356</v>
      </c>
      <c r="B5268" s="1">
        <v>46011</v>
      </c>
      <c r="C5268">
        <v>2025</v>
      </c>
      <c r="D5268" t="s">
        <v>1738</v>
      </c>
      <c r="E5268" t="s">
        <v>2310</v>
      </c>
      <c r="F5268" t="s">
        <v>31</v>
      </c>
      <c r="G5268" t="s">
        <v>51</v>
      </c>
      <c r="H5268" t="s">
        <v>32</v>
      </c>
      <c r="I5268" t="s">
        <v>70</v>
      </c>
      <c r="J5268" t="s">
        <v>162</v>
      </c>
      <c r="K5268">
        <v>1</v>
      </c>
      <c r="L5268" s="2">
        <v>636.09</v>
      </c>
      <c r="M5268" s="3">
        <v>0</v>
      </c>
      <c r="N5268" t="s">
        <v>38</v>
      </c>
      <c r="O5268" s="2">
        <v>636.09</v>
      </c>
      <c r="P5268" s="2">
        <v>519.55999999999995</v>
      </c>
      <c r="Q5268" s="2">
        <v>116.53</v>
      </c>
      <c r="R5268">
        <v>1</v>
      </c>
      <c r="S5268">
        <v>0</v>
      </c>
      <c r="T5268">
        <v>4</v>
      </c>
      <c r="U5268">
        <v>4</v>
      </c>
    </row>
    <row r="5269" spans="1:21" ht="16.5" x14ac:dyDescent="0.3">
      <c r="A5269" t="s">
        <v>5357</v>
      </c>
      <c r="B5269" s="1">
        <v>46011</v>
      </c>
      <c r="C5269">
        <v>2025</v>
      </c>
      <c r="D5269" t="s">
        <v>1738</v>
      </c>
      <c r="E5269" t="s">
        <v>2310</v>
      </c>
      <c r="F5269" t="s">
        <v>31</v>
      </c>
      <c r="G5269" t="s">
        <v>25</v>
      </c>
      <c r="H5269" t="s">
        <v>32</v>
      </c>
      <c r="I5269" t="s">
        <v>84</v>
      </c>
      <c r="J5269" t="s">
        <v>106</v>
      </c>
      <c r="K5269">
        <v>1</v>
      </c>
      <c r="L5269" s="2">
        <v>45.28</v>
      </c>
      <c r="M5269" s="3">
        <v>0.1</v>
      </c>
      <c r="N5269" t="s">
        <v>29</v>
      </c>
      <c r="O5269" s="2">
        <v>40.75</v>
      </c>
      <c r="P5269" s="2">
        <v>32.33</v>
      </c>
      <c r="Q5269" s="2">
        <v>8.42</v>
      </c>
      <c r="R5269">
        <v>1</v>
      </c>
      <c r="S5269">
        <v>0</v>
      </c>
      <c r="T5269">
        <v>6</v>
      </c>
      <c r="U5269">
        <v>3</v>
      </c>
    </row>
    <row r="5270" spans="1:21" ht="16.5" x14ac:dyDescent="0.3">
      <c r="A5270" t="s">
        <v>5358</v>
      </c>
      <c r="B5270" s="1">
        <v>46011</v>
      </c>
      <c r="C5270">
        <v>2025</v>
      </c>
      <c r="D5270" t="s">
        <v>1738</v>
      </c>
      <c r="E5270" t="s">
        <v>2310</v>
      </c>
      <c r="F5270" t="s">
        <v>45</v>
      </c>
      <c r="G5270" t="s">
        <v>49</v>
      </c>
      <c r="H5270" t="s">
        <v>32</v>
      </c>
      <c r="I5270" t="s">
        <v>84</v>
      </c>
      <c r="J5270" t="s">
        <v>132</v>
      </c>
      <c r="K5270">
        <v>1</v>
      </c>
      <c r="L5270" s="2">
        <v>48.86</v>
      </c>
      <c r="M5270" s="3">
        <v>0.25</v>
      </c>
      <c r="N5270" t="s">
        <v>62</v>
      </c>
      <c r="O5270" s="2">
        <v>36.64</v>
      </c>
      <c r="P5270" s="2">
        <v>35.79</v>
      </c>
      <c r="Q5270" s="2">
        <v>0.85</v>
      </c>
      <c r="R5270">
        <v>1</v>
      </c>
      <c r="S5270">
        <v>0</v>
      </c>
      <c r="T5270">
        <v>6</v>
      </c>
      <c r="U5270">
        <v>3</v>
      </c>
    </row>
    <row r="5271" spans="1:21" ht="16.5" x14ac:dyDescent="0.3">
      <c r="A5271" t="s">
        <v>5359</v>
      </c>
      <c r="B5271" s="1">
        <v>46011</v>
      </c>
      <c r="C5271">
        <v>2025</v>
      </c>
      <c r="D5271" t="s">
        <v>1738</v>
      </c>
      <c r="E5271" t="s">
        <v>2310</v>
      </c>
      <c r="F5271" t="s">
        <v>31</v>
      </c>
      <c r="G5271" t="s">
        <v>49</v>
      </c>
      <c r="H5271" t="s">
        <v>32</v>
      </c>
      <c r="I5271" t="s">
        <v>27</v>
      </c>
      <c r="J5271" t="s">
        <v>60</v>
      </c>
      <c r="K5271">
        <v>1</v>
      </c>
      <c r="L5271" s="2">
        <v>94.85</v>
      </c>
      <c r="M5271" s="3">
        <v>0.25</v>
      </c>
      <c r="N5271" t="s">
        <v>62</v>
      </c>
      <c r="O5271" s="2">
        <v>71.14</v>
      </c>
      <c r="P5271" s="2">
        <v>52.33</v>
      </c>
      <c r="Q5271" s="2">
        <v>18.809999999999999</v>
      </c>
      <c r="R5271">
        <v>1</v>
      </c>
      <c r="S5271">
        <v>1</v>
      </c>
      <c r="T5271">
        <v>7</v>
      </c>
      <c r="U5271">
        <v>2</v>
      </c>
    </row>
    <row r="5272" spans="1:21" ht="16.5" x14ac:dyDescent="0.3">
      <c r="A5272" t="s">
        <v>5360</v>
      </c>
      <c r="B5272" s="1">
        <v>46011</v>
      </c>
      <c r="C5272">
        <v>2025</v>
      </c>
      <c r="D5272" t="s">
        <v>1738</v>
      </c>
      <c r="E5272" t="s">
        <v>2310</v>
      </c>
      <c r="F5272" t="s">
        <v>45</v>
      </c>
      <c r="G5272" t="s">
        <v>51</v>
      </c>
      <c r="H5272" t="s">
        <v>32</v>
      </c>
      <c r="I5272" t="s">
        <v>70</v>
      </c>
      <c r="J5272" t="s">
        <v>252</v>
      </c>
      <c r="K5272">
        <v>1</v>
      </c>
      <c r="L5272" s="2">
        <v>216.08</v>
      </c>
      <c r="M5272" s="3">
        <v>0.2</v>
      </c>
      <c r="N5272" t="s">
        <v>34</v>
      </c>
      <c r="O5272" s="2">
        <v>172.86</v>
      </c>
      <c r="P5272" s="2">
        <v>173.71</v>
      </c>
      <c r="Q5272" s="2">
        <v>-0.85</v>
      </c>
      <c r="R5272">
        <v>1</v>
      </c>
      <c r="S5272">
        <v>0</v>
      </c>
      <c r="T5272">
        <v>3</v>
      </c>
      <c r="U5272">
        <v>4</v>
      </c>
    </row>
    <row r="5273" spans="1:21" ht="16.5" x14ac:dyDescent="0.3">
      <c r="A5273" t="s">
        <v>5361</v>
      </c>
      <c r="B5273" s="1">
        <v>46011</v>
      </c>
      <c r="C5273">
        <v>2025</v>
      </c>
      <c r="D5273" t="s">
        <v>1738</v>
      </c>
      <c r="E5273" t="s">
        <v>2310</v>
      </c>
      <c r="F5273" t="s">
        <v>45</v>
      </c>
      <c r="G5273" t="s">
        <v>51</v>
      </c>
      <c r="H5273" t="s">
        <v>26</v>
      </c>
      <c r="I5273" t="s">
        <v>36</v>
      </c>
      <c r="J5273" t="s">
        <v>126</v>
      </c>
      <c r="K5273">
        <v>1</v>
      </c>
      <c r="L5273" s="2">
        <v>54.56</v>
      </c>
      <c r="M5273" s="3">
        <v>0.2</v>
      </c>
      <c r="N5273" t="s">
        <v>34</v>
      </c>
      <c r="O5273" s="2">
        <v>43.65</v>
      </c>
      <c r="P5273" s="2">
        <v>26.11</v>
      </c>
      <c r="Q5273" s="2">
        <v>17.54</v>
      </c>
      <c r="R5273">
        <v>1</v>
      </c>
      <c r="S5273">
        <v>0</v>
      </c>
      <c r="T5273">
        <v>4</v>
      </c>
      <c r="U5273">
        <v>4</v>
      </c>
    </row>
    <row r="5274" spans="1:21" ht="16.5" x14ac:dyDescent="0.3">
      <c r="A5274" t="s">
        <v>5362</v>
      </c>
      <c r="B5274" s="1">
        <v>46011</v>
      </c>
      <c r="C5274">
        <v>2025</v>
      </c>
      <c r="D5274" t="s">
        <v>1738</v>
      </c>
      <c r="E5274" t="s">
        <v>2310</v>
      </c>
      <c r="F5274" t="s">
        <v>45</v>
      </c>
      <c r="G5274" t="s">
        <v>25</v>
      </c>
      <c r="H5274" t="s">
        <v>32</v>
      </c>
      <c r="I5274" t="s">
        <v>42</v>
      </c>
      <c r="J5274" t="s">
        <v>98</v>
      </c>
      <c r="K5274">
        <v>2</v>
      </c>
      <c r="L5274" s="2">
        <v>117.63</v>
      </c>
      <c r="M5274" s="3">
        <v>0.2</v>
      </c>
      <c r="N5274" t="s">
        <v>34</v>
      </c>
      <c r="O5274" s="2">
        <v>188.21</v>
      </c>
      <c r="P5274" s="2">
        <v>145.66</v>
      </c>
      <c r="Q5274" s="2">
        <v>42.55</v>
      </c>
      <c r="R5274">
        <v>1</v>
      </c>
      <c r="S5274">
        <v>0</v>
      </c>
      <c r="T5274">
        <v>4</v>
      </c>
      <c r="U5274">
        <v>4</v>
      </c>
    </row>
    <row r="5275" spans="1:21" ht="16.5" x14ac:dyDescent="0.3">
      <c r="A5275" t="s">
        <v>5363</v>
      </c>
      <c r="B5275" s="1">
        <v>46012</v>
      </c>
      <c r="C5275">
        <v>2025</v>
      </c>
      <c r="D5275" t="s">
        <v>1738</v>
      </c>
      <c r="E5275" t="s">
        <v>2310</v>
      </c>
      <c r="F5275" t="s">
        <v>24</v>
      </c>
      <c r="G5275" t="s">
        <v>51</v>
      </c>
      <c r="H5275" t="s">
        <v>26</v>
      </c>
      <c r="I5275" t="s">
        <v>27</v>
      </c>
      <c r="J5275" t="s">
        <v>110</v>
      </c>
      <c r="K5275">
        <v>1</v>
      </c>
      <c r="L5275" s="2">
        <v>19.41</v>
      </c>
      <c r="M5275" s="3">
        <v>0.25</v>
      </c>
      <c r="N5275" t="s">
        <v>62</v>
      </c>
      <c r="O5275" s="2">
        <v>14.56</v>
      </c>
      <c r="P5275" s="2">
        <v>10.56</v>
      </c>
      <c r="Q5275" s="2">
        <v>4</v>
      </c>
      <c r="R5275">
        <v>1</v>
      </c>
      <c r="S5275">
        <v>0</v>
      </c>
      <c r="T5275">
        <v>5</v>
      </c>
      <c r="U5275">
        <v>3</v>
      </c>
    </row>
    <row r="5276" spans="1:21" ht="16.5" x14ac:dyDescent="0.3">
      <c r="A5276" t="s">
        <v>5364</v>
      </c>
      <c r="B5276" s="1">
        <v>46012</v>
      </c>
      <c r="C5276">
        <v>2025</v>
      </c>
      <c r="D5276" t="s">
        <v>1738</v>
      </c>
      <c r="E5276" t="s">
        <v>2310</v>
      </c>
      <c r="F5276" t="s">
        <v>31</v>
      </c>
      <c r="G5276" t="s">
        <v>46</v>
      </c>
      <c r="H5276" t="s">
        <v>32</v>
      </c>
      <c r="I5276" t="s">
        <v>27</v>
      </c>
      <c r="J5276" t="s">
        <v>110</v>
      </c>
      <c r="K5276">
        <v>1</v>
      </c>
      <c r="L5276" s="2">
        <v>19.41</v>
      </c>
      <c r="M5276" s="3">
        <v>0.15</v>
      </c>
      <c r="N5276" t="s">
        <v>34</v>
      </c>
      <c r="O5276" s="2">
        <v>16.5</v>
      </c>
      <c r="P5276" s="2">
        <v>10.43</v>
      </c>
      <c r="Q5276" s="2">
        <v>6.07</v>
      </c>
      <c r="R5276">
        <v>1</v>
      </c>
      <c r="S5276">
        <v>0</v>
      </c>
      <c r="T5276">
        <v>10</v>
      </c>
      <c r="U5276">
        <v>4</v>
      </c>
    </row>
    <row r="5277" spans="1:21" ht="16.5" x14ac:dyDescent="0.3">
      <c r="A5277" t="s">
        <v>5365</v>
      </c>
      <c r="B5277" s="1">
        <v>46012</v>
      </c>
      <c r="C5277">
        <v>2025</v>
      </c>
      <c r="D5277" t="s">
        <v>1738</v>
      </c>
      <c r="E5277" t="s">
        <v>2310</v>
      </c>
      <c r="F5277" t="s">
        <v>31</v>
      </c>
      <c r="G5277" t="s">
        <v>51</v>
      </c>
      <c r="H5277" t="s">
        <v>32</v>
      </c>
      <c r="I5277" t="s">
        <v>27</v>
      </c>
      <c r="J5277" t="s">
        <v>40</v>
      </c>
      <c r="K5277">
        <v>1</v>
      </c>
      <c r="L5277" s="2">
        <v>104.94</v>
      </c>
      <c r="M5277" s="3">
        <v>0.15</v>
      </c>
      <c r="N5277" t="s">
        <v>34</v>
      </c>
      <c r="O5277" s="2">
        <v>89.2</v>
      </c>
      <c r="P5277" s="2">
        <v>56.83</v>
      </c>
      <c r="Q5277" s="2">
        <v>32.369999999999997</v>
      </c>
      <c r="R5277">
        <v>1</v>
      </c>
      <c r="S5277">
        <v>0</v>
      </c>
      <c r="T5277">
        <v>5</v>
      </c>
      <c r="U5277">
        <v>4</v>
      </c>
    </row>
    <row r="5278" spans="1:21" ht="16.5" x14ac:dyDescent="0.3">
      <c r="A5278" t="s">
        <v>5366</v>
      </c>
      <c r="B5278" s="1">
        <v>46012</v>
      </c>
      <c r="C5278">
        <v>2025</v>
      </c>
      <c r="D5278" t="s">
        <v>1738</v>
      </c>
      <c r="E5278" t="s">
        <v>2310</v>
      </c>
      <c r="F5278" t="s">
        <v>45</v>
      </c>
      <c r="G5278" t="s">
        <v>51</v>
      </c>
      <c r="H5278" t="s">
        <v>26</v>
      </c>
      <c r="I5278" t="s">
        <v>27</v>
      </c>
      <c r="J5278" t="s">
        <v>28</v>
      </c>
      <c r="K5278">
        <v>2</v>
      </c>
      <c r="L5278" s="2">
        <v>138.5</v>
      </c>
      <c r="M5278" s="3">
        <v>0</v>
      </c>
      <c r="N5278" t="s">
        <v>38</v>
      </c>
      <c r="O5278" s="2">
        <v>277</v>
      </c>
      <c r="P5278" s="2">
        <v>158.29</v>
      </c>
      <c r="Q5278" s="2">
        <v>118.71</v>
      </c>
      <c r="R5278">
        <v>1</v>
      </c>
      <c r="S5278">
        <v>0</v>
      </c>
      <c r="T5278">
        <v>3</v>
      </c>
      <c r="U5278">
        <v>5</v>
      </c>
    </row>
    <row r="5279" spans="1:21" ht="16.5" x14ac:dyDescent="0.3">
      <c r="A5279" t="s">
        <v>5367</v>
      </c>
      <c r="B5279" s="1">
        <v>46012</v>
      </c>
      <c r="C5279">
        <v>2025</v>
      </c>
      <c r="D5279" t="s">
        <v>1738</v>
      </c>
      <c r="E5279" t="s">
        <v>2310</v>
      </c>
      <c r="F5279" t="s">
        <v>45</v>
      </c>
      <c r="G5279" t="s">
        <v>25</v>
      </c>
      <c r="H5279" t="s">
        <v>32</v>
      </c>
      <c r="I5279" t="s">
        <v>42</v>
      </c>
      <c r="J5279" t="s">
        <v>58</v>
      </c>
      <c r="K5279">
        <v>1</v>
      </c>
      <c r="L5279" s="2">
        <v>233.81</v>
      </c>
      <c r="M5279" s="3">
        <v>0.25</v>
      </c>
      <c r="N5279" t="s">
        <v>62</v>
      </c>
      <c r="O5279" s="2">
        <v>175.36</v>
      </c>
      <c r="P5279" s="2">
        <v>160.21</v>
      </c>
      <c r="Q5279" s="2">
        <v>15.15</v>
      </c>
      <c r="R5279">
        <v>1</v>
      </c>
      <c r="S5279">
        <v>0</v>
      </c>
      <c r="T5279">
        <v>6</v>
      </c>
      <c r="U5279">
        <v>4</v>
      </c>
    </row>
    <row r="5280" spans="1:21" ht="16.5" x14ac:dyDescent="0.3">
      <c r="A5280" t="s">
        <v>5368</v>
      </c>
      <c r="B5280" s="1">
        <v>46012</v>
      </c>
      <c r="C5280">
        <v>2025</v>
      </c>
      <c r="D5280" t="s">
        <v>1738</v>
      </c>
      <c r="E5280" t="s">
        <v>2310</v>
      </c>
      <c r="F5280" t="s">
        <v>24</v>
      </c>
      <c r="G5280" t="s">
        <v>49</v>
      </c>
      <c r="H5280" t="s">
        <v>26</v>
      </c>
      <c r="I5280" t="s">
        <v>42</v>
      </c>
      <c r="J5280" t="s">
        <v>54</v>
      </c>
      <c r="K5280">
        <v>1</v>
      </c>
      <c r="L5280" s="2">
        <v>148.05000000000001</v>
      </c>
      <c r="M5280" s="3">
        <v>0.2</v>
      </c>
      <c r="N5280" t="s">
        <v>34</v>
      </c>
      <c r="O5280" s="2">
        <v>118.44</v>
      </c>
      <c r="P5280" s="2">
        <v>101.71</v>
      </c>
      <c r="Q5280" s="2">
        <v>16.73</v>
      </c>
      <c r="R5280">
        <v>1</v>
      </c>
      <c r="S5280">
        <v>0</v>
      </c>
      <c r="T5280">
        <v>4</v>
      </c>
      <c r="U5280">
        <v>3</v>
      </c>
    </row>
    <row r="5281" spans="1:21" ht="16.5" x14ac:dyDescent="0.3">
      <c r="A5281" t="s">
        <v>5369</v>
      </c>
      <c r="B5281" s="1">
        <v>46012</v>
      </c>
      <c r="C5281">
        <v>2025</v>
      </c>
      <c r="D5281" t="s">
        <v>1738</v>
      </c>
      <c r="E5281" t="s">
        <v>2310</v>
      </c>
      <c r="F5281" t="s">
        <v>31</v>
      </c>
      <c r="G5281" t="s">
        <v>25</v>
      </c>
      <c r="H5281" t="s">
        <v>26</v>
      </c>
      <c r="I5281" t="s">
        <v>36</v>
      </c>
      <c r="J5281" t="s">
        <v>115</v>
      </c>
      <c r="K5281">
        <v>1</v>
      </c>
      <c r="L5281" s="2">
        <v>33.479999999999997</v>
      </c>
      <c r="M5281" s="3">
        <v>0.15</v>
      </c>
      <c r="N5281" t="s">
        <v>34</v>
      </c>
      <c r="O5281" s="2">
        <v>28.46</v>
      </c>
      <c r="P5281" s="2">
        <v>16.11</v>
      </c>
      <c r="Q5281" s="2">
        <v>12.35</v>
      </c>
      <c r="R5281">
        <v>1</v>
      </c>
      <c r="S5281">
        <v>0</v>
      </c>
      <c r="T5281">
        <v>4</v>
      </c>
      <c r="U5281">
        <v>4</v>
      </c>
    </row>
    <row r="5282" spans="1:21" ht="16.5" x14ac:dyDescent="0.3">
      <c r="A5282" t="s">
        <v>5370</v>
      </c>
      <c r="B5282" s="1">
        <v>46012</v>
      </c>
      <c r="C5282">
        <v>2025</v>
      </c>
      <c r="D5282" t="s">
        <v>1738</v>
      </c>
      <c r="E5282" t="s">
        <v>2310</v>
      </c>
      <c r="F5282" t="s">
        <v>24</v>
      </c>
      <c r="G5282" t="s">
        <v>49</v>
      </c>
      <c r="H5282" t="s">
        <v>26</v>
      </c>
      <c r="I5282" t="s">
        <v>27</v>
      </c>
      <c r="J5282" t="s">
        <v>47</v>
      </c>
      <c r="K5282">
        <v>2</v>
      </c>
      <c r="L5282" s="2">
        <v>33.99</v>
      </c>
      <c r="M5282" s="3">
        <v>0.05</v>
      </c>
      <c r="N5282" t="s">
        <v>29</v>
      </c>
      <c r="O5282" s="2">
        <v>64.58</v>
      </c>
      <c r="P5282" s="2">
        <v>37.08</v>
      </c>
      <c r="Q5282" s="2">
        <v>27.5</v>
      </c>
      <c r="R5282">
        <v>1</v>
      </c>
      <c r="S5282">
        <v>0</v>
      </c>
      <c r="T5282">
        <v>4</v>
      </c>
      <c r="U5282">
        <v>5</v>
      </c>
    </row>
    <row r="5283" spans="1:21" ht="16.5" x14ac:dyDescent="0.3">
      <c r="A5283" t="s">
        <v>5371</v>
      </c>
      <c r="B5283" s="1">
        <v>46012</v>
      </c>
      <c r="C5283">
        <v>2025</v>
      </c>
      <c r="D5283" t="s">
        <v>1738</v>
      </c>
      <c r="E5283" t="s">
        <v>2310</v>
      </c>
      <c r="F5283" t="s">
        <v>24</v>
      </c>
      <c r="G5283" t="s">
        <v>51</v>
      </c>
      <c r="H5283" t="s">
        <v>26</v>
      </c>
      <c r="I5283" t="s">
        <v>70</v>
      </c>
      <c r="J5283" t="s">
        <v>82</v>
      </c>
      <c r="K5283">
        <v>1</v>
      </c>
      <c r="L5283" s="2">
        <v>508.8</v>
      </c>
      <c r="M5283" s="3">
        <v>0.15</v>
      </c>
      <c r="N5283" t="s">
        <v>34</v>
      </c>
      <c r="O5283" s="2">
        <v>432.48</v>
      </c>
      <c r="P5283" s="2">
        <v>405.71</v>
      </c>
      <c r="Q5283" s="2">
        <v>26.77</v>
      </c>
      <c r="R5283">
        <v>1</v>
      </c>
      <c r="S5283">
        <v>0</v>
      </c>
      <c r="T5283">
        <v>4</v>
      </c>
      <c r="U5283">
        <v>4</v>
      </c>
    </row>
    <row r="5284" spans="1:21" ht="16.5" x14ac:dyDescent="0.3">
      <c r="A5284" t="s">
        <v>5372</v>
      </c>
      <c r="B5284" s="1">
        <v>46012</v>
      </c>
      <c r="C5284">
        <v>2025</v>
      </c>
      <c r="D5284" t="s">
        <v>1738</v>
      </c>
      <c r="E5284" t="s">
        <v>2310</v>
      </c>
      <c r="F5284" t="s">
        <v>24</v>
      </c>
      <c r="G5284" t="s">
        <v>49</v>
      </c>
      <c r="H5284" t="s">
        <v>32</v>
      </c>
      <c r="I5284" t="s">
        <v>36</v>
      </c>
      <c r="J5284" t="s">
        <v>37</v>
      </c>
      <c r="K5284">
        <v>1</v>
      </c>
      <c r="L5284" s="2">
        <v>33.18</v>
      </c>
      <c r="M5284" s="3">
        <v>0.15</v>
      </c>
      <c r="N5284" t="s">
        <v>34</v>
      </c>
      <c r="O5284" s="2">
        <v>28.2</v>
      </c>
      <c r="P5284" s="2">
        <v>14.69</v>
      </c>
      <c r="Q5284" s="2">
        <v>13.51</v>
      </c>
      <c r="R5284">
        <v>1</v>
      </c>
      <c r="S5284">
        <v>0</v>
      </c>
      <c r="T5284">
        <v>4</v>
      </c>
      <c r="U5284">
        <v>5</v>
      </c>
    </row>
    <row r="5285" spans="1:21" ht="16.5" x14ac:dyDescent="0.3">
      <c r="A5285" t="s">
        <v>5373</v>
      </c>
      <c r="B5285" s="1">
        <v>46012</v>
      </c>
      <c r="C5285">
        <v>2025</v>
      </c>
      <c r="D5285" t="s">
        <v>1738</v>
      </c>
      <c r="E5285" t="s">
        <v>2310</v>
      </c>
      <c r="F5285" t="s">
        <v>45</v>
      </c>
      <c r="G5285" t="s">
        <v>51</v>
      </c>
      <c r="H5285" t="s">
        <v>32</v>
      </c>
      <c r="I5285" t="s">
        <v>36</v>
      </c>
      <c r="J5285" t="s">
        <v>115</v>
      </c>
      <c r="K5285">
        <v>3</v>
      </c>
      <c r="L5285" s="2">
        <v>33.479999999999997</v>
      </c>
      <c r="M5285" s="3">
        <v>0.1</v>
      </c>
      <c r="N5285" t="s">
        <v>29</v>
      </c>
      <c r="O5285" s="2">
        <v>90.4</v>
      </c>
      <c r="P5285" s="2">
        <v>48.71</v>
      </c>
      <c r="Q5285" s="2">
        <v>41.69</v>
      </c>
      <c r="R5285">
        <v>1</v>
      </c>
      <c r="S5285">
        <v>0</v>
      </c>
      <c r="T5285">
        <v>4</v>
      </c>
      <c r="U5285">
        <v>4</v>
      </c>
    </row>
    <row r="5286" spans="1:21" ht="16.5" x14ac:dyDescent="0.3">
      <c r="A5286" t="s">
        <v>5374</v>
      </c>
      <c r="B5286" s="1">
        <v>46012</v>
      </c>
      <c r="C5286">
        <v>2025</v>
      </c>
      <c r="D5286" t="s">
        <v>1738</v>
      </c>
      <c r="E5286" t="s">
        <v>2310</v>
      </c>
      <c r="F5286" t="s">
        <v>31</v>
      </c>
      <c r="G5286" t="s">
        <v>25</v>
      </c>
      <c r="H5286" t="s">
        <v>32</v>
      </c>
      <c r="I5286" t="s">
        <v>36</v>
      </c>
      <c r="J5286" t="s">
        <v>37</v>
      </c>
      <c r="K5286">
        <v>1</v>
      </c>
      <c r="L5286" s="2">
        <v>33.18</v>
      </c>
      <c r="M5286" s="3">
        <v>0.1</v>
      </c>
      <c r="N5286" t="s">
        <v>29</v>
      </c>
      <c r="O5286" s="2">
        <v>29.86</v>
      </c>
      <c r="P5286" s="2">
        <v>15.51</v>
      </c>
      <c r="Q5286" s="2">
        <v>14.35</v>
      </c>
      <c r="R5286">
        <v>1</v>
      </c>
      <c r="S5286">
        <v>0</v>
      </c>
      <c r="T5286">
        <v>5</v>
      </c>
      <c r="U5286">
        <v>4</v>
      </c>
    </row>
    <row r="5287" spans="1:21" ht="16.5" x14ac:dyDescent="0.3">
      <c r="A5287" t="s">
        <v>5375</v>
      </c>
      <c r="B5287" s="1">
        <v>46012</v>
      </c>
      <c r="C5287">
        <v>2025</v>
      </c>
      <c r="D5287" t="s">
        <v>1738</v>
      </c>
      <c r="E5287" t="s">
        <v>2310</v>
      </c>
      <c r="F5287" t="s">
        <v>31</v>
      </c>
      <c r="G5287" t="s">
        <v>51</v>
      </c>
      <c r="H5287" t="s">
        <v>26</v>
      </c>
      <c r="I5287" t="s">
        <v>70</v>
      </c>
      <c r="J5287" t="s">
        <v>252</v>
      </c>
      <c r="K5287">
        <v>2</v>
      </c>
      <c r="L5287" s="2">
        <v>216.08</v>
      </c>
      <c r="M5287" s="3">
        <v>0.2</v>
      </c>
      <c r="N5287" t="s">
        <v>34</v>
      </c>
      <c r="O5287" s="2">
        <v>345.73</v>
      </c>
      <c r="P5287" s="2">
        <v>348.78</v>
      </c>
      <c r="Q5287" s="2">
        <v>-3.05</v>
      </c>
      <c r="R5287">
        <v>1</v>
      </c>
      <c r="S5287">
        <v>0</v>
      </c>
      <c r="T5287">
        <v>5</v>
      </c>
      <c r="U5287">
        <v>4</v>
      </c>
    </row>
    <row r="5288" spans="1:21" ht="16.5" x14ac:dyDescent="0.3">
      <c r="A5288" t="s">
        <v>5376</v>
      </c>
      <c r="B5288" s="1">
        <v>46013</v>
      </c>
      <c r="C5288">
        <v>2025</v>
      </c>
      <c r="D5288" t="s">
        <v>1738</v>
      </c>
      <c r="E5288" t="s">
        <v>2310</v>
      </c>
      <c r="F5288" t="s">
        <v>31</v>
      </c>
      <c r="G5288" t="s">
        <v>25</v>
      </c>
      <c r="H5288" t="s">
        <v>32</v>
      </c>
      <c r="I5288" t="s">
        <v>36</v>
      </c>
      <c r="J5288" t="s">
        <v>56</v>
      </c>
      <c r="K5288">
        <v>2</v>
      </c>
      <c r="L5288" s="2">
        <v>74.3</v>
      </c>
      <c r="M5288" s="3">
        <v>0.3</v>
      </c>
      <c r="N5288" t="s">
        <v>62</v>
      </c>
      <c r="O5288" s="2">
        <v>104.02</v>
      </c>
      <c r="P5288" s="2">
        <v>68.680000000000007</v>
      </c>
      <c r="Q5288" s="2">
        <v>35.340000000000003</v>
      </c>
      <c r="R5288">
        <v>1</v>
      </c>
      <c r="S5288">
        <v>0</v>
      </c>
      <c r="T5288">
        <v>7</v>
      </c>
      <c r="U5288">
        <v>4</v>
      </c>
    </row>
    <row r="5289" spans="1:21" ht="16.5" x14ac:dyDescent="0.3">
      <c r="A5289" t="s">
        <v>5377</v>
      </c>
      <c r="B5289" s="1">
        <v>46013</v>
      </c>
      <c r="C5289">
        <v>2025</v>
      </c>
      <c r="D5289" t="s">
        <v>1738</v>
      </c>
      <c r="E5289" t="s">
        <v>2310</v>
      </c>
      <c r="F5289" t="s">
        <v>31</v>
      </c>
      <c r="G5289" t="s">
        <v>46</v>
      </c>
      <c r="H5289" t="s">
        <v>32</v>
      </c>
      <c r="I5289" t="s">
        <v>27</v>
      </c>
      <c r="J5289" t="s">
        <v>60</v>
      </c>
      <c r="K5289">
        <v>3</v>
      </c>
      <c r="L5289" s="2">
        <v>94.85</v>
      </c>
      <c r="M5289" s="3">
        <v>0.15</v>
      </c>
      <c r="N5289" t="s">
        <v>34</v>
      </c>
      <c r="O5289" s="2">
        <v>241.87</v>
      </c>
      <c r="P5289" s="2">
        <v>158.11000000000001</v>
      </c>
      <c r="Q5289" s="2">
        <v>83.76</v>
      </c>
      <c r="R5289">
        <v>1</v>
      </c>
      <c r="S5289">
        <v>0</v>
      </c>
      <c r="T5289">
        <v>6</v>
      </c>
      <c r="U5289">
        <v>5</v>
      </c>
    </row>
    <row r="5290" spans="1:21" ht="16.5" x14ac:dyDescent="0.3">
      <c r="A5290" t="s">
        <v>5378</v>
      </c>
      <c r="B5290" s="1">
        <v>46013</v>
      </c>
      <c r="C5290">
        <v>2025</v>
      </c>
      <c r="D5290" t="s">
        <v>1738</v>
      </c>
      <c r="E5290" t="s">
        <v>2310</v>
      </c>
      <c r="F5290" t="s">
        <v>31</v>
      </c>
      <c r="G5290" t="s">
        <v>25</v>
      </c>
      <c r="H5290" t="s">
        <v>26</v>
      </c>
      <c r="I5290" t="s">
        <v>42</v>
      </c>
      <c r="J5290" t="s">
        <v>58</v>
      </c>
      <c r="K5290">
        <v>3</v>
      </c>
      <c r="L5290" s="2">
        <v>233.81</v>
      </c>
      <c r="M5290" s="3">
        <v>0.15</v>
      </c>
      <c r="N5290" t="s">
        <v>34</v>
      </c>
      <c r="O5290" s="2">
        <v>596.22</v>
      </c>
      <c r="P5290" s="2">
        <v>439.38</v>
      </c>
      <c r="Q5290" s="2">
        <v>156.84</v>
      </c>
      <c r="R5290">
        <v>1</v>
      </c>
      <c r="S5290">
        <v>0</v>
      </c>
      <c r="T5290">
        <v>5</v>
      </c>
      <c r="U5290">
        <v>5</v>
      </c>
    </row>
    <row r="5291" spans="1:21" ht="16.5" x14ac:dyDescent="0.3">
      <c r="A5291" t="s">
        <v>5379</v>
      </c>
      <c r="B5291" s="1">
        <v>46013</v>
      </c>
      <c r="C5291">
        <v>2025</v>
      </c>
      <c r="D5291" t="s">
        <v>1738</v>
      </c>
      <c r="E5291" t="s">
        <v>2310</v>
      </c>
      <c r="F5291" t="s">
        <v>24</v>
      </c>
      <c r="G5291" t="s">
        <v>49</v>
      </c>
      <c r="H5291" t="s">
        <v>32</v>
      </c>
      <c r="I5291" t="s">
        <v>27</v>
      </c>
      <c r="J5291" t="s">
        <v>47</v>
      </c>
      <c r="K5291">
        <v>2</v>
      </c>
      <c r="L5291" s="2">
        <v>33.99</v>
      </c>
      <c r="M5291" s="3">
        <v>0</v>
      </c>
      <c r="N5291" t="s">
        <v>38</v>
      </c>
      <c r="O5291" s="2">
        <v>67.98</v>
      </c>
      <c r="P5291" s="2">
        <v>35.86</v>
      </c>
      <c r="Q5291" s="2">
        <v>32.119999999999997</v>
      </c>
      <c r="R5291">
        <v>1</v>
      </c>
      <c r="S5291">
        <v>0</v>
      </c>
      <c r="T5291">
        <v>8</v>
      </c>
      <c r="U5291">
        <v>4</v>
      </c>
    </row>
    <row r="5292" spans="1:21" ht="16.5" x14ac:dyDescent="0.3">
      <c r="A5292" t="s">
        <v>5380</v>
      </c>
      <c r="B5292" s="1">
        <v>46013</v>
      </c>
      <c r="C5292">
        <v>2025</v>
      </c>
      <c r="D5292" t="s">
        <v>1738</v>
      </c>
      <c r="E5292" t="s">
        <v>2310</v>
      </c>
      <c r="F5292" t="s">
        <v>45</v>
      </c>
      <c r="G5292" t="s">
        <v>46</v>
      </c>
      <c r="H5292" t="s">
        <v>32</v>
      </c>
      <c r="I5292" t="s">
        <v>42</v>
      </c>
      <c r="J5292" t="s">
        <v>43</v>
      </c>
      <c r="K5292">
        <v>1</v>
      </c>
      <c r="L5292" s="2">
        <v>154.66</v>
      </c>
      <c r="M5292" s="3">
        <v>0.3</v>
      </c>
      <c r="N5292" t="s">
        <v>62</v>
      </c>
      <c r="O5292" s="2">
        <v>108.26</v>
      </c>
      <c r="P5292" s="2">
        <v>96.12</v>
      </c>
      <c r="Q5292" s="2">
        <v>12.14</v>
      </c>
      <c r="R5292">
        <v>1</v>
      </c>
      <c r="S5292">
        <v>0</v>
      </c>
      <c r="T5292">
        <v>7</v>
      </c>
      <c r="U5292">
        <v>4</v>
      </c>
    </row>
    <row r="5293" spans="1:21" ht="16.5" x14ac:dyDescent="0.3">
      <c r="A5293" t="s">
        <v>5381</v>
      </c>
      <c r="B5293" s="1">
        <v>46013</v>
      </c>
      <c r="C5293">
        <v>2025</v>
      </c>
      <c r="D5293" t="s">
        <v>1738</v>
      </c>
      <c r="E5293" t="s">
        <v>2310</v>
      </c>
      <c r="F5293" t="s">
        <v>31</v>
      </c>
      <c r="G5293" t="s">
        <v>49</v>
      </c>
      <c r="H5293" t="s">
        <v>32</v>
      </c>
      <c r="I5293" t="s">
        <v>27</v>
      </c>
      <c r="J5293" t="s">
        <v>40</v>
      </c>
      <c r="K5293">
        <v>1</v>
      </c>
      <c r="L5293" s="2">
        <v>104.94</v>
      </c>
      <c r="M5293" s="3">
        <v>0.15</v>
      </c>
      <c r="N5293" t="s">
        <v>34</v>
      </c>
      <c r="O5293" s="2">
        <v>89.2</v>
      </c>
      <c r="P5293" s="2">
        <v>56.38</v>
      </c>
      <c r="Q5293" s="2">
        <v>32.82</v>
      </c>
      <c r="R5293">
        <v>1</v>
      </c>
      <c r="S5293">
        <v>0</v>
      </c>
      <c r="T5293">
        <v>5</v>
      </c>
      <c r="U5293">
        <v>4</v>
      </c>
    </row>
    <row r="5294" spans="1:21" ht="16.5" x14ac:dyDescent="0.3">
      <c r="A5294" t="s">
        <v>5382</v>
      </c>
      <c r="B5294" s="1">
        <v>46013</v>
      </c>
      <c r="C5294">
        <v>2025</v>
      </c>
      <c r="D5294" t="s">
        <v>1738</v>
      </c>
      <c r="E5294" t="s">
        <v>2310</v>
      </c>
      <c r="F5294" t="s">
        <v>31</v>
      </c>
      <c r="G5294" t="s">
        <v>25</v>
      </c>
      <c r="H5294" t="s">
        <v>32</v>
      </c>
      <c r="I5294" t="s">
        <v>42</v>
      </c>
      <c r="J5294" t="s">
        <v>43</v>
      </c>
      <c r="K5294">
        <v>2</v>
      </c>
      <c r="L5294" s="2">
        <v>154.66</v>
      </c>
      <c r="M5294" s="3">
        <v>0.2</v>
      </c>
      <c r="N5294" t="s">
        <v>34</v>
      </c>
      <c r="O5294" s="2">
        <v>247.46</v>
      </c>
      <c r="P5294" s="2">
        <v>202.75</v>
      </c>
      <c r="Q5294" s="2">
        <v>44.71</v>
      </c>
      <c r="R5294">
        <v>1</v>
      </c>
      <c r="S5294">
        <v>0</v>
      </c>
      <c r="T5294">
        <v>5</v>
      </c>
      <c r="U5294">
        <v>5</v>
      </c>
    </row>
    <row r="5295" spans="1:21" ht="16.5" x14ac:dyDescent="0.3">
      <c r="A5295" t="s">
        <v>5383</v>
      </c>
      <c r="B5295" s="1">
        <v>46013</v>
      </c>
      <c r="C5295">
        <v>2025</v>
      </c>
      <c r="D5295" t="s">
        <v>1738</v>
      </c>
      <c r="E5295" t="s">
        <v>2310</v>
      </c>
      <c r="F5295" t="s">
        <v>24</v>
      </c>
      <c r="G5295" t="s">
        <v>51</v>
      </c>
      <c r="H5295" t="s">
        <v>32</v>
      </c>
      <c r="I5295" t="s">
        <v>67</v>
      </c>
      <c r="J5295" t="s">
        <v>68</v>
      </c>
      <c r="K5295">
        <v>1</v>
      </c>
      <c r="L5295" s="2">
        <v>74.459999999999994</v>
      </c>
      <c r="M5295" s="3">
        <v>0.2</v>
      </c>
      <c r="N5295" t="s">
        <v>34</v>
      </c>
      <c r="O5295" s="2">
        <v>59.57</v>
      </c>
      <c r="P5295" s="2">
        <v>47.09</v>
      </c>
      <c r="Q5295" s="2">
        <v>12.48</v>
      </c>
      <c r="R5295">
        <v>1</v>
      </c>
      <c r="S5295">
        <v>1</v>
      </c>
      <c r="T5295">
        <v>4</v>
      </c>
      <c r="U5295">
        <v>4</v>
      </c>
    </row>
    <row r="5296" spans="1:21" ht="16.5" x14ac:dyDescent="0.3">
      <c r="A5296" t="s">
        <v>5384</v>
      </c>
      <c r="B5296" s="1">
        <v>46014</v>
      </c>
      <c r="C5296">
        <v>2025</v>
      </c>
      <c r="D5296" t="s">
        <v>1738</v>
      </c>
      <c r="E5296" t="s">
        <v>2310</v>
      </c>
      <c r="F5296" t="s">
        <v>31</v>
      </c>
      <c r="G5296" t="s">
        <v>49</v>
      </c>
      <c r="H5296" t="s">
        <v>32</v>
      </c>
      <c r="I5296" t="s">
        <v>67</v>
      </c>
      <c r="J5296" t="s">
        <v>93</v>
      </c>
      <c r="K5296">
        <v>1</v>
      </c>
      <c r="L5296" s="2">
        <v>198.42</v>
      </c>
      <c r="M5296" s="3">
        <v>0.3</v>
      </c>
      <c r="N5296" t="s">
        <v>62</v>
      </c>
      <c r="O5296" s="2">
        <v>138.88999999999999</v>
      </c>
      <c r="P5296" s="2">
        <v>139.69</v>
      </c>
      <c r="Q5296" s="2">
        <v>-0.8</v>
      </c>
      <c r="R5296">
        <v>1</v>
      </c>
      <c r="S5296">
        <v>0</v>
      </c>
      <c r="T5296">
        <v>7</v>
      </c>
      <c r="U5296">
        <v>4</v>
      </c>
    </row>
    <row r="5297" spans="1:21" ht="16.5" x14ac:dyDescent="0.3">
      <c r="A5297" t="s">
        <v>5385</v>
      </c>
      <c r="B5297" s="1">
        <v>46014</v>
      </c>
      <c r="C5297">
        <v>2025</v>
      </c>
      <c r="D5297" t="s">
        <v>1738</v>
      </c>
      <c r="E5297" t="s">
        <v>2310</v>
      </c>
      <c r="F5297" t="s">
        <v>24</v>
      </c>
      <c r="G5297" t="s">
        <v>25</v>
      </c>
      <c r="H5297" t="s">
        <v>32</v>
      </c>
      <c r="I5297" t="s">
        <v>67</v>
      </c>
      <c r="J5297" t="s">
        <v>103</v>
      </c>
      <c r="K5297">
        <v>1</v>
      </c>
      <c r="L5297" s="2">
        <v>83.06</v>
      </c>
      <c r="M5297" s="3">
        <v>0.1</v>
      </c>
      <c r="N5297" t="s">
        <v>29</v>
      </c>
      <c r="O5297" s="2">
        <v>74.75</v>
      </c>
      <c r="P5297" s="2">
        <v>56.36</v>
      </c>
      <c r="Q5297" s="2">
        <v>18.39</v>
      </c>
      <c r="R5297">
        <v>1</v>
      </c>
      <c r="S5297">
        <v>0</v>
      </c>
      <c r="T5297">
        <v>5</v>
      </c>
      <c r="U5297">
        <v>4</v>
      </c>
    </row>
    <row r="5298" spans="1:21" ht="16.5" x14ac:dyDescent="0.3">
      <c r="A5298" t="s">
        <v>5386</v>
      </c>
      <c r="B5298" s="1">
        <v>46014</v>
      </c>
      <c r="C5298">
        <v>2025</v>
      </c>
      <c r="D5298" t="s">
        <v>1738</v>
      </c>
      <c r="E5298" t="s">
        <v>2310</v>
      </c>
      <c r="F5298" t="s">
        <v>24</v>
      </c>
      <c r="G5298" t="s">
        <v>49</v>
      </c>
      <c r="H5298" t="s">
        <v>26</v>
      </c>
      <c r="I5298" t="s">
        <v>27</v>
      </c>
      <c r="J5298" t="s">
        <v>40</v>
      </c>
      <c r="K5298">
        <v>2</v>
      </c>
      <c r="L5298" s="2">
        <v>104.94</v>
      </c>
      <c r="M5298" s="3">
        <v>0.2</v>
      </c>
      <c r="N5298" t="s">
        <v>34</v>
      </c>
      <c r="O5298" s="2">
        <v>167.9</v>
      </c>
      <c r="P5298" s="2">
        <v>114.73</v>
      </c>
      <c r="Q5298" s="2">
        <v>53.17</v>
      </c>
      <c r="R5298">
        <v>1</v>
      </c>
      <c r="S5298">
        <v>0</v>
      </c>
      <c r="T5298">
        <v>6</v>
      </c>
      <c r="U5298">
        <v>2</v>
      </c>
    </row>
    <row r="5299" spans="1:21" ht="16.5" x14ac:dyDescent="0.3">
      <c r="A5299" t="s">
        <v>5387</v>
      </c>
      <c r="B5299" s="1">
        <v>46014</v>
      </c>
      <c r="C5299">
        <v>2025</v>
      </c>
      <c r="D5299" t="s">
        <v>1738</v>
      </c>
      <c r="E5299" t="s">
        <v>2310</v>
      </c>
      <c r="F5299" t="s">
        <v>45</v>
      </c>
      <c r="G5299" t="s">
        <v>65</v>
      </c>
      <c r="H5299" t="s">
        <v>26</v>
      </c>
      <c r="I5299" t="s">
        <v>42</v>
      </c>
      <c r="J5299" t="s">
        <v>89</v>
      </c>
      <c r="K5299">
        <v>1</v>
      </c>
      <c r="L5299" s="2">
        <v>68.349999999999994</v>
      </c>
      <c r="M5299" s="3">
        <v>0.2</v>
      </c>
      <c r="N5299" t="s">
        <v>34</v>
      </c>
      <c r="O5299" s="2">
        <v>54.68</v>
      </c>
      <c r="P5299" s="2">
        <v>44.54</v>
      </c>
      <c r="Q5299" s="2">
        <v>10.14</v>
      </c>
      <c r="R5299">
        <v>1</v>
      </c>
      <c r="S5299">
        <v>0</v>
      </c>
      <c r="T5299">
        <v>7</v>
      </c>
      <c r="U5299">
        <v>3</v>
      </c>
    </row>
    <row r="5300" spans="1:21" ht="16.5" x14ac:dyDescent="0.3">
      <c r="A5300" t="s">
        <v>5388</v>
      </c>
      <c r="B5300" s="1">
        <v>46014</v>
      </c>
      <c r="C5300">
        <v>2025</v>
      </c>
      <c r="D5300" t="s">
        <v>1738</v>
      </c>
      <c r="E5300" t="s">
        <v>2310</v>
      </c>
      <c r="F5300" t="s">
        <v>31</v>
      </c>
      <c r="G5300" t="s">
        <v>49</v>
      </c>
      <c r="H5300" t="s">
        <v>32</v>
      </c>
      <c r="I5300" t="s">
        <v>27</v>
      </c>
      <c r="J5300" t="s">
        <v>40</v>
      </c>
      <c r="K5300">
        <v>1</v>
      </c>
      <c r="L5300" s="2">
        <v>104.94</v>
      </c>
      <c r="M5300" s="3">
        <v>0.2</v>
      </c>
      <c r="N5300" t="s">
        <v>34</v>
      </c>
      <c r="O5300" s="2">
        <v>83.95</v>
      </c>
      <c r="P5300" s="2">
        <v>55.98</v>
      </c>
      <c r="Q5300" s="2">
        <v>27.97</v>
      </c>
      <c r="R5300">
        <v>1</v>
      </c>
      <c r="S5300">
        <v>0</v>
      </c>
      <c r="T5300">
        <v>5</v>
      </c>
      <c r="U5300">
        <v>4</v>
      </c>
    </row>
    <row r="5301" spans="1:21" ht="16.5" x14ac:dyDescent="0.3">
      <c r="A5301" t="s">
        <v>5389</v>
      </c>
      <c r="B5301" s="1">
        <v>46014</v>
      </c>
      <c r="C5301">
        <v>2025</v>
      </c>
      <c r="D5301" t="s">
        <v>1738</v>
      </c>
      <c r="E5301" t="s">
        <v>2310</v>
      </c>
      <c r="F5301" t="s">
        <v>24</v>
      </c>
      <c r="G5301" t="s">
        <v>25</v>
      </c>
      <c r="H5301" t="s">
        <v>32</v>
      </c>
      <c r="I5301" t="s">
        <v>70</v>
      </c>
      <c r="J5301" t="s">
        <v>82</v>
      </c>
      <c r="K5301">
        <v>1</v>
      </c>
      <c r="L5301" s="2">
        <v>508.8</v>
      </c>
      <c r="M5301" s="3">
        <v>0.25</v>
      </c>
      <c r="N5301" t="s">
        <v>62</v>
      </c>
      <c r="O5301" s="2">
        <v>381.6</v>
      </c>
      <c r="P5301" s="2">
        <v>394.55</v>
      </c>
      <c r="Q5301" s="2">
        <v>-12.95</v>
      </c>
      <c r="R5301">
        <v>1</v>
      </c>
      <c r="S5301">
        <v>0</v>
      </c>
      <c r="T5301">
        <v>4</v>
      </c>
      <c r="U5301">
        <v>4</v>
      </c>
    </row>
    <row r="5302" spans="1:21" ht="16.5" x14ac:dyDescent="0.3">
      <c r="A5302" t="s">
        <v>5390</v>
      </c>
      <c r="B5302" s="1">
        <v>46014</v>
      </c>
      <c r="C5302">
        <v>2025</v>
      </c>
      <c r="D5302" t="s">
        <v>1738</v>
      </c>
      <c r="E5302" t="s">
        <v>2310</v>
      </c>
      <c r="F5302" t="s">
        <v>24</v>
      </c>
      <c r="G5302" t="s">
        <v>51</v>
      </c>
      <c r="H5302" t="s">
        <v>26</v>
      </c>
      <c r="I5302" t="s">
        <v>27</v>
      </c>
      <c r="J5302" t="s">
        <v>28</v>
      </c>
      <c r="K5302">
        <v>1</v>
      </c>
      <c r="L5302" s="2">
        <v>138.5</v>
      </c>
      <c r="M5302" s="3">
        <v>0.05</v>
      </c>
      <c r="N5302" t="s">
        <v>29</v>
      </c>
      <c r="O5302" s="2">
        <v>131.57</v>
      </c>
      <c r="P5302" s="2">
        <v>75.58</v>
      </c>
      <c r="Q5302" s="2">
        <v>55.99</v>
      </c>
      <c r="R5302">
        <v>1</v>
      </c>
      <c r="S5302">
        <v>0</v>
      </c>
      <c r="T5302">
        <v>3</v>
      </c>
      <c r="U5302">
        <v>5</v>
      </c>
    </row>
    <row r="5303" spans="1:21" ht="16.5" x14ac:dyDescent="0.3">
      <c r="A5303" t="s">
        <v>5391</v>
      </c>
      <c r="B5303" s="1">
        <v>46014</v>
      </c>
      <c r="C5303">
        <v>2025</v>
      </c>
      <c r="D5303" t="s">
        <v>1738</v>
      </c>
      <c r="E5303" t="s">
        <v>2310</v>
      </c>
      <c r="F5303" t="s">
        <v>31</v>
      </c>
      <c r="G5303" t="s">
        <v>65</v>
      </c>
      <c r="H5303" t="s">
        <v>26</v>
      </c>
      <c r="I5303" t="s">
        <v>42</v>
      </c>
      <c r="J5303" t="s">
        <v>76</v>
      </c>
      <c r="K5303">
        <v>2</v>
      </c>
      <c r="L5303" s="2">
        <v>90.75</v>
      </c>
      <c r="M5303" s="3">
        <v>0.05</v>
      </c>
      <c r="N5303" t="s">
        <v>29</v>
      </c>
      <c r="O5303" s="2">
        <v>172.42</v>
      </c>
      <c r="P5303" s="2">
        <v>117.03</v>
      </c>
      <c r="Q5303" s="2">
        <v>55.39</v>
      </c>
      <c r="R5303">
        <v>1</v>
      </c>
      <c r="S5303">
        <v>0</v>
      </c>
      <c r="T5303">
        <v>6</v>
      </c>
      <c r="U5303">
        <v>3</v>
      </c>
    </row>
    <row r="5304" spans="1:21" ht="16.5" x14ac:dyDescent="0.3">
      <c r="A5304" t="s">
        <v>5392</v>
      </c>
      <c r="B5304" s="1">
        <v>46014</v>
      </c>
      <c r="C5304">
        <v>2025</v>
      </c>
      <c r="D5304" t="s">
        <v>1738</v>
      </c>
      <c r="E5304" t="s">
        <v>2310</v>
      </c>
      <c r="F5304" t="s">
        <v>24</v>
      </c>
      <c r="G5304" t="s">
        <v>49</v>
      </c>
      <c r="H5304" t="s">
        <v>32</v>
      </c>
      <c r="I5304" t="s">
        <v>36</v>
      </c>
      <c r="J5304" t="s">
        <v>37</v>
      </c>
      <c r="K5304">
        <v>1</v>
      </c>
      <c r="L5304" s="2">
        <v>33.18</v>
      </c>
      <c r="M5304" s="3">
        <v>0.15</v>
      </c>
      <c r="N5304" t="s">
        <v>34</v>
      </c>
      <c r="O5304" s="2">
        <v>28.2</v>
      </c>
      <c r="P5304" s="2">
        <v>16.11</v>
      </c>
      <c r="Q5304" s="2">
        <v>12.09</v>
      </c>
      <c r="R5304">
        <v>1</v>
      </c>
      <c r="S5304">
        <v>0</v>
      </c>
      <c r="T5304">
        <v>5</v>
      </c>
      <c r="U5304">
        <v>3</v>
      </c>
    </row>
    <row r="5305" spans="1:21" ht="16.5" x14ac:dyDescent="0.3">
      <c r="A5305" t="s">
        <v>5393</v>
      </c>
      <c r="B5305" s="1">
        <v>46014</v>
      </c>
      <c r="C5305">
        <v>2025</v>
      </c>
      <c r="D5305" t="s">
        <v>1738</v>
      </c>
      <c r="E5305" t="s">
        <v>2310</v>
      </c>
      <c r="F5305" t="s">
        <v>45</v>
      </c>
      <c r="G5305" t="s">
        <v>46</v>
      </c>
      <c r="H5305" t="s">
        <v>26</v>
      </c>
      <c r="I5305" t="s">
        <v>42</v>
      </c>
      <c r="J5305" t="s">
        <v>89</v>
      </c>
      <c r="K5305">
        <v>1</v>
      </c>
      <c r="L5305" s="2">
        <v>68.349999999999994</v>
      </c>
      <c r="M5305" s="3">
        <v>0.1</v>
      </c>
      <c r="N5305" t="s">
        <v>29</v>
      </c>
      <c r="O5305" s="2">
        <v>61.51</v>
      </c>
      <c r="P5305" s="2">
        <v>45.23</v>
      </c>
      <c r="Q5305" s="2">
        <v>16.28</v>
      </c>
      <c r="R5305">
        <v>1</v>
      </c>
      <c r="S5305">
        <v>0</v>
      </c>
      <c r="T5305">
        <v>6</v>
      </c>
      <c r="U5305">
        <v>3</v>
      </c>
    </row>
    <row r="5306" spans="1:21" ht="16.5" x14ac:dyDescent="0.3">
      <c r="A5306" t="s">
        <v>5394</v>
      </c>
      <c r="B5306" s="1">
        <v>46015</v>
      </c>
      <c r="C5306">
        <v>2025</v>
      </c>
      <c r="D5306" t="s">
        <v>1738</v>
      </c>
      <c r="E5306" t="s">
        <v>2310</v>
      </c>
      <c r="F5306" t="s">
        <v>24</v>
      </c>
      <c r="G5306" t="s">
        <v>25</v>
      </c>
      <c r="H5306" t="s">
        <v>26</v>
      </c>
      <c r="I5306" t="s">
        <v>42</v>
      </c>
      <c r="J5306" t="s">
        <v>89</v>
      </c>
      <c r="K5306">
        <v>4</v>
      </c>
      <c r="L5306" s="2">
        <v>68.349999999999994</v>
      </c>
      <c r="M5306" s="3">
        <v>0.2</v>
      </c>
      <c r="N5306" t="s">
        <v>34</v>
      </c>
      <c r="O5306" s="2">
        <v>218.72</v>
      </c>
      <c r="P5306" s="2">
        <v>179.5</v>
      </c>
      <c r="Q5306" s="2">
        <v>39.22</v>
      </c>
      <c r="R5306">
        <v>1</v>
      </c>
      <c r="S5306">
        <v>0</v>
      </c>
      <c r="T5306">
        <v>4</v>
      </c>
      <c r="U5306">
        <v>4</v>
      </c>
    </row>
    <row r="5307" spans="1:21" ht="16.5" x14ac:dyDescent="0.3">
      <c r="A5307" t="s">
        <v>5395</v>
      </c>
      <c r="B5307" s="1">
        <v>46015</v>
      </c>
      <c r="C5307">
        <v>2025</v>
      </c>
      <c r="D5307" t="s">
        <v>1738</v>
      </c>
      <c r="E5307" t="s">
        <v>2310</v>
      </c>
      <c r="F5307" t="s">
        <v>31</v>
      </c>
      <c r="G5307" t="s">
        <v>25</v>
      </c>
      <c r="H5307" t="s">
        <v>26</v>
      </c>
      <c r="I5307" t="s">
        <v>27</v>
      </c>
      <c r="J5307" t="s">
        <v>33</v>
      </c>
      <c r="K5307">
        <v>2</v>
      </c>
      <c r="L5307" s="2">
        <v>78.510000000000005</v>
      </c>
      <c r="M5307" s="3">
        <v>0.25</v>
      </c>
      <c r="N5307" t="s">
        <v>62</v>
      </c>
      <c r="O5307" s="2">
        <v>117.77</v>
      </c>
      <c r="P5307" s="2">
        <v>83.88</v>
      </c>
      <c r="Q5307" s="2">
        <v>33.89</v>
      </c>
      <c r="R5307">
        <v>1</v>
      </c>
      <c r="S5307">
        <v>0</v>
      </c>
      <c r="T5307">
        <v>5</v>
      </c>
      <c r="U5307">
        <v>4</v>
      </c>
    </row>
    <row r="5308" spans="1:21" ht="16.5" x14ac:dyDescent="0.3">
      <c r="A5308" t="s">
        <v>5396</v>
      </c>
      <c r="B5308" s="1">
        <v>46015</v>
      </c>
      <c r="C5308">
        <v>2025</v>
      </c>
      <c r="D5308" t="s">
        <v>1738</v>
      </c>
      <c r="E5308" t="s">
        <v>2310</v>
      </c>
      <c r="F5308" t="s">
        <v>31</v>
      </c>
      <c r="G5308" t="s">
        <v>49</v>
      </c>
      <c r="H5308" t="s">
        <v>26</v>
      </c>
      <c r="I5308" t="s">
        <v>36</v>
      </c>
      <c r="J5308" t="s">
        <v>37</v>
      </c>
      <c r="K5308">
        <v>2</v>
      </c>
      <c r="L5308" s="2">
        <v>33.18</v>
      </c>
      <c r="M5308" s="3">
        <v>0.15</v>
      </c>
      <c r="N5308" t="s">
        <v>34</v>
      </c>
      <c r="O5308" s="2">
        <v>56.41</v>
      </c>
      <c r="P5308" s="2">
        <v>30.89</v>
      </c>
      <c r="Q5308" s="2">
        <v>25.52</v>
      </c>
      <c r="R5308">
        <v>1</v>
      </c>
      <c r="S5308">
        <v>0</v>
      </c>
      <c r="T5308">
        <v>4</v>
      </c>
      <c r="U5308">
        <v>5</v>
      </c>
    </row>
    <row r="5309" spans="1:21" ht="16.5" x14ac:dyDescent="0.3">
      <c r="A5309" t="s">
        <v>5397</v>
      </c>
      <c r="B5309" s="1">
        <v>46015</v>
      </c>
      <c r="C5309">
        <v>2025</v>
      </c>
      <c r="D5309" t="s">
        <v>1738</v>
      </c>
      <c r="E5309" t="s">
        <v>2310</v>
      </c>
      <c r="F5309" t="s">
        <v>45</v>
      </c>
      <c r="G5309" t="s">
        <v>51</v>
      </c>
      <c r="H5309" t="s">
        <v>32</v>
      </c>
      <c r="I5309" t="s">
        <v>27</v>
      </c>
      <c r="J5309" t="s">
        <v>110</v>
      </c>
      <c r="K5309">
        <v>1</v>
      </c>
      <c r="L5309" s="2">
        <v>19.41</v>
      </c>
      <c r="M5309" s="3">
        <v>0.3</v>
      </c>
      <c r="N5309" t="s">
        <v>62</v>
      </c>
      <c r="O5309" s="2">
        <v>13.59</v>
      </c>
      <c r="P5309" s="2">
        <v>10.88</v>
      </c>
      <c r="Q5309" s="2">
        <v>2.71</v>
      </c>
      <c r="R5309">
        <v>1</v>
      </c>
      <c r="S5309">
        <v>0</v>
      </c>
      <c r="T5309">
        <v>6</v>
      </c>
      <c r="U5309">
        <v>4</v>
      </c>
    </row>
    <row r="5310" spans="1:21" ht="16.5" x14ac:dyDescent="0.3">
      <c r="A5310" t="s">
        <v>5398</v>
      </c>
      <c r="B5310" s="1">
        <v>46015</v>
      </c>
      <c r="C5310">
        <v>2025</v>
      </c>
      <c r="D5310" t="s">
        <v>1738</v>
      </c>
      <c r="E5310" t="s">
        <v>2310</v>
      </c>
      <c r="F5310" t="s">
        <v>31</v>
      </c>
      <c r="G5310" t="s">
        <v>51</v>
      </c>
      <c r="H5310" t="s">
        <v>32</v>
      </c>
      <c r="I5310" t="s">
        <v>84</v>
      </c>
      <c r="J5310" t="s">
        <v>96</v>
      </c>
      <c r="K5310">
        <v>2</v>
      </c>
      <c r="L5310" s="2">
        <v>10.76</v>
      </c>
      <c r="M5310" s="3">
        <v>0.1</v>
      </c>
      <c r="N5310" t="s">
        <v>29</v>
      </c>
      <c r="O5310" s="2">
        <v>19.37</v>
      </c>
      <c r="P5310" s="2">
        <v>14.94</v>
      </c>
      <c r="Q5310" s="2">
        <v>4.43</v>
      </c>
      <c r="R5310">
        <v>1</v>
      </c>
      <c r="S5310">
        <v>0</v>
      </c>
      <c r="T5310">
        <v>3</v>
      </c>
      <c r="U5310">
        <v>4</v>
      </c>
    </row>
    <row r="5311" spans="1:21" ht="16.5" x14ac:dyDescent="0.3">
      <c r="A5311" t="s">
        <v>5399</v>
      </c>
      <c r="B5311" s="1">
        <v>46015</v>
      </c>
      <c r="C5311">
        <v>2025</v>
      </c>
      <c r="D5311" t="s">
        <v>1738</v>
      </c>
      <c r="E5311" t="s">
        <v>2310</v>
      </c>
      <c r="F5311" t="s">
        <v>31</v>
      </c>
      <c r="G5311" t="s">
        <v>49</v>
      </c>
      <c r="H5311" t="s">
        <v>26</v>
      </c>
      <c r="I5311" t="s">
        <v>70</v>
      </c>
      <c r="J5311" t="s">
        <v>252</v>
      </c>
      <c r="K5311">
        <v>1</v>
      </c>
      <c r="L5311" s="2">
        <v>216.08</v>
      </c>
      <c r="M5311" s="3">
        <v>0.15</v>
      </c>
      <c r="N5311" t="s">
        <v>34</v>
      </c>
      <c r="O5311" s="2">
        <v>183.67</v>
      </c>
      <c r="P5311" s="2">
        <v>170.01</v>
      </c>
      <c r="Q5311" s="2">
        <v>13.66</v>
      </c>
      <c r="R5311">
        <v>1</v>
      </c>
      <c r="S5311">
        <v>0</v>
      </c>
      <c r="T5311">
        <v>5</v>
      </c>
      <c r="U5311">
        <v>3</v>
      </c>
    </row>
    <row r="5312" spans="1:21" ht="16.5" x14ac:dyDescent="0.3">
      <c r="A5312" t="s">
        <v>5400</v>
      </c>
      <c r="B5312" s="1">
        <v>46015</v>
      </c>
      <c r="C5312">
        <v>2025</v>
      </c>
      <c r="D5312" t="s">
        <v>1738</v>
      </c>
      <c r="E5312" t="s">
        <v>2310</v>
      </c>
      <c r="F5312" t="s">
        <v>45</v>
      </c>
      <c r="G5312" t="s">
        <v>25</v>
      </c>
      <c r="H5312" t="s">
        <v>32</v>
      </c>
      <c r="I5312" t="s">
        <v>36</v>
      </c>
      <c r="J5312" t="s">
        <v>52</v>
      </c>
      <c r="K5312">
        <v>2</v>
      </c>
      <c r="L5312" s="2">
        <v>92.54</v>
      </c>
      <c r="M5312" s="3">
        <v>0.15</v>
      </c>
      <c r="N5312" t="s">
        <v>34</v>
      </c>
      <c r="O5312" s="2">
        <v>157.32</v>
      </c>
      <c r="P5312" s="2">
        <v>84.04</v>
      </c>
      <c r="Q5312" s="2">
        <v>73.28</v>
      </c>
      <c r="R5312">
        <v>1</v>
      </c>
      <c r="S5312">
        <v>1</v>
      </c>
      <c r="T5312">
        <v>6</v>
      </c>
      <c r="U5312">
        <v>3</v>
      </c>
    </row>
    <row r="5313" spans="1:21" ht="16.5" x14ac:dyDescent="0.3">
      <c r="A5313" t="s">
        <v>5401</v>
      </c>
      <c r="B5313" s="1">
        <v>46015</v>
      </c>
      <c r="C5313">
        <v>2025</v>
      </c>
      <c r="D5313" t="s">
        <v>1738</v>
      </c>
      <c r="E5313" t="s">
        <v>2310</v>
      </c>
      <c r="F5313" t="s">
        <v>24</v>
      </c>
      <c r="G5313" t="s">
        <v>25</v>
      </c>
      <c r="H5313" t="s">
        <v>32</v>
      </c>
      <c r="I5313" t="s">
        <v>27</v>
      </c>
      <c r="J5313" t="s">
        <v>28</v>
      </c>
      <c r="K5313">
        <v>1</v>
      </c>
      <c r="L5313" s="2">
        <v>138.5</v>
      </c>
      <c r="M5313" s="3">
        <v>0.15</v>
      </c>
      <c r="N5313" t="s">
        <v>34</v>
      </c>
      <c r="O5313" s="2">
        <v>117.72</v>
      </c>
      <c r="P5313" s="2">
        <v>74.09</v>
      </c>
      <c r="Q5313" s="2">
        <v>43.63</v>
      </c>
      <c r="R5313">
        <v>1</v>
      </c>
      <c r="S5313">
        <v>0</v>
      </c>
      <c r="T5313">
        <v>4</v>
      </c>
      <c r="U5313">
        <v>3</v>
      </c>
    </row>
    <row r="5314" spans="1:21" ht="16.5" x14ac:dyDescent="0.3">
      <c r="A5314" t="s">
        <v>5402</v>
      </c>
      <c r="B5314" s="1">
        <v>46015</v>
      </c>
      <c r="C5314">
        <v>2025</v>
      </c>
      <c r="D5314" t="s">
        <v>1738</v>
      </c>
      <c r="E5314" t="s">
        <v>2310</v>
      </c>
      <c r="F5314" t="s">
        <v>45</v>
      </c>
      <c r="G5314" t="s">
        <v>51</v>
      </c>
      <c r="H5314" t="s">
        <v>32</v>
      </c>
      <c r="I5314" t="s">
        <v>67</v>
      </c>
      <c r="J5314" t="s">
        <v>103</v>
      </c>
      <c r="K5314">
        <v>3</v>
      </c>
      <c r="L5314" s="2">
        <v>83.06</v>
      </c>
      <c r="M5314" s="3">
        <v>0.2</v>
      </c>
      <c r="N5314" t="s">
        <v>34</v>
      </c>
      <c r="O5314" s="2">
        <v>199.34</v>
      </c>
      <c r="P5314" s="2">
        <v>168.24</v>
      </c>
      <c r="Q5314" s="2">
        <v>31.1</v>
      </c>
      <c r="R5314">
        <v>1</v>
      </c>
      <c r="S5314">
        <v>0</v>
      </c>
      <c r="T5314">
        <v>3</v>
      </c>
      <c r="U5314">
        <v>5</v>
      </c>
    </row>
    <row r="5315" spans="1:21" ht="16.5" x14ac:dyDescent="0.3">
      <c r="A5315" t="s">
        <v>5403</v>
      </c>
      <c r="B5315" s="1">
        <v>46015</v>
      </c>
      <c r="C5315">
        <v>2025</v>
      </c>
      <c r="D5315" t="s">
        <v>1738</v>
      </c>
      <c r="E5315" t="s">
        <v>2310</v>
      </c>
      <c r="F5315" t="s">
        <v>31</v>
      </c>
      <c r="G5315" t="s">
        <v>25</v>
      </c>
      <c r="H5315" t="s">
        <v>26</v>
      </c>
      <c r="I5315" t="s">
        <v>27</v>
      </c>
      <c r="J5315" t="s">
        <v>40</v>
      </c>
      <c r="K5315">
        <v>1</v>
      </c>
      <c r="L5315" s="2">
        <v>104.94</v>
      </c>
      <c r="M5315" s="3">
        <v>0.1</v>
      </c>
      <c r="N5315" t="s">
        <v>29</v>
      </c>
      <c r="O5315" s="2">
        <v>94.45</v>
      </c>
      <c r="P5315" s="2">
        <v>56.98</v>
      </c>
      <c r="Q5315" s="2">
        <v>37.47</v>
      </c>
      <c r="R5315">
        <v>1</v>
      </c>
      <c r="S5315">
        <v>0</v>
      </c>
      <c r="T5315">
        <v>6</v>
      </c>
      <c r="U5315">
        <v>3</v>
      </c>
    </row>
    <row r="5316" spans="1:21" ht="16.5" x14ac:dyDescent="0.3">
      <c r="A5316" t="s">
        <v>5404</v>
      </c>
      <c r="B5316" s="1">
        <v>46015</v>
      </c>
      <c r="C5316">
        <v>2025</v>
      </c>
      <c r="D5316" t="s">
        <v>1738</v>
      </c>
      <c r="E5316" t="s">
        <v>2310</v>
      </c>
      <c r="F5316" t="s">
        <v>24</v>
      </c>
      <c r="G5316" t="s">
        <v>49</v>
      </c>
      <c r="H5316" t="s">
        <v>32</v>
      </c>
      <c r="I5316" t="s">
        <v>70</v>
      </c>
      <c r="J5316" t="s">
        <v>252</v>
      </c>
      <c r="K5316">
        <v>1</v>
      </c>
      <c r="L5316" s="2">
        <v>216.08</v>
      </c>
      <c r="M5316" s="3">
        <v>0.1</v>
      </c>
      <c r="N5316" t="s">
        <v>29</v>
      </c>
      <c r="O5316" s="2">
        <v>194.47</v>
      </c>
      <c r="P5316" s="2">
        <v>162.34</v>
      </c>
      <c r="Q5316" s="2">
        <v>32.130000000000003</v>
      </c>
      <c r="R5316">
        <v>1</v>
      </c>
      <c r="S5316">
        <v>0</v>
      </c>
      <c r="T5316">
        <v>4</v>
      </c>
      <c r="U5316">
        <v>4</v>
      </c>
    </row>
    <row r="5317" spans="1:21" ht="16.5" x14ac:dyDescent="0.3">
      <c r="A5317" t="s">
        <v>5405</v>
      </c>
      <c r="B5317" s="1">
        <v>46015</v>
      </c>
      <c r="C5317">
        <v>2025</v>
      </c>
      <c r="D5317" t="s">
        <v>1738</v>
      </c>
      <c r="E5317" t="s">
        <v>2310</v>
      </c>
      <c r="F5317" t="s">
        <v>24</v>
      </c>
      <c r="G5317" t="s">
        <v>49</v>
      </c>
      <c r="H5317" t="s">
        <v>26</v>
      </c>
      <c r="I5317" t="s">
        <v>84</v>
      </c>
      <c r="J5317" t="s">
        <v>106</v>
      </c>
      <c r="K5317">
        <v>2</v>
      </c>
      <c r="L5317" s="2">
        <v>45.28</v>
      </c>
      <c r="M5317" s="3">
        <v>0</v>
      </c>
      <c r="N5317" t="s">
        <v>38</v>
      </c>
      <c r="O5317" s="2">
        <v>90.56</v>
      </c>
      <c r="P5317" s="2">
        <v>65.05</v>
      </c>
      <c r="Q5317" s="2">
        <v>25.51</v>
      </c>
      <c r="R5317">
        <v>1</v>
      </c>
      <c r="S5317">
        <v>0</v>
      </c>
      <c r="T5317">
        <v>5</v>
      </c>
      <c r="U5317">
        <v>4</v>
      </c>
    </row>
    <row r="5318" spans="1:21" ht="16.5" x14ac:dyDescent="0.3">
      <c r="A5318" t="s">
        <v>5406</v>
      </c>
      <c r="B5318" s="1">
        <v>46015</v>
      </c>
      <c r="C5318">
        <v>2025</v>
      </c>
      <c r="D5318" t="s">
        <v>1738</v>
      </c>
      <c r="E5318" t="s">
        <v>2310</v>
      </c>
      <c r="F5318" t="s">
        <v>45</v>
      </c>
      <c r="G5318" t="s">
        <v>49</v>
      </c>
      <c r="H5318" t="s">
        <v>32</v>
      </c>
      <c r="I5318" t="s">
        <v>36</v>
      </c>
      <c r="J5318" t="s">
        <v>37</v>
      </c>
      <c r="K5318">
        <v>1</v>
      </c>
      <c r="L5318" s="2">
        <v>33.18</v>
      </c>
      <c r="M5318" s="3">
        <v>0.05</v>
      </c>
      <c r="N5318" t="s">
        <v>29</v>
      </c>
      <c r="O5318" s="2">
        <v>31.52</v>
      </c>
      <c r="P5318" s="2">
        <v>15.83</v>
      </c>
      <c r="Q5318" s="2">
        <v>15.69</v>
      </c>
      <c r="R5318">
        <v>1</v>
      </c>
      <c r="S5318">
        <v>0</v>
      </c>
      <c r="T5318">
        <v>6</v>
      </c>
      <c r="U5318">
        <v>3</v>
      </c>
    </row>
    <row r="5319" spans="1:21" ht="16.5" x14ac:dyDescent="0.3">
      <c r="A5319" t="s">
        <v>5407</v>
      </c>
      <c r="B5319" s="1">
        <v>46015</v>
      </c>
      <c r="C5319">
        <v>2025</v>
      </c>
      <c r="D5319" t="s">
        <v>1738</v>
      </c>
      <c r="E5319" t="s">
        <v>2310</v>
      </c>
      <c r="F5319" t="s">
        <v>24</v>
      </c>
      <c r="G5319" t="s">
        <v>49</v>
      </c>
      <c r="H5319" t="s">
        <v>32</v>
      </c>
      <c r="I5319" t="s">
        <v>27</v>
      </c>
      <c r="J5319" t="s">
        <v>28</v>
      </c>
      <c r="K5319">
        <v>1</v>
      </c>
      <c r="L5319" s="2">
        <v>138.5</v>
      </c>
      <c r="M5319" s="3">
        <v>0.2</v>
      </c>
      <c r="N5319" t="s">
        <v>34</v>
      </c>
      <c r="O5319" s="2">
        <v>110.8</v>
      </c>
      <c r="P5319" s="2">
        <v>73.05</v>
      </c>
      <c r="Q5319" s="2">
        <v>37.75</v>
      </c>
      <c r="R5319">
        <v>1</v>
      </c>
      <c r="S5319">
        <v>0</v>
      </c>
      <c r="T5319">
        <v>5</v>
      </c>
      <c r="U5319">
        <v>3</v>
      </c>
    </row>
    <row r="5320" spans="1:21" ht="16.5" x14ac:dyDescent="0.3">
      <c r="A5320" t="s">
        <v>5408</v>
      </c>
      <c r="B5320" s="1">
        <v>46015</v>
      </c>
      <c r="C5320">
        <v>2025</v>
      </c>
      <c r="D5320" t="s">
        <v>1738</v>
      </c>
      <c r="E5320" t="s">
        <v>2310</v>
      </c>
      <c r="F5320" t="s">
        <v>45</v>
      </c>
      <c r="G5320" t="s">
        <v>65</v>
      </c>
      <c r="H5320" t="s">
        <v>32</v>
      </c>
      <c r="I5320" t="s">
        <v>42</v>
      </c>
      <c r="J5320" t="s">
        <v>54</v>
      </c>
      <c r="K5320">
        <v>1</v>
      </c>
      <c r="L5320" s="2">
        <v>148.05000000000001</v>
      </c>
      <c r="M5320" s="3">
        <v>0.2</v>
      </c>
      <c r="N5320" t="s">
        <v>34</v>
      </c>
      <c r="O5320" s="2">
        <v>118.44</v>
      </c>
      <c r="P5320" s="2">
        <v>93.83</v>
      </c>
      <c r="Q5320" s="2">
        <v>24.61</v>
      </c>
      <c r="R5320">
        <v>1</v>
      </c>
      <c r="S5320">
        <v>0</v>
      </c>
      <c r="T5320">
        <v>8</v>
      </c>
      <c r="U5320">
        <v>3</v>
      </c>
    </row>
    <row r="5321" spans="1:21" ht="16.5" x14ac:dyDescent="0.3">
      <c r="A5321" t="s">
        <v>5409</v>
      </c>
      <c r="B5321" s="1">
        <v>46015</v>
      </c>
      <c r="C5321">
        <v>2025</v>
      </c>
      <c r="D5321" t="s">
        <v>1738</v>
      </c>
      <c r="E5321" t="s">
        <v>2310</v>
      </c>
      <c r="F5321" t="s">
        <v>31</v>
      </c>
      <c r="G5321" t="s">
        <v>51</v>
      </c>
      <c r="H5321" t="s">
        <v>32</v>
      </c>
      <c r="I5321" t="s">
        <v>84</v>
      </c>
      <c r="J5321" t="s">
        <v>85</v>
      </c>
      <c r="K5321">
        <v>1</v>
      </c>
      <c r="L5321" s="2">
        <v>57.92</v>
      </c>
      <c r="M5321" s="3">
        <v>0.2</v>
      </c>
      <c r="N5321" t="s">
        <v>34</v>
      </c>
      <c r="O5321" s="2">
        <v>46.34</v>
      </c>
      <c r="P5321" s="2">
        <v>40.6</v>
      </c>
      <c r="Q5321" s="2">
        <v>5.74</v>
      </c>
      <c r="R5321">
        <v>1</v>
      </c>
      <c r="S5321">
        <v>0</v>
      </c>
      <c r="T5321">
        <v>3</v>
      </c>
      <c r="U5321">
        <v>4</v>
      </c>
    </row>
    <row r="5322" spans="1:21" ht="16.5" x14ac:dyDescent="0.3">
      <c r="A5322" t="s">
        <v>5410</v>
      </c>
      <c r="B5322" s="1">
        <v>46015</v>
      </c>
      <c r="C5322">
        <v>2025</v>
      </c>
      <c r="D5322" t="s">
        <v>1738</v>
      </c>
      <c r="E5322" t="s">
        <v>2310</v>
      </c>
      <c r="F5322" t="s">
        <v>45</v>
      </c>
      <c r="G5322" t="s">
        <v>65</v>
      </c>
      <c r="H5322" t="s">
        <v>32</v>
      </c>
      <c r="I5322" t="s">
        <v>27</v>
      </c>
      <c r="J5322" t="s">
        <v>110</v>
      </c>
      <c r="K5322">
        <v>1</v>
      </c>
      <c r="L5322" s="2">
        <v>19.41</v>
      </c>
      <c r="M5322" s="3">
        <v>0.25</v>
      </c>
      <c r="N5322" t="s">
        <v>62</v>
      </c>
      <c r="O5322" s="2">
        <v>14.56</v>
      </c>
      <c r="P5322" s="2">
        <v>11.14</v>
      </c>
      <c r="Q5322" s="2">
        <v>3.42</v>
      </c>
      <c r="R5322">
        <v>1</v>
      </c>
      <c r="S5322">
        <v>0</v>
      </c>
      <c r="T5322">
        <v>7</v>
      </c>
      <c r="U5322">
        <v>5</v>
      </c>
    </row>
    <row r="5323" spans="1:21" ht="16.5" x14ac:dyDescent="0.3">
      <c r="A5323" t="s">
        <v>5411</v>
      </c>
      <c r="B5323" s="1">
        <v>46015</v>
      </c>
      <c r="C5323">
        <v>2025</v>
      </c>
      <c r="D5323" t="s">
        <v>1738</v>
      </c>
      <c r="E5323" t="s">
        <v>2310</v>
      </c>
      <c r="F5323" t="s">
        <v>31</v>
      </c>
      <c r="G5323" t="s">
        <v>49</v>
      </c>
      <c r="H5323" t="s">
        <v>26</v>
      </c>
      <c r="I5323" t="s">
        <v>27</v>
      </c>
      <c r="J5323" t="s">
        <v>28</v>
      </c>
      <c r="K5323">
        <v>2</v>
      </c>
      <c r="L5323" s="2">
        <v>138.5</v>
      </c>
      <c r="M5323" s="3">
        <v>0.1</v>
      </c>
      <c r="N5323" t="s">
        <v>29</v>
      </c>
      <c r="O5323" s="2">
        <v>249.3</v>
      </c>
      <c r="P5323" s="2">
        <v>139.88999999999999</v>
      </c>
      <c r="Q5323" s="2">
        <v>109.41</v>
      </c>
      <c r="R5323">
        <v>1</v>
      </c>
      <c r="S5323">
        <v>1</v>
      </c>
      <c r="T5323">
        <v>5</v>
      </c>
      <c r="U5323">
        <v>2</v>
      </c>
    </row>
    <row r="5324" spans="1:21" ht="16.5" x14ac:dyDescent="0.3">
      <c r="A5324" t="s">
        <v>5412</v>
      </c>
      <c r="B5324" s="1">
        <v>46015</v>
      </c>
      <c r="C5324">
        <v>2025</v>
      </c>
      <c r="D5324" t="s">
        <v>1738</v>
      </c>
      <c r="E5324" t="s">
        <v>2310</v>
      </c>
      <c r="F5324" t="s">
        <v>24</v>
      </c>
      <c r="G5324" t="s">
        <v>65</v>
      </c>
      <c r="H5324" t="s">
        <v>26</v>
      </c>
      <c r="I5324" t="s">
        <v>42</v>
      </c>
      <c r="J5324" t="s">
        <v>54</v>
      </c>
      <c r="K5324">
        <v>2</v>
      </c>
      <c r="L5324" s="2">
        <v>148.05000000000001</v>
      </c>
      <c r="M5324" s="3">
        <v>0.2</v>
      </c>
      <c r="N5324" t="s">
        <v>34</v>
      </c>
      <c r="O5324" s="2">
        <v>236.88</v>
      </c>
      <c r="P5324" s="2">
        <v>202.05</v>
      </c>
      <c r="Q5324" s="2">
        <v>34.83</v>
      </c>
      <c r="R5324">
        <v>1</v>
      </c>
      <c r="S5324">
        <v>0</v>
      </c>
      <c r="T5324">
        <v>7</v>
      </c>
      <c r="U5324">
        <v>4</v>
      </c>
    </row>
    <row r="5325" spans="1:21" ht="16.5" x14ac:dyDescent="0.3">
      <c r="A5325" t="s">
        <v>5413</v>
      </c>
      <c r="B5325" s="1">
        <v>46015</v>
      </c>
      <c r="C5325">
        <v>2025</v>
      </c>
      <c r="D5325" t="s">
        <v>1738</v>
      </c>
      <c r="E5325" t="s">
        <v>2310</v>
      </c>
      <c r="F5325" t="s">
        <v>45</v>
      </c>
      <c r="G5325" t="s">
        <v>25</v>
      </c>
      <c r="H5325" t="s">
        <v>26</v>
      </c>
      <c r="I5325" t="s">
        <v>27</v>
      </c>
      <c r="J5325" t="s">
        <v>33</v>
      </c>
      <c r="K5325">
        <v>1</v>
      </c>
      <c r="L5325" s="2">
        <v>78.510000000000005</v>
      </c>
      <c r="M5325" s="3">
        <v>0.2</v>
      </c>
      <c r="N5325" t="s">
        <v>34</v>
      </c>
      <c r="O5325" s="2">
        <v>62.81</v>
      </c>
      <c r="P5325" s="2">
        <v>45.43</v>
      </c>
      <c r="Q5325" s="2">
        <v>17.38</v>
      </c>
      <c r="R5325">
        <v>1</v>
      </c>
      <c r="S5325">
        <v>0</v>
      </c>
      <c r="T5325">
        <v>5</v>
      </c>
      <c r="U5325">
        <v>4</v>
      </c>
    </row>
    <row r="5326" spans="1:21" ht="16.5" x14ac:dyDescent="0.3">
      <c r="A5326" t="s">
        <v>5414</v>
      </c>
      <c r="B5326" s="1">
        <v>46016</v>
      </c>
      <c r="C5326">
        <v>2025</v>
      </c>
      <c r="D5326" t="s">
        <v>1738</v>
      </c>
      <c r="E5326" t="s">
        <v>2310</v>
      </c>
      <c r="F5326" t="s">
        <v>31</v>
      </c>
      <c r="G5326" t="s">
        <v>49</v>
      </c>
      <c r="H5326" t="s">
        <v>26</v>
      </c>
      <c r="I5326" t="s">
        <v>70</v>
      </c>
      <c r="J5326" t="s">
        <v>252</v>
      </c>
      <c r="K5326">
        <v>2</v>
      </c>
      <c r="L5326" s="2">
        <v>216.08</v>
      </c>
      <c r="M5326" s="3">
        <v>0.2</v>
      </c>
      <c r="N5326" t="s">
        <v>34</v>
      </c>
      <c r="O5326" s="2">
        <v>345.73</v>
      </c>
      <c r="P5326" s="2">
        <v>342.43</v>
      </c>
      <c r="Q5326" s="2">
        <v>3.3</v>
      </c>
      <c r="R5326">
        <v>1</v>
      </c>
      <c r="S5326">
        <v>0</v>
      </c>
      <c r="T5326">
        <v>5</v>
      </c>
      <c r="U5326">
        <v>4</v>
      </c>
    </row>
    <row r="5327" spans="1:21" ht="16.5" x14ac:dyDescent="0.3">
      <c r="A5327" t="s">
        <v>5415</v>
      </c>
      <c r="B5327" s="1">
        <v>46016</v>
      </c>
      <c r="C5327">
        <v>2025</v>
      </c>
      <c r="D5327" t="s">
        <v>1738</v>
      </c>
      <c r="E5327" t="s">
        <v>2310</v>
      </c>
      <c r="F5327" t="s">
        <v>24</v>
      </c>
      <c r="G5327" t="s">
        <v>49</v>
      </c>
      <c r="H5327" t="s">
        <v>32</v>
      </c>
      <c r="I5327" t="s">
        <v>27</v>
      </c>
      <c r="J5327" t="s">
        <v>47</v>
      </c>
      <c r="K5327">
        <v>2</v>
      </c>
      <c r="L5327" s="2">
        <v>33.99</v>
      </c>
      <c r="M5327" s="3">
        <v>0.3</v>
      </c>
      <c r="N5327" t="s">
        <v>62</v>
      </c>
      <c r="O5327" s="2">
        <v>47.59</v>
      </c>
      <c r="P5327" s="2">
        <v>39.22</v>
      </c>
      <c r="Q5327" s="2">
        <v>8.3699999999999992</v>
      </c>
      <c r="R5327">
        <v>1</v>
      </c>
      <c r="S5327">
        <v>0</v>
      </c>
      <c r="T5327">
        <v>5</v>
      </c>
      <c r="U5327">
        <v>5</v>
      </c>
    </row>
    <row r="5328" spans="1:21" ht="16.5" x14ac:dyDescent="0.3">
      <c r="A5328" t="s">
        <v>5416</v>
      </c>
      <c r="B5328" s="1">
        <v>46016</v>
      </c>
      <c r="C5328">
        <v>2025</v>
      </c>
      <c r="D5328" t="s">
        <v>1738</v>
      </c>
      <c r="E5328" t="s">
        <v>2310</v>
      </c>
      <c r="F5328" t="s">
        <v>45</v>
      </c>
      <c r="G5328" t="s">
        <v>49</v>
      </c>
      <c r="H5328" t="s">
        <v>32</v>
      </c>
      <c r="I5328" t="s">
        <v>27</v>
      </c>
      <c r="J5328" t="s">
        <v>60</v>
      </c>
      <c r="K5328">
        <v>1</v>
      </c>
      <c r="L5328" s="2">
        <v>94.85</v>
      </c>
      <c r="M5328" s="3">
        <v>0</v>
      </c>
      <c r="N5328" t="s">
        <v>38</v>
      </c>
      <c r="O5328" s="2">
        <v>94.85</v>
      </c>
      <c r="P5328" s="2">
        <v>51.54</v>
      </c>
      <c r="Q5328" s="2">
        <v>43.31</v>
      </c>
      <c r="R5328">
        <v>1</v>
      </c>
      <c r="S5328">
        <v>0</v>
      </c>
      <c r="T5328">
        <v>5</v>
      </c>
      <c r="U5328">
        <v>5</v>
      </c>
    </row>
    <row r="5329" spans="1:21" ht="16.5" x14ac:dyDescent="0.3">
      <c r="A5329" t="s">
        <v>5417</v>
      </c>
      <c r="B5329" s="1">
        <v>46016</v>
      </c>
      <c r="C5329">
        <v>2025</v>
      </c>
      <c r="D5329" t="s">
        <v>1738</v>
      </c>
      <c r="E5329" t="s">
        <v>2310</v>
      </c>
      <c r="F5329" t="s">
        <v>24</v>
      </c>
      <c r="G5329" t="s">
        <v>25</v>
      </c>
      <c r="H5329" t="s">
        <v>26</v>
      </c>
      <c r="I5329" t="s">
        <v>84</v>
      </c>
      <c r="J5329" t="s">
        <v>132</v>
      </c>
      <c r="K5329">
        <v>1</v>
      </c>
      <c r="L5329" s="2">
        <v>48.86</v>
      </c>
      <c r="M5329" s="3">
        <v>0.2</v>
      </c>
      <c r="N5329" t="s">
        <v>34</v>
      </c>
      <c r="O5329" s="2">
        <v>39.090000000000003</v>
      </c>
      <c r="P5329" s="2">
        <v>33.58</v>
      </c>
      <c r="Q5329" s="2">
        <v>5.51</v>
      </c>
      <c r="R5329">
        <v>1</v>
      </c>
      <c r="S5329">
        <v>0</v>
      </c>
      <c r="T5329">
        <v>5</v>
      </c>
      <c r="U5329">
        <v>4</v>
      </c>
    </row>
    <row r="5330" spans="1:21" ht="16.5" x14ac:dyDescent="0.3">
      <c r="A5330" t="s">
        <v>5418</v>
      </c>
      <c r="B5330" s="1">
        <v>46016</v>
      </c>
      <c r="C5330">
        <v>2025</v>
      </c>
      <c r="D5330" t="s">
        <v>1738</v>
      </c>
      <c r="E5330" t="s">
        <v>2310</v>
      </c>
      <c r="F5330" t="s">
        <v>45</v>
      </c>
      <c r="G5330" t="s">
        <v>51</v>
      </c>
      <c r="H5330" t="s">
        <v>26</v>
      </c>
      <c r="I5330" t="s">
        <v>67</v>
      </c>
      <c r="J5330" t="s">
        <v>93</v>
      </c>
      <c r="K5330">
        <v>1</v>
      </c>
      <c r="L5330" s="2">
        <v>198.42</v>
      </c>
      <c r="M5330" s="3">
        <v>0.15</v>
      </c>
      <c r="N5330" t="s">
        <v>34</v>
      </c>
      <c r="O5330" s="2">
        <v>168.66</v>
      </c>
      <c r="P5330" s="2">
        <v>135.12</v>
      </c>
      <c r="Q5330" s="2">
        <v>33.54</v>
      </c>
      <c r="R5330">
        <v>1</v>
      </c>
      <c r="S5330">
        <v>0</v>
      </c>
      <c r="T5330">
        <v>4</v>
      </c>
      <c r="U5330">
        <v>4</v>
      </c>
    </row>
    <row r="5331" spans="1:21" ht="16.5" x14ac:dyDescent="0.3">
      <c r="A5331" t="s">
        <v>5419</v>
      </c>
      <c r="B5331" s="1">
        <v>46016</v>
      </c>
      <c r="C5331">
        <v>2025</v>
      </c>
      <c r="D5331" t="s">
        <v>1738</v>
      </c>
      <c r="E5331" t="s">
        <v>2310</v>
      </c>
      <c r="F5331" t="s">
        <v>31</v>
      </c>
      <c r="G5331" t="s">
        <v>49</v>
      </c>
      <c r="H5331" t="s">
        <v>26</v>
      </c>
      <c r="I5331" t="s">
        <v>36</v>
      </c>
      <c r="J5331" t="s">
        <v>115</v>
      </c>
      <c r="K5331">
        <v>1</v>
      </c>
      <c r="L5331" s="2">
        <v>33.479999999999997</v>
      </c>
      <c r="M5331" s="3">
        <v>0</v>
      </c>
      <c r="N5331" t="s">
        <v>38</v>
      </c>
      <c r="O5331" s="2">
        <v>33.479999999999997</v>
      </c>
      <c r="P5331" s="2">
        <v>16.64</v>
      </c>
      <c r="Q5331" s="2">
        <v>16.84</v>
      </c>
      <c r="R5331">
        <v>1</v>
      </c>
      <c r="S5331">
        <v>0</v>
      </c>
      <c r="T5331">
        <v>5</v>
      </c>
      <c r="U5331">
        <v>5</v>
      </c>
    </row>
    <row r="5332" spans="1:21" ht="16.5" x14ac:dyDescent="0.3">
      <c r="A5332" t="s">
        <v>5420</v>
      </c>
      <c r="B5332" s="1">
        <v>46016</v>
      </c>
      <c r="C5332">
        <v>2025</v>
      </c>
      <c r="D5332" t="s">
        <v>1738</v>
      </c>
      <c r="E5332" t="s">
        <v>2310</v>
      </c>
      <c r="F5332" t="s">
        <v>24</v>
      </c>
      <c r="G5332" t="s">
        <v>65</v>
      </c>
      <c r="H5332" t="s">
        <v>32</v>
      </c>
      <c r="I5332" t="s">
        <v>42</v>
      </c>
      <c r="J5332" t="s">
        <v>76</v>
      </c>
      <c r="K5332">
        <v>1</v>
      </c>
      <c r="L5332" s="2">
        <v>90.75</v>
      </c>
      <c r="M5332" s="3">
        <v>0.2</v>
      </c>
      <c r="N5332" t="s">
        <v>34</v>
      </c>
      <c r="O5332" s="2">
        <v>72.599999999999994</v>
      </c>
      <c r="P5332" s="2">
        <v>59.31</v>
      </c>
      <c r="Q5332" s="2">
        <v>13.29</v>
      </c>
      <c r="R5332">
        <v>1</v>
      </c>
      <c r="S5332">
        <v>0</v>
      </c>
      <c r="T5332">
        <v>7</v>
      </c>
      <c r="U5332">
        <v>3</v>
      </c>
    </row>
    <row r="5333" spans="1:21" ht="16.5" x14ac:dyDescent="0.3">
      <c r="A5333" t="s">
        <v>5421</v>
      </c>
      <c r="B5333" s="1">
        <v>46016</v>
      </c>
      <c r="C5333">
        <v>2025</v>
      </c>
      <c r="D5333" t="s">
        <v>1738</v>
      </c>
      <c r="E5333" t="s">
        <v>2310</v>
      </c>
      <c r="F5333" t="s">
        <v>45</v>
      </c>
      <c r="G5333" t="s">
        <v>51</v>
      </c>
      <c r="H5333" t="s">
        <v>32</v>
      </c>
      <c r="I5333" t="s">
        <v>27</v>
      </c>
      <c r="J5333" t="s">
        <v>28</v>
      </c>
      <c r="K5333">
        <v>1</v>
      </c>
      <c r="L5333" s="2">
        <v>138.5</v>
      </c>
      <c r="M5333" s="3">
        <v>0.25</v>
      </c>
      <c r="N5333" t="s">
        <v>62</v>
      </c>
      <c r="O5333" s="2">
        <v>103.88</v>
      </c>
      <c r="P5333" s="2">
        <v>69.61</v>
      </c>
      <c r="Q5333" s="2">
        <v>34.270000000000003</v>
      </c>
      <c r="R5333">
        <v>1</v>
      </c>
      <c r="S5333">
        <v>0</v>
      </c>
      <c r="T5333">
        <v>5</v>
      </c>
      <c r="U5333">
        <v>5</v>
      </c>
    </row>
    <row r="5334" spans="1:21" ht="16.5" x14ac:dyDescent="0.3">
      <c r="A5334" t="s">
        <v>5422</v>
      </c>
      <c r="B5334" s="1">
        <v>46016</v>
      </c>
      <c r="C5334">
        <v>2025</v>
      </c>
      <c r="D5334" t="s">
        <v>1738</v>
      </c>
      <c r="E5334" t="s">
        <v>2310</v>
      </c>
      <c r="F5334" t="s">
        <v>31</v>
      </c>
      <c r="G5334" t="s">
        <v>51</v>
      </c>
      <c r="H5334" t="s">
        <v>32</v>
      </c>
      <c r="I5334" t="s">
        <v>70</v>
      </c>
      <c r="J5334" t="s">
        <v>129</v>
      </c>
      <c r="K5334">
        <v>3</v>
      </c>
      <c r="L5334" s="2">
        <v>177.65</v>
      </c>
      <c r="M5334" s="3">
        <v>0.05</v>
      </c>
      <c r="N5334" t="s">
        <v>29</v>
      </c>
      <c r="O5334" s="2">
        <v>506.3</v>
      </c>
      <c r="P5334" s="2">
        <v>420.84</v>
      </c>
      <c r="Q5334" s="2">
        <v>85.46</v>
      </c>
      <c r="R5334">
        <v>1</v>
      </c>
      <c r="S5334">
        <v>1</v>
      </c>
      <c r="T5334">
        <v>5</v>
      </c>
      <c r="U5334">
        <v>3</v>
      </c>
    </row>
    <row r="5335" spans="1:21" ht="16.5" x14ac:dyDescent="0.3">
      <c r="A5335" t="s">
        <v>5423</v>
      </c>
      <c r="B5335" s="1">
        <v>46017</v>
      </c>
      <c r="C5335">
        <v>2025</v>
      </c>
      <c r="D5335" t="s">
        <v>1738</v>
      </c>
      <c r="E5335" t="s">
        <v>2310</v>
      </c>
      <c r="F5335" t="s">
        <v>31</v>
      </c>
      <c r="G5335" t="s">
        <v>49</v>
      </c>
      <c r="H5335" t="s">
        <v>32</v>
      </c>
      <c r="I5335" t="s">
        <v>67</v>
      </c>
      <c r="J5335" t="s">
        <v>174</v>
      </c>
      <c r="K5335">
        <v>1</v>
      </c>
      <c r="L5335" s="2">
        <v>137.05000000000001</v>
      </c>
      <c r="M5335" s="3">
        <v>0.1</v>
      </c>
      <c r="N5335" t="s">
        <v>29</v>
      </c>
      <c r="O5335" s="2">
        <v>123.35</v>
      </c>
      <c r="P5335" s="2">
        <v>90.78</v>
      </c>
      <c r="Q5335" s="2">
        <v>32.57</v>
      </c>
      <c r="R5335">
        <v>1</v>
      </c>
      <c r="S5335">
        <v>1</v>
      </c>
      <c r="T5335">
        <v>5</v>
      </c>
      <c r="U5335">
        <v>3</v>
      </c>
    </row>
    <row r="5336" spans="1:21" ht="16.5" x14ac:dyDescent="0.3">
      <c r="A5336" t="s">
        <v>5424</v>
      </c>
      <c r="B5336" s="1">
        <v>46017</v>
      </c>
      <c r="C5336">
        <v>2025</v>
      </c>
      <c r="D5336" t="s">
        <v>1738</v>
      </c>
      <c r="E5336" t="s">
        <v>2310</v>
      </c>
      <c r="F5336" t="s">
        <v>31</v>
      </c>
      <c r="G5336" t="s">
        <v>25</v>
      </c>
      <c r="H5336" t="s">
        <v>32</v>
      </c>
      <c r="I5336" t="s">
        <v>42</v>
      </c>
      <c r="J5336" t="s">
        <v>76</v>
      </c>
      <c r="K5336">
        <v>1</v>
      </c>
      <c r="L5336" s="2">
        <v>90.75</v>
      </c>
      <c r="M5336" s="3">
        <v>0.05</v>
      </c>
      <c r="N5336" t="s">
        <v>29</v>
      </c>
      <c r="O5336" s="2">
        <v>86.21</v>
      </c>
      <c r="P5336" s="2">
        <v>60.43</v>
      </c>
      <c r="Q5336" s="2">
        <v>25.78</v>
      </c>
      <c r="R5336">
        <v>1</v>
      </c>
      <c r="S5336">
        <v>0</v>
      </c>
      <c r="T5336">
        <v>7</v>
      </c>
      <c r="U5336">
        <v>2</v>
      </c>
    </row>
    <row r="5337" spans="1:21" ht="16.5" x14ac:dyDescent="0.3">
      <c r="A5337" t="s">
        <v>5425</v>
      </c>
      <c r="B5337" s="1">
        <v>46017</v>
      </c>
      <c r="C5337">
        <v>2025</v>
      </c>
      <c r="D5337" t="s">
        <v>1738</v>
      </c>
      <c r="E5337" t="s">
        <v>2310</v>
      </c>
      <c r="F5337" t="s">
        <v>24</v>
      </c>
      <c r="G5337" t="s">
        <v>25</v>
      </c>
      <c r="H5337" t="s">
        <v>32</v>
      </c>
      <c r="I5337" t="s">
        <v>42</v>
      </c>
      <c r="J5337" t="s">
        <v>98</v>
      </c>
      <c r="K5337">
        <v>1</v>
      </c>
      <c r="L5337" s="2">
        <v>117.63</v>
      </c>
      <c r="M5337" s="3">
        <v>0.15</v>
      </c>
      <c r="N5337" t="s">
        <v>34</v>
      </c>
      <c r="O5337" s="2">
        <v>99.99</v>
      </c>
      <c r="P5337" s="2">
        <v>74.64</v>
      </c>
      <c r="Q5337" s="2">
        <v>25.35</v>
      </c>
      <c r="R5337">
        <v>1</v>
      </c>
      <c r="S5337">
        <v>0</v>
      </c>
      <c r="T5337">
        <v>5</v>
      </c>
      <c r="U5337">
        <v>5</v>
      </c>
    </row>
    <row r="5338" spans="1:21" ht="16.5" x14ac:dyDescent="0.3">
      <c r="A5338" t="s">
        <v>5426</v>
      </c>
      <c r="B5338" s="1">
        <v>46017</v>
      </c>
      <c r="C5338">
        <v>2025</v>
      </c>
      <c r="D5338" t="s">
        <v>1738</v>
      </c>
      <c r="E5338" t="s">
        <v>2310</v>
      </c>
      <c r="F5338" t="s">
        <v>24</v>
      </c>
      <c r="G5338" t="s">
        <v>25</v>
      </c>
      <c r="H5338" t="s">
        <v>32</v>
      </c>
      <c r="I5338" t="s">
        <v>84</v>
      </c>
      <c r="J5338" t="s">
        <v>106</v>
      </c>
      <c r="K5338">
        <v>1</v>
      </c>
      <c r="L5338" s="2">
        <v>45.28</v>
      </c>
      <c r="M5338" s="3">
        <v>0.2</v>
      </c>
      <c r="N5338" t="s">
        <v>34</v>
      </c>
      <c r="O5338" s="2">
        <v>36.22</v>
      </c>
      <c r="P5338" s="2">
        <v>32.08</v>
      </c>
      <c r="Q5338" s="2">
        <v>4.1399999999999997</v>
      </c>
      <c r="R5338">
        <v>1</v>
      </c>
      <c r="S5338">
        <v>0</v>
      </c>
      <c r="T5338">
        <v>4</v>
      </c>
      <c r="U5338">
        <v>5</v>
      </c>
    </row>
    <row r="5339" spans="1:21" ht="16.5" x14ac:dyDescent="0.3">
      <c r="A5339" t="s">
        <v>5427</v>
      </c>
      <c r="B5339" s="1">
        <v>46017</v>
      </c>
      <c r="C5339">
        <v>2025</v>
      </c>
      <c r="D5339" t="s">
        <v>1738</v>
      </c>
      <c r="E5339" t="s">
        <v>2310</v>
      </c>
      <c r="F5339" t="s">
        <v>24</v>
      </c>
      <c r="G5339" t="s">
        <v>51</v>
      </c>
      <c r="H5339" t="s">
        <v>32</v>
      </c>
      <c r="I5339" t="s">
        <v>84</v>
      </c>
      <c r="J5339" t="s">
        <v>85</v>
      </c>
      <c r="K5339">
        <v>1</v>
      </c>
      <c r="L5339" s="2">
        <v>57.92</v>
      </c>
      <c r="M5339" s="3">
        <v>0.3</v>
      </c>
      <c r="N5339" t="s">
        <v>62</v>
      </c>
      <c r="O5339" s="2">
        <v>40.54</v>
      </c>
      <c r="P5339" s="2">
        <v>43.04</v>
      </c>
      <c r="Q5339" s="2">
        <v>-2.5</v>
      </c>
      <c r="R5339">
        <v>1</v>
      </c>
      <c r="S5339">
        <v>0</v>
      </c>
      <c r="T5339">
        <v>3</v>
      </c>
      <c r="U5339">
        <v>5</v>
      </c>
    </row>
    <row r="5340" spans="1:21" ht="16.5" x14ac:dyDescent="0.3">
      <c r="A5340" t="s">
        <v>5428</v>
      </c>
      <c r="B5340" s="1">
        <v>46017</v>
      </c>
      <c r="C5340">
        <v>2025</v>
      </c>
      <c r="D5340" t="s">
        <v>1738</v>
      </c>
      <c r="E5340" t="s">
        <v>2310</v>
      </c>
      <c r="F5340" t="s">
        <v>45</v>
      </c>
      <c r="G5340" t="s">
        <v>65</v>
      </c>
      <c r="H5340" t="s">
        <v>32</v>
      </c>
      <c r="I5340" t="s">
        <v>36</v>
      </c>
      <c r="J5340" t="s">
        <v>56</v>
      </c>
      <c r="K5340">
        <v>1</v>
      </c>
      <c r="L5340" s="2">
        <v>74.3</v>
      </c>
      <c r="M5340" s="3">
        <v>0.15</v>
      </c>
      <c r="N5340" t="s">
        <v>34</v>
      </c>
      <c r="O5340" s="2">
        <v>63.15</v>
      </c>
      <c r="P5340" s="2">
        <v>35.32</v>
      </c>
      <c r="Q5340" s="2">
        <v>27.83</v>
      </c>
      <c r="R5340">
        <v>1</v>
      </c>
      <c r="S5340">
        <v>0</v>
      </c>
      <c r="T5340">
        <v>9</v>
      </c>
      <c r="U5340">
        <v>3</v>
      </c>
    </row>
    <row r="5341" spans="1:21" ht="16.5" x14ac:dyDescent="0.3">
      <c r="A5341" t="s">
        <v>5429</v>
      </c>
      <c r="B5341" s="1">
        <v>46017</v>
      </c>
      <c r="C5341">
        <v>2025</v>
      </c>
      <c r="D5341" t="s">
        <v>1738</v>
      </c>
      <c r="E5341" t="s">
        <v>2310</v>
      </c>
      <c r="F5341" t="s">
        <v>45</v>
      </c>
      <c r="G5341" t="s">
        <v>51</v>
      </c>
      <c r="H5341" t="s">
        <v>32</v>
      </c>
      <c r="I5341" t="s">
        <v>27</v>
      </c>
      <c r="J5341" t="s">
        <v>47</v>
      </c>
      <c r="K5341">
        <v>1</v>
      </c>
      <c r="L5341" s="2">
        <v>33.99</v>
      </c>
      <c r="M5341" s="3">
        <v>0.3</v>
      </c>
      <c r="N5341" t="s">
        <v>62</v>
      </c>
      <c r="O5341" s="2">
        <v>23.79</v>
      </c>
      <c r="P5341" s="2">
        <v>17.47</v>
      </c>
      <c r="Q5341" s="2">
        <v>6.32</v>
      </c>
      <c r="R5341">
        <v>1</v>
      </c>
      <c r="S5341">
        <v>0</v>
      </c>
      <c r="T5341">
        <v>3</v>
      </c>
      <c r="U5341">
        <v>4</v>
      </c>
    </row>
    <row r="5342" spans="1:21" ht="16.5" x14ac:dyDescent="0.3">
      <c r="A5342" t="s">
        <v>5430</v>
      </c>
      <c r="B5342" s="1">
        <v>46017</v>
      </c>
      <c r="C5342">
        <v>2025</v>
      </c>
      <c r="D5342" t="s">
        <v>1738</v>
      </c>
      <c r="E5342" t="s">
        <v>2310</v>
      </c>
      <c r="F5342" t="s">
        <v>24</v>
      </c>
      <c r="G5342" t="s">
        <v>51</v>
      </c>
      <c r="H5342" t="s">
        <v>26</v>
      </c>
      <c r="I5342" t="s">
        <v>67</v>
      </c>
      <c r="J5342" t="s">
        <v>93</v>
      </c>
      <c r="K5342">
        <v>1</v>
      </c>
      <c r="L5342" s="2">
        <v>198.42</v>
      </c>
      <c r="M5342" s="3">
        <v>0.2</v>
      </c>
      <c r="N5342" t="s">
        <v>34</v>
      </c>
      <c r="O5342" s="2">
        <v>158.74</v>
      </c>
      <c r="P5342" s="2">
        <v>126.75</v>
      </c>
      <c r="Q5342" s="2">
        <v>31.99</v>
      </c>
      <c r="R5342">
        <v>1</v>
      </c>
      <c r="S5342">
        <v>0</v>
      </c>
      <c r="T5342">
        <v>4</v>
      </c>
      <c r="U5342">
        <v>4</v>
      </c>
    </row>
    <row r="5343" spans="1:21" ht="16.5" x14ac:dyDescent="0.3">
      <c r="A5343" t="s">
        <v>5431</v>
      </c>
      <c r="B5343" s="1">
        <v>46017</v>
      </c>
      <c r="C5343">
        <v>2025</v>
      </c>
      <c r="D5343" t="s">
        <v>1738</v>
      </c>
      <c r="E5343" t="s">
        <v>2310</v>
      </c>
      <c r="F5343" t="s">
        <v>31</v>
      </c>
      <c r="G5343" t="s">
        <v>51</v>
      </c>
      <c r="H5343" t="s">
        <v>32</v>
      </c>
      <c r="I5343" t="s">
        <v>27</v>
      </c>
      <c r="J5343" t="s">
        <v>33</v>
      </c>
      <c r="K5343">
        <v>2</v>
      </c>
      <c r="L5343" s="2">
        <v>78.510000000000005</v>
      </c>
      <c r="M5343" s="3">
        <v>0.05</v>
      </c>
      <c r="N5343" t="s">
        <v>29</v>
      </c>
      <c r="O5343" s="2">
        <v>149.16999999999999</v>
      </c>
      <c r="P5343" s="2">
        <v>84.05</v>
      </c>
      <c r="Q5343" s="2">
        <v>65.12</v>
      </c>
      <c r="R5343">
        <v>1</v>
      </c>
      <c r="S5343">
        <v>1</v>
      </c>
      <c r="T5343">
        <v>4</v>
      </c>
      <c r="U5343">
        <v>3</v>
      </c>
    </row>
    <row r="5344" spans="1:21" ht="16.5" x14ac:dyDescent="0.3">
      <c r="A5344" t="s">
        <v>5432</v>
      </c>
      <c r="B5344" s="1">
        <v>46017</v>
      </c>
      <c r="C5344">
        <v>2025</v>
      </c>
      <c r="D5344" t="s">
        <v>1738</v>
      </c>
      <c r="E5344" t="s">
        <v>2310</v>
      </c>
      <c r="F5344" t="s">
        <v>24</v>
      </c>
      <c r="G5344" t="s">
        <v>65</v>
      </c>
      <c r="H5344" t="s">
        <v>32</v>
      </c>
      <c r="I5344" t="s">
        <v>36</v>
      </c>
      <c r="J5344" t="s">
        <v>126</v>
      </c>
      <c r="K5344">
        <v>1</v>
      </c>
      <c r="L5344" s="2">
        <v>54.56</v>
      </c>
      <c r="M5344" s="3">
        <v>0.2</v>
      </c>
      <c r="N5344" t="s">
        <v>34</v>
      </c>
      <c r="O5344" s="2">
        <v>43.65</v>
      </c>
      <c r="P5344" s="2">
        <v>26.83</v>
      </c>
      <c r="Q5344" s="2">
        <v>16.82</v>
      </c>
      <c r="R5344">
        <v>1</v>
      </c>
      <c r="S5344">
        <v>0</v>
      </c>
      <c r="T5344">
        <v>6</v>
      </c>
      <c r="U5344">
        <v>4</v>
      </c>
    </row>
    <row r="5345" spans="1:21" ht="16.5" x14ac:dyDescent="0.3">
      <c r="A5345" t="s">
        <v>5433</v>
      </c>
      <c r="B5345" s="1">
        <v>46017</v>
      </c>
      <c r="C5345">
        <v>2025</v>
      </c>
      <c r="D5345" t="s">
        <v>1738</v>
      </c>
      <c r="E5345" t="s">
        <v>2310</v>
      </c>
      <c r="F5345" t="s">
        <v>31</v>
      </c>
      <c r="G5345" t="s">
        <v>25</v>
      </c>
      <c r="H5345" t="s">
        <v>32</v>
      </c>
      <c r="I5345" t="s">
        <v>36</v>
      </c>
      <c r="J5345" t="s">
        <v>37</v>
      </c>
      <c r="K5345">
        <v>1</v>
      </c>
      <c r="L5345" s="2">
        <v>33.18</v>
      </c>
      <c r="M5345" s="3">
        <v>0.2</v>
      </c>
      <c r="N5345" t="s">
        <v>34</v>
      </c>
      <c r="O5345" s="2">
        <v>26.54</v>
      </c>
      <c r="P5345" s="2">
        <v>16.399999999999999</v>
      </c>
      <c r="Q5345" s="2">
        <v>10.14</v>
      </c>
      <c r="R5345">
        <v>1</v>
      </c>
      <c r="S5345">
        <v>0</v>
      </c>
      <c r="T5345">
        <v>5</v>
      </c>
      <c r="U5345">
        <v>5</v>
      </c>
    </row>
    <row r="5346" spans="1:21" ht="16.5" x14ac:dyDescent="0.3">
      <c r="A5346" t="s">
        <v>5434</v>
      </c>
      <c r="B5346" s="1">
        <v>46017</v>
      </c>
      <c r="C5346">
        <v>2025</v>
      </c>
      <c r="D5346" t="s">
        <v>1738</v>
      </c>
      <c r="E5346" t="s">
        <v>2310</v>
      </c>
      <c r="F5346" t="s">
        <v>24</v>
      </c>
      <c r="G5346" t="s">
        <v>49</v>
      </c>
      <c r="H5346" t="s">
        <v>32</v>
      </c>
      <c r="I5346" t="s">
        <v>84</v>
      </c>
      <c r="J5346" t="s">
        <v>106</v>
      </c>
      <c r="K5346">
        <v>2</v>
      </c>
      <c r="L5346" s="2">
        <v>45.28</v>
      </c>
      <c r="M5346" s="3">
        <v>0.3</v>
      </c>
      <c r="N5346" t="s">
        <v>62</v>
      </c>
      <c r="O5346" s="2">
        <v>63.39</v>
      </c>
      <c r="P5346" s="2">
        <v>63.97</v>
      </c>
      <c r="Q5346" s="2">
        <v>-0.57999999999999996</v>
      </c>
      <c r="R5346">
        <v>1</v>
      </c>
      <c r="S5346">
        <v>0</v>
      </c>
      <c r="T5346">
        <v>5</v>
      </c>
      <c r="U5346">
        <v>3</v>
      </c>
    </row>
    <row r="5347" spans="1:21" ht="16.5" x14ac:dyDescent="0.3">
      <c r="A5347" t="s">
        <v>5435</v>
      </c>
      <c r="B5347" s="1">
        <v>46017</v>
      </c>
      <c r="C5347">
        <v>2025</v>
      </c>
      <c r="D5347" t="s">
        <v>1738</v>
      </c>
      <c r="E5347" t="s">
        <v>2310</v>
      </c>
      <c r="F5347" t="s">
        <v>45</v>
      </c>
      <c r="G5347" t="s">
        <v>25</v>
      </c>
      <c r="H5347" t="s">
        <v>32</v>
      </c>
      <c r="I5347" t="s">
        <v>27</v>
      </c>
      <c r="J5347" t="s">
        <v>60</v>
      </c>
      <c r="K5347">
        <v>1</v>
      </c>
      <c r="L5347" s="2">
        <v>94.85</v>
      </c>
      <c r="M5347" s="3">
        <v>0.25</v>
      </c>
      <c r="N5347" t="s">
        <v>62</v>
      </c>
      <c r="O5347" s="2">
        <v>71.14</v>
      </c>
      <c r="P5347" s="2">
        <v>52.72</v>
      </c>
      <c r="Q5347" s="2">
        <v>18.420000000000002</v>
      </c>
      <c r="R5347">
        <v>1</v>
      </c>
      <c r="S5347">
        <v>0</v>
      </c>
      <c r="T5347">
        <v>4</v>
      </c>
      <c r="U5347">
        <v>4</v>
      </c>
    </row>
    <row r="5348" spans="1:21" ht="16.5" x14ac:dyDescent="0.3">
      <c r="A5348" t="s">
        <v>5436</v>
      </c>
      <c r="B5348" s="1">
        <v>46018</v>
      </c>
      <c r="C5348">
        <v>2025</v>
      </c>
      <c r="D5348" t="s">
        <v>1738</v>
      </c>
      <c r="E5348" t="s">
        <v>2310</v>
      </c>
      <c r="F5348" t="s">
        <v>45</v>
      </c>
      <c r="G5348" t="s">
        <v>49</v>
      </c>
      <c r="H5348" t="s">
        <v>32</v>
      </c>
      <c r="I5348" t="s">
        <v>42</v>
      </c>
      <c r="J5348" t="s">
        <v>58</v>
      </c>
      <c r="K5348">
        <v>1</v>
      </c>
      <c r="L5348" s="2">
        <v>233.81</v>
      </c>
      <c r="M5348" s="3">
        <v>0.1</v>
      </c>
      <c r="N5348" t="s">
        <v>29</v>
      </c>
      <c r="O5348" s="2">
        <v>210.43</v>
      </c>
      <c r="P5348" s="2">
        <v>158.13</v>
      </c>
      <c r="Q5348" s="2">
        <v>52.3</v>
      </c>
      <c r="R5348">
        <v>1</v>
      </c>
      <c r="S5348">
        <v>0</v>
      </c>
      <c r="T5348">
        <v>4</v>
      </c>
      <c r="U5348">
        <v>5</v>
      </c>
    </row>
    <row r="5349" spans="1:21" ht="16.5" x14ac:dyDescent="0.3">
      <c r="A5349" t="s">
        <v>5437</v>
      </c>
      <c r="B5349" s="1">
        <v>46018</v>
      </c>
      <c r="C5349">
        <v>2025</v>
      </c>
      <c r="D5349" t="s">
        <v>1738</v>
      </c>
      <c r="E5349" t="s">
        <v>2310</v>
      </c>
      <c r="F5349" t="s">
        <v>24</v>
      </c>
      <c r="G5349" t="s">
        <v>65</v>
      </c>
      <c r="H5349" t="s">
        <v>26</v>
      </c>
      <c r="I5349" t="s">
        <v>67</v>
      </c>
      <c r="J5349" t="s">
        <v>78</v>
      </c>
      <c r="K5349">
        <v>1</v>
      </c>
      <c r="L5349" s="2">
        <v>85.42</v>
      </c>
      <c r="M5349" s="3">
        <v>0.1</v>
      </c>
      <c r="N5349" t="s">
        <v>29</v>
      </c>
      <c r="O5349" s="2">
        <v>76.88</v>
      </c>
      <c r="P5349" s="2">
        <v>58.88</v>
      </c>
      <c r="Q5349" s="2">
        <v>18</v>
      </c>
      <c r="R5349">
        <v>1</v>
      </c>
      <c r="S5349">
        <v>0</v>
      </c>
      <c r="T5349">
        <v>7</v>
      </c>
      <c r="U5349">
        <v>4</v>
      </c>
    </row>
    <row r="5350" spans="1:21" ht="16.5" x14ac:dyDescent="0.3">
      <c r="A5350" t="s">
        <v>5438</v>
      </c>
      <c r="B5350" s="1">
        <v>46018</v>
      </c>
      <c r="C5350">
        <v>2025</v>
      </c>
      <c r="D5350" t="s">
        <v>1738</v>
      </c>
      <c r="E5350" t="s">
        <v>2310</v>
      </c>
      <c r="F5350" t="s">
        <v>31</v>
      </c>
      <c r="G5350" t="s">
        <v>51</v>
      </c>
      <c r="H5350" t="s">
        <v>32</v>
      </c>
      <c r="I5350" t="s">
        <v>27</v>
      </c>
      <c r="J5350" t="s">
        <v>33</v>
      </c>
      <c r="K5350">
        <v>1</v>
      </c>
      <c r="L5350" s="2">
        <v>78.510000000000005</v>
      </c>
      <c r="M5350" s="3">
        <v>0.2</v>
      </c>
      <c r="N5350" t="s">
        <v>34</v>
      </c>
      <c r="O5350" s="2">
        <v>62.81</v>
      </c>
      <c r="P5350" s="2">
        <v>43.49</v>
      </c>
      <c r="Q5350" s="2">
        <v>19.32</v>
      </c>
      <c r="R5350">
        <v>1</v>
      </c>
      <c r="S5350">
        <v>0</v>
      </c>
      <c r="T5350">
        <v>3</v>
      </c>
      <c r="U5350">
        <v>5</v>
      </c>
    </row>
    <row r="5351" spans="1:21" ht="16.5" x14ac:dyDescent="0.3">
      <c r="A5351" t="s">
        <v>5439</v>
      </c>
      <c r="B5351" s="1">
        <v>46018</v>
      </c>
      <c r="C5351">
        <v>2025</v>
      </c>
      <c r="D5351" t="s">
        <v>1738</v>
      </c>
      <c r="E5351" t="s">
        <v>2310</v>
      </c>
      <c r="F5351" t="s">
        <v>45</v>
      </c>
      <c r="G5351" t="s">
        <v>49</v>
      </c>
      <c r="H5351" t="s">
        <v>32</v>
      </c>
      <c r="I5351" t="s">
        <v>42</v>
      </c>
      <c r="J5351" t="s">
        <v>89</v>
      </c>
      <c r="K5351">
        <v>1</v>
      </c>
      <c r="L5351" s="2">
        <v>68.349999999999994</v>
      </c>
      <c r="M5351" s="3">
        <v>0.25</v>
      </c>
      <c r="N5351" t="s">
        <v>62</v>
      </c>
      <c r="O5351" s="2">
        <v>51.26</v>
      </c>
      <c r="P5351" s="2">
        <v>47.62</v>
      </c>
      <c r="Q5351" s="2">
        <v>3.64</v>
      </c>
      <c r="R5351">
        <v>1</v>
      </c>
      <c r="S5351">
        <v>0</v>
      </c>
      <c r="T5351">
        <v>5</v>
      </c>
      <c r="U5351">
        <v>5</v>
      </c>
    </row>
    <row r="5352" spans="1:21" ht="16.5" x14ac:dyDescent="0.3">
      <c r="A5352" t="s">
        <v>5440</v>
      </c>
      <c r="B5352" s="1">
        <v>46018</v>
      </c>
      <c r="C5352">
        <v>2025</v>
      </c>
      <c r="D5352" t="s">
        <v>1738</v>
      </c>
      <c r="E5352" t="s">
        <v>2310</v>
      </c>
      <c r="F5352" t="s">
        <v>31</v>
      </c>
      <c r="G5352" t="s">
        <v>51</v>
      </c>
      <c r="H5352" t="s">
        <v>32</v>
      </c>
      <c r="I5352" t="s">
        <v>36</v>
      </c>
      <c r="J5352" t="s">
        <v>52</v>
      </c>
      <c r="K5352">
        <v>1</v>
      </c>
      <c r="L5352" s="2">
        <v>92.54</v>
      </c>
      <c r="M5352" s="3">
        <v>0.25</v>
      </c>
      <c r="N5352" t="s">
        <v>62</v>
      </c>
      <c r="O5352" s="2">
        <v>69.400000000000006</v>
      </c>
      <c r="P5352" s="2">
        <v>44.1</v>
      </c>
      <c r="Q5352" s="2">
        <v>25.3</v>
      </c>
      <c r="R5352">
        <v>1</v>
      </c>
      <c r="S5352">
        <v>0</v>
      </c>
      <c r="T5352">
        <v>3</v>
      </c>
      <c r="U5352">
        <v>4</v>
      </c>
    </row>
    <row r="5353" spans="1:21" ht="16.5" x14ac:dyDescent="0.3">
      <c r="A5353" t="s">
        <v>5441</v>
      </c>
      <c r="B5353" s="1">
        <v>46018</v>
      </c>
      <c r="C5353">
        <v>2025</v>
      </c>
      <c r="D5353" t="s">
        <v>1738</v>
      </c>
      <c r="E5353" t="s">
        <v>2310</v>
      </c>
      <c r="F5353" t="s">
        <v>31</v>
      </c>
      <c r="G5353" t="s">
        <v>51</v>
      </c>
      <c r="H5353" t="s">
        <v>26</v>
      </c>
      <c r="I5353" t="s">
        <v>36</v>
      </c>
      <c r="J5353" t="s">
        <v>37</v>
      </c>
      <c r="K5353">
        <v>3</v>
      </c>
      <c r="L5353" s="2">
        <v>33.18</v>
      </c>
      <c r="M5353" s="3">
        <v>0.1</v>
      </c>
      <c r="N5353" t="s">
        <v>29</v>
      </c>
      <c r="O5353" s="2">
        <v>89.59</v>
      </c>
      <c r="P5353" s="2">
        <v>46.54</v>
      </c>
      <c r="Q5353" s="2">
        <v>43.05</v>
      </c>
      <c r="R5353">
        <v>1</v>
      </c>
      <c r="S5353">
        <v>0</v>
      </c>
      <c r="T5353">
        <v>4</v>
      </c>
      <c r="U5353">
        <v>4</v>
      </c>
    </row>
    <row r="5354" spans="1:21" ht="16.5" x14ac:dyDescent="0.3">
      <c r="A5354" t="s">
        <v>5442</v>
      </c>
      <c r="B5354" s="1">
        <v>46018</v>
      </c>
      <c r="C5354">
        <v>2025</v>
      </c>
      <c r="D5354" t="s">
        <v>1738</v>
      </c>
      <c r="E5354" t="s">
        <v>2310</v>
      </c>
      <c r="F5354" t="s">
        <v>45</v>
      </c>
      <c r="G5354" t="s">
        <v>51</v>
      </c>
      <c r="H5354" t="s">
        <v>26</v>
      </c>
      <c r="I5354" t="s">
        <v>70</v>
      </c>
      <c r="J5354" t="s">
        <v>162</v>
      </c>
      <c r="K5354">
        <v>3</v>
      </c>
      <c r="L5354" s="2">
        <v>636.09</v>
      </c>
      <c r="M5354" s="3">
        <v>0.25</v>
      </c>
      <c r="N5354" t="s">
        <v>62</v>
      </c>
      <c r="O5354" s="2">
        <v>1431.2</v>
      </c>
      <c r="P5354" s="2">
        <v>1545.72</v>
      </c>
      <c r="Q5354" s="2">
        <v>-114.52</v>
      </c>
      <c r="R5354">
        <v>1</v>
      </c>
      <c r="S5354">
        <v>0</v>
      </c>
      <c r="T5354">
        <v>5</v>
      </c>
      <c r="U5354">
        <v>5</v>
      </c>
    </row>
    <row r="5355" spans="1:21" ht="16.5" x14ac:dyDescent="0.3">
      <c r="A5355" t="s">
        <v>5443</v>
      </c>
      <c r="B5355" s="1">
        <v>46018</v>
      </c>
      <c r="C5355">
        <v>2025</v>
      </c>
      <c r="D5355" t="s">
        <v>1738</v>
      </c>
      <c r="E5355" t="s">
        <v>2310</v>
      </c>
      <c r="F5355" t="s">
        <v>31</v>
      </c>
      <c r="G5355" t="s">
        <v>49</v>
      </c>
      <c r="H5355" t="s">
        <v>32</v>
      </c>
      <c r="I5355" t="s">
        <v>27</v>
      </c>
      <c r="J5355" t="s">
        <v>47</v>
      </c>
      <c r="K5355">
        <v>2</v>
      </c>
      <c r="L5355" s="2">
        <v>33.99</v>
      </c>
      <c r="M5355" s="3">
        <v>0.15</v>
      </c>
      <c r="N5355" t="s">
        <v>34</v>
      </c>
      <c r="O5355" s="2">
        <v>57.78</v>
      </c>
      <c r="P5355" s="2">
        <v>38.4</v>
      </c>
      <c r="Q5355" s="2">
        <v>19.38</v>
      </c>
      <c r="R5355">
        <v>1</v>
      </c>
      <c r="S5355">
        <v>0</v>
      </c>
      <c r="T5355">
        <v>4</v>
      </c>
      <c r="U5355">
        <v>5</v>
      </c>
    </row>
    <row r="5356" spans="1:21" ht="16.5" x14ac:dyDescent="0.3">
      <c r="A5356" t="s">
        <v>5444</v>
      </c>
      <c r="B5356" s="1">
        <v>46018</v>
      </c>
      <c r="C5356">
        <v>2025</v>
      </c>
      <c r="D5356" t="s">
        <v>1738</v>
      </c>
      <c r="E5356" t="s">
        <v>2310</v>
      </c>
      <c r="F5356" t="s">
        <v>24</v>
      </c>
      <c r="G5356" t="s">
        <v>49</v>
      </c>
      <c r="H5356" t="s">
        <v>26</v>
      </c>
      <c r="I5356" t="s">
        <v>42</v>
      </c>
      <c r="J5356" t="s">
        <v>54</v>
      </c>
      <c r="K5356">
        <v>1</v>
      </c>
      <c r="L5356" s="2">
        <v>148.05000000000001</v>
      </c>
      <c r="M5356" s="3">
        <v>0.25</v>
      </c>
      <c r="N5356" t="s">
        <v>62</v>
      </c>
      <c r="O5356" s="2">
        <v>111.04</v>
      </c>
      <c r="P5356" s="2">
        <v>92.76</v>
      </c>
      <c r="Q5356" s="2">
        <v>18.28</v>
      </c>
      <c r="R5356">
        <v>1</v>
      </c>
      <c r="S5356">
        <v>0</v>
      </c>
      <c r="T5356">
        <v>5</v>
      </c>
      <c r="U5356">
        <v>5</v>
      </c>
    </row>
    <row r="5357" spans="1:21" ht="16.5" x14ac:dyDescent="0.3">
      <c r="A5357" t="s">
        <v>5445</v>
      </c>
      <c r="B5357" s="1">
        <v>46018</v>
      </c>
      <c r="C5357">
        <v>2025</v>
      </c>
      <c r="D5357" t="s">
        <v>1738</v>
      </c>
      <c r="E5357" t="s">
        <v>2310</v>
      </c>
      <c r="F5357" t="s">
        <v>45</v>
      </c>
      <c r="G5357" t="s">
        <v>46</v>
      </c>
      <c r="H5357" t="s">
        <v>32</v>
      </c>
      <c r="I5357" t="s">
        <v>27</v>
      </c>
      <c r="J5357" t="s">
        <v>60</v>
      </c>
      <c r="K5357">
        <v>1</v>
      </c>
      <c r="L5357" s="2">
        <v>94.85</v>
      </c>
      <c r="M5357" s="3">
        <v>0.15</v>
      </c>
      <c r="N5357" t="s">
        <v>34</v>
      </c>
      <c r="O5357" s="2">
        <v>80.62</v>
      </c>
      <c r="P5357" s="2">
        <v>53.1</v>
      </c>
      <c r="Q5357" s="2">
        <v>27.52</v>
      </c>
      <c r="R5357">
        <v>1</v>
      </c>
      <c r="S5357">
        <v>0</v>
      </c>
      <c r="T5357">
        <v>7</v>
      </c>
      <c r="U5357">
        <v>4</v>
      </c>
    </row>
    <row r="5358" spans="1:21" ht="16.5" x14ac:dyDescent="0.3">
      <c r="A5358" t="s">
        <v>5446</v>
      </c>
      <c r="B5358" s="1">
        <v>46018</v>
      </c>
      <c r="C5358">
        <v>2025</v>
      </c>
      <c r="D5358" t="s">
        <v>1738</v>
      </c>
      <c r="E5358" t="s">
        <v>2310</v>
      </c>
      <c r="F5358" t="s">
        <v>45</v>
      </c>
      <c r="G5358" t="s">
        <v>49</v>
      </c>
      <c r="H5358" t="s">
        <v>32</v>
      </c>
      <c r="I5358" t="s">
        <v>70</v>
      </c>
      <c r="J5358" t="s">
        <v>87</v>
      </c>
      <c r="K5358">
        <v>1</v>
      </c>
      <c r="L5358" s="2">
        <v>490.3</v>
      </c>
      <c r="M5358" s="3">
        <v>0.2</v>
      </c>
      <c r="N5358" t="s">
        <v>34</v>
      </c>
      <c r="O5358" s="2">
        <v>392.24</v>
      </c>
      <c r="P5358" s="2">
        <v>414.46</v>
      </c>
      <c r="Q5358" s="2">
        <v>-22.22</v>
      </c>
      <c r="R5358">
        <v>1</v>
      </c>
      <c r="S5358">
        <v>0</v>
      </c>
      <c r="T5358">
        <v>5</v>
      </c>
      <c r="U5358">
        <v>5</v>
      </c>
    </row>
    <row r="5359" spans="1:21" ht="16.5" x14ac:dyDescent="0.3">
      <c r="A5359" t="s">
        <v>5447</v>
      </c>
      <c r="B5359" s="1">
        <v>46018</v>
      </c>
      <c r="C5359">
        <v>2025</v>
      </c>
      <c r="D5359" t="s">
        <v>1738</v>
      </c>
      <c r="E5359" t="s">
        <v>2310</v>
      </c>
      <c r="F5359" t="s">
        <v>24</v>
      </c>
      <c r="G5359" t="s">
        <v>51</v>
      </c>
      <c r="H5359" t="s">
        <v>32</v>
      </c>
      <c r="I5359" t="s">
        <v>42</v>
      </c>
      <c r="J5359" t="s">
        <v>76</v>
      </c>
      <c r="K5359">
        <v>1</v>
      </c>
      <c r="L5359" s="2">
        <v>90.75</v>
      </c>
      <c r="M5359" s="3">
        <v>0.1</v>
      </c>
      <c r="N5359" t="s">
        <v>29</v>
      </c>
      <c r="O5359" s="2">
        <v>81.680000000000007</v>
      </c>
      <c r="P5359" s="2">
        <v>59.2</v>
      </c>
      <c r="Q5359" s="2">
        <v>22.48</v>
      </c>
      <c r="R5359">
        <v>1</v>
      </c>
      <c r="S5359">
        <v>0</v>
      </c>
      <c r="T5359">
        <v>5</v>
      </c>
      <c r="U5359">
        <v>5</v>
      </c>
    </row>
    <row r="5360" spans="1:21" ht="16.5" x14ac:dyDescent="0.3">
      <c r="A5360" t="s">
        <v>5448</v>
      </c>
      <c r="B5360" s="1">
        <v>46018</v>
      </c>
      <c r="C5360">
        <v>2025</v>
      </c>
      <c r="D5360" t="s">
        <v>1738</v>
      </c>
      <c r="E5360" t="s">
        <v>2310</v>
      </c>
      <c r="F5360" t="s">
        <v>31</v>
      </c>
      <c r="G5360" t="s">
        <v>49</v>
      </c>
      <c r="H5360" t="s">
        <v>32</v>
      </c>
      <c r="I5360" t="s">
        <v>70</v>
      </c>
      <c r="J5360" t="s">
        <v>252</v>
      </c>
      <c r="K5360">
        <v>1</v>
      </c>
      <c r="L5360" s="2">
        <v>216.08</v>
      </c>
      <c r="M5360" s="3">
        <v>0.2</v>
      </c>
      <c r="N5360" t="s">
        <v>34</v>
      </c>
      <c r="O5360" s="2">
        <v>172.86</v>
      </c>
      <c r="P5360" s="2">
        <v>172.38</v>
      </c>
      <c r="Q5360" s="2">
        <v>0.48</v>
      </c>
      <c r="R5360">
        <v>1</v>
      </c>
      <c r="S5360">
        <v>0</v>
      </c>
      <c r="T5360">
        <v>8</v>
      </c>
      <c r="U5360">
        <v>4</v>
      </c>
    </row>
    <row r="5361" spans="1:21" ht="16.5" x14ac:dyDescent="0.3">
      <c r="A5361" t="s">
        <v>5449</v>
      </c>
      <c r="B5361" s="1">
        <v>46018</v>
      </c>
      <c r="C5361">
        <v>2025</v>
      </c>
      <c r="D5361" t="s">
        <v>1738</v>
      </c>
      <c r="E5361" t="s">
        <v>2310</v>
      </c>
      <c r="F5361" t="s">
        <v>24</v>
      </c>
      <c r="G5361" t="s">
        <v>25</v>
      </c>
      <c r="H5361" t="s">
        <v>26</v>
      </c>
      <c r="I5361" t="s">
        <v>67</v>
      </c>
      <c r="J5361" t="s">
        <v>174</v>
      </c>
      <c r="K5361">
        <v>3</v>
      </c>
      <c r="L5361" s="2">
        <v>137.05000000000001</v>
      </c>
      <c r="M5361" s="3">
        <v>0.1</v>
      </c>
      <c r="N5361" t="s">
        <v>29</v>
      </c>
      <c r="O5361" s="2">
        <v>370.04</v>
      </c>
      <c r="P5361" s="2">
        <v>270.16000000000003</v>
      </c>
      <c r="Q5361" s="2">
        <v>99.88</v>
      </c>
      <c r="R5361">
        <v>1</v>
      </c>
      <c r="S5361">
        <v>0</v>
      </c>
      <c r="T5361">
        <v>4</v>
      </c>
      <c r="U5361">
        <v>5</v>
      </c>
    </row>
    <row r="5362" spans="1:21" ht="16.5" x14ac:dyDescent="0.3">
      <c r="A5362" t="s">
        <v>5450</v>
      </c>
      <c r="B5362" s="1">
        <v>46018</v>
      </c>
      <c r="C5362">
        <v>2025</v>
      </c>
      <c r="D5362" t="s">
        <v>1738</v>
      </c>
      <c r="E5362" t="s">
        <v>2310</v>
      </c>
      <c r="F5362" t="s">
        <v>24</v>
      </c>
      <c r="G5362" t="s">
        <v>25</v>
      </c>
      <c r="H5362" t="s">
        <v>32</v>
      </c>
      <c r="I5362" t="s">
        <v>70</v>
      </c>
      <c r="J5362" t="s">
        <v>162</v>
      </c>
      <c r="K5362">
        <v>1</v>
      </c>
      <c r="L5362" s="2">
        <v>636.09</v>
      </c>
      <c r="M5362" s="3">
        <v>0.25</v>
      </c>
      <c r="N5362" t="s">
        <v>62</v>
      </c>
      <c r="O5362" s="2">
        <v>477.07</v>
      </c>
      <c r="P5362" s="2">
        <v>513.47</v>
      </c>
      <c r="Q5362" s="2">
        <v>-36.4</v>
      </c>
      <c r="R5362">
        <v>1</v>
      </c>
      <c r="S5362">
        <v>0</v>
      </c>
      <c r="T5362">
        <v>5</v>
      </c>
      <c r="U5362">
        <v>4</v>
      </c>
    </row>
    <row r="5363" spans="1:21" ht="16.5" x14ac:dyDescent="0.3">
      <c r="A5363" t="s">
        <v>5451</v>
      </c>
      <c r="B5363" s="1">
        <v>46019</v>
      </c>
      <c r="C5363">
        <v>2025</v>
      </c>
      <c r="D5363" t="s">
        <v>1738</v>
      </c>
      <c r="E5363" t="s">
        <v>2310</v>
      </c>
      <c r="F5363" t="s">
        <v>31</v>
      </c>
      <c r="G5363" t="s">
        <v>51</v>
      </c>
      <c r="H5363" t="s">
        <v>32</v>
      </c>
      <c r="I5363" t="s">
        <v>42</v>
      </c>
      <c r="J5363" t="s">
        <v>89</v>
      </c>
      <c r="K5363">
        <v>2</v>
      </c>
      <c r="L5363" s="2">
        <v>68.349999999999994</v>
      </c>
      <c r="M5363" s="3">
        <v>0.3</v>
      </c>
      <c r="N5363" t="s">
        <v>62</v>
      </c>
      <c r="O5363" s="2">
        <v>95.69</v>
      </c>
      <c r="P5363" s="2">
        <v>90.72</v>
      </c>
      <c r="Q5363" s="2">
        <v>4.97</v>
      </c>
      <c r="R5363">
        <v>1</v>
      </c>
      <c r="S5363">
        <v>0</v>
      </c>
      <c r="T5363">
        <v>6</v>
      </c>
      <c r="U5363">
        <v>3</v>
      </c>
    </row>
    <row r="5364" spans="1:21" ht="16.5" x14ac:dyDescent="0.3">
      <c r="A5364" t="s">
        <v>5452</v>
      </c>
      <c r="B5364" s="1">
        <v>46019</v>
      </c>
      <c r="C5364">
        <v>2025</v>
      </c>
      <c r="D5364" t="s">
        <v>1738</v>
      </c>
      <c r="E5364" t="s">
        <v>2310</v>
      </c>
      <c r="F5364" t="s">
        <v>24</v>
      </c>
      <c r="G5364" t="s">
        <v>65</v>
      </c>
      <c r="H5364" t="s">
        <v>26</v>
      </c>
      <c r="I5364" t="s">
        <v>27</v>
      </c>
      <c r="J5364" t="s">
        <v>40</v>
      </c>
      <c r="K5364">
        <v>1</v>
      </c>
      <c r="L5364" s="2">
        <v>104.94</v>
      </c>
      <c r="M5364" s="3">
        <v>0.1</v>
      </c>
      <c r="N5364" t="s">
        <v>29</v>
      </c>
      <c r="O5364" s="2">
        <v>94.45</v>
      </c>
      <c r="P5364" s="2">
        <v>58.63</v>
      </c>
      <c r="Q5364" s="2">
        <v>35.82</v>
      </c>
      <c r="R5364">
        <v>1</v>
      </c>
      <c r="S5364">
        <v>0</v>
      </c>
      <c r="T5364">
        <v>7</v>
      </c>
      <c r="U5364">
        <v>4</v>
      </c>
    </row>
    <row r="5365" spans="1:21" ht="16.5" x14ac:dyDescent="0.3">
      <c r="A5365" t="s">
        <v>5453</v>
      </c>
      <c r="B5365" s="1">
        <v>46019</v>
      </c>
      <c r="C5365">
        <v>2025</v>
      </c>
      <c r="D5365" t="s">
        <v>1738</v>
      </c>
      <c r="E5365" t="s">
        <v>2310</v>
      </c>
      <c r="F5365" t="s">
        <v>24</v>
      </c>
      <c r="G5365" t="s">
        <v>46</v>
      </c>
      <c r="H5365" t="s">
        <v>32</v>
      </c>
      <c r="I5365" t="s">
        <v>70</v>
      </c>
      <c r="J5365" t="s">
        <v>71</v>
      </c>
      <c r="K5365">
        <v>3</v>
      </c>
      <c r="L5365" s="2">
        <v>588.41</v>
      </c>
      <c r="M5365" s="3">
        <v>0.2</v>
      </c>
      <c r="N5365" t="s">
        <v>34</v>
      </c>
      <c r="O5365" s="2">
        <v>1412.18</v>
      </c>
      <c r="P5365" s="2">
        <v>1353.11</v>
      </c>
      <c r="Q5365" s="2">
        <v>59.07</v>
      </c>
      <c r="R5365">
        <v>1</v>
      </c>
      <c r="S5365">
        <v>0</v>
      </c>
      <c r="T5365">
        <v>6</v>
      </c>
      <c r="U5365">
        <v>4</v>
      </c>
    </row>
    <row r="5366" spans="1:21" ht="16.5" x14ac:dyDescent="0.3">
      <c r="A5366" t="s">
        <v>5454</v>
      </c>
      <c r="B5366" s="1">
        <v>46019</v>
      </c>
      <c r="C5366">
        <v>2025</v>
      </c>
      <c r="D5366" t="s">
        <v>1738</v>
      </c>
      <c r="E5366" t="s">
        <v>2310</v>
      </c>
      <c r="F5366" t="s">
        <v>31</v>
      </c>
      <c r="G5366" t="s">
        <v>25</v>
      </c>
      <c r="H5366" t="s">
        <v>26</v>
      </c>
      <c r="I5366" t="s">
        <v>36</v>
      </c>
      <c r="J5366" t="s">
        <v>37</v>
      </c>
      <c r="K5366">
        <v>1</v>
      </c>
      <c r="L5366" s="2">
        <v>33.18</v>
      </c>
      <c r="M5366" s="3">
        <v>0.3</v>
      </c>
      <c r="N5366" t="s">
        <v>62</v>
      </c>
      <c r="O5366" s="2">
        <v>23.23</v>
      </c>
      <c r="P5366" s="2">
        <v>16.02</v>
      </c>
      <c r="Q5366" s="2">
        <v>7.21</v>
      </c>
      <c r="R5366">
        <v>1</v>
      </c>
      <c r="S5366">
        <v>0</v>
      </c>
      <c r="T5366">
        <v>6</v>
      </c>
      <c r="U5366">
        <v>4</v>
      </c>
    </row>
    <row r="5367" spans="1:21" ht="16.5" x14ac:dyDescent="0.3">
      <c r="A5367" t="s">
        <v>5455</v>
      </c>
      <c r="B5367" s="1">
        <v>46019</v>
      </c>
      <c r="C5367">
        <v>2025</v>
      </c>
      <c r="D5367" t="s">
        <v>1738</v>
      </c>
      <c r="E5367" t="s">
        <v>2310</v>
      </c>
      <c r="F5367" t="s">
        <v>24</v>
      </c>
      <c r="G5367" t="s">
        <v>46</v>
      </c>
      <c r="H5367" t="s">
        <v>26</v>
      </c>
      <c r="I5367" t="s">
        <v>67</v>
      </c>
      <c r="J5367" t="s">
        <v>68</v>
      </c>
      <c r="K5367">
        <v>2</v>
      </c>
      <c r="L5367" s="2">
        <v>74.459999999999994</v>
      </c>
      <c r="M5367" s="3">
        <v>0.25</v>
      </c>
      <c r="N5367" t="s">
        <v>62</v>
      </c>
      <c r="O5367" s="2">
        <v>111.69</v>
      </c>
      <c r="P5367" s="2">
        <v>104.01</v>
      </c>
      <c r="Q5367" s="2">
        <v>7.68</v>
      </c>
      <c r="R5367">
        <v>1</v>
      </c>
      <c r="S5367">
        <v>0</v>
      </c>
      <c r="T5367">
        <v>7</v>
      </c>
      <c r="U5367">
        <v>2</v>
      </c>
    </row>
    <row r="5368" spans="1:21" ht="16.5" x14ac:dyDescent="0.3">
      <c r="A5368" t="s">
        <v>5456</v>
      </c>
      <c r="B5368" s="1">
        <v>46019</v>
      </c>
      <c r="C5368">
        <v>2025</v>
      </c>
      <c r="D5368" t="s">
        <v>1738</v>
      </c>
      <c r="E5368" t="s">
        <v>2310</v>
      </c>
      <c r="F5368" t="s">
        <v>24</v>
      </c>
      <c r="G5368" t="s">
        <v>25</v>
      </c>
      <c r="H5368" t="s">
        <v>32</v>
      </c>
      <c r="I5368" t="s">
        <v>70</v>
      </c>
      <c r="J5368" t="s">
        <v>87</v>
      </c>
      <c r="K5368">
        <v>2</v>
      </c>
      <c r="L5368" s="2">
        <v>490.3</v>
      </c>
      <c r="M5368" s="3">
        <v>0.2</v>
      </c>
      <c r="N5368" t="s">
        <v>34</v>
      </c>
      <c r="O5368" s="2">
        <v>784.48</v>
      </c>
      <c r="P5368" s="2">
        <v>773.38</v>
      </c>
      <c r="Q5368" s="2">
        <v>11.1</v>
      </c>
      <c r="R5368">
        <v>1</v>
      </c>
      <c r="S5368">
        <v>1</v>
      </c>
      <c r="T5368">
        <v>4</v>
      </c>
      <c r="U5368">
        <v>2</v>
      </c>
    </row>
    <row r="5369" spans="1:21" ht="16.5" x14ac:dyDescent="0.3">
      <c r="A5369" t="s">
        <v>5457</v>
      </c>
      <c r="B5369" s="1">
        <v>46019</v>
      </c>
      <c r="C5369">
        <v>2025</v>
      </c>
      <c r="D5369" t="s">
        <v>1738</v>
      </c>
      <c r="E5369" t="s">
        <v>2310</v>
      </c>
      <c r="F5369" t="s">
        <v>24</v>
      </c>
      <c r="G5369" t="s">
        <v>46</v>
      </c>
      <c r="H5369" t="s">
        <v>32</v>
      </c>
      <c r="I5369" t="s">
        <v>27</v>
      </c>
      <c r="J5369" t="s">
        <v>28</v>
      </c>
      <c r="K5369">
        <v>1</v>
      </c>
      <c r="L5369" s="2">
        <v>138.5</v>
      </c>
      <c r="M5369" s="3">
        <v>0.3</v>
      </c>
      <c r="N5369" t="s">
        <v>62</v>
      </c>
      <c r="O5369" s="2">
        <v>96.95</v>
      </c>
      <c r="P5369" s="2">
        <v>77.150000000000006</v>
      </c>
      <c r="Q5369" s="2">
        <v>19.8</v>
      </c>
      <c r="R5369">
        <v>1</v>
      </c>
      <c r="S5369">
        <v>0</v>
      </c>
      <c r="T5369">
        <v>6</v>
      </c>
      <c r="U5369">
        <v>4</v>
      </c>
    </row>
    <row r="5370" spans="1:21" ht="16.5" x14ac:dyDescent="0.3">
      <c r="A5370" t="s">
        <v>5458</v>
      </c>
      <c r="B5370" s="1">
        <v>46019</v>
      </c>
      <c r="C5370">
        <v>2025</v>
      </c>
      <c r="D5370" t="s">
        <v>1738</v>
      </c>
      <c r="E5370" t="s">
        <v>2310</v>
      </c>
      <c r="F5370" t="s">
        <v>24</v>
      </c>
      <c r="G5370" t="s">
        <v>65</v>
      </c>
      <c r="H5370" t="s">
        <v>26</v>
      </c>
      <c r="I5370" t="s">
        <v>27</v>
      </c>
      <c r="J5370" t="s">
        <v>28</v>
      </c>
      <c r="K5370">
        <v>1</v>
      </c>
      <c r="L5370" s="2">
        <v>138.5</v>
      </c>
      <c r="M5370" s="3">
        <v>0.1</v>
      </c>
      <c r="N5370" t="s">
        <v>29</v>
      </c>
      <c r="O5370" s="2">
        <v>124.65</v>
      </c>
      <c r="P5370" s="2">
        <v>73.239999999999995</v>
      </c>
      <c r="Q5370" s="2">
        <v>51.41</v>
      </c>
      <c r="R5370">
        <v>1</v>
      </c>
      <c r="S5370">
        <v>0</v>
      </c>
      <c r="T5370">
        <v>6</v>
      </c>
      <c r="U5370">
        <v>3</v>
      </c>
    </row>
    <row r="5371" spans="1:21" ht="16.5" x14ac:dyDescent="0.3">
      <c r="A5371" t="s">
        <v>5459</v>
      </c>
      <c r="B5371" s="1">
        <v>46019</v>
      </c>
      <c r="C5371">
        <v>2025</v>
      </c>
      <c r="D5371" t="s">
        <v>1738</v>
      </c>
      <c r="E5371" t="s">
        <v>2310</v>
      </c>
      <c r="F5371" t="s">
        <v>24</v>
      </c>
      <c r="G5371" t="s">
        <v>51</v>
      </c>
      <c r="H5371" t="s">
        <v>32</v>
      </c>
      <c r="I5371" t="s">
        <v>27</v>
      </c>
      <c r="J5371" t="s">
        <v>47</v>
      </c>
      <c r="K5371">
        <v>1</v>
      </c>
      <c r="L5371" s="2">
        <v>33.99</v>
      </c>
      <c r="M5371" s="3">
        <v>0.2</v>
      </c>
      <c r="N5371" t="s">
        <v>34</v>
      </c>
      <c r="O5371" s="2">
        <v>27.19</v>
      </c>
      <c r="P5371" s="2">
        <v>18.399999999999999</v>
      </c>
      <c r="Q5371" s="2">
        <v>8.7899999999999991</v>
      </c>
      <c r="R5371">
        <v>1</v>
      </c>
      <c r="S5371">
        <v>1</v>
      </c>
      <c r="T5371">
        <v>3</v>
      </c>
      <c r="U5371">
        <v>3</v>
      </c>
    </row>
    <row r="5372" spans="1:21" ht="16.5" x14ac:dyDescent="0.3">
      <c r="A5372" t="s">
        <v>5460</v>
      </c>
      <c r="B5372" s="1">
        <v>46019</v>
      </c>
      <c r="C5372">
        <v>2025</v>
      </c>
      <c r="D5372" t="s">
        <v>1738</v>
      </c>
      <c r="E5372" t="s">
        <v>2310</v>
      </c>
      <c r="F5372" t="s">
        <v>45</v>
      </c>
      <c r="G5372" t="s">
        <v>49</v>
      </c>
      <c r="H5372" t="s">
        <v>32</v>
      </c>
      <c r="I5372" t="s">
        <v>27</v>
      </c>
      <c r="J5372" t="s">
        <v>40</v>
      </c>
      <c r="K5372">
        <v>1</v>
      </c>
      <c r="L5372" s="2">
        <v>104.94</v>
      </c>
      <c r="M5372" s="3">
        <v>0.2</v>
      </c>
      <c r="N5372" t="s">
        <v>34</v>
      </c>
      <c r="O5372" s="2">
        <v>83.95</v>
      </c>
      <c r="P5372" s="2">
        <v>56.59</v>
      </c>
      <c r="Q5372" s="2">
        <v>27.36</v>
      </c>
      <c r="R5372">
        <v>1</v>
      </c>
      <c r="S5372">
        <v>1</v>
      </c>
      <c r="T5372">
        <v>5</v>
      </c>
      <c r="U5372">
        <v>3</v>
      </c>
    </row>
    <row r="5373" spans="1:21" ht="16.5" x14ac:dyDescent="0.3">
      <c r="A5373" t="s">
        <v>5461</v>
      </c>
      <c r="B5373" s="1">
        <v>46019</v>
      </c>
      <c r="C5373">
        <v>2025</v>
      </c>
      <c r="D5373" t="s">
        <v>1738</v>
      </c>
      <c r="E5373" t="s">
        <v>2310</v>
      </c>
      <c r="F5373" t="s">
        <v>24</v>
      </c>
      <c r="G5373" t="s">
        <v>51</v>
      </c>
      <c r="H5373" t="s">
        <v>32</v>
      </c>
      <c r="I5373" t="s">
        <v>67</v>
      </c>
      <c r="J5373" t="s">
        <v>174</v>
      </c>
      <c r="K5373">
        <v>3</v>
      </c>
      <c r="L5373" s="2">
        <v>137.05000000000001</v>
      </c>
      <c r="M5373" s="3">
        <v>0.05</v>
      </c>
      <c r="N5373" t="s">
        <v>29</v>
      </c>
      <c r="O5373" s="2">
        <v>390.59</v>
      </c>
      <c r="P5373" s="2">
        <v>272.58999999999997</v>
      </c>
      <c r="Q5373" s="2">
        <v>118</v>
      </c>
      <c r="R5373">
        <v>1</v>
      </c>
      <c r="S5373">
        <v>0</v>
      </c>
      <c r="T5373">
        <v>4</v>
      </c>
      <c r="U5373">
        <v>4</v>
      </c>
    </row>
    <row r="5374" spans="1:21" ht="16.5" x14ac:dyDescent="0.3">
      <c r="A5374" t="s">
        <v>5462</v>
      </c>
      <c r="B5374" s="1">
        <v>46019</v>
      </c>
      <c r="C5374">
        <v>2025</v>
      </c>
      <c r="D5374" t="s">
        <v>1738</v>
      </c>
      <c r="E5374" t="s">
        <v>2310</v>
      </c>
      <c r="F5374" t="s">
        <v>45</v>
      </c>
      <c r="G5374" t="s">
        <v>46</v>
      </c>
      <c r="H5374" t="s">
        <v>32</v>
      </c>
      <c r="I5374" t="s">
        <v>36</v>
      </c>
      <c r="J5374" t="s">
        <v>115</v>
      </c>
      <c r="K5374">
        <v>2</v>
      </c>
      <c r="L5374" s="2">
        <v>33.479999999999997</v>
      </c>
      <c r="M5374" s="3">
        <v>0.3</v>
      </c>
      <c r="N5374" t="s">
        <v>62</v>
      </c>
      <c r="O5374" s="2">
        <v>46.87</v>
      </c>
      <c r="P5374" s="2">
        <v>32.86</v>
      </c>
      <c r="Q5374" s="2">
        <v>14.01</v>
      </c>
      <c r="R5374">
        <v>1</v>
      </c>
      <c r="S5374">
        <v>0</v>
      </c>
      <c r="T5374">
        <v>6</v>
      </c>
      <c r="U5374">
        <v>5</v>
      </c>
    </row>
    <row r="5375" spans="1:21" ht="16.5" x14ac:dyDescent="0.3">
      <c r="A5375" t="s">
        <v>5463</v>
      </c>
      <c r="B5375" s="1">
        <v>46020</v>
      </c>
      <c r="C5375">
        <v>2025</v>
      </c>
      <c r="D5375" t="s">
        <v>1738</v>
      </c>
      <c r="E5375" t="s">
        <v>2310</v>
      </c>
      <c r="F5375" t="s">
        <v>24</v>
      </c>
      <c r="G5375" t="s">
        <v>51</v>
      </c>
      <c r="H5375" t="s">
        <v>26</v>
      </c>
      <c r="I5375" t="s">
        <v>70</v>
      </c>
      <c r="J5375" t="s">
        <v>252</v>
      </c>
      <c r="K5375">
        <v>1</v>
      </c>
      <c r="L5375" s="2">
        <v>216.08</v>
      </c>
      <c r="M5375" s="3">
        <v>0.1</v>
      </c>
      <c r="N5375" t="s">
        <v>29</v>
      </c>
      <c r="O5375" s="2">
        <v>194.47</v>
      </c>
      <c r="P5375" s="2">
        <v>178.95</v>
      </c>
      <c r="Q5375" s="2">
        <v>15.52</v>
      </c>
      <c r="R5375">
        <v>1</v>
      </c>
      <c r="S5375">
        <v>0</v>
      </c>
      <c r="T5375">
        <v>5</v>
      </c>
      <c r="U5375">
        <v>5</v>
      </c>
    </row>
    <row r="5376" spans="1:21" ht="16.5" x14ac:dyDescent="0.3">
      <c r="A5376" t="s">
        <v>5464</v>
      </c>
      <c r="B5376" s="1">
        <v>46020</v>
      </c>
      <c r="C5376">
        <v>2025</v>
      </c>
      <c r="D5376" t="s">
        <v>1738</v>
      </c>
      <c r="E5376" t="s">
        <v>2310</v>
      </c>
      <c r="F5376" t="s">
        <v>45</v>
      </c>
      <c r="G5376" t="s">
        <v>49</v>
      </c>
      <c r="H5376" t="s">
        <v>32</v>
      </c>
      <c r="I5376" t="s">
        <v>84</v>
      </c>
      <c r="J5376" t="s">
        <v>96</v>
      </c>
      <c r="K5376">
        <v>1</v>
      </c>
      <c r="L5376" s="2">
        <v>10.76</v>
      </c>
      <c r="M5376" s="3">
        <v>0.2</v>
      </c>
      <c r="N5376" t="s">
        <v>34</v>
      </c>
      <c r="O5376" s="2">
        <v>8.61</v>
      </c>
      <c r="P5376" s="2">
        <v>7.73</v>
      </c>
      <c r="Q5376" s="2">
        <v>0.88</v>
      </c>
      <c r="R5376">
        <v>1</v>
      </c>
      <c r="S5376">
        <v>0</v>
      </c>
      <c r="T5376">
        <v>4</v>
      </c>
      <c r="U5376">
        <v>4</v>
      </c>
    </row>
    <row r="5377" spans="1:21" ht="16.5" x14ac:dyDescent="0.3">
      <c r="A5377" t="s">
        <v>5465</v>
      </c>
      <c r="B5377" s="1">
        <v>46020</v>
      </c>
      <c r="C5377">
        <v>2025</v>
      </c>
      <c r="D5377" t="s">
        <v>1738</v>
      </c>
      <c r="E5377" t="s">
        <v>2310</v>
      </c>
      <c r="F5377" t="s">
        <v>24</v>
      </c>
      <c r="G5377" t="s">
        <v>51</v>
      </c>
      <c r="H5377" t="s">
        <v>26</v>
      </c>
      <c r="I5377" t="s">
        <v>27</v>
      </c>
      <c r="J5377" t="s">
        <v>33</v>
      </c>
      <c r="K5377">
        <v>1</v>
      </c>
      <c r="L5377" s="2">
        <v>78.510000000000005</v>
      </c>
      <c r="M5377" s="3">
        <v>0.2</v>
      </c>
      <c r="N5377" t="s">
        <v>34</v>
      </c>
      <c r="O5377" s="2">
        <v>62.81</v>
      </c>
      <c r="P5377" s="2">
        <v>45.41</v>
      </c>
      <c r="Q5377" s="2">
        <v>17.399999999999999</v>
      </c>
      <c r="R5377">
        <v>1</v>
      </c>
      <c r="S5377">
        <v>0</v>
      </c>
      <c r="T5377">
        <v>4</v>
      </c>
      <c r="U5377">
        <v>5</v>
      </c>
    </row>
    <row r="5378" spans="1:21" ht="16.5" x14ac:dyDescent="0.3">
      <c r="A5378" t="s">
        <v>5466</v>
      </c>
      <c r="B5378" s="1">
        <v>46020</v>
      </c>
      <c r="C5378">
        <v>2025</v>
      </c>
      <c r="D5378" t="s">
        <v>1738</v>
      </c>
      <c r="E5378" t="s">
        <v>2310</v>
      </c>
      <c r="F5378" t="s">
        <v>31</v>
      </c>
      <c r="G5378" t="s">
        <v>49</v>
      </c>
      <c r="H5378" t="s">
        <v>32</v>
      </c>
      <c r="I5378" t="s">
        <v>27</v>
      </c>
      <c r="J5378" t="s">
        <v>110</v>
      </c>
      <c r="K5378">
        <v>1</v>
      </c>
      <c r="L5378" s="2">
        <v>19.41</v>
      </c>
      <c r="M5378" s="3">
        <v>0.2</v>
      </c>
      <c r="N5378" t="s">
        <v>34</v>
      </c>
      <c r="O5378" s="2">
        <v>15.53</v>
      </c>
      <c r="P5378" s="2">
        <v>10.5</v>
      </c>
      <c r="Q5378" s="2">
        <v>5.03</v>
      </c>
      <c r="R5378">
        <v>1</v>
      </c>
      <c r="S5378">
        <v>0</v>
      </c>
      <c r="T5378">
        <v>4</v>
      </c>
      <c r="U5378">
        <v>4</v>
      </c>
    </row>
    <row r="5379" spans="1:21" ht="16.5" x14ac:dyDescent="0.3">
      <c r="A5379" t="s">
        <v>5467</v>
      </c>
      <c r="B5379" s="1">
        <v>46020</v>
      </c>
      <c r="C5379">
        <v>2025</v>
      </c>
      <c r="D5379" t="s">
        <v>1738</v>
      </c>
      <c r="E5379" t="s">
        <v>2310</v>
      </c>
      <c r="F5379" t="s">
        <v>24</v>
      </c>
      <c r="G5379" t="s">
        <v>25</v>
      </c>
      <c r="H5379" t="s">
        <v>32</v>
      </c>
      <c r="I5379" t="s">
        <v>27</v>
      </c>
      <c r="J5379" t="s">
        <v>47</v>
      </c>
      <c r="K5379">
        <v>1</v>
      </c>
      <c r="L5379" s="2">
        <v>33.99</v>
      </c>
      <c r="M5379" s="3">
        <v>0.05</v>
      </c>
      <c r="N5379" t="s">
        <v>29</v>
      </c>
      <c r="O5379" s="2">
        <v>32.29</v>
      </c>
      <c r="P5379" s="2">
        <v>18.5</v>
      </c>
      <c r="Q5379" s="2">
        <v>13.79</v>
      </c>
      <c r="R5379">
        <v>1</v>
      </c>
      <c r="S5379">
        <v>0</v>
      </c>
      <c r="T5379">
        <v>8</v>
      </c>
      <c r="U5379">
        <v>3</v>
      </c>
    </row>
    <row r="5380" spans="1:21" ht="16.5" x14ac:dyDescent="0.3">
      <c r="A5380" t="s">
        <v>5468</v>
      </c>
      <c r="B5380" s="1">
        <v>46020</v>
      </c>
      <c r="C5380">
        <v>2025</v>
      </c>
      <c r="D5380" t="s">
        <v>1738</v>
      </c>
      <c r="E5380" t="s">
        <v>2310</v>
      </c>
      <c r="F5380" t="s">
        <v>31</v>
      </c>
      <c r="G5380" t="s">
        <v>49</v>
      </c>
      <c r="H5380" t="s">
        <v>32</v>
      </c>
      <c r="I5380" t="s">
        <v>42</v>
      </c>
      <c r="J5380" t="s">
        <v>54</v>
      </c>
      <c r="K5380">
        <v>1</v>
      </c>
      <c r="L5380" s="2">
        <v>148.05000000000001</v>
      </c>
      <c r="M5380" s="3">
        <v>0.2</v>
      </c>
      <c r="N5380" t="s">
        <v>34</v>
      </c>
      <c r="O5380" s="2">
        <v>118.44</v>
      </c>
      <c r="P5380" s="2">
        <v>99.23</v>
      </c>
      <c r="Q5380" s="2">
        <v>19.21</v>
      </c>
      <c r="R5380">
        <v>1</v>
      </c>
      <c r="S5380">
        <v>0</v>
      </c>
      <c r="T5380">
        <v>4</v>
      </c>
      <c r="U5380">
        <v>4</v>
      </c>
    </row>
    <row r="5381" spans="1:21" ht="16.5" x14ac:dyDescent="0.3">
      <c r="A5381" t="s">
        <v>5469</v>
      </c>
      <c r="B5381" s="1">
        <v>46020</v>
      </c>
      <c r="C5381">
        <v>2025</v>
      </c>
      <c r="D5381" t="s">
        <v>1738</v>
      </c>
      <c r="E5381" t="s">
        <v>2310</v>
      </c>
      <c r="F5381" t="s">
        <v>45</v>
      </c>
      <c r="G5381" t="s">
        <v>51</v>
      </c>
      <c r="H5381" t="s">
        <v>32</v>
      </c>
      <c r="I5381" t="s">
        <v>84</v>
      </c>
      <c r="J5381" t="s">
        <v>132</v>
      </c>
      <c r="K5381">
        <v>2</v>
      </c>
      <c r="L5381" s="2">
        <v>48.86</v>
      </c>
      <c r="M5381" s="3">
        <v>0.2</v>
      </c>
      <c r="N5381" t="s">
        <v>34</v>
      </c>
      <c r="O5381" s="2">
        <v>78.180000000000007</v>
      </c>
      <c r="P5381" s="2">
        <v>70.319999999999993</v>
      </c>
      <c r="Q5381" s="2">
        <v>7.86</v>
      </c>
      <c r="R5381">
        <v>1</v>
      </c>
      <c r="S5381">
        <v>0</v>
      </c>
      <c r="T5381">
        <v>4</v>
      </c>
      <c r="U5381">
        <v>4</v>
      </c>
    </row>
    <row r="5382" spans="1:21" ht="16.5" x14ac:dyDescent="0.3">
      <c r="A5382" t="s">
        <v>5470</v>
      </c>
      <c r="B5382" s="1">
        <v>46020</v>
      </c>
      <c r="C5382">
        <v>2025</v>
      </c>
      <c r="D5382" t="s">
        <v>1738</v>
      </c>
      <c r="E5382" t="s">
        <v>2310</v>
      </c>
      <c r="F5382" t="s">
        <v>31</v>
      </c>
      <c r="G5382" t="s">
        <v>49</v>
      </c>
      <c r="H5382" t="s">
        <v>26</v>
      </c>
      <c r="I5382" t="s">
        <v>36</v>
      </c>
      <c r="J5382" t="s">
        <v>126</v>
      </c>
      <c r="K5382">
        <v>1</v>
      </c>
      <c r="L5382" s="2">
        <v>54.56</v>
      </c>
      <c r="M5382" s="3">
        <v>0.15</v>
      </c>
      <c r="N5382" t="s">
        <v>34</v>
      </c>
      <c r="O5382" s="2">
        <v>46.38</v>
      </c>
      <c r="P5382" s="2">
        <v>25.04</v>
      </c>
      <c r="Q5382" s="2">
        <v>21.34</v>
      </c>
      <c r="R5382">
        <v>1</v>
      </c>
      <c r="S5382">
        <v>0</v>
      </c>
      <c r="T5382">
        <v>5</v>
      </c>
      <c r="U5382">
        <v>4</v>
      </c>
    </row>
    <row r="5383" spans="1:21" ht="16.5" x14ac:dyDescent="0.3">
      <c r="A5383" t="s">
        <v>5471</v>
      </c>
      <c r="B5383" s="1">
        <v>46020</v>
      </c>
      <c r="C5383">
        <v>2025</v>
      </c>
      <c r="D5383" t="s">
        <v>1738</v>
      </c>
      <c r="E5383" t="s">
        <v>2310</v>
      </c>
      <c r="F5383" t="s">
        <v>31</v>
      </c>
      <c r="G5383" t="s">
        <v>49</v>
      </c>
      <c r="H5383" t="s">
        <v>26</v>
      </c>
      <c r="I5383" t="s">
        <v>27</v>
      </c>
      <c r="J5383" t="s">
        <v>40</v>
      </c>
      <c r="K5383">
        <v>2</v>
      </c>
      <c r="L5383" s="2">
        <v>104.94</v>
      </c>
      <c r="M5383" s="3">
        <v>0.25</v>
      </c>
      <c r="N5383" t="s">
        <v>62</v>
      </c>
      <c r="O5383" s="2">
        <v>157.41</v>
      </c>
      <c r="P5383" s="2">
        <v>112.52</v>
      </c>
      <c r="Q5383" s="2">
        <v>44.89</v>
      </c>
      <c r="R5383">
        <v>1</v>
      </c>
      <c r="S5383">
        <v>1</v>
      </c>
      <c r="T5383">
        <v>4</v>
      </c>
      <c r="U5383">
        <v>3</v>
      </c>
    </row>
    <row r="5384" spans="1:21" ht="16.5" x14ac:dyDescent="0.3">
      <c r="A5384" t="s">
        <v>5472</v>
      </c>
      <c r="B5384" s="1">
        <v>46020</v>
      </c>
      <c r="C5384">
        <v>2025</v>
      </c>
      <c r="D5384" t="s">
        <v>1738</v>
      </c>
      <c r="E5384" t="s">
        <v>2310</v>
      </c>
      <c r="F5384" t="s">
        <v>31</v>
      </c>
      <c r="G5384" t="s">
        <v>25</v>
      </c>
      <c r="H5384" t="s">
        <v>26</v>
      </c>
      <c r="I5384" t="s">
        <v>84</v>
      </c>
      <c r="J5384" t="s">
        <v>85</v>
      </c>
      <c r="K5384">
        <v>1</v>
      </c>
      <c r="L5384" s="2">
        <v>57.92</v>
      </c>
      <c r="M5384" s="3">
        <v>0.3</v>
      </c>
      <c r="N5384" t="s">
        <v>62</v>
      </c>
      <c r="O5384" s="2">
        <v>40.54</v>
      </c>
      <c r="P5384" s="2">
        <v>41.66</v>
      </c>
      <c r="Q5384" s="2">
        <v>-1.1200000000000001</v>
      </c>
      <c r="R5384">
        <v>1</v>
      </c>
      <c r="S5384">
        <v>0</v>
      </c>
      <c r="T5384">
        <v>7</v>
      </c>
      <c r="U5384">
        <v>4</v>
      </c>
    </row>
    <row r="5385" spans="1:21" ht="16.5" x14ac:dyDescent="0.3">
      <c r="A5385" t="s">
        <v>5473</v>
      </c>
      <c r="B5385" s="1">
        <v>46020</v>
      </c>
      <c r="C5385">
        <v>2025</v>
      </c>
      <c r="D5385" t="s">
        <v>1738</v>
      </c>
      <c r="E5385" t="s">
        <v>2310</v>
      </c>
      <c r="F5385" t="s">
        <v>24</v>
      </c>
      <c r="G5385" t="s">
        <v>51</v>
      </c>
      <c r="H5385" t="s">
        <v>26</v>
      </c>
      <c r="I5385" t="s">
        <v>70</v>
      </c>
      <c r="J5385" t="s">
        <v>162</v>
      </c>
      <c r="K5385">
        <v>4</v>
      </c>
      <c r="L5385" s="2">
        <v>636.09</v>
      </c>
      <c r="M5385" s="3">
        <v>0.25</v>
      </c>
      <c r="N5385" t="s">
        <v>62</v>
      </c>
      <c r="O5385" s="2">
        <v>1908.27</v>
      </c>
      <c r="P5385" s="2">
        <v>2051</v>
      </c>
      <c r="Q5385" s="2">
        <v>-142.72999999999999</v>
      </c>
      <c r="R5385">
        <v>1</v>
      </c>
      <c r="S5385">
        <v>1</v>
      </c>
      <c r="T5385">
        <v>3</v>
      </c>
      <c r="U5385">
        <v>2</v>
      </c>
    </row>
    <row r="5386" spans="1:21" ht="16.5" x14ac:dyDescent="0.3">
      <c r="A5386" t="s">
        <v>5474</v>
      </c>
      <c r="B5386" s="1">
        <v>46021</v>
      </c>
      <c r="C5386">
        <v>2025</v>
      </c>
      <c r="D5386" t="s">
        <v>1738</v>
      </c>
      <c r="E5386" t="s">
        <v>2310</v>
      </c>
      <c r="F5386" t="s">
        <v>24</v>
      </c>
      <c r="G5386" t="s">
        <v>65</v>
      </c>
      <c r="H5386" t="s">
        <v>32</v>
      </c>
      <c r="I5386" t="s">
        <v>67</v>
      </c>
      <c r="J5386" t="s">
        <v>78</v>
      </c>
      <c r="K5386">
        <v>2</v>
      </c>
      <c r="L5386" s="2">
        <v>85.42</v>
      </c>
      <c r="M5386" s="3">
        <v>0.2</v>
      </c>
      <c r="N5386" t="s">
        <v>34</v>
      </c>
      <c r="O5386" s="2">
        <v>136.66999999999999</v>
      </c>
      <c r="P5386" s="2">
        <v>112.09</v>
      </c>
      <c r="Q5386" s="2">
        <v>24.58</v>
      </c>
      <c r="R5386">
        <v>1</v>
      </c>
      <c r="S5386">
        <v>0</v>
      </c>
      <c r="T5386">
        <v>6</v>
      </c>
      <c r="U5386">
        <v>4</v>
      </c>
    </row>
    <row r="5387" spans="1:21" ht="16.5" x14ac:dyDescent="0.3">
      <c r="A5387" t="s">
        <v>5475</v>
      </c>
      <c r="B5387" s="1">
        <v>46021</v>
      </c>
      <c r="C5387">
        <v>2025</v>
      </c>
      <c r="D5387" t="s">
        <v>1738</v>
      </c>
      <c r="E5387" t="s">
        <v>2310</v>
      </c>
      <c r="F5387" t="s">
        <v>31</v>
      </c>
      <c r="G5387" t="s">
        <v>49</v>
      </c>
      <c r="H5387" t="s">
        <v>26</v>
      </c>
      <c r="I5387" t="s">
        <v>67</v>
      </c>
      <c r="J5387" t="s">
        <v>78</v>
      </c>
      <c r="K5387">
        <v>1</v>
      </c>
      <c r="L5387" s="2">
        <v>85.42</v>
      </c>
      <c r="M5387" s="3">
        <v>0.2</v>
      </c>
      <c r="N5387" t="s">
        <v>34</v>
      </c>
      <c r="O5387" s="2">
        <v>68.34</v>
      </c>
      <c r="P5387" s="2">
        <v>57.61</v>
      </c>
      <c r="Q5387" s="2">
        <v>10.73</v>
      </c>
      <c r="R5387">
        <v>1</v>
      </c>
      <c r="S5387">
        <v>0</v>
      </c>
      <c r="T5387">
        <v>4</v>
      </c>
      <c r="U5387">
        <v>4</v>
      </c>
    </row>
    <row r="5388" spans="1:21" ht="16.5" x14ac:dyDescent="0.3">
      <c r="A5388" t="s">
        <v>5476</v>
      </c>
      <c r="B5388" s="1">
        <v>46021</v>
      </c>
      <c r="C5388">
        <v>2025</v>
      </c>
      <c r="D5388" t="s">
        <v>1738</v>
      </c>
      <c r="E5388" t="s">
        <v>2310</v>
      </c>
      <c r="F5388" t="s">
        <v>24</v>
      </c>
      <c r="G5388" t="s">
        <v>25</v>
      </c>
      <c r="H5388" t="s">
        <v>26</v>
      </c>
      <c r="I5388" t="s">
        <v>36</v>
      </c>
      <c r="J5388" t="s">
        <v>115</v>
      </c>
      <c r="K5388">
        <v>2</v>
      </c>
      <c r="L5388" s="2">
        <v>33.479999999999997</v>
      </c>
      <c r="M5388" s="3">
        <v>0</v>
      </c>
      <c r="N5388" t="s">
        <v>38</v>
      </c>
      <c r="O5388" s="2">
        <v>66.959999999999994</v>
      </c>
      <c r="P5388" s="2">
        <v>31.72</v>
      </c>
      <c r="Q5388" s="2">
        <v>35.24</v>
      </c>
      <c r="R5388">
        <v>1</v>
      </c>
      <c r="S5388">
        <v>0</v>
      </c>
      <c r="T5388">
        <v>4</v>
      </c>
      <c r="U5388">
        <v>5</v>
      </c>
    </row>
    <row r="5389" spans="1:21" ht="16.5" x14ac:dyDescent="0.3">
      <c r="A5389" t="s">
        <v>5477</v>
      </c>
      <c r="B5389" s="1">
        <v>46021</v>
      </c>
      <c r="C5389">
        <v>2025</v>
      </c>
      <c r="D5389" t="s">
        <v>1738</v>
      </c>
      <c r="E5389" t="s">
        <v>2310</v>
      </c>
      <c r="F5389" t="s">
        <v>31</v>
      </c>
      <c r="G5389" t="s">
        <v>49</v>
      </c>
      <c r="H5389" t="s">
        <v>32</v>
      </c>
      <c r="I5389" t="s">
        <v>84</v>
      </c>
      <c r="J5389" t="s">
        <v>132</v>
      </c>
      <c r="K5389">
        <v>1</v>
      </c>
      <c r="L5389" s="2">
        <v>48.86</v>
      </c>
      <c r="M5389" s="3">
        <v>0.25</v>
      </c>
      <c r="N5389" t="s">
        <v>62</v>
      </c>
      <c r="O5389" s="2">
        <v>36.64</v>
      </c>
      <c r="P5389" s="2">
        <v>36.369999999999997</v>
      </c>
      <c r="Q5389" s="2">
        <v>0.27</v>
      </c>
      <c r="R5389">
        <v>1</v>
      </c>
      <c r="S5389">
        <v>0</v>
      </c>
      <c r="T5389">
        <v>4</v>
      </c>
      <c r="U5389">
        <v>4</v>
      </c>
    </row>
    <row r="5390" spans="1:21" ht="16.5" x14ac:dyDescent="0.3">
      <c r="A5390" t="s">
        <v>5478</v>
      </c>
      <c r="B5390" s="1">
        <v>46021</v>
      </c>
      <c r="C5390">
        <v>2025</v>
      </c>
      <c r="D5390" t="s">
        <v>1738</v>
      </c>
      <c r="E5390" t="s">
        <v>2310</v>
      </c>
      <c r="F5390" t="s">
        <v>31</v>
      </c>
      <c r="G5390" t="s">
        <v>51</v>
      </c>
      <c r="H5390" t="s">
        <v>26</v>
      </c>
      <c r="I5390" t="s">
        <v>42</v>
      </c>
      <c r="J5390" t="s">
        <v>58</v>
      </c>
      <c r="K5390">
        <v>2</v>
      </c>
      <c r="L5390" s="2">
        <v>233.81</v>
      </c>
      <c r="M5390" s="3">
        <v>0.15</v>
      </c>
      <c r="N5390" t="s">
        <v>34</v>
      </c>
      <c r="O5390" s="2">
        <v>397.48</v>
      </c>
      <c r="P5390" s="2">
        <v>307.37</v>
      </c>
      <c r="Q5390" s="2">
        <v>90.11</v>
      </c>
      <c r="R5390">
        <v>1</v>
      </c>
      <c r="S5390">
        <v>0</v>
      </c>
      <c r="T5390">
        <v>4</v>
      </c>
      <c r="U5390">
        <v>4</v>
      </c>
    </row>
    <row r="5391" spans="1:21" ht="16.5" x14ac:dyDescent="0.3">
      <c r="A5391" t="s">
        <v>5479</v>
      </c>
      <c r="B5391" s="1">
        <v>46021</v>
      </c>
      <c r="C5391">
        <v>2025</v>
      </c>
      <c r="D5391" t="s">
        <v>1738</v>
      </c>
      <c r="E5391" t="s">
        <v>2310</v>
      </c>
      <c r="F5391" t="s">
        <v>31</v>
      </c>
      <c r="G5391" t="s">
        <v>51</v>
      </c>
      <c r="H5391" t="s">
        <v>26</v>
      </c>
      <c r="I5391" t="s">
        <v>42</v>
      </c>
      <c r="J5391" t="s">
        <v>43</v>
      </c>
      <c r="K5391">
        <v>1</v>
      </c>
      <c r="L5391" s="2">
        <v>154.66</v>
      </c>
      <c r="M5391" s="3">
        <v>0.15</v>
      </c>
      <c r="N5391" t="s">
        <v>34</v>
      </c>
      <c r="O5391" s="2">
        <v>131.46</v>
      </c>
      <c r="P5391" s="2">
        <v>103.92</v>
      </c>
      <c r="Q5391" s="2">
        <v>27.54</v>
      </c>
      <c r="R5391">
        <v>1</v>
      </c>
      <c r="S5391">
        <v>0</v>
      </c>
      <c r="T5391">
        <v>3</v>
      </c>
      <c r="U5391">
        <v>3</v>
      </c>
    </row>
    <row r="5392" spans="1:21" ht="16.5" x14ac:dyDescent="0.3">
      <c r="A5392" t="s">
        <v>5480</v>
      </c>
      <c r="B5392" s="1">
        <v>46021</v>
      </c>
      <c r="C5392">
        <v>2025</v>
      </c>
      <c r="D5392" t="s">
        <v>1738</v>
      </c>
      <c r="E5392" t="s">
        <v>2310</v>
      </c>
      <c r="F5392" t="s">
        <v>24</v>
      </c>
      <c r="G5392" t="s">
        <v>25</v>
      </c>
      <c r="H5392" t="s">
        <v>32</v>
      </c>
      <c r="I5392" t="s">
        <v>70</v>
      </c>
      <c r="J5392" t="s">
        <v>162</v>
      </c>
      <c r="K5392">
        <v>1</v>
      </c>
      <c r="L5392" s="2">
        <v>636.09</v>
      </c>
      <c r="M5392" s="3">
        <v>0.2</v>
      </c>
      <c r="N5392" t="s">
        <v>34</v>
      </c>
      <c r="O5392" s="2">
        <v>508.87</v>
      </c>
      <c r="P5392" s="2">
        <v>494.24</v>
      </c>
      <c r="Q5392" s="2">
        <v>14.63</v>
      </c>
      <c r="R5392">
        <v>1</v>
      </c>
      <c r="S5392">
        <v>0</v>
      </c>
      <c r="T5392">
        <v>4</v>
      </c>
      <c r="U5392">
        <v>4</v>
      </c>
    </row>
    <row r="5393" spans="1:21" ht="16.5" x14ac:dyDescent="0.3">
      <c r="A5393" t="s">
        <v>5481</v>
      </c>
      <c r="B5393" s="1">
        <v>46021</v>
      </c>
      <c r="C5393">
        <v>2025</v>
      </c>
      <c r="D5393" t="s">
        <v>1738</v>
      </c>
      <c r="E5393" t="s">
        <v>2310</v>
      </c>
      <c r="F5393" t="s">
        <v>24</v>
      </c>
      <c r="G5393" t="s">
        <v>49</v>
      </c>
      <c r="H5393" t="s">
        <v>26</v>
      </c>
      <c r="I5393" t="s">
        <v>67</v>
      </c>
      <c r="J5393" t="s">
        <v>78</v>
      </c>
      <c r="K5393">
        <v>3</v>
      </c>
      <c r="L5393" s="2">
        <v>85.42</v>
      </c>
      <c r="M5393" s="3">
        <v>0</v>
      </c>
      <c r="N5393" t="s">
        <v>38</v>
      </c>
      <c r="O5393" s="2">
        <v>256.26</v>
      </c>
      <c r="P5393" s="2">
        <v>173.29</v>
      </c>
      <c r="Q5393" s="2">
        <v>82.97</v>
      </c>
      <c r="R5393">
        <v>1</v>
      </c>
      <c r="S5393">
        <v>1</v>
      </c>
      <c r="T5393">
        <v>4</v>
      </c>
      <c r="U5393">
        <v>3</v>
      </c>
    </row>
    <row r="5394" spans="1:21" ht="16.5" x14ac:dyDescent="0.3">
      <c r="A5394" t="s">
        <v>5482</v>
      </c>
      <c r="B5394" s="1">
        <v>46021</v>
      </c>
      <c r="C5394">
        <v>2025</v>
      </c>
      <c r="D5394" t="s">
        <v>1738</v>
      </c>
      <c r="E5394" t="s">
        <v>2310</v>
      </c>
      <c r="F5394" t="s">
        <v>24</v>
      </c>
      <c r="G5394" t="s">
        <v>49</v>
      </c>
      <c r="H5394" t="s">
        <v>32</v>
      </c>
      <c r="I5394" t="s">
        <v>36</v>
      </c>
      <c r="J5394" t="s">
        <v>115</v>
      </c>
      <c r="K5394">
        <v>1</v>
      </c>
      <c r="L5394" s="2">
        <v>33.479999999999997</v>
      </c>
      <c r="M5394" s="3">
        <v>0</v>
      </c>
      <c r="N5394" t="s">
        <v>38</v>
      </c>
      <c r="O5394" s="2">
        <v>33.479999999999997</v>
      </c>
      <c r="P5394" s="2">
        <v>16.14</v>
      </c>
      <c r="Q5394" s="2">
        <v>17.34</v>
      </c>
      <c r="R5394">
        <v>1</v>
      </c>
      <c r="S5394">
        <v>0</v>
      </c>
      <c r="T5394">
        <v>4</v>
      </c>
      <c r="U5394">
        <v>5</v>
      </c>
    </row>
    <row r="5395" spans="1:21" ht="16.5" x14ac:dyDescent="0.3">
      <c r="A5395" t="s">
        <v>5483</v>
      </c>
      <c r="B5395" s="1">
        <v>46021</v>
      </c>
      <c r="C5395">
        <v>2025</v>
      </c>
      <c r="D5395" t="s">
        <v>1738</v>
      </c>
      <c r="E5395" t="s">
        <v>2310</v>
      </c>
      <c r="F5395" t="s">
        <v>45</v>
      </c>
      <c r="G5395" t="s">
        <v>65</v>
      </c>
      <c r="H5395" t="s">
        <v>26</v>
      </c>
      <c r="I5395" t="s">
        <v>27</v>
      </c>
      <c r="J5395" t="s">
        <v>60</v>
      </c>
      <c r="K5395">
        <v>2</v>
      </c>
      <c r="L5395" s="2">
        <v>94.85</v>
      </c>
      <c r="M5395" s="3">
        <v>0.1</v>
      </c>
      <c r="N5395" t="s">
        <v>29</v>
      </c>
      <c r="O5395" s="2">
        <v>170.73</v>
      </c>
      <c r="P5395" s="2">
        <v>107.29</v>
      </c>
      <c r="Q5395" s="2">
        <v>63.44</v>
      </c>
      <c r="R5395">
        <v>1</v>
      </c>
      <c r="S5395">
        <v>0</v>
      </c>
      <c r="T5395">
        <v>6</v>
      </c>
      <c r="U5395">
        <v>4</v>
      </c>
    </row>
    <row r="5396" spans="1:21" ht="16.5" x14ac:dyDescent="0.3">
      <c r="A5396" t="s">
        <v>5484</v>
      </c>
      <c r="B5396" s="1">
        <v>46022</v>
      </c>
      <c r="C5396">
        <v>2025</v>
      </c>
      <c r="D5396" t="s">
        <v>1738</v>
      </c>
      <c r="E5396" t="s">
        <v>2310</v>
      </c>
      <c r="F5396" t="s">
        <v>24</v>
      </c>
      <c r="G5396" t="s">
        <v>25</v>
      </c>
      <c r="H5396" t="s">
        <v>26</v>
      </c>
      <c r="I5396" t="s">
        <v>36</v>
      </c>
      <c r="J5396" t="s">
        <v>52</v>
      </c>
      <c r="K5396">
        <v>2</v>
      </c>
      <c r="L5396" s="2">
        <v>92.54</v>
      </c>
      <c r="M5396" s="3">
        <v>0.25</v>
      </c>
      <c r="N5396" t="s">
        <v>62</v>
      </c>
      <c r="O5396" s="2">
        <v>138.81</v>
      </c>
      <c r="P5396" s="2">
        <v>88.55</v>
      </c>
      <c r="Q5396" s="2">
        <v>50.26</v>
      </c>
      <c r="R5396">
        <v>1</v>
      </c>
      <c r="S5396">
        <v>0</v>
      </c>
      <c r="T5396">
        <v>4</v>
      </c>
      <c r="U5396">
        <v>4</v>
      </c>
    </row>
    <row r="5397" spans="1:21" ht="16.5" x14ac:dyDescent="0.3">
      <c r="A5397" t="s">
        <v>5485</v>
      </c>
      <c r="B5397" s="1">
        <v>46022</v>
      </c>
      <c r="C5397">
        <v>2025</v>
      </c>
      <c r="D5397" t="s">
        <v>1738</v>
      </c>
      <c r="E5397" t="s">
        <v>2310</v>
      </c>
      <c r="F5397" t="s">
        <v>31</v>
      </c>
      <c r="G5397" t="s">
        <v>49</v>
      </c>
      <c r="H5397" t="s">
        <v>32</v>
      </c>
      <c r="I5397" t="s">
        <v>84</v>
      </c>
      <c r="J5397" t="s">
        <v>132</v>
      </c>
      <c r="K5397">
        <v>2</v>
      </c>
      <c r="L5397" s="2">
        <v>48.86</v>
      </c>
      <c r="M5397" s="3">
        <v>0.1</v>
      </c>
      <c r="N5397" t="s">
        <v>29</v>
      </c>
      <c r="O5397" s="2">
        <v>87.95</v>
      </c>
      <c r="P5397" s="2">
        <v>70.3</v>
      </c>
      <c r="Q5397" s="2">
        <v>17.649999999999999</v>
      </c>
      <c r="R5397">
        <v>1</v>
      </c>
      <c r="S5397">
        <v>0</v>
      </c>
      <c r="T5397">
        <v>4</v>
      </c>
      <c r="U5397">
        <v>5</v>
      </c>
    </row>
    <row r="5398" spans="1:21" ht="16.5" x14ac:dyDescent="0.3">
      <c r="A5398" t="s">
        <v>5486</v>
      </c>
      <c r="B5398" s="1">
        <v>46022</v>
      </c>
      <c r="C5398">
        <v>2025</v>
      </c>
      <c r="D5398" t="s">
        <v>1738</v>
      </c>
      <c r="E5398" t="s">
        <v>2310</v>
      </c>
      <c r="F5398" t="s">
        <v>31</v>
      </c>
      <c r="G5398" t="s">
        <v>51</v>
      </c>
      <c r="H5398" t="s">
        <v>32</v>
      </c>
      <c r="I5398" t="s">
        <v>36</v>
      </c>
      <c r="J5398" t="s">
        <v>115</v>
      </c>
      <c r="K5398">
        <v>3</v>
      </c>
      <c r="L5398" s="2">
        <v>33.479999999999997</v>
      </c>
      <c r="M5398" s="3">
        <v>0.25</v>
      </c>
      <c r="N5398" t="s">
        <v>62</v>
      </c>
      <c r="O5398" s="2">
        <v>75.33</v>
      </c>
      <c r="P5398" s="2">
        <v>49</v>
      </c>
      <c r="Q5398" s="2">
        <v>26.33</v>
      </c>
      <c r="R5398">
        <v>1</v>
      </c>
      <c r="S5398">
        <v>0</v>
      </c>
      <c r="T5398">
        <v>3</v>
      </c>
      <c r="U5398">
        <v>4</v>
      </c>
    </row>
    <row r="5399" spans="1:21" ht="16.5" x14ac:dyDescent="0.3">
      <c r="A5399" t="s">
        <v>5487</v>
      </c>
      <c r="B5399" s="1">
        <v>46022</v>
      </c>
      <c r="C5399">
        <v>2025</v>
      </c>
      <c r="D5399" t="s">
        <v>1738</v>
      </c>
      <c r="E5399" t="s">
        <v>2310</v>
      </c>
      <c r="F5399" t="s">
        <v>31</v>
      </c>
      <c r="G5399" t="s">
        <v>25</v>
      </c>
      <c r="H5399" t="s">
        <v>26</v>
      </c>
      <c r="I5399" t="s">
        <v>42</v>
      </c>
      <c r="J5399" t="s">
        <v>98</v>
      </c>
      <c r="K5399">
        <v>2</v>
      </c>
      <c r="L5399" s="2">
        <v>117.63</v>
      </c>
      <c r="M5399" s="3">
        <v>0.3</v>
      </c>
      <c r="N5399" t="s">
        <v>62</v>
      </c>
      <c r="O5399" s="2">
        <v>164.68</v>
      </c>
      <c r="P5399" s="2">
        <v>152.69999999999999</v>
      </c>
      <c r="Q5399" s="2">
        <v>11.98</v>
      </c>
      <c r="R5399">
        <v>1</v>
      </c>
      <c r="S5399">
        <v>0</v>
      </c>
      <c r="T5399">
        <v>5</v>
      </c>
      <c r="U5399">
        <v>4</v>
      </c>
    </row>
    <row r="5400" spans="1:21" ht="16.5" x14ac:dyDescent="0.3">
      <c r="A5400" t="s">
        <v>5488</v>
      </c>
      <c r="B5400" s="1">
        <v>46022</v>
      </c>
      <c r="C5400">
        <v>2025</v>
      </c>
      <c r="D5400" t="s">
        <v>1738</v>
      </c>
      <c r="E5400" t="s">
        <v>2310</v>
      </c>
      <c r="F5400" t="s">
        <v>24</v>
      </c>
      <c r="G5400" t="s">
        <v>49</v>
      </c>
      <c r="H5400" t="s">
        <v>32</v>
      </c>
      <c r="I5400" t="s">
        <v>27</v>
      </c>
      <c r="J5400" t="s">
        <v>28</v>
      </c>
      <c r="K5400">
        <v>1</v>
      </c>
      <c r="L5400" s="2">
        <v>138.5</v>
      </c>
      <c r="M5400" s="3">
        <v>0.3</v>
      </c>
      <c r="N5400" t="s">
        <v>62</v>
      </c>
      <c r="O5400" s="2">
        <v>96.95</v>
      </c>
      <c r="P5400" s="2">
        <v>77.52</v>
      </c>
      <c r="Q5400" s="2">
        <v>19.43</v>
      </c>
      <c r="R5400">
        <v>1</v>
      </c>
      <c r="S5400">
        <v>1</v>
      </c>
      <c r="T5400">
        <v>5</v>
      </c>
      <c r="U5400">
        <v>4</v>
      </c>
    </row>
    <row r="5401" spans="1:21" ht="16.5" x14ac:dyDescent="0.3">
      <c r="A5401" t="s">
        <v>5489</v>
      </c>
      <c r="B5401" s="1">
        <v>46022</v>
      </c>
      <c r="C5401">
        <v>2025</v>
      </c>
      <c r="D5401" t="s">
        <v>1738</v>
      </c>
      <c r="E5401" t="s">
        <v>2310</v>
      </c>
      <c r="F5401" t="s">
        <v>24</v>
      </c>
      <c r="G5401" t="s">
        <v>46</v>
      </c>
      <c r="H5401" t="s">
        <v>32</v>
      </c>
      <c r="I5401" t="s">
        <v>84</v>
      </c>
      <c r="J5401" t="s">
        <v>85</v>
      </c>
      <c r="K5401">
        <v>1</v>
      </c>
      <c r="L5401" s="2">
        <v>57.92</v>
      </c>
      <c r="M5401" s="3">
        <v>0.25</v>
      </c>
      <c r="N5401" t="s">
        <v>62</v>
      </c>
      <c r="O5401" s="2">
        <v>43.44</v>
      </c>
      <c r="P5401" s="2">
        <v>40.299999999999997</v>
      </c>
      <c r="Q5401" s="2">
        <v>3.14</v>
      </c>
      <c r="R5401">
        <v>1</v>
      </c>
      <c r="S5401">
        <v>0</v>
      </c>
      <c r="T5401">
        <v>8</v>
      </c>
      <c r="U5401">
        <v>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50"/>
  <sheetViews>
    <sheetView showGridLines="0" workbookViewId="0"/>
  </sheetViews>
  <sheetFormatPr defaultRowHeight="15" x14ac:dyDescent="0.3"/>
  <cols>
    <col min="1" max="1" width="2.625" customWidth="1"/>
    <col min="2" max="2" width="29.875" customWidth="1"/>
    <col min="3" max="3" width="94.875" customWidth="1"/>
  </cols>
  <sheetData>
    <row r="2" spans="2:3" ht="33.950000000000003" customHeight="1" x14ac:dyDescent="0.3">
      <c r="B2" s="9" t="s">
        <v>5490</v>
      </c>
      <c r="C2" s="10"/>
    </row>
    <row r="3" spans="2:3" ht="16.5" x14ac:dyDescent="0.3">
      <c r="B3" s="4" t="s">
        <v>5491</v>
      </c>
    </row>
    <row r="5" spans="2:3" ht="16.5" x14ac:dyDescent="0.3">
      <c r="B5" s="5" t="s">
        <v>5492</v>
      </c>
      <c r="C5" s="6"/>
    </row>
    <row r="6" spans="2:3" ht="45" customHeight="1" x14ac:dyDescent="0.3">
      <c r="B6" s="7" t="s">
        <v>5493</v>
      </c>
      <c r="C6" s="8" t="s">
        <v>5494</v>
      </c>
    </row>
    <row r="8" spans="2:3" ht="16.5" x14ac:dyDescent="0.3">
      <c r="B8" s="5" t="s">
        <v>5495</v>
      </c>
      <c r="C8" s="6"/>
    </row>
    <row r="9" spans="2:3" ht="15.95" customHeight="1" x14ac:dyDescent="0.3">
      <c r="B9" s="7" t="s">
        <v>22</v>
      </c>
      <c r="C9" s="8" t="s">
        <v>5496</v>
      </c>
    </row>
    <row r="10" spans="2:3" ht="15.95" customHeight="1" x14ac:dyDescent="0.3">
      <c r="B10" s="7" t="s">
        <v>599</v>
      </c>
      <c r="C10" s="8" t="s">
        <v>5497</v>
      </c>
    </row>
    <row r="11" spans="2:3" ht="15.95" customHeight="1" x14ac:dyDescent="0.3">
      <c r="B11" s="7" t="s">
        <v>1187</v>
      </c>
      <c r="C11" s="8" t="s">
        <v>5498</v>
      </c>
    </row>
    <row r="12" spans="2:3" ht="15.95" customHeight="1" x14ac:dyDescent="0.3">
      <c r="B12" s="7" t="s">
        <v>1738</v>
      </c>
      <c r="C12" s="8" t="s">
        <v>5499</v>
      </c>
    </row>
    <row r="13" spans="2:3" ht="15.95" customHeight="1" x14ac:dyDescent="0.3">
      <c r="B13" s="7" t="s">
        <v>5500</v>
      </c>
      <c r="C13" s="8" t="s">
        <v>5501</v>
      </c>
    </row>
    <row r="15" spans="2:3" ht="16.5" x14ac:dyDescent="0.3">
      <c r="B15" s="5" t="s">
        <v>5502</v>
      </c>
      <c r="C15" s="6"/>
    </row>
    <row r="16" spans="2:3" ht="15.95" customHeight="1" x14ac:dyDescent="0.3">
      <c r="B16" s="7" t="s">
        <v>5503</v>
      </c>
      <c r="C16" s="8" t="s">
        <v>5504</v>
      </c>
    </row>
    <row r="17" spans="2:3" ht="15.95" customHeight="1" x14ac:dyDescent="0.3">
      <c r="B17" s="7" t="s">
        <v>5505</v>
      </c>
      <c r="C17" s="8" t="s">
        <v>5506</v>
      </c>
    </row>
    <row r="18" spans="2:3" ht="30" customHeight="1" x14ac:dyDescent="0.3">
      <c r="B18" s="7" t="s">
        <v>5507</v>
      </c>
      <c r="C18" s="8" t="s">
        <v>5508</v>
      </c>
    </row>
    <row r="19" spans="2:3" ht="30" customHeight="1" x14ac:dyDescent="0.3">
      <c r="B19" s="7" t="s">
        <v>5509</v>
      </c>
      <c r="C19" s="8" t="s">
        <v>5510</v>
      </c>
    </row>
    <row r="20" spans="2:3" ht="15.95" customHeight="1" x14ac:dyDescent="0.3">
      <c r="B20" s="7" t="s">
        <v>5511</v>
      </c>
      <c r="C20" s="8" t="s">
        <v>5512</v>
      </c>
    </row>
    <row r="21" spans="2:3" ht="15.95" customHeight="1" x14ac:dyDescent="0.3">
      <c r="B21" s="7" t="s">
        <v>5513</v>
      </c>
      <c r="C21" s="8" t="s">
        <v>5514</v>
      </c>
    </row>
    <row r="23" spans="2:3" ht="16.5" x14ac:dyDescent="0.3">
      <c r="B23" s="5" t="s">
        <v>5515</v>
      </c>
      <c r="C23" s="6"/>
    </row>
    <row r="24" spans="2:3" ht="30" customHeight="1" x14ac:dyDescent="0.3">
      <c r="B24" s="7" t="s">
        <v>5516</v>
      </c>
      <c r="C24" s="8" t="s">
        <v>5517</v>
      </c>
    </row>
    <row r="25" spans="2:3" ht="15.95" customHeight="1" x14ac:dyDescent="0.3">
      <c r="B25" s="7" t="s">
        <v>5518</v>
      </c>
      <c r="C25" s="8" t="s">
        <v>5519</v>
      </c>
    </row>
    <row r="26" spans="2:3" ht="15.95" customHeight="1" x14ac:dyDescent="0.3">
      <c r="B26" s="7" t="s">
        <v>5520</v>
      </c>
      <c r="C26" s="8" t="s">
        <v>5521</v>
      </c>
    </row>
    <row r="27" spans="2:3" ht="30" customHeight="1" x14ac:dyDescent="0.3">
      <c r="B27" s="7" t="s">
        <v>5522</v>
      </c>
      <c r="C27" s="8" t="s">
        <v>5523</v>
      </c>
    </row>
    <row r="29" spans="2:3" ht="16.5" x14ac:dyDescent="0.3">
      <c r="B29" s="5" t="s">
        <v>5524</v>
      </c>
      <c r="C29" s="6"/>
    </row>
    <row r="30" spans="2:3" ht="15.95" customHeight="1" x14ac:dyDescent="0.3">
      <c r="B30" s="7" t="s">
        <v>5525</v>
      </c>
      <c r="C30" s="8" t="s">
        <v>5526</v>
      </c>
    </row>
    <row r="31" spans="2:3" ht="15.95" customHeight="1" x14ac:dyDescent="0.3">
      <c r="B31" s="7" t="s">
        <v>5527</v>
      </c>
      <c r="C31" s="8" t="s">
        <v>5528</v>
      </c>
    </row>
    <row r="32" spans="2:3" ht="15.95" customHeight="1" x14ac:dyDescent="0.3">
      <c r="B32" s="7" t="s">
        <v>0</v>
      </c>
      <c r="C32" s="8" t="s">
        <v>5529</v>
      </c>
    </row>
    <row r="33" spans="2:3" ht="15.95" customHeight="1" x14ac:dyDescent="0.3">
      <c r="B33" s="7" t="s">
        <v>1</v>
      </c>
      <c r="C33" s="8" t="s">
        <v>5530</v>
      </c>
    </row>
    <row r="34" spans="2:3" ht="15.95" customHeight="1" x14ac:dyDescent="0.3">
      <c r="B34" s="7" t="s">
        <v>5</v>
      </c>
      <c r="C34" s="8" t="s">
        <v>5531</v>
      </c>
    </row>
    <row r="35" spans="2:3" ht="15.95" customHeight="1" x14ac:dyDescent="0.3">
      <c r="B35" s="7" t="s">
        <v>6</v>
      </c>
      <c r="C35" s="8" t="s">
        <v>5532</v>
      </c>
    </row>
    <row r="36" spans="2:3" ht="15.95" customHeight="1" x14ac:dyDescent="0.3">
      <c r="B36" s="7" t="s">
        <v>7</v>
      </c>
      <c r="C36" s="8" t="s">
        <v>5533</v>
      </c>
    </row>
    <row r="37" spans="2:3" ht="15.95" customHeight="1" x14ac:dyDescent="0.3">
      <c r="B37" s="7" t="s">
        <v>5534</v>
      </c>
      <c r="C37" s="8" t="s">
        <v>5535</v>
      </c>
    </row>
    <row r="38" spans="2:3" ht="15.95" customHeight="1" x14ac:dyDescent="0.3">
      <c r="B38" s="7" t="s">
        <v>5536</v>
      </c>
      <c r="C38" s="8" t="s">
        <v>5537</v>
      </c>
    </row>
    <row r="39" spans="2:3" ht="15.95" customHeight="1" x14ac:dyDescent="0.3">
      <c r="B39" s="7" t="s">
        <v>5538</v>
      </c>
      <c r="C39" s="8" t="s">
        <v>5539</v>
      </c>
    </row>
    <row r="40" spans="2:3" ht="15.95" customHeight="1" x14ac:dyDescent="0.3">
      <c r="B40" s="7" t="s">
        <v>5540</v>
      </c>
      <c r="C40" s="8" t="s">
        <v>5541</v>
      </c>
    </row>
    <row r="41" spans="2:3" ht="15.95" customHeight="1" x14ac:dyDescent="0.3">
      <c r="B41" s="7" t="s">
        <v>17</v>
      </c>
      <c r="C41" s="8" t="s">
        <v>5542</v>
      </c>
    </row>
    <row r="42" spans="2:3" ht="15.95" customHeight="1" x14ac:dyDescent="0.3">
      <c r="B42" s="7" t="s">
        <v>18</v>
      </c>
      <c r="C42" s="8" t="s">
        <v>5543</v>
      </c>
    </row>
    <row r="43" spans="2:3" ht="15.95" customHeight="1" x14ac:dyDescent="0.3">
      <c r="B43" s="7" t="s">
        <v>5544</v>
      </c>
      <c r="C43" s="8" t="s">
        <v>5545</v>
      </c>
    </row>
    <row r="45" spans="2:3" ht="16.5" x14ac:dyDescent="0.3">
      <c r="B45" s="5" t="s">
        <v>5546</v>
      </c>
      <c r="C45" s="6"/>
    </row>
    <row r="46" spans="2:3" ht="15.95" customHeight="1" x14ac:dyDescent="0.3">
      <c r="B46" s="7" t="s">
        <v>5547</v>
      </c>
      <c r="C46" s="8" t="s">
        <v>5548</v>
      </c>
    </row>
    <row r="47" spans="2:3" ht="15.95" customHeight="1" x14ac:dyDescent="0.3">
      <c r="B47" s="7" t="s">
        <v>5549</v>
      </c>
      <c r="C47" s="8" t="s">
        <v>5550</v>
      </c>
    </row>
    <row r="48" spans="2:3" ht="15.95" customHeight="1" x14ac:dyDescent="0.3">
      <c r="B48" s="7" t="s">
        <v>5551</v>
      </c>
      <c r="C48" s="8" t="s">
        <v>5552</v>
      </c>
    </row>
    <row r="49" spans="2:3" ht="15.95" customHeight="1" x14ac:dyDescent="0.3">
      <c r="B49" s="7" t="s">
        <v>5553</v>
      </c>
      <c r="C49" s="8" t="s">
        <v>5554</v>
      </c>
    </row>
    <row r="50" spans="2:3" ht="15.95" customHeight="1" x14ac:dyDescent="0.3">
      <c r="B50" s="7" t="s">
        <v>5555</v>
      </c>
      <c r="C50" s="8" t="s">
        <v>5556</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Data</vt:lpstr>
      <vt:lpstr>About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Abdulsalam</dc:creator>
  <cp:lastModifiedBy>Ahmed Abdulsalam</cp:lastModifiedBy>
  <dcterms:created xsi:type="dcterms:W3CDTF">2026-10-14T18:03:07Z</dcterms:created>
  <dcterms:modified xsi:type="dcterms:W3CDTF">2026-10-14T18:03:24Z</dcterms:modified>
</cp:coreProperties>
</file>